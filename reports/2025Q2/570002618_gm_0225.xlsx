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TA_TI_Aguda_iria\לפרסום\"/>
    </mc:Choice>
  </mc:AlternateContent>
  <xr:revisionPtr revIDLastSave="0" documentId="13_ncr:1_{664545C3-5E30-4912-939A-AEFCD2B703D4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32" i="2"/>
  <c r="B32" i="2"/>
  <c r="D13" i="38"/>
  <c r="D15" i="38" s="1"/>
  <c r="B30" i="2" l="1"/>
  <c r="E27" i="2"/>
  <c r="E23" i="2"/>
  <c r="E19" i="2"/>
  <c r="E15" i="2"/>
  <c r="E11" i="2"/>
  <c r="E7" i="2"/>
  <c r="E3" i="2"/>
  <c r="E28" i="2"/>
  <c r="E24" i="2"/>
  <c r="E20" i="2"/>
  <c r="E16" i="2"/>
  <c r="E12" i="2"/>
  <c r="E8" i="2"/>
  <c r="E4" i="2"/>
  <c r="E26" i="2"/>
  <c r="E22" i="2"/>
  <c r="E18" i="2"/>
  <c r="E14" i="2"/>
  <c r="E10" i="2"/>
  <c r="E6" i="2"/>
  <c r="E29" i="2"/>
  <c r="E25" i="2"/>
  <c r="E21" i="2"/>
  <c r="E17" i="2"/>
  <c r="E13" i="2"/>
  <c r="E9" i="2"/>
  <c r="E5" i="2"/>
  <c r="E30" i="2" l="1"/>
  <c r="C30" i="2" l="1"/>
  <c r="D30" i="2"/>
</calcChain>
</file>

<file path=xl/sharedStrings.xml><?xml version="1.0" encoding="utf-8"?>
<sst xmlns="http://schemas.openxmlformats.org/spreadsheetml/2006/main" count="27216" uniqueCount="2982">
  <si>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</si>
  <si>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</si>
  <si>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</si>
  <si>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</si>
  <si>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</si>
  <si>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</si>
  <si>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</si>
  <si>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</si>
  <si>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</si>
  <si>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</si>
  <si>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</si>
  <si>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</si>
  <si>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</si>
  <si>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</si>
  <si>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</si>
  <si>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</si>
  <si>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</si>
  <si>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</si>
  <si>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</si>
  <si>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</si>
  <si>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</si>
  <si>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</si>
  <si>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</si>
  <si>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</si>
  <si>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</si>
  <si>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</si>
  <si>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</si>
  <si>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</si>
  <si>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</si>
  <si>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</si>
  <si>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</si>
  <si>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</si>
  <si>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</si>
  <si>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</si>
  <si>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</si>
  <si>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</si>
  <si>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</si>
  <si>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</si>
  <si>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</si>
  <si>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</si>
  <si>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</si>
  <si>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</si>
  <si>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</si>
  <si>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</si>
  <si>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</si>
  <si>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</si>
  <si>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</si>
  <si>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</si>
  <si>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</si>
  <si>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</si>
  <si>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</si>
  <si>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</si>
  <si>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</si>
  <si>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</si>
  <si>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</si>
  <si>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</si>
  <si>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</si>
  <si>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</si>
  <si>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</si>
  <si>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</si>
  <si>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</si>
  <si>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</si>
  <si>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</si>
  <si>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</si>
  <si>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</si>
  <si>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</si>
  <si>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</si>
  <si>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</si>
  <si>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</si>
  <si>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</si>
  <si>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</si>
  <si>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</si>
  <si>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</si>
  <si>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</si>
  <si>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</si>
  <si>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</si>
  <si>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</si>
  <si>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</si>
  <si>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</si>
  <si>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</si>
  <si>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</si>
  <si>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</si>
  <si>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</si>
  <si>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</si>
  <si>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</si>
  <si>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</si>
  <si>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</si>
  <si>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</si>
  <si>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</si>
  <si>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</si>
  <si>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</si>
  <si>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</si>
  <si>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</si>
  <si>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</si>
  <si>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</si>
  <si>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</si>
  <si>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</si>
  <si>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</si>
  <si>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</si>
  <si>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</si>
  <si>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</si>
  <si>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</si>
  <si>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</si>
  <si>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</si>
  <si>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</si>
  <si>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</si>
  <si>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</si>
  <si>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</si>
  <si>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</si>
  <si>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</si>
  <si>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</si>
  <si>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</si>
  <si>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</si>
  <si>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</si>
  <si>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</si>
  <si>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</si>
  <si>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</si>
  <si>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</si>
  <si>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</si>
  <si>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</si>
  <si>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</si>
  <si>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</si>
  <si>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</si>
  <si>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</si>
  <si>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</si>
  <si>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</si>
  <si>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</si>
  <si>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</si>
  <si>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</si>
  <si>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</si>
  <si>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</si>
  <si>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</si>
  <si>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</si>
  <si>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</si>
  <si>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</si>
  <si>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</si>
  <si>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</si>
  <si>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</si>
  <si>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</si>
  <si>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</si>
  <si>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</si>
  <si>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</si>
  <si>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</si>
  <si>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</si>
  <si>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</si>
  <si>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</si>
  <si>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</si>
  <si>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</si>
  <si>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</si>
  <si>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</si>
  <si>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</si>
  <si>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</si>
  <si>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</si>
  <si>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</si>
  <si>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</si>
  <si>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</si>
  <si>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</si>
  <si>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</si>
  <si>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</si>
  <si>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</si>
  <si>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</si>
  <si>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</si>
  <si>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</si>
  <si>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</si>
  <si>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</si>
  <si>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</si>
  <si>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</si>
  <si>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</si>
  <si>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</si>
  <si>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</si>
  <si>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</si>
  <si>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</si>
  <si>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</si>
  <si>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</si>
  <si>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</si>
  <si>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</si>
  <si>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</si>
  <si>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</si>
  <si>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</si>
  <si>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</si>
  <si>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</si>
  <si>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</si>
  <si>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</si>
  <si>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</si>
  <si>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</si>
  <si>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</si>
  <si>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</si>
  <si>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</si>
  <si>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</si>
  <si>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</si>
  <si>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</si>
  <si>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</si>
  <si>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</si>
  <si>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</si>
  <si>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</si>
  <si>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</si>
  <si>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</si>
  <si>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</si>
  <si>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</si>
  <si>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</si>
  <si>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</si>
  <si>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</si>
  <si>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</si>
  <si>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</si>
  <si>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</si>
  <si>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</si>
  <si>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</si>
  <si>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</si>
  <si>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</si>
  <si>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</si>
  <si>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</si>
  <si>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</si>
  <si>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</si>
  <si>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</si>
  <si>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</si>
  <si>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</si>
  <si>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</si>
  <si>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</si>
  <si>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</si>
  <si>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</si>
  <si>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</si>
  <si>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</si>
  <si>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</si>
  <si>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</si>
  <si>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</si>
  <si>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</si>
  <si>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</si>
  <si>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</si>
  <si>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</si>
  <si>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</si>
  <si>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</si>
  <si>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</si>
  <si>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</si>
  <si>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</si>
  <si>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</si>
  <si>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</si>
  <si>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</si>
  <si>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</si>
  <si>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</si>
  <si>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</si>
  <si>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</si>
  <si>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</si>
  <si>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</si>
  <si>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</si>
  <si>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</si>
  <si>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</si>
  <si>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</si>
  <si>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</si>
  <si>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</si>
  <si>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</si>
  <si>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</si>
  <si>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</si>
  <si>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</si>
  <si>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</si>
  <si>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</si>
  <si>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</si>
  <si>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</si>
  <si>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</si>
  <si>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</si>
  <si>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</si>
  <si>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</si>
  <si>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</si>
  <si>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</si>
  <si>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</si>
  <si>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</si>
  <si>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</si>
  <si>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</si>
  <si>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</si>
  <si>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</si>
  <si>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</si>
  <si>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</si>
  <si>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</si>
  <si>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</si>
  <si>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</si>
  <si>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</si>
  <si>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</si>
  <si>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</si>
  <si>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</si>
  <si>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</si>
  <si>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</si>
  <si>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</si>
  <si>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</si>
  <si>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</si>
  <si>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</si>
  <si>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</si>
  <si>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</si>
  <si>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</si>
  <si>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</si>
  <si>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</si>
  <si>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</si>
  <si>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</si>
  <si>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</si>
  <si>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</si>
  <si>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</si>
  <si>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</si>
  <si>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</si>
  <si>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</si>
  <si>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</si>
  <si>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</si>
  <si>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</si>
  <si>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</si>
  <si>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</si>
  <si>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</si>
  <si>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</si>
  <si>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</si>
  <si>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</si>
  <si>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</si>
  <si>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</si>
  <si>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</si>
  <si>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</si>
  <si>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</si>
  <si>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</si>
  <si>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</si>
  <si>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</si>
  <si>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</si>
  <si>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</si>
  <si>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</si>
  <si>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</si>
  <si>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</si>
  <si>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</si>
  <si>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</si>
  <si>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</si>
  <si>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</si>
  <si>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</si>
  <si>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</si>
  <si>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</si>
  <si>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</si>
  <si>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</si>
  <si>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</si>
  <si>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</si>
  <si>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</si>
  <si>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</si>
  <si>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</si>
  <si>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</si>
  <si>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</si>
  <si>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</si>
  <si>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</si>
  <si>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</si>
  <si>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</si>
  <si>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</si>
  <si>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</si>
  <si>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</si>
  <si>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</si>
  <si>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</si>
  <si>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</si>
  <si>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</si>
  <si>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</si>
  <si>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</si>
  <si>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</si>
  <si>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</si>
  <si>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</si>
  <si>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</si>
  <si>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</si>
  <si>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</si>
  <si>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</si>
  <si>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</si>
  <si>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</si>
  <si>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</si>
  <si>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</si>
  <si>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</si>
  <si>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</si>
  <si>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</si>
  <si>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</si>
  <si>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</si>
  <si>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</si>
  <si>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</si>
  <si>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</si>
  <si>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</si>
  <si>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</si>
  <si>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</si>
  <si>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</si>
  <si>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</si>
  <si>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</si>
  <si>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</si>
  <si>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</si>
  <si>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</si>
  <si>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</si>
  <si>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</si>
  <si>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</si>
  <si>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</si>
  <si>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</si>
  <si>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</si>
  <si>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</si>
  <si>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</si>
  <si>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</si>
  <si>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</si>
  <si>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</si>
  <si>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</si>
  <si>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</si>
  <si>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</si>
  <si>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</si>
  <si>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</si>
  <si>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</si>
  <si>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</si>
  <si>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</si>
  <si>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</si>
  <si>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</si>
  <si>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</si>
  <si>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</si>
  <si>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</si>
  <si>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</si>
  <si>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</si>
  <si>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</si>
  <si>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</si>
  <si>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</si>
  <si>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</si>
  <si>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</si>
  <si>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</si>
  <si>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</si>
  <si>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</si>
  <si>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</si>
  <si>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</si>
  <si>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</si>
  <si>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</si>
  <si>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</si>
  <si>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</si>
  <si>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</si>
  <si>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</si>
  <si>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</si>
  <si>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</si>
  <si>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</si>
  <si>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</si>
  <si>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</si>
  <si>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</si>
  <si>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</si>
  <si>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</si>
  <si>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</si>
  <si>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</si>
  <si>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</si>
  <si>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</si>
  <si>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</si>
  <si>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</si>
  <si>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</si>
  <si>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</si>
  <si>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</si>
  <si>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</si>
  <si>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</si>
  <si>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</si>
  <si>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</si>
  <si>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</si>
  <si>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</si>
  <si>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</si>
  <si>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</si>
  <si>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</si>
  <si>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</si>
  <si>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</si>
  <si>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</si>
  <si>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</si>
  <si>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</si>
  <si>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</si>
  <si>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</si>
  <si>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</si>
  <si>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</si>
  <si>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</si>
  <si>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</si>
  <si>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</si>
  <si>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</si>
  <si>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</si>
  <si>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</si>
  <si>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</si>
  <si>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</si>
  <si>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</si>
  <si>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</si>
  <si>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</si>
  <si>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</si>
  <si>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</si>
  <si>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</si>
  <si>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</si>
  <si>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</si>
  <si>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</si>
  <si>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</si>
  <si>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</si>
  <si>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</si>
  <si>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</si>
  <si>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</si>
  <si>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</si>
  <si>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</si>
  <si>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</si>
  <si>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</si>
  <si>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</si>
  <si>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</si>
  <si>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</si>
  <si>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</si>
  <si>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</si>
  <si>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</si>
  <si>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</si>
  <si>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</si>
  <si>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</si>
  <si>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</si>
  <si>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</si>
  <si>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</si>
  <si>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</si>
  <si>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</si>
  <si>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</si>
  <si>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</si>
  <si>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</si>
  <si>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</si>
  <si>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</si>
  <si>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</si>
  <si>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</si>
  <si>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</si>
  <si>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</si>
  <si>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</si>
  <si>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</si>
  <si>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</si>
  <si>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</si>
  <si>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</si>
  <si>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</si>
  <si>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</si>
  <si>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</si>
  <si>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</si>
  <si>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</si>
  <si>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</si>
  <si>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</si>
  <si>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</si>
  <si>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</si>
  <si>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</si>
  <si>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</si>
  <si>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</si>
  <si>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</si>
  <si>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</si>
  <si>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</si>
  <si>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</si>
  <si>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</si>
  <si>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</si>
  <si>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</si>
  <si>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</si>
  <si>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</si>
  <si>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</si>
  <si>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</si>
  <si>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</si>
  <si>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</si>
  <si>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</si>
  <si>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</si>
  <si>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</si>
  <si>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</si>
  <si>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</si>
  <si>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</si>
  <si>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</si>
  <si>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</si>
  <si>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</si>
  <si>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</si>
  <si>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</si>
  <si>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</si>
  <si>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</si>
  <si>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</si>
  <si>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</si>
  <si>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</si>
  <si>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</si>
  <si>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</si>
  <si>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</si>
  <si>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</si>
  <si>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</si>
  <si>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</si>
  <si>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</si>
  <si>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</si>
  <si>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</si>
  <si>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</si>
  <si>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</si>
  <si>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</si>
  <si>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</si>
  <si>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</si>
  <si>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</si>
  <si>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</si>
  <si>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</si>
  <si>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</si>
  <si>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</si>
  <si>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</si>
  <si>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</si>
  <si>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</si>
  <si>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</si>
  <si>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</si>
  <si>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</si>
  <si>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</si>
  <si>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</si>
  <si>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</si>
  <si>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</si>
  <si>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</si>
  <si>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</si>
  <si>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</si>
  <si>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</si>
  <si>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</si>
  <si>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</si>
  <si>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</si>
  <si>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</si>
  <si>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</si>
  <si>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</si>
  <si>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</si>
  <si>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</si>
  <si>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</si>
  <si>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</si>
  <si>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</si>
  <si>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</si>
  <si>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</si>
  <si>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</si>
  <si>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</si>
  <si>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</si>
  <si>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</si>
  <si>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</si>
  <si>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</si>
  <si>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</si>
  <si>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</si>
  <si>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</si>
  <si>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</si>
  <si>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</si>
  <si>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</si>
  <si>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</si>
  <si>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</si>
  <si>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</si>
  <si>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</si>
  <si>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</si>
  <si>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</si>
  <si>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</si>
  <si>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</si>
  <si>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</si>
  <si>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</si>
  <si>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</si>
  <si>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</si>
  <si>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</si>
  <si>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</si>
  <si>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</si>
  <si>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</si>
  <si>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</si>
  <si>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</si>
  <si>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</si>
  <si>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</si>
  <si>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</si>
  <si>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</si>
  <si>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</si>
  <si>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</si>
  <si>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</si>
  <si>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</si>
  <si>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</si>
  <si>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</si>
  <si>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</si>
  <si>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</si>
  <si>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</si>
  <si>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</si>
  <si>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</si>
  <si>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</si>
  <si>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</si>
  <si>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</si>
  <si>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</si>
  <si>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</si>
  <si>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</si>
  <si>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</si>
  <si>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</si>
  <si>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</si>
  <si>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</si>
  <si>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</si>
  <si>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</si>
  <si>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</si>
  <si>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</si>
  <si>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</si>
  <si>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</si>
  <si>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</si>
  <si>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</si>
  <si>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</si>
  <si>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</si>
  <si>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</si>
  <si>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</si>
  <si>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</si>
  <si>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</si>
  <si>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</si>
  <si>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</si>
  <si>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</si>
  <si>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</si>
  <si>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</si>
  <si>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</si>
  <si>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</si>
  <si>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</si>
  <si>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</si>
  <si>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</si>
  <si>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</si>
  <si>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</si>
  <si>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</si>
  <si>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</si>
  <si>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</si>
  <si>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</si>
  <si>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</si>
  <si>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</si>
  <si>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</si>
  <si>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</si>
  <si>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</si>
  <si>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</si>
  <si>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</si>
  <si>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</si>
  <si>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</si>
  <si>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</si>
  <si>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</si>
  <si>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</si>
  <si>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</si>
  <si>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</si>
  <si>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</si>
  <si>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</si>
  <si>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</si>
  <si>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</si>
  <si>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</si>
  <si>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</si>
  <si>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</si>
  <si>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</si>
  <si>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</si>
  <si>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</si>
  <si>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</si>
  <si>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</si>
  <si>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</si>
  <si>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</si>
  <si>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</si>
  <si>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</si>
  <si>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</si>
  <si>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</si>
  <si>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</si>
  <si>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</si>
  <si>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</si>
  <si>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</si>
  <si>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</si>
  <si>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</si>
  <si>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</si>
  <si>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</si>
  <si>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</si>
  <si>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</si>
  <si>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</si>
  <si>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</si>
  <si>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</si>
  <si>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</si>
  <si>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</si>
  <si>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</si>
  <si>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</si>
  <si>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</si>
  <si>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</si>
  <si>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</si>
  <si>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</si>
  <si>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</si>
  <si>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</si>
  <si>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</si>
  <si>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</si>
  <si>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</si>
  <si>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</si>
  <si>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</si>
  <si>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</si>
  <si>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</si>
  <si>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</si>
  <si>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</si>
  <si>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</si>
  <si>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</si>
  <si>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</si>
  <si>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</si>
  <si>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</si>
  <si>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</si>
  <si>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</si>
  <si>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</si>
  <si>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</si>
  <si>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</si>
  <si>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</si>
  <si>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</si>
  <si>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</si>
  <si>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</si>
  <si>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</si>
  <si>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</si>
  <si>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</si>
  <si>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</si>
  <si>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</si>
  <si>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</si>
  <si>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</si>
  <si>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</si>
  <si>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</si>
  <si>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</si>
  <si>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</si>
  <si>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</si>
  <si>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</si>
  <si>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</si>
  <si>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</si>
  <si>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</si>
  <si>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</si>
  <si>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</si>
  <si>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</si>
  <si>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</si>
  <si>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</si>
  <si>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</si>
  <si>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</si>
  <si>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</si>
  <si>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</si>
  <si>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</si>
  <si>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</si>
  <si>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</si>
  <si>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</si>
  <si>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</si>
  <si>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</si>
  <si>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</si>
  <si>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</si>
  <si>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</si>
  <si>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</si>
  <si>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</si>
  <si>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</si>
  <si>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</si>
  <si>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</si>
  <si>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</si>
  <si>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</si>
  <si>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</si>
  <si>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</si>
  <si>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</si>
  <si>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</si>
  <si>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</si>
  <si>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</si>
  <si>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</si>
  <si>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</si>
  <si>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</si>
  <si>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</si>
  <si>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</si>
  <si>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</si>
  <si>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</si>
  <si>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</si>
  <si>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</si>
  <si>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</si>
  <si>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</si>
  <si>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</si>
  <si>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</si>
  <si>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</si>
  <si>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</si>
  <si>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</si>
  <si>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</si>
  <si>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</si>
  <si>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</si>
  <si>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</si>
  <si>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</si>
  <si>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</si>
  <si>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</si>
  <si>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</si>
  <si>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</si>
  <si>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</si>
  <si>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</si>
  <si>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</si>
  <si>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</si>
  <si>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</si>
  <si>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</si>
  <si>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</si>
  <si>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</si>
  <si>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</si>
  <si>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</si>
  <si>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</si>
  <si>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</si>
  <si>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</si>
  <si>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</si>
  <si>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</si>
  <si>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</si>
  <si>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</si>
  <si>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</si>
  <si>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</si>
  <si>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</si>
  <si>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</si>
  <si>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</si>
  <si>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</si>
  <si>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</si>
  <si>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</si>
  <si>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</si>
  <si>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</si>
  <si>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</si>
  <si>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</si>
  <si>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</si>
  <si>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</si>
  <si>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</si>
  <si>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</si>
  <si>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</si>
  <si>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</si>
  <si>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</si>
  <si>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</si>
  <si>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</si>
  <si>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</si>
  <si>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</si>
  <si>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</si>
  <si>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</si>
  <si>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</si>
  <si>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</si>
  <si>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</si>
  <si>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</si>
  <si>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</si>
  <si>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</si>
  <si>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</si>
  <si>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</si>
  <si>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</si>
  <si>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</si>
  <si>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</si>
  <si>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</si>
  <si>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</si>
  <si>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</si>
  <si>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</si>
  <si>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</si>
  <si>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</si>
  <si>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</si>
  <si>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</si>
  <si>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</si>
  <si>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</si>
  <si>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</si>
  <si>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</si>
  <si>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</si>
  <si>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</si>
  <si>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</si>
  <si>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</si>
  <si>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</si>
  <si>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</si>
  <si>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</si>
  <si>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</si>
  <si>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</si>
  <si>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</si>
  <si>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</si>
  <si>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</si>
  <si>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</si>
  <si>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</si>
  <si>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</si>
  <si>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</si>
  <si>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</si>
  <si>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</si>
  <si>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</si>
  <si>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</si>
  <si>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</si>
  <si>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</si>
  <si>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</si>
  <si>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</si>
  <si>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</si>
  <si>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</si>
  <si>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</si>
  <si>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</si>
  <si>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</si>
  <si>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</si>
  <si>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</si>
  <si>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</si>
  <si>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</si>
  <si>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</si>
  <si>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</si>
  <si>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</si>
  <si>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</si>
  <si>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</si>
  <si>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</si>
  <si>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</si>
  <si>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</si>
  <si>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</si>
  <si>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</si>
  <si>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</si>
  <si>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</si>
  <si>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</si>
  <si>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</si>
  <si>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</si>
  <si>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</si>
  <si>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</si>
  <si>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</si>
  <si>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</si>
  <si>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</si>
  <si>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</si>
  <si>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</si>
  <si>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</si>
  <si>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</si>
  <si>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</si>
  <si>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</si>
  <si>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</si>
  <si>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</si>
  <si>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</si>
  <si>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</si>
  <si>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</si>
  <si>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</si>
  <si>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</si>
  <si>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</si>
  <si>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</si>
  <si>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</si>
  <si>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</si>
  <si>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</si>
  <si>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</si>
  <si>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</si>
  <si>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</si>
  <si>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</si>
  <si>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</si>
  <si>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</si>
  <si>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</si>
  <si>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</si>
  <si>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</si>
  <si>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</si>
  <si>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</si>
  <si>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</si>
  <si>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</si>
  <si>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</si>
  <si>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</si>
  <si>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</si>
  <si>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</si>
  <si>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</si>
  <si>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</si>
  <si>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</si>
  <si>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</si>
  <si>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</si>
  <si>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</si>
  <si>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</si>
  <si>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</si>
  <si>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</si>
  <si>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</si>
  <si>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</si>
  <si>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</si>
  <si>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</si>
  <si>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</si>
  <si>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</si>
  <si>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</si>
  <si>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</si>
  <si>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</si>
  <si>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</si>
  <si>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</si>
  <si>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</si>
  <si>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</si>
  <si>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</si>
  <si>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</si>
  <si>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</si>
  <si>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</si>
  <si>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</si>
  <si>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</si>
  <si>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</si>
  <si>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</si>
  <si>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</si>
  <si>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</si>
  <si>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</si>
  <si>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</si>
  <si>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</si>
  <si>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</si>
  <si>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</si>
  <si>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</si>
  <si>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</si>
  <si>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</si>
  <si>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</si>
  <si>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</si>
  <si>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</si>
  <si>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</si>
  <si>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</si>
  <si>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</si>
  <si>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</si>
  <si>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</si>
  <si>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</si>
  <si>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</si>
  <si>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</si>
  <si>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</si>
  <si>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</si>
  <si>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</si>
  <si>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</si>
  <si>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</si>
  <si>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</si>
  <si>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</si>
  <si>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</si>
  <si>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</si>
  <si>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</si>
  <si>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</si>
  <si>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</si>
  <si>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</si>
  <si>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</si>
  <si>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</si>
  <si>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</si>
  <si>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</si>
  <si>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</si>
  <si>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</si>
  <si>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</si>
  <si>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</si>
  <si>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</si>
  <si>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</si>
  <si>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</si>
  <si>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</si>
  <si>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</si>
  <si>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</si>
  <si>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</si>
  <si>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</si>
  <si>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</si>
  <si>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</si>
  <si>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</si>
  <si>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</si>
  <si>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</si>
  <si>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</si>
  <si>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</si>
  <si>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</si>
  <si>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</si>
  <si>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</si>
  <si>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</si>
  <si>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</si>
  <si>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</si>
  <si>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</si>
  <si>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</si>
  <si>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</si>
  <si>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</si>
  <si>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</si>
  <si>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</si>
  <si>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</si>
  <si>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</si>
  <si>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</si>
  <si>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</si>
  <si>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</si>
  <si>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</si>
  <si>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</si>
  <si>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</si>
  <si>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</si>
  <si>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</si>
  <si>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</si>
  <si>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</si>
  <si>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</si>
  <si>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</si>
  <si>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</si>
  <si>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</si>
  <si>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</si>
  <si>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</si>
  <si>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</si>
  <si>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</si>
  <si>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</si>
  <si>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</si>
  <si>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</si>
  <si>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</si>
  <si>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</si>
  <si>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</si>
  <si>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</si>
  <si>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</si>
  <si>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</si>
  <si>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</si>
  <si>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</si>
  <si>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</si>
  <si>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</si>
  <si>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</si>
  <si>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</si>
  <si>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</si>
  <si>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</si>
  <si>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</si>
  <si>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</si>
  <si>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</si>
  <si>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</si>
  <si>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</si>
  <si>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</si>
  <si>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</si>
  <si>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</si>
  <si>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</si>
  <si>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</si>
  <si>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</si>
  <si>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</si>
  <si>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</si>
  <si>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</si>
  <si>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</si>
  <si>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</si>
  <si>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</si>
  <si>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</si>
  <si>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</si>
  <si>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</si>
  <si>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</si>
  <si>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</si>
  <si>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</si>
  <si>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</si>
  <si>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</si>
  <si>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</si>
  <si>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</si>
  <si>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</si>
  <si>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</si>
  <si>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</si>
  <si>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</si>
  <si>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</si>
  <si>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</si>
  <si>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</si>
  <si>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</si>
  <si>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</si>
  <si>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</si>
  <si>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</si>
  <si>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</si>
  <si>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</si>
  <si>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</si>
  <si>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</si>
  <si>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</si>
  <si>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</si>
  <si>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</si>
  <si>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</si>
  <si>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</si>
  <si>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</si>
  <si>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</si>
  <si>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</si>
  <si>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</si>
  <si>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</si>
  <si>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</si>
  <si>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</si>
  <si>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</si>
  <si>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</si>
  <si>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</si>
  <si>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</si>
  <si>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</si>
  <si>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</si>
  <si>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</si>
  <si>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</si>
  <si>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</si>
  <si>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</si>
  <si>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</si>
  <si>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</si>
  <si>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</si>
  <si>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</si>
  <si>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</si>
  <si>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</si>
  <si>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</si>
  <si>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</si>
  <si>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</si>
  <si>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</si>
  <si>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</si>
  <si>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</si>
  <si>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</si>
  <si>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</si>
  <si>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</si>
  <si>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</si>
  <si>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</si>
  <si>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</si>
  <si>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</si>
  <si>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</si>
  <si>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</si>
  <si>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</si>
  <si>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</si>
  <si>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</si>
  <si>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</si>
  <si>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</si>
  <si>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</si>
  <si>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צביקה שמיר , מנכ"ל</t>
  </si>
  <si>
    <t>03-5210603</t>
  </si>
  <si>
    <t>zvi-sha@ovdim-tlv.org.il</t>
  </si>
  <si>
    <t>Gatewood Capital GP LLC</t>
  </si>
  <si>
    <t>47-4190465</t>
  </si>
  <si>
    <t>[GATEWOOD FUND (IBI)</t>
  </si>
  <si>
    <t>USD</t>
  </si>
  <si>
    <t xml:space="preserve">Alto Fund III GP, LLC  </t>
  </si>
  <si>
    <t>81-4386819</t>
  </si>
  <si>
    <t>ALTO III</t>
  </si>
  <si>
    <t>AMI GP L.P. Inc</t>
  </si>
  <si>
    <t>AMI OPPORTUNIT</t>
  </si>
  <si>
    <t>ARKIN BIO CAPITAL, LIMITED PARTNERSHIP</t>
  </si>
  <si>
    <t>Arkin Bio Capital</t>
  </si>
  <si>
    <t>Avenue Global Dislocation Opportunities GenPar, LLC,</t>
  </si>
  <si>
    <t>Avenue B-1</t>
  </si>
  <si>
    <t>Avenue B-2</t>
  </si>
  <si>
    <t>Bain Capital Distressed and Special Situations 2019 Investors, LLC</t>
  </si>
  <si>
    <t xml:space="preserve">98-1467575 </t>
  </si>
  <si>
    <t>BAIN CAPITAL DSS</t>
  </si>
  <si>
    <t>Coller Credit Opportunities I General Partner, L.P.</t>
  </si>
  <si>
    <t>Coller Credit Opportunities</t>
  </si>
  <si>
    <t>HarbourVest GP LLC</t>
  </si>
  <si>
    <t>801-53287</t>
  </si>
  <si>
    <t>Dover Street XI L.P. Dover Street XI L.P</t>
  </si>
  <si>
    <t>Electra America Hospitality AKA LLC</t>
  </si>
  <si>
    <t>86-3690594</t>
  </si>
  <si>
    <t>Electra America Principal Hospitality</t>
  </si>
  <si>
    <t>FORMA EUROPEAN FUND II GENERAL PARTNER LTD</t>
  </si>
  <si>
    <t>Forma European Fund II LP Forma European Fund II</t>
  </si>
  <si>
    <t>EUR</t>
  </si>
  <si>
    <t>FORMA FUND GENERAL PARTNER LTD</t>
  </si>
  <si>
    <t>FORMA FUND</t>
  </si>
  <si>
    <t>EQT Infrastructure V (General Partner) S.à r.l.</t>
  </si>
  <si>
    <t>B243962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</si>
  <si>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</si>
  <si>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</si>
  <si>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</si>
  <si>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</si>
  <si>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</si>
  <si>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</si>
  <si>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</si>
  <si>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</si>
  <si>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</si>
  <si>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</si>
  <si>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</si>
  <si>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KEDMA CAPITAL PARTNERS III LTD</t>
  </si>
  <si>
    <t>Special Situations 2019 Investors, LLC</t>
  </si>
  <si>
    <t>CO-101523</t>
  </si>
  <si>
    <t>KLIRMARK III</t>
  </si>
  <si>
    <t>ILS</t>
  </si>
  <si>
    <t xml:space="preserve">Klirmark Opportunity Fund </t>
  </si>
  <si>
    <t>CO – 121764</t>
  </si>
  <si>
    <t>Klirmark Opportunity Fund IV, L.P</t>
  </si>
  <si>
    <t>LLCP LMM III GP L.P</t>
  </si>
  <si>
    <t>LLCP Lower Middle Market (LLM) III</t>
  </si>
  <si>
    <t>MACQUARIE INFRASTRUCTURE PARTNERS GP LLC</t>
  </si>
  <si>
    <t>MACQUARIE</t>
  </si>
  <si>
    <t>Madison Realty Capital Debt Fund VI GP LLC</t>
  </si>
  <si>
    <t>Madison Realty Capital Debt Fund VI LP</t>
  </si>
  <si>
    <t>Oak Street Real Estate Capital Fund VI, LP</t>
  </si>
  <si>
    <t>OEP VIII General Partner L.P</t>
  </si>
  <si>
    <t>One Equity Partners VIII, L.P.</t>
  </si>
  <si>
    <t>Pantheon PGIF IV GP (LUX) S.à r.l</t>
  </si>
  <si>
    <t>B 283012</t>
  </si>
  <si>
    <t>Pantheon Global Infrastructure Fund IV (Luxembourg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</si>
  <si>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</si>
  <si>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</si>
  <si>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</si>
  <si>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</si>
  <si>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</si>
  <si>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</si>
  <si>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</si>
  <si>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</si>
  <si>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SOMV FUND</t>
  </si>
  <si>
    <t>Starlight Bond FP I GP LIMITED</t>
  </si>
  <si>
    <t>RN157039</t>
  </si>
  <si>
    <t>Starlight Bond FP I LP</t>
  </si>
  <si>
    <t>GBP</t>
  </si>
  <si>
    <t>Target Global Growth II GP S.à r.l.</t>
  </si>
  <si>
    <t>B241115</t>
  </si>
  <si>
    <t>Target Global Growth Fund II</t>
  </si>
  <si>
    <t>Vertex Venturs Partners LTD</t>
  </si>
  <si>
    <t>Vertex Israel Opportunity II Fund</t>
  </si>
  <si>
    <t>Vestar Capital Partners GP</t>
  </si>
  <si>
    <t>549300WW8RO3OMLV4Z13</t>
  </si>
  <si>
    <t>VESTAR VII A</t>
  </si>
  <si>
    <t>VIOLA CREDIT GL II, LIMITED PARTNERSHIP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</si>
  <si>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</si>
  <si>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</si>
  <si>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</si>
  <si>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</si>
  <si>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</si>
  <si>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</si>
  <si>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</si>
  <si>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</si>
  <si>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</si>
  <si>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קוגיטו קפיטל 2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</si>
  <si>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</si>
  <si>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</si>
  <si>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</si>
  <si>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</si>
  <si>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</si>
  <si>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Ares Climate Infrastructure Partners II-A, L.P</t>
  </si>
  <si>
    <t>ARGIS Asset Management GP, LLC</t>
  </si>
  <si>
    <t>37-2131827</t>
  </si>
  <si>
    <t>ARGIS LIVING FUND II</t>
  </si>
  <si>
    <t>חוז שונים</t>
  </si>
  <si>
    <t>27960000</t>
  </si>
  <si>
    <t>NA</t>
  </si>
  <si>
    <t>30/06/2025</t>
  </si>
  <si>
    <t>זכאים מס עמיתים</t>
  </si>
  <si>
    <t>28200000</t>
  </si>
  <si>
    <t>זכאים</t>
  </si>
  <si>
    <t>28080000</t>
  </si>
  <si>
    <t>זכויות בנכסי מקרקעין נדל"ן</t>
  </si>
  <si>
    <t>15/12/2014</t>
  </si>
  <si>
    <t>פומבדיתא 4 תל אביב</t>
  </si>
  <si>
    <t xml:space="preserve">יצחק בן נוב, שמאי מקרקעין </t>
  </si>
  <si>
    <t>510960586</t>
  </si>
  <si>
    <t>הלוואות לעמיתים</t>
  </si>
  <si>
    <t>1000090</t>
  </si>
  <si>
    <t>AA+</t>
  </si>
  <si>
    <t>קבועה</t>
  </si>
  <si>
    <t>01/01/2100</t>
  </si>
  <si>
    <t>לכל מטרה</t>
  </si>
  <si>
    <t>מרווח הוגן</t>
  </si>
  <si>
    <t>USD ILS</t>
  </si>
  <si>
    <t>delivery</t>
  </si>
  <si>
    <t>POALILIT</t>
  </si>
  <si>
    <t>EUR ILS</t>
  </si>
  <si>
    <t>89525</t>
  </si>
  <si>
    <t>ג'רנסי</t>
  </si>
  <si>
    <t>02/09/2021</t>
  </si>
  <si>
    <t>30/04/2025</t>
  </si>
  <si>
    <t>Forma european fund 2</t>
  </si>
  <si>
    <t>516190006</t>
  </si>
  <si>
    <t>ח.פ</t>
  </si>
  <si>
    <t>Forma European Fund II LP</t>
  </si>
  <si>
    <t>06/07/2021</t>
  </si>
  <si>
    <t>19/05/2025</t>
  </si>
  <si>
    <t>Kedma Capital</t>
  </si>
  <si>
    <t>540286333</t>
  </si>
  <si>
    <t>04/04/2021</t>
  </si>
  <si>
    <t>31/03/2025</t>
  </si>
  <si>
    <t>KLIRMARK FUND III</t>
  </si>
  <si>
    <t>13/11/2019</t>
  </si>
  <si>
    <t>klirmark IV</t>
  </si>
  <si>
    <t>23/04/2023</t>
  </si>
  <si>
    <t>Peregrine Ventures Growth General Partner LP</t>
  </si>
  <si>
    <t>540297413</t>
  </si>
  <si>
    <t>07/07/2021</t>
  </si>
  <si>
    <t>12/05/2025</t>
  </si>
  <si>
    <t>0</t>
  </si>
  <si>
    <t>540310885</t>
  </si>
  <si>
    <t>Qumra Opportunity fund</t>
  </si>
  <si>
    <t>11/05/2021</t>
  </si>
  <si>
    <t>קרן השקעה אלפא ערך 1</t>
  </si>
  <si>
    <t>530225416</t>
  </si>
  <si>
    <t>אלפא ערך 1 ש.מ</t>
  </si>
  <si>
    <t>26/12/2024</t>
  </si>
  <si>
    <t>אי תלות</t>
  </si>
  <si>
    <t>17/06/2025</t>
  </si>
  <si>
    <t>יסודות א נדלן שותפות מוגבלת</t>
  </si>
  <si>
    <t>550257125</t>
  </si>
  <si>
    <t>יסודות נדל"ן ג' פיתוח ושותפות</t>
  </si>
  <si>
    <t>05/06/2025</t>
  </si>
  <si>
    <t>קוגיטו קפיטל אל.אמ.אי שותף כללי, שותפות מוגבלת</t>
  </si>
  <si>
    <t>550270912</t>
  </si>
  <si>
    <t>06/02/2022</t>
  </si>
  <si>
    <t>24/06/2025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</si>
  <si>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</si>
  <si>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</si>
  <si>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</si>
  <si>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</si>
  <si>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</si>
  <si>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</si>
  <si>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</si>
  <si>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</si>
  <si>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29/05/2025</t>
  </si>
  <si>
    <t>ALTO FUND</t>
  </si>
  <si>
    <t>27092</t>
  </si>
  <si>
    <t>ALTO 3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</si>
  <si>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</si>
  <si>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</si>
  <si>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</si>
  <si>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</si>
  <si>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</si>
  <si>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</si>
  <si>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</si>
  <si>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Apexus Logisitcs RE Fund L.P</t>
  </si>
  <si>
    <t>89867</t>
  </si>
  <si>
    <t>Apexus</t>
  </si>
  <si>
    <t>14/04/2022</t>
  </si>
  <si>
    <t>Ares CIP Management II, L.P</t>
  </si>
  <si>
    <t>20187570751</t>
  </si>
  <si>
    <t>22/01/2025</t>
  </si>
  <si>
    <t>ORYX</t>
  </si>
  <si>
    <t>2138005O9XJIJN4JPN90</t>
  </si>
  <si>
    <t>23/01/2022</t>
  </si>
  <si>
    <t>11/06/2025</t>
  </si>
  <si>
    <t>Avenue Cpital Group</t>
  </si>
  <si>
    <t>12151</t>
  </si>
  <si>
    <t>13/10/2021</t>
  </si>
  <si>
    <t>26/06/2025</t>
  </si>
  <si>
    <t>bain capital senior loan fund</t>
  </si>
  <si>
    <t>27725</t>
  </si>
  <si>
    <t>07/03/2021</t>
  </si>
  <si>
    <t>19/03/2025</t>
  </si>
  <si>
    <t>Crossroads European Real Estate Fund II</t>
  </si>
  <si>
    <t>3333</t>
  </si>
  <si>
    <t>25/11/2021</t>
  </si>
  <si>
    <t>DOVER STREET IX LP</t>
  </si>
  <si>
    <t>27949</t>
  </si>
  <si>
    <t>DOVER STREET XI L.P</t>
  </si>
  <si>
    <t>21/06/2023</t>
  </si>
  <si>
    <t>25/06/2025</t>
  </si>
  <si>
    <t>Electra America</t>
  </si>
  <si>
    <t>87-4404526</t>
  </si>
  <si>
    <t>ELECTRA 2</t>
  </si>
  <si>
    <t>21/11/2018</t>
  </si>
  <si>
    <t>ELECTRA AMERICA PRINCIPAL HOSPITALITY LP</t>
  </si>
  <si>
    <t>28654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</si>
  <si>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</si>
  <si>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</si>
  <si>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</si>
  <si>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</si>
  <si>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</si>
  <si>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</si>
  <si>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</si>
  <si>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</si>
  <si>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</si>
  <si>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</si>
  <si>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22/05/2025</t>
  </si>
  <si>
    <t>Group 11 Fund  L.P</t>
  </si>
  <si>
    <t>28378</t>
  </si>
  <si>
    <t>Group 11 Fund IV</t>
  </si>
  <si>
    <t>09/03/2021</t>
  </si>
  <si>
    <t>Group 11 Fund V</t>
  </si>
  <si>
    <t>21/04/2021</t>
  </si>
  <si>
    <t>GROUP 11 FUND VI, L.P</t>
  </si>
  <si>
    <t>89899</t>
  </si>
  <si>
    <t>Group 11 Fund VI</t>
  </si>
  <si>
    <t>26/05/2022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</si>
  <si>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</si>
  <si>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</si>
  <si>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</si>
  <si>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</si>
  <si>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</si>
  <si>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</si>
  <si>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</si>
  <si>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</si>
  <si>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</si>
  <si>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</si>
  <si>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</si>
  <si>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</si>
  <si>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29/06/2025</t>
  </si>
  <si>
    <t>ECP V, LLC</t>
  </si>
  <si>
    <t>27330</t>
  </si>
  <si>
    <t>harbur _ESS CO INVEST V</t>
  </si>
  <si>
    <t>27/10/2019</t>
  </si>
  <si>
    <t>HGI Multifamily Credit Fund</t>
  </si>
  <si>
    <t>89918</t>
  </si>
  <si>
    <t>12/01/2023</t>
  </si>
  <si>
    <t>22/04/2025</t>
  </si>
  <si>
    <t>ISF</t>
  </si>
  <si>
    <t>113507-CO</t>
  </si>
  <si>
    <t>ISF 2</t>
  </si>
  <si>
    <t>27/01/2017</t>
  </si>
  <si>
    <t xml:space="preserve">LCCP </t>
  </si>
  <si>
    <t>28600</t>
  </si>
  <si>
    <t>24/08/2021</t>
  </si>
  <si>
    <t>MACQUAARIE BANK</t>
  </si>
  <si>
    <t>ACMHD8HWFMFUIQQ8Y590</t>
  </si>
  <si>
    <t>11/02/2019</t>
  </si>
  <si>
    <t>01/04/2025</t>
  </si>
  <si>
    <t xml:space="preserve">Madison Reality Capital DEBT </t>
  </si>
  <si>
    <t>30-0963117</t>
  </si>
  <si>
    <t>22/11/2022</t>
  </si>
  <si>
    <t>Oak Street Real Estate Capital Fund</t>
  </si>
  <si>
    <t>9492</t>
  </si>
  <si>
    <t>11/05/2023</t>
  </si>
  <si>
    <t>18/06/2025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</si>
  <si>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</si>
  <si>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</si>
  <si>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</si>
  <si>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</si>
  <si>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</si>
  <si>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</si>
  <si>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</si>
  <si>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</si>
  <si>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</si>
  <si>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</si>
  <si>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</si>
  <si>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</si>
  <si>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</si>
  <si>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</si>
  <si>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</si>
  <si>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</si>
  <si>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</si>
  <si>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</si>
  <si>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</si>
  <si>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07/05/2025</t>
  </si>
  <si>
    <t>Pantheon Private Debt</t>
  </si>
  <si>
    <t>213800U3XYENZ6K2K182</t>
  </si>
  <si>
    <t>PGCO IV_פנתיאון</t>
  </si>
  <si>
    <t>18/11/2019</t>
  </si>
  <si>
    <t>smov fund</t>
  </si>
  <si>
    <t>27224</t>
  </si>
  <si>
    <t>26/05/2016</t>
  </si>
  <si>
    <t>90109</t>
  </si>
  <si>
    <t>ג'רזי</t>
  </si>
  <si>
    <t>31/05/2023</t>
  </si>
  <si>
    <t>Target Global</t>
  </si>
  <si>
    <t>89655</t>
  </si>
  <si>
    <t>09/11/2021</t>
  </si>
  <si>
    <t>28/05/2025</t>
  </si>
  <si>
    <t>23/08/2021</t>
  </si>
  <si>
    <t>VESTAR</t>
  </si>
  <si>
    <t>549300DYMC8BGZZC8844</t>
  </si>
  <si>
    <t>31/03/2021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</si>
  <si>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</si>
  <si>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</si>
  <si>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</si>
  <si>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</si>
  <si>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</si>
  <si>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</si>
  <si>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</si>
  <si>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</si>
  <si>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</si>
  <si>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</si>
  <si>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</si>
  <si>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</si>
  <si>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</si>
  <si>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</si>
  <si>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</si>
  <si>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</si>
  <si>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</si>
  <si>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</si>
  <si>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</si>
  <si>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</si>
  <si>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PROSPECT CAPITAL CORP</t>
  </si>
  <si>
    <t>549300FSD8T39P5Q0O47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</si>
  <si>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</si>
  <si>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</si>
  <si>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</si>
  <si>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</si>
  <si>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</si>
  <si>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</si>
  <si>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</si>
  <si>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</si>
  <si>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 xml:space="preserve">לוסיקס בע"מ </t>
  </si>
  <si>
    <t>515374742</t>
  </si>
  <si>
    <t>Lusix</t>
  </si>
  <si>
    <t>620201931</t>
  </si>
  <si>
    <t>Utilities</t>
  </si>
  <si>
    <t>02/12/2024</t>
  </si>
  <si>
    <t>28/11/2024</t>
  </si>
  <si>
    <t>UVEYE LTD</t>
  </si>
  <si>
    <t>514234202</t>
  </si>
  <si>
    <t>62018263</t>
  </si>
  <si>
    <t>השקעות בהייטק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</si>
  <si>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</si>
  <si>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</si>
  <si>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</si>
  <si>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</si>
  <si>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</si>
  <si>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</si>
  <si>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</si>
  <si>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</si>
  <si>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מניבים קרן הריט החדשה בע"מ</t>
  </si>
  <si>
    <t>515327120</t>
  </si>
  <si>
    <t>מניבים ניהול הר</t>
  </si>
  <si>
    <t>36475</t>
  </si>
  <si>
    <t>03/11/2015</t>
  </si>
  <si>
    <t>Sunbit Inc</t>
  </si>
  <si>
    <t>89324</t>
  </si>
  <si>
    <t>SUNBIT</t>
  </si>
  <si>
    <t>62018403</t>
  </si>
  <si>
    <t>03/06/2021</t>
  </si>
  <si>
    <t>Rapyd financial network 2016 ltd</t>
  </si>
  <si>
    <t>28595</t>
  </si>
  <si>
    <t>TARGET GLOBAL -FLUORINE (RAPYD</t>
  </si>
  <si>
    <t>62018115</t>
  </si>
  <si>
    <t>03/07/2022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</si>
  <si>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</si>
  <si>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</si>
  <si>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</si>
  <si>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</si>
  <si>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</si>
  <si>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</si>
  <si>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</si>
  <si>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</si>
  <si>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</si>
  <si>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</si>
  <si>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</si>
  <si>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</si>
  <si>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</si>
  <si>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A+</t>
  </si>
  <si>
    <t>31/12/2028</t>
  </si>
  <si>
    <t>כלל תעשיות בע"מ</t>
  </si>
  <si>
    <t>520021874</t>
  </si>
  <si>
    <t>כלל תעש אגח טז-רמ</t>
  </si>
  <si>
    <t>IL0060802381</t>
  </si>
  <si>
    <t>27/10/2021</t>
  </si>
  <si>
    <t>A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</si>
  <si>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</si>
  <si>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</si>
  <si>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</si>
  <si>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</si>
  <si>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</si>
  <si>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</si>
  <si>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</si>
  <si>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</si>
  <si>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</si>
  <si>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</si>
  <si>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</si>
  <si>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</si>
  <si>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</si>
  <si>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</si>
  <si>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</si>
  <si>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</si>
  <si>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</si>
  <si>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</si>
  <si>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</si>
  <si>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</si>
  <si>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</si>
  <si>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</si>
  <si>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</si>
  <si>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</si>
  <si>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</si>
  <si>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</si>
  <si>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AAA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</si>
  <si>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</si>
  <si>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</si>
  <si>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</si>
  <si>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</si>
  <si>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</si>
  <si>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</si>
  <si>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</si>
  <si>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</si>
  <si>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</si>
  <si>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</si>
  <si>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30/06/2024</t>
  </si>
  <si>
    <t>גלובל פיננס ג'י.אר 8 בע"מ</t>
  </si>
  <si>
    <t>513739466</t>
  </si>
  <si>
    <t>גלובל פינס גיאר 8 סד  ה 2019</t>
  </si>
  <si>
    <t>32003</t>
  </si>
  <si>
    <t>19/01/2019</t>
  </si>
  <si>
    <t>וי.אי.די. התפלת מי אשקלון</t>
  </si>
  <si>
    <t>513102384</t>
  </si>
  <si>
    <t>התפלת מי אשקלון VID</t>
  </si>
  <si>
    <t>IL0010876832</t>
  </si>
  <si>
    <t>22/10/2025</t>
  </si>
  <si>
    <t>בנק לאומי לישראל בע"מ</t>
  </si>
  <si>
    <t>520018078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</si>
  <si>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</si>
  <si>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</si>
  <si>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</si>
  <si>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</si>
  <si>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</si>
  <si>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</si>
  <si>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</si>
  <si>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</si>
  <si>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</si>
  <si>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חוזים עתידיים בחול</t>
  </si>
  <si>
    <t>10527</t>
  </si>
  <si>
    <t>HWAU5_SP500 MIC  EMIN FUTSEP25</t>
  </si>
  <si>
    <t>HWAU5</t>
  </si>
  <si>
    <t>CME </t>
  </si>
  <si>
    <t>HWBU5_NASDAQ 100 MICRO EMIN SEP25</t>
  </si>
  <si>
    <t>HWBU5</t>
  </si>
  <si>
    <t>US 10YR ULTRA FUT SEP 25</t>
  </si>
  <si>
    <t>UXYU5</t>
  </si>
  <si>
    <t>ESU5_MINI S&amp;P 500 FUT 09/2025</t>
  </si>
  <si>
    <t>ESU5</t>
  </si>
  <si>
    <t>NQU5 _MINI NASDAQ 100 09/2025</t>
  </si>
  <si>
    <t>NQU5</t>
  </si>
  <si>
    <t>ביג מרכזי קניות (2004) בע"מ</t>
  </si>
  <si>
    <t>513623314</t>
  </si>
  <si>
    <t>ביג אפ 7</t>
  </si>
  <si>
    <t>IL0012143454</t>
  </si>
  <si>
    <t>TASE </t>
  </si>
  <si>
    <t>IL0010972607</t>
  </si>
  <si>
    <t>01/06/2026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</si>
  <si>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</si>
  <si>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</si>
  <si>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</si>
  <si>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</si>
  <si>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</si>
  <si>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</si>
  <si>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</si>
  <si>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</si>
  <si>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</si>
  <si>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</si>
  <si>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</si>
  <si>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</si>
  <si>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</si>
  <si>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</si>
  <si>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</si>
  <si>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מגדל קרנות נאמנות בע"מ</t>
  </si>
  <si>
    <t>511303661</t>
  </si>
  <si>
    <t>MTF.תלבונדשקלי</t>
  </si>
  <si>
    <t>IL0011500027</t>
  </si>
  <si>
    <t xml:space="preserve">אג"ח בישראל - חברות והמרה  </t>
  </si>
  <si>
    <t>קסם קרנות נאמנות בע"מ</t>
  </si>
  <si>
    <t>510938608</t>
  </si>
  <si>
    <t>קסם תל בונד שקלי</t>
  </si>
  <si>
    <t>IL0011464141</t>
  </si>
  <si>
    <t xml:space="preserve">BlackRock  Asset Managment </t>
  </si>
  <si>
    <t>254900UWHMJRRODS3Z64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</si>
  <si>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</si>
  <si>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</si>
  <si>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</si>
  <si>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</si>
  <si>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</si>
  <si>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</si>
  <si>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NYSE </t>
  </si>
  <si>
    <t>MTF500SP ממ</t>
  </si>
  <si>
    <t>IL0011505729</t>
  </si>
  <si>
    <t xml:space="preserve">מניות בחו"ל משולבת </t>
  </si>
  <si>
    <t>אי.בי.אי קרנות נאמנות בע"מ</t>
  </si>
  <si>
    <t>513765339</t>
  </si>
  <si>
    <t>אי.בי.אי. סל (4D)י S&amp;P 500</t>
  </si>
  <si>
    <t>IL0011481624</t>
  </si>
  <si>
    <t>מניות בחו"ל חשופות מט"ח</t>
  </si>
  <si>
    <t>הראל קרנות נאמנות בע"מ</t>
  </si>
  <si>
    <t>511776783</t>
  </si>
  <si>
    <t>הראל סל (4A) MSCI AC World מנ</t>
  </si>
  <si>
    <t>IL0011502007</t>
  </si>
  <si>
    <t>הראל סל תא 90</t>
  </si>
  <si>
    <t>IL0011489312</t>
  </si>
  <si>
    <t>הראל קרן סל 4AׂSTOXX EUROPE 600ממ</t>
  </si>
  <si>
    <t>IL0011498891</t>
  </si>
  <si>
    <t>הראל.DAX 30 ממ</t>
  </si>
  <si>
    <t>IL0011491607</t>
  </si>
  <si>
    <t>מור ניהול קרנות נאמנות בע"מ</t>
  </si>
  <si>
    <t>514884485</t>
  </si>
  <si>
    <t>מור סל S&amp;P 500 ממ</t>
  </si>
  <si>
    <t>IL0011658288</t>
  </si>
  <si>
    <t>ממEURO STOXX 50 (4A) ETF.קסם</t>
  </si>
  <si>
    <t>IL0011459521</t>
  </si>
  <si>
    <t>Amundi Asset Management</t>
  </si>
  <si>
    <t>213800VZW861M5FHMD50</t>
  </si>
  <si>
    <t>AMUNDI MSCI EMERGING MARKETS I</t>
  </si>
  <si>
    <t>LU2573967036</t>
  </si>
  <si>
    <t>שווקים מתעוררים</t>
  </si>
  <si>
    <t>Cef Ishares Russell iwm</t>
  </si>
  <si>
    <t>US4642876555</t>
  </si>
  <si>
    <t>HSBC Holdings PLC</t>
  </si>
  <si>
    <t>MLU0ZO3ML4LN2LL2TL39</t>
  </si>
  <si>
    <t>Hsbc S&amp;P 500</t>
  </si>
  <si>
    <t>IE00B5KQNG97</t>
  </si>
  <si>
    <t>IGV US_ISHARES EXPANDED TECH</t>
  </si>
  <si>
    <t>US4642875151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</si>
  <si>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</si>
  <si>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</si>
  <si>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</si>
  <si>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</si>
  <si>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</si>
  <si>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</si>
  <si>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</si>
  <si>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</t>
  </si>
  <si>
    <t>LU1135865084</t>
  </si>
  <si>
    <t>Lyxor S&amp;P 500 Ucits Etf - c-eu</t>
  </si>
  <si>
    <t>MCHI_Ishares Msci Chaina Etf</t>
  </si>
  <si>
    <t>US46429B6719</t>
  </si>
  <si>
    <t>Invesco investment management limited</t>
  </si>
  <si>
    <t>ECPGFXU8A2SHKVVGJI15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</si>
  <si>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</si>
  <si>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</si>
  <si>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</si>
  <si>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</si>
  <si>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</si>
  <si>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</si>
  <si>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</si>
  <si>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</si>
  <si>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</si>
  <si>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</si>
  <si>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</si>
  <si>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</si>
  <si>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</si>
  <si>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</si>
  <si>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MTF סל (S&amp;P 500 (4D</t>
  </si>
  <si>
    <t>IL0011503336</t>
  </si>
  <si>
    <t>MTF סל תא 125</t>
  </si>
  <si>
    <t>IL0011502833</t>
  </si>
  <si>
    <t>MTF סל תלבונד 60</t>
  </si>
  <si>
    <t>IL0011499964</t>
  </si>
  <si>
    <t>הראל סל תל בונד שקלי</t>
  </si>
  <si>
    <t>IL0011505232</t>
  </si>
  <si>
    <t>קסם קרן סל תא 125</t>
  </si>
  <si>
    <t>IL0011463564</t>
  </si>
  <si>
    <t>קסם קרן סל תל בונד 60</t>
  </si>
  <si>
    <t>IL0011462327</t>
  </si>
  <si>
    <t>MTF600STX ממ</t>
  </si>
  <si>
    <t>IL0011506149</t>
  </si>
  <si>
    <t>הראל סל בונד שק- בנקוביט</t>
  </si>
  <si>
    <t>IL0011507477</t>
  </si>
  <si>
    <t>מור סל )00( תל בונד 60</t>
  </si>
  <si>
    <t>IL0011953044</t>
  </si>
  <si>
    <t>קסם.תלבונד ש 50</t>
  </si>
  <si>
    <t>IL0011507626</t>
  </si>
  <si>
    <t>MTF סל )00( תל בונד - שקלי A</t>
  </si>
  <si>
    <t>IL0011728248</t>
  </si>
  <si>
    <t>LYXOR CORE STOXX EUROPE 600 DR</t>
  </si>
  <si>
    <t>LU0908500753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</si>
  <si>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</si>
  <si>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</si>
  <si>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</si>
  <si>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</si>
  <si>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</si>
  <si>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</si>
  <si>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</si>
  <si>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</si>
  <si>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</si>
  <si>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</si>
  <si>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</si>
  <si>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</si>
  <si>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</si>
  <si>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</si>
  <si>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</si>
  <si>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</si>
  <si>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</si>
  <si>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</si>
  <si>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</si>
  <si>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</si>
  <si>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</si>
  <si>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</si>
  <si>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</si>
  <si>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</si>
  <si>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</si>
  <si>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</si>
  <si>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</si>
  <si>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</si>
  <si>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</si>
  <si>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</si>
  <si>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</si>
  <si>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</si>
  <si>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</si>
  <si>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</si>
  <si>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</si>
  <si>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</si>
  <si>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</si>
  <si>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</si>
  <si>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</si>
  <si>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</si>
  <si>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</si>
  <si>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</si>
  <si>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</si>
  <si>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</si>
  <si>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</si>
  <si>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</si>
  <si>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</si>
  <si>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</si>
  <si>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</si>
  <si>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</si>
  <si>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</si>
  <si>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</si>
  <si>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</si>
  <si>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</si>
  <si>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</si>
  <si>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</si>
  <si>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</si>
  <si>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</si>
  <si>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</si>
  <si>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</si>
  <si>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</si>
  <si>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</si>
  <si>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</si>
  <si>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</si>
  <si>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</si>
  <si>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</si>
  <si>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</si>
  <si>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</si>
  <si>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</si>
  <si>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</si>
  <si>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</si>
  <si>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</si>
  <si>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</si>
  <si>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</si>
  <si>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</si>
  <si>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</si>
  <si>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</si>
  <si>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</si>
  <si>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</si>
  <si>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</si>
  <si>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</si>
  <si>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</si>
  <si>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</si>
  <si>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</si>
  <si>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</si>
  <si>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</si>
  <si>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</si>
  <si>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</si>
  <si>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</si>
  <si>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</si>
  <si>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</si>
  <si>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</si>
  <si>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</si>
  <si>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</si>
  <si>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</si>
  <si>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</si>
  <si>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</si>
  <si>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</si>
  <si>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</si>
  <si>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</si>
  <si>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</si>
  <si>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</si>
  <si>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</si>
  <si>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</si>
  <si>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</si>
  <si>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</si>
  <si>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דנאל (אדיר יהושע) בע"מ</t>
  </si>
  <si>
    <t>520037565</t>
  </si>
  <si>
    <t>דנאל כא</t>
  </si>
  <si>
    <t>IL0003140139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</si>
  <si>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</si>
  <si>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</si>
  <si>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</si>
  <si>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</si>
  <si>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</si>
  <si>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</si>
  <si>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</si>
  <si>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</si>
  <si>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</si>
  <si>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</si>
  <si>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</si>
  <si>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</si>
  <si>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</si>
  <si>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</si>
  <si>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</si>
  <si>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</si>
  <si>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</si>
  <si>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</si>
  <si>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</si>
  <si>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</si>
  <si>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</si>
  <si>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</si>
  <si>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</si>
  <si>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</si>
  <si>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</si>
  <si>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</si>
  <si>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</si>
  <si>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</si>
  <si>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</si>
  <si>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</si>
  <si>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</si>
  <si>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</si>
  <si>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</si>
  <si>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</si>
  <si>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</si>
  <si>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</si>
  <si>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</si>
  <si>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</si>
  <si>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</si>
  <si>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</si>
  <si>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</si>
  <si>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</si>
  <si>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</si>
  <si>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</si>
  <si>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</si>
  <si>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</si>
  <si>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</si>
  <si>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</si>
  <si>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</si>
  <si>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</si>
  <si>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</si>
  <si>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</si>
  <si>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</si>
  <si>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</si>
  <si>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</si>
  <si>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</si>
  <si>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</si>
  <si>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</si>
  <si>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</si>
  <si>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</si>
  <si>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</si>
  <si>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</si>
  <si>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</si>
  <si>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</si>
  <si>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</si>
  <si>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</si>
  <si>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</si>
  <si>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</si>
  <si>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</si>
  <si>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</si>
  <si>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</si>
  <si>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</si>
  <si>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</si>
  <si>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</si>
  <si>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</si>
  <si>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</si>
  <si>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</si>
  <si>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</si>
  <si>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</si>
  <si>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</si>
  <si>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</si>
  <si>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</si>
  <si>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</si>
  <si>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</si>
  <si>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</si>
  <si>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</si>
  <si>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</si>
  <si>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</si>
  <si>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</si>
  <si>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</si>
  <si>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</si>
  <si>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</si>
  <si>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</si>
  <si>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</si>
  <si>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</si>
  <si>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</si>
  <si>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</si>
  <si>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</si>
  <si>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</si>
  <si>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</si>
  <si>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</si>
  <si>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</si>
  <si>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</si>
  <si>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</si>
  <si>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</si>
  <si>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</si>
  <si>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</si>
  <si>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</si>
  <si>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</si>
  <si>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</si>
  <si>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</si>
  <si>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</si>
  <si>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</si>
  <si>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</si>
  <si>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</si>
  <si>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</si>
  <si>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</si>
  <si>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</si>
  <si>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</si>
  <si>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</si>
  <si>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</si>
  <si>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</si>
  <si>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</si>
  <si>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</si>
  <si>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</si>
  <si>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</si>
  <si>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</si>
  <si>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</si>
  <si>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</si>
  <si>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</si>
  <si>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</si>
  <si>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</si>
  <si>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</si>
  <si>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</si>
  <si>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</si>
  <si>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</si>
  <si>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</si>
  <si>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</si>
  <si>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</si>
  <si>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</si>
  <si>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</si>
  <si>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</si>
  <si>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</si>
  <si>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</si>
  <si>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</si>
  <si>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</si>
  <si>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</si>
  <si>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</si>
  <si>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</si>
  <si>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</si>
  <si>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</si>
  <si>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</si>
  <si>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</si>
  <si>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</si>
  <si>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</si>
  <si>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</si>
  <si>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</si>
  <si>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</si>
  <si>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</si>
  <si>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</si>
  <si>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</si>
  <si>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</si>
  <si>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</si>
  <si>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</si>
  <si>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</si>
  <si>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</si>
  <si>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</si>
  <si>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</si>
  <si>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</si>
  <si>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</si>
  <si>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</si>
  <si>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</si>
  <si>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</si>
  <si>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</si>
  <si>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</si>
  <si>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</si>
  <si>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</si>
  <si>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</si>
  <si>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</si>
  <si>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</si>
  <si>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</si>
  <si>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</si>
  <si>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</si>
  <si>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</si>
  <si>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</si>
  <si>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</si>
  <si>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</si>
  <si>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</si>
  <si>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</si>
  <si>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</si>
  <si>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</si>
  <si>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</si>
  <si>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</si>
  <si>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</si>
  <si>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</si>
  <si>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</si>
  <si>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</si>
  <si>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AIRBUS GROUP</t>
  </si>
  <si>
    <t>MINO79WLOO247M1IL051</t>
  </si>
  <si>
    <t>AIRBNB INC</t>
  </si>
  <si>
    <t>US0090661010</t>
  </si>
  <si>
    <t>DiversifiedTelecom Service</t>
  </si>
  <si>
    <t>amazon.com</t>
  </si>
  <si>
    <t>ZXTILKJKG63JELOEG630</t>
  </si>
  <si>
    <t>AMAZON.COM INC</t>
  </si>
  <si>
    <t>US0231351067</t>
  </si>
  <si>
    <t>ALIBABA COM LTD</t>
  </si>
  <si>
    <t>5493001NTNQJDH60PM02</t>
  </si>
  <si>
    <t>BABA US Alibaba Group Holding Ltd</t>
  </si>
  <si>
    <t>US01609W1027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</si>
  <si>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</si>
  <si>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</si>
  <si>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</si>
  <si>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</si>
  <si>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</si>
  <si>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</si>
  <si>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</si>
  <si>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</si>
  <si>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</si>
  <si>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</si>
  <si>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</si>
  <si>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</si>
  <si>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</si>
  <si>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INTEL CORP</t>
  </si>
  <si>
    <t>KNX4USFCNGPY45LOCE31</t>
  </si>
  <si>
    <t>Intel corp</t>
  </si>
  <si>
    <t>US4581401001</t>
  </si>
  <si>
    <t>Semiconductors &amp; Semiconductor</t>
  </si>
  <si>
    <t>JP MORGAN ASSET MANAGEMENT</t>
  </si>
  <si>
    <t>8I5DZWZKVSZI1NUHU748</t>
  </si>
  <si>
    <t>JPMORGAN CHASE &amp; CO</t>
  </si>
  <si>
    <t>US46625H1005</t>
  </si>
  <si>
    <t>MARVELL TECH</t>
  </si>
  <si>
    <t>8DF36O58U3QIHUCGZB18</t>
  </si>
  <si>
    <t>Marvell tech group</t>
  </si>
  <si>
    <t>BMG5876H1051</t>
  </si>
  <si>
    <t>MONDELEZ INTERNATIONAL</t>
  </si>
  <si>
    <t>549300DV9GIB88LZ5P30</t>
  </si>
  <si>
    <t>MONDELEZ INTERNATIONAL INC</t>
  </si>
  <si>
    <t>US6092071058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</si>
  <si>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</si>
  <si>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</si>
  <si>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</si>
  <si>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</si>
  <si>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</si>
  <si>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</si>
  <si>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</si>
  <si>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</si>
  <si>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</si>
  <si>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</si>
  <si>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</si>
  <si>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</si>
  <si>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</si>
  <si>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</si>
  <si>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</si>
  <si>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</si>
  <si>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</si>
  <si>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</si>
  <si>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Saleforce.com Inc</t>
  </si>
  <si>
    <t>RCGZFPDMRW58VJ54VR07</t>
  </si>
  <si>
    <t>Saleforce</t>
  </si>
  <si>
    <t>US794466L3024</t>
  </si>
  <si>
    <t>TAIWAN Semiconductor</t>
  </si>
  <si>
    <t>549300KB6NK5SBD14S87</t>
  </si>
  <si>
    <t>TAIWAN SEMICON ADR</t>
  </si>
  <si>
    <t>US8740391003</t>
  </si>
  <si>
    <t>החברה לישראל בע"מ</t>
  </si>
  <si>
    <t>520028010</t>
  </si>
  <si>
    <t>חברה לישראל</t>
  </si>
  <si>
    <t>IL0005760173</t>
  </si>
  <si>
    <t>אר פי אופטיקל לאב בעמ</t>
  </si>
  <si>
    <t>514454701</t>
  </si>
  <si>
    <t>אר פי אופטיקל לאב</t>
  </si>
  <si>
    <t>IL0012224627</t>
  </si>
  <si>
    <t>י.ח.דמרי בניה ופיתוח בע"מ</t>
  </si>
  <si>
    <t>511399388</t>
  </si>
  <si>
    <t>דמרי</t>
  </si>
  <si>
    <t>IL0010903156</t>
  </si>
  <si>
    <t>חפציבה ג'רוזלם גולד בע"מ</t>
  </si>
  <si>
    <t>510404460</t>
  </si>
  <si>
    <t>חפציבה גרוזלם</t>
  </si>
  <si>
    <t>IL0010999360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</si>
  <si>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</si>
  <si>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</si>
  <si>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</si>
  <si>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</si>
  <si>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</si>
  <si>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</si>
  <si>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</si>
  <si>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CHF</t>
  </si>
  <si>
    <t>לוויתן בונד בע"מ</t>
  </si>
  <si>
    <t>516223864</t>
  </si>
  <si>
    <t>LVIATH 6.125% 6/25</t>
  </si>
  <si>
    <t>IL0011677742</t>
  </si>
  <si>
    <t>BB-</t>
  </si>
  <si>
    <t>אאורה השקעות בע"מ</t>
  </si>
  <si>
    <t>520038274</t>
  </si>
  <si>
    <t>אאורה אגח טז</t>
  </si>
  <si>
    <t>IL0037305799</t>
  </si>
  <si>
    <t>A2</t>
  </si>
  <si>
    <t>30/09/2027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</si>
  <si>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</si>
  <si>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</si>
  <si>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</si>
  <si>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</si>
  <si>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</si>
  <si>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סד יא</t>
  </si>
  <si>
    <t>IL0018202817</t>
  </si>
  <si>
    <t>31/03/2030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</si>
  <si>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</si>
  <si>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</si>
  <si>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</si>
  <si>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</si>
  <si>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</si>
  <si>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</si>
  <si>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</si>
  <si>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</si>
  <si>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</si>
  <si>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</si>
  <si>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</si>
  <si>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</si>
  <si>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</si>
  <si>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</si>
  <si>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</si>
  <si>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</si>
  <si>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</si>
  <si>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28/02/2029</t>
  </si>
  <si>
    <t>איסתא אגח א להמרה</t>
  </si>
  <si>
    <t>IL0011971285</t>
  </si>
  <si>
    <t>30/06/2028</t>
  </si>
  <si>
    <t>אלבר שירותי מימונית בע"מ</t>
  </si>
  <si>
    <t>512025891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</si>
  <si>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</si>
  <si>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</si>
  <si>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</si>
  <si>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</si>
  <si>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</si>
  <si>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</si>
  <si>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</si>
  <si>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</si>
  <si>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</si>
  <si>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</si>
  <si>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</si>
  <si>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</si>
  <si>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</si>
  <si>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</si>
  <si>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</si>
  <si>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01/07/2029</t>
  </si>
  <si>
    <t>אלוני חץ אגח יב</t>
  </si>
  <si>
    <t>IL0039004952</t>
  </si>
  <si>
    <t>28/02/2031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</si>
  <si>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</si>
  <si>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</si>
  <si>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</si>
  <si>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</si>
  <si>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</si>
  <si>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</si>
  <si>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</si>
  <si>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</si>
  <si>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</si>
  <si>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</si>
  <si>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</si>
  <si>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</si>
  <si>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</si>
  <si>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</si>
  <si>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</si>
  <si>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</si>
  <si>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</si>
  <si>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</si>
  <si>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</si>
  <si>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</si>
  <si>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</si>
  <si>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</si>
  <si>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</si>
  <si>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</si>
  <si>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</si>
  <si>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</si>
  <si>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</si>
  <si>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</si>
  <si>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</si>
  <si>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</si>
  <si>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</si>
  <si>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</si>
  <si>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</si>
  <si>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</si>
  <si>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</si>
  <si>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</si>
  <si>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</si>
  <si>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</si>
  <si>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</si>
  <si>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</si>
  <si>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</si>
  <si>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</si>
  <si>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</si>
  <si>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</si>
  <si>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</si>
  <si>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</si>
  <si>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</si>
  <si>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</si>
  <si>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</si>
  <si>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</si>
  <si>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</si>
  <si>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</si>
  <si>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</si>
  <si>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</si>
  <si>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</si>
  <si>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</si>
  <si>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</si>
  <si>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</si>
  <si>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</si>
  <si>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</si>
  <si>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</si>
  <si>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</si>
  <si>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</si>
  <si>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</si>
  <si>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</si>
  <si>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</si>
  <si>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</si>
  <si>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</si>
  <si>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</si>
  <si>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</si>
  <si>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</si>
  <si>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</si>
  <si>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</si>
  <si>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</si>
  <si>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</si>
  <si>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</si>
  <si>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</si>
  <si>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</si>
  <si>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</si>
  <si>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</si>
  <si>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</si>
  <si>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</si>
  <si>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</si>
  <si>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</si>
  <si>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</si>
  <si>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</si>
  <si>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</si>
  <si>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</si>
  <si>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</si>
  <si>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</si>
  <si>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</si>
  <si>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</si>
  <si>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</si>
  <si>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</si>
  <si>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</si>
  <si>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בינלאומי הנפק התח כז</t>
  </si>
  <si>
    <t>IL0011894974</t>
  </si>
  <si>
    <t>13/03/2029</t>
  </si>
  <si>
    <t>בית זיקוק אשדוד אגח 2</t>
  </si>
  <si>
    <t>IL0011994881</t>
  </si>
  <si>
    <t>30/04/2029</t>
  </si>
  <si>
    <t>בתי זקוק לנפט בע"מ</t>
  </si>
  <si>
    <t>520036658</t>
  </si>
  <si>
    <t>בתי זיקוק אגח יג</t>
  </si>
  <si>
    <t>IL0011953465</t>
  </si>
  <si>
    <t>26/09/2032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</si>
  <si>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</si>
  <si>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</si>
  <si>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</si>
  <si>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</si>
  <si>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</si>
  <si>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</si>
  <si>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</si>
  <si>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</si>
  <si>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</si>
  <si>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</si>
  <si>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</si>
  <si>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</si>
  <si>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</si>
  <si>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</si>
  <si>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</si>
  <si>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</si>
  <si>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</si>
  <si>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</si>
  <si>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</si>
  <si>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</si>
  <si>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</si>
  <si>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</si>
  <si>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</si>
  <si>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</si>
  <si>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</si>
  <si>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</si>
  <si>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</si>
  <si>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</si>
  <si>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</si>
  <si>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</si>
  <si>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</si>
  <si>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</si>
  <si>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</si>
  <si>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</si>
  <si>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</si>
  <si>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</si>
  <si>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</si>
  <si>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 אגח לז</t>
  </si>
  <si>
    <t>IL0011928897</t>
  </si>
  <si>
    <t>דלק קבוצה    אגח מ</t>
  </si>
  <si>
    <t>IL0012173899</t>
  </si>
  <si>
    <t>חברת הכשרת הישוב בישראל בע"מ</t>
  </si>
  <si>
    <t>520020116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</si>
  <si>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</si>
  <si>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</si>
  <si>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</si>
  <si>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</si>
  <si>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</si>
  <si>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</si>
  <si>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</si>
  <si>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</si>
  <si>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</si>
  <si>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</si>
  <si>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</si>
  <si>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</si>
  <si>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</si>
  <si>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</si>
  <si>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</si>
  <si>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</si>
  <si>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</si>
  <si>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</si>
  <si>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</si>
  <si>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</si>
  <si>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</si>
  <si>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</si>
  <si>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</si>
  <si>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</si>
  <si>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</si>
  <si>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</si>
  <si>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</si>
  <si>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</si>
  <si>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</si>
  <si>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</si>
  <si>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</si>
  <si>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</si>
  <si>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</si>
  <si>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 אגח א</t>
  </si>
  <si>
    <t>IL0011874182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</si>
  <si>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</si>
  <si>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</si>
  <si>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</si>
  <si>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</si>
  <si>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</si>
  <si>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</si>
  <si>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</si>
  <si>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</si>
  <si>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</si>
  <si>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</si>
  <si>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</si>
  <si>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</si>
  <si>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</si>
  <si>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</si>
  <si>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ישראמקו אגח ג</t>
  </si>
  <si>
    <t>IL0023202323</t>
  </si>
  <si>
    <t>10/10/2030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</si>
  <si>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</si>
  <si>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</si>
  <si>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</si>
  <si>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</si>
  <si>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</si>
  <si>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</si>
  <si>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</si>
  <si>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</si>
  <si>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</si>
  <si>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</si>
  <si>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</si>
  <si>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</si>
  <si>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</si>
  <si>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</si>
  <si>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</si>
  <si>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</si>
  <si>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</si>
  <si>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</si>
  <si>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</si>
  <si>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</si>
  <si>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</si>
  <si>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</si>
  <si>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</si>
  <si>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</si>
  <si>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</si>
  <si>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</si>
  <si>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</si>
  <si>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</si>
  <si>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</si>
  <si>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</si>
  <si>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</si>
  <si>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</si>
  <si>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</si>
  <si>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</si>
  <si>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</si>
  <si>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</si>
  <si>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</si>
  <si>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</si>
  <si>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</si>
  <si>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</si>
  <si>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</si>
  <si>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</si>
  <si>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</si>
  <si>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</si>
  <si>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</si>
  <si>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</si>
  <si>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</si>
  <si>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</si>
  <si>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</si>
  <si>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</si>
  <si>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מגדלי הים התיכון</t>
  </si>
  <si>
    <t>512719485</t>
  </si>
  <si>
    <t>מגדלי ים תיכון אגח ה</t>
  </si>
  <si>
    <t>IL0011685174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</si>
  <si>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</si>
  <si>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</si>
  <si>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</si>
  <si>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</si>
  <si>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</si>
  <si>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</si>
  <si>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</si>
  <si>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</si>
  <si>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מגה אור אגח יא</t>
  </si>
  <si>
    <t>IL0011783755</t>
  </si>
  <si>
    <t>31/03/2032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</si>
  <si>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</si>
  <si>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</si>
  <si>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</si>
  <si>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</si>
  <si>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</si>
  <si>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</si>
  <si>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</si>
  <si>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</si>
  <si>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</si>
  <si>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</si>
  <si>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</si>
  <si>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</si>
  <si>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</si>
  <si>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</si>
  <si>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הנפק 52</t>
  </si>
  <si>
    <t>IL0023103810</t>
  </si>
  <si>
    <t>01/07/2030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</si>
  <si>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</si>
  <si>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</si>
  <si>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</si>
  <si>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</si>
  <si>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</si>
  <si>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</si>
  <si>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</si>
  <si>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</si>
  <si>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</si>
  <si>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</si>
  <si>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</si>
  <si>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</si>
  <si>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</si>
  <si>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</si>
  <si>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</si>
  <si>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</si>
  <si>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</si>
  <si>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</si>
  <si>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</si>
  <si>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</si>
  <si>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</si>
  <si>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</si>
  <si>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</si>
  <si>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</si>
  <si>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</si>
  <si>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התח סד' ט</t>
  </si>
  <si>
    <t>IL0012193699</t>
  </si>
  <si>
    <t>Aa3</t>
  </si>
  <si>
    <t>30/09/2035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</si>
  <si>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</si>
  <si>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</si>
  <si>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</si>
  <si>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</si>
  <si>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</si>
  <si>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</si>
  <si>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</si>
  <si>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</si>
  <si>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</si>
  <si>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</si>
  <si>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</si>
  <si>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</si>
  <si>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</si>
  <si>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</si>
  <si>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</si>
  <si>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</si>
  <si>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</si>
  <si>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</si>
  <si>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</si>
  <si>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</si>
  <si>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</si>
  <si>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</si>
  <si>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</si>
  <si>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</si>
  <si>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</si>
  <si>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</si>
  <si>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</si>
  <si>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</si>
  <si>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</si>
  <si>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</si>
  <si>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</si>
  <si>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</si>
  <si>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</si>
  <si>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</si>
  <si>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</si>
  <si>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</si>
  <si>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</si>
  <si>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סטרוברי פילדס ריט לימיטד</t>
  </si>
  <si>
    <t>1863501</t>
  </si>
  <si>
    <t>סטרוברי אגח ג</t>
  </si>
  <si>
    <t>IL0011790198</t>
  </si>
  <si>
    <t>31/07/2026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</si>
  <si>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</si>
  <si>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</si>
  <si>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</si>
  <si>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</si>
  <si>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</si>
  <si>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</si>
  <si>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</si>
  <si>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</si>
  <si>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</si>
  <si>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</si>
  <si>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ספנסר אקוויטי גרופ לימיטד</t>
  </si>
  <si>
    <t>1838863</t>
  </si>
  <si>
    <t>ספנסר אגח ב</t>
  </si>
  <si>
    <t>IL0011398984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</si>
  <si>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</si>
  <si>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</si>
  <si>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</si>
  <si>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</si>
  <si>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</si>
  <si>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</si>
  <si>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</si>
  <si>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</si>
  <si>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</si>
  <si>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</si>
  <si>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</si>
  <si>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</si>
  <si>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עמרם אברהם חברה לבנין בע"מ</t>
  </si>
  <si>
    <t>513201582</t>
  </si>
  <si>
    <t>עמרם אברהם אגח א</t>
  </si>
  <si>
    <t>IL0011880445</t>
  </si>
  <si>
    <t>31/05/2027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</si>
  <si>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</si>
  <si>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</si>
  <si>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</si>
  <si>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</si>
  <si>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</si>
  <si>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</si>
  <si>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</si>
  <si>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</si>
  <si>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</si>
  <si>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</si>
  <si>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</si>
  <si>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</si>
  <si>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</si>
  <si>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</si>
  <si>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</si>
  <si>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</si>
  <si>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</si>
  <si>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</si>
  <si>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</si>
  <si>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</si>
  <si>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</si>
  <si>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</si>
  <si>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</si>
  <si>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</si>
  <si>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</si>
  <si>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</si>
  <si>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</si>
  <si>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</si>
  <si>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</si>
  <si>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ו</t>
  </si>
  <si>
    <t>IL0012192865</t>
  </si>
  <si>
    <t>01/10/2034</t>
  </si>
  <si>
    <t>פתאל אירופה אגח ג</t>
  </si>
  <si>
    <t>IL0011418527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</si>
  <si>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</si>
  <si>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</si>
  <si>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</si>
  <si>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</si>
  <si>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</si>
  <si>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</si>
  <si>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</si>
  <si>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</si>
  <si>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</si>
  <si>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</si>
  <si>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</si>
  <si>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</si>
  <si>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</si>
  <si>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</si>
  <si>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</si>
  <si>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</si>
  <si>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</si>
  <si>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</si>
  <si>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</si>
  <si>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</si>
  <si>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</si>
  <si>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</si>
  <si>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</si>
  <si>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</si>
  <si>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</si>
  <si>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30/04/2032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</si>
  <si>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</si>
  <si>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</si>
  <si>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</si>
  <si>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</si>
  <si>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</si>
  <si>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</si>
  <si>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שופרסל אגח ז</t>
  </si>
  <si>
    <t>IL0077702582</t>
  </si>
  <si>
    <t>20/08/2030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</si>
  <si>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</si>
  <si>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</si>
  <si>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</si>
  <si>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</si>
  <si>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</si>
  <si>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</si>
  <si>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</si>
  <si>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</si>
  <si>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</si>
  <si>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</si>
  <si>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</si>
  <si>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</si>
  <si>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</si>
  <si>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31/12/2026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</si>
  <si>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</si>
  <si>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</si>
  <si>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</si>
  <si>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</si>
  <si>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</si>
  <si>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</si>
  <si>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</si>
  <si>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</si>
  <si>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</si>
  <si>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</si>
  <si>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</si>
  <si>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</si>
  <si>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</si>
  <si>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</si>
  <si>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</si>
  <si>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TEVA 4.375% 09/05/30</t>
  </si>
  <si>
    <t>XS2406607171</t>
  </si>
  <si>
    <t>09/05/2030</t>
  </si>
  <si>
    <t>TEVA 5.125% 09/05/29</t>
  </si>
  <si>
    <t>US88167AAQ40</t>
  </si>
  <si>
    <t>09/05/2029</t>
  </si>
  <si>
    <t>אלומיי אגח ו</t>
  </si>
  <si>
    <t>IL0012030743</t>
  </si>
  <si>
    <t>נכסים ובנין ד</t>
  </si>
  <si>
    <t>IL0069901549</t>
  </si>
  <si>
    <t>אלוני חץ אגח יג</t>
  </si>
  <si>
    <t>IL0011894065</t>
  </si>
  <si>
    <t>01/03/2037</t>
  </si>
  <si>
    <t>אמות אגח ז</t>
  </si>
  <si>
    <t>IL0011628661</t>
  </si>
  <si>
    <t>05/01/2032</t>
  </si>
  <si>
    <t>גבאי מניבים יב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</si>
  <si>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</si>
  <si>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</si>
  <si>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</si>
  <si>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</si>
  <si>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</si>
  <si>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</si>
  <si>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</si>
  <si>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</si>
  <si>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</si>
  <si>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</si>
  <si>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</si>
  <si>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</si>
  <si>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דיסקונט מנ נד ח</t>
  </si>
  <si>
    <t>IL0074803128</t>
  </si>
  <si>
    <t>01/11/2027</t>
  </si>
  <si>
    <t>דלק קבוצה אגח לט</t>
  </si>
  <si>
    <t>IL0012057720</t>
  </si>
  <si>
    <t>הפניקס אגח 5</t>
  </si>
  <si>
    <t>IL0076702849</t>
  </si>
  <si>
    <t>01/05/2030</t>
  </si>
  <si>
    <t>הראל הנפקות יג ש</t>
  </si>
  <si>
    <t>IL0011381717</t>
  </si>
  <si>
    <t>חג'ג' אגח יב</t>
  </si>
  <si>
    <t>IL0082303772</t>
  </si>
  <si>
    <t>חג'ג' אגח יד 01/01/2028</t>
  </si>
  <si>
    <t>IL0012066069</t>
  </si>
  <si>
    <t>01/01/2028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</si>
  <si>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</si>
  <si>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</si>
  <si>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</si>
  <si>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</si>
  <si>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</si>
  <si>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</si>
  <si>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</si>
  <si>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</si>
  <si>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</si>
  <si>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</si>
  <si>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</si>
  <si>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ביטוח אגח א</t>
  </si>
  <si>
    <t>IL0011934812</t>
  </si>
  <si>
    <t>28/02/2028</t>
  </si>
  <si>
    <t>כלל מימון אגח יב</t>
  </si>
  <si>
    <t>IL0011799280</t>
  </si>
  <si>
    <t>כללביט אגח ט</t>
  </si>
  <si>
    <t>IL0011360505</t>
  </si>
  <si>
    <t>31/07/2025</t>
  </si>
  <si>
    <t>לאומי אגח 182</t>
  </si>
  <si>
    <t>IL0060405391</t>
  </si>
  <si>
    <t>25/11/2027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</si>
  <si>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</si>
  <si>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</si>
  <si>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</si>
  <si>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</si>
  <si>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</si>
  <si>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</si>
  <si>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</si>
  <si>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</si>
  <si>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</si>
  <si>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</si>
  <si>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מבני תעשיה אגח יז</t>
  </si>
  <si>
    <t>IL0022604461</t>
  </si>
  <si>
    <t>מליסרון אגח יא</t>
  </si>
  <si>
    <t>IL0032302080</t>
  </si>
  <si>
    <t>10/07/2025</t>
  </si>
  <si>
    <t>מקורות חברת מים בע"מ</t>
  </si>
  <si>
    <t>520010869</t>
  </si>
  <si>
    <t>מקורות אגח 11</t>
  </si>
  <si>
    <t>IL0011584765</t>
  </si>
  <si>
    <t>31/12/2053</t>
  </si>
  <si>
    <t>סולגרין בע"מ</t>
  </si>
  <si>
    <t>512882747</t>
  </si>
  <si>
    <t>סולגרין אגח ב</t>
  </si>
  <si>
    <t>IL0011862468</t>
  </si>
  <si>
    <t>סטרוברי אגח ד</t>
  </si>
  <si>
    <t>IL0011970295</t>
  </si>
  <si>
    <t>עזריאלי אגח ט</t>
  </si>
  <si>
    <t>IL0012092537</t>
  </si>
  <si>
    <t>02/01/2046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</si>
  <si>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</si>
  <si>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</si>
  <si>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</si>
  <si>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</si>
  <si>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</si>
  <si>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</si>
  <si>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פניקס הון אגח יא</t>
  </si>
  <si>
    <t>IL0011593592</t>
  </si>
  <si>
    <t>פסיפיק אגח ג</t>
  </si>
  <si>
    <t>IL0011976805</t>
  </si>
  <si>
    <t>רני צים מרכזי קניות בע"מ</t>
  </si>
  <si>
    <t>514353671</t>
  </si>
  <si>
    <t>רני צים אגח ב</t>
  </si>
  <si>
    <t>IL0011718348</t>
  </si>
  <si>
    <t>01/03/2028</t>
  </si>
  <si>
    <t>תמר פטרוליום בעמ</t>
  </si>
  <si>
    <t>515334662</t>
  </si>
  <si>
    <t>תמר פטרוליום אגח א</t>
  </si>
  <si>
    <t>IL0011413320</t>
  </si>
  <si>
    <t>30/08/2028</t>
  </si>
  <si>
    <t>אדגר אגח י</t>
  </si>
  <si>
    <t>IL0018202080</t>
  </si>
  <si>
    <t>01/09/2027</t>
  </si>
  <si>
    <t>אלקו אגח יד 30/05/2032 5.98%</t>
  </si>
  <si>
    <t>IL0012077520</t>
  </si>
  <si>
    <t>30/05/2032</t>
  </si>
  <si>
    <t>אמות אגח ח</t>
  </si>
  <si>
    <t>IL0011727828</t>
  </si>
  <si>
    <t>גב ים אגח י</t>
  </si>
  <si>
    <t>IL0075902846</t>
  </si>
  <si>
    <t>01/07/2035</t>
  </si>
  <si>
    <t>גירון פיתוח ובניה בע"מ</t>
  </si>
  <si>
    <t>520044520</t>
  </si>
  <si>
    <t>גירון אגח ו</t>
  </si>
  <si>
    <t>IL0011398497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</si>
  <si>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</si>
  <si>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</si>
  <si>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</si>
  <si>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</si>
  <si>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</si>
  <si>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</si>
  <si>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</si>
  <si>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</si>
  <si>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</si>
  <si>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</si>
  <si>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</si>
  <si>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</si>
  <si>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</si>
  <si>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</si>
  <si>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</si>
  <si>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</si>
  <si>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רני צים ג</t>
  </si>
  <si>
    <t>IL0011831935</t>
  </si>
  <si>
    <t>8.1%ISRAEL.E15.12.96</t>
  </si>
  <si>
    <t>USM60170AC79</t>
  </si>
  <si>
    <t>BBB</t>
  </si>
  <si>
    <t>15/12/2096</t>
  </si>
  <si>
    <t>ENOGLN 6.5% 30/4/27</t>
  </si>
  <si>
    <t>USG3044DAA49</t>
  </si>
  <si>
    <t>B+</t>
  </si>
  <si>
    <t>30/04/2027</t>
  </si>
  <si>
    <t>מליסרון אגח י'</t>
  </si>
  <si>
    <t>IL0032301900</t>
  </si>
  <si>
    <t>גליל</t>
  </si>
  <si>
    <t>ממשל צמודה 0527</t>
  </si>
  <si>
    <t>IL0011408478</t>
  </si>
  <si>
    <t>RF</t>
  </si>
  <si>
    <t>שחר</t>
  </si>
  <si>
    <t>ממשל שיקלית 0928</t>
  </si>
  <si>
    <t>IL0011508798</t>
  </si>
  <si>
    <t>28/09/2028</t>
  </si>
  <si>
    <t>ממשל שקלית 0327</t>
  </si>
  <si>
    <t>IL0011393449</t>
  </si>
  <si>
    <t>ממשל שקלית 0335</t>
  </si>
  <si>
    <t>IL0012023326</t>
  </si>
  <si>
    <t>30/03/2035</t>
  </si>
  <si>
    <t>ממשל שקלית 4.60% 8/29</t>
  </si>
  <si>
    <t>IL0012128935</t>
  </si>
  <si>
    <t>ממשלתי שקלית 0142</t>
  </si>
  <si>
    <t>IL0011254005</t>
  </si>
  <si>
    <t>31/01/2042</t>
  </si>
  <si>
    <t>ממשלתית צמודה 0726</t>
  </si>
  <si>
    <t>IL0011695645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</si>
  <si>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</si>
  <si>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</si>
  <si>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</si>
  <si>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</si>
  <si>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</si>
  <si>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</si>
  <si>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</si>
  <si>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</si>
  <si>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US Govt</t>
  </si>
  <si>
    <t>T 3.875% 08/34</t>
  </si>
  <si>
    <t>US91282CLF67</t>
  </si>
  <si>
    <t>15/08/2034</t>
  </si>
  <si>
    <t>T-3 3/8 15/05/33</t>
  </si>
  <si>
    <t>US91282CHC82</t>
  </si>
  <si>
    <t>15/05/2033</t>
  </si>
  <si>
    <t>בנק ישראל- מק"מ</t>
  </si>
  <si>
    <t>מלווה קצר מועד 416</t>
  </si>
  <si>
    <t>IL0082604161</t>
  </si>
  <si>
    <t>01/04/2026</t>
  </si>
  <si>
    <t>ממשל שקלית  0927</t>
  </si>
  <si>
    <t>IL0012035791</t>
  </si>
  <si>
    <t>גילון חדש</t>
  </si>
  <si>
    <t>ממשלתית משתנה 05/26 0.0866%</t>
  </si>
  <si>
    <t>IL0011417958</t>
  </si>
  <si>
    <t>31/05/2026</t>
  </si>
  <si>
    <t>ממשלתית שקלית 1.3% 04/32</t>
  </si>
  <si>
    <t>IL0011806606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</si>
  <si>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</si>
  <si>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</si>
  <si>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</si>
  <si>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</si>
  <si>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</si>
  <si>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</si>
  <si>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ממשלתית צמודה 0.5% 0529</t>
  </si>
  <si>
    <t>IL0011570236</t>
  </si>
  <si>
    <t>31/05/2029</t>
  </si>
  <si>
    <t>ממשל שקלית 0229</t>
  </si>
  <si>
    <t>IL0011948028</t>
  </si>
  <si>
    <t>10-800</t>
  </si>
  <si>
    <t>12-591</t>
  </si>
  <si>
    <t>SOFR-1.5%</t>
  </si>
  <si>
    <t>HKD</t>
  </si>
  <si>
    <t>JPY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</si>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</sst>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dd/mm/yyyy"/>
    <numFmt numFmtId="167" formatCode="0.000000"/>
    <numFmt numFmtId="168" formatCode="0.000%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>
      <alignment horizontal="right" vertical="center" wrapText="1"/>
    </xf>
    <xf numFmtId="14" fontId="0" fillId="0" borderId="0" xfId="0" applyNumberFormat="1"/>
    <xf numFmtId="43" fontId="8" fillId="0" borderId="0" xfId="4"/>
    <xf numFmtId="10" fontId="0" fillId="0" borderId="0" xfId="5" applyNumberFormat="1" applyFont="1"/>
    <xf numFmtId="14" fontId="1" fillId="0" borderId="0" xfId="0" applyNumberFormat="1" applyFont="1"/>
    <xf numFmtId="14" fontId="8" fillId="0" borderId="0" xfId="6" applyNumberFormat="1"/>
    <xf numFmtId="0" fontId="1" fillId="0" borderId="0" xfId="6" applyFont="1" applyAlignment="1">
      <alignment horizontal="right"/>
    </xf>
    <xf numFmtId="0" fontId="8" fillId="0" borderId="0" xfId="6"/>
    <xf numFmtId="14" fontId="1" fillId="0" borderId="0" xfId="6" applyNumberFormat="1" applyFont="1"/>
    <xf numFmtId="0" fontId="0" fillId="0" borderId="0" xfId="6" applyFont="1" applyAlignment="1">
      <alignment horizontal="left"/>
    </xf>
    <xf numFmtId="0" fontId="1" fillId="0" borderId="0" xfId="6" applyFont="1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166" fontId="1" fillId="0" borderId="0" xfId="0" applyNumberFormat="1" applyFont="1" applyProtection="1">
      <protection locked="0"/>
    </xf>
    <xf numFmtId="4" fontId="1" fillId="0" borderId="0" xfId="0" applyNumberFormat="1" applyFont="1"/>
    <xf numFmtId="167" fontId="1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168" fontId="1" fillId="0" borderId="0" xfId="0" applyNumberFormat="1" applyFont="1" applyProtection="1">
      <protection locked="0"/>
    </xf>
    <xf numFmtId="168" fontId="1" fillId="0" borderId="0" xfId="5" applyNumberFormat="1" applyFont="1" applyFill="1" applyBorder="1" applyProtection="1">
      <protection locked="0"/>
    </xf>
    <xf numFmtId="10" fontId="1" fillId="0" borderId="0" xfId="0" applyNumberFormat="1" applyFont="1" applyProtection="1">
      <protection locked="0"/>
    </xf>
    <xf numFmtId="166" fontId="1" fillId="0" borderId="0" xfId="0" applyNumberFormat="1" applyFont="1"/>
    <xf numFmtId="168" fontId="1" fillId="0" borderId="0" xfId="5" applyNumberFormat="1" applyFont="1" applyFill="1" applyBorder="1"/>
    <xf numFmtId="165" fontId="1" fillId="0" borderId="0" xfId="0" applyNumberFormat="1" applyFont="1" applyProtection="1">
      <protection locked="0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1" fillId="0" borderId="0" xfId="0" applyNumberFormat="1" applyFont="1"/>
    <xf numFmtId="168" fontId="1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0" fontId="26" fillId="0" borderId="0" xfId="0" applyFont="1"/>
    <xf numFmtId="4" fontId="2" fillId="0" borderId="0" xfId="0" applyNumberFormat="1" applyFont="1"/>
    <xf numFmtId="4" fontId="26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168" fontId="1" fillId="0" borderId="0" xfId="5" applyNumberFormat="1" applyFont="1" applyProtection="1">
      <protection locked="0"/>
    </xf>
    <xf numFmtId="168" fontId="1" fillId="0" borderId="0" xfId="5" applyNumberFormat="1" applyFont="1"/>
    <xf numFmtId="168" fontId="0" fillId="0" borderId="0" xfId="5" applyNumberFormat="1" applyFont="1" applyFill="1" applyBorder="1"/>
    <xf numFmtId="168" fontId="0" fillId="0" borderId="0" xfId="0" applyNumberFormat="1"/>
    <xf numFmtId="168" fontId="2" fillId="0" borderId="0" xfId="5" applyNumberFormat="1" applyFont="1" applyFill="1" applyBorder="1"/>
    <xf numFmtId="4" fontId="0" fillId="0" borderId="0" xfId="0" applyNumberFormat="1" applyAlignment="1">
      <alignment horizontal="center"/>
    </xf>
    <xf numFmtId="168" fontId="26" fillId="0" borderId="0" xfId="5" applyNumberFormat="1" applyFont="1" applyFill="1" applyBorder="1" applyAlignment="1">
      <alignment horizontal="center"/>
    </xf>
    <xf numFmtId="168" fontId="0" fillId="0" borderId="0" xfId="5" applyNumberFormat="1" applyFont="1"/>
    <xf numFmtId="43" fontId="7" fillId="0" borderId="10" xfId="4" applyFont="1" applyFill="1" applyBorder="1" applyAlignment="1">
      <alignment horizontal="center" vertical="center" wrapText="1"/>
    </xf>
    <xf numFmtId="9" fontId="7" fillId="0" borderId="10" xfId="5" applyFont="1" applyFill="1" applyBorder="1" applyAlignment="1">
      <alignment horizontal="center" vertical="center" wrapText="1"/>
    </xf>
    <xf numFmtId="10" fontId="7" fillId="0" borderId="10" xfId="5" applyNumberFormat="1" applyFont="1" applyFill="1" applyBorder="1" applyAlignment="1">
      <alignment horizontal="center" vertical="center" wrapText="1"/>
    </xf>
    <xf numFmtId="9" fontId="25" fillId="0" borderId="20" xfId="3" applyNumberFormat="1" applyAlignment="1">
      <alignment horizontal="center" vertical="center" wrapText="1"/>
    </xf>
    <xf numFmtId="43" fontId="25" fillId="0" borderId="20" xfId="4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6" xr:uid="{0B1230F7-638E-463D-95FE-FA053B4DA7C9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5&#1488;&#1511;&#1505;&#1500;/&#1488;&#1511;&#1505;&#1500;%20&#1512;&#1513;&#1497;&#1502;&#1493;&#1514;%20&#1504;&#1497;&#1506;%20062025/TA_TI_Aguda_iria/570002618_gm_0225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>
        <row r="1">
          <cell r="O1" t="str">
            <v>שווי הוגן (באלפי ש"ח)</v>
          </cell>
        </row>
        <row r="2">
          <cell r="O2">
            <v>128.86199999999999</v>
          </cell>
        </row>
        <row r="3">
          <cell r="O3">
            <v>313.23399999999998</v>
          </cell>
        </row>
        <row r="4">
          <cell r="O4">
            <v>20.498000000000001</v>
          </cell>
        </row>
        <row r="5">
          <cell r="O5">
            <v>277.30399999999997</v>
          </cell>
        </row>
        <row r="6">
          <cell r="O6">
            <v>4.0000000000000001E-3</v>
          </cell>
        </row>
        <row r="7">
          <cell r="O7">
            <v>603.08299999999997</v>
          </cell>
        </row>
        <row r="8">
          <cell r="O8">
            <v>129.82900000000001</v>
          </cell>
        </row>
        <row r="9">
          <cell r="O9">
            <v>1.2509999999999999</v>
          </cell>
        </row>
        <row r="10">
          <cell r="O10">
            <v>422.44</v>
          </cell>
        </row>
        <row r="11">
          <cell r="O11">
            <v>2.06</v>
          </cell>
        </row>
        <row r="12">
          <cell r="O12">
            <v>2.4089999999999998</v>
          </cell>
        </row>
        <row r="13">
          <cell r="O13">
            <v>448.59500000000003</v>
          </cell>
        </row>
        <row r="14">
          <cell r="O14">
            <v>0.23699999999999999</v>
          </cell>
        </row>
        <row r="15">
          <cell r="O15">
            <v>5.5259999999999998</v>
          </cell>
        </row>
        <row r="16">
          <cell r="O16">
            <v>283.85500000000002</v>
          </cell>
        </row>
        <row r="17">
          <cell r="O17">
            <v>166.065</v>
          </cell>
        </row>
        <row r="18">
          <cell r="O18">
            <v>0.38900000000000001</v>
          </cell>
        </row>
        <row r="19">
          <cell r="O19">
            <v>353.55599999999998</v>
          </cell>
        </row>
        <row r="20">
          <cell r="O20">
            <v>2.3220000000000001</v>
          </cell>
        </row>
        <row r="21">
          <cell r="O21">
            <v>3.2519999999999998</v>
          </cell>
        </row>
        <row r="22">
          <cell r="O22">
            <v>1104.74</v>
          </cell>
        </row>
        <row r="23">
          <cell r="O23">
            <v>11.157</v>
          </cell>
        </row>
        <row r="24">
          <cell r="O24">
            <v>1411.249</v>
          </cell>
        </row>
        <row r="25">
          <cell r="O25">
            <v>13246.225</v>
          </cell>
        </row>
        <row r="26">
          <cell r="O26">
            <v>37.520000000000003</v>
          </cell>
        </row>
        <row r="27">
          <cell r="O27">
            <v>18.494</v>
          </cell>
        </row>
        <row r="28">
          <cell r="O28">
            <v>6589.3980000000001</v>
          </cell>
        </row>
        <row r="29">
          <cell r="O29">
            <v>1.333</v>
          </cell>
        </row>
        <row r="30">
          <cell r="O30">
            <v>46.261000000000003</v>
          </cell>
        </row>
        <row r="31">
          <cell r="O31">
            <v>14210.135</v>
          </cell>
        </row>
        <row r="32">
          <cell r="O32">
            <v>39.832999999999998</v>
          </cell>
        </row>
        <row r="33">
          <cell r="O33">
            <v>1906.4590000000001</v>
          </cell>
        </row>
        <row r="34">
          <cell r="O34">
            <v>309.10899999999998</v>
          </cell>
        </row>
        <row r="35">
          <cell r="O35">
            <v>0</v>
          </cell>
        </row>
        <row r="36">
          <cell r="O36">
            <v>7.3339999999999996</v>
          </cell>
        </row>
        <row r="37">
          <cell r="O37">
            <v>285.30700000000002</v>
          </cell>
        </row>
        <row r="38">
          <cell r="O38">
            <v>362.66500000000002</v>
          </cell>
        </row>
        <row r="39">
          <cell r="O39">
            <v>1.3109999999999999</v>
          </cell>
        </row>
        <row r="40">
          <cell r="O40">
            <v>298.19499999999999</v>
          </cell>
        </row>
        <row r="41">
          <cell r="O41">
            <v>0.36199999999999999</v>
          </cell>
        </row>
        <row r="42">
          <cell r="O42">
            <v>5.8460000000000001</v>
          </cell>
        </row>
        <row r="43">
          <cell r="O43">
            <v>622.25300000000004</v>
          </cell>
        </row>
        <row r="44">
          <cell r="O44">
            <v>20.904</v>
          </cell>
        </row>
        <row r="45">
          <cell r="O45">
            <v>10.617000000000001</v>
          </cell>
        </row>
        <row r="46">
          <cell r="O46">
            <v>12.164</v>
          </cell>
        </row>
        <row r="47">
          <cell r="O47">
            <v>24.22</v>
          </cell>
        </row>
      </sheetData>
      <sheetData sheetId="3">
        <row r="1">
          <cell r="U1" t="str">
            <v>שווי הוגן (באלפי ש"ח)</v>
          </cell>
        </row>
        <row r="2">
          <cell r="U2">
            <v>369.87599999999998</v>
          </cell>
        </row>
        <row r="3">
          <cell r="U3">
            <v>679.69299999999998</v>
          </cell>
        </row>
        <row r="4">
          <cell r="U4">
            <v>180.946</v>
          </cell>
        </row>
        <row r="5">
          <cell r="U5">
            <v>211.15199999999999</v>
          </cell>
        </row>
        <row r="6">
          <cell r="U6">
            <v>102.967</v>
          </cell>
        </row>
        <row r="7">
          <cell r="U7">
            <v>851.39599999999996</v>
          </cell>
        </row>
        <row r="8">
          <cell r="U8">
            <v>133.303</v>
          </cell>
        </row>
        <row r="9">
          <cell r="U9">
            <v>182.98699999999999</v>
          </cell>
        </row>
        <row r="10">
          <cell r="U10">
            <v>82.099000000000004</v>
          </cell>
        </row>
        <row r="11">
          <cell r="U11">
            <v>855.10900000000004</v>
          </cell>
        </row>
        <row r="12">
          <cell r="U12">
            <v>91.927999999999997</v>
          </cell>
        </row>
        <row r="13">
          <cell r="U13">
            <v>100.13200000000001</v>
          </cell>
        </row>
        <row r="14">
          <cell r="U14">
            <v>534.36</v>
          </cell>
        </row>
        <row r="15">
          <cell r="U15">
            <v>862.18499999999995</v>
          </cell>
        </row>
        <row r="16">
          <cell r="U16">
            <v>184.28299999999999</v>
          </cell>
        </row>
        <row r="17">
          <cell r="U17">
            <v>1144.8579999999999</v>
          </cell>
        </row>
        <row r="18">
          <cell r="U18">
            <v>2072.8110000000001</v>
          </cell>
        </row>
        <row r="19">
          <cell r="U19">
            <v>614.01900000000001</v>
          </cell>
        </row>
        <row r="20">
          <cell r="U20">
            <v>1070.3409999999999</v>
          </cell>
        </row>
        <row r="21">
          <cell r="U21">
            <v>78.171999999999997</v>
          </cell>
        </row>
        <row r="22">
          <cell r="U22">
            <v>1243.49</v>
          </cell>
        </row>
        <row r="23">
          <cell r="U23">
            <v>98.680999999999997</v>
          </cell>
        </row>
        <row r="24">
          <cell r="U24">
            <v>3156.2139999999999</v>
          </cell>
        </row>
        <row r="25">
          <cell r="U25">
            <v>848.79399999999998</v>
          </cell>
        </row>
        <row r="26">
          <cell r="U26">
            <v>713.84100000000001</v>
          </cell>
        </row>
        <row r="27">
          <cell r="U27">
            <v>30907.913</v>
          </cell>
        </row>
        <row r="28">
          <cell r="U28">
            <v>11316.75</v>
          </cell>
        </row>
        <row r="29">
          <cell r="U29">
            <v>520.70000000000005</v>
          </cell>
        </row>
        <row r="30">
          <cell r="U30">
            <v>890.32899999999995</v>
          </cell>
        </row>
        <row r="31">
          <cell r="U31">
            <v>53669.163</v>
          </cell>
        </row>
        <row r="32">
          <cell r="U32">
            <v>59911.607000000004</v>
          </cell>
        </row>
        <row r="33">
          <cell r="U33">
            <v>9040.1020000000008</v>
          </cell>
        </row>
        <row r="34">
          <cell r="U34">
            <v>22358.16</v>
          </cell>
        </row>
        <row r="35">
          <cell r="U35">
            <v>5687.2629999999999</v>
          </cell>
        </row>
        <row r="36">
          <cell r="U36">
            <v>35370.606</v>
          </cell>
        </row>
        <row r="37">
          <cell r="U37">
            <v>2384.8560000000002</v>
          </cell>
        </row>
        <row r="38">
          <cell r="U38">
            <v>641.65700000000004</v>
          </cell>
        </row>
        <row r="39">
          <cell r="U39">
            <v>1303.979</v>
          </cell>
        </row>
        <row r="40">
          <cell r="U40">
            <v>1012.274</v>
          </cell>
        </row>
        <row r="41">
          <cell r="U41">
            <v>2238.7220000000002</v>
          </cell>
        </row>
        <row r="42">
          <cell r="U42">
            <v>308.90100000000001</v>
          </cell>
        </row>
        <row r="43">
          <cell r="U43">
            <v>1435.4939999999999</v>
          </cell>
        </row>
        <row r="44">
          <cell r="U44">
            <v>94.206999999999994</v>
          </cell>
        </row>
        <row r="45">
          <cell r="U45">
            <v>1511.4</v>
          </cell>
        </row>
        <row r="46">
          <cell r="U46">
            <v>755.62300000000005</v>
          </cell>
        </row>
        <row r="47">
          <cell r="U47">
            <v>96.546999999999997</v>
          </cell>
        </row>
        <row r="48">
          <cell r="U48">
            <v>3990.5720000000001</v>
          </cell>
        </row>
        <row r="49">
          <cell r="U49">
            <v>636.077</v>
          </cell>
        </row>
        <row r="50">
          <cell r="U50">
            <v>910.87400000000002</v>
          </cell>
        </row>
      </sheetData>
      <sheetData sheetId="4">
        <row r="1">
          <cell r="AD1" t="str">
            <v>שווי הוגן (באלפי ש"ח)</v>
          </cell>
        </row>
      </sheetData>
      <sheetData sheetId="5">
        <row r="1">
          <cell r="AD1" t="str">
            <v>שווי הוגן (באלפי ש"ח)</v>
          </cell>
        </row>
        <row r="2">
          <cell r="AD2">
            <v>0.20699999999999999</v>
          </cell>
        </row>
        <row r="3">
          <cell r="AD3">
            <v>28.713000000000001</v>
          </cell>
        </row>
        <row r="4">
          <cell r="AD4">
            <v>21.111000000000001</v>
          </cell>
        </row>
        <row r="5">
          <cell r="AD5">
            <v>5.2850000000000001</v>
          </cell>
        </row>
        <row r="6">
          <cell r="AD6">
            <v>1E-3</v>
          </cell>
        </row>
        <row r="7">
          <cell r="AD7">
            <v>37.326999999999998</v>
          </cell>
        </row>
        <row r="8">
          <cell r="AD8">
            <v>48.820999999999998</v>
          </cell>
        </row>
        <row r="9">
          <cell r="AD9">
            <v>52.228000000000002</v>
          </cell>
        </row>
        <row r="10">
          <cell r="AD10">
            <v>14.95</v>
          </cell>
        </row>
        <row r="11">
          <cell r="AD11">
            <v>6.548</v>
          </cell>
        </row>
        <row r="12">
          <cell r="AD12">
            <v>7.2779999999999996</v>
          </cell>
        </row>
        <row r="13">
          <cell r="AD13">
            <v>11.095000000000001</v>
          </cell>
        </row>
        <row r="14">
          <cell r="AD14">
            <v>19.878</v>
          </cell>
        </row>
        <row r="15">
          <cell r="AD15">
            <v>30.331</v>
          </cell>
        </row>
        <row r="16">
          <cell r="AD16">
            <v>17.82</v>
          </cell>
        </row>
        <row r="17">
          <cell r="AD17">
            <v>9.7379999999999995</v>
          </cell>
        </row>
        <row r="18">
          <cell r="AD18">
            <v>16.687999999999999</v>
          </cell>
        </row>
        <row r="19">
          <cell r="AD19">
            <v>44.572000000000003</v>
          </cell>
        </row>
        <row r="20">
          <cell r="AD20">
            <v>10.531000000000001</v>
          </cell>
        </row>
        <row r="21">
          <cell r="AD21">
            <v>9.6950000000000003</v>
          </cell>
        </row>
        <row r="22">
          <cell r="AD22">
            <v>10.85</v>
          </cell>
        </row>
        <row r="23">
          <cell r="AD23">
            <v>15.045</v>
          </cell>
        </row>
        <row r="24">
          <cell r="AD24">
            <v>6.3840000000000003</v>
          </cell>
        </row>
        <row r="25">
          <cell r="AD25">
            <v>0</v>
          </cell>
        </row>
        <row r="26">
          <cell r="AD26">
            <v>10.798999999999999</v>
          </cell>
        </row>
        <row r="27">
          <cell r="AD27">
            <v>17.428999999999998</v>
          </cell>
        </row>
        <row r="28">
          <cell r="AD28">
            <v>10.44</v>
          </cell>
        </row>
        <row r="29">
          <cell r="AD29">
            <v>17.367999999999999</v>
          </cell>
        </row>
        <row r="30">
          <cell r="AD30">
            <v>5.2789999999999999</v>
          </cell>
        </row>
        <row r="31">
          <cell r="AD31">
            <v>0</v>
          </cell>
        </row>
        <row r="32">
          <cell r="AD32">
            <v>12.419</v>
          </cell>
        </row>
        <row r="33">
          <cell r="AD33">
            <v>10.742000000000001</v>
          </cell>
        </row>
        <row r="34">
          <cell r="AD34">
            <v>22.327000000000002</v>
          </cell>
        </row>
        <row r="35">
          <cell r="AD35">
            <v>22.530999999999999</v>
          </cell>
        </row>
        <row r="36">
          <cell r="AD36">
            <v>45.807000000000002</v>
          </cell>
        </row>
        <row r="37">
          <cell r="AD37">
            <v>49.393000000000001</v>
          </cell>
        </row>
        <row r="38">
          <cell r="AD38">
            <v>20.402000000000001</v>
          </cell>
        </row>
        <row r="39">
          <cell r="AD39">
            <v>54.034999999999997</v>
          </cell>
        </row>
        <row r="40">
          <cell r="AD40">
            <v>55.395000000000003</v>
          </cell>
        </row>
        <row r="41">
          <cell r="AD41">
            <v>51.277999999999999</v>
          </cell>
        </row>
        <row r="42">
          <cell r="AD42">
            <v>30.13</v>
          </cell>
        </row>
        <row r="43">
          <cell r="AD43">
            <v>29.152000000000001</v>
          </cell>
        </row>
        <row r="44">
          <cell r="AD44">
            <v>18.329000000000001</v>
          </cell>
        </row>
        <row r="45">
          <cell r="AD45">
            <v>31.584</v>
          </cell>
        </row>
        <row r="46">
          <cell r="AD46">
            <v>9.8819999999999997</v>
          </cell>
        </row>
        <row r="47">
          <cell r="AD47">
            <v>1E-3</v>
          </cell>
        </row>
        <row r="48">
          <cell r="AD48">
            <v>14.1</v>
          </cell>
        </row>
        <row r="49">
          <cell r="AD49">
            <v>19.030999999999999</v>
          </cell>
        </row>
        <row r="50">
          <cell r="AD50">
            <v>17.289000000000001</v>
          </cell>
        </row>
        <row r="51">
          <cell r="AD51">
            <v>55.082999999999998</v>
          </cell>
        </row>
        <row r="52">
          <cell r="AD52">
            <v>16.042000000000002</v>
          </cell>
        </row>
        <row r="53">
          <cell r="AD53">
            <v>18.460999999999999</v>
          </cell>
        </row>
        <row r="54">
          <cell r="AD54">
            <v>16.219000000000001</v>
          </cell>
        </row>
        <row r="55">
          <cell r="AD55">
            <v>51.44</v>
          </cell>
        </row>
        <row r="56">
          <cell r="AD56">
            <v>30.866</v>
          </cell>
        </row>
        <row r="57">
          <cell r="AD57">
            <v>18.977</v>
          </cell>
        </row>
        <row r="58">
          <cell r="AD58">
            <v>21.556000000000001</v>
          </cell>
        </row>
        <row r="59">
          <cell r="AD59">
            <v>28.826000000000001</v>
          </cell>
        </row>
        <row r="60">
          <cell r="AD60">
            <v>3.0950000000000002</v>
          </cell>
        </row>
        <row r="61">
          <cell r="AD61">
            <v>18.957999999999998</v>
          </cell>
        </row>
        <row r="62">
          <cell r="AD62">
            <v>17.449000000000002</v>
          </cell>
        </row>
        <row r="63">
          <cell r="AD63">
            <v>1.355</v>
          </cell>
        </row>
        <row r="64">
          <cell r="AD64">
            <v>10.523999999999999</v>
          </cell>
        </row>
        <row r="65">
          <cell r="AD65">
            <v>17.358000000000001</v>
          </cell>
        </row>
        <row r="66">
          <cell r="AD66">
            <v>19.864000000000001</v>
          </cell>
        </row>
        <row r="67">
          <cell r="AD67">
            <v>44.31</v>
          </cell>
        </row>
        <row r="68">
          <cell r="AD68">
            <v>0</v>
          </cell>
        </row>
        <row r="69">
          <cell r="AD69">
            <v>31.052</v>
          </cell>
        </row>
        <row r="70">
          <cell r="AD70">
            <v>22.045000000000002</v>
          </cell>
        </row>
        <row r="71">
          <cell r="AD71">
            <v>15.584</v>
          </cell>
        </row>
        <row r="72">
          <cell r="AD72">
            <v>17.78</v>
          </cell>
        </row>
        <row r="73">
          <cell r="AD73">
            <v>15.005000000000001</v>
          </cell>
        </row>
        <row r="74">
          <cell r="AD74">
            <v>67.662999999999997</v>
          </cell>
        </row>
        <row r="75">
          <cell r="AD75">
            <v>81.054000000000002</v>
          </cell>
        </row>
        <row r="76">
          <cell r="AD76">
            <v>54.575000000000003</v>
          </cell>
        </row>
        <row r="77">
          <cell r="AD77">
            <v>21.79</v>
          </cell>
        </row>
        <row r="78">
          <cell r="AD78">
            <v>10.95</v>
          </cell>
        </row>
        <row r="79">
          <cell r="AD79">
            <v>4.9939999999999998</v>
          </cell>
        </row>
        <row r="80">
          <cell r="AD80">
            <v>45.148000000000003</v>
          </cell>
        </row>
        <row r="81">
          <cell r="AD81">
            <v>65.643000000000001</v>
          </cell>
        </row>
        <row r="82">
          <cell r="AD82">
            <v>22.98</v>
          </cell>
        </row>
        <row r="83">
          <cell r="AD83">
            <v>19.167999999999999</v>
          </cell>
        </row>
        <row r="84">
          <cell r="AD84">
            <v>32.570999999999998</v>
          </cell>
        </row>
        <row r="85">
          <cell r="AD85">
            <v>16.050999999999998</v>
          </cell>
        </row>
        <row r="86">
          <cell r="AD86">
            <v>92.816000000000003</v>
          </cell>
        </row>
        <row r="87">
          <cell r="AD87">
            <v>56.959000000000003</v>
          </cell>
        </row>
        <row r="88">
          <cell r="AD88">
            <v>42.42</v>
          </cell>
        </row>
        <row r="89">
          <cell r="AD89">
            <v>83.176000000000002</v>
          </cell>
        </row>
        <row r="90">
          <cell r="AD90">
            <v>21.9</v>
          </cell>
        </row>
        <row r="91">
          <cell r="AD91">
            <v>44.726999999999997</v>
          </cell>
        </row>
        <row r="92">
          <cell r="AD92">
            <v>25.78</v>
          </cell>
        </row>
        <row r="93">
          <cell r="AD93">
            <v>22.728999999999999</v>
          </cell>
        </row>
        <row r="94">
          <cell r="AD94">
            <v>19.460999999999999</v>
          </cell>
        </row>
        <row r="95">
          <cell r="AD95">
            <v>75.057000000000002</v>
          </cell>
        </row>
        <row r="96">
          <cell r="AD96">
            <v>23.78</v>
          </cell>
        </row>
        <row r="97">
          <cell r="AD97">
            <v>22.541</v>
          </cell>
        </row>
        <row r="98">
          <cell r="AD98">
            <v>43.826000000000001</v>
          </cell>
        </row>
        <row r="99">
          <cell r="AD99">
            <v>16.494</v>
          </cell>
        </row>
        <row r="100">
          <cell r="AD100">
            <v>15.798</v>
          </cell>
        </row>
        <row r="101">
          <cell r="AD101">
            <v>10.333</v>
          </cell>
        </row>
        <row r="102">
          <cell r="AD102">
            <v>26.856000000000002</v>
          </cell>
        </row>
        <row r="103">
          <cell r="AD103">
            <v>34.901000000000003</v>
          </cell>
        </row>
        <row r="104">
          <cell r="AD104">
            <v>21.722000000000001</v>
          </cell>
        </row>
        <row r="105">
          <cell r="AD105">
            <v>18.170000000000002</v>
          </cell>
        </row>
        <row r="106">
          <cell r="AD106">
            <v>24.234999999999999</v>
          </cell>
        </row>
        <row r="107">
          <cell r="AD107">
            <v>23.995000000000001</v>
          </cell>
        </row>
        <row r="108">
          <cell r="AD108">
            <v>12.250999999999999</v>
          </cell>
        </row>
        <row r="109">
          <cell r="AD109">
            <v>18.446999999999999</v>
          </cell>
        </row>
        <row r="110">
          <cell r="AD110">
            <v>9.8979999999999997</v>
          </cell>
        </row>
        <row r="111">
          <cell r="AD111">
            <v>10.481999999999999</v>
          </cell>
        </row>
        <row r="112">
          <cell r="AD112">
            <v>1E-3</v>
          </cell>
        </row>
        <row r="113">
          <cell r="AD113">
            <v>21.288</v>
          </cell>
        </row>
        <row r="114">
          <cell r="AD114">
            <v>17.212</v>
          </cell>
        </row>
        <row r="115">
          <cell r="AD115">
            <v>32.375999999999998</v>
          </cell>
        </row>
        <row r="116">
          <cell r="AD116">
            <v>0</v>
          </cell>
        </row>
        <row r="117">
          <cell r="AD117">
            <v>44.38</v>
          </cell>
        </row>
        <row r="118">
          <cell r="AD118">
            <v>68.783000000000001</v>
          </cell>
        </row>
        <row r="119">
          <cell r="AD119">
            <v>27.509</v>
          </cell>
        </row>
        <row r="120">
          <cell r="AD120">
            <v>30.907</v>
          </cell>
        </row>
        <row r="121">
          <cell r="AD121">
            <v>9.3520000000000003</v>
          </cell>
        </row>
        <row r="122">
          <cell r="AD122">
            <v>12.61</v>
          </cell>
        </row>
        <row r="123">
          <cell r="AD123">
            <v>19.344000000000001</v>
          </cell>
        </row>
        <row r="124">
          <cell r="AD124">
            <v>38.44</v>
          </cell>
        </row>
        <row r="125">
          <cell r="AD125">
            <v>22.439</v>
          </cell>
        </row>
        <row r="126">
          <cell r="AD126">
            <v>10.754</v>
          </cell>
        </row>
        <row r="127">
          <cell r="AD127">
            <v>15.515000000000001</v>
          </cell>
        </row>
        <row r="128">
          <cell r="AD128">
            <v>55.365000000000002</v>
          </cell>
        </row>
        <row r="129">
          <cell r="AD129">
            <v>0</v>
          </cell>
        </row>
        <row r="130">
          <cell r="AD130">
            <v>13.504</v>
          </cell>
        </row>
        <row r="131">
          <cell r="AD131">
            <v>30.38</v>
          </cell>
        </row>
        <row r="132">
          <cell r="AD132">
            <v>16.678999999999998</v>
          </cell>
        </row>
        <row r="133">
          <cell r="AD133">
            <v>20.393999999999998</v>
          </cell>
        </row>
        <row r="134">
          <cell r="AD134">
            <v>21.207999999999998</v>
          </cell>
        </row>
        <row r="135">
          <cell r="AD135">
            <v>5.0940000000000003</v>
          </cell>
        </row>
        <row r="136">
          <cell r="AD136">
            <v>1.373</v>
          </cell>
        </row>
        <row r="137">
          <cell r="AD137">
            <v>49.92</v>
          </cell>
        </row>
        <row r="138">
          <cell r="AD138">
            <v>15.714</v>
          </cell>
        </row>
        <row r="139">
          <cell r="AD139">
            <v>5.9390000000000001</v>
          </cell>
        </row>
        <row r="140">
          <cell r="AD140">
            <v>29.222999999999999</v>
          </cell>
        </row>
        <row r="141">
          <cell r="AD141">
            <v>64.174999999999997</v>
          </cell>
        </row>
        <row r="142">
          <cell r="AD142">
            <v>16.085000000000001</v>
          </cell>
        </row>
        <row r="143">
          <cell r="AD143">
            <v>10.893000000000001</v>
          </cell>
        </row>
        <row r="144">
          <cell r="AD144">
            <v>13.074999999999999</v>
          </cell>
        </row>
        <row r="145">
          <cell r="AD145">
            <v>12.686</v>
          </cell>
        </row>
        <row r="146">
          <cell r="AD146">
            <v>10.090999999999999</v>
          </cell>
        </row>
        <row r="147">
          <cell r="AD147">
            <v>6.7149999999999999</v>
          </cell>
        </row>
        <row r="148">
          <cell r="AD148">
            <v>9.9570000000000007</v>
          </cell>
        </row>
        <row r="149">
          <cell r="AD149">
            <v>60.79</v>
          </cell>
        </row>
        <row r="150">
          <cell r="AD150">
            <v>44.777000000000001</v>
          </cell>
        </row>
        <row r="151">
          <cell r="AD151">
            <v>3.4000000000000002E-2</v>
          </cell>
        </row>
        <row r="152">
          <cell r="AD152">
            <v>1E-3</v>
          </cell>
        </row>
        <row r="153">
          <cell r="AD153">
            <v>16.901</v>
          </cell>
        </row>
        <row r="154">
          <cell r="AD154">
            <v>9.5890000000000004</v>
          </cell>
        </row>
        <row r="155">
          <cell r="AD155">
            <v>3.6480000000000001</v>
          </cell>
        </row>
        <row r="156">
          <cell r="AD156">
            <v>0</v>
          </cell>
        </row>
        <row r="157">
          <cell r="AD157">
            <v>0</v>
          </cell>
        </row>
        <row r="158">
          <cell r="AD158">
            <v>25.38</v>
          </cell>
        </row>
        <row r="159">
          <cell r="AD159">
            <v>0</v>
          </cell>
        </row>
        <row r="160">
          <cell r="AD160">
            <v>0</v>
          </cell>
        </row>
        <row r="161">
          <cell r="AD161">
            <v>1E-3</v>
          </cell>
        </row>
        <row r="162">
          <cell r="AD162">
            <v>4.702</v>
          </cell>
        </row>
        <row r="163">
          <cell r="AD163">
            <v>6.7270000000000003</v>
          </cell>
        </row>
        <row r="164">
          <cell r="AD164">
            <v>3.3580000000000001</v>
          </cell>
        </row>
        <row r="165">
          <cell r="AD165">
            <v>6.6379999999999999</v>
          </cell>
        </row>
        <row r="166">
          <cell r="AD166">
            <v>20.263000000000002</v>
          </cell>
        </row>
        <row r="167">
          <cell r="AD167">
            <v>10.333</v>
          </cell>
        </row>
        <row r="168">
          <cell r="AD168">
            <v>0.379</v>
          </cell>
        </row>
        <row r="169">
          <cell r="AD169">
            <v>20.981999999999999</v>
          </cell>
        </row>
        <row r="170">
          <cell r="AD170">
            <v>47.777000000000001</v>
          </cell>
        </row>
        <row r="171">
          <cell r="AD171">
            <v>12.683</v>
          </cell>
        </row>
        <row r="172">
          <cell r="AD172">
            <v>72.158000000000001</v>
          </cell>
        </row>
        <row r="173">
          <cell r="AD173">
            <v>64.539000000000001</v>
          </cell>
        </row>
        <row r="174">
          <cell r="AD174">
            <v>33.177999999999997</v>
          </cell>
        </row>
        <row r="175">
          <cell r="AD175">
            <v>37.950000000000003</v>
          </cell>
        </row>
        <row r="176">
          <cell r="AD176">
            <v>15.715</v>
          </cell>
        </row>
        <row r="177">
          <cell r="AD177">
            <v>13.95</v>
          </cell>
        </row>
        <row r="178">
          <cell r="AD178">
            <v>19.416</v>
          </cell>
        </row>
        <row r="179">
          <cell r="AD179">
            <v>36.298000000000002</v>
          </cell>
        </row>
        <row r="180">
          <cell r="AD180">
            <v>25.849</v>
          </cell>
        </row>
        <row r="181">
          <cell r="AD181">
            <v>62.262</v>
          </cell>
        </row>
        <row r="182">
          <cell r="AD182">
            <v>17.228999999999999</v>
          </cell>
        </row>
        <row r="183">
          <cell r="AD183">
            <v>58.845999999999997</v>
          </cell>
        </row>
        <row r="184">
          <cell r="AD184">
            <v>63.366</v>
          </cell>
        </row>
        <row r="185">
          <cell r="AD185">
            <v>29.742000000000001</v>
          </cell>
        </row>
        <row r="186">
          <cell r="AD186">
            <v>28.664000000000001</v>
          </cell>
        </row>
        <row r="187">
          <cell r="AD187">
            <v>28.03</v>
          </cell>
        </row>
        <row r="188">
          <cell r="AD188">
            <v>51.716999999999999</v>
          </cell>
        </row>
        <row r="189">
          <cell r="AD189">
            <v>8.2080000000000002</v>
          </cell>
        </row>
        <row r="190">
          <cell r="AD190">
            <v>10.987</v>
          </cell>
        </row>
        <row r="191">
          <cell r="AD191">
            <v>33.476999999999997</v>
          </cell>
        </row>
        <row r="192">
          <cell r="AD192">
            <v>54.465000000000003</v>
          </cell>
        </row>
        <row r="193">
          <cell r="AD193">
            <v>25.056000000000001</v>
          </cell>
        </row>
        <row r="194">
          <cell r="AD194">
            <v>43.878</v>
          </cell>
        </row>
        <row r="195">
          <cell r="AD195">
            <v>16.893000000000001</v>
          </cell>
        </row>
        <row r="196">
          <cell r="AD196">
            <v>0</v>
          </cell>
        </row>
        <row r="197">
          <cell r="AD197">
            <v>92.710999999999999</v>
          </cell>
        </row>
        <row r="198">
          <cell r="AD198">
            <v>71.233999999999995</v>
          </cell>
        </row>
        <row r="199">
          <cell r="AD199">
            <v>71.884</v>
          </cell>
        </row>
        <row r="200">
          <cell r="AD200">
            <v>58.503999999999998</v>
          </cell>
        </row>
        <row r="201">
          <cell r="AD201">
            <v>61.207000000000001</v>
          </cell>
        </row>
        <row r="202">
          <cell r="AD202">
            <v>54.034999999999997</v>
          </cell>
        </row>
        <row r="203">
          <cell r="AD203">
            <v>92.301000000000002</v>
          </cell>
        </row>
        <row r="204">
          <cell r="AD204">
            <v>32.773000000000003</v>
          </cell>
        </row>
        <row r="205">
          <cell r="AD205">
            <v>105.28</v>
          </cell>
        </row>
        <row r="206">
          <cell r="AD206">
            <v>22.497</v>
          </cell>
        </row>
        <row r="207">
          <cell r="AD207">
            <v>0</v>
          </cell>
        </row>
        <row r="208">
          <cell r="AD208">
            <v>11.454000000000001</v>
          </cell>
        </row>
        <row r="209">
          <cell r="AD209">
            <v>64.477999999999994</v>
          </cell>
        </row>
        <row r="210">
          <cell r="AD210">
            <v>15.51</v>
          </cell>
        </row>
        <row r="211">
          <cell r="AD211">
            <v>43.142000000000003</v>
          </cell>
        </row>
        <row r="212">
          <cell r="AD212">
            <v>30.594000000000001</v>
          </cell>
        </row>
        <row r="213">
          <cell r="AD213">
            <v>39.805</v>
          </cell>
        </row>
        <row r="214">
          <cell r="AD214">
            <v>56.951999999999998</v>
          </cell>
        </row>
        <row r="215">
          <cell r="AD215">
            <v>95.734999999999999</v>
          </cell>
        </row>
        <row r="216">
          <cell r="AD216">
            <v>53.75</v>
          </cell>
        </row>
        <row r="217">
          <cell r="AD217">
            <v>26.486000000000001</v>
          </cell>
        </row>
        <row r="218">
          <cell r="AD218">
            <v>50.685000000000002</v>
          </cell>
        </row>
        <row r="219">
          <cell r="AD219">
            <v>62.116999999999997</v>
          </cell>
        </row>
        <row r="220">
          <cell r="AD220">
            <v>38.517000000000003</v>
          </cell>
        </row>
        <row r="221">
          <cell r="AD221">
            <v>108.48699999999999</v>
          </cell>
        </row>
        <row r="222">
          <cell r="AD222">
            <v>78.018000000000001</v>
          </cell>
        </row>
        <row r="223">
          <cell r="AD223">
            <v>19.611999999999998</v>
          </cell>
        </row>
        <row r="224">
          <cell r="AD224">
            <v>68.775000000000006</v>
          </cell>
        </row>
        <row r="225">
          <cell r="AD225">
            <v>21.216000000000001</v>
          </cell>
        </row>
        <row r="226">
          <cell r="AD226">
            <v>30.169</v>
          </cell>
        </row>
        <row r="227">
          <cell r="AD227">
            <v>87.864000000000004</v>
          </cell>
        </row>
        <row r="228">
          <cell r="AD228">
            <v>30.42</v>
          </cell>
        </row>
        <row r="229">
          <cell r="AD229">
            <v>63.915999999999997</v>
          </cell>
        </row>
        <row r="230">
          <cell r="AD230">
            <v>94.24</v>
          </cell>
        </row>
        <row r="231">
          <cell r="AD231">
            <v>10.317</v>
          </cell>
        </row>
        <row r="232">
          <cell r="AD232">
            <v>30.542999999999999</v>
          </cell>
        </row>
        <row r="233">
          <cell r="AD233">
            <v>29.765999999999998</v>
          </cell>
        </row>
        <row r="234">
          <cell r="AD234">
            <v>26.31</v>
          </cell>
        </row>
        <row r="235">
          <cell r="AD235">
            <v>45.566000000000003</v>
          </cell>
        </row>
        <row r="236">
          <cell r="AD236">
            <v>26.713000000000001</v>
          </cell>
        </row>
        <row r="237">
          <cell r="AD237">
            <v>17.035</v>
          </cell>
        </row>
        <row r="238">
          <cell r="AD238">
            <v>50.103000000000002</v>
          </cell>
        </row>
        <row r="239">
          <cell r="AD239">
            <v>51.03</v>
          </cell>
        </row>
        <row r="240">
          <cell r="AD240">
            <v>47.789000000000001</v>
          </cell>
        </row>
        <row r="241">
          <cell r="AD241">
            <v>77.397000000000006</v>
          </cell>
        </row>
        <row r="242">
          <cell r="AD242">
            <v>70</v>
          </cell>
        </row>
        <row r="243">
          <cell r="AD243">
            <v>59.12</v>
          </cell>
        </row>
        <row r="244">
          <cell r="AD244">
            <v>39.387999999999998</v>
          </cell>
        </row>
        <row r="245">
          <cell r="AD245">
            <v>30.225999999999999</v>
          </cell>
        </row>
        <row r="246">
          <cell r="AD246">
            <v>145.578</v>
          </cell>
        </row>
        <row r="247">
          <cell r="AD247">
            <v>29.754000000000001</v>
          </cell>
        </row>
        <row r="248">
          <cell r="AD248">
            <v>54.575000000000003</v>
          </cell>
        </row>
        <row r="249">
          <cell r="AD249">
            <v>69.519000000000005</v>
          </cell>
        </row>
        <row r="250">
          <cell r="AD250">
            <v>28.954999999999998</v>
          </cell>
        </row>
        <row r="251">
          <cell r="AD251">
            <v>29.97</v>
          </cell>
        </row>
        <row r="252">
          <cell r="AD252">
            <v>30.66</v>
          </cell>
        </row>
        <row r="253">
          <cell r="AD253">
            <v>12.983000000000001</v>
          </cell>
        </row>
        <row r="254">
          <cell r="AD254">
            <v>32.301000000000002</v>
          </cell>
        </row>
        <row r="255">
          <cell r="AD255">
            <v>6.2690000000000001</v>
          </cell>
        </row>
        <row r="256">
          <cell r="AD256">
            <v>47.445</v>
          </cell>
        </row>
        <row r="257">
          <cell r="AD257">
            <v>111.63</v>
          </cell>
        </row>
        <row r="258">
          <cell r="AD258">
            <v>61.177999999999997</v>
          </cell>
        </row>
        <row r="259">
          <cell r="AD259">
            <v>72.998999999999995</v>
          </cell>
        </row>
        <row r="260">
          <cell r="AD260">
            <v>90.872</v>
          </cell>
        </row>
        <row r="261">
          <cell r="AD261">
            <v>37.552</v>
          </cell>
        </row>
        <row r="262">
          <cell r="AD262">
            <v>16.568000000000001</v>
          </cell>
        </row>
        <row r="263">
          <cell r="AD263">
            <v>138.898</v>
          </cell>
        </row>
        <row r="264">
          <cell r="AD264">
            <v>75.87</v>
          </cell>
        </row>
        <row r="265">
          <cell r="AD265">
            <v>40.863999999999997</v>
          </cell>
        </row>
        <row r="266">
          <cell r="AD266">
            <v>28.620999999999999</v>
          </cell>
        </row>
        <row r="267">
          <cell r="AD267">
            <v>57.73</v>
          </cell>
        </row>
        <row r="268">
          <cell r="AD268">
            <v>25.414999999999999</v>
          </cell>
        </row>
        <row r="269">
          <cell r="AD269">
            <v>35.131999999999998</v>
          </cell>
        </row>
        <row r="270">
          <cell r="AD270">
            <v>73.853999999999999</v>
          </cell>
        </row>
        <row r="271">
          <cell r="AD271">
            <v>61.466999999999999</v>
          </cell>
        </row>
        <row r="272">
          <cell r="AD272">
            <v>76.986999999999995</v>
          </cell>
        </row>
        <row r="273">
          <cell r="AD273">
            <v>57.926000000000002</v>
          </cell>
        </row>
        <row r="274">
          <cell r="AD274">
            <v>51.302</v>
          </cell>
        </row>
        <row r="275">
          <cell r="AD275">
            <v>41.125</v>
          </cell>
        </row>
        <row r="276">
          <cell r="AD276">
            <v>21.439</v>
          </cell>
        </row>
        <row r="277">
          <cell r="AD277">
            <v>50.305</v>
          </cell>
        </row>
        <row r="278">
          <cell r="AD278">
            <v>24.745000000000001</v>
          </cell>
        </row>
        <row r="279">
          <cell r="AD279">
            <v>30.398</v>
          </cell>
        </row>
        <row r="280">
          <cell r="AD280">
            <v>32.320999999999998</v>
          </cell>
        </row>
        <row r="281">
          <cell r="AD281">
            <v>17.998000000000001</v>
          </cell>
        </row>
        <row r="282">
          <cell r="AD282">
            <v>49.703000000000003</v>
          </cell>
        </row>
        <row r="283">
          <cell r="AD283">
            <v>31.555</v>
          </cell>
        </row>
        <row r="284">
          <cell r="AD284">
            <v>66.841999999999999</v>
          </cell>
        </row>
        <row r="285">
          <cell r="AD285">
            <v>63.4</v>
          </cell>
        </row>
        <row r="286">
          <cell r="AD286">
            <v>65.117000000000004</v>
          </cell>
        </row>
        <row r="287">
          <cell r="AD287">
            <v>81.581999999999994</v>
          </cell>
        </row>
        <row r="288">
          <cell r="AD288">
            <v>39</v>
          </cell>
        </row>
        <row r="289">
          <cell r="AD289">
            <v>17.716000000000001</v>
          </cell>
        </row>
        <row r="290">
          <cell r="AD290">
            <v>22.837</v>
          </cell>
        </row>
        <row r="291">
          <cell r="AD291">
            <v>36.164999999999999</v>
          </cell>
        </row>
        <row r="292">
          <cell r="AD292">
            <v>31.895</v>
          </cell>
        </row>
        <row r="293">
          <cell r="AD293">
            <v>29.657</v>
          </cell>
        </row>
        <row r="294">
          <cell r="AD294">
            <v>71.59</v>
          </cell>
        </row>
        <row r="295">
          <cell r="AD295">
            <v>53.91</v>
          </cell>
        </row>
        <row r="296">
          <cell r="AD296">
            <v>18.678999999999998</v>
          </cell>
        </row>
        <row r="297">
          <cell r="AD297">
            <v>56.887</v>
          </cell>
        </row>
        <row r="298">
          <cell r="AD298">
            <v>63.091000000000001</v>
          </cell>
        </row>
        <row r="299">
          <cell r="AD299">
            <v>110.73</v>
          </cell>
        </row>
        <row r="300">
          <cell r="AD300">
            <v>1E-3</v>
          </cell>
        </row>
        <row r="301">
          <cell r="AD301">
            <v>1E-3</v>
          </cell>
        </row>
        <row r="302">
          <cell r="AD302">
            <v>49.862000000000002</v>
          </cell>
        </row>
        <row r="303">
          <cell r="AD303">
            <v>42.137</v>
          </cell>
        </row>
        <row r="304">
          <cell r="AD304">
            <v>56.554000000000002</v>
          </cell>
        </row>
        <row r="305">
          <cell r="AD305">
            <v>12.226000000000001</v>
          </cell>
        </row>
        <row r="306">
          <cell r="AD306">
            <v>2.7450000000000001</v>
          </cell>
        </row>
        <row r="307">
          <cell r="AD307">
            <v>86.685000000000002</v>
          </cell>
        </row>
        <row r="308">
          <cell r="AD308">
            <v>49.237000000000002</v>
          </cell>
        </row>
        <row r="309">
          <cell r="AD309">
            <v>1E-3</v>
          </cell>
        </row>
        <row r="310">
          <cell r="AD310">
            <v>15.128</v>
          </cell>
        </row>
        <row r="311">
          <cell r="AD311">
            <v>12.46</v>
          </cell>
        </row>
        <row r="312">
          <cell r="AD312">
            <v>27.356000000000002</v>
          </cell>
        </row>
        <row r="313">
          <cell r="AD313">
            <v>87.144000000000005</v>
          </cell>
        </row>
        <row r="314">
          <cell r="AD314">
            <v>22.882000000000001</v>
          </cell>
        </row>
        <row r="315">
          <cell r="AD315">
            <v>15.856999999999999</v>
          </cell>
        </row>
        <row r="316">
          <cell r="AD316">
            <v>23.545999999999999</v>
          </cell>
        </row>
        <row r="317">
          <cell r="AD317">
            <v>13.43</v>
          </cell>
        </row>
        <row r="318">
          <cell r="AD318">
            <v>23.231999999999999</v>
          </cell>
        </row>
        <row r="319">
          <cell r="AD319">
            <v>52.685000000000002</v>
          </cell>
        </row>
        <row r="320">
          <cell r="AD320">
            <v>27.555</v>
          </cell>
        </row>
        <row r="321">
          <cell r="AD321">
            <v>30.050999999999998</v>
          </cell>
        </row>
        <row r="322">
          <cell r="AD322">
            <v>436.00900000000001</v>
          </cell>
        </row>
        <row r="323">
          <cell r="AD323">
            <v>487.52</v>
          </cell>
        </row>
        <row r="324">
          <cell r="AD324">
            <v>18.919</v>
          </cell>
        </row>
        <row r="325">
          <cell r="AD325">
            <v>0</v>
          </cell>
        </row>
        <row r="326">
          <cell r="AD326">
            <v>199.608</v>
          </cell>
        </row>
        <row r="327">
          <cell r="AD327">
            <v>1698.4</v>
          </cell>
        </row>
        <row r="328">
          <cell r="AD328">
            <v>2205.3200000000002</v>
          </cell>
        </row>
        <row r="329">
          <cell r="AD329">
            <v>1033.404</v>
          </cell>
        </row>
        <row r="330">
          <cell r="AD330">
            <v>130.303</v>
          </cell>
        </row>
        <row r="331">
          <cell r="AD331">
            <v>471.75400000000002</v>
          </cell>
        </row>
        <row r="332">
          <cell r="AD332">
            <v>572.44100000000003</v>
          </cell>
        </row>
        <row r="333">
          <cell r="AD333">
            <v>345.42700000000002</v>
          </cell>
        </row>
        <row r="334">
          <cell r="AD334">
            <v>2640.5</v>
          </cell>
        </row>
        <row r="335">
          <cell r="AD335">
            <v>599.28</v>
          </cell>
        </row>
        <row r="336">
          <cell r="AD336">
            <v>1756.6</v>
          </cell>
        </row>
        <row r="337">
          <cell r="AD337">
            <v>4457.2</v>
          </cell>
        </row>
        <row r="338">
          <cell r="AD338">
            <v>2148</v>
          </cell>
        </row>
        <row r="339">
          <cell r="AD339">
            <v>520.60299999999995</v>
          </cell>
        </row>
        <row r="340">
          <cell r="AD340">
            <v>953.21600000000001</v>
          </cell>
        </row>
        <row r="341">
          <cell r="AD341">
            <v>632.94000000000005</v>
          </cell>
        </row>
        <row r="342">
          <cell r="AD342">
            <v>1410.45</v>
          </cell>
        </row>
        <row r="343">
          <cell r="AD343">
            <v>481.536</v>
          </cell>
        </row>
        <row r="344">
          <cell r="AD344">
            <v>1E-3</v>
          </cell>
        </row>
        <row r="345">
          <cell r="AD345">
            <v>1099.338</v>
          </cell>
        </row>
        <row r="346">
          <cell r="AD346">
            <v>1626.325</v>
          </cell>
        </row>
        <row r="347">
          <cell r="AD347">
            <v>654.58799999999997</v>
          </cell>
        </row>
        <row r="348">
          <cell r="AD348">
            <v>43.851999999999997</v>
          </cell>
        </row>
        <row r="349">
          <cell r="AD349">
            <v>656.70799999999997</v>
          </cell>
        </row>
        <row r="350">
          <cell r="AD350">
            <v>1571.683</v>
          </cell>
        </row>
        <row r="351">
          <cell r="AD351">
            <v>2126.4</v>
          </cell>
        </row>
        <row r="352">
          <cell r="AD352">
            <v>2145.8000000000002</v>
          </cell>
        </row>
        <row r="353">
          <cell r="AD353">
            <v>1746.4</v>
          </cell>
        </row>
        <row r="354">
          <cell r="AD354">
            <v>5498.4620000000004</v>
          </cell>
        </row>
        <row r="355">
          <cell r="AD355">
            <v>1999.2950000000001</v>
          </cell>
        </row>
        <row r="356">
          <cell r="AD356">
            <v>2127.9810000000002</v>
          </cell>
        </row>
        <row r="357">
          <cell r="AD357">
            <v>2644.982</v>
          </cell>
        </row>
        <row r="358">
          <cell r="AD358">
            <v>31.701000000000001</v>
          </cell>
        </row>
        <row r="359">
          <cell r="AD359">
            <v>3368.96</v>
          </cell>
        </row>
        <row r="360">
          <cell r="AD360">
            <v>0</v>
          </cell>
        </row>
        <row r="361">
          <cell r="AD361">
            <v>0</v>
          </cell>
        </row>
        <row r="362">
          <cell r="AD362">
            <v>871.4</v>
          </cell>
        </row>
        <row r="363">
          <cell r="AD363">
            <v>588.82899999999995</v>
          </cell>
        </row>
        <row r="364">
          <cell r="AD364">
            <v>405.88600000000002</v>
          </cell>
        </row>
        <row r="365">
          <cell r="AD365">
            <v>2780.7359999999999</v>
          </cell>
        </row>
        <row r="366">
          <cell r="AD366">
            <v>1525.5</v>
          </cell>
        </row>
        <row r="367">
          <cell r="AD367">
            <v>1535.95</v>
          </cell>
        </row>
        <row r="368">
          <cell r="AD368">
            <v>498.12299999999999</v>
          </cell>
        </row>
        <row r="369">
          <cell r="AD369">
            <v>1516.4949999999999</v>
          </cell>
        </row>
        <row r="370">
          <cell r="AD370">
            <v>2103.3290000000002</v>
          </cell>
        </row>
        <row r="371">
          <cell r="AD371">
            <v>2053</v>
          </cell>
        </row>
        <row r="372">
          <cell r="AD372">
            <v>2771.75</v>
          </cell>
        </row>
        <row r="373">
          <cell r="AD373">
            <v>286.81299999999999</v>
          </cell>
        </row>
        <row r="374">
          <cell r="AD374">
            <v>1659.8430000000001</v>
          </cell>
        </row>
        <row r="375">
          <cell r="AD375">
            <v>351.88299999999998</v>
          </cell>
        </row>
        <row r="376">
          <cell r="AD376">
            <v>970.31299999999999</v>
          </cell>
        </row>
        <row r="377">
          <cell r="AD377">
            <v>1551.5419999999999</v>
          </cell>
        </row>
        <row r="378">
          <cell r="AD378">
            <v>855.6</v>
          </cell>
        </row>
        <row r="379">
          <cell r="AD379">
            <v>1702.5050000000001</v>
          </cell>
        </row>
        <row r="380">
          <cell r="AD380">
            <v>1447.1880000000001</v>
          </cell>
        </row>
        <row r="381">
          <cell r="AD381">
            <v>2086.5700000000002</v>
          </cell>
        </row>
        <row r="382">
          <cell r="AD382">
            <v>1403.8869999999999</v>
          </cell>
        </row>
        <row r="383">
          <cell r="AD383">
            <v>3585.1239999999998</v>
          </cell>
        </row>
        <row r="384">
          <cell r="AD384">
            <v>619.70399999999995</v>
          </cell>
        </row>
        <row r="385">
          <cell r="AD385">
            <v>2183</v>
          </cell>
        </row>
        <row r="386">
          <cell r="AD386">
            <v>2075.1999999999998</v>
          </cell>
        </row>
        <row r="387">
          <cell r="AD387">
            <v>1095</v>
          </cell>
        </row>
        <row r="388">
          <cell r="AD388">
            <v>3207.87</v>
          </cell>
        </row>
        <row r="389">
          <cell r="AD389">
            <v>428.79700000000003</v>
          </cell>
        </row>
        <row r="390">
          <cell r="AD390">
            <v>610.94500000000005</v>
          </cell>
        </row>
        <row r="391">
          <cell r="AD391">
            <v>1864.4549999999999</v>
          </cell>
        </row>
        <row r="392">
          <cell r="AD392">
            <v>1504.8</v>
          </cell>
        </row>
        <row r="393">
          <cell r="AD393">
            <v>2223.518</v>
          </cell>
        </row>
        <row r="394">
          <cell r="AD394">
            <v>2085.6860000000001</v>
          </cell>
        </row>
        <row r="395">
          <cell r="AD395">
            <v>2151.1999999999998</v>
          </cell>
        </row>
        <row r="396">
          <cell r="AD396">
            <v>2246.0680000000002</v>
          </cell>
        </row>
        <row r="397">
          <cell r="AD397">
            <v>395.28</v>
          </cell>
        </row>
        <row r="398">
          <cell r="AD398">
            <v>5212.0929999999998</v>
          </cell>
        </row>
        <row r="399">
          <cell r="AD399">
            <v>2264.7640000000001</v>
          </cell>
        </row>
        <row r="400">
          <cell r="AD400">
            <v>1745.8810000000001</v>
          </cell>
        </row>
        <row r="401">
          <cell r="AD401">
            <v>1546.35</v>
          </cell>
        </row>
        <row r="402">
          <cell r="AD402">
            <v>1371.02</v>
          </cell>
        </row>
        <row r="403">
          <cell r="AD403">
            <v>1007.467</v>
          </cell>
        </row>
        <row r="404">
          <cell r="AD404">
            <v>2092.1959999999999</v>
          </cell>
        </row>
        <row r="405">
          <cell r="AD405">
            <v>0</v>
          </cell>
        </row>
        <row r="406">
          <cell r="AD406">
            <v>2791.0529999999999</v>
          </cell>
        </row>
        <row r="407">
          <cell r="AD407">
            <v>2068.8000000000002</v>
          </cell>
        </row>
        <row r="408">
          <cell r="AD408">
            <v>1782.758</v>
          </cell>
        </row>
        <row r="409">
          <cell r="AD409">
            <v>1399.194</v>
          </cell>
        </row>
        <row r="410">
          <cell r="AD410">
            <v>601.11199999999997</v>
          </cell>
        </row>
        <row r="411">
          <cell r="AD411">
            <v>1721.0139999999999</v>
          </cell>
        </row>
        <row r="412">
          <cell r="AD412">
            <v>980.88</v>
          </cell>
        </row>
        <row r="413">
          <cell r="AD413">
            <v>1014.658</v>
          </cell>
        </row>
        <row r="414">
          <cell r="AD414">
            <v>0</v>
          </cell>
        </row>
        <row r="415">
          <cell r="AD415">
            <v>621.26499999999999</v>
          </cell>
        </row>
        <row r="416">
          <cell r="AD416">
            <v>1398.921</v>
          </cell>
        </row>
        <row r="417">
          <cell r="AD417">
            <v>1991.671</v>
          </cell>
        </row>
        <row r="418">
          <cell r="AD418">
            <v>2616.6610000000001</v>
          </cell>
        </row>
        <row r="419">
          <cell r="AD419">
            <v>1763.44</v>
          </cell>
        </row>
        <row r="420">
          <cell r="AD420">
            <v>2751.9189999999999</v>
          </cell>
        </row>
        <row r="421">
          <cell r="AD421">
            <v>1114.299</v>
          </cell>
        </row>
        <row r="422">
          <cell r="AD422">
            <v>0</v>
          </cell>
        </row>
        <row r="423">
          <cell r="AD423">
            <v>582.34100000000001</v>
          </cell>
        </row>
        <row r="424">
          <cell r="AD424">
            <v>1666.1</v>
          </cell>
        </row>
        <row r="425">
          <cell r="AD425">
            <v>171.48</v>
          </cell>
        </row>
        <row r="426">
          <cell r="AD426">
            <v>2137</v>
          </cell>
        </row>
        <row r="427">
          <cell r="AD427">
            <v>2264.2199999999998</v>
          </cell>
        </row>
        <row r="428">
          <cell r="AD428">
            <v>948.08199999999999</v>
          </cell>
        </row>
        <row r="429">
          <cell r="AD429">
            <v>1551.45</v>
          </cell>
        </row>
        <row r="430">
          <cell r="AD430">
            <v>4539.93</v>
          </cell>
        </row>
        <row r="431">
          <cell r="AD431">
            <v>0</v>
          </cell>
        </row>
        <row r="432">
          <cell r="AD432">
            <v>0</v>
          </cell>
        </row>
        <row r="433">
          <cell r="AD433">
            <v>1354.595</v>
          </cell>
        </row>
        <row r="434">
          <cell r="AD434">
            <v>698.78599999999994</v>
          </cell>
        </row>
        <row r="435">
          <cell r="AD435">
            <v>1093.05</v>
          </cell>
        </row>
        <row r="436">
          <cell r="AD436">
            <v>2019.8</v>
          </cell>
        </row>
        <row r="437">
          <cell r="AD437">
            <v>109.46</v>
          </cell>
        </row>
        <row r="438">
          <cell r="AD438">
            <v>2675.846</v>
          </cell>
        </row>
        <row r="439">
          <cell r="AD439">
            <v>1409.1769999999999</v>
          </cell>
        </row>
        <row r="440">
          <cell r="AD440">
            <v>0</v>
          </cell>
        </row>
        <row r="441">
          <cell r="AD441">
            <v>1E-3</v>
          </cell>
        </row>
        <row r="442">
          <cell r="AD442">
            <v>339.00400000000002</v>
          </cell>
        </row>
        <row r="443">
          <cell r="AD443">
            <v>0</v>
          </cell>
        </row>
        <row r="444">
          <cell r="AD444">
            <v>2937.0010000000002</v>
          </cell>
        </row>
        <row r="445">
          <cell r="AD445">
            <v>3125.8310000000001</v>
          </cell>
        </row>
        <row r="446">
          <cell r="AD446">
            <v>2680.5889999999999</v>
          </cell>
        </row>
        <row r="447">
          <cell r="AD447">
            <v>1307.5229999999999</v>
          </cell>
        </row>
        <row r="448">
          <cell r="AD448">
            <v>2080.44</v>
          </cell>
        </row>
        <row r="449">
          <cell r="AD449">
            <v>817.37099999999998</v>
          </cell>
        </row>
        <row r="450">
          <cell r="AD450">
            <v>543.93200000000002</v>
          </cell>
        </row>
        <row r="451">
          <cell r="AD451">
            <v>806.49099999999999</v>
          </cell>
        </row>
        <row r="452">
          <cell r="AD452">
            <v>2873.3359999999998</v>
          </cell>
        </row>
        <row r="453">
          <cell r="AD453">
            <v>1925.424</v>
          </cell>
        </row>
        <row r="454">
          <cell r="AD454">
            <v>0.58499999999999996</v>
          </cell>
        </row>
        <row r="455">
          <cell r="AD455">
            <v>33.682000000000002</v>
          </cell>
        </row>
        <row r="456">
          <cell r="AD456">
            <v>59.999000000000002</v>
          </cell>
        </row>
        <row r="457">
          <cell r="AD457">
            <v>14.327</v>
          </cell>
        </row>
        <row r="458">
          <cell r="AD458">
            <v>15.853999999999999</v>
          </cell>
        </row>
        <row r="459">
          <cell r="AD459">
            <v>1E-3</v>
          </cell>
        </row>
        <row r="460">
          <cell r="AD460">
            <v>137.39400000000001</v>
          </cell>
        </row>
        <row r="461">
          <cell r="AD461">
            <v>63.69</v>
          </cell>
        </row>
        <row r="462">
          <cell r="AD462">
            <v>87.924999999999997</v>
          </cell>
        </row>
        <row r="463">
          <cell r="AD463">
            <v>20.297999999999998</v>
          </cell>
        </row>
        <row r="464">
          <cell r="AD464">
            <v>18.196000000000002</v>
          </cell>
        </row>
        <row r="465">
          <cell r="AD465">
            <v>28.661999999999999</v>
          </cell>
        </row>
        <row r="466">
          <cell r="AD466">
            <v>53.582999999999998</v>
          </cell>
        </row>
        <row r="467">
          <cell r="AD467">
            <v>62.262</v>
          </cell>
        </row>
        <row r="468">
          <cell r="AD468">
            <v>95.058000000000007</v>
          </cell>
        </row>
        <row r="469">
          <cell r="AD469">
            <v>42.768000000000001</v>
          </cell>
        </row>
        <row r="470">
          <cell r="AD470">
            <v>23.971</v>
          </cell>
        </row>
        <row r="471">
          <cell r="AD471">
            <v>61.481000000000002</v>
          </cell>
        </row>
        <row r="472">
          <cell r="AD472">
            <v>111.43</v>
          </cell>
        </row>
        <row r="473">
          <cell r="AD473">
            <v>63.350999999999999</v>
          </cell>
        </row>
        <row r="474">
          <cell r="AD474">
            <v>34.295999999999999</v>
          </cell>
        </row>
        <row r="475">
          <cell r="AD475">
            <v>55.374000000000002</v>
          </cell>
        </row>
        <row r="476">
          <cell r="AD476">
            <v>135.63</v>
          </cell>
        </row>
        <row r="477">
          <cell r="AD477">
            <v>49.835999999999999</v>
          </cell>
        </row>
        <row r="478">
          <cell r="AD478">
            <v>14.592000000000001</v>
          </cell>
        </row>
        <row r="479">
          <cell r="AD479">
            <v>1E-3</v>
          </cell>
        </row>
        <row r="480">
          <cell r="AD480">
            <v>36.716999999999999</v>
          </cell>
        </row>
        <row r="481">
          <cell r="AD481">
            <v>57.732999999999997</v>
          </cell>
        </row>
        <row r="482">
          <cell r="AD482">
            <v>30.276</v>
          </cell>
        </row>
        <row r="483">
          <cell r="AD483">
            <v>53.018999999999998</v>
          </cell>
        </row>
        <row r="484">
          <cell r="AD484">
            <v>17.949000000000002</v>
          </cell>
        </row>
        <row r="485">
          <cell r="AD485">
            <v>0</v>
          </cell>
        </row>
        <row r="486">
          <cell r="AD486">
            <v>97.593999999999994</v>
          </cell>
        </row>
        <row r="487">
          <cell r="AD487">
            <v>74.424000000000007</v>
          </cell>
        </row>
        <row r="488">
          <cell r="AD488">
            <v>75.102999999999994</v>
          </cell>
        </row>
        <row r="489">
          <cell r="AD489">
            <v>61.124000000000002</v>
          </cell>
        </row>
        <row r="490">
          <cell r="AD490">
            <v>153.018</v>
          </cell>
        </row>
        <row r="491">
          <cell r="AD491">
            <v>54.034999999999997</v>
          </cell>
        </row>
        <row r="492">
          <cell r="AD492">
            <v>36.762999999999998</v>
          </cell>
        </row>
        <row r="493">
          <cell r="AD493">
            <v>131.61500000000001</v>
          </cell>
        </row>
        <row r="494">
          <cell r="AD494">
            <v>92.575000000000003</v>
          </cell>
        </row>
        <row r="495">
          <cell r="AD495">
            <v>125.18600000000001</v>
          </cell>
        </row>
        <row r="496">
          <cell r="AD496">
            <v>1E-3</v>
          </cell>
        </row>
        <row r="497">
          <cell r="AD497">
            <v>0</v>
          </cell>
        </row>
        <row r="498">
          <cell r="AD498">
            <v>18.329999999999998</v>
          </cell>
        </row>
        <row r="499">
          <cell r="AD499">
            <v>43.023000000000003</v>
          </cell>
        </row>
        <row r="500">
          <cell r="AD500">
            <v>129.768</v>
          </cell>
        </row>
        <row r="501">
          <cell r="AD501">
            <v>56.951999999999998</v>
          </cell>
        </row>
        <row r="502">
          <cell r="AD502">
            <v>53.75</v>
          </cell>
        </row>
        <row r="503">
          <cell r="AD503">
            <v>42.612000000000002</v>
          </cell>
        </row>
        <row r="504">
          <cell r="AD504">
            <v>53.725999999999999</v>
          </cell>
        </row>
        <row r="505">
          <cell r="AD505">
            <v>62.116999999999997</v>
          </cell>
        </row>
        <row r="506">
          <cell r="AD506">
            <v>136.83600000000001</v>
          </cell>
        </row>
        <row r="507">
          <cell r="AD507">
            <v>73.801000000000002</v>
          </cell>
        </row>
        <row r="508">
          <cell r="AD508">
            <v>71.855000000000004</v>
          </cell>
        </row>
        <row r="509">
          <cell r="AD509">
            <v>34.475999999999999</v>
          </cell>
        </row>
        <row r="510">
          <cell r="AD510">
            <v>91.26</v>
          </cell>
        </row>
        <row r="511">
          <cell r="AD511">
            <v>94.24</v>
          </cell>
        </row>
        <row r="512">
          <cell r="AD512">
            <v>10.317</v>
          </cell>
        </row>
        <row r="513">
          <cell r="AD513">
            <v>50.554000000000002</v>
          </cell>
        </row>
        <row r="514">
          <cell r="AD514">
            <v>5.3369999999999997</v>
          </cell>
        </row>
        <row r="515">
          <cell r="AD515">
            <v>31.571999999999999</v>
          </cell>
        </row>
        <row r="516">
          <cell r="AD516">
            <v>52.075000000000003</v>
          </cell>
        </row>
        <row r="517">
          <cell r="AD517">
            <v>43.837000000000003</v>
          </cell>
        </row>
        <row r="518">
          <cell r="AD518">
            <v>26.706</v>
          </cell>
        </row>
        <row r="519">
          <cell r="AD519">
            <v>64.132000000000005</v>
          </cell>
        </row>
        <row r="520">
          <cell r="AD520">
            <v>47.789000000000001</v>
          </cell>
        </row>
        <row r="521">
          <cell r="AD521">
            <v>73.212999999999994</v>
          </cell>
        </row>
        <row r="522">
          <cell r="AD522">
            <v>45.014000000000003</v>
          </cell>
        </row>
        <row r="523">
          <cell r="AD523">
            <v>49.656999999999996</v>
          </cell>
        </row>
        <row r="524">
          <cell r="AD524">
            <v>151.72999999999999</v>
          </cell>
        </row>
        <row r="525">
          <cell r="AD525">
            <v>49.247999999999998</v>
          </cell>
        </row>
        <row r="526">
          <cell r="AD526">
            <v>54.575000000000003</v>
          </cell>
        </row>
        <row r="527">
          <cell r="AD527">
            <v>72.632000000000005</v>
          </cell>
        </row>
        <row r="528">
          <cell r="AD528">
            <v>11.651</v>
          </cell>
        </row>
        <row r="529">
          <cell r="AD529">
            <v>33.945</v>
          </cell>
        </row>
        <row r="530">
          <cell r="AD530">
            <v>15.978999999999999</v>
          </cell>
        </row>
        <row r="531">
          <cell r="AD531">
            <v>111.087</v>
          </cell>
        </row>
        <row r="532">
          <cell r="AD532">
            <v>33.646999999999998</v>
          </cell>
        </row>
        <row r="533">
          <cell r="AD533">
            <v>57.985999999999997</v>
          </cell>
        </row>
        <row r="534">
          <cell r="AD534">
            <v>111.63</v>
          </cell>
        </row>
        <row r="535">
          <cell r="AD535">
            <v>66.451999999999998</v>
          </cell>
        </row>
        <row r="536">
          <cell r="AD536">
            <v>72.998999999999995</v>
          </cell>
        </row>
        <row r="537">
          <cell r="AD537">
            <v>21.512</v>
          </cell>
        </row>
        <row r="538">
          <cell r="AD538">
            <v>78.156000000000006</v>
          </cell>
        </row>
        <row r="539">
          <cell r="AD539">
            <v>55.338999999999999</v>
          </cell>
        </row>
        <row r="540">
          <cell r="AD540">
            <v>29.257000000000001</v>
          </cell>
        </row>
        <row r="541">
          <cell r="AD541">
            <v>149.875</v>
          </cell>
        </row>
        <row r="542">
          <cell r="AD542">
            <v>79.266999999999996</v>
          </cell>
        </row>
        <row r="543">
          <cell r="AD543">
            <v>75.135000000000005</v>
          </cell>
        </row>
        <row r="544">
          <cell r="AD544">
            <v>90.875</v>
          </cell>
        </row>
        <row r="545">
          <cell r="AD545">
            <v>53.664000000000001</v>
          </cell>
        </row>
        <row r="546">
          <cell r="AD546">
            <v>56.7</v>
          </cell>
        </row>
        <row r="547">
          <cell r="AD547">
            <v>41.213000000000001</v>
          </cell>
        </row>
        <row r="548">
          <cell r="AD548">
            <v>35.131999999999998</v>
          </cell>
        </row>
        <row r="549">
          <cell r="AD549">
            <v>87.281999999999996</v>
          </cell>
        </row>
        <row r="550">
          <cell r="AD550">
            <v>61.466999999999999</v>
          </cell>
        </row>
        <row r="551">
          <cell r="AD551">
            <v>84.173000000000002</v>
          </cell>
        </row>
        <row r="552">
          <cell r="AD552">
            <v>69.305000000000007</v>
          </cell>
        </row>
        <row r="553">
          <cell r="AD553">
            <v>58.783999999999999</v>
          </cell>
        </row>
        <row r="554">
          <cell r="AD554">
            <v>66.093999999999994</v>
          </cell>
        </row>
        <row r="555">
          <cell r="AD555">
            <v>30.628</v>
          </cell>
        </row>
        <row r="556">
          <cell r="AD556">
            <v>21.407</v>
          </cell>
        </row>
        <row r="557">
          <cell r="AD557">
            <v>59.639000000000003</v>
          </cell>
        </row>
        <row r="558">
          <cell r="AD558">
            <v>30.683</v>
          </cell>
        </row>
        <row r="559">
          <cell r="AD559">
            <v>33.542000000000002</v>
          </cell>
        </row>
        <row r="560">
          <cell r="AD560">
            <v>0</v>
          </cell>
        </row>
        <row r="561">
          <cell r="AD561">
            <v>43.984999999999999</v>
          </cell>
        </row>
        <row r="562">
          <cell r="AD562">
            <v>69.974999999999994</v>
          </cell>
        </row>
        <row r="563">
          <cell r="AD563">
            <v>95.1</v>
          </cell>
        </row>
        <row r="564">
          <cell r="AD564">
            <v>87.89</v>
          </cell>
        </row>
        <row r="565">
          <cell r="AD565">
            <v>91.751000000000005</v>
          </cell>
        </row>
        <row r="566">
          <cell r="AD566">
            <v>39</v>
          </cell>
        </row>
        <row r="567">
          <cell r="AD567">
            <v>1E-3</v>
          </cell>
        </row>
        <row r="568">
          <cell r="AD568">
            <v>34.401000000000003</v>
          </cell>
        </row>
        <row r="569">
          <cell r="AD569">
            <v>52.985999999999997</v>
          </cell>
        </row>
        <row r="570">
          <cell r="AD570">
            <v>27.437000000000001</v>
          </cell>
        </row>
        <row r="571">
          <cell r="AD571">
            <v>9.4410000000000007</v>
          </cell>
        </row>
        <row r="572">
          <cell r="AD572">
            <v>74.795000000000002</v>
          </cell>
        </row>
        <row r="573">
          <cell r="AD573">
            <v>53.91</v>
          </cell>
        </row>
        <row r="574">
          <cell r="AD574">
            <v>29.433</v>
          </cell>
        </row>
        <row r="575">
          <cell r="AD575">
            <v>56.887</v>
          </cell>
        </row>
        <row r="576">
          <cell r="AD576">
            <v>63.113999999999997</v>
          </cell>
        </row>
        <row r="577">
          <cell r="AD577">
            <v>110.73</v>
          </cell>
        </row>
        <row r="578">
          <cell r="AD578">
            <v>0</v>
          </cell>
        </row>
        <row r="579">
          <cell r="AD579">
            <v>49.862000000000002</v>
          </cell>
        </row>
        <row r="580">
          <cell r="AD580">
            <v>48.281999999999996</v>
          </cell>
        </row>
        <row r="581">
          <cell r="AD581">
            <v>53.765999999999998</v>
          </cell>
        </row>
        <row r="582">
          <cell r="AD582">
            <v>67.662999999999997</v>
          </cell>
        </row>
        <row r="583">
          <cell r="AD583">
            <v>14.773</v>
          </cell>
        </row>
        <row r="584">
          <cell r="AD584">
            <v>3.431</v>
          </cell>
        </row>
        <row r="585">
          <cell r="AD585">
            <v>92.257000000000005</v>
          </cell>
        </row>
        <row r="586">
          <cell r="AD586">
            <v>49.237000000000002</v>
          </cell>
        </row>
        <row r="587">
          <cell r="AD587">
            <v>12.125</v>
          </cell>
        </row>
        <row r="588">
          <cell r="AD588">
            <v>178.23699999999999</v>
          </cell>
        </row>
        <row r="589">
          <cell r="AD589">
            <v>52.847999999999999</v>
          </cell>
        </row>
        <row r="590">
          <cell r="AD590">
            <v>32.679000000000002</v>
          </cell>
        </row>
        <row r="591">
          <cell r="AD591">
            <v>59.698</v>
          </cell>
        </row>
        <row r="592">
          <cell r="AD592">
            <v>28.542999999999999</v>
          </cell>
        </row>
        <row r="593">
          <cell r="AD593">
            <v>26.908999999999999</v>
          </cell>
        </row>
        <row r="594">
          <cell r="AD594">
            <v>16.788</v>
          </cell>
        </row>
        <row r="595">
          <cell r="AD595">
            <v>26.550999999999998</v>
          </cell>
        </row>
        <row r="596">
          <cell r="AD596">
            <v>141.84299999999999</v>
          </cell>
        </row>
        <row r="597">
          <cell r="AD597">
            <v>106.777</v>
          </cell>
        </row>
      </sheetData>
      <sheetData sheetId="6">
        <row r="1">
          <cell r="U1" t="str">
            <v>שווי הוגן (באלפי ש"ח)</v>
          </cell>
        </row>
        <row r="2">
          <cell r="U2">
            <v>111.19199999999999</v>
          </cell>
        </row>
        <row r="3">
          <cell r="U3">
            <v>118.065</v>
          </cell>
        </row>
        <row r="4">
          <cell r="U4">
            <v>8.66</v>
          </cell>
        </row>
        <row r="5">
          <cell r="U5">
            <v>157.959</v>
          </cell>
        </row>
        <row r="6">
          <cell r="U6">
            <v>21</v>
          </cell>
        </row>
        <row r="7">
          <cell r="U7">
            <v>12.351000000000001</v>
          </cell>
        </row>
        <row r="8">
          <cell r="U8">
            <v>291.02199999999999</v>
          </cell>
        </row>
        <row r="9">
          <cell r="U9">
            <v>49.509</v>
          </cell>
        </row>
        <row r="10">
          <cell r="U10">
            <v>41.558</v>
          </cell>
        </row>
        <row r="11">
          <cell r="U11">
            <v>41.081000000000003</v>
          </cell>
        </row>
        <row r="12">
          <cell r="U12">
            <v>149.691</v>
          </cell>
        </row>
        <row r="13">
          <cell r="U13">
            <v>109.32899999999999</v>
          </cell>
        </row>
        <row r="14">
          <cell r="U14">
            <v>22.963999999999999</v>
          </cell>
        </row>
        <row r="15">
          <cell r="U15">
            <v>12.943</v>
          </cell>
        </row>
        <row r="16">
          <cell r="U16">
            <v>85.138000000000005</v>
          </cell>
        </row>
        <row r="17">
          <cell r="U17">
            <v>122.72</v>
          </cell>
        </row>
        <row r="18">
          <cell r="U18">
            <v>144.37100000000001</v>
          </cell>
        </row>
        <row r="19">
          <cell r="U19">
            <v>197.98400000000001</v>
          </cell>
        </row>
        <row r="20">
          <cell r="U20">
            <v>132.816</v>
          </cell>
        </row>
        <row r="21">
          <cell r="U21">
            <v>8.1630000000000003</v>
          </cell>
        </row>
        <row r="22">
          <cell r="U22">
            <v>115.504</v>
          </cell>
        </row>
        <row r="23">
          <cell r="U23">
            <v>12.824</v>
          </cell>
        </row>
        <row r="24">
          <cell r="U24">
            <v>21.31</v>
          </cell>
        </row>
        <row r="25">
          <cell r="U25">
            <v>136.489</v>
          </cell>
        </row>
        <row r="26">
          <cell r="U26">
            <v>18.314</v>
          </cell>
        </row>
        <row r="27">
          <cell r="U27">
            <v>52.781999999999996</v>
          </cell>
        </row>
        <row r="28">
          <cell r="U28">
            <v>7.2149999999999999</v>
          </cell>
        </row>
        <row r="29">
          <cell r="U29">
            <v>31.573</v>
          </cell>
        </row>
        <row r="30">
          <cell r="U30">
            <v>115.455</v>
          </cell>
        </row>
        <row r="31">
          <cell r="U31">
            <v>35.594999999999999</v>
          </cell>
        </row>
        <row r="32">
          <cell r="U32">
            <v>200.45500000000001</v>
          </cell>
        </row>
        <row r="33">
          <cell r="U33">
            <v>224.10400000000001</v>
          </cell>
        </row>
        <row r="34">
          <cell r="U34">
            <v>68.918999999999997</v>
          </cell>
        </row>
        <row r="35">
          <cell r="U35">
            <v>32.780999999999999</v>
          </cell>
        </row>
        <row r="36">
          <cell r="U36">
            <v>24.890999999999998</v>
          </cell>
        </row>
        <row r="37">
          <cell r="U37">
            <v>8.81</v>
          </cell>
        </row>
        <row r="38">
          <cell r="U38">
            <v>42.69</v>
          </cell>
        </row>
        <row r="39">
          <cell r="U39">
            <v>420.87099999999998</v>
          </cell>
        </row>
        <row r="40">
          <cell r="U40">
            <v>34.020000000000003</v>
          </cell>
        </row>
        <row r="41">
          <cell r="U41">
            <v>14.023999999999999</v>
          </cell>
        </row>
        <row r="42">
          <cell r="U42">
            <v>6.1749999999999998</v>
          </cell>
        </row>
        <row r="43">
          <cell r="U43">
            <v>308.61099999999999</v>
          </cell>
        </row>
        <row r="44">
          <cell r="U44">
            <v>215.41300000000001</v>
          </cell>
        </row>
        <row r="45">
          <cell r="U45">
            <v>98.72</v>
          </cell>
        </row>
        <row r="46">
          <cell r="U46">
            <v>64.727999999999994</v>
          </cell>
        </row>
        <row r="47">
          <cell r="U47">
            <v>109.53100000000001</v>
          </cell>
        </row>
        <row r="48">
          <cell r="U48">
            <v>27.542000000000002</v>
          </cell>
        </row>
        <row r="49">
          <cell r="U49">
            <v>94.08</v>
          </cell>
        </row>
        <row r="50">
          <cell r="U50">
            <v>64.203000000000003</v>
          </cell>
        </row>
        <row r="51">
          <cell r="U51">
            <v>92.93</v>
          </cell>
        </row>
        <row r="52">
          <cell r="U52">
            <v>138.40199999999999</v>
          </cell>
        </row>
        <row r="53">
          <cell r="U53">
            <v>298.226</v>
          </cell>
        </row>
        <row r="54">
          <cell r="U54">
            <v>89.468000000000004</v>
          </cell>
        </row>
        <row r="55">
          <cell r="U55">
            <v>133.54</v>
          </cell>
        </row>
        <row r="56">
          <cell r="U56">
            <v>100.01300000000001</v>
          </cell>
        </row>
        <row r="57">
          <cell r="U57">
            <v>46.69</v>
          </cell>
        </row>
        <row r="58">
          <cell r="U58">
            <v>115.01600000000001</v>
          </cell>
        </row>
        <row r="59">
          <cell r="U59">
            <v>7.56</v>
          </cell>
        </row>
        <row r="60">
          <cell r="U60">
            <v>13.458</v>
          </cell>
        </row>
        <row r="61">
          <cell r="U61">
            <v>22.608000000000001</v>
          </cell>
        </row>
        <row r="62">
          <cell r="U62">
            <v>131.93199999999999</v>
          </cell>
        </row>
        <row r="63">
          <cell r="U63">
            <v>310.75799999999998</v>
          </cell>
        </row>
        <row r="64">
          <cell r="U64">
            <v>67.102999999999994</v>
          </cell>
        </row>
        <row r="65">
          <cell r="U65">
            <v>57.03</v>
          </cell>
        </row>
        <row r="66">
          <cell r="U66">
            <v>16.654</v>
          </cell>
        </row>
        <row r="67">
          <cell r="U67">
            <v>87.512</v>
          </cell>
        </row>
        <row r="68">
          <cell r="U68">
            <v>85.965999999999994</v>
          </cell>
        </row>
        <row r="69">
          <cell r="U69">
            <v>96.994</v>
          </cell>
        </row>
        <row r="70">
          <cell r="U70">
            <v>34.906999999999996</v>
          </cell>
        </row>
        <row r="71">
          <cell r="U71">
            <v>45.106999999999999</v>
          </cell>
        </row>
        <row r="72">
          <cell r="U72">
            <v>3.8460000000000001</v>
          </cell>
        </row>
        <row r="73">
          <cell r="U73">
            <v>12.679</v>
          </cell>
        </row>
        <row r="74">
          <cell r="U74">
            <v>65.069999999999993</v>
          </cell>
        </row>
        <row r="75">
          <cell r="U75">
            <v>79.546999999999997</v>
          </cell>
        </row>
        <row r="76">
          <cell r="U76">
            <v>59.28</v>
          </cell>
        </row>
        <row r="77">
          <cell r="U77">
            <v>3.06</v>
          </cell>
        </row>
        <row r="78">
          <cell r="U78">
            <v>78.95</v>
          </cell>
        </row>
        <row r="79">
          <cell r="U79">
            <v>61.136000000000003</v>
          </cell>
        </row>
        <row r="80">
          <cell r="U80">
            <v>21.454000000000001</v>
          </cell>
        </row>
        <row r="81">
          <cell r="U81">
            <v>27.76</v>
          </cell>
        </row>
        <row r="82">
          <cell r="U82">
            <v>46.405000000000001</v>
          </cell>
        </row>
        <row r="83">
          <cell r="U83">
            <v>39.429000000000002</v>
          </cell>
        </row>
        <row r="84">
          <cell r="U84">
            <v>42.31</v>
          </cell>
        </row>
        <row r="85">
          <cell r="U85">
            <v>34.064999999999998</v>
          </cell>
        </row>
        <row r="86">
          <cell r="U86">
            <v>13.686</v>
          </cell>
        </row>
        <row r="87">
          <cell r="U87">
            <v>160.511</v>
          </cell>
        </row>
        <row r="88">
          <cell r="U88">
            <v>13.715999999999999</v>
          </cell>
        </row>
        <row r="89">
          <cell r="U89">
            <v>10.252000000000001</v>
          </cell>
        </row>
        <row r="90">
          <cell r="U90">
            <v>72.822000000000003</v>
          </cell>
        </row>
        <row r="91">
          <cell r="U91">
            <v>190.19800000000001</v>
          </cell>
        </row>
        <row r="92">
          <cell r="U92">
            <v>6.4960000000000004</v>
          </cell>
        </row>
        <row r="93">
          <cell r="U93">
            <v>38.643000000000001</v>
          </cell>
        </row>
        <row r="94">
          <cell r="U94">
            <v>22.933</v>
          </cell>
        </row>
        <row r="95">
          <cell r="U95">
            <v>0.08</v>
          </cell>
        </row>
        <row r="96">
          <cell r="U96">
            <v>38.286000000000001</v>
          </cell>
        </row>
        <row r="97">
          <cell r="U97">
            <v>158.096</v>
          </cell>
        </row>
        <row r="98">
          <cell r="U98">
            <v>147.23400000000001</v>
          </cell>
        </row>
        <row r="99">
          <cell r="U99">
            <v>209.51900000000001</v>
          </cell>
        </row>
        <row r="100">
          <cell r="U100">
            <v>42</v>
          </cell>
        </row>
        <row r="101">
          <cell r="U101">
            <v>336.02600000000001</v>
          </cell>
        </row>
        <row r="102">
          <cell r="U102">
            <v>64.058000000000007</v>
          </cell>
        </row>
        <row r="103">
          <cell r="U103">
            <v>65.792000000000002</v>
          </cell>
        </row>
        <row r="104">
          <cell r="U104">
            <v>73.471000000000004</v>
          </cell>
        </row>
        <row r="105">
          <cell r="U105">
            <v>98.38</v>
          </cell>
        </row>
        <row r="106">
          <cell r="U106">
            <v>88.337999999999994</v>
          </cell>
        </row>
        <row r="107">
          <cell r="U107">
            <v>29.222000000000001</v>
          </cell>
        </row>
        <row r="108">
          <cell r="U108">
            <v>19.866</v>
          </cell>
        </row>
        <row r="109">
          <cell r="U109">
            <v>88.2</v>
          </cell>
        </row>
        <row r="110">
          <cell r="U110">
            <v>61.36</v>
          </cell>
        </row>
        <row r="111">
          <cell r="U111">
            <v>73.796000000000006</v>
          </cell>
        </row>
        <row r="112">
          <cell r="U112">
            <v>254.73599999999999</v>
          </cell>
        </row>
        <row r="113">
          <cell r="U113">
            <v>161.08600000000001</v>
          </cell>
        </row>
        <row r="114">
          <cell r="U114">
            <v>22.574999999999999</v>
          </cell>
        </row>
        <row r="115">
          <cell r="U115">
            <v>176.62</v>
          </cell>
        </row>
        <row r="116">
          <cell r="U116">
            <v>40.572000000000003</v>
          </cell>
        </row>
        <row r="117">
          <cell r="U117">
            <v>34.026000000000003</v>
          </cell>
        </row>
        <row r="118">
          <cell r="U118">
            <v>219.01300000000001</v>
          </cell>
        </row>
        <row r="119">
          <cell r="U119">
            <v>32.951000000000001</v>
          </cell>
        </row>
        <row r="120">
          <cell r="U120">
            <v>22.606999999999999</v>
          </cell>
        </row>
        <row r="121">
          <cell r="U121">
            <v>48.695</v>
          </cell>
        </row>
        <row r="122">
          <cell r="U122">
            <v>89.35</v>
          </cell>
        </row>
        <row r="123">
          <cell r="U123">
            <v>49.832999999999998</v>
          </cell>
        </row>
        <row r="124">
          <cell r="U124">
            <v>304.04399999999998</v>
          </cell>
        </row>
        <row r="125">
          <cell r="U125">
            <v>393.69200000000001</v>
          </cell>
        </row>
        <row r="126">
          <cell r="U126">
            <v>42.097999999999999</v>
          </cell>
        </row>
        <row r="127">
          <cell r="U127">
            <v>92.143000000000001</v>
          </cell>
        </row>
        <row r="128">
          <cell r="U128">
            <v>51.637</v>
          </cell>
        </row>
        <row r="129">
          <cell r="U129">
            <v>41.198</v>
          </cell>
        </row>
        <row r="130">
          <cell r="U130">
            <v>26.125</v>
          </cell>
        </row>
        <row r="131">
          <cell r="U131">
            <v>73.099999999999994</v>
          </cell>
        </row>
        <row r="132">
          <cell r="U132">
            <v>466.178</v>
          </cell>
        </row>
        <row r="133">
          <cell r="U133">
            <v>36.183</v>
          </cell>
        </row>
        <row r="134">
          <cell r="U134">
            <v>91.96</v>
          </cell>
        </row>
        <row r="135">
          <cell r="U135">
            <v>401.61099999999999</v>
          </cell>
        </row>
        <row r="136">
          <cell r="U136">
            <v>537.28</v>
          </cell>
        </row>
        <row r="137">
          <cell r="U137">
            <v>97.486000000000004</v>
          </cell>
        </row>
        <row r="138">
          <cell r="U138">
            <v>71.177000000000007</v>
          </cell>
        </row>
        <row r="139">
          <cell r="U139">
            <v>180.649</v>
          </cell>
        </row>
        <row r="140">
          <cell r="U140">
            <v>45.356000000000002</v>
          </cell>
        </row>
        <row r="141">
          <cell r="U141">
            <v>89.471999999999994</v>
          </cell>
        </row>
        <row r="142">
          <cell r="U142">
            <v>84.1</v>
          </cell>
        </row>
        <row r="143">
          <cell r="U143">
            <v>175.52699999999999</v>
          </cell>
        </row>
        <row r="144">
          <cell r="U144">
            <v>339.197</v>
          </cell>
        </row>
        <row r="145">
          <cell r="U145">
            <v>62.198</v>
          </cell>
        </row>
        <row r="146">
          <cell r="U146">
            <v>196.33500000000001</v>
          </cell>
        </row>
        <row r="147">
          <cell r="U147">
            <v>78.867000000000004</v>
          </cell>
        </row>
        <row r="148">
          <cell r="U148">
            <v>60.661999999999999</v>
          </cell>
        </row>
        <row r="149">
          <cell r="U149">
            <v>196.46899999999999</v>
          </cell>
        </row>
        <row r="150">
          <cell r="U150">
            <v>31.268000000000001</v>
          </cell>
        </row>
        <row r="151">
          <cell r="U151">
            <v>24.030999999999999</v>
          </cell>
        </row>
        <row r="152">
          <cell r="U152">
            <v>222.36500000000001</v>
          </cell>
        </row>
        <row r="153">
          <cell r="U153">
            <v>413.762</v>
          </cell>
        </row>
        <row r="154">
          <cell r="U154">
            <v>88.346000000000004</v>
          </cell>
        </row>
        <row r="155">
          <cell r="U155">
            <v>38.591999999999999</v>
          </cell>
        </row>
        <row r="156">
          <cell r="U156">
            <v>35.631999999999998</v>
          </cell>
        </row>
        <row r="157">
          <cell r="U157">
            <v>75.938000000000002</v>
          </cell>
        </row>
        <row r="158">
          <cell r="U158">
            <v>47.369</v>
          </cell>
        </row>
        <row r="159">
          <cell r="U159">
            <v>126.324</v>
          </cell>
        </row>
        <row r="160">
          <cell r="U160">
            <v>54.697000000000003</v>
          </cell>
        </row>
        <row r="161">
          <cell r="U161">
            <v>103.961</v>
          </cell>
        </row>
        <row r="162">
          <cell r="U162">
            <v>10.69</v>
          </cell>
        </row>
        <row r="163">
          <cell r="U163">
            <v>18.206</v>
          </cell>
        </row>
        <row r="164">
          <cell r="U164">
            <v>32.396999999999998</v>
          </cell>
        </row>
        <row r="165">
          <cell r="U165">
            <v>93.010999999999996</v>
          </cell>
        </row>
        <row r="166">
          <cell r="U166">
            <v>75.92</v>
          </cell>
        </row>
        <row r="167">
          <cell r="U167">
            <v>97.611000000000004</v>
          </cell>
        </row>
        <row r="168">
          <cell r="U168">
            <v>75.415999999999997</v>
          </cell>
        </row>
        <row r="169">
          <cell r="U169">
            <v>22.22</v>
          </cell>
        </row>
        <row r="170">
          <cell r="U170">
            <v>58.436999999999998</v>
          </cell>
        </row>
        <row r="171">
          <cell r="U171">
            <v>44.686</v>
          </cell>
        </row>
        <row r="172">
          <cell r="U172">
            <v>62.220999999999997</v>
          </cell>
        </row>
        <row r="173">
          <cell r="U173">
            <v>40.335000000000001</v>
          </cell>
        </row>
        <row r="174">
          <cell r="U174">
            <v>43.012999999999998</v>
          </cell>
        </row>
        <row r="175">
          <cell r="U175">
            <v>178.25800000000001</v>
          </cell>
        </row>
        <row r="176">
          <cell r="U176">
            <v>30.187000000000001</v>
          </cell>
        </row>
        <row r="177">
          <cell r="U177">
            <v>71.864000000000004</v>
          </cell>
        </row>
        <row r="178">
          <cell r="U178">
            <v>259.45800000000003</v>
          </cell>
        </row>
        <row r="179">
          <cell r="U179">
            <v>19.771000000000001</v>
          </cell>
        </row>
        <row r="180">
          <cell r="U180">
            <v>60.723999999999997</v>
          </cell>
        </row>
        <row r="181">
          <cell r="U181">
            <v>51.783999999999999</v>
          </cell>
        </row>
        <row r="182">
          <cell r="U182">
            <v>7.9000000000000001E-2</v>
          </cell>
        </row>
        <row r="183">
          <cell r="U183">
            <v>76.572999999999993</v>
          </cell>
        </row>
        <row r="184">
          <cell r="U184">
            <v>2887.9989999999998</v>
          </cell>
        </row>
        <row r="185">
          <cell r="U185">
            <v>2599.0970000000002</v>
          </cell>
        </row>
        <row r="186">
          <cell r="U186">
            <v>4376.1779999999999</v>
          </cell>
        </row>
        <row r="187">
          <cell r="U187">
            <v>1764</v>
          </cell>
        </row>
        <row r="188">
          <cell r="U188">
            <v>7955.11</v>
          </cell>
        </row>
        <row r="189">
          <cell r="U189">
            <v>1446.7139999999999</v>
          </cell>
        </row>
        <row r="190">
          <cell r="U190">
            <v>947.72500000000002</v>
          </cell>
        </row>
        <row r="191">
          <cell r="U191">
            <v>2073.1550000000002</v>
          </cell>
        </row>
        <row r="192">
          <cell r="U192">
            <v>1557.001</v>
          </cell>
        </row>
        <row r="193">
          <cell r="U193">
            <v>2076.0700000000002</v>
          </cell>
        </row>
        <row r="194">
          <cell r="U194">
            <v>942.81500000000005</v>
          </cell>
        </row>
        <row r="195">
          <cell r="U195">
            <v>614.55999999999995</v>
          </cell>
        </row>
        <row r="196">
          <cell r="U196">
            <v>1871.5550000000001</v>
          </cell>
        </row>
        <row r="197">
          <cell r="U197">
            <v>1610.7</v>
          </cell>
        </row>
        <row r="198">
          <cell r="U198">
            <v>2513.384</v>
          </cell>
        </row>
        <row r="199">
          <cell r="U199">
            <v>5649.3239999999996</v>
          </cell>
        </row>
        <row r="200">
          <cell r="U200">
            <v>4855.7219999999998</v>
          </cell>
        </row>
        <row r="201">
          <cell r="U201">
            <v>1041.2329999999999</v>
          </cell>
        </row>
        <row r="202">
          <cell r="U202">
            <v>5561.0230000000001</v>
          </cell>
        </row>
        <row r="203">
          <cell r="U203">
            <v>1577.4380000000001</v>
          </cell>
        </row>
        <row r="204">
          <cell r="U204">
            <v>500.642</v>
          </cell>
        </row>
        <row r="205">
          <cell r="U205">
            <v>4862.1809999999996</v>
          </cell>
        </row>
        <row r="206">
          <cell r="U206">
            <v>1972.98</v>
          </cell>
        </row>
        <row r="207">
          <cell r="U207">
            <v>1048.9269999999999</v>
          </cell>
        </row>
        <row r="208">
          <cell r="U208">
            <v>760.94200000000001</v>
          </cell>
        </row>
        <row r="209">
          <cell r="U209">
            <v>826.83500000000004</v>
          </cell>
        </row>
        <row r="210">
          <cell r="U210">
            <v>2233.752</v>
          </cell>
        </row>
        <row r="211">
          <cell r="U211">
            <v>1324.134</v>
          </cell>
        </row>
        <row r="212">
          <cell r="U212">
            <v>4984.665</v>
          </cell>
        </row>
        <row r="213">
          <cell r="U213">
            <v>6990.0550000000003</v>
          </cell>
        </row>
        <row r="214">
          <cell r="U214">
            <v>967.90700000000004</v>
          </cell>
        </row>
        <row r="215">
          <cell r="U215">
            <v>1292.2550000000001</v>
          </cell>
        </row>
        <row r="216">
          <cell r="U216">
            <v>944.13</v>
          </cell>
        </row>
        <row r="217">
          <cell r="U217">
            <v>850.45500000000004</v>
          </cell>
        </row>
        <row r="218">
          <cell r="U218">
            <v>0</v>
          </cell>
        </row>
        <row r="219">
          <cell r="U219">
            <v>2187.0059999999999</v>
          </cell>
        </row>
        <row r="220">
          <cell r="U220">
            <v>10553.123</v>
          </cell>
        </row>
        <row r="221">
          <cell r="U221">
            <v>1413.491</v>
          </cell>
        </row>
        <row r="222">
          <cell r="U222">
            <v>1782.9179999999999</v>
          </cell>
        </row>
        <row r="223">
          <cell r="U223">
            <v>5153.2420000000002</v>
          </cell>
        </row>
        <row r="224">
          <cell r="U224">
            <v>13493.177</v>
          </cell>
        </row>
        <row r="225">
          <cell r="U225">
            <v>2070.0349999999999</v>
          </cell>
        </row>
        <row r="226">
          <cell r="U226">
            <v>1280.057</v>
          </cell>
        </row>
        <row r="227">
          <cell r="U227">
            <v>7857.8040000000001</v>
          </cell>
        </row>
        <row r="228">
          <cell r="U228">
            <v>1645.4880000000001</v>
          </cell>
        </row>
        <row r="229">
          <cell r="U229">
            <v>1744.896</v>
          </cell>
        </row>
        <row r="230">
          <cell r="U230">
            <v>2426.4340000000002</v>
          </cell>
        </row>
        <row r="231">
          <cell r="U231">
            <v>4592.0159999999996</v>
          </cell>
        </row>
        <row r="232">
          <cell r="U232">
            <v>8299.8410000000003</v>
          </cell>
        </row>
        <row r="233">
          <cell r="U233">
            <v>732.08399999999995</v>
          </cell>
        </row>
        <row r="234">
          <cell r="U234">
            <v>4149.8530000000001</v>
          </cell>
        </row>
        <row r="235">
          <cell r="U235">
            <v>1983.105</v>
          </cell>
        </row>
        <row r="236">
          <cell r="U236">
            <v>786.90700000000004</v>
          </cell>
        </row>
        <row r="237">
          <cell r="U237">
            <v>6144.8450000000003</v>
          </cell>
        </row>
        <row r="238">
          <cell r="U238">
            <v>1263.9079999999999</v>
          </cell>
        </row>
        <row r="239">
          <cell r="U239">
            <v>5182.5200000000004</v>
          </cell>
        </row>
        <row r="240">
          <cell r="U240">
            <v>10381.332</v>
          </cell>
        </row>
        <row r="241">
          <cell r="U241">
            <v>2369.1669999999999</v>
          </cell>
        </row>
        <row r="242">
          <cell r="U242">
            <v>1790.6690000000001</v>
          </cell>
        </row>
        <row r="243">
          <cell r="U243">
            <v>1268.4079999999999</v>
          </cell>
        </row>
        <row r="244">
          <cell r="U244">
            <v>1432.0809999999999</v>
          </cell>
        </row>
        <row r="245">
          <cell r="U245">
            <v>2236.86</v>
          </cell>
        </row>
        <row r="246">
          <cell r="U246">
            <v>3328.5650000000001</v>
          </cell>
        </row>
        <row r="247">
          <cell r="U247">
            <v>441.49200000000002</v>
          </cell>
        </row>
        <row r="248">
          <cell r="U248">
            <v>491.58800000000002</v>
          </cell>
        </row>
        <row r="249">
          <cell r="U249">
            <v>652.15099999999995</v>
          </cell>
        </row>
        <row r="250">
          <cell r="U250">
            <v>1031.636</v>
          </cell>
        </row>
        <row r="251">
          <cell r="U251">
            <v>1406.768</v>
          </cell>
        </row>
        <row r="252">
          <cell r="U252">
            <v>2288</v>
          </cell>
        </row>
        <row r="253">
          <cell r="U253">
            <v>1765.1379999999999</v>
          </cell>
        </row>
        <row r="254">
          <cell r="U254">
            <v>1597.13</v>
          </cell>
        </row>
        <row r="255">
          <cell r="U255">
            <v>792.37</v>
          </cell>
        </row>
        <row r="256">
          <cell r="U256">
            <v>1644.5550000000001</v>
          </cell>
        </row>
        <row r="257">
          <cell r="U257">
            <v>1377.373</v>
          </cell>
        </row>
        <row r="258">
          <cell r="U258">
            <v>2025.915</v>
          </cell>
        </row>
        <row r="259">
          <cell r="U259">
            <v>951.33600000000001</v>
          </cell>
        </row>
        <row r="260">
          <cell r="U260">
            <v>1825.135</v>
          </cell>
        </row>
        <row r="261">
          <cell r="U261">
            <v>3589.4340000000002</v>
          </cell>
        </row>
        <row r="262">
          <cell r="U262">
            <v>1423.3420000000001</v>
          </cell>
        </row>
        <row r="263">
          <cell r="U263">
            <v>1529.9860000000001</v>
          </cell>
        </row>
        <row r="264">
          <cell r="U264">
            <v>5099.6350000000002</v>
          </cell>
        </row>
        <row r="265">
          <cell r="U265">
            <v>882.05600000000004</v>
          </cell>
        </row>
        <row r="266">
          <cell r="U266">
            <v>2097.7399999999998</v>
          </cell>
        </row>
        <row r="267">
          <cell r="U267">
            <v>1941.912</v>
          </cell>
        </row>
        <row r="268">
          <cell r="U268">
            <v>1.569</v>
          </cell>
        </row>
        <row r="269">
          <cell r="U269">
            <v>0.16</v>
          </cell>
        </row>
        <row r="270">
          <cell r="U270">
            <v>281.80799999999999</v>
          </cell>
        </row>
        <row r="271">
          <cell r="U271">
            <v>1876.028</v>
          </cell>
        </row>
        <row r="272">
          <cell r="U272">
            <v>67.977999999999994</v>
          </cell>
        </row>
        <row r="273">
          <cell r="U273">
            <v>63.338000000000001</v>
          </cell>
        </row>
        <row r="274">
          <cell r="U274">
            <v>83.516999999999996</v>
          </cell>
        </row>
        <row r="275">
          <cell r="U275">
            <v>63</v>
          </cell>
        </row>
        <row r="276">
          <cell r="U276">
            <v>133.51</v>
          </cell>
        </row>
        <row r="277">
          <cell r="U277">
            <v>34.610999999999997</v>
          </cell>
        </row>
        <row r="278">
          <cell r="U278">
            <v>15.602</v>
          </cell>
        </row>
        <row r="279">
          <cell r="U279">
            <v>38.368000000000002</v>
          </cell>
        </row>
        <row r="280">
          <cell r="U280">
            <v>66.691000000000003</v>
          </cell>
        </row>
        <row r="281">
          <cell r="U281">
            <v>21.533999999999999</v>
          </cell>
        </row>
        <row r="282">
          <cell r="U282">
            <v>0.60199999999999998</v>
          </cell>
        </row>
        <row r="283">
          <cell r="U283">
            <v>50.96</v>
          </cell>
        </row>
        <row r="284">
          <cell r="U284">
            <v>53.69</v>
          </cell>
        </row>
        <row r="285">
          <cell r="U285">
            <v>64.849000000000004</v>
          </cell>
        </row>
        <row r="286">
          <cell r="U286">
            <v>98.025000000000006</v>
          </cell>
        </row>
        <row r="287">
          <cell r="U287">
            <v>88.950999999999993</v>
          </cell>
        </row>
        <row r="288">
          <cell r="U288">
            <v>32.905999999999999</v>
          </cell>
        </row>
        <row r="289">
          <cell r="U289">
            <v>114.944</v>
          </cell>
        </row>
        <row r="290">
          <cell r="U290">
            <v>95.075000000000003</v>
          </cell>
        </row>
        <row r="291">
          <cell r="U291">
            <v>32.951000000000001</v>
          </cell>
        </row>
        <row r="292">
          <cell r="U292">
            <v>18.748999999999999</v>
          </cell>
        </row>
        <row r="293">
          <cell r="U293">
            <v>74.457999999999998</v>
          </cell>
        </row>
        <row r="294">
          <cell r="U294">
            <v>35.594999999999999</v>
          </cell>
        </row>
        <row r="295">
          <cell r="U295">
            <v>109.82599999999999</v>
          </cell>
        </row>
        <row r="296">
          <cell r="U296">
            <v>160.155</v>
          </cell>
        </row>
        <row r="297">
          <cell r="U297">
            <v>19.53</v>
          </cell>
        </row>
        <row r="298">
          <cell r="U298">
            <v>37.082000000000001</v>
          </cell>
        </row>
        <row r="299">
          <cell r="U299">
            <v>4.2699999999999996</v>
          </cell>
        </row>
        <row r="300">
          <cell r="U300">
            <v>11.444000000000001</v>
          </cell>
        </row>
        <row r="301">
          <cell r="U301">
            <v>28.852</v>
          </cell>
        </row>
        <row r="302">
          <cell r="U302">
            <v>30.263000000000002</v>
          </cell>
        </row>
        <row r="303">
          <cell r="U303">
            <v>247.10900000000001</v>
          </cell>
        </row>
        <row r="304">
          <cell r="U304">
            <v>44.671999999999997</v>
          </cell>
        </row>
        <row r="305">
          <cell r="U305">
            <v>44.456000000000003</v>
          </cell>
        </row>
        <row r="306">
          <cell r="U306">
            <v>158.47200000000001</v>
          </cell>
        </row>
        <row r="307">
          <cell r="U307">
            <v>244.78200000000001</v>
          </cell>
        </row>
        <row r="308">
          <cell r="U308">
            <v>46.892000000000003</v>
          </cell>
        </row>
        <row r="309">
          <cell r="U309">
            <v>17.05</v>
          </cell>
        </row>
        <row r="310">
          <cell r="U310">
            <v>96.141000000000005</v>
          </cell>
        </row>
        <row r="311">
          <cell r="U311">
            <v>38.207000000000001</v>
          </cell>
        </row>
        <row r="312">
          <cell r="U312">
            <v>40.704000000000001</v>
          </cell>
        </row>
        <row r="313">
          <cell r="U313">
            <v>46.427999999999997</v>
          </cell>
        </row>
        <row r="314">
          <cell r="U314">
            <v>91.772999999999996</v>
          </cell>
        </row>
        <row r="315">
          <cell r="U315">
            <v>162.929</v>
          </cell>
        </row>
        <row r="316">
          <cell r="U316">
            <v>29.231000000000002</v>
          </cell>
        </row>
        <row r="317">
          <cell r="U317">
            <v>87.585999999999999</v>
          </cell>
        </row>
        <row r="318">
          <cell r="U318">
            <v>35.433</v>
          </cell>
        </row>
        <row r="319">
          <cell r="U319">
            <v>71.522999999999996</v>
          </cell>
        </row>
        <row r="320">
          <cell r="U320">
            <v>92.6</v>
          </cell>
        </row>
        <row r="321">
          <cell r="U321">
            <v>177.12299999999999</v>
          </cell>
        </row>
        <row r="322">
          <cell r="U322">
            <v>33.383000000000003</v>
          </cell>
        </row>
        <row r="323">
          <cell r="U323">
            <v>30.015999999999998</v>
          </cell>
        </row>
        <row r="324">
          <cell r="U324">
            <v>41.634999999999998</v>
          </cell>
        </row>
        <row r="325">
          <cell r="U325">
            <v>48.656999999999996</v>
          </cell>
        </row>
        <row r="326">
          <cell r="U326">
            <v>69.590999999999994</v>
          </cell>
        </row>
        <row r="327">
          <cell r="U327">
            <v>55.176000000000002</v>
          </cell>
        </row>
        <row r="328">
          <cell r="U328">
            <v>15.513</v>
          </cell>
        </row>
        <row r="329">
          <cell r="U329">
            <v>25.033000000000001</v>
          </cell>
        </row>
        <row r="330">
          <cell r="U330">
            <v>26.643999999999998</v>
          </cell>
        </row>
        <row r="331">
          <cell r="U331">
            <v>36.988</v>
          </cell>
        </row>
        <row r="332">
          <cell r="U332">
            <v>79.040000000000006</v>
          </cell>
        </row>
        <row r="333">
          <cell r="U333">
            <v>37.322000000000003</v>
          </cell>
        </row>
        <row r="334">
          <cell r="U334">
            <v>36.146000000000001</v>
          </cell>
        </row>
        <row r="335">
          <cell r="U335">
            <v>56.718000000000004</v>
          </cell>
        </row>
        <row r="336">
          <cell r="U336">
            <v>39.429000000000002</v>
          </cell>
        </row>
        <row r="337">
          <cell r="U337">
            <v>62.220999999999997</v>
          </cell>
        </row>
        <row r="338">
          <cell r="U338">
            <v>56.698999999999998</v>
          </cell>
        </row>
        <row r="339">
          <cell r="U339">
            <v>84.04</v>
          </cell>
        </row>
        <row r="340">
          <cell r="U340">
            <v>43.856000000000002</v>
          </cell>
        </row>
        <row r="341">
          <cell r="U341">
            <v>98.453999999999994</v>
          </cell>
        </row>
        <row r="342">
          <cell r="U342">
            <v>80.447999999999993</v>
          </cell>
        </row>
        <row r="343">
          <cell r="U343">
            <v>27.678999999999998</v>
          </cell>
        </row>
        <row r="344">
          <cell r="U344">
            <v>69.004999999999995</v>
          </cell>
        </row>
        <row r="345">
          <cell r="U345">
            <v>42.167000000000002</v>
          </cell>
        </row>
        <row r="346">
          <cell r="U346">
            <v>0.108</v>
          </cell>
        </row>
        <row r="347">
          <cell r="U347">
            <v>76.572999999999993</v>
          </cell>
        </row>
      </sheetData>
      <sheetData sheetId="7">
        <row r="1">
          <cell r="T1" t="str">
            <v>שווי הוגן (באלפי ש"ח)</v>
          </cell>
        </row>
        <row r="2">
          <cell r="T2">
            <v>61.576999999999998</v>
          </cell>
        </row>
        <row r="3">
          <cell r="T3">
            <v>428.69900000000001</v>
          </cell>
        </row>
        <row r="4">
          <cell r="T4">
            <v>31.003</v>
          </cell>
        </row>
        <row r="5">
          <cell r="T5">
            <v>88.307000000000002</v>
          </cell>
        </row>
        <row r="6">
          <cell r="T6">
            <v>128.952</v>
          </cell>
        </row>
        <row r="7">
          <cell r="T7">
            <v>607.73</v>
          </cell>
        </row>
        <row r="8">
          <cell r="T8">
            <v>321.25299999999999</v>
          </cell>
        </row>
        <row r="9">
          <cell r="T9">
            <v>110.274</v>
          </cell>
        </row>
        <row r="10">
          <cell r="T10">
            <v>331.41800000000001</v>
          </cell>
        </row>
        <row r="11">
          <cell r="T11">
            <v>96.436000000000007</v>
          </cell>
        </row>
        <row r="12">
          <cell r="T12">
            <v>64.031999999999996</v>
          </cell>
        </row>
        <row r="13">
          <cell r="T13">
            <v>345.35199999999998</v>
          </cell>
        </row>
        <row r="14">
          <cell r="T14">
            <v>427.01400000000001</v>
          </cell>
        </row>
        <row r="15">
          <cell r="T15">
            <v>124.42700000000001</v>
          </cell>
        </row>
        <row r="16">
          <cell r="T16">
            <v>59.756999999999998</v>
          </cell>
        </row>
        <row r="17">
          <cell r="T17">
            <v>321.60300000000001</v>
          </cell>
        </row>
        <row r="18">
          <cell r="T18">
            <v>854.21900000000005</v>
          </cell>
        </row>
        <row r="19">
          <cell r="T19">
            <v>75.36</v>
          </cell>
        </row>
        <row r="20">
          <cell r="T20">
            <v>360.702</v>
          </cell>
        </row>
        <row r="21">
          <cell r="T21">
            <v>214.43700000000001</v>
          </cell>
        </row>
        <row r="22">
          <cell r="T22">
            <v>78.034999999999997</v>
          </cell>
        </row>
        <row r="23">
          <cell r="T23">
            <v>657.04100000000005</v>
          </cell>
        </row>
        <row r="24">
          <cell r="T24">
            <v>111.764</v>
          </cell>
        </row>
        <row r="25">
          <cell r="T25">
            <v>1300.7239999999999</v>
          </cell>
        </row>
        <row r="26">
          <cell r="T26">
            <v>93.097999999999999</v>
          </cell>
        </row>
        <row r="27">
          <cell r="T27">
            <v>1222.9159999999999</v>
          </cell>
        </row>
        <row r="28">
          <cell r="T28">
            <v>78.14</v>
          </cell>
        </row>
        <row r="29">
          <cell r="T29">
            <v>95.789000000000001</v>
          </cell>
        </row>
        <row r="30">
          <cell r="T30">
            <v>1485.395</v>
          </cell>
        </row>
        <row r="31">
          <cell r="T31">
            <v>428.33800000000002</v>
          </cell>
        </row>
        <row r="32">
          <cell r="T32">
            <v>473.62900000000002</v>
          </cell>
        </row>
        <row r="33">
          <cell r="T33">
            <v>257.63099999999997</v>
          </cell>
        </row>
        <row r="34">
          <cell r="T34">
            <v>96.257999999999996</v>
          </cell>
        </row>
        <row r="35">
          <cell r="T35">
            <v>138.97499999999999</v>
          </cell>
        </row>
        <row r="36">
          <cell r="T36">
            <v>414.43799999999999</v>
          </cell>
        </row>
        <row r="37">
          <cell r="T37">
            <v>97.186999999999998</v>
          </cell>
        </row>
        <row r="38">
          <cell r="T38">
            <v>496.93200000000002</v>
          </cell>
        </row>
        <row r="39">
          <cell r="T39">
            <v>856.87800000000004</v>
          </cell>
        </row>
        <row r="40">
          <cell r="T40">
            <v>341.99299999999999</v>
          </cell>
        </row>
        <row r="41">
          <cell r="T41">
            <v>350.77199999999999</v>
          </cell>
        </row>
        <row r="42">
          <cell r="T42">
            <v>98.718999999999994</v>
          </cell>
        </row>
        <row r="43">
          <cell r="T43">
            <v>76.634</v>
          </cell>
        </row>
        <row r="44">
          <cell r="T44">
            <v>131.916</v>
          </cell>
        </row>
        <row r="45">
          <cell r="T45">
            <v>1321.491</v>
          </cell>
        </row>
        <row r="46">
          <cell r="T46">
            <v>2123.5120000000002</v>
          </cell>
        </row>
        <row r="47">
          <cell r="T47">
            <v>104.557</v>
          </cell>
        </row>
        <row r="48">
          <cell r="T48">
            <v>95.918999999999997</v>
          </cell>
        </row>
        <row r="49">
          <cell r="T49">
            <v>1514.7270000000001</v>
          </cell>
        </row>
        <row r="50">
          <cell r="T50">
            <v>3647.127</v>
          </cell>
        </row>
        <row r="51">
          <cell r="T51">
            <v>5200.28</v>
          </cell>
        </row>
        <row r="52">
          <cell r="T52">
            <v>26608.175999999999</v>
          </cell>
        </row>
        <row r="53">
          <cell r="T53">
            <v>4142.2120000000004</v>
          </cell>
        </row>
        <row r="54">
          <cell r="T54">
            <v>4960.0320000000002</v>
          </cell>
        </row>
        <row r="55">
          <cell r="T55">
            <v>5193.6719999999996</v>
          </cell>
        </row>
        <row r="56">
          <cell r="T56">
            <v>3509.2370000000001</v>
          </cell>
        </row>
        <row r="57">
          <cell r="T57">
            <v>7957.7730000000001</v>
          </cell>
        </row>
        <row r="58">
          <cell r="T58">
            <v>3373.384</v>
          </cell>
        </row>
        <row r="59">
          <cell r="T59">
            <v>158.69300000000001</v>
          </cell>
        </row>
        <row r="60">
          <cell r="T60">
            <v>8289.7309999999998</v>
          </cell>
        </row>
        <row r="61">
          <cell r="T61">
            <v>3048.8380000000002</v>
          </cell>
        </row>
        <row r="62">
          <cell r="T62">
            <v>162.12200000000001</v>
          </cell>
        </row>
        <row r="63">
          <cell r="T63">
            <v>18485.968000000001</v>
          </cell>
        </row>
        <row r="64">
          <cell r="T64">
            <v>9212.6990000000005</v>
          </cell>
        </row>
        <row r="65">
          <cell r="T65">
            <v>7539.3890000000001</v>
          </cell>
        </row>
        <row r="66">
          <cell r="T66">
            <v>10841.048000000001</v>
          </cell>
        </row>
        <row r="67">
          <cell r="T67">
            <v>2009.723</v>
          </cell>
        </row>
        <row r="68">
          <cell r="T68">
            <v>22464.94</v>
          </cell>
        </row>
        <row r="69">
          <cell r="T69">
            <v>3715.944</v>
          </cell>
        </row>
        <row r="70">
          <cell r="T70">
            <v>13721.499</v>
          </cell>
        </row>
        <row r="71">
          <cell r="T71">
            <v>7488.174</v>
          </cell>
        </row>
        <row r="72">
          <cell r="T72">
            <v>12262.959000000001</v>
          </cell>
        </row>
        <row r="73">
          <cell r="T73">
            <v>7828.2879999999996</v>
          </cell>
        </row>
        <row r="74">
          <cell r="T74">
            <v>2396.0970000000002</v>
          </cell>
        </row>
        <row r="75">
          <cell r="T75">
            <v>1579.758</v>
          </cell>
        </row>
        <row r="76">
          <cell r="T76">
            <v>41.758000000000003</v>
          </cell>
        </row>
        <row r="77">
          <cell r="T77">
            <v>134.131</v>
          </cell>
        </row>
        <row r="78">
          <cell r="T78">
            <v>62.889000000000003</v>
          </cell>
        </row>
        <row r="79">
          <cell r="T79">
            <v>482.69</v>
          </cell>
        </row>
        <row r="80">
          <cell r="T80">
            <v>449.96300000000002</v>
          </cell>
        </row>
        <row r="81">
          <cell r="T81">
            <v>85.563999999999993</v>
          </cell>
        </row>
        <row r="82">
          <cell r="T82">
            <v>405</v>
          </cell>
        </row>
        <row r="83">
          <cell r="T83">
            <v>76.194000000000003</v>
          </cell>
        </row>
        <row r="84">
          <cell r="T84">
            <v>257.63099999999997</v>
          </cell>
        </row>
        <row r="85">
          <cell r="T85">
            <v>55.238999999999997</v>
          </cell>
        </row>
        <row r="86">
          <cell r="T86">
            <v>95.403000000000006</v>
          </cell>
        </row>
        <row r="87">
          <cell r="T87">
            <v>57.621000000000002</v>
          </cell>
        </row>
        <row r="88">
          <cell r="T88">
            <v>1074.1300000000001</v>
          </cell>
        </row>
        <row r="89">
          <cell r="T89">
            <v>401.16500000000002</v>
          </cell>
        </row>
        <row r="90">
          <cell r="T90">
            <v>324.529</v>
          </cell>
        </row>
        <row r="91">
          <cell r="T91">
            <v>43.939</v>
          </cell>
        </row>
        <row r="92">
          <cell r="T92">
            <v>107.693</v>
          </cell>
        </row>
        <row r="93">
          <cell r="T93">
            <v>59.847999999999999</v>
          </cell>
        </row>
        <row r="94">
          <cell r="T94">
            <v>109.53400000000001</v>
          </cell>
        </row>
        <row r="95">
          <cell r="T95">
            <v>66.887</v>
          </cell>
        </row>
        <row r="96">
          <cell r="T96">
            <v>569.56399999999996</v>
          </cell>
        </row>
        <row r="97">
          <cell r="T97">
            <v>732.67399999999998</v>
          </cell>
        </row>
        <row r="98">
          <cell r="T98">
            <v>114.238</v>
          </cell>
        </row>
        <row r="99">
          <cell r="T99">
            <v>74.290000000000006</v>
          </cell>
        </row>
        <row r="100">
          <cell r="T100">
            <v>600.899</v>
          </cell>
        </row>
        <row r="101">
          <cell r="T101">
            <v>766.16499999999996</v>
          </cell>
        </row>
        <row r="102">
          <cell r="T102">
            <v>715.93600000000004</v>
          </cell>
        </row>
        <row r="103">
          <cell r="T103">
            <v>705.66899999999998</v>
          </cell>
        </row>
        <row r="104">
          <cell r="T104">
            <v>758.47</v>
          </cell>
        </row>
        <row r="105">
          <cell r="T105">
            <v>732.37300000000005</v>
          </cell>
        </row>
        <row r="106">
          <cell r="T106">
            <v>873.06200000000001</v>
          </cell>
        </row>
        <row r="107">
          <cell r="T107">
            <v>691.28</v>
          </cell>
        </row>
        <row r="108">
          <cell r="T108">
            <v>511.52100000000002</v>
          </cell>
        </row>
        <row r="109">
          <cell r="T109">
            <v>835.11500000000001</v>
          </cell>
        </row>
      </sheetData>
      <sheetData sheetId="8">
        <row r="1">
          <cell r="T1" t="str">
            <v>שווי הוגן (באלפי ש"ח)</v>
          </cell>
        </row>
        <row r="2">
          <cell r="T2">
            <v>137.452</v>
          </cell>
        </row>
        <row r="3">
          <cell r="T3">
            <v>240.541</v>
          </cell>
        </row>
        <row r="4">
          <cell r="T4">
            <v>2765.7260000000001</v>
          </cell>
        </row>
        <row r="5">
          <cell r="T5">
            <v>5092.3440000000001</v>
          </cell>
        </row>
        <row r="6">
          <cell r="T6">
            <v>127.143</v>
          </cell>
        </row>
      </sheetData>
      <sheetData sheetId="9">
        <row r="1">
          <cell r="W1" t="str">
            <v>שווי הוגן (באלפי ש"ח)</v>
          </cell>
        </row>
        <row r="2">
          <cell r="W2">
            <v>3.3319999999999999</v>
          </cell>
        </row>
        <row r="3">
          <cell r="W3">
            <v>0.33400000000000002</v>
          </cell>
        </row>
        <row r="4">
          <cell r="W4">
            <v>0.51</v>
          </cell>
        </row>
        <row r="5">
          <cell r="W5">
            <v>9.9960000000000004</v>
          </cell>
        </row>
        <row r="6">
          <cell r="W6">
            <v>18.861000000000001</v>
          </cell>
        </row>
        <row r="7">
          <cell r="W7">
            <v>464.81400000000002</v>
          </cell>
        </row>
        <row r="8">
          <cell r="W8">
            <v>0.66700000000000004</v>
          </cell>
        </row>
        <row r="9">
          <cell r="W9">
            <v>9.9960000000000004</v>
          </cell>
        </row>
      </sheetData>
      <sheetData sheetId="10">
        <row r="1">
          <cell r="V1" t="str">
            <v>שווי הוגן (באלפי ש"ח)</v>
          </cell>
        </row>
      </sheetData>
      <sheetData sheetId="11">
        <row r="1">
          <cell r="R1" t="str">
            <v>שווי הוגן (באלפי ש"ח)</v>
          </cell>
        </row>
        <row r="2">
          <cell r="R2">
            <v>56.06</v>
          </cell>
        </row>
        <row r="3">
          <cell r="R3">
            <v>134.54300000000001</v>
          </cell>
        </row>
        <row r="4">
          <cell r="R4">
            <v>13.872999999999999</v>
          </cell>
        </row>
        <row r="5">
          <cell r="R5">
            <v>7.218</v>
          </cell>
        </row>
        <row r="6">
          <cell r="R6">
            <v>3252.6729999999998</v>
          </cell>
        </row>
        <row r="7">
          <cell r="R7">
            <v>693.61800000000005</v>
          </cell>
        </row>
        <row r="8">
          <cell r="R8">
            <v>209.32499999999999</v>
          </cell>
        </row>
        <row r="9">
          <cell r="R9">
            <v>22.423999999999999</v>
          </cell>
        </row>
        <row r="10">
          <cell r="R10">
            <v>7.218</v>
          </cell>
        </row>
      </sheetData>
      <sheetData sheetId="12">
        <row r="1">
          <cell r="Z1" t="str">
            <v>שווי הוגן (באלפי ש"ח)</v>
          </cell>
        </row>
      </sheetData>
      <sheetData sheetId="13">
        <row r="1">
          <cell r="U1" t="str">
            <v>שווי הוגן (באלפי ש"ח)</v>
          </cell>
        </row>
      </sheetData>
      <sheetData sheetId="14">
        <row r="1">
          <cell r="N1" t="str">
            <v>שווי הוגן (באלפי ש"ח)</v>
          </cell>
        </row>
      </sheetData>
      <sheetData sheetId="15">
        <row r="1">
          <cell r="F1" t="str">
            <v>שווי הנכסים באפיק (באלפי ש"ח)</v>
          </cell>
        </row>
      </sheetData>
      <sheetData sheetId="16">
        <row r="1">
          <cell r="AI1" t="str">
            <v>שווי הוגן (באלפי ש"ח)</v>
          </cell>
        </row>
      </sheetData>
      <sheetData sheetId="17">
        <row r="1">
          <cell r="AG1" t="str">
            <v>שווי הוגן (באלפי ש"ח)</v>
          </cell>
        </row>
        <row r="2">
          <cell r="AG2">
            <v>7.2270000000000003</v>
          </cell>
        </row>
        <row r="3">
          <cell r="AG3">
            <v>30.033999999999999</v>
          </cell>
        </row>
        <row r="4">
          <cell r="AG4">
            <v>21.974</v>
          </cell>
        </row>
        <row r="5">
          <cell r="AG5">
            <v>7.109</v>
          </cell>
        </row>
        <row r="6">
          <cell r="AG6">
            <v>3.8090000000000002</v>
          </cell>
        </row>
        <row r="7">
          <cell r="AG7">
            <v>31.957999999999998</v>
          </cell>
        </row>
        <row r="8">
          <cell r="AG8">
            <v>15.852</v>
          </cell>
        </row>
        <row r="9">
          <cell r="AG9">
            <v>55.795000000000002</v>
          </cell>
        </row>
        <row r="10">
          <cell r="AG10">
            <v>4.4480000000000004</v>
          </cell>
        </row>
        <row r="11">
          <cell r="AG11">
            <v>3.9630000000000001</v>
          </cell>
        </row>
        <row r="12">
          <cell r="AG12">
            <v>10.563000000000001</v>
          </cell>
        </row>
        <row r="13">
          <cell r="AG13">
            <v>67.611000000000004</v>
          </cell>
        </row>
        <row r="14">
          <cell r="AG14">
            <v>8.2919999999999998</v>
          </cell>
        </row>
        <row r="15">
          <cell r="AG15">
            <v>19.713000000000001</v>
          </cell>
        </row>
        <row r="16">
          <cell r="AG16">
            <v>7.9109999999999996</v>
          </cell>
        </row>
        <row r="17">
          <cell r="AG17">
            <v>31.957999999999998</v>
          </cell>
        </row>
        <row r="18">
          <cell r="AG18">
            <v>15.852</v>
          </cell>
        </row>
        <row r="19">
          <cell r="AG19">
            <v>55.795000000000002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90.126999999999995</v>
          </cell>
        </row>
        <row r="23">
          <cell r="AG23">
            <v>588.18799999999999</v>
          </cell>
        </row>
        <row r="24">
          <cell r="AG24">
            <v>2683.5410000000002</v>
          </cell>
        </row>
        <row r="25">
          <cell r="AG25">
            <v>537.07500000000005</v>
          </cell>
        </row>
        <row r="26">
          <cell r="AG26">
            <v>904.24400000000003</v>
          </cell>
        </row>
        <row r="27">
          <cell r="AG27">
            <v>0</v>
          </cell>
        </row>
        <row r="28">
          <cell r="AG28">
            <v>678.62699999999995</v>
          </cell>
        </row>
        <row r="29">
          <cell r="AG29">
            <v>325.80399999999997</v>
          </cell>
        </row>
        <row r="30">
          <cell r="AG30">
            <v>2003.269</v>
          </cell>
        </row>
        <row r="31">
          <cell r="AG31">
            <v>998.65800000000002</v>
          </cell>
        </row>
        <row r="32">
          <cell r="AG32">
            <v>3515.1060000000002</v>
          </cell>
        </row>
        <row r="33">
          <cell r="AG33">
            <v>17.79</v>
          </cell>
        </row>
        <row r="34">
          <cell r="AG34">
            <v>87.164000000000001</v>
          </cell>
        </row>
        <row r="35">
          <cell r="AG35">
            <v>33.167999999999999</v>
          </cell>
        </row>
        <row r="36">
          <cell r="AG36">
            <v>22.620999999999999</v>
          </cell>
        </row>
        <row r="37">
          <cell r="AG37">
            <v>10.255000000000001</v>
          </cell>
        </row>
        <row r="38">
          <cell r="AG38">
            <v>59.710999999999999</v>
          </cell>
        </row>
        <row r="39">
          <cell r="AG39">
            <v>29.722000000000001</v>
          </cell>
        </row>
        <row r="40">
          <cell r="AG40">
            <v>104.616</v>
          </cell>
        </row>
      </sheetData>
      <sheetData sheetId="18">
        <row r="1">
          <cell r="X1" t="str">
            <v>שווי הוגן (באלפי ש"ח)</v>
          </cell>
        </row>
        <row r="2">
          <cell r="X2">
            <v>48.051000000000002</v>
          </cell>
        </row>
        <row r="3">
          <cell r="X3">
            <v>0</v>
          </cell>
        </row>
        <row r="4">
          <cell r="X4">
            <v>10.116</v>
          </cell>
        </row>
        <row r="5">
          <cell r="X5">
            <v>0</v>
          </cell>
        </row>
        <row r="6">
          <cell r="X6">
            <v>37.935000000000002</v>
          </cell>
        </row>
        <row r="7">
          <cell r="X7">
            <v>219.18299999999999</v>
          </cell>
        </row>
        <row r="8">
          <cell r="X8">
            <v>4698.058</v>
          </cell>
        </row>
        <row r="9">
          <cell r="X9">
            <v>0</v>
          </cell>
        </row>
        <row r="10">
          <cell r="X10">
            <v>630.88400000000001</v>
          </cell>
        </row>
        <row r="11">
          <cell r="X11">
            <v>258.40499999999997</v>
          </cell>
        </row>
        <row r="12">
          <cell r="X12">
            <v>0</v>
          </cell>
        </row>
        <row r="13">
          <cell r="X13">
            <v>1576.4639999999999</v>
          </cell>
        </row>
        <row r="14">
          <cell r="X14">
            <v>1604.5029999999999</v>
          </cell>
        </row>
        <row r="15">
          <cell r="X15">
            <v>1985.6479999999999</v>
          </cell>
        </row>
        <row r="16">
          <cell r="X16">
            <v>844.73400000000004</v>
          </cell>
        </row>
        <row r="17">
          <cell r="X17">
            <v>2672.31</v>
          </cell>
        </row>
        <row r="18">
          <cell r="X18">
            <v>0</v>
          </cell>
        </row>
        <row r="19">
          <cell r="X19">
            <v>71.655000000000001</v>
          </cell>
        </row>
      </sheetData>
      <sheetData sheetId="19">
        <row r="1">
          <cell r="W1" t="str">
            <v>שווי הוגן (באלפי ש"ח)</v>
          </cell>
        </row>
        <row r="2">
          <cell r="W2">
            <v>55.014000000000003</v>
          </cell>
        </row>
        <row r="3">
          <cell r="W3">
            <v>1449.213</v>
          </cell>
        </row>
        <row r="4">
          <cell r="W4">
            <v>2492.1239999999998</v>
          </cell>
        </row>
        <row r="5">
          <cell r="W5">
            <v>1039.5</v>
          </cell>
        </row>
        <row r="6">
          <cell r="W6">
            <v>2054.0030000000002</v>
          </cell>
        </row>
        <row r="7">
          <cell r="W7">
            <v>1110.5409999999999</v>
          </cell>
        </row>
        <row r="8">
          <cell r="W8">
            <v>1142.4929999999999</v>
          </cell>
        </row>
        <row r="9">
          <cell r="W9">
            <v>2822.1669999999999</v>
          </cell>
        </row>
        <row r="10">
          <cell r="W10">
            <v>3320.81</v>
          </cell>
        </row>
        <row r="11">
          <cell r="W11">
            <v>2746.5749999999998</v>
          </cell>
        </row>
        <row r="12">
          <cell r="W12">
            <v>9808.6280000000006</v>
          </cell>
        </row>
        <row r="13">
          <cell r="W13">
            <v>2980.7669999999998</v>
          </cell>
        </row>
        <row r="14">
          <cell r="W14">
            <v>3283.933</v>
          </cell>
        </row>
        <row r="15">
          <cell r="W15">
            <v>1224.0989999999999</v>
          </cell>
        </row>
        <row r="16">
          <cell r="W16">
            <v>2100.0880000000002</v>
          </cell>
        </row>
        <row r="17">
          <cell r="W17">
            <v>4861.4210000000003</v>
          </cell>
        </row>
        <row r="18">
          <cell r="W18">
            <v>1252.8019999999999</v>
          </cell>
        </row>
        <row r="19">
          <cell r="W19">
            <v>776.21500000000003</v>
          </cell>
        </row>
        <row r="20">
          <cell r="W20">
            <v>273.56599999999997</v>
          </cell>
        </row>
        <row r="21">
          <cell r="W21">
            <v>1355.335</v>
          </cell>
        </row>
        <row r="22">
          <cell r="W22">
            <v>1353.1659999999999</v>
          </cell>
        </row>
        <row r="23">
          <cell r="W23">
            <v>4559.3670000000002</v>
          </cell>
        </row>
        <row r="24">
          <cell r="W24">
            <v>2613.3130000000001</v>
          </cell>
        </row>
        <row r="25">
          <cell r="W25">
            <v>2508.7159999999999</v>
          </cell>
        </row>
        <row r="26">
          <cell r="W26">
            <v>1300.5899999999999</v>
          </cell>
        </row>
        <row r="27">
          <cell r="W27">
            <v>1579.65</v>
          </cell>
        </row>
        <row r="28">
          <cell r="W28">
            <v>5442.5249999999996</v>
          </cell>
        </row>
        <row r="29">
          <cell r="W29">
            <v>2636.0859999999998</v>
          </cell>
        </row>
        <row r="30">
          <cell r="W30">
            <v>4750.5659999999998</v>
          </cell>
        </row>
        <row r="31">
          <cell r="W31">
            <v>2901.6260000000002</v>
          </cell>
        </row>
        <row r="32">
          <cell r="W32">
            <v>886.09900000000005</v>
          </cell>
        </row>
        <row r="33">
          <cell r="W33">
            <v>744.46600000000001</v>
          </cell>
        </row>
        <row r="34">
          <cell r="W34">
            <v>1498.6210000000001</v>
          </cell>
        </row>
        <row r="35">
          <cell r="W35">
            <v>1390.5709999999999</v>
          </cell>
        </row>
        <row r="36">
          <cell r="W36">
            <v>1841.1</v>
          </cell>
        </row>
        <row r="37">
          <cell r="W37">
            <v>5214.2700000000004</v>
          </cell>
        </row>
        <row r="38">
          <cell r="W38">
            <v>3652.91</v>
          </cell>
        </row>
        <row r="39">
          <cell r="W39">
            <v>3059.99</v>
          </cell>
        </row>
        <row r="40">
          <cell r="W40">
            <v>3188.1869999999999</v>
          </cell>
        </row>
        <row r="41">
          <cell r="W41">
            <v>3970.1990000000001</v>
          </cell>
        </row>
        <row r="42">
          <cell r="W42">
            <v>5718.2569999999996</v>
          </cell>
        </row>
        <row r="43">
          <cell r="W43">
            <v>1515.912</v>
          </cell>
        </row>
        <row r="44">
          <cell r="W44">
            <v>1050.7750000000001</v>
          </cell>
        </row>
        <row r="45">
          <cell r="W45">
            <v>6219.8879999999999</v>
          </cell>
        </row>
        <row r="46">
          <cell r="W46">
            <v>2879.6680000000001</v>
          </cell>
        </row>
        <row r="47">
          <cell r="W47">
            <v>4093.8969999999999</v>
          </cell>
        </row>
        <row r="48">
          <cell r="W48">
            <v>1599.46</v>
          </cell>
        </row>
        <row r="49">
          <cell r="W49">
            <v>113.977</v>
          </cell>
        </row>
        <row r="50">
          <cell r="W50">
            <v>4095.527</v>
          </cell>
        </row>
        <row r="51">
          <cell r="W51">
            <v>761.06399999999996</v>
          </cell>
        </row>
        <row r="52">
          <cell r="W52">
            <v>895.601</v>
          </cell>
        </row>
        <row r="53">
          <cell r="W53">
            <v>2009.8009999999999</v>
          </cell>
        </row>
        <row r="54">
          <cell r="W54">
            <v>1948.8050000000001</v>
          </cell>
        </row>
        <row r="55">
          <cell r="W55">
            <v>1955.172</v>
          </cell>
        </row>
        <row r="56">
          <cell r="W56">
            <v>562.76099999999997</v>
          </cell>
        </row>
        <row r="57">
          <cell r="W57">
            <v>1188.3820000000001</v>
          </cell>
        </row>
        <row r="58">
          <cell r="W58">
            <v>3192.143</v>
          </cell>
        </row>
        <row r="59">
          <cell r="W59">
            <v>1766.7370000000001</v>
          </cell>
        </row>
        <row r="60">
          <cell r="W60">
            <v>4817.6819999999998</v>
          </cell>
        </row>
        <row r="61">
          <cell r="W61">
            <v>213.035</v>
          </cell>
        </row>
        <row r="62">
          <cell r="W62">
            <v>82.525000000000006</v>
          </cell>
        </row>
      </sheetData>
      <sheetData sheetId="20">
        <row r="1">
          <cell r="Z1" t="str">
            <v>שווי הוגן (באלפי ש"ח)</v>
          </cell>
        </row>
      </sheetData>
      <sheetData sheetId="21">
        <row r="1">
          <cell r="Z1" t="str">
            <v>שווי הוגן (בש"ח)</v>
          </cell>
        </row>
      </sheetData>
      <sheetData sheetId="22">
        <row r="1">
          <cell r="R1" t="str">
            <v>שווי הוגן (נטו  באלפי ש"ח)</v>
          </cell>
        </row>
        <row r="2">
          <cell r="R2">
            <v>0.20399999999999999</v>
          </cell>
        </row>
        <row r="3">
          <cell r="R3">
            <v>1.8049999999999999</v>
          </cell>
        </row>
        <row r="4">
          <cell r="R4">
            <v>5860.51</v>
          </cell>
        </row>
        <row r="5">
          <cell r="R5">
            <v>775.35400000000004</v>
          </cell>
        </row>
        <row r="6">
          <cell r="R6">
            <v>223.05199999999999</v>
          </cell>
        </row>
        <row r="7">
          <cell r="R7">
            <v>11.909000000000001</v>
          </cell>
        </row>
        <row r="8">
          <cell r="R8">
            <v>-11.329000000000001</v>
          </cell>
        </row>
        <row r="9">
          <cell r="R9">
            <v>129.876</v>
          </cell>
        </row>
        <row r="10">
          <cell r="R10">
            <v>12.035</v>
          </cell>
        </row>
        <row r="11">
          <cell r="R11">
            <v>71.563999999999993</v>
          </cell>
        </row>
        <row r="12">
          <cell r="R12">
            <v>15.795</v>
          </cell>
        </row>
      </sheetData>
      <sheetData sheetId="23">
        <row r="1">
          <cell r="AT1" t="str">
            <v>שווי הוגן (באלפי ש"ח)</v>
          </cell>
        </row>
        <row r="2">
          <cell r="AT2">
            <v>42244.724000000002</v>
          </cell>
        </row>
      </sheetData>
      <sheetData sheetId="24">
        <row r="1">
          <cell r="AB1" t="str">
            <v>שווי הוגן (באלפי ש"ח)</v>
          </cell>
        </row>
      </sheetData>
      <sheetData sheetId="25">
        <row r="1">
          <cell r="T1" t="str">
            <v>שווי הוגן (באלפי ש"ח)</v>
          </cell>
        </row>
      </sheetData>
      <sheetData sheetId="26">
        <row r="1">
          <cell r="S1" t="str">
            <v>שווי הוגן (באלפי ש"ח)</v>
          </cell>
        </row>
        <row r="2">
          <cell r="S2">
            <v>5100</v>
          </cell>
        </row>
      </sheetData>
      <sheetData sheetId="27">
        <row r="1">
          <cell r="U1" t="str">
            <v>שווי הוגן (באלפי ש"ח)</v>
          </cell>
        </row>
      </sheetData>
      <sheetData sheetId="28">
        <row r="1">
          <cell r="N1" t="str">
            <v>שווי הוגן (באלפי ש"ח)</v>
          </cell>
        </row>
        <row r="2">
          <cell r="N2">
            <v>-28.327999999999999</v>
          </cell>
        </row>
        <row r="3">
          <cell r="N3">
            <v>-5.7619999999999996</v>
          </cell>
        </row>
        <row r="4">
          <cell r="N4">
            <v>-48.582999999999998</v>
          </cell>
        </row>
        <row r="5">
          <cell r="N5">
            <v>-149.35599999999999</v>
          </cell>
        </row>
        <row r="6">
          <cell r="N6">
            <v>-17.856000000000002</v>
          </cell>
        </row>
        <row r="7">
          <cell r="N7">
            <v>-1457.7149999999999</v>
          </cell>
        </row>
        <row r="8">
          <cell r="N8">
            <v>21.17</v>
          </cell>
        </row>
        <row r="9">
          <cell r="N9">
            <v>-67.581999999999994</v>
          </cell>
        </row>
        <row r="10">
          <cell r="N10">
            <v>-101.547</v>
          </cell>
        </row>
        <row r="11">
          <cell r="N11">
            <v>-1.161</v>
          </cell>
        </row>
        <row r="12">
          <cell r="N12">
            <v>-15.9</v>
          </cell>
        </row>
      </sheetData>
      <sheetData sheetId="29" refreshError="1"/>
      <sheetData sheetId="30">
        <row r="1">
          <cell r="O1" t="str">
            <v>יתרת המחויבות לתקופת הדיווח (באלפי ש"ח)</v>
          </cell>
        </row>
        <row r="2">
          <cell r="O2">
            <v>1053.87607908</v>
          </cell>
        </row>
        <row r="3">
          <cell r="O3">
            <v>225.92400000000001</v>
          </cell>
        </row>
        <row r="4">
          <cell r="O4">
            <v>1468.3742694479999</v>
          </cell>
        </row>
        <row r="5">
          <cell r="O5">
            <v>657.59732400000007</v>
          </cell>
        </row>
        <row r="6">
          <cell r="O6">
            <v>140.34938400000007</v>
          </cell>
        </row>
        <row r="7">
          <cell r="O7">
            <v>140.34938400000007</v>
          </cell>
        </row>
        <row r="8">
          <cell r="O8">
            <v>671.43304463999993</v>
          </cell>
        </row>
        <row r="9">
          <cell r="O9">
            <v>832.70410380000021</v>
          </cell>
        </row>
        <row r="10">
          <cell r="O10">
            <v>1942.2719999999999</v>
          </cell>
        </row>
        <row r="11">
          <cell r="O11">
            <v>3097.4112960000002</v>
          </cell>
        </row>
        <row r="12">
          <cell r="O12">
            <v>376.52712959999985</v>
          </cell>
        </row>
        <row r="13">
          <cell r="O13">
            <v>29.276390399999915</v>
          </cell>
        </row>
        <row r="14">
          <cell r="O14">
            <v>425.36945932799995</v>
          </cell>
        </row>
        <row r="15">
          <cell r="O15">
            <v>438.36</v>
          </cell>
        </row>
        <row r="16">
          <cell r="O16">
            <v>758.7</v>
          </cell>
        </row>
        <row r="17">
          <cell r="O17">
            <v>1180.2</v>
          </cell>
        </row>
        <row r="18">
          <cell r="O18">
            <v>303.48</v>
          </cell>
        </row>
        <row r="19">
          <cell r="O19">
            <v>222.55199999999999</v>
          </cell>
        </row>
        <row r="20">
          <cell r="O20">
            <v>906.88254000000006</v>
          </cell>
        </row>
        <row r="21">
          <cell r="O21">
            <v>1080</v>
          </cell>
        </row>
        <row r="22">
          <cell r="O22">
            <v>3150</v>
          </cell>
        </row>
        <row r="23">
          <cell r="O23">
            <v>1684.0917851999998</v>
          </cell>
        </row>
        <row r="24">
          <cell r="O24">
            <v>251.10538788000028</v>
          </cell>
        </row>
        <row r="25">
          <cell r="O25">
            <v>1335.7943983200003</v>
          </cell>
        </row>
        <row r="26">
          <cell r="O26">
            <v>1592.84472336</v>
          </cell>
        </row>
        <row r="27">
          <cell r="O27">
            <v>186.47834400000005</v>
          </cell>
        </row>
        <row r="28">
          <cell r="O28">
            <v>667.4300760000001</v>
          </cell>
        </row>
        <row r="29">
          <cell r="O29">
            <v>514.58743200000004</v>
          </cell>
        </row>
        <row r="30">
          <cell r="O30">
            <v>292.52437199999997</v>
          </cell>
        </row>
        <row r="31">
          <cell r="O31">
            <v>227.61</v>
          </cell>
        </row>
        <row r="32">
          <cell r="O32">
            <v>10.746564000000014</v>
          </cell>
        </row>
        <row r="33">
          <cell r="O33">
            <v>2786.1866771400005</v>
          </cell>
        </row>
        <row r="34">
          <cell r="O34">
            <v>308.50560000000007</v>
          </cell>
        </row>
        <row r="35">
          <cell r="O35">
            <v>404.64</v>
          </cell>
        </row>
        <row r="36">
          <cell r="O36">
            <v>1244.7228784769229</v>
          </cell>
        </row>
        <row r="37">
          <cell r="O37">
            <v>945.60321599999997</v>
          </cell>
        </row>
        <row r="38">
          <cell r="O38">
            <v>1308.7574999999999</v>
          </cell>
        </row>
        <row r="39">
          <cell r="O39">
            <v>1423.5119999999999</v>
          </cell>
        </row>
        <row r="40">
          <cell r="O40">
            <v>1724.6431200000002</v>
          </cell>
        </row>
        <row r="41">
          <cell r="O41">
            <v>1717.713</v>
          </cell>
        </row>
        <row r="42">
          <cell r="O42">
            <v>177.98400000000001</v>
          </cell>
        </row>
        <row r="43">
          <cell r="O43">
            <v>566.49599999999998</v>
          </cell>
        </row>
        <row r="44">
          <cell r="O44">
            <v>1613.3983447200001</v>
          </cell>
        </row>
        <row r="45">
          <cell r="O45">
            <v>1201.3849597439998</v>
          </cell>
        </row>
        <row r="46">
          <cell r="O46">
            <v>17.533149999999999</v>
          </cell>
        </row>
        <row r="47">
          <cell r="O47">
            <v>26.29637</v>
          </cell>
        </row>
      </sheetData>
      <sheetData sheetId="31" refreshError="1"/>
      <sheetData sheetId="32" refreshError="1"/>
      <sheetData sheetId="33">
        <row r="35">
          <cell r="A35" t="str">
            <v>אי. אם. איי - עזר חברה לביטוח משכנתאות בע"מ</v>
          </cell>
          <cell r="B35">
            <v>512310509</v>
          </cell>
        </row>
        <row r="36">
          <cell r="A36" t="str">
            <v>איי. די. איי. חברה לביטוח בע"מ</v>
          </cell>
          <cell r="B36">
            <v>513910703</v>
          </cell>
        </row>
        <row r="37">
          <cell r="A37" t="str">
            <v>איי.אי.ג'י חברה לביטוח בע"מ</v>
          </cell>
          <cell r="B37">
            <v>512304882</v>
          </cell>
        </row>
        <row r="38">
          <cell r="A38" t="str">
            <v>איילון חברה לביטוח בע"מ</v>
          </cell>
          <cell r="B38">
            <v>520030677</v>
          </cell>
        </row>
        <row r="39">
          <cell r="A39" t="str">
            <v>אינפיניטי השתלמות, גמל ופנסיה בע"מ</v>
          </cell>
          <cell r="B39">
            <v>513621110</v>
          </cell>
        </row>
        <row r="40">
          <cell r="A40" t="str">
            <v>אלטשולר שחם גמל ופנסיה בע"מ</v>
          </cell>
          <cell r="B40">
            <v>513173393</v>
          </cell>
        </row>
        <row r="41">
          <cell r="A41" t="str">
            <v>אנליסט קופות גמל בע"מ</v>
          </cell>
          <cell r="B41">
            <v>511880460</v>
          </cell>
        </row>
        <row r="42">
          <cell r="A42" t="str">
            <v>ארם גמולים - חברה לניהול קופות גמל בע''מ</v>
          </cell>
          <cell r="B42">
            <v>510773922</v>
          </cell>
        </row>
        <row r="43">
          <cell r="A43" t="str">
            <v>אשרא - החברה הישראלית לביטוח יצוא בע"מ</v>
          </cell>
          <cell r="B43">
            <v>520021916</v>
          </cell>
        </row>
        <row r="44">
          <cell r="A44" t="str">
            <v>ב.ס.ס.ח. - החברה הישראלית לביטוח אשראי בע"מ</v>
          </cell>
          <cell r="B44">
            <v>520044025</v>
          </cell>
        </row>
        <row r="45">
          <cell r="A45" t="str">
            <v>ביטוח חקלאי אגודה מרכזית בע"מ</v>
          </cell>
          <cell r="B45">
            <v>570003152</v>
          </cell>
        </row>
        <row r="46">
          <cell r="A46" t="str">
            <v>גילעד גימלאות לעובדים דתיים בע"מ</v>
          </cell>
          <cell r="B46">
            <v>520023094</v>
          </cell>
        </row>
        <row r="47">
          <cell r="A47" t="str">
            <v>גל - ניהול קופות גמל לעובדי הוראה בע"מ</v>
          </cell>
          <cell r="B47">
            <v>512711409</v>
          </cell>
        </row>
        <row r="48">
          <cell r="A48" t="str">
            <v>דיויד שילד חברה לביטוח בע"מ</v>
          </cell>
          <cell r="B48">
            <v>515859379</v>
          </cell>
        </row>
        <row r="49">
          <cell r="A49" t="str">
            <v>החברה המנהלת של מינהל קרן ההשתלמות לפקידים עובדי המנהל והשירותים בע"מ</v>
          </cell>
          <cell r="B49">
            <v>520030990</v>
          </cell>
        </row>
        <row r="50">
          <cell r="A50" t="str">
            <v>החברה המנהלת של קרן הגמלאות של חברי "דן" בע"מ</v>
          </cell>
          <cell r="B50">
            <v>520028812</v>
          </cell>
        </row>
        <row r="51">
          <cell r="A51" t="str">
            <v>החברה המנהלת של קרן השתלמות של עובדי חברת החשמל לישראל בע"מ</v>
          </cell>
          <cell r="B51">
            <v>520034968</v>
          </cell>
        </row>
        <row r="52">
          <cell r="A52" t="str">
            <v>החברה המנהלת של רום קרן ההשתלמות לעובדי הרשויות המקומיות בע"מ</v>
          </cell>
          <cell r="B52">
            <v>520031824</v>
          </cell>
        </row>
        <row r="53">
          <cell r="A53" t="str">
            <v>החברה לניהול קופות התגמולים והפיצויים של עובדי בנק לאומי בע"מ</v>
          </cell>
          <cell r="B53">
            <v>520005497</v>
          </cell>
        </row>
        <row r="54">
          <cell r="A54" t="str">
            <v>החברה לניהול קופת התגמולים והפנסיה של עובדי הסוכנות היהודית לארץ ישראל בע"מ</v>
          </cell>
          <cell r="B54">
            <v>520022518</v>
          </cell>
        </row>
        <row r="55">
          <cell r="A55" t="str">
            <v>החברה לניהול קרן ההשתלמות להנדסאים וטכנאים בע"מ</v>
          </cell>
          <cell r="B55">
            <v>520028556</v>
          </cell>
        </row>
        <row r="56">
          <cell r="A56" t="str">
            <v>החברה לניהול קרן ההשתלמות לעובדי המדינה בע"מ</v>
          </cell>
          <cell r="B56">
            <v>520032269</v>
          </cell>
        </row>
        <row r="57">
          <cell r="A57" t="str">
            <v>החברה לניהול קרן השתלמות לאקדמאים במדעי החברה והרוח בע"מ</v>
          </cell>
          <cell r="B57">
            <v>520027954</v>
          </cell>
        </row>
        <row r="58">
          <cell r="A58" t="str">
            <v>החברה לניהול קרן השתלמות לביוכימאים  ומקרוביולוגים בע"מ</v>
          </cell>
          <cell r="B58">
            <v>520029620</v>
          </cell>
        </row>
        <row r="59">
          <cell r="A59" t="str">
            <v>החברה לניהול קרן השתלמות למשפטנים בע"מ</v>
          </cell>
          <cell r="B59">
            <v>520028861</v>
          </cell>
        </row>
        <row r="60">
          <cell r="A60" t="str">
            <v>החברה לניהול קרן השתלמות לשופטים בע"מ</v>
          </cell>
          <cell r="B60">
            <v>520030743</v>
          </cell>
        </row>
        <row r="61">
          <cell r="A61" t="str">
            <v>הכשרה חברה לביטוח בע"מ</v>
          </cell>
          <cell r="B61">
            <v>520042177</v>
          </cell>
        </row>
        <row r="62">
          <cell r="A62" t="str">
            <v>הלמן-אלדובי חח"י גמל בע"מ</v>
          </cell>
          <cell r="B62">
            <v>515447035</v>
          </cell>
        </row>
        <row r="63">
          <cell r="A63" t="str">
            <v>הנדסאים וטכנאים - חברה לניהול קופות גמל בע"מ</v>
          </cell>
          <cell r="B63">
            <v>520042607</v>
          </cell>
        </row>
        <row r="64">
          <cell r="A64" t="str">
            <v>הפניקס אקסלנס פנסיה וגמל בע"מ</v>
          </cell>
          <cell r="B64">
            <v>513026484</v>
          </cell>
        </row>
        <row r="65">
          <cell r="A65" t="str">
            <v>הפניקס חברה לביטוח בע"מ</v>
          </cell>
          <cell r="B65">
            <v>520023185</v>
          </cell>
        </row>
        <row r="66">
          <cell r="A66" t="str">
            <v>הראל חברה לביטוח בע"מ</v>
          </cell>
          <cell r="B66">
            <v>520004078</v>
          </cell>
        </row>
        <row r="67">
          <cell r="A67" t="str">
            <v>הראל פנסיה וגמל בע"מ</v>
          </cell>
          <cell r="B67">
            <v>512267592</v>
          </cell>
        </row>
        <row r="68">
          <cell r="A68" t="str">
            <v>ווישור חברה לביטוח בע"מ</v>
          </cell>
          <cell r="B68">
            <v>515764868</v>
          </cell>
        </row>
        <row r="69">
          <cell r="A69" t="str">
            <v>חברה לניהול קופות גמל של העובדים בעיריית תל - אביב יפו בע"מ</v>
          </cell>
          <cell r="B69">
            <v>513452003</v>
          </cell>
        </row>
        <row r="70">
          <cell r="A70" t="str">
            <v>חברת ב'ת למ'ד דל'ת בע"מ</v>
          </cell>
          <cell r="B70">
            <v>510142789</v>
          </cell>
        </row>
        <row r="71">
          <cell r="A71" t="str">
            <v>חברת הגמל לעובדי האוניברסיטה העברית בע"מ</v>
          </cell>
          <cell r="B71">
            <v>510960586</v>
          </cell>
        </row>
        <row r="72">
          <cell r="A72" t="str">
            <v>יהב - פ.ר.ח. - חברה לניהול קופות גמל בע"מ</v>
          </cell>
          <cell r="B72">
            <v>510930670</v>
          </cell>
        </row>
        <row r="73">
          <cell r="A73" t="str">
            <v>יהב אחים ואחיות - חברה לניהול קופות גמל בע"מ</v>
          </cell>
          <cell r="B73">
            <v>510927536</v>
          </cell>
        </row>
        <row r="74">
          <cell r="A74" t="str">
            <v>יהב רופאים - חברה לניהול קופות גמל בע"מ</v>
          </cell>
          <cell r="B74">
            <v>510930654</v>
          </cell>
        </row>
        <row r="75">
          <cell r="A75" t="str">
            <v>יוזמה קרן פנסיה לעצמאים בע"מ</v>
          </cell>
          <cell r="B75">
            <v>520032566</v>
          </cell>
        </row>
        <row r="76">
          <cell r="A76" t="str">
            <v>ילין לפידות ניהול קופות גמל בע"מ</v>
          </cell>
          <cell r="B76">
            <v>513611509</v>
          </cell>
        </row>
        <row r="77">
          <cell r="A77" t="str">
            <v>כלל חברה לביטוח אשראי בע"מ</v>
          </cell>
          <cell r="B77">
            <v>510888985</v>
          </cell>
        </row>
        <row r="78">
          <cell r="A78" t="str">
            <v>כלל חברה לביטוח בע"מ</v>
          </cell>
          <cell r="B78">
            <v>520024647</v>
          </cell>
        </row>
        <row r="79">
          <cell r="A79" t="str">
            <v>כלל פנסיה וגמל בע"מ</v>
          </cell>
          <cell r="B79">
            <v>512244146</v>
          </cell>
        </row>
        <row r="80">
          <cell r="A80" t="str">
            <v>לאומי קמ"פ בע"מ</v>
          </cell>
          <cell r="B80">
            <v>510694821</v>
          </cell>
        </row>
        <row r="81">
          <cell r="A81" t="str">
            <v>ליברה חברה לביטוח בע"מ</v>
          </cell>
          <cell r="B81">
            <v>515761625</v>
          </cell>
        </row>
        <row r="82">
          <cell r="A82" t="str">
            <v>לעתיד חברה לניהול קרנות פנסיה בע"מ</v>
          </cell>
          <cell r="B82">
            <v>511423048</v>
          </cell>
        </row>
        <row r="83">
          <cell r="A83" t="str">
            <v>מבטחים מוסד לביטוח סוציאלי של העובדים בע"מ</v>
          </cell>
          <cell r="B83">
            <v>520019688</v>
          </cell>
        </row>
        <row r="84">
          <cell r="A84" t="str">
            <v>מגדל חברה לביטוח בע"מ</v>
          </cell>
          <cell r="B84">
            <v>520004896</v>
          </cell>
        </row>
        <row r="85">
          <cell r="A85" t="str">
            <v>מגדל מקפת קרנות פנסיה וקופות גמל בע"מ</v>
          </cell>
          <cell r="B85">
            <v>512237744</v>
          </cell>
        </row>
        <row r="86">
          <cell r="A86" t="str">
            <v>מור גמל ופנסיה בע"מ</v>
          </cell>
          <cell r="B86">
            <v>514956465</v>
          </cell>
        </row>
        <row r="87">
          <cell r="A87" t="str">
            <v>מחוג - מינהל גמל לעובדי חברת חשמל לישראל בע"מ</v>
          </cell>
          <cell r="B87">
            <v>512362914</v>
          </cell>
        </row>
        <row r="88">
          <cell r="A88" t="str">
            <v>מחר - חברה לניהול קופות גמל בע"מ</v>
          </cell>
          <cell r="B88">
            <v>520042615</v>
          </cell>
        </row>
        <row r="89">
          <cell r="A89" t="str">
            <v>מיטב דש גמל ופנסיה בע"מ</v>
          </cell>
          <cell r="B89">
            <v>512065202</v>
          </cell>
        </row>
        <row r="90">
          <cell r="A90" t="str">
            <v>מנורה מבטחים ביטוח בע"מ</v>
          </cell>
          <cell r="B90">
            <v>520042540</v>
          </cell>
        </row>
        <row r="91">
          <cell r="A91" t="str">
            <v>מנורה מבטחים והסתדרות המהנדסים ניהול קופות גמל בע"מ</v>
          </cell>
          <cell r="B91">
            <v>520027715</v>
          </cell>
        </row>
        <row r="92">
          <cell r="A92" t="str">
            <v>מנורה מבטחים פנסיה וגמל בע"מ</v>
          </cell>
          <cell r="B92">
            <v>512245812</v>
          </cell>
        </row>
        <row r="93">
          <cell r="A93" t="str">
            <v>נתיב קרן הפנסיה של פועלי ועובדי מפעלי משק ההסתדרות בע"מ</v>
          </cell>
          <cell r="B93">
            <v>520022351</v>
          </cell>
        </row>
        <row r="94">
          <cell r="A94" t="str">
            <v>סלייס גמל בע"מ</v>
          </cell>
          <cell r="B94">
            <v>514767490</v>
          </cell>
        </row>
        <row r="95">
          <cell r="A95" t="str">
            <v>עגור חברה לניהול קופות גמל וקרנות השתלמות בע"מ</v>
          </cell>
          <cell r="B95">
            <v>520024985</v>
          </cell>
        </row>
        <row r="96">
          <cell r="A96" t="str">
            <v>עו"ס - חברה לניהול קופות גמל בע"מ</v>
          </cell>
          <cell r="B96">
            <v>520042573</v>
          </cell>
        </row>
        <row r="97">
          <cell r="A97" t="str">
            <v>עוצ"מ - אגודה שיתופית לניהול קופות גמל בע"מ</v>
          </cell>
          <cell r="B97">
            <v>570009449</v>
          </cell>
        </row>
        <row r="98">
          <cell r="A98" t="str">
            <v>עוצ"מ חברה לניהול קופות גמל והשתלמות בע"מ</v>
          </cell>
          <cell r="B98">
            <v>520031659</v>
          </cell>
        </row>
        <row r="99">
          <cell r="A99" t="str">
            <v>עמ"י - חברה לניהול קופות גמל ענפיות בע"מ</v>
          </cell>
          <cell r="B99">
            <v>520042581</v>
          </cell>
        </row>
        <row r="100">
          <cell r="A100" t="str">
            <v>ענבל חברה לביטוח בע"מ</v>
          </cell>
          <cell r="B100">
            <v>520031030</v>
          </cell>
        </row>
        <row r="101">
          <cell r="A101" t="str">
            <v>ק.ל.ע. - חברה לניהול קרן השתלמות לעובדים סוציאליים בע"מ</v>
          </cell>
          <cell r="B101">
            <v>520030941</v>
          </cell>
        </row>
        <row r="102">
          <cell r="A102" t="str">
            <v>קו הבריאות חברה לניהול קופות גמל בע"מ</v>
          </cell>
          <cell r="B102">
            <v>512008335</v>
          </cell>
        </row>
        <row r="103">
          <cell r="A103" t="str">
            <v>קופת הפנסיה לעובדי הדסה בע"מ</v>
          </cell>
          <cell r="B103">
            <v>520022963</v>
          </cell>
        </row>
        <row r="104">
          <cell r="A104" t="str">
            <v>קופת תגמולים של עובדי אל על נתיבי אוויר לישראל בע"מ אגודה שיתופית</v>
          </cell>
          <cell r="B104">
            <v>570011767</v>
          </cell>
        </row>
        <row r="105">
          <cell r="A105" t="str">
            <v>קופת תגמולים של עובדי התעשיה האוירית לישראל בע"מ</v>
          </cell>
          <cell r="B105">
            <v>570014928</v>
          </cell>
        </row>
        <row r="106">
          <cell r="A106" t="str">
            <v>קופת"ג של עובדי עירית חיפה</v>
          </cell>
          <cell r="B106">
            <v>570005959</v>
          </cell>
        </row>
        <row r="107">
          <cell r="A107" t="str">
            <v>קרן ביטוח הדדי לחברי הסתדרות עובדי המדינה בישראל בע"מ</v>
          </cell>
          <cell r="B107">
            <v>510800402</v>
          </cell>
        </row>
        <row r="108">
          <cell r="A108" t="str">
            <v>קרן ביטוח ופנסיה לפועלים חקלאים ובלתי מקצועיים בישראל אגודה שיתופית בע"מ</v>
          </cell>
          <cell r="B108">
            <v>570007476</v>
          </cell>
        </row>
        <row r="109">
          <cell r="A109" t="str">
            <v>קרן הביטוח והפנסיה של פועלי בנין ועבודות ציבוריות אגודה שיתופית בע"מ</v>
          </cell>
          <cell r="B109">
            <v>570005850</v>
          </cell>
        </row>
        <row r="110">
          <cell r="A110" t="str">
            <v>קרן הגמלאות המרכזית של עובדי ההסתדרות בע"מ</v>
          </cell>
          <cell r="B110">
            <v>520020504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קרן החסכון לצבא הקבע - חברה לניהול קופות גמל בע"מ</v>
          </cell>
          <cell r="B112">
            <v>511033060</v>
          </cell>
        </row>
        <row r="113">
          <cell r="A113" t="str">
            <v>קרן לביטוח נזקי טבע בחקלאות בע"מ</v>
          </cell>
          <cell r="B113">
            <v>520027848</v>
          </cell>
        </row>
        <row r="114">
          <cell r="A114" t="str">
            <v>קרן מקפת מרכז לפנסיה ותגמולים אגודה שיתופית בע"מ</v>
          </cell>
          <cell r="B114">
            <v>570009852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>רעות חברה לניהול קופות גמל בע"מ</v>
          </cell>
          <cell r="B117">
            <v>510806870</v>
          </cell>
        </row>
        <row r="118">
          <cell r="A118" t="str">
            <v>ש. שלמה חברה לביטוח בע"מ</v>
          </cell>
          <cell r="B118">
            <v>513879189</v>
          </cell>
        </row>
        <row r="119">
          <cell r="A119" t="str">
            <v>שומרה חברה לביטוח בע"מ</v>
          </cell>
          <cell r="B119">
            <v>510015951</v>
          </cell>
        </row>
        <row r="120">
          <cell r="A120" t="str">
            <v>שיבולת - חברה לניהול קופות גמל בע"מ</v>
          </cell>
          <cell r="B120">
            <v>520030693</v>
          </cell>
        </row>
        <row r="121">
          <cell r="A121" t="str">
            <v>תגמולים של עובדים בעירית ת"א-יפו א.ש. בע"מ</v>
          </cell>
          <cell r="B121">
            <v>570002618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3" sqref="D23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</cols>
  <sheetData>
    <row r="1" spans="1:4" ht="18">
      <c r="A1" s="34" t="s">
        <v>854</v>
      </c>
      <c r="B1" s="35"/>
      <c r="C1" s="35"/>
      <c r="D1" s="35"/>
    </row>
    <row r="2" spans="1:4"/>
    <row r="3" spans="1:4">
      <c r="A3" t="s">
        <v>506</v>
      </c>
      <c r="D3" s="112" t="s">
        <v>805</v>
      </c>
    </row>
    <row r="4" spans="1:4"/>
    <row r="5" spans="1:4">
      <c r="A5" t="s">
        <v>595</v>
      </c>
      <c r="D5" s="112" t="s">
        <v>597</v>
      </c>
    </row>
    <row r="6" spans="1:4"/>
    <row r="7" spans="1:4">
      <c r="A7" t="s">
        <v>585</v>
      </c>
      <c r="D7" s="112" t="s">
        <v>513</v>
      </c>
    </row>
    <row r="8" spans="1:4">
      <c r="D8" s="155"/>
    </row>
    <row r="9" spans="1:4">
      <c r="A9" t="s">
        <v>586</v>
      </c>
      <c r="D9" s="112">
        <v>2025</v>
      </c>
    </row>
    <row r="10" spans="1:4"/>
    <row r="11" spans="1:4">
      <c r="A11" t="s">
        <v>570</v>
      </c>
      <c r="D11" t="s">
        <v>538</v>
      </c>
    </row>
    <row r="12" spans="1:4"/>
    <row r="13" spans="1:4">
      <c r="A13" t="s">
        <v>507</v>
      </c>
      <c r="D13" s="156">
        <f>IFERROR(VLOOKUP(D11,'[1]File Name Info'!A35:B121,2,0),"תא מחושב")</f>
        <v>570002618</v>
      </c>
    </row>
    <row r="14" spans="1:4"/>
    <row r="15" spans="1:4" ht="15">
      <c r="A15" s="20" t="s">
        <v>371</v>
      </c>
      <c r="D15" s="15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570002618_gm_p_0225.xlsx</v>
      </c>
    </row>
    <row r="16" spans="1:4" ht="15">
      <c r="A16" s="20"/>
      <c r="D16" s="155"/>
    </row>
    <row r="17" spans="1:4" ht="15">
      <c r="A17" s="20" t="s">
        <v>436</v>
      </c>
      <c r="B17" s="17" t="s">
        <v>345</v>
      </c>
      <c r="C17" s="17"/>
      <c r="D17" s="113" t="s">
        <v>1209</v>
      </c>
    </row>
    <row r="18" spans="1:4">
      <c r="A18" s="15"/>
      <c r="B18" s="18"/>
      <c r="C18" s="18"/>
      <c r="D18" s="19"/>
    </row>
    <row r="19" spans="1:4">
      <c r="A19" s="15"/>
      <c r="B19" s="17" t="s">
        <v>346</v>
      </c>
      <c r="C19" s="17"/>
      <c r="D19" s="113" t="s">
        <v>1210</v>
      </c>
    </row>
    <row r="20" spans="1:4">
      <c r="A20" s="15"/>
      <c r="B20" s="18"/>
      <c r="C20" s="18"/>
      <c r="D20" s="19"/>
    </row>
    <row r="21" spans="1:4">
      <c r="A21" s="15"/>
      <c r="B21" s="17" t="s">
        <v>347</v>
      </c>
      <c r="C21" s="17"/>
      <c r="D21" s="114" t="s">
        <v>1211</v>
      </c>
    </row>
    <row r="22" spans="1:4">
      <c r="A22" s="15"/>
      <c r="B22" s="16"/>
      <c r="C22" s="16"/>
    </row>
    <row r="23" spans="1:4" ht="15">
      <c r="A23" s="154"/>
      <c r="D23" s="153"/>
    </row>
  </sheetData>
  <conditionalFormatting sqref="D3">
    <cfRule type="containsText" dxfId="8" priority="9" operator="containsText" text="Please fill in data">
      <formula>NOT(ISERROR(SEARCH("Please fill in data",D3)))</formula>
    </cfRule>
  </conditionalFormatting>
  <conditionalFormatting sqref="D5">
    <cfRule type="containsText" dxfId="7" priority="8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F0C772CE-5660-4FA2-99B0-4669DECA6E03}">
      <formula1>Type</formula1>
    </dataValidation>
    <dataValidation type="list" allowBlank="1" showInputMessage="1" showErrorMessage="1" sqref="D5" xr:uid="{87A05A25-ED5E-466E-AE4A-D2DD437F823F}">
      <formula1>File_Type</formula1>
    </dataValidation>
    <dataValidation type="list" allowBlank="1" showInputMessage="1" showErrorMessage="1" sqref="D7" xr:uid="{5AFB25B5-3E15-4BF4-8651-49CC9746470D}">
      <formula1>QTR</formula1>
    </dataValidation>
    <dataValidation type="list" allowBlank="1" showInputMessage="1" showErrorMessage="1" sqref="D9" xr:uid="{A0EDF3A2-8AED-45E5-B5D6-96D92877C412}">
      <formula1>YEAR</formula1>
    </dataValidation>
    <dataValidation type="list" allowBlank="1" showInputMessage="1" showErrorMessage="1" sqref="D11" xr:uid="{A574CF50-50C8-4008-AC17-8202D2A6895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16384" width="0" style="7" hidden="1"/>
  </cols>
  <sheetData>
    <row r="1" spans="1:5" ht="18.75" customHeight="1">
      <c r="A1" s="53"/>
      <c r="B1" s="54"/>
      <c r="C1" s="116" t="s">
        <v>919</v>
      </c>
      <c r="D1" s="115"/>
      <c r="E1" s="54"/>
    </row>
    <row r="2" spans="1:5" ht="25.5">
      <c r="A2" s="53"/>
      <c r="B2" s="54" t="s">
        <v>17</v>
      </c>
      <c r="C2" s="54" t="s">
        <v>27</v>
      </c>
      <c r="D2" s="54" t="s">
        <v>26</v>
      </c>
      <c r="E2" s="54" t="s">
        <v>916</v>
      </c>
    </row>
    <row r="3" spans="1:5">
      <c r="A3" s="56" t="s">
        <v>31</v>
      </c>
      <c r="B3" s="206">
        <f>SUM('מזומנים ושווי מזומנים'!O:O)</f>
        <v>43747.861999999994</v>
      </c>
      <c r="C3" s="57"/>
      <c r="D3" s="57"/>
      <c r="E3" s="207">
        <f>SUM('[1]מזומנים ושווי מזומנים'!O:O)/B30</f>
        <v>3.5448850013694654E-2</v>
      </c>
    </row>
    <row r="4" spans="1:5">
      <c r="A4" s="56" t="s">
        <v>40</v>
      </c>
      <c r="B4" s="206">
        <f>SUM('איגרות חוב ממשלתיות'!U:U)</f>
        <v>263457.413</v>
      </c>
      <c r="C4" s="57"/>
      <c r="D4" s="57"/>
      <c r="E4" s="207">
        <f>SUM('[1]איגרות חוב ממשלתיות'!U:U)/B30</f>
        <v>0.21347928542046257</v>
      </c>
    </row>
    <row r="5" spans="1:5">
      <c r="A5" s="56" t="s">
        <v>32</v>
      </c>
      <c r="B5" s="206">
        <f>SUM('ניירות ערך מסחריים'!AD:AD)</f>
        <v>0</v>
      </c>
      <c r="C5" s="57"/>
      <c r="D5" s="57"/>
      <c r="E5" s="207">
        <f>SUM('[1]ניירות ערך מסחריים'!AD:AD)/B30</f>
        <v>0</v>
      </c>
    </row>
    <row r="6" spans="1:5">
      <c r="A6" s="56" t="s">
        <v>33</v>
      </c>
      <c r="B6" s="206">
        <f>SUM('איגרות חוב'!AD:AD)</f>
        <v>206889.14400000003</v>
      </c>
      <c r="C6" s="57"/>
      <c r="D6" s="57"/>
      <c r="E6" s="207">
        <f>SUM('[1]איגרות חוב'!AD:AD)/B30</f>
        <v>0.1676420720884069</v>
      </c>
    </row>
    <row r="7" spans="1:5">
      <c r="A7" s="56" t="s">
        <v>458</v>
      </c>
      <c r="B7" s="206">
        <f>SUM('מניות מבכ ויהש'!U:U)</f>
        <v>250049.67500000008</v>
      </c>
      <c r="C7" s="57"/>
      <c r="D7" s="57"/>
      <c r="E7" s="207">
        <f>SUM('[1]מניות מבכ ויהש'!U:U)/B30</f>
        <v>0.20261500836425098</v>
      </c>
    </row>
    <row r="8" spans="1:5">
      <c r="A8" s="56" t="s">
        <v>34</v>
      </c>
      <c r="B8" s="206">
        <f>SUM('קרנות סל'!T:T)</f>
        <v>228466.78700000007</v>
      </c>
      <c r="C8" s="57"/>
      <c r="D8" s="57"/>
      <c r="E8" s="207">
        <f>SUM('[1]קרנות סל'!T:T)/B30</f>
        <v>0.18512641521713052</v>
      </c>
    </row>
    <row r="9" spans="1:5">
      <c r="A9" s="56" t="s">
        <v>35</v>
      </c>
      <c r="B9" s="206">
        <f>SUM('קרנות נאמנות'!T:T)</f>
        <v>8363.2060000000001</v>
      </c>
      <c r="C9" s="57"/>
      <c r="D9" s="57"/>
      <c r="E9" s="207">
        <f>SUM('[1]קרנות נאמנות'!T:T)/B30</f>
        <v>6.7766976847378558E-3</v>
      </c>
    </row>
    <row r="10" spans="1:5">
      <c r="A10" s="56" t="s">
        <v>36</v>
      </c>
      <c r="B10" s="206">
        <f>SUM('כתבי אופציה'!W:W)</f>
        <v>508.51</v>
      </c>
      <c r="C10" s="57"/>
      <c r="D10" s="57"/>
      <c r="E10" s="207">
        <f>SUM('[1]כתבי אופציה'!W:W)/B30</f>
        <v>4.1204515824027856E-4</v>
      </c>
    </row>
    <row r="11" spans="1:5">
      <c r="A11" s="56" t="s">
        <v>37</v>
      </c>
      <c r="B11" s="206">
        <f>SUM(אופציות!V:V)</f>
        <v>0</v>
      </c>
      <c r="C11" s="57"/>
      <c r="D11" s="57"/>
      <c r="E11" s="207">
        <f>SUM([1]אופציות!V:V)/B30</f>
        <v>0</v>
      </c>
    </row>
    <row r="12" spans="1:5">
      <c r="A12" s="56" t="s">
        <v>38</v>
      </c>
      <c r="B12" s="206">
        <f>SUM('חוזים עתידיים'!R:R)</f>
        <v>4396.9519999999993</v>
      </c>
      <c r="C12" s="57"/>
      <c r="D12" s="57"/>
      <c r="E12" s="207">
        <f>SUM('[1]חוזים עתידיים'!R:R)/B30</f>
        <v>3.5628459275430357E-3</v>
      </c>
    </row>
    <row r="13" spans="1:5">
      <c r="A13" s="56" t="s">
        <v>39</v>
      </c>
      <c r="B13" s="206">
        <f>SUM('מוצרים מובנים'!Z:Z)</f>
        <v>0</v>
      </c>
      <c r="C13" s="57"/>
      <c r="D13" s="57"/>
      <c r="E13" s="207">
        <f>SUM('[1]מוצרים מובנים'!Z:Z)/B30</f>
        <v>0</v>
      </c>
    </row>
    <row r="14" spans="1:5">
      <c r="A14" s="56" t="s">
        <v>41</v>
      </c>
      <c r="B14" s="206">
        <f>SUM('לא סחיר איגרות חוב ממשלתיות'!U:U)</f>
        <v>0</v>
      </c>
      <c r="C14" s="57"/>
      <c r="D14" s="57"/>
      <c r="E14" s="207">
        <f>SUM('[1]לא סחיר איגרות חוב ממשלתיות'!U:U)/B30</f>
        <v>0</v>
      </c>
    </row>
    <row r="15" spans="1:5">
      <c r="A15" s="56" t="s">
        <v>42</v>
      </c>
      <c r="B15" s="206">
        <f>SUM('לא סחיר איגרות חוב מיועדות'!N:N)</f>
        <v>0</v>
      </c>
      <c r="C15" s="57"/>
      <c r="D15" s="57"/>
      <c r="E15" s="207">
        <f>SUM('[1]לא סחיר איגרות חוב מיועדות'!N:N)/B30</f>
        <v>0</v>
      </c>
    </row>
    <row r="16" spans="1:5" s="119" customFormat="1">
      <c r="A16" s="58" t="s">
        <v>665</v>
      </c>
      <c r="B16" s="206">
        <f>SUM('אפיק השקעה מובטח תשואה'!F:F)</f>
        <v>0</v>
      </c>
      <c r="C16" s="59"/>
      <c r="D16" s="59"/>
      <c r="E16" s="207">
        <f>SUM('[1]אפיק השקעה מובטח תשואה'!F:F)/B30</f>
        <v>0</v>
      </c>
    </row>
    <row r="17" spans="1:5">
      <c r="A17" s="58" t="s">
        <v>43</v>
      </c>
      <c r="B17" s="206">
        <f>SUM('לא סחיר ניירות ערך מסחריים'!AI:AI)</f>
        <v>0</v>
      </c>
      <c r="C17" s="59"/>
      <c r="D17" s="59"/>
      <c r="E17" s="207">
        <f>SUM('[1]לא סחיר ניירות ערך מסחריים'!AI:AI)/B30</f>
        <v>0</v>
      </c>
    </row>
    <row r="18" spans="1:5">
      <c r="A18" s="56" t="s">
        <v>44</v>
      </c>
      <c r="B18" s="206">
        <f>SUM('לא סחיר איגרות חוב'!AG:AG)</f>
        <v>13089.549999999997</v>
      </c>
      <c r="C18" s="57"/>
      <c r="D18" s="57"/>
      <c r="E18" s="207">
        <f>SUM('[1]לא סחיר איגרות חוב'!AG:AG)/B30</f>
        <v>1.0606449629395758E-2</v>
      </c>
    </row>
    <row r="19" spans="1:5">
      <c r="A19" s="56" t="s">
        <v>461</v>
      </c>
      <c r="B19" s="206">
        <f>SUM('לא סחיר מניות מבכ ויהש'!X:X)</f>
        <v>14657.946</v>
      </c>
      <c r="C19" s="57"/>
      <c r="D19" s="57"/>
      <c r="E19" s="207">
        <f>SUM('[1]לא סחיר מניות מבכ ויהש'!X:X)/B30</f>
        <v>1.1877319382209707E-2</v>
      </c>
    </row>
    <row r="20" spans="1:5">
      <c r="A20" s="56" t="s">
        <v>45</v>
      </c>
      <c r="B20" s="206">
        <f>SUM('קרנות השקעה'!W:W)</f>
        <v>147922.38100000002</v>
      </c>
      <c r="C20" s="57"/>
      <c r="D20" s="57"/>
      <c r="E20" s="207">
        <f>SUM('[1]קרנות השקעה'!W:W)/B30</f>
        <v>0.11986136140178912</v>
      </c>
    </row>
    <row r="21" spans="1:5">
      <c r="A21" s="56" t="s">
        <v>46</v>
      </c>
      <c r="B21" s="206">
        <f>SUM('לא סחיר כתבי אופציה'!Z:Z)</f>
        <v>0</v>
      </c>
      <c r="C21" s="57"/>
      <c r="D21" s="57"/>
      <c r="E21" s="207">
        <f>SUM('[1]לא סחיר כתבי אופציה'!Z:Z)/B30</f>
        <v>0</v>
      </c>
    </row>
    <row r="22" spans="1:5">
      <c r="A22" s="56" t="s">
        <v>47</v>
      </c>
      <c r="B22" s="206">
        <f>SUM('לא סחיר אופציות'!Z:Z)</f>
        <v>0</v>
      </c>
      <c r="C22" s="57"/>
      <c r="D22" s="57"/>
      <c r="E22" s="207">
        <f>SUM('[1]לא סחיר אופציות'!Z:Z)/B30</f>
        <v>0</v>
      </c>
    </row>
    <row r="23" spans="1:5">
      <c r="A23" s="56" t="s">
        <v>460</v>
      </c>
      <c r="B23" s="206">
        <f>SUM('לא סחיר נגזרים אחרים'!R:R)</f>
        <v>7090.7750000000005</v>
      </c>
      <c r="C23" s="57"/>
      <c r="D23" s="57"/>
      <c r="E23" s="207">
        <f>SUM('[1]לא סחיר נגזרים אחרים'!R:R)/B30</f>
        <v>5.7456480834619014E-3</v>
      </c>
    </row>
    <row r="24" spans="1:5">
      <c r="A24" s="56" t="s">
        <v>48</v>
      </c>
      <c r="B24" s="206">
        <f>SUM(הלוואות!AT:AT)</f>
        <v>42244.724000000002</v>
      </c>
      <c r="C24" s="57"/>
      <c r="D24" s="57"/>
      <c r="E24" s="207">
        <f>SUM([1]הלוואות!AT:AT)/B30</f>
        <v>3.4230858754787312E-2</v>
      </c>
    </row>
    <row r="25" spans="1:5">
      <c r="A25" s="56" t="s">
        <v>49</v>
      </c>
      <c r="B25" s="206">
        <f>SUM('לא סחיר מוצרים מובנים'!AB:AB)</f>
        <v>0</v>
      </c>
      <c r="C25" s="57"/>
      <c r="D25" s="57"/>
      <c r="E25" s="207">
        <f>SUM('[1]לא סחיר מוצרים מובנים'!AB:AB)/B30</f>
        <v>0</v>
      </c>
    </row>
    <row r="26" spans="1:5">
      <c r="A26" s="56" t="s">
        <v>50</v>
      </c>
      <c r="B26" s="206">
        <f>SUM('פיקדונות מעל 3 חודשים'!T:T)</f>
        <v>0</v>
      </c>
      <c r="C26" s="57"/>
      <c r="D26" s="57"/>
      <c r="E26" s="207">
        <f>SUM('[1]פיקדונות מעל 3 חודשים'!T:T)/B30</f>
        <v>0</v>
      </c>
    </row>
    <row r="27" spans="1:5">
      <c r="A27" s="56" t="s">
        <v>51</v>
      </c>
      <c r="B27" s="206">
        <f>SUM('זכויות מקרקעין'!S:S)</f>
        <v>5100</v>
      </c>
      <c r="C27" s="57"/>
      <c r="D27" s="57"/>
      <c r="E27" s="207">
        <f>SUM('[1]זכויות מקרקעין'!S:S)/B30</f>
        <v>4.132525037905687E-3</v>
      </c>
    </row>
    <row r="28" spans="1:5">
      <c r="A28" s="56" t="s">
        <v>505</v>
      </c>
      <c r="B28" s="206">
        <f>SUM('השקעה בחברות מוחזקות'!U:U)</f>
        <v>0</v>
      </c>
      <c r="C28" s="57"/>
      <c r="D28" s="57"/>
      <c r="E28" s="207">
        <f>SUM('[1]השקעה בחברות מוחזקות'!U:U)/B30</f>
        <v>0</v>
      </c>
    </row>
    <row r="29" spans="1:5">
      <c r="A29" s="56" t="s">
        <v>52</v>
      </c>
      <c r="B29" s="206">
        <f>SUM('נכסים אחרים'!N:N)</f>
        <v>-1872.62</v>
      </c>
      <c r="C29" s="151"/>
      <c r="D29" s="151"/>
      <c r="E29" s="207">
        <f>SUM('[1]נכסים אחרים'!N:N)/B30</f>
        <v>-1.517382164016264E-3</v>
      </c>
    </row>
    <row r="30" spans="1:5" ht="15.75" thickBot="1">
      <c r="A30" s="55" t="s">
        <v>601</v>
      </c>
      <c r="B30" s="210">
        <f>IF(SUM(B3:B29)=0,0.0001,SUM(B3:B29))</f>
        <v>1234112.3050000002</v>
      </c>
      <c r="C30" s="152">
        <f t="shared" ref="C30:D30" si="0">SUM(C3:C29)</f>
        <v>0</v>
      </c>
      <c r="D30" s="152">
        <f t="shared" si="0"/>
        <v>0</v>
      </c>
      <c r="E30" s="209">
        <f>SUM(E3:E29)</f>
        <v>0.99999999999999989</v>
      </c>
    </row>
    <row r="31" spans="1:5" s="119" customFormat="1" ht="13.5" thickTop="1">
      <c r="A31" s="58" t="s">
        <v>753</v>
      </c>
      <c r="B31" s="59"/>
      <c r="C31" s="59"/>
      <c r="D31" s="59"/>
      <c r="E31" s="59"/>
    </row>
    <row r="32" spans="1:5">
      <c r="A32" s="58" t="s">
        <v>754</v>
      </c>
      <c r="B32" s="206">
        <f>SUM('[1]יתרות התחייבות להשקעה'!O:O)</f>
        <v>41332.22830313693</v>
      </c>
      <c r="C32" s="59"/>
      <c r="D32" s="59"/>
      <c r="E32" s="208" t="e">
        <f>B32/D30</f>
        <v>#DIV/0!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workbookViewId="0">
      <selection activeCell="A2" sqref="A2:Q4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6384" width="0" style="3" hidden="1"/>
  </cols>
  <sheetData>
    <row r="1" spans="1:17" s="4" customFormat="1" ht="51">
      <c r="A1" s="22" t="s">
        <v>649</v>
      </c>
      <c r="B1" s="22" t="s">
        <v>0</v>
      </c>
      <c r="C1" s="22" t="s">
        <v>721</v>
      </c>
      <c r="D1" s="22" t="s">
        <v>739</v>
      </c>
      <c r="E1" s="22" t="s">
        <v>740</v>
      </c>
      <c r="F1" s="22" t="s">
        <v>1</v>
      </c>
      <c r="G1" s="22" t="s">
        <v>602</v>
      </c>
      <c r="H1" s="22" t="s">
        <v>604</v>
      </c>
      <c r="I1" s="22" t="s">
        <v>770</v>
      </c>
      <c r="J1" s="22" t="s">
        <v>8</v>
      </c>
      <c r="K1" s="22" t="s">
        <v>396</v>
      </c>
      <c r="L1" s="22" t="s">
        <v>920</v>
      </c>
      <c r="M1" s="22" t="s">
        <v>11</v>
      </c>
      <c r="N1" s="22" t="s">
        <v>14</v>
      </c>
      <c r="O1" s="22" t="s">
        <v>1151</v>
      </c>
      <c r="P1" s="22" t="s">
        <v>19</v>
      </c>
      <c r="Q1" s="22" t="s">
        <v>30</v>
      </c>
    </row>
    <row r="2" spans="1:17">
      <c r="A2" s="9">
        <v>337</v>
      </c>
      <c r="B2" s="9">
        <v>1405</v>
      </c>
      <c r="C2" s="9" t="s">
        <v>1663</v>
      </c>
      <c r="D2" s="9" t="s">
        <v>2976</v>
      </c>
      <c r="E2" s="5" t="s">
        <v>774</v>
      </c>
      <c r="F2" s="9" t="s">
        <v>213</v>
      </c>
      <c r="G2" s="9" t="s">
        <v>53</v>
      </c>
      <c r="H2" s="9" t="s">
        <v>62</v>
      </c>
      <c r="I2" s="9" t="s">
        <v>1641</v>
      </c>
      <c r="J2" s="9" t="s">
        <v>65</v>
      </c>
      <c r="K2" s="9" t="s">
        <v>1259</v>
      </c>
      <c r="L2" s="203">
        <v>128.86199999999999</v>
      </c>
      <c r="M2" s="184">
        <v>1</v>
      </c>
      <c r="N2" s="204">
        <v>0</v>
      </c>
      <c r="O2" s="170">
        <v>128.86199999999999</v>
      </c>
      <c r="P2" s="185">
        <v>0.17416081230083899</v>
      </c>
      <c r="Q2" s="185">
        <v>1.42903841367118E-2</v>
      </c>
    </row>
    <row r="3" spans="1:17">
      <c r="A3" s="9">
        <v>337</v>
      </c>
      <c r="B3" s="9">
        <v>1405</v>
      </c>
      <c r="C3" s="9" t="s">
        <v>2061</v>
      </c>
      <c r="D3" s="9" t="s">
        <v>2977</v>
      </c>
      <c r="E3" s="168" t="s">
        <v>774</v>
      </c>
      <c r="F3" s="9" t="s">
        <v>218</v>
      </c>
      <c r="G3" s="9" t="s">
        <v>53</v>
      </c>
      <c r="H3" s="9" t="s">
        <v>62</v>
      </c>
      <c r="I3" s="9" t="s">
        <v>1641</v>
      </c>
      <c r="J3" s="9" t="s">
        <v>65</v>
      </c>
      <c r="K3" s="9" t="s">
        <v>1215</v>
      </c>
      <c r="L3" s="170">
        <v>92.893000000000001</v>
      </c>
      <c r="M3" s="184">
        <v>3.3719999999999999</v>
      </c>
      <c r="N3" s="205" t="s">
        <v>2978</v>
      </c>
      <c r="O3" s="170">
        <v>313.23399999999998</v>
      </c>
      <c r="P3" s="185">
        <v>0.42334557764057001</v>
      </c>
      <c r="Q3" s="185">
        <v>3.47366944787314E-2</v>
      </c>
    </row>
    <row r="4" spans="1:17">
      <c r="A4" s="9">
        <v>337</v>
      </c>
      <c r="B4" s="9">
        <v>1405</v>
      </c>
      <c r="C4" s="9" t="s">
        <v>2061</v>
      </c>
      <c r="D4" s="9" t="s">
        <v>2977</v>
      </c>
      <c r="E4" s="168" t="s">
        <v>774</v>
      </c>
      <c r="F4" s="9" t="s">
        <v>218</v>
      </c>
      <c r="G4" s="9" t="s">
        <v>53</v>
      </c>
      <c r="H4" s="9" t="s">
        <v>62</v>
      </c>
      <c r="I4" s="9" t="s">
        <v>1641</v>
      </c>
      <c r="J4" s="9" t="s">
        <v>65</v>
      </c>
      <c r="K4" s="9" t="s">
        <v>1239</v>
      </c>
      <c r="L4" s="170">
        <v>5.1820000000000004</v>
      </c>
      <c r="M4" s="184">
        <v>3.9552</v>
      </c>
      <c r="N4" s="200">
        <v>0</v>
      </c>
      <c r="O4" s="170">
        <v>20.498000000000001</v>
      </c>
      <c r="P4" s="185">
        <v>2.77033140529327E-2</v>
      </c>
      <c r="Q4" s="185">
        <v>2.27313477955378E-3</v>
      </c>
    </row>
    <row r="5" spans="1:17">
      <c r="A5" s="9">
        <v>337</v>
      </c>
      <c r="B5" s="9">
        <v>1405</v>
      </c>
      <c r="C5" s="9" t="s">
        <v>2061</v>
      </c>
      <c r="D5" s="9" t="s">
        <v>2977</v>
      </c>
      <c r="E5" s="168" t="s">
        <v>774</v>
      </c>
      <c r="F5" s="9" t="s">
        <v>213</v>
      </c>
      <c r="G5" s="9" t="s">
        <v>53</v>
      </c>
      <c r="H5" s="9" t="s">
        <v>62</v>
      </c>
      <c r="I5" s="9" t="s">
        <v>1641</v>
      </c>
      <c r="J5" s="9" t="s">
        <v>65</v>
      </c>
      <c r="K5" s="9" t="s">
        <v>1259</v>
      </c>
      <c r="L5" s="170">
        <v>277.30399999999997</v>
      </c>
      <c r="M5" s="184">
        <v>1</v>
      </c>
      <c r="N5" s="200">
        <v>4.0300000000000002E-2</v>
      </c>
      <c r="O5" s="170">
        <v>277.30399999999997</v>
      </c>
      <c r="P5" s="185">
        <v>0.37478426818253502</v>
      </c>
      <c r="Q5" s="185">
        <v>3.0752102553779002E-2</v>
      </c>
    </row>
    <row r="6" spans="1:17">
      <c r="A6" s="9">
        <v>337</v>
      </c>
      <c r="B6" s="9">
        <v>1405</v>
      </c>
      <c r="C6" s="9" t="s">
        <v>1663</v>
      </c>
      <c r="D6" s="9" t="s">
        <v>2976</v>
      </c>
      <c r="E6" s="168" t="s">
        <v>774</v>
      </c>
      <c r="F6" s="9" t="s">
        <v>213</v>
      </c>
      <c r="G6" s="9" t="s">
        <v>53</v>
      </c>
      <c r="H6" s="9" t="s">
        <v>62</v>
      </c>
      <c r="I6" s="9" t="s">
        <v>1641</v>
      </c>
      <c r="J6" s="9" t="s">
        <v>65</v>
      </c>
      <c r="K6" s="9" t="s">
        <v>1259</v>
      </c>
      <c r="L6" s="170">
        <v>4.0000000000000001E-3</v>
      </c>
      <c r="M6" s="184">
        <v>1</v>
      </c>
      <c r="N6" s="200">
        <v>0</v>
      </c>
      <c r="O6" s="170">
        <v>4.0000000000000001E-3</v>
      </c>
      <c r="P6" s="185">
        <v>6.02782312410332E-6</v>
      </c>
      <c r="Q6" s="185">
        <v>4.9459982882254904E-7</v>
      </c>
    </row>
    <row r="7" spans="1:17">
      <c r="A7" s="9">
        <v>337</v>
      </c>
      <c r="B7" s="9">
        <v>1477</v>
      </c>
      <c r="C7" s="9" t="s">
        <v>1663</v>
      </c>
      <c r="D7" s="9" t="s">
        <v>2976</v>
      </c>
      <c r="E7" s="168" t="s">
        <v>774</v>
      </c>
      <c r="F7" s="9" t="s">
        <v>213</v>
      </c>
      <c r="G7" s="9" t="s">
        <v>53</v>
      </c>
      <c r="H7" s="9" t="s">
        <v>62</v>
      </c>
      <c r="I7" s="9" t="s">
        <v>1641</v>
      </c>
      <c r="J7" s="9" t="s">
        <v>65</v>
      </c>
      <c r="K7" s="9" t="s">
        <v>1259</v>
      </c>
      <c r="L7" s="170">
        <v>603.08299999999997</v>
      </c>
      <c r="M7" s="184">
        <v>1</v>
      </c>
      <c r="N7" s="200">
        <v>0</v>
      </c>
      <c r="O7" s="170">
        <v>603.08299999999997</v>
      </c>
      <c r="P7" s="185">
        <v>0.37332678194178298</v>
      </c>
      <c r="Q7" s="185">
        <v>3.4711146147382403E-2</v>
      </c>
    </row>
    <row r="8" spans="1:17">
      <c r="A8" s="9">
        <v>337</v>
      </c>
      <c r="B8" s="9">
        <v>1477</v>
      </c>
      <c r="C8" s="9" t="s">
        <v>2061</v>
      </c>
      <c r="D8" s="9" t="s">
        <v>2977</v>
      </c>
      <c r="E8" s="168" t="s">
        <v>774</v>
      </c>
      <c r="F8" s="9" t="s">
        <v>218</v>
      </c>
      <c r="G8" s="9" t="s">
        <v>53</v>
      </c>
      <c r="H8" s="9" t="s">
        <v>62</v>
      </c>
      <c r="I8" s="9" t="s">
        <v>1641</v>
      </c>
      <c r="J8" s="9" t="s">
        <v>65</v>
      </c>
      <c r="K8" s="9" t="s">
        <v>1215</v>
      </c>
      <c r="L8" s="170">
        <v>38.502000000000002</v>
      </c>
      <c r="M8" s="184">
        <v>3.3719999999999999</v>
      </c>
      <c r="N8" s="205" t="s">
        <v>2978</v>
      </c>
      <c r="O8" s="170">
        <v>129.82900000000001</v>
      </c>
      <c r="P8" s="185">
        <v>8.0367862286411101E-2</v>
      </c>
      <c r="Q8" s="185">
        <v>7.4724363434802796E-3</v>
      </c>
    </row>
    <row r="9" spans="1:17">
      <c r="A9" s="9">
        <v>337</v>
      </c>
      <c r="B9" s="9">
        <v>1477</v>
      </c>
      <c r="C9" s="9" t="s">
        <v>2061</v>
      </c>
      <c r="D9" s="9" t="s">
        <v>2977</v>
      </c>
      <c r="E9" s="168" t="s">
        <v>774</v>
      </c>
      <c r="F9" s="9" t="s">
        <v>218</v>
      </c>
      <c r="G9" s="9" t="s">
        <v>53</v>
      </c>
      <c r="H9" s="9" t="s">
        <v>62</v>
      </c>
      <c r="I9" s="9" t="s">
        <v>1641</v>
      </c>
      <c r="J9" s="9" t="s">
        <v>65</v>
      </c>
      <c r="K9" s="9" t="s">
        <v>2979</v>
      </c>
      <c r="L9" s="170">
        <v>2.9159999999999999</v>
      </c>
      <c r="M9" s="184">
        <v>0.42899999999999999</v>
      </c>
      <c r="N9" s="200">
        <v>0</v>
      </c>
      <c r="O9" s="170">
        <v>1.2509999999999999</v>
      </c>
      <c r="P9" s="185">
        <v>7.7425222653099797E-4</v>
      </c>
      <c r="Q9" s="185">
        <v>7.1988358430295104E-5</v>
      </c>
    </row>
    <row r="10" spans="1:17">
      <c r="A10" s="9">
        <v>337</v>
      </c>
      <c r="B10" s="9">
        <v>1477</v>
      </c>
      <c r="C10" s="9" t="s">
        <v>2061</v>
      </c>
      <c r="D10" s="9" t="s">
        <v>2977</v>
      </c>
      <c r="E10" s="168" t="s">
        <v>774</v>
      </c>
      <c r="F10" s="9" t="s">
        <v>218</v>
      </c>
      <c r="G10" s="9" t="s">
        <v>53</v>
      </c>
      <c r="H10" s="9" t="s">
        <v>62</v>
      </c>
      <c r="I10" s="9" t="s">
        <v>1641</v>
      </c>
      <c r="J10" s="9" t="s">
        <v>65</v>
      </c>
      <c r="K10" s="9" t="s">
        <v>1239</v>
      </c>
      <c r="L10" s="170">
        <v>106.806</v>
      </c>
      <c r="M10" s="184">
        <v>3.9552</v>
      </c>
      <c r="N10" s="200">
        <v>0</v>
      </c>
      <c r="O10" s="170">
        <v>422.44</v>
      </c>
      <c r="P10" s="185">
        <v>0.26150326715802102</v>
      </c>
      <c r="Q10" s="185">
        <v>2.43140287903468E-2</v>
      </c>
    </row>
    <row r="11" spans="1:17">
      <c r="A11" s="9">
        <v>337</v>
      </c>
      <c r="B11" s="9">
        <v>1477</v>
      </c>
      <c r="C11" s="9" t="s">
        <v>2061</v>
      </c>
      <c r="D11" s="9" t="s">
        <v>2977</v>
      </c>
      <c r="E11" s="168" t="s">
        <v>774</v>
      </c>
      <c r="F11" s="9" t="s">
        <v>218</v>
      </c>
      <c r="G11" s="9" t="s">
        <v>53</v>
      </c>
      <c r="H11" s="9" t="s">
        <v>62</v>
      </c>
      <c r="I11" s="9" t="s">
        <v>1641</v>
      </c>
      <c r="J11" s="9" t="s">
        <v>65</v>
      </c>
      <c r="K11" s="9" t="s">
        <v>2980</v>
      </c>
      <c r="L11" s="170">
        <v>88.168000000000006</v>
      </c>
      <c r="M11" s="184">
        <v>2.3369000000000001E-2</v>
      </c>
      <c r="N11" s="200">
        <v>0</v>
      </c>
      <c r="O11" s="170">
        <v>2.06</v>
      </c>
      <c r="P11" s="185">
        <v>1.2754542440205599E-3</v>
      </c>
      <c r="Q11" s="185">
        <v>1.1858907747851E-4</v>
      </c>
    </row>
    <row r="12" spans="1:17">
      <c r="A12" s="9">
        <v>337</v>
      </c>
      <c r="B12" s="9">
        <v>1477</v>
      </c>
      <c r="C12" s="9" t="s">
        <v>2061</v>
      </c>
      <c r="D12" s="9" t="s">
        <v>2977</v>
      </c>
      <c r="E12" s="168" t="s">
        <v>774</v>
      </c>
      <c r="F12" s="9" t="s">
        <v>218</v>
      </c>
      <c r="G12" s="9" t="s">
        <v>53</v>
      </c>
      <c r="H12" s="9" t="s">
        <v>62</v>
      </c>
      <c r="I12" s="9" t="s">
        <v>1641</v>
      </c>
      <c r="J12" s="9" t="s">
        <v>65</v>
      </c>
      <c r="K12" s="9" t="s">
        <v>1287</v>
      </c>
      <c r="L12" s="170">
        <v>0.52100000000000002</v>
      </c>
      <c r="M12" s="184">
        <v>4.6235999999999997</v>
      </c>
      <c r="N12" s="200">
        <v>0</v>
      </c>
      <c r="O12" s="170">
        <v>2.4089999999999998</v>
      </c>
      <c r="P12" s="185">
        <v>1.4909511418338801E-3</v>
      </c>
      <c r="Q12" s="185">
        <v>1.38625529927486E-4</v>
      </c>
    </row>
    <row r="13" spans="1:17">
      <c r="A13" s="9">
        <v>337</v>
      </c>
      <c r="B13" s="9">
        <v>1477</v>
      </c>
      <c r="C13" s="9" t="s">
        <v>2061</v>
      </c>
      <c r="D13" s="9" t="s">
        <v>2977</v>
      </c>
      <c r="E13" s="168" t="s">
        <v>774</v>
      </c>
      <c r="F13" s="9" t="s">
        <v>213</v>
      </c>
      <c r="G13" s="9" t="s">
        <v>53</v>
      </c>
      <c r="H13" s="9" t="s">
        <v>62</v>
      </c>
      <c r="I13" s="9" t="s">
        <v>1641</v>
      </c>
      <c r="J13" s="9" t="s">
        <v>65</v>
      </c>
      <c r="K13" s="9" t="s">
        <v>1259</v>
      </c>
      <c r="L13" s="170">
        <v>448.59500000000003</v>
      </c>
      <c r="M13" s="184">
        <v>1</v>
      </c>
      <c r="N13" s="200">
        <v>4.0300000000000002E-2</v>
      </c>
      <c r="O13" s="170">
        <v>448.59500000000003</v>
      </c>
      <c r="P13" s="185">
        <v>0.277693937659233</v>
      </c>
      <c r="Q13" s="185">
        <v>2.5819403591127499E-2</v>
      </c>
    </row>
    <row r="14" spans="1:17">
      <c r="A14" s="9">
        <v>337</v>
      </c>
      <c r="B14" s="9">
        <v>1477</v>
      </c>
      <c r="C14" s="9" t="s">
        <v>2061</v>
      </c>
      <c r="D14" s="9" t="s">
        <v>2977</v>
      </c>
      <c r="E14" s="168" t="s">
        <v>774</v>
      </c>
      <c r="F14" s="9" t="s">
        <v>219</v>
      </c>
      <c r="G14" s="9" t="s">
        <v>53</v>
      </c>
      <c r="H14" s="9" t="s">
        <v>62</v>
      </c>
      <c r="I14" s="9" t="s">
        <v>1641</v>
      </c>
      <c r="J14" s="9" t="s">
        <v>65</v>
      </c>
      <c r="K14" s="9" t="s">
        <v>1259</v>
      </c>
      <c r="L14" s="170">
        <v>0.23699999999999999</v>
      </c>
      <c r="M14" s="184">
        <v>1</v>
      </c>
      <c r="N14" s="200">
        <v>4.0300000000000002E-2</v>
      </c>
      <c r="O14" s="170">
        <v>0.23699999999999999</v>
      </c>
      <c r="P14" s="185">
        <v>1.4678453835482701E-4</v>
      </c>
      <c r="Q14" s="185">
        <v>1.3647720467600899E-5</v>
      </c>
    </row>
    <row r="15" spans="1:17">
      <c r="A15" s="9">
        <v>337</v>
      </c>
      <c r="B15" s="9">
        <v>1477</v>
      </c>
      <c r="C15" s="9" t="s">
        <v>2061</v>
      </c>
      <c r="D15" s="9" t="s">
        <v>2977</v>
      </c>
      <c r="E15" s="168" t="s">
        <v>774</v>
      </c>
      <c r="F15" s="9" t="s">
        <v>218</v>
      </c>
      <c r="G15" s="9" t="s">
        <v>53</v>
      </c>
      <c r="H15" s="9" t="s">
        <v>62</v>
      </c>
      <c r="I15" s="9" t="s">
        <v>1641</v>
      </c>
      <c r="J15" s="9" t="s">
        <v>65</v>
      </c>
      <c r="K15" s="9" t="s">
        <v>2215</v>
      </c>
      <c r="L15" s="170">
        <v>1.306</v>
      </c>
      <c r="M15" s="184">
        <v>4.2313999999999998</v>
      </c>
      <c r="N15" s="200">
        <v>0</v>
      </c>
      <c r="O15" s="170">
        <v>5.5259999999999998</v>
      </c>
      <c r="P15" s="185">
        <v>3.4207088038118801E-3</v>
      </c>
      <c r="Q15" s="185">
        <v>3.1805037559632602E-4</v>
      </c>
    </row>
    <row r="16" spans="1:17">
      <c r="A16" s="9">
        <v>337</v>
      </c>
      <c r="B16" s="9">
        <v>9962</v>
      </c>
      <c r="C16" s="9" t="s">
        <v>1663</v>
      </c>
      <c r="D16" s="9" t="s">
        <v>2976</v>
      </c>
      <c r="E16" s="168" t="s">
        <v>774</v>
      </c>
      <c r="F16" s="9" t="s">
        <v>213</v>
      </c>
      <c r="G16" s="9" t="s">
        <v>53</v>
      </c>
      <c r="H16" s="9" t="s">
        <v>62</v>
      </c>
      <c r="I16" s="9" t="s">
        <v>1641</v>
      </c>
      <c r="J16" s="9" t="s">
        <v>65</v>
      </c>
      <c r="K16" s="9" t="s">
        <v>1259</v>
      </c>
      <c r="L16" s="170">
        <v>283.85500000000002</v>
      </c>
      <c r="M16" s="184">
        <v>1</v>
      </c>
      <c r="N16" s="200">
        <v>0</v>
      </c>
      <c r="O16" s="170">
        <v>283.85500000000002</v>
      </c>
      <c r="P16" s="185">
        <v>0.147431323894334</v>
      </c>
      <c r="Q16" s="185">
        <v>6.6718397433572999E-3</v>
      </c>
    </row>
    <row r="17" spans="1:17">
      <c r="A17" s="9">
        <v>337</v>
      </c>
      <c r="B17" s="9">
        <v>9962</v>
      </c>
      <c r="C17" s="9" t="s">
        <v>2061</v>
      </c>
      <c r="D17" s="9" t="s">
        <v>2977</v>
      </c>
      <c r="E17" s="168" t="s">
        <v>774</v>
      </c>
      <c r="F17" s="9" t="s">
        <v>218</v>
      </c>
      <c r="G17" s="9" t="s">
        <v>53</v>
      </c>
      <c r="H17" s="9" t="s">
        <v>62</v>
      </c>
      <c r="I17" s="9" t="s">
        <v>1641</v>
      </c>
      <c r="J17" s="9" t="s">
        <v>65</v>
      </c>
      <c r="K17" s="9" t="s">
        <v>1215</v>
      </c>
      <c r="L17" s="170">
        <v>49.247999999999998</v>
      </c>
      <c r="M17" s="184">
        <v>3.3719999999999999</v>
      </c>
      <c r="N17" s="205" t="s">
        <v>2978</v>
      </c>
      <c r="O17" s="170">
        <v>166.065</v>
      </c>
      <c r="P17" s="185">
        <v>8.6252547352565101E-2</v>
      </c>
      <c r="Q17" s="185">
        <v>3.9032626052052E-3</v>
      </c>
    </row>
    <row r="18" spans="1:17">
      <c r="A18" s="9">
        <v>337</v>
      </c>
      <c r="B18" s="9">
        <v>9962</v>
      </c>
      <c r="C18" s="9" t="s">
        <v>2061</v>
      </c>
      <c r="D18" s="9" t="s">
        <v>2977</v>
      </c>
      <c r="E18" s="168" t="s">
        <v>774</v>
      </c>
      <c r="F18" s="9" t="s">
        <v>218</v>
      </c>
      <c r="G18" s="9" t="s">
        <v>53</v>
      </c>
      <c r="H18" s="9" t="s">
        <v>62</v>
      </c>
      <c r="I18" s="9" t="s">
        <v>1641</v>
      </c>
      <c r="J18" s="9" t="s">
        <v>65</v>
      </c>
      <c r="K18" s="9" t="s">
        <v>2979</v>
      </c>
      <c r="L18" s="170">
        <v>0.90800000000000003</v>
      </c>
      <c r="M18" s="184">
        <v>0.42899999999999999</v>
      </c>
      <c r="N18" s="200">
        <v>0</v>
      </c>
      <c r="O18" s="170">
        <v>0.38900000000000001</v>
      </c>
      <c r="P18" s="185">
        <v>2.02258772040042E-4</v>
      </c>
      <c r="Q18" s="185">
        <v>9.1529946153542799E-6</v>
      </c>
    </row>
    <row r="19" spans="1:17">
      <c r="A19" s="9">
        <v>337</v>
      </c>
      <c r="B19" s="9">
        <v>9962</v>
      </c>
      <c r="C19" s="9" t="s">
        <v>2061</v>
      </c>
      <c r="D19" s="9" t="s">
        <v>2977</v>
      </c>
      <c r="E19" s="168" t="s">
        <v>774</v>
      </c>
      <c r="F19" s="9" t="s">
        <v>218</v>
      </c>
      <c r="G19" s="9" t="s">
        <v>53</v>
      </c>
      <c r="H19" s="9" t="s">
        <v>62</v>
      </c>
      <c r="I19" s="9" t="s">
        <v>1641</v>
      </c>
      <c r="J19" s="9" t="s">
        <v>65</v>
      </c>
      <c r="K19" s="9" t="s">
        <v>1239</v>
      </c>
      <c r="L19" s="170">
        <v>89.39</v>
      </c>
      <c r="M19" s="184">
        <v>3.9552</v>
      </c>
      <c r="N19" s="200">
        <v>0</v>
      </c>
      <c r="O19" s="170">
        <v>353.55599999999998</v>
      </c>
      <c r="P19" s="185">
        <v>0.183633161631852</v>
      </c>
      <c r="Q19" s="185">
        <v>8.3101134386600207E-3</v>
      </c>
    </row>
    <row r="20" spans="1:17">
      <c r="A20" s="9">
        <v>337</v>
      </c>
      <c r="B20" s="9">
        <v>9962</v>
      </c>
      <c r="C20" s="9" t="s">
        <v>2061</v>
      </c>
      <c r="D20" s="9" t="s">
        <v>2977</v>
      </c>
      <c r="E20" s="168" t="s">
        <v>774</v>
      </c>
      <c r="F20" s="9" t="s">
        <v>218</v>
      </c>
      <c r="G20" s="9" t="s">
        <v>53</v>
      </c>
      <c r="H20" s="9" t="s">
        <v>62</v>
      </c>
      <c r="I20" s="9" t="s">
        <v>1641</v>
      </c>
      <c r="J20" s="9" t="s">
        <v>65</v>
      </c>
      <c r="K20" s="9" t="s">
        <v>2980</v>
      </c>
      <c r="L20" s="170">
        <v>99.373000000000005</v>
      </c>
      <c r="M20" s="184">
        <v>2.3369000000000001E-2</v>
      </c>
      <c r="N20" s="200">
        <v>0</v>
      </c>
      <c r="O20" s="170">
        <v>2.3220000000000001</v>
      </c>
      <c r="P20" s="185">
        <v>1.2061569648657499E-3</v>
      </c>
      <c r="Q20" s="185">
        <v>5.4583285033010401E-5</v>
      </c>
    </row>
    <row r="21" spans="1:17" s="42" customFormat="1">
      <c r="A21" s="9">
        <v>337</v>
      </c>
      <c r="B21" s="9">
        <v>9962</v>
      </c>
      <c r="C21" s="9" t="s">
        <v>2061</v>
      </c>
      <c r="D21" s="9" t="s">
        <v>2977</v>
      </c>
      <c r="E21" s="5" t="s">
        <v>774</v>
      </c>
      <c r="F21" s="9" t="s">
        <v>218</v>
      </c>
      <c r="G21" s="9" t="s">
        <v>53</v>
      </c>
      <c r="H21" s="9" t="s">
        <v>62</v>
      </c>
      <c r="I21" s="9" t="s">
        <v>1641</v>
      </c>
      <c r="J21" s="9" t="s">
        <v>65</v>
      </c>
      <c r="K21" s="9" t="s">
        <v>1287</v>
      </c>
      <c r="L21" s="170">
        <v>0.70299999999999996</v>
      </c>
      <c r="M21" s="184">
        <v>4.6235999999999997</v>
      </c>
      <c r="N21" s="177">
        <v>0</v>
      </c>
      <c r="O21" s="170">
        <v>3.2519999999999998</v>
      </c>
      <c r="P21" s="185">
        <v>1.68891612620808E-3</v>
      </c>
      <c r="Q21" s="185">
        <v>7.6430011183431593E-5</v>
      </c>
    </row>
    <row r="22" spans="1:17">
      <c r="A22" s="9">
        <v>337</v>
      </c>
      <c r="B22" s="9">
        <v>9962</v>
      </c>
      <c r="C22" s="9" t="s">
        <v>2061</v>
      </c>
      <c r="D22" s="9" t="s">
        <v>2977</v>
      </c>
      <c r="E22" s="5" t="s">
        <v>774</v>
      </c>
      <c r="F22" s="9" t="s">
        <v>213</v>
      </c>
      <c r="G22" s="9" t="s">
        <v>53</v>
      </c>
      <c r="H22" s="9" t="s">
        <v>62</v>
      </c>
      <c r="I22" s="9" t="s">
        <v>1641</v>
      </c>
      <c r="J22" s="9" t="s">
        <v>65</v>
      </c>
      <c r="K22" s="9" t="s">
        <v>1259</v>
      </c>
      <c r="L22" s="170">
        <v>1104.74</v>
      </c>
      <c r="M22" s="184">
        <v>1</v>
      </c>
      <c r="N22" s="200">
        <v>4.0300000000000002E-2</v>
      </c>
      <c r="O22" s="170">
        <v>1104.74</v>
      </c>
      <c r="P22" s="185">
        <v>0.573790641002216</v>
      </c>
      <c r="Q22" s="185">
        <v>2.5966253994631299E-2</v>
      </c>
    </row>
    <row r="23" spans="1:17">
      <c r="A23" s="9">
        <v>337</v>
      </c>
      <c r="B23" s="9">
        <v>9962</v>
      </c>
      <c r="C23" s="9" t="s">
        <v>2061</v>
      </c>
      <c r="D23" s="9" t="s">
        <v>2977</v>
      </c>
      <c r="E23" s="5" t="s">
        <v>774</v>
      </c>
      <c r="F23" s="9" t="s">
        <v>218</v>
      </c>
      <c r="G23" s="9" t="s">
        <v>53</v>
      </c>
      <c r="H23" s="9" t="s">
        <v>62</v>
      </c>
      <c r="I23" s="9" t="s">
        <v>1641</v>
      </c>
      <c r="J23" s="9" t="s">
        <v>65</v>
      </c>
      <c r="K23" s="9" t="s">
        <v>2215</v>
      </c>
      <c r="L23" s="170">
        <v>2.637</v>
      </c>
      <c r="M23" s="184">
        <v>4.2313999999999998</v>
      </c>
      <c r="N23" s="177">
        <v>0</v>
      </c>
      <c r="O23" s="170">
        <v>11.157</v>
      </c>
      <c r="P23" s="185">
        <v>5.7949942559182904E-3</v>
      </c>
      <c r="Q23" s="185">
        <v>2.6224598659151501E-4</v>
      </c>
    </row>
    <row r="24" spans="1:17">
      <c r="A24" s="9">
        <v>337</v>
      </c>
      <c r="B24" s="9">
        <v>9963</v>
      </c>
      <c r="C24" s="9" t="s">
        <v>1663</v>
      </c>
      <c r="D24" s="9" t="s">
        <v>2976</v>
      </c>
      <c r="E24" s="5" t="s">
        <v>774</v>
      </c>
      <c r="F24" s="9" t="s">
        <v>213</v>
      </c>
      <c r="G24" s="9" t="s">
        <v>53</v>
      </c>
      <c r="H24" s="9" t="s">
        <v>62</v>
      </c>
      <c r="I24" s="9" t="s">
        <v>1641</v>
      </c>
      <c r="J24" s="9" t="s">
        <v>65</v>
      </c>
      <c r="K24" s="9" t="s">
        <v>1259</v>
      </c>
      <c r="L24" s="170">
        <v>1411.249</v>
      </c>
      <c r="M24" s="184">
        <v>1</v>
      </c>
      <c r="N24" s="177">
        <v>0</v>
      </c>
      <c r="O24" s="170">
        <v>1411.249</v>
      </c>
      <c r="P24" s="185">
        <v>3.7311590127285799E-2</v>
      </c>
      <c r="Q24" s="185">
        <v>1.26838865700591E-3</v>
      </c>
    </row>
    <row r="25" spans="1:17">
      <c r="A25" s="9">
        <v>337</v>
      </c>
      <c r="B25" s="9">
        <v>9963</v>
      </c>
      <c r="C25" s="9" t="s">
        <v>2061</v>
      </c>
      <c r="D25" s="9" t="s">
        <v>2977</v>
      </c>
      <c r="E25" s="5" t="s">
        <v>774</v>
      </c>
      <c r="F25" s="9" t="s">
        <v>218</v>
      </c>
      <c r="G25" s="9" t="s">
        <v>53</v>
      </c>
      <c r="H25" s="9" t="s">
        <v>62</v>
      </c>
      <c r="I25" s="9" t="s">
        <v>1641</v>
      </c>
      <c r="J25" s="9" t="s">
        <v>65</v>
      </c>
      <c r="K25" s="9" t="s">
        <v>1215</v>
      </c>
      <c r="L25" s="170">
        <v>3928.299</v>
      </c>
      <c r="M25" s="184">
        <v>3.3719999999999999</v>
      </c>
      <c r="N25" s="205" t="s">
        <v>2978</v>
      </c>
      <c r="O25" s="170">
        <v>13246.225</v>
      </c>
      <c r="P25" s="185">
        <v>0.35021289879383599</v>
      </c>
      <c r="Q25" s="185">
        <v>1.1905310571108999E-2</v>
      </c>
    </row>
    <row r="26" spans="1:17">
      <c r="A26" s="9">
        <v>337</v>
      </c>
      <c r="B26" s="9">
        <v>9963</v>
      </c>
      <c r="C26" s="9" t="s">
        <v>2061</v>
      </c>
      <c r="D26" s="9" t="s">
        <v>2977</v>
      </c>
      <c r="E26" s="5" t="s">
        <v>774</v>
      </c>
      <c r="F26" s="9" t="s">
        <v>218</v>
      </c>
      <c r="G26" s="9" t="s">
        <v>53</v>
      </c>
      <c r="H26" s="9" t="s">
        <v>62</v>
      </c>
      <c r="I26" s="9" t="s">
        <v>1641</v>
      </c>
      <c r="J26" s="9" t="s">
        <v>65</v>
      </c>
      <c r="K26" s="9" t="s">
        <v>2979</v>
      </c>
      <c r="L26" s="170">
        <v>87.459000000000003</v>
      </c>
      <c r="M26" s="184">
        <v>0.42899999999999999</v>
      </c>
      <c r="N26" s="177">
        <v>0</v>
      </c>
      <c r="O26" s="170">
        <v>37.520000000000003</v>
      </c>
      <c r="P26" s="185">
        <v>9.9198179475436807E-4</v>
      </c>
      <c r="Q26" s="185">
        <v>3.37219199752807E-5</v>
      </c>
    </row>
    <row r="27" spans="1:17">
      <c r="A27" s="9">
        <v>337</v>
      </c>
      <c r="B27" s="9">
        <v>9963</v>
      </c>
      <c r="C27" s="9" t="s">
        <v>2061</v>
      </c>
      <c r="D27" s="9" t="s">
        <v>2977</v>
      </c>
      <c r="E27" s="5" t="s">
        <v>774</v>
      </c>
      <c r="F27" s="9" t="s">
        <v>218</v>
      </c>
      <c r="G27" s="9" t="s">
        <v>53</v>
      </c>
      <c r="H27" s="9" t="s">
        <v>62</v>
      </c>
      <c r="I27" s="9" t="s">
        <v>1641</v>
      </c>
      <c r="J27" s="9" t="s">
        <v>65</v>
      </c>
      <c r="K27" s="9" t="s">
        <v>2981</v>
      </c>
      <c r="L27" s="170">
        <v>7.4950000000000001</v>
      </c>
      <c r="M27" s="184">
        <v>2.4674</v>
      </c>
      <c r="N27" s="177">
        <v>0</v>
      </c>
      <c r="O27" s="170">
        <v>18.494</v>
      </c>
      <c r="P27" s="185">
        <v>4.8895075317434997E-4</v>
      </c>
      <c r="Q27" s="185">
        <v>1.6621633842061999E-5</v>
      </c>
    </row>
    <row r="28" spans="1:17">
      <c r="A28" s="9">
        <v>337</v>
      </c>
      <c r="B28" s="9">
        <v>9963</v>
      </c>
      <c r="C28" s="9" t="s">
        <v>2061</v>
      </c>
      <c r="D28" s="9" t="s">
        <v>2977</v>
      </c>
      <c r="E28" s="5" t="s">
        <v>774</v>
      </c>
      <c r="F28" s="9" t="s">
        <v>218</v>
      </c>
      <c r="G28" s="9" t="s">
        <v>53</v>
      </c>
      <c r="H28" s="9" t="s">
        <v>62</v>
      </c>
      <c r="I28" s="9" t="s">
        <v>1641</v>
      </c>
      <c r="J28" s="9" t="s">
        <v>65</v>
      </c>
      <c r="K28" s="9" t="s">
        <v>1239</v>
      </c>
      <c r="L28" s="170">
        <v>1666.009</v>
      </c>
      <c r="M28" s="184">
        <v>3.9552</v>
      </c>
      <c r="N28" s="177">
        <v>0</v>
      </c>
      <c r="O28" s="170">
        <v>6589.3980000000001</v>
      </c>
      <c r="P28" s="185">
        <v>0.174215089575641</v>
      </c>
      <c r="Q28" s="185">
        <v>5.9223539587345397E-3</v>
      </c>
    </row>
    <row r="29" spans="1:17">
      <c r="A29" s="9">
        <v>337</v>
      </c>
      <c r="B29" s="9">
        <v>9963</v>
      </c>
      <c r="C29" s="9" t="s">
        <v>2061</v>
      </c>
      <c r="D29" s="9" t="s">
        <v>2977</v>
      </c>
      <c r="E29" s="5" t="s">
        <v>774</v>
      </c>
      <c r="F29" s="9" t="s">
        <v>218</v>
      </c>
      <c r="G29" s="9" t="s">
        <v>53</v>
      </c>
      <c r="H29" s="9" t="s">
        <v>62</v>
      </c>
      <c r="I29" s="9" t="s">
        <v>1641</v>
      </c>
      <c r="J29" s="9" t="s">
        <v>65</v>
      </c>
      <c r="K29" s="9" t="s">
        <v>2980</v>
      </c>
      <c r="L29" s="170">
        <v>57.023000000000003</v>
      </c>
      <c r="M29" s="184">
        <v>2.3369000000000001E-2</v>
      </c>
      <c r="N29" s="177">
        <v>0</v>
      </c>
      <c r="O29" s="170">
        <v>1.333</v>
      </c>
      <c r="P29" s="185">
        <v>3.5231307329459098E-5</v>
      </c>
      <c r="Q29" s="185">
        <v>1.1976704942279E-6</v>
      </c>
    </row>
    <row r="30" spans="1:17">
      <c r="A30" s="9">
        <v>337</v>
      </c>
      <c r="B30" s="9">
        <v>9963</v>
      </c>
      <c r="C30" s="9" t="s">
        <v>2061</v>
      </c>
      <c r="D30" s="9" t="s">
        <v>2977</v>
      </c>
      <c r="E30" s="5" t="s">
        <v>774</v>
      </c>
      <c r="F30" s="9" t="s">
        <v>218</v>
      </c>
      <c r="G30" s="9" t="s">
        <v>53</v>
      </c>
      <c r="H30" s="9" t="s">
        <v>62</v>
      </c>
      <c r="I30" s="9" t="s">
        <v>1641</v>
      </c>
      <c r="J30" s="9" t="s">
        <v>65</v>
      </c>
      <c r="K30" s="9" t="s">
        <v>1287</v>
      </c>
      <c r="L30" s="170">
        <v>10.005000000000001</v>
      </c>
      <c r="M30" s="184">
        <v>4.6235999999999997</v>
      </c>
      <c r="N30" s="177">
        <v>0</v>
      </c>
      <c r="O30" s="170">
        <v>46.261000000000003</v>
      </c>
      <c r="P30" s="185">
        <v>1.22307227571357E-3</v>
      </c>
      <c r="Q30" s="185">
        <v>4.1577724131328697E-5</v>
      </c>
    </row>
    <row r="31" spans="1:17">
      <c r="A31" s="9">
        <v>337</v>
      </c>
      <c r="B31" s="9">
        <v>9963</v>
      </c>
      <c r="C31" s="9" t="s">
        <v>2061</v>
      </c>
      <c r="D31" s="9" t="s">
        <v>2977</v>
      </c>
      <c r="E31" s="5" t="s">
        <v>774</v>
      </c>
      <c r="F31" s="9" t="s">
        <v>213</v>
      </c>
      <c r="G31" s="9" t="s">
        <v>53</v>
      </c>
      <c r="H31" s="9" t="s">
        <v>62</v>
      </c>
      <c r="I31" s="9" t="s">
        <v>1641</v>
      </c>
      <c r="J31" s="9" t="s">
        <v>65</v>
      </c>
      <c r="K31" s="9" t="s">
        <v>1259</v>
      </c>
      <c r="L31" s="170">
        <v>14210.135</v>
      </c>
      <c r="M31" s="184">
        <v>1</v>
      </c>
      <c r="N31" s="200">
        <v>4.0300000000000002E-2</v>
      </c>
      <c r="O31" s="170">
        <v>14210.135</v>
      </c>
      <c r="P31" s="185">
        <v>0.37569742304585302</v>
      </c>
      <c r="Q31" s="185">
        <v>1.2771644098578E-2</v>
      </c>
    </row>
    <row r="32" spans="1:17">
      <c r="A32" s="9">
        <v>337</v>
      </c>
      <c r="B32" s="9">
        <v>9963</v>
      </c>
      <c r="C32" s="9" t="s">
        <v>2061</v>
      </c>
      <c r="D32" s="9" t="s">
        <v>2977</v>
      </c>
      <c r="E32" s="5" t="s">
        <v>774</v>
      </c>
      <c r="F32" s="9" t="s">
        <v>218</v>
      </c>
      <c r="G32" s="9" t="s">
        <v>53</v>
      </c>
      <c r="H32" s="9" t="s">
        <v>62</v>
      </c>
      <c r="I32" s="9" t="s">
        <v>1641</v>
      </c>
      <c r="J32" s="9" t="s">
        <v>65</v>
      </c>
      <c r="K32" s="9" t="s">
        <v>2215</v>
      </c>
      <c r="L32" s="170">
        <v>9.4139999999999997</v>
      </c>
      <c r="M32" s="184">
        <v>4.2313999999999998</v>
      </c>
      <c r="N32" s="177">
        <v>0</v>
      </c>
      <c r="O32" s="170">
        <v>39.832999999999998</v>
      </c>
      <c r="P32" s="185">
        <v>1.0531382186243401E-3</v>
      </c>
      <c r="Q32" s="185">
        <v>3.5800901709243002E-5</v>
      </c>
    </row>
    <row r="33" spans="1:17">
      <c r="A33" s="9">
        <v>337</v>
      </c>
      <c r="B33" s="9">
        <v>9963</v>
      </c>
      <c r="C33" s="9" t="s">
        <v>1663</v>
      </c>
      <c r="D33" s="9" t="s">
        <v>2976</v>
      </c>
      <c r="E33" s="5" t="s">
        <v>774</v>
      </c>
      <c r="F33" s="9" t="s">
        <v>213</v>
      </c>
      <c r="G33" s="9" t="s">
        <v>53</v>
      </c>
      <c r="H33" s="9" t="s">
        <v>62</v>
      </c>
      <c r="I33" s="9" t="s">
        <v>1641</v>
      </c>
      <c r="J33" s="9" t="s">
        <v>65</v>
      </c>
      <c r="K33" s="9" t="s">
        <v>1259</v>
      </c>
      <c r="L33" s="170">
        <v>1906.4590000000001</v>
      </c>
      <c r="M33" s="184">
        <v>1</v>
      </c>
      <c r="N33" s="177">
        <v>0</v>
      </c>
      <c r="O33" s="170">
        <v>1906.4590000000001</v>
      </c>
      <c r="P33" s="185">
        <v>5.04042896865406E-2</v>
      </c>
      <c r="Q33" s="185">
        <v>1.7134683642468201E-3</v>
      </c>
    </row>
    <row r="34" spans="1:17">
      <c r="A34" s="9">
        <v>337</v>
      </c>
      <c r="B34" s="9">
        <v>9963</v>
      </c>
      <c r="C34" s="9" t="s">
        <v>1663</v>
      </c>
      <c r="D34" s="9" t="s">
        <v>2976</v>
      </c>
      <c r="E34" s="5" t="s">
        <v>774</v>
      </c>
      <c r="F34" s="9" t="s">
        <v>213</v>
      </c>
      <c r="G34" s="9" t="s">
        <v>53</v>
      </c>
      <c r="H34" s="9" t="s">
        <v>62</v>
      </c>
      <c r="I34" s="9" t="s">
        <v>1641</v>
      </c>
      <c r="J34" s="9" t="s">
        <v>65</v>
      </c>
      <c r="K34" s="9" t="s">
        <v>1259</v>
      </c>
      <c r="L34" s="170">
        <v>309.10899999999998</v>
      </c>
      <c r="M34" s="184">
        <v>1</v>
      </c>
      <c r="N34" s="177">
        <v>0</v>
      </c>
      <c r="O34" s="170">
        <v>309.10899999999998</v>
      </c>
      <c r="P34" s="185">
        <v>8.1724306523686709E-3</v>
      </c>
      <c r="Q34" s="185">
        <v>2.77817651412593E-4</v>
      </c>
    </row>
    <row r="35" spans="1:17">
      <c r="A35" s="9">
        <v>337</v>
      </c>
      <c r="B35" s="9">
        <v>9963</v>
      </c>
      <c r="C35" s="9" t="s">
        <v>2061</v>
      </c>
      <c r="D35" s="9" t="s">
        <v>2977</v>
      </c>
      <c r="E35" s="5" t="s">
        <v>774</v>
      </c>
      <c r="F35" s="9" t="s">
        <v>213</v>
      </c>
      <c r="G35" s="9" t="s">
        <v>53</v>
      </c>
      <c r="H35" s="9" t="s">
        <v>62</v>
      </c>
      <c r="I35" s="9" t="s">
        <v>1641</v>
      </c>
      <c r="J35" s="9" t="s">
        <v>65</v>
      </c>
      <c r="K35" s="9" t="s">
        <v>1259</v>
      </c>
      <c r="L35" s="170">
        <v>0</v>
      </c>
      <c r="M35" s="184">
        <v>1</v>
      </c>
      <c r="N35" s="200">
        <v>4.0300000000000002E-2</v>
      </c>
      <c r="O35" s="170">
        <v>0</v>
      </c>
      <c r="P35" s="185">
        <v>3.1726434043565905E-9</v>
      </c>
      <c r="Q35" s="185">
        <v>1.07852409749422E-10</v>
      </c>
    </row>
    <row r="36" spans="1:17">
      <c r="A36" s="9">
        <v>337</v>
      </c>
      <c r="B36" s="9">
        <v>9963</v>
      </c>
      <c r="C36" s="9" t="s">
        <v>1663</v>
      </c>
      <c r="D36" s="9" t="s">
        <v>2976</v>
      </c>
      <c r="E36" s="5" t="s">
        <v>774</v>
      </c>
      <c r="F36" s="9" t="s">
        <v>213</v>
      </c>
      <c r="G36" s="9" t="s">
        <v>53</v>
      </c>
      <c r="H36" s="9" t="s">
        <v>62</v>
      </c>
      <c r="I36" s="9" t="s">
        <v>1641</v>
      </c>
      <c r="J36" s="9" t="s">
        <v>65</v>
      </c>
      <c r="K36" s="9" t="s">
        <v>1259</v>
      </c>
      <c r="L36" s="170">
        <v>7.3339999999999996</v>
      </c>
      <c r="M36" s="184">
        <v>1</v>
      </c>
      <c r="N36" s="177">
        <v>0</v>
      </c>
      <c r="O36" s="170">
        <v>7.3339999999999996</v>
      </c>
      <c r="P36" s="185">
        <v>1.93900596235409E-4</v>
      </c>
      <c r="Q36" s="185">
        <v>6.5915528127497403E-6</v>
      </c>
    </row>
    <row r="37" spans="1:17">
      <c r="A37" s="9">
        <v>337</v>
      </c>
      <c r="B37" s="9">
        <v>9964</v>
      </c>
      <c r="C37" s="9" t="s">
        <v>1663</v>
      </c>
      <c r="D37" s="9" t="s">
        <v>2976</v>
      </c>
      <c r="E37" s="5" t="s">
        <v>774</v>
      </c>
      <c r="F37" s="9" t="s">
        <v>213</v>
      </c>
      <c r="G37" s="9" t="s">
        <v>53</v>
      </c>
      <c r="H37" s="9" t="s">
        <v>62</v>
      </c>
      <c r="I37" s="9" t="s">
        <v>1641</v>
      </c>
      <c r="J37" s="9" t="s">
        <v>65</v>
      </c>
      <c r="K37" s="9" t="s">
        <v>1259</v>
      </c>
      <c r="L37" s="170">
        <v>285.30700000000002</v>
      </c>
      <c r="M37" s="184">
        <v>1</v>
      </c>
      <c r="N37" s="177">
        <v>0</v>
      </c>
      <c r="O37" s="170">
        <v>285.30700000000002</v>
      </c>
      <c r="P37" s="185">
        <v>0.17866911974288699</v>
      </c>
      <c r="Q37" s="185">
        <v>7.3479157912759597E-3</v>
      </c>
    </row>
    <row r="38" spans="1:17">
      <c r="A38" s="9">
        <v>337</v>
      </c>
      <c r="B38" s="9">
        <v>9964</v>
      </c>
      <c r="C38" s="9" t="s">
        <v>2061</v>
      </c>
      <c r="D38" s="9" t="s">
        <v>2977</v>
      </c>
      <c r="E38" s="5" t="s">
        <v>774</v>
      </c>
      <c r="F38" s="9" t="s">
        <v>218</v>
      </c>
      <c r="G38" s="9" t="s">
        <v>53</v>
      </c>
      <c r="H38" s="9" t="s">
        <v>62</v>
      </c>
      <c r="I38" s="9" t="s">
        <v>1641</v>
      </c>
      <c r="J38" s="9" t="s">
        <v>65</v>
      </c>
      <c r="K38" s="9" t="s">
        <v>1215</v>
      </c>
      <c r="L38" s="170">
        <v>107.55200000000001</v>
      </c>
      <c r="M38" s="184">
        <v>3.3719999999999999</v>
      </c>
      <c r="N38" s="205" t="s">
        <v>2978</v>
      </c>
      <c r="O38" s="170">
        <v>362.66500000000002</v>
      </c>
      <c r="P38" s="185">
        <v>0.22711348285319299</v>
      </c>
      <c r="Q38" s="185">
        <v>9.3402304184973806E-3</v>
      </c>
    </row>
    <row r="39" spans="1:17">
      <c r="A39" s="9">
        <v>337</v>
      </c>
      <c r="B39" s="9">
        <v>9964</v>
      </c>
      <c r="C39" s="9" t="s">
        <v>2061</v>
      </c>
      <c r="D39" s="9" t="s">
        <v>2977</v>
      </c>
      <c r="E39" s="5" t="s">
        <v>774</v>
      </c>
      <c r="F39" s="9" t="s">
        <v>218</v>
      </c>
      <c r="G39" s="9" t="s">
        <v>53</v>
      </c>
      <c r="H39" s="9" t="s">
        <v>62</v>
      </c>
      <c r="I39" s="9" t="s">
        <v>1641</v>
      </c>
      <c r="J39" s="9" t="s">
        <v>65</v>
      </c>
      <c r="K39" s="9" t="s">
        <v>2979</v>
      </c>
      <c r="L39" s="170">
        <v>3.056</v>
      </c>
      <c r="M39" s="184">
        <v>0.42899999999999999</v>
      </c>
      <c r="N39" s="177">
        <v>0</v>
      </c>
      <c r="O39" s="170">
        <v>1.3109999999999999</v>
      </c>
      <c r="P39" s="185">
        <v>8.2108189692938198E-4</v>
      </c>
      <c r="Q39" s="185">
        <v>3.3767674263243401E-5</v>
      </c>
    </row>
    <row r="40" spans="1:17">
      <c r="A40" s="9">
        <v>337</v>
      </c>
      <c r="B40" s="9">
        <v>9964</v>
      </c>
      <c r="C40" s="9" t="s">
        <v>2061</v>
      </c>
      <c r="D40" s="9" t="s">
        <v>2977</v>
      </c>
      <c r="E40" s="5" t="s">
        <v>774</v>
      </c>
      <c r="F40" s="9" t="s">
        <v>218</v>
      </c>
      <c r="G40" s="9" t="s">
        <v>53</v>
      </c>
      <c r="H40" s="9" t="s">
        <v>62</v>
      </c>
      <c r="I40" s="9" t="s">
        <v>1641</v>
      </c>
      <c r="J40" s="9" t="s">
        <v>65</v>
      </c>
      <c r="K40" s="9" t="s">
        <v>1239</v>
      </c>
      <c r="L40" s="170">
        <v>75.393000000000001</v>
      </c>
      <c r="M40" s="184">
        <v>3.9552</v>
      </c>
      <c r="N40" s="177">
        <v>0</v>
      </c>
      <c r="O40" s="170">
        <v>298.19499999999999</v>
      </c>
      <c r="P40" s="185">
        <v>0.18674046589829099</v>
      </c>
      <c r="Q40" s="185">
        <v>7.6798565987165196E-3</v>
      </c>
    </row>
    <row r="41" spans="1:17">
      <c r="A41" s="9">
        <v>337</v>
      </c>
      <c r="B41" s="9">
        <v>9964</v>
      </c>
      <c r="C41" s="9" t="s">
        <v>2061</v>
      </c>
      <c r="D41" s="9" t="s">
        <v>2977</v>
      </c>
      <c r="E41" s="5" t="s">
        <v>774</v>
      </c>
      <c r="F41" s="9" t="s">
        <v>218</v>
      </c>
      <c r="G41" s="9" t="s">
        <v>53</v>
      </c>
      <c r="H41" s="9" t="s">
        <v>62</v>
      </c>
      <c r="I41" s="9" t="s">
        <v>1641</v>
      </c>
      <c r="J41" s="9" t="s">
        <v>65</v>
      </c>
      <c r="K41" s="9" t="s">
        <v>2980</v>
      </c>
      <c r="L41" s="170">
        <v>15.502000000000001</v>
      </c>
      <c r="M41" s="184">
        <v>2.3369000000000001E-2</v>
      </c>
      <c r="N41" s="177">
        <v>0</v>
      </c>
      <c r="O41" s="170">
        <v>0.36199999999999999</v>
      </c>
      <c r="P41" s="185">
        <v>2.26869426488549E-4</v>
      </c>
      <c r="Q41" s="185">
        <v>9.3301933980077207E-6</v>
      </c>
    </row>
    <row r="42" spans="1:17">
      <c r="A42" s="9">
        <v>337</v>
      </c>
      <c r="B42" s="9">
        <v>9964</v>
      </c>
      <c r="C42" s="9" t="s">
        <v>2061</v>
      </c>
      <c r="D42" s="9" t="s">
        <v>2977</v>
      </c>
      <c r="E42" s="5" t="s">
        <v>774</v>
      </c>
      <c r="F42" s="9" t="s">
        <v>218</v>
      </c>
      <c r="G42" s="9" t="s">
        <v>53</v>
      </c>
      <c r="H42" s="9" t="s">
        <v>62</v>
      </c>
      <c r="I42" s="9" t="s">
        <v>1641</v>
      </c>
      <c r="J42" s="9" t="s">
        <v>65</v>
      </c>
      <c r="K42" s="9" t="s">
        <v>1287</v>
      </c>
      <c r="L42" s="170">
        <v>1.264</v>
      </c>
      <c r="M42" s="184">
        <v>4.6235999999999997</v>
      </c>
      <c r="N42" s="177">
        <v>0</v>
      </c>
      <c r="O42" s="170">
        <v>5.8460000000000001</v>
      </c>
      <c r="P42" s="185">
        <v>3.6608471755238299E-3</v>
      </c>
      <c r="Q42" s="185">
        <v>1.5055537749998101E-4</v>
      </c>
    </row>
    <row r="43" spans="1:17">
      <c r="A43" s="9">
        <v>337</v>
      </c>
      <c r="B43" s="9">
        <v>9964</v>
      </c>
      <c r="C43" s="9" t="s">
        <v>2061</v>
      </c>
      <c r="D43" s="9" t="s">
        <v>2977</v>
      </c>
      <c r="E43" s="5" t="s">
        <v>774</v>
      </c>
      <c r="F43" s="9" t="s">
        <v>213</v>
      </c>
      <c r="G43" s="9" t="s">
        <v>53</v>
      </c>
      <c r="H43" s="9" t="s">
        <v>62</v>
      </c>
      <c r="I43" s="9" t="s">
        <v>1641</v>
      </c>
      <c r="J43" s="9" t="s">
        <v>65</v>
      </c>
      <c r="K43" s="9" t="s">
        <v>1259</v>
      </c>
      <c r="L43" s="170">
        <v>622.25300000000004</v>
      </c>
      <c r="M43" s="184">
        <v>1</v>
      </c>
      <c r="N43" s="200">
        <v>4.0300000000000002E-2</v>
      </c>
      <c r="O43" s="170">
        <v>622.25300000000004</v>
      </c>
      <c r="P43" s="185">
        <v>0.389677018292161</v>
      </c>
      <c r="Q43" s="185">
        <v>1.6025790692464102E-2</v>
      </c>
    </row>
    <row r="44" spans="1:17">
      <c r="A44" s="9">
        <v>337</v>
      </c>
      <c r="B44" s="9">
        <v>9964</v>
      </c>
      <c r="C44" s="9" t="s">
        <v>2061</v>
      </c>
      <c r="D44" s="9" t="s">
        <v>2977</v>
      </c>
      <c r="E44" s="5" t="s">
        <v>774</v>
      </c>
      <c r="F44" s="9" t="s">
        <v>218</v>
      </c>
      <c r="G44" s="9" t="s">
        <v>53</v>
      </c>
      <c r="H44" s="9" t="s">
        <v>62</v>
      </c>
      <c r="I44" s="9" t="s">
        <v>1641</v>
      </c>
      <c r="J44" s="9" t="s">
        <v>65</v>
      </c>
      <c r="K44" s="9" t="s">
        <v>2215</v>
      </c>
      <c r="L44" s="170">
        <v>4.9400000000000004</v>
      </c>
      <c r="M44" s="184">
        <v>4.2313999999999998</v>
      </c>
      <c r="N44" s="177">
        <v>0</v>
      </c>
      <c r="O44" s="170">
        <v>20.904</v>
      </c>
      <c r="P44" s="185">
        <v>1.30911147145269E-2</v>
      </c>
      <c r="Q44" s="185">
        <v>5.3838295433873901E-4</v>
      </c>
    </row>
    <row r="45" spans="1:17">
      <c r="A45" s="9">
        <v>337</v>
      </c>
      <c r="B45" s="9">
        <v>15372</v>
      </c>
      <c r="C45" s="9" t="s">
        <v>1663</v>
      </c>
      <c r="D45" s="9" t="s">
        <v>2976</v>
      </c>
      <c r="E45" s="5" t="s">
        <v>774</v>
      </c>
      <c r="F45" s="9" t="s">
        <v>213</v>
      </c>
      <c r="G45" s="9" t="s">
        <v>53</v>
      </c>
      <c r="H45" s="9" t="s">
        <v>62</v>
      </c>
      <c r="I45" s="9" t="s">
        <v>1641</v>
      </c>
      <c r="J45" s="9" t="s">
        <v>65</v>
      </c>
      <c r="K45" s="9" t="s">
        <v>1259</v>
      </c>
      <c r="L45" s="170">
        <v>10.617000000000001</v>
      </c>
      <c r="M45" s="184">
        <v>1</v>
      </c>
      <c r="N45" s="177">
        <v>0</v>
      </c>
      <c r="O45" s="170">
        <v>10.617000000000001</v>
      </c>
      <c r="P45" s="185">
        <v>0.22588236057061301</v>
      </c>
      <c r="Q45" s="185">
        <v>1.6041609881852401E-3</v>
      </c>
    </row>
    <row r="46" spans="1:17">
      <c r="A46" s="9">
        <v>337</v>
      </c>
      <c r="B46" s="9">
        <v>15372</v>
      </c>
      <c r="C46" s="9" t="s">
        <v>2061</v>
      </c>
      <c r="D46" s="9" t="s">
        <v>2977</v>
      </c>
      <c r="E46" s="5" t="s">
        <v>774</v>
      </c>
      <c r="F46" s="9" t="s">
        <v>218</v>
      </c>
      <c r="G46" s="9" t="s">
        <v>53</v>
      </c>
      <c r="H46" s="9" t="s">
        <v>62</v>
      </c>
      <c r="I46" s="9" t="s">
        <v>1641</v>
      </c>
      <c r="J46" s="9" t="s">
        <v>65</v>
      </c>
      <c r="K46" s="9" t="s">
        <v>1215</v>
      </c>
      <c r="L46" s="170">
        <v>3.6070000000000002</v>
      </c>
      <c r="M46" s="184">
        <v>3.3719999999999999</v>
      </c>
      <c r="N46" s="205" t="s">
        <v>2978</v>
      </c>
      <c r="O46" s="170">
        <v>12.164</v>
      </c>
      <c r="P46" s="185">
        <v>0.25880119748899599</v>
      </c>
      <c r="Q46" s="185">
        <v>1.8379424743867399E-3</v>
      </c>
    </row>
    <row r="47" spans="1:17">
      <c r="A47" s="9">
        <v>337</v>
      </c>
      <c r="B47" s="9">
        <v>15372</v>
      </c>
      <c r="C47" s="9" t="s">
        <v>2061</v>
      </c>
      <c r="D47" s="9" t="s">
        <v>2977</v>
      </c>
      <c r="E47" s="5" t="s">
        <v>774</v>
      </c>
      <c r="F47" s="9" t="s">
        <v>213</v>
      </c>
      <c r="G47" s="9" t="s">
        <v>53</v>
      </c>
      <c r="H47" s="9" t="s">
        <v>62</v>
      </c>
      <c r="I47" s="9" t="s">
        <v>1641</v>
      </c>
      <c r="J47" s="9" t="s">
        <v>65</v>
      </c>
      <c r="K47" s="9" t="s">
        <v>1259</v>
      </c>
      <c r="L47" s="170">
        <v>24.22</v>
      </c>
      <c r="M47" s="184">
        <v>1</v>
      </c>
      <c r="N47" s="200">
        <v>4.0300000000000002E-2</v>
      </c>
      <c r="O47" s="170">
        <v>24.22</v>
      </c>
      <c r="P47" s="185">
        <v>0.51531644194038995</v>
      </c>
      <c r="Q47" s="185">
        <v>3.6596506723364799E-3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2048FDD2-B81E-4482-8CD4-3EE62EF13084}">
      <formula1>israel_abroad</formula1>
    </dataValidation>
    <dataValidation type="list" allowBlank="1" showInputMessage="1" showErrorMessage="1" sqref="H2:H20" xr:uid="{D9456848-2587-46F4-AA4C-31FB3729398A}">
      <formula1>Holding_interest</formula1>
    </dataValidation>
    <dataValidation type="list" allowBlank="1" showInputMessage="1" showErrorMessage="1" sqref="J2:J21" xr:uid="{30E123E1-C258-4D7E-A934-999900A3771A}">
      <formula1>Rating_Agency</formula1>
    </dataValidation>
    <dataValidation type="list" allowBlank="1" showInputMessage="1" showErrorMessage="1" sqref="E2:E20" xr:uid="{117C13AD-C7B5-4EED-8AF9-FEDC196E6370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0"/>
  <sheetViews>
    <sheetView rightToLeft="1" topLeftCell="A14" workbookViewId="0">
      <selection activeCell="A2" sqref="A2:Z50"/>
    </sheetView>
  </sheetViews>
  <sheetFormatPr defaultColWidth="0" defaultRowHeight="14.25" zeroHeight="1"/>
  <cols>
    <col min="1" max="26" width="11.625" style="5" customWidth="1"/>
    <col min="27" max="30" width="11.625" style="5" hidden="1" customWidth="1"/>
    <col min="31" max="16384" width="0" style="5" hidden="1"/>
  </cols>
  <sheetData>
    <row r="1" spans="1:26" ht="51">
      <c r="A1" s="22" t="s">
        <v>649</v>
      </c>
      <c r="B1" s="22" t="s">
        <v>0</v>
      </c>
      <c r="C1" s="22" t="s">
        <v>722</v>
      </c>
      <c r="D1" s="22" t="s">
        <v>1143</v>
      </c>
      <c r="E1" s="22" t="s">
        <v>29</v>
      </c>
      <c r="F1" s="22" t="s">
        <v>1</v>
      </c>
      <c r="G1" s="22" t="s">
        <v>602</v>
      </c>
      <c r="H1" s="22" t="s">
        <v>603</v>
      </c>
      <c r="I1" s="22" t="s">
        <v>5</v>
      </c>
      <c r="J1" s="22" t="s">
        <v>6</v>
      </c>
      <c r="K1" s="22" t="s">
        <v>8</v>
      </c>
      <c r="L1" s="22" t="s">
        <v>396</v>
      </c>
      <c r="M1" s="22" t="s">
        <v>13</v>
      </c>
      <c r="N1" s="22" t="s">
        <v>420</v>
      </c>
      <c r="O1" s="22" t="s">
        <v>14</v>
      </c>
      <c r="P1" s="22" t="s">
        <v>619</v>
      </c>
      <c r="Q1" s="22" t="s">
        <v>936</v>
      </c>
      <c r="R1" s="22" t="s">
        <v>771</v>
      </c>
      <c r="S1" s="22" t="s">
        <v>11</v>
      </c>
      <c r="T1" s="22" t="s">
        <v>15</v>
      </c>
      <c r="U1" s="22" t="s">
        <v>1151</v>
      </c>
      <c r="V1" s="22" t="s">
        <v>1152</v>
      </c>
      <c r="W1" s="22" t="s">
        <v>26</v>
      </c>
      <c r="X1" s="22" t="s">
        <v>18</v>
      </c>
      <c r="Y1" s="22" t="s">
        <v>19</v>
      </c>
      <c r="Z1" s="22" t="s">
        <v>30</v>
      </c>
    </row>
    <row r="2" spans="1:26">
      <c r="A2" s="168">
        <v>337</v>
      </c>
      <c r="B2" s="168">
        <v>1405</v>
      </c>
      <c r="C2" s="168" t="s">
        <v>2918</v>
      </c>
      <c r="D2" s="168" t="s">
        <v>2919</v>
      </c>
      <c r="E2" s="168" t="s">
        <v>2920</v>
      </c>
      <c r="F2" s="168" t="s">
        <v>221</v>
      </c>
      <c r="G2" s="168" t="s">
        <v>53</v>
      </c>
      <c r="H2" s="168" t="s">
        <v>53</v>
      </c>
      <c r="I2" s="168" t="s">
        <v>311</v>
      </c>
      <c r="J2" s="168" t="s">
        <v>2921</v>
      </c>
      <c r="K2" s="168" t="s">
        <v>78</v>
      </c>
      <c r="L2" s="5" t="s">
        <v>1259</v>
      </c>
      <c r="M2" s="193">
        <v>1.905</v>
      </c>
      <c r="N2" s="5" t="s">
        <v>2661</v>
      </c>
      <c r="O2" s="200">
        <v>7.4999999999999997E-3</v>
      </c>
      <c r="P2" s="197">
        <v>2.0959999999999999E-2</v>
      </c>
      <c r="R2" s="193">
        <v>320378</v>
      </c>
      <c r="S2" s="195">
        <v>1</v>
      </c>
      <c r="T2" s="196">
        <v>115.45</v>
      </c>
      <c r="U2" s="193">
        <v>369.87599999999998</v>
      </c>
      <c r="W2" s="168" t="s">
        <v>17</v>
      </c>
      <c r="X2" s="201">
        <v>1.2999999999999999E-5</v>
      </c>
      <c r="Y2" s="197">
        <v>9.6282126176067198E-2</v>
      </c>
      <c r="Z2" s="197">
        <v>4.1018117627825201E-2</v>
      </c>
    </row>
    <row r="3" spans="1:26">
      <c r="A3" s="168">
        <v>337</v>
      </c>
      <c r="B3" s="168">
        <v>1405</v>
      </c>
      <c r="C3" s="168" t="s">
        <v>2922</v>
      </c>
      <c r="D3" s="168" t="s">
        <v>2923</v>
      </c>
      <c r="E3" s="168" t="s">
        <v>2924</v>
      </c>
      <c r="F3" s="168" t="s">
        <v>223</v>
      </c>
      <c r="G3" s="168" t="s">
        <v>53</v>
      </c>
      <c r="H3" s="168" t="s">
        <v>53</v>
      </c>
      <c r="I3" s="168" t="s">
        <v>311</v>
      </c>
      <c r="J3" s="168" t="s">
        <v>2921</v>
      </c>
      <c r="K3" s="168" t="s">
        <v>78</v>
      </c>
      <c r="L3" s="5" t="s">
        <v>1259</v>
      </c>
      <c r="M3" s="193">
        <v>3.109</v>
      </c>
      <c r="N3" s="5" t="s">
        <v>2925</v>
      </c>
      <c r="O3" s="200">
        <v>2.2499999999999999E-2</v>
      </c>
      <c r="P3" s="197">
        <v>3.952E-2</v>
      </c>
      <c r="R3" s="193">
        <v>703616</v>
      </c>
      <c r="S3" s="195">
        <v>1</v>
      </c>
      <c r="T3" s="196">
        <v>96.6</v>
      </c>
      <c r="U3" s="193">
        <v>679.69299999999998</v>
      </c>
      <c r="W3" s="168" t="s">
        <v>17</v>
      </c>
      <c r="X3" s="201">
        <v>2.0000000000000002E-5</v>
      </c>
      <c r="Y3" s="197">
        <v>0.176930164784394</v>
      </c>
      <c r="Z3" s="197">
        <v>7.53758002577299E-2</v>
      </c>
    </row>
    <row r="4" spans="1:26">
      <c r="A4" s="168">
        <v>337</v>
      </c>
      <c r="B4" s="168">
        <v>1405</v>
      </c>
      <c r="C4" s="168" t="s">
        <v>2922</v>
      </c>
      <c r="D4" s="168" t="s">
        <v>2926</v>
      </c>
      <c r="E4" s="168" t="s">
        <v>2927</v>
      </c>
      <c r="F4" s="168" t="s">
        <v>223</v>
      </c>
      <c r="G4" s="168" t="s">
        <v>53</v>
      </c>
      <c r="H4" s="168" t="s">
        <v>53</v>
      </c>
      <c r="I4" s="168" t="s">
        <v>311</v>
      </c>
      <c r="J4" s="168" t="s">
        <v>2921</v>
      </c>
      <c r="K4" s="168" t="s">
        <v>78</v>
      </c>
      <c r="L4" s="5" t="s">
        <v>1259</v>
      </c>
      <c r="M4" s="193">
        <v>1.7250000000000001</v>
      </c>
      <c r="N4" s="5" t="s">
        <v>2569</v>
      </c>
      <c r="O4" s="200">
        <v>0.02</v>
      </c>
      <c r="P4" s="197">
        <v>4.0030000000000003E-2</v>
      </c>
      <c r="R4" s="193">
        <v>186178</v>
      </c>
      <c r="S4" s="195">
        <v>1</v>
      </c>
      <c r="T4" s="196">
        <v>97.19</v>
      </c>
      <c r="U4" s="193">
        <v>180.946</v>
      </c>
      <c r="W4" s="168" t="s">
        <v>17</v>
      </c>
      <c r="X4" s="201">
        <v>6.9999999999999999E-6</v>
      </c>
      <c r="Y4" s="197">
        <v>4.7101961345723399E-2</v>
      </c>
      <c r="Z4" s="197">
        <v>2.00663806223715E-2</v>
      </c>
    </row>
    <row r="5" spans="1:26">
      <c r="A5" s="168">
        <v>337</v>
      </c>
      <c r="B5" s="168">
        <v>1405</v>
      </c>
      <c r="C5" s="168" t="s">
        <v>2922</v>
      </c>
      <c r="D5" s="168" t="s">
        <v>2928</v>
      </c>
      <c r="E5" s="168" t="s">
        <v>2929</v>
      </c>
      <c r="F5" s="168" t="s">
        <v>223</v>
      </c>
      <c r="G5" s="168" t="s">
        <v>53</v>
      </c>
      <c r="H5" s="168" t="s">
        <v>53</v>
      </c>
      <c r="I5" s="168" t="s">
        <v>311</v>
      </c>
      <c r="J5" s="168" t="s">
        <v>2921</v>
      </c>
      <c r="K5" s="168" t="s">
        <v>78</v>
      </c>
      <c r="L5" s="5" t="s">
        <v>1259</v>
      </c>
      <c r="M5" s="193">
        <v>8.1739999999999995</v>
      </c>
      <c r="N5" s="5" t="s">
        <v>2930</v>
      </c>
      <c r="O5" s="200">
        <v>0.04</v>
      </c>
      <c r="P5" s="197">
        <v>4.1140000000000003E-2</v>
      </c>
      <c r="R5" s="193">
        <v>210941</v>
      </c>
      <c r="S5" s="195">
        <v>1</v>
      </c>
      <c r="T5" s="196">
        <v>100.1</v>
      </c>
      <c r="U5" s="193">
        <v>211.15199999999999</v>
      </c>
      <c r="W5" s="168" t="s">
        <v>17</v>
      </c>
      <c r="X5" s="201">
        <v>6.0000000000000002E-6</v>
      </c>
      <c r="Y5" s="197">
        <v>5.4964733545364797E-2</v>
      </c>
      <c r="Z5" s="197">
        <v>2.3416079343979601E-2</v>
      </c>
    </row>
    <row r="6" spans="1:26">
      <c r="A6" s="168">
        <v>337</v>
      </c>
      <c r="B6" s="168">
        <v>1405</v>
      </c>
      <c r="C6" s="168" t="s">
        <v>2922</v>
      </c>
      <c r="D6" s="168" t="s">
        <v>2931</v>
      </c>
      <c r="E6" s="168" t="s">
        <v>2932</v>
      </c>
      <c r="F6" s="168" t="s">
        <v>223</v>
      </c>
      <c r="G6" s="168" t="s">
        <v>53</v>
      </c>
      <c r="H6" s="168" t="s">
        <v>53</v>
      </c>
      <c r="I6" s="168" t="s">
        <v>1691</v>
      </c>
      <c r="J6" s="168" t="s">
        <v>2921</v>
      </c>
      <c r="K6" s="168" t="s">
        <v>78</v>
      </c>
      <c r="L6" s="5" t="s">
        <v>1259</v>
      </c>
      <c r="M6" s="193">
        <v>3.7810000000000001</v>
      </c>
      <c r="N6" s="5" t="s">
        <v>2499</v>
      </c>
      <c r="O6" s="200">
        <v>4.5999999999999999E-2</v>
      </c>
      <c r="P6" s="197">
        <v>3.9390000000000001E-2</v>
      </c>
      <c r="R6" s="193">
        <v>97599</v>
      </c>
      <c r="S6" s="195">
        <v>1</v>
      </c>
      <c r="T6" s="196">
        <v>105.5</v>
      </c>
      <c r="U6" s="193">
        <v>102.967</v>
      </c>
      <c r="W6" s="168" t="s">
        <v>17</v>
      </c>
      <c r="X6" s="201">
        <v>6.0000000000000002E-6</v>
      </c>
      <c r="Y6" s="197">
        <v>2.68032141646533E-2</v>
      </c>
      <c r="Z6" s="197">
        <v>1.14187070339419E-2</v>
      </c>
    </row>
    <row r="7" spans="1:26">
      <c r="A7" s="168">
        <v>337</v>
      </c>
      <c r="B7" s="168">
        <v>1405</v>
      </c>
      <c r="C7" s="168" t="s">
        <v>2922</v>
      </c>
      <c r="D7" s="168" t="s">
        <v>2933</v>
      </c>
      <c r="E7" s="168" t="s">
        <v>2934</v>
      </c>
      <c r="F7" s="168" t="s">
        <v>223</v>
      </c>
      <c r="G7" s="168" t="s">
        <v>53</v>
      </c>
      <c r="H7" s="168" t="s">
        <v>53</v>
      </c>
      <c r="I7" s="168" t="s">
        <v>311</v>
      </c>
      <c r="J7" s="168" t="s">
        <v>2921</v>
      </c>
      <c r="K7" s="168" t="s">
        <v>78</v>
      </c>
      <c r="L7" s="5" t="s">
        <v>1259</v>
      </c>
      <c r="M7" s="193">
        <v>11.420999999999999</v>
      </c>
      <c r="N7" s="5" t="s">
        <v>2935</v>
      </c>
      <c r="O7" s="200">
        <v>5.5E-2</v>
      </c>
      <c r="P7" s="197">
        <v>4.3520000000000003E-2</v>
      </c>
      <c r="R7" s="193">
        <v>736311</v>
      </c>
      <c r="S7" s="195">
        <v>1</v>
      </c>
      <c r="T7" s="196">
        <v>115.63</v>
      </c>
      <c r="U7" s="193">
        <v>851.39599999999996</v>
      </c>
      <c r="W7" s="168" t="s">
        <v>17</v>
      </c>
      <c r="X7" s="201">
        <v>2.5999999999999998E-5</v>
      </c>
      <c r="Y7" s="197">
        <v>0.22162607910222701</v>
      </c>
      <c r="Z7" s="197">
        <v>9.4417156569487196E-2</v>
      </c>
    </row>
    <row r="8" spans="1:26">
      <c r="A8" s="168">
        <v>337</v>
      </c>
      <c r="B8" s="168">
        <v>1405</v>
      </c>
      <c r="C8" s="168" t="s">
        <v>2918</v>
      </c>
      <c r="D8" s="168" t="s">
        <v>2936</v>
      </c>
      <c r="E8" s="168" t="s">
        <v>2937</v>
      </c>
      <c r="F8" s="168" t="s">
        <v>221</v>
      </c>
      <c r="G8" s="168" t="s">
        <v>53</v>
      </c>
      <c r="H8" s="168" t="s">
        <v>53</v>
      </c>
      <c r="I8" s="168" t="s">
        <v>311</v>
      </c>
      <c r="J8" s="168" t="s">
        <v>2921</v>
      </c>
      <c r="K8" s="168" t="s">
        <v>78</v>
      </c>
      <c r="L8" s="5" t="s">
        <v>1259</v>
      </c>
      <c r="M8" s="193">
        <v>1.0780000000000001</v>
      </c>
      <c r="N8" s="5" t="s">
        <v>2630</v>
      </c>
      <c r="O8" s="200">
        <v>1E-3</v>
      </c>
      <c r="P8" s="197">
        <v>2.3380000000000001E-2</v>
      </c>
      <c r="R8" s="193">
        <v>116422</v>
      </c>
      <c r="S8" s="195">
        <v>1</v>
      </c>
      <c r="T8" s="196">
        <v>114.5</v>
      </c>
      <c r="U8" s="193">
        <v>133.303</v>
      </c>
      <c r="W8" s="168" t="s">
        <v>17</v>
      </c>
      <c r="X8" s="201">
        <v>6.0000000000000002E-6</v>
      </c>
      <c r="Y8" s="197">
        <v>3.4700009312711597E-2</v>
      </c>
      <c r="Z8" s="197">
        <v>1.47829002142376E-2</v>
      </c>
    </row>
    <row r="9" spans="1:26">
      <c r="A9" s="168">
        <v>337</v>
      </c>
      <c r="B9" s="168">
        <v>1405</v>
      </c>
      <c r="C9" s="168" t="s">
        <v>2918</v>
      </c>
      <c r="D9" s="168" t="s">
        <v>2938</v>
      </c>
      <c r="E9" s="168" t="s">
        <v>2939</v>
      </c>
      <c r="F9" s="168" t="s">
        <v>221</v>
      </c>
      <c r="G9" s="168" t="s">
        <v>53</v>
      </c>
      <c r="H9" s="168" t="s">
        <v>53</v>
      </c>
      <c r="I9" s="168" t="s">
        <v>311</v>
      </c>
      <c r="J9" s="168" t="s">
        <v>2921</v>
      </c>
      <c r="K9" s="168" t="s">
        <v>78</v>
      </c>
      <c r="L9" s="5" t="s">
        <v>1259</v>
      </c>
      <c r="M9" s="193">
        <v>3.2679999999999998</v>
      </c>
      <c r="N9" s="5" t="s">
        <v>2940</v>
      </c>
      <c r="O9" s="200">
        <v>1.0999999999999999E-2</v>
      </c>
      <c r="P9" s="197">
        <v>2.053E-2</v>
      </c>
      <c r="R9" s="193">
        <v>176782</v>
      </c>
      <c r="S9" s="195">
        <v>1</v>
      </c>
      <c r="T9" s="196">
        <v>103.51</v>
      </c>
      <c r="U9" s="193">
        <v>182.98699999999999</v>
      </c>
      <c r="W9" s="168" t="s">
        <v>17</v>
      </c>
      <c r="X9" s="201">
        <v>6.0000000000000002E-6</v>
      </c>
      <c r="Y9" s="197">
        <v>4.7633160741656799E-2</v>
      </c>
      <c r="Z9" s="197">
        <v>2.0292682223422301E-2</v>
      </c>
    </row>
    <row r="10" spans="1:26">
      <c r="A10" s="168">
        <v>337</v>
      </c>
      <c r="B10" s="168">
        <v>1405</v>
      </c>
      <c r="C10" s="168" t="s">
        <v>2922</v>
      </c>
      <c r="D10" s="168" t="s">
        <v>2941</v>
      </c>
      <c r="E10" s="168" t="s">
        <v>2942</v>
      </c>
      <c r="F10" s="168" t="s">
        <v>223</v>
      </c>
      <c r="G10" s="168" t="s">
        <v>53</v>
      </c>
      <c r="H10" s="168" t="s">
        <v>53</v>
      </c>
      <c r="I10" s="168" t="s">
        <v>311</v>
      </c>
      <c r="J10" s="168" t="s">
        <v>2921</v>
      </c>
      <c r="K10" s="168" t="s">
        <v>78</v>
      </c>
      <c r="L10" s="5" t="s">
        <v>1259</v>
      </c>
      <c r="M10" s="193">
        <v>10.803000000000001</v>
      </c>
      <c r="N10" s="5" t="s">
        <v>2943</v>
      </c>
      <c r="O10" s="200">
        <v>1.4999999999999999E-2</v>
      </c>
      <c r="P10" s="197">
        <v>4.2529999999999998E-2</v>
      </c>
      <c r="R10" s="193">
        <v>109758</v>
      </c>
      <c r="S10" s="195">
        <v>1</v>
      </c>
      <c r="T10" s="196">
        <v>74.8</v>
      </c>
      <c r="U10" s="193">
        <v>82.099000000000004</v>
      </c>
      <c r="W10" s="168" t="s">
        <v>17</v>
      </c>
      <c r="X10" s="201">
        <v>3.0000000000000001E-6</v>
      </c>
      <c r="Y10" s="197">
        <v>2.13710977911644E-2</v>
      </c>
      <c r="Z10" s="197">
        <v>9.1045164647769496E-3</v>
      </c>
    </row>
    <row r="11" spans="1:26">
      <c r="A11" s="168">
        <v>337</v>
      </c>
      <c r="B11" s="168">
        <v>1405</v>
      </c>
      <c r="C11" s="168" t="s">
        <v>2922</v>
      </c>
      <c r="D11" s="168" t="s">
        <v>2944</v>
      </c>
      <c r="E11" s="168" t="s">
        <v>2945</v>
      </c>
      <c r="F11" s="168" t="s">
        <v>223</v>
      </c>
      <c r="G11" s="168" t="s">
        <v>53</v>
      </c>
      <c r="H11" s="168" t="s">
        <v>53</v>
      </c>
      <c r="I11" s="168" t="s">
        <v>311</v>
      </c>
      <c r="J11" s="168" t="s">
        <v>2921</v>
      </c>
      <c r="K11" s="168" t="s">
        <v>78</v>
      </c>
      <c r="L11" s="5" t="s">
        <v>1259</v>
      </c>
      <c r="M11" s="193">
        <v>4.641</v>
      </c>
      <c r="N11" s="5" t="s">
        <v>2234</v>
      </c>
      <c r="O11" s="200">
        <v>0.01</v>
      </c>
      <c r="P11" s="197">
        <v>3.9690000000000003E-2</v>
      </c>
      <c r="R11" s="193">
        <v>975818</v>
      </c>
      <c r="S11" s="195">
        <v>1</v>
      </c>
      <c r="T11" s="196">
        <v>87.63</v>
      </c>
      <c r="U11" s="193">
        <v>855.10900000000004</v>
      </c>
      <c r="W11" s="168" t="s">
        <v>17</v>
      </c>
      <c r="X11" s="201">
        <v>2.5999999999999998E-5</v>
      </c>
      <c r="Y11" s="197">
        <v>0.22259258115553299</v>
      </c>
      <c r="Z11" s="197">
        <v>9.4828905836817801E-2</v>
      </c>
    </row>
    <row r="12" spans="1:26">
      <c r="A12" s="168">
        <v>337</v>
      </c>
      <c r="B12" s="168">
        <v>1405</v>
      </c>
      <c r="C12" s="168" t="s">
        <v>2946</v>
      </c>
      <c r="D12" s="168" t="s">
        <v>2947</v>
      </c>
      <c r="E12" s="168" t="s">
        <v>2948</v>
      </c>
      <c r="F12" s="168" t="s">
        <v>225</v>
      </c>
      <c r="G12" s="168" t="s">
        <v>61</v>
      </c>
      <c r="H12" s="168" t="s">
        <v>314</v>
      </c>
      <c r="I12" s="168" t="s">
        <v>1148</v>
      </c>
      <c r="J12" s="168" t="s">
        <v>1331</v>
      </c>
      <c r="K12" s="168" t="s">
        <v>101</v>
      </c>
      <c r="L12" s="5" t="s">
        <v>1215</v>
      </c>
      <c r="M12" s="193">
        <v>7.6379999999999999</v>
      </c>
      <c r="N12" s="5" t="s">
        <v>2949</v>
      </c>
      <c r="O12" s="200">
        <v>3.875E-2</v>
      </c>
      <c r="P12" s="197">
        <v>4.24E-2</v>
      </c>
      <c r="R12" s="193">
        <v>27500</v>
      </c>
      <c r="S12" s="195">
        <v>3.3719999999999999</v>
      </c>
      <c r="T12" s="196">
        <v>99.135000000000005</v>
      </c>
      <c r="U12" s="193">
        <v>91.927999999999997</v>
      </c>
      <c r="W12" s="168" t="s">
        <v>17</v>
      </c>
      <c r="X12" s="201">
        <v>0</v>
      </c>
      <c r="Y12" s="197">
        <v>2.3929745071182E-2</v>
      </c>
      <c r="Z12" s="197">
        <v>1.01945515446833E-2</v>
      </c>
    </row>
    <row r="13" spans="1:26">
      <c r="A13" s="168">
        <v>337</v>
      </c>
      <c r="B13" s="168">
        <v>1405</v>
      </c>
      <c r="C13" s="168" t="s">
        <v>2946</v>
      </c>
      <c r="D13" s="168" t="s">
        <v>2950</v>
      </c>
      <c r="E13" s="168" t="s">
        <v>2951</v>
      </c>
      <c r="F13" s="168" t="s">
        <v>225</v>
      </c>
      <c r="G13" s="168" t="s">
        <v>61</v>
      </c>
      <c r="H13" s="168" t="s">
        <v>314</v>
      </c>
      <c r="I13" s="168" t="s">
        <v>1148</v>
      </c>
      <c r="J13" s="168" t="s">
        <v>1331</v>
      </c>
      <c r="K13" s="168" t="s">
        <v>101</v>
      </c>
      <c r="L13" s="5" t="s">
        <v>1215</v>
      </c>
      <c r="M13" s="193">
        <v>6.9210000000000003</v>
      </c>
      <c r="N13" s="5" t="s">
        <v>2952</v>
      </c>
      <c r="O13" s="200">
        <v>3.3750000000000002E-2</v>
      </c>
      <c r="P13" s="197">
        <v>4.1250000000000002E-2</v>
      </c>
      <c r="R13" s="193">
        <v>31000</v>
      </c>
      <c r="S13" s="195">
        <v>3.3719999999999999</v>
      </c>
      <c r="T13" s="196">
        <v>95.79</v>
      </c>
      <c r="U13" s="193">
        <v>100.13200000000001</v>
      </c>
      <c r="W13" s="168" t="s">
        <v>17</v>
      </c>
      <c r="X13" s="201">
        <v>0</v>
      </c>
      <c r="Y13" s="197">
        <v>2.6065126809321899E-2</v>
      </c>
      <c r="Z13" s="197">
        <v>1.1104267011032299E-2</v>
      </c>
    </row>
    <row r="14" spans="1:26">
      <c r="A14" s="168">
        <v>337</v>
      </c>
      <c r="B14" s="168">
        <v>9962</v>
      </c>
      <c r="C14" s="168" t="s">
        <v>2953</v>
      </c>
      <c r="D14" s="168" t="s">
        <v>2954</v>
      </c>
      <c r="E14" s="168" t="s">
        <v>2955</v>
      </c>
      <c r="F14" s="168" t="s">
        <v>227</v>
      </c>
      <c r="G14" s="168" t="s">
        <v>53</v>
      </c>
      <c r="H14" s="168" t="s">
        <v>53</v>
      </c>
      <c r="I14" s="168" t="s">
        <v>1691</v>
      </c>
      <c r="J14" s="168" t="s">
        <v>2921</v>
      </c>
      <c r="K14" s="168" t="s">
        <v>78</v>
      </c>
      <c r="L14" s="5" t="s">
        <v>1259</v>
      </c>
      <c r="M14" s="193">
        <v>0.748</v>
      </c>
      <c r="N14" s="5" t="s">
        <v>2956</v>
      </c>
      <c r="O14" s="200">
        <v>0</v>
      </c>
      <c r="P14" s="197">
        <v>4.1849999999999998E-2</v>
      </c>
      <c r="R14" s="193">
        <v>551000</v>
      </c>
      <c r="S14" s="195">
        <v>1</v>
      </c>
      <c r="T14" s="196">
        <v>96.98</v>
      </c>
      <c r="U14" s="193">
        <v>534.36</v>
      </c>
      <c r="W14" s="168" t="s">
        <v>17</v>
      </c>
      <c r="X14" s="201">
        <v>3.1000000000000001E-5</v>
      </c>
      <c r="Y14" s="197">
        <v>4.2335421055378603E-2</v>
      </c>
      <c r="Z14" s="197">
        <v>1.2559808114957801E-2</v>
      </c>
    </row>
    <row r="15" spans="1:26">
      <c r="A15" s="168">
        <v>337</v>
      </c>
      <c r="B15" s="168">
        <v>9962</v>
      </c>
      <c r="C15" s="168" t="s">
        <v>2918</v>
      </c>
      <c r="D15" s="168" t="s">
        <v>2919</v>
      </c>
      <c r="E15" s="168" t="s">
        <v>2920</v>
      </c>
      <c r="F15" s="168" t="s">
        <v>221</v>
      </c>
      <c r="G15" s="168" t="s">
        <v>53</v>
      </c>
      <c r="H15" s="168" t="s">
        <v>53</v>
      </c>
      <c r="I15" s="168" t="s">
        <v>311</v>
      </c>
      <c r="J15" s="168" t="s">
        <v>2921</v>
      </c>
      <c r="K15" s="168" t="s">
        <v>78</v>
      </c>
      <c r="L15" s="5" t="s">
        <v>1259</v>
      </c>
      <c r="M15" s="193">
        <v>1.905</v>
      </c>
      <c r="N15" s="5" t="s">
        <v>2661</v>
      </c>
      <c r="O15" s="200">
        <v>7.4999999999999997E-3</v>
      </c>
      <c r="P15" s="197">
        <v>2.0959999999999999E-2</v>
      </c>
      <c r="R15" s="193">
        <v>746804</v>
      </c>
      <c r="S15" s="195">
        <v>1</v>
      </c>
      <c r="T15" s="196">
        <v>115.45</v>
      </c>
      <c r="U15" s="193">
        <v>862.18499999999995</v>
      </c>
      <c r="W15" s="168" t="s">
        <v>17</v>
      </c>
      <c r="X15" s="201">
        <v>3.1000000000000001E-5</v>
      </c>
      <c r="Y15" s="197">
        <v>6.830785967012E-2</v>
      </c>
      <c r="Z15" s="197">
        <v>2.0265148870916301E-2</v>
      </c>
    </row>
    <row r="16" spans="1:26">
      <c r="A16" s="168">
        <v>337</v>
      </c>
      <c r="B16" s="168">
        <v>9962</v>
      </c>
      <c r="C16" s="168" t="s">
        <v>2922</v>
      </c>
      <c r="D16" s="168" t="s">
        <v>2923</v>
      </c>
      <c r="E16" s="168" t="s">
        <v>2924</v>
      </c>
      <c r="F16" s="168" t="s">
        <v>223</v>
      </c>
      <c r="G16" s="168" t="s">
        <v>53</v>
      </c>
      <c r="H16" s="168" t="s">
        <v>53</v>
      </c>
      <c r="I16" s="168" t="s">
        <v>311</v>
      </c>
      <c r="J16" s="168" t="s">
        <v>2921</v>
      </c>
      <c r="K16" s="168" t="s">
        <v>78</v>
      </c>
      <c r="L16" s="5" t="s">
        <v>1259</v>
      </c>
      <c r="M16" s="193">
        <v>3.109</v>
      </c>
      <c r="N16" s="5" t="s">
        <v>2925</v>
      </c>
      <c r="O16" s="200">
        <v>2.2499999999999999E-2</v>
      </c>
      <c r="P16" s="197">
        <v>3.952E-2</v>
      </c>
      <c r="R16" s="193">
        <v>190769</v>
      </c>
      <c r="S16" s="195">
        <v>1</v>
      </c>
      <c r="T16" s="196">
        <v>96.6</v>
      </c>
      <c r="U16" s="193">
        <v>184.28299999999999</v>
      </c>
      <c r="W16" s="168" t="s">
        <v>17</v>
      </c>
      <c r="X16" s="201">
        <v>5.0000000000000004E-6</v>
      </c>
      <c r="Y16" s="197">
        <v>1.4600073241619001E-2</v>
      </c>
      <c r="Z16" s="197">
        <v>4.3314584763239801E-3</v>
      </c>
    </row>
    <row r="17" spans="1:26">
      <c r="A17" s="168">
        <v>337</v>
      </c>
      <c r="B17" s="168">
        <v>9962</v>
      </c>
      <c r="C17" s="168" t="s">
        <v>2922</v>
      </c>
      <c r="D17" s="168" t="s">
        <v>2957</v>
      </c>
      <c r="E17" s="168" t="s">
        <v>2958</v>
      </c>
      <c r="F17" s="168" t="s">
        <v>223</v>
      </c>
      <c r="G17" s="168" t="s">
        <v>53</v>
      </c>
      <c r="H17" s="168" t="s">
        <v>53</v>
      </c>
      <c r="I17" s="168" t="s">
        <v>311</v>
      </c>
      <c r="J17" s="168" t="s">
        <v>2921</v>
      </c>
      <c r="K17" s="168" t="s">
        <v>78</v>
      </c>
      <c r="L17" s="5" t="s">
        <v>1259</v>
      </c>
      <c r="M17" s="193">
        <v>2.1389999999999998</v>
      </c>
      <c r="N17" s="5" t="s">
        <v>2226</v>
      </c>
      <c r="O17" s="200">
        <v>3.7499999999999999E-2</v>
      </c>
      <c r="P17" s="197">
        <v>3.9739999999999998E-2</v>
      </c>
      <c r="R17" s="193">
        <v>1118681</v>
      </c>
      <c r="S17" s="195">
        <v>1</v>
      </c>
      <c r="T17" s="196">
        <v>102.34</v>
      </c>
      <c r="U17" s="193">
        <v>1144.8579999999999</v>
      </c>
      <c r="W17" s="168" t="s">
        <v>17</v>
      </c>
      <c r="X17" s="201">
        <v>3.1000000000000001E-5</v>
      </c>
      <c r="Y17" s="197">
        <v>9.0703026707538006E-2</v>
      </c>
      <c r="Z17" s="197">
        <v>2.6909207053884599E-2</v>
      </c>
    </row>
    <row r="18" spans="1:26">
      <c r="A18" s="168">
        <v>337</v>
      </c>
      <c r="B18" s="168">
        <v>9962</v>
      </c>
      <c r="C18" s="168" t="s">
        <v>2922</v>
      </c>
      <c r="D18" s="168" t="s">
        <v>2928</v>
      </c>
      <c r="E18" s="168" t="s">
        <v>2929</v>
      </c>
      <c r="F18" s="168" t="s">
        <v>223</v>
      </c>
      <c r="G18" s="168" t="s">
        <v>53</v>
      </c>
      <c r="H18" s="168" t="s">
        <v>53</v>
      </c>
      <c r="I18" s="168" t="s">
        <v>311</v>
      </c>
      <c r="J18" s="168" t="s">
        <v>2921</v>
      </c>
      <c r="K18" s="168" t="s">
        <v>78</v>
      </c>
      <c r="L18" s="5" t="s">
        <v>1259</v>
      </c>
      <c r="M18" s="193">
        <v>8.1739999999999995</v>
      </c>
      <c r="N18" s="5" t="s">
        <v>2930</v>
      </c>
      <c r="O18" s="200">
        <v>0.04</v>
      </c>
      <c r="P18" s="197">
        <v>4.1140000000000003E-2</v>
      </c>
      <c r="R18" s="193">
        <v>2070740</v>
      </c>
      <c r="S18" s="195">
        <v>1</v>
      </c>
      <c r="T18" s="196">
        <v>100.1</v>
      </c>
      <c r="U18" s="193">
        <v>2072.8110000000001</v>
      </c>
      <c r="W18" s="168" t="s">
        <v>17</v>
      </c>
      <c r="X18" s="201">
        <v>6.2000000000000003E-5</v>
      </c>
      <c r="Y18" s="197">
        <v>0.16422140184574299</v>
      </c>
      <c r="Z18" s="197">
        <v>4.8720179087243597E-2</v>
      </c>
    </row>
    <row r="19" spans="1:26">
      <c r="A19" s="168">
        <v>337</v>
      </c>
      <c r="B19" s="168">
        <v>9962</v>
      </c>
      <c r="C19" s="168" t="s">
        <v>2922</v>
      </c>
      <c r="D19" s="168" t="s">
        <v>2931</v>
      </c>
      <c r="E19" s="168" t="s">
        <v>2932</v>
      </c>
      <c r="F19" s="168" t="s">
        <v>223</v>
      </c>
      <c r="G19" s="168" t="s">
        <v>53</v>
      </c>
      <c r="H19" s="168" t="s">
        <v>53</v>
      </c>
      <c r="I19" s="168" t="s">
        <v>1691</v>
      </c>
      <c r="J19" s="168" t="s">
        <v>2921</v>
      </c>
      <c r="K19" s="168" t="s">
        <v>78</v>
      </c>
      <c r="L19" s="5" t="s">
        <v>1259</v>
      </c>
      <c r="M19" s="193">
        <v>3.7810000000000001</v>
      </c>
      <c r="N19" s="5" t="s">
        <v>2499</v>
      </c>
      <c r="O19" s="200">
        <v>4.5999999999999999E-2</v>
      </c>
      <c r="P19" s="197">
        <v>3.9390000000000001E-2</v>
      </c>
      <c r="R19" s="193">
        <v>582009</v>
      </c>
      <c r="S19" s="195">
        <v>1</v>
      </c>
      <c r="T19" s="196">
        <v>105.5</v>
      </c>
      <c r="U19" s="193">
        <v>614.01900000000001</v>
      </c>
      <c r="W19" s="168" t="s">
        <v>17</v>
      </c>
      <c r="X19" s="201">
        <v>3.8000000000000002E-5</v>
      </c>
      <c r="Y19" s="197">
        <v>4.8646574568363798E-2</v>
      </c>
      <c r="Z19" s="197">
        <v>1.4432161693382E-2</v>
      </c>
    </row>
    <row r="20" spans="1:26">
      <c r="A20" s="5">
        <v>337</v>
      </c>
      <c r="B20" s="5">
        <v>9962</v>
      </c>
      <c r="C20" s="5" t="s">
        <v>2922</v>
      </c>
      <c r="D20" s="5" t="s">
        <v>2933</v>
      </c>
      <c r="E20" s="5" t="s">
        <v>2934</v>
      </c>
      <c r="F20" s="168" t="s">
        <v>223</v>
      </c>
      <c r="G20" s="168" t="s">
        <v>53</v>
      </c>
      <c r="H20" s="168" t="s">
        <v>53</v>
      </c>
      <c r="I20" s="168" t="s">
        <v>311</v>
      </c>
      <c r="J20" s="5" t="s">
        <v>2921</v>
      </c>
      <c r="K20" s="168" t="s">
        <v>78</v>
      </c>
      <c r="L20" s="5" t="s">
        <v>1259</v>
      </c>
      <c r="M20" s="193">
        <v>11.420999999999999</v>
      </c>
      <c r="N20" s="5" t="s">
        <v>2935</v>
      </c>
      <c r="O20" s="200">
        <v>5.5E-2</v>
      </c>
      <c r="P20" s="197">
        <v>4.3520000000000003E-2</v>
      </c>
      <c r="R20" s="193">
        <v>925660</v>
      </c>
      <c r="S20" s="195">
        <v>1</v>
      </c>
      <c r="T20" s="196">
        <v>115.63</v>
      </c>
      <c r="U20" s="193">
        <v>1070.3409999999999</v>
      </c>
      <c r="W20" s="168" t="s">
        <v>17</v>
      </c>
      <c r="X20" s="201">
        <v>3.1999999999999999E-5</v>
      </c>
      <c r="Y20" s="197">
        <v>8.4799272754277205E-2</v>
      </c>
      <c r="Z20" s="197">
        <v>2.5157718230521198E-2</v>
      </c>
    </row>
    <row r="21" spans="1:26" s="45" customFormat="1">
      <c r="A21" s="5">
        <v>337</v>
      </c>
      <c r="B21" s="5">
        <v>9962</v>
      </c>
      <c r="C21" s="5" t="s">
        <v>2959</v>
      </c>
      <c r="D21" s="5" t="s">
        <v>2960</v>
      </c>
      <c r="E21" s="5" t="s">
        <v>2961</v>
      </c>
      <c r="F21" s="5" t="s">
        <v>224</v>
      </c>
      <c r="G21" s="5" t="s">
        <v>53</v>
      </c>
      <c r="H21" s="5" t="s">
        <v>53</v>
      </c>
      <c r="I21" s="5" t="s">
        <v>311</v>
      </c>
      <c r="J21" s="5" t="s">
        <v>2921</v>
      </c>
      <c r="K21" s="5" t="s">
        <v>78</v>
      </c>
      <c r="L21" s="168" t="s">
        <v>1259</v>
      </c>
      <c r="M21" s="193">
        <v>0.89700000000000002</v>
      </c>
      <c r="N21" s="5" t="s">
        <v>2962</v>
      </c>
      <c r="O21" s="202">
        <v>4.3200000000000002E-2</v>
      </c>
      <c r="P21" s="197">
        <v>4.3869999999999999E-2</v>
      </c>
      <c r="Q21" s="5"/>
      <c r="R21" s="193">
        <v>78000</v>
      </c>
      <c r="S21" s="195">
        <v>1</v>
      </c>
      <c r="T21" s="196">
        <v>100.22</v>
      </c>
      <c r="U21" s="193">
        <v>78.171999999999997</v>
      </c>
      <c r="V21" s="5"/>
      <c r="W21" s="5" t="s">
        <v>17</v>
      </c>
      <c r="X21" s="197">
        <v>3.9999999999999998E-6</v>
      </c>
      <c r="Y21" s="197">
        <v>6.1932570537166802E-3</v>
      </c>
      <c r="Z21" s="197">
        <v>1.83737679376187E-3</v>
      </c>
    </row>
    <row r="22" spans="1:26">
      <c r="A22" s="5">
        <v>337</v>
      </c>
      <c r="B22" s="5">
        <v>9962</v>
      </c>
      <c r="C22" s="5" t="s">
        <v>2918</v>
      </c>
      <c r="D22" s="5" t="s">
        <v>2938</v>
      </c>
      <c r="E22" s="5" t="s">
        <v>2939</v>
      </c>
      <c r="F22" s="5" t="s">
        <v>221</v>
      </c>
      <c r="G22" s="5" t="s">
        <v>53</v>
      </c>
      <c r="H22" s="5" t="s">
        <v>53</v>
      </c>
      <c r="I22" s="5" t="s">
        <v>311</v>
      </c>
      <c r="J22" s="5" t="s">
        <v>2921</v>
      </c>
      <c r="K22" s="5" t="s">
        <v>78</v>
      </c>
      <c r="L22" s="168" t="s">
        <v>1259</v>
      </c>
      <c r="M22" s="193">
        <v>3.2679999999999998</v>
      </c>
      <c r="N22" s="5" t="s">
        <v>2940</v>
      </c>
      <c r="O22" s="202">
        <v>1.0999999999999999E-2</v>
      </c>
      <c r="P22" s="197">
        <v>2.053E-2</v>
      </c>
      <c r="R22" s="193">
        <v>1201324</v>
      </c>
      <c r="S22" s="195">
        <v>1</v>
      </c>
      <c r="T22" s="196">
        <v>103.51</v>
      </c>
      <c r="U22" s="193">
        <v>1243.49</v>
      </c>
      <c r="W22" s="5" t="s">
        <v>17</v>
      </c>
      <c r="X22" s="197">
        <v>3.8000000000000002E-5</v>
      </c>
      <c r="Y22" s="197">
        <v>9.8517314976548906E-2</v>
      </c>
      <c r="Z22" s="197">
        <v>2.92275012568727E-2</v>
      </c>
    </row>
    <row r="23" spans="1:26">
      <c r="A23" s="5">
        <v>337</v>
      </c>
      <c r="B23" s="5">
        <v>9962</v>
      </c>
      <c r="C23" s="5" t="s">
        <v>2922</v>
      </c>
      <c r="D23" s="5" t="s">
        <v>2941</v>
      </c>
      <c r="E23" s="5" t="s">
        <v>2942</v>
      </c>
      <c r="F23" s="5" t="s">
        <v>223</v>
      </c>
      <c r="G23" s="5" t="s">
        <v>53</v>
      </c>
      <c r="H23" s="5" t="s">
        <v>53</v>
      </c>
      <c r="I23" s="5" t="s">
        <v>311</v>
      </c>
      <c r="J23" s="5" t="s">
        <v>2921</v>
      </c>
      <c r="K23" s="5" t="s">
        <v>78</v>
      </c>
      <c r="L23" s="168" t="s">
        <v>1259</v>
      </c>
      <c r="M23" s="193">
        <v>10.803000000000001</v>
      </c>
      <c r="N23" s="5" t="s">
        <v>2943</v>
      </c>
      <c r="O23" s="202">
        <v>1.4999999999999999E-2</v>
      </c>
      <c r="P23" s="197">
        <v>4.2529999999999998E-2</v>
      </c>
      <c r="R23" s="193">
        <v>131927</v>
      </c>
      <c r="S23" s="195">
        <v>1</v>
      </c>
      <c r="T23" s="196">
        <v>74.8</v>
      </c>
      <c r="U23" s="193">
        <v>98.680999999999997</v>
      </c>
      <c r="W23" s="5" t="s">
        <v>17</v>
      </c>
      <c r="X23" s="197">
        <v>3.0000000000000001E-6</v>
      </c>
      <c r="Y23" s="197">
        <v>7.8181750386023697E-3</v>
      </c>
      <c r="Z23" s="197">
        <v>2.3194473054974699E-3</v>
      </c>
    </row>
    <row r="24" spans="1:26">
      <c r="A24" s="5">
        <v>337</v>
      </c>
      <c r="B24" s="5">
        <v>9962</v>
      </c>
      <c r="C24" s="5" t="s">
        <v>2922</v>
      </c>
      <c r="D24" s="5" t="s">
        <v>2944</v>
      </c>
      <c r="E24" s="5" t="s">
        <v>2945</v>
      </c>
      <c r="F24" s="5" t="s">
        <v>223</v>
      </c>
      <c r="G24" s="5" t="s">
        <v>53</v>
      </c>
      <c r="H24" s="5" t="s">
        <v>53</v>
      </c>
      <c r="I24" s="5" t="s">
        <v>311</v>
      </c>
      <c r="J24" s="5" t="s">
        <v>2921</v>
      </c>
      <c r="K24" s="5" t="s">
        <v>78</v>
      </c>
      <c r="L24" s="168" t="s">
        <v>1259</v>
      </c>
      <c r="M24" s="193">
        <v>4.641</v>
      </c>
      <c r="N24" s="5" t="s">
        <v>2234</v>
      </c>
      <c r="O24" s="202">
        <v>0.01</v>
      </c>
      <c r="P24" s="197">
        <v>3.9690000000000003E-2</v>
      </c>
      <c r="R24" s="193">
        <v>3601751</v>
      </c>
      <c r="S24" s="195">
        <v>1</v>
      </c>
      <c r="T24" s="196">
        <v>87.63</v>
      </c>
      <c r="U24" s="193">
        <v>3156.2139999999999</v>
      </c>
      <c r="W24" s="5" t="s">
        <v>17</v>
      </c>
      <c r="X24" s="197">
        <v>9.5000000000000005E-5</v>
      </c>
      <c r="Y24" s="197">
        <v>0.25005560975972602</v>
      </c>
      <c r="Z24" s="197">
        <v>7.4184935412421396E-2</v>
      </c>
    </row>
    <row r="25" spans="1:26">
      <c r="A25" s="5">
        <v>337</v>
      </c>
      <c r="B25" s="5">
        <v>9962</v>
      </c>
      <c r="C25" s="5" t="s">
        <v>2922</v>
      </c>
      <c r="D25" s="5" t="s">
        <v>2963</v>
      </c>
      <c r="E25" s="5" t="s">
        <v>2964</v>
      </c>
      <c r="F25" s="5" t="s">
        <v>223</v>
      </c>
      <c r="G25" s="5" t="s">
        <v>53</v>
      </c>
      <c r="H25" s="5" t="s">
        <v>53</v>
      </c>
      <c r="I25" s="5" t="s">
        <v>311</v>
      </c>
      <c r="J25" s="5" t="s">
        <v>2921</v>
      </c>
      <c r="K25" s="5" t="s">
        <v>78</v>
      </c>
      <c r="L25" s="168" t="s">
        <v>1259</v>
      </c>
      <c r="M25" s="193">
        <v>6.5380000000000003</v>
      </c>
      <c r="N25" s="5" t="s">
        <v>2721</v>
      </c>
      <c r="O25" s="202">
        <v>1.2999999999999999E-2</v>
      </c>
      <c r="P25" s="197">
        <v>4.0480000000000002E-2</v>
      </c>
      <c r="R25" s="193">
        <v>1009268</v>
      </c>
      <c r="S25" s="195">
        <v>1</v>
      </c>
      <c r="T25" s="196">
        <v>84.1</v>
      </c>
      <c r="U25" s="193">
        <v>848.79399999999998</v>
      </c>
      <c r="W25" s="5" t="s">
        <v>17</v>
      </c>
      <c r="X25" s="197">
        <v>2.8E-5</v>
      </c>
      <c r="Y25" s="197">
        <v>6.7246951970231297E-2</v>
      </c>
      <c r="Z25" s="197">
        <v>1.9950405405371099E-2</v>
      </c>
    </row>
    <row r="26" spans="1:26">
      <c r="A26" s="5">
        <v>337</v>
      </c>
      <c r="B26" s="5">
        <v>9962</v>
      </c>
      <c r="C26" s="5" t="s">
        <v>2946</v>
      </c>
      <c r="D26" s="5" t="s">
        <v>2950</v>
      </c>
      <c r="E26" s="5" t="s">
        <v>2951</v>
      </c>
      <c r="F26" s="5" t="s">
        <v>225</v>
      </c>
      <c r="G26" s="5" t="s">
        <v>61</v>
      </c>
      <c r="H26" s="5" t="s">
        <v>314</v>
      </c>
      <c r="I26" s="5" t="s">
        <v>1148</v>
      </c>
      <c r="J26" s="5" t="s">
        <v>1331</v>
      </c>
      <c r="K26" s="5" t="s">
        <v>101</v>
      </c>
      <c r="L26" s="168" t="s">
        <v>1215</v>
      </c>
      <c r="M26" s="193">
        <v>6.9210000000000003</v>
      </c>
      <c r="N26" s="5" t="s">
        <v>2952</v>
      </c>
      <c r="O26" s="202">
        <v>3.3750000000000002E-2</v>
      </c>
      <c r="P26" s="197">
        <v>4.1250000000000002E-2</v>
      </c>
      <c r="R26" s="193">
        <v>221000</v>
      </c>
      <c r="S26" s="195">
        <v>3.3719999999999999</v>
      </c>
      <c r="T26" s="196">
        <v>95.79</v>
      </c>
      <c r="U26" s="193">
        <v>713.84100000000001</v>
      </c>
      <c r="W26" s="5" t="s">
        <v>17</v>
      </c>
      <c r="X26" s="197">
        <v>1.9999999999999999E-6</v>
      </c>
      <c r="Y26" s="197">
        <v>5.6555061358134998E-2</v>
      </c>
      <c r="Z26" s="197">
        <v>1.6778402124752099E-2</v>
      </c>
    </row>
    <row r="27" spans="1:26">
      <c r="A27" s="5">
        <v>337</v>
      </c>
      <c r="B27" s="5">
        <v>9963</v>
      </c>
      <c r="C27" s="5" t="s">
        <v>2918</v>
      </c>
      <c r="D27" s="5" t="s">
        <v>2919</v>
      </c>
      <c r="E27" s="5" t="s">
        <v>2920</v>
      </c>
      <c r="F27" s="5" t="s">
        <v>221</v>
      </c>
      <c r="G27" s="5" t="s">
        <v>53</v>
      </c>
      <c r="H27" s="5" t="s">
        <v>53</v>
      </c>
      <c r="I27" s="5" t="s">
        <v>311</v>
      </c>
      <c r="J27" s="5" t="s">
        <v>2921</v>
      </c>
      <c r="K27" s="5" t="s">
        <v>78</v>
      </c>
      <c r="L27" s="5" t="s">
        <v>1259</v>
      </c>
      <c r="M27" s="193">
        <v>1.905</v>
      </c>
      <c r="N27" s="5" t="s">
        <v>2661</v>
      </c>
      <c r="O27" s="202">
        <v>7.4999999999999997E-3</v>
      </c>
      <c r="P27" s="197">
        <v>2.0959999999999999E-2</v>
      </c>
      <c r="R27" s="193">
        <v>26771687</v>
      </c>
      <c r="S27" s="195">
        <v>1</v>
      </c>
      <c r="T27" s="196">
        <v>115.45</v>
      </c>
      <c r="U27" s="193">
        <v>30907.913</v>
      </c>
      <c r="W27" s="5" t="s">
        <v>17</v>
      </c>
      <c r="X27" s="197">
        <v>1.0989999999999999E-3</v>
      </c>
      <c r="Y27" s="197">
        <v>0.13457379622032301</v>
      </c>
      <c r="Z27" s="197">
        <v>2.777910715592E-2</v>
      </c>
    </row>
    <row r="28" spans="1:26">
      <c r="A28" s="5">
        <v>337</v>
      </c>
      <c r="B28" s="5">
        <v>9963</v>
      </c>
      <c r="C28" s="5" t="s">
        <v>2918</v>
      </c>
      <c r="D28" s="5" t="s">
        <v>2965</v>
      </c>
      <c r="E28" s="5" t="s">
        <v>2966</v>
      </c>
      <c r="F28" s="5" t="s">
        <v>221</v>
      </c>
      <c r="G28" s="5" t="s">
        <v>53</v>
      </c>
      <c r="H28" s="5" t="s">
        <v>53</v>
      </c>
      <c r="I28" s="5" t="s">
        <v>311</v>
      </c>
      <c r="J28" s="5" t="s">
        <v>2921</v>
      </c>
      <c r="K28" s="5" t="s">
        <v>78</v>
      </c>
      <c r="L28" s="5" t="s">
        <v>1259</v>
      </c>
      <c r="M28" s="193">
        <v>0.33200000000000002</v>
      </c>
      <c r="N28" s="5" t="s">
        <v>2967</v>
      </c>
      <c r="O28" s="202">
        <v>7.4999999999999997E-3</v>
      </c>
      <c r="P28" s="197">
        <v>5.9899999999999997E-3</v>
      </c>
      <c r="R28" s="193">
        <v>9569381</v>
      </c>
      <c r="S28" s="195">
        <v>1</v>
      </c>
      <c r="T28" s="196">
        <v>118.26</v>
      </c>
      <c r="U28" s="193">
        <v>11316.75</v>
      </c>
      <c r="W28" s="5" t="s">
        <v>17</v>
      </c>
      <c r="X28" s="197">
        <v>7.5500000000000003E-4</v>
      </c>
      <c r="Y28" s="197">
        <v>4.9273401995287999E-2</v>
      </c>
      <c r="Z28" s="197">
        <v>1.01711562905076E-2</v>
      </c>
    </row>
    <row r="29" spans="1:26">
      <c r="A29" s="5">
        <v>337</v>
      </c>
      <c r="B29" s="5">
        <v>9963</v>
      </c>
      <c r="C29" s="5" t="s">
        <v>2918</v>
      </c>
      <c r="D29" s="5" t="s">
        <v>2968</v>
      </c>
      <c r="E29" s="5" t="s">
        <v>2969</v>
      </c>
      <c r="F29" s="5" t="s">
        <v>221</v>
      </c>
      <c r="G29" s="5" t="s">
        <v>53</v>
      </c>
      <c r="H29" s="5" t="s">
        <v>53</v>
      </c>
      <c r="I29" s="5" t="s">
        <v>311</v>
      </c>
      <c r="J29" s="5" t="s">
        <v>2921</v>
      </c>
      <c r="K29" s="5" t="s">
        <v>78</v>
      </c>
      <c r="L29" s="5" t="s">
        <v>1259</v>
      </c>
      <c r="M29" s="193">
        <v>6.3940000000000001</v>
      </c>
      <c r="N29" s="5" t="s">
        <v>2970</v>
      </c>
      <c r="O29" s="202">
        <v>1E-3</v>
      </c>
      <c r="P29" s="197">
        <v>1.9699999999999999E-2</v>
      </c>
      <c r="R29" s="193">
        <v>500000</v>
      </c>
      <c r="S29" s="195">
        <v>1</v>
      </c>
      <c r="T29" s="196">
        <v>104.14</v>
      </c>
      <c r="U29" s="193">
        <v>520.70000000000005</v>
      </c>
      <c r="W29" s="5" t="s">
        <v>17</v>
      </c>
      <c r="X29" s="197">
        <v>1.5E-5</v>
      </c>
      <c r="Y29" s="197">
        <v>2.26714034379132E-3</v>
      </c>
      <c r="Z29" s="197">
        <v>4.6798958130436698E-4</v>
      </c>
    </row>
    <row r="30" spans="1:26">
      <c r="A30" s="5">
        <v>337</v>
      </c>
      <c r="B30" s="5">
        <v>9963</v>
      </c>
      <c r="C30" s="5" t="s">
        <v>2922</v>
      </c>
      <c r="D30" s="5" t="s">
        <v>2923</v>
      </c>
      <c r="E30" s="5" t="s">
        <v>2924</v>
      </c>
      <c r="F30" s="5" t="s">
        <v>223</v>
      </c>
      <c r="G30" s="5" t="s">
        <v>53</v>
      </c>
      <c r="H30" s="5" t="s">
        <v>53</v>
      </c>
      <c r="I30" s="5" t="s">
        <v>311</v>
      </c>
      <c r="J30" s="5" t="s">
        <v>2921</v>
      </c>
      <c r="K30" s="5" t="s">
        <v>78</v>
      </c>
      <c r="L30" s="5" t="s">
        <v>1259</v>
      </c>
      <c r="M30" s="193">
        <v>3.109</v>
      </c>
      <c r="N30" s="5" t="s">
        <v>2925</v>
      </c>
      <c r="O30" s="202">
        <v>2.2499999999999999E-2</v>
      </c>
      <c r="P30" s="197">
        <v>3.952E-2</v>
      </c>
      <c r="R30" s="193">
        <v>921666</v>
      </c>
      <c r="S30" s="195">
        <v>1</v>
      </c>
      <c r="T30" s="196">
        <v>96.6</v>
      </c>
      <c r="U30" s="193">
        <v>890.32899999999995</v>
      </c>
      <c r="W30" s="5" t="s">
        <v>17</v>
      </c>
      <c r="X30" s="197">
        <v>2.6999999999999999E-5</v>
      </c>
      <c r="Y30" s="197">
        <v>3.8765154642776E-3</v>
      </c>
      <c r="Z30" s="197">
        <v>8.0020138762709205E-4</v>
      </c>
    </row>
    <row r="31" spans="1:26">
      <c r="A31" s="5">
        <v>337</v>
      </c>
      <c r="B31" s="5">
        <v>9963</v>
      </c>
      <c r="C31" s="5" t="s">
        <v>2922</v>
      </c>
      <c r="D31" s="5" t="s">
        <v>2928</v>
      </c>
      <c r="E31" s="5" t="s">
        <v>2929</v>
      </c>
      <c r="F31" s="5" t="s">
        <v>223</v>
      </c>
      <c r="G31" s="5" t="s">
        <v>53</v>
      </c>
      <c r="H31" s="5" t="s">
        <v>53</v>
      </c>
      <c r="I31" s="5" t="s">
        <v>311</v>
      </c>
      <c r="J31" s="5" t="s">
        <v>2921</v>
      </c>
      <c r="K31" s="5" t="s">
        <v>78</v>
      </c>
      <c r="L31" s="5" t="s">
        <v>1259</v>
      </c>
      <c r="M31" s="193">
        <v>8.1739999999999995</v>
      </c>
      <c r="N31" s="5" t="s">
        <v>2930</v>
      </c>
      <c r="O31" s="202">
        <v>0.04</v>
      </c>
      <c r="P31" s="197">
        <v>4.1140000000000003E-2</v>
      </c>
      <c r="R31" s="193">
        <v>53615547</v>
      </c>
      <c r="S31" s="195">
        <v>1</v>
      </c>
      <c r="T31" s="196">
        <v>100.1</v>
      </c>
      <c r="U31" s="193">
        <v>53669.163</v>
      </c>
      <c r="W31" s="5" t="s">
        <v>17</v>
      </c>
      <c r="X31" s="197">
        <v>1.6149999999999999E-3</v>
      </c>
      <c r="Y31" s="197">
        <v>0.23367682663299</v>
      </c>
      <c r="Z31" s="197">
        <v>4.8236237582728103E-2</v>
      </c>
    </row>
    <row r="32" spans="1:26">
      <c r="A32" s="5">
        <v>337</v>
      </c>
      <c r="B32" s="5">
        <v>9963</v>
      </c>
      <c r="C32" s="5" t="s">
        <v>2922</v>
      </c>
      <c r="D32" s="5" t="s">
        <v>2933</v>
      </c>
      <c r="E32" s="5" t="s">
        <v>2934</v>
      </c>
      <c r="F32" s="5" t="s">
        <v>223</v>
      </c>
      <c r="G32" s="5" t="s">
        <v>53</v>
      </c>
      <c r="H32" s="5" t="s">
        <v>53</v>
      </c>
      <c r="I32" s="5" t="s">
        <v>311</v>
      </c>
      <c r="J32" s="5" t="s">
        <v>2921</v>
      </c>
      <c r="K32" s="5" t="s">
        <v>78</v>
      </c>
      <c r="L32" s="5" t="s">
        <v>1259</v>
      </c>
      <c r="M32" s="193">
        <v>11.420999999999999</v>
      </c>
      <c r="N32" s="5" t="s">
        <v>2935</v>
      </c>
      <c r="O32" s="202">
        <v>5.5E-2</v>
      </c>
      <c r="P32" s="197">
        <v>4.3520000000000003E-2</v>
      </c>
      <c r="R32" s="193">
        <v>51813203</v>
      </c>
      <c r="S32" s="195">
        <v>1</v>
      </c>
      <c r="T32" s="196">
        <v>115.63</v>
      </c>
      <c r="U32" s="193">
        <v>59911.607000000004</v>
      </c>
      <c r="W32" s="5" t="s">
        <v>17</v>
      </c>
      <c r="X32" s="197">
        <v>1.804E-3</v>
      </c>
      <c r="Y32" s="197">
        <v>0.26085657854759903</v>
      </c>
      <c r="Z32" s="197">
        <v>5.3846759557385902E-2</v>
      </c>
    </row>
    <row r="33" spans="1:26">
      <c r="A33" s="5">
        <v>337</v>
      </c>
      <c r="B33" s="5">
        <v>9963</v>
      </c>
      <c r="C33" s="5" t="s">
        <v>2918</v>
      </c>
      <c r="D33" s="5" t="s">
        <v>2971</v>
      </c>
      <c r="E33" s="5" t="s">
        <v>2972</v>
      </c>
      <c r="F33" s="5" t="s">
        <v>221</v>
      </c>
      <c r="G33" s="5" t="s">
        <v>53</v>
      </c>
      <c r="H33" s="5" t="s">
        <v>53</v>
      </c>
      <c r="I33" s="5" t="s">
        <v>311</v>
      </c>
      <c r="J33" s="5" t="s">
        <v>2921</v>
      </c>
      <c r="K33" s="5" t="s">
        <v>78</v>
      </c>
      <c r="L33" s="5" t="s">
        <v>1259</v>
      </c>
      <c r="M33" s="193">
        <v>3.8839999999999999</v>
      </c>
      <c r="N33" s="5" t="s">
        <v>2973</v>
      </c>
      <c r="O33" s="202">
        <v>5.0000000000000001E-3</v>
      </c>
      <c r="P33" s="197">
        <v>2.0080000000000001E-2</v>
      </c>
      <c r="R33" s="193">
        <v>8172213</v>
      </c>
      <c r="S33" s="195">
        <v>1</v>
      </c>
      <c r="T33" s="196">
        <v>110.62</v>
      </c>
      <c r="U33" s="193">
        <v>9040.1020000000008</v>
      </c>
      <c r="W33" s="5" t="s">
        <v>17</v>
      </c>
      <c r="X33" s="197">
        <v>2.7799999999999998E-4</v>
      </c>
      <c r="Y33" s="197">
        <v>3.93608219759779E-2</v>
      </c>
      <c r="Z33" s="197">
        <v>8.1249732275194102E-3</v>
      </c>
    </row>
    <row r="34" spans="1:26">
      <c r="A34" s="5">
        <v>337</v>
      </c>
      <c r="B34" s="5">
        <v>9963</v>
      </c>
      <c r="C34" s="5" t="s">
        <v>2918</v>
      </c>
      <c r="D34" s="5" t="s">
        <v>2938</v>
      </c>
      <c r="E34" s="5" t="s">
        <v>2939</v>
      </c>
      <c r="F34" s="5" t="s">
        <v>221</v>
      </c>
      <c r="G34" s="5" t="s">
        <v>53</v>
      </c>
      <c r="H34" s="5" t="s">
        <v>53</v>
      </c>
      <c r="I34" s="5" t="s">
        <v>311</v>
      </c>
      <c r="J34" s="5" t="s">
        <v>2921</v>
      </c>
      <c r="K34" s="5" t="s">
        <v>78</v>
      </c>
      <c r="L34" s="5" t="s">
        <v>1259</v>
      </c>
      <c r="M34" s="193">
        <v>3.2679999999999998</v>
      </c>
      <c r="N34" s="5" t="s">
        <v>2940</v>
      </c>
      <c r="O34" s="202">
        <v>1.0999999999999999E-2</v>
      </c>
      <c r="P34" s="197">
        <v>2.053E-2</v>
      </c>
      <c r="R34" s="193">
        <v>21600000</v>
      </c>
      <c r="S34" s="195">
        <v>1</v>
      </c>
      <c r="T34" s="196">
        <v>103.51</v>
      </c>
      <c r="U34" s="193">
        <v>22358.16</v>
      </c>
      <c r="W34" s="5" t="s">
        <v>17</v>
      </c>
      <c r="X34" s="197">
        <v>6.8900000000000005E-4</v>
      </c>
      <c r="Y34" s="197">
        <v>9.7347967253584203E-2</v>
      </c>
      <c r="Z34" s="197">
        <v>2.00948452796928E-2</v>
      </c>
    </row>
    <row r="35" spans="1:26">
      <c r="A35" s="5">
        <v>337</v>
      </c>
      <c r="B35" s="5">
        <v>9963</v>
      </c>
      <c r="C35" s="5" t="s">
        <v>2922</v>
      </c>
      <c r="D35" s="5" t="s">
        <v>2941</v>
      </c>
      <c r="E35" s="5" t="s">
        <v>2942</v>
      </c>
      <c r="F35" s="5" t="s">
        <v>223</v>
      </c>
      <c r="G35" s="5" t="s">
        <v>53</v>
      </c>
      <c r="H35" s="5" t="s">
        <v>53</v>
      </c>
      <c r="I35" s="5" t="s">
        <v>311</v>
      </c>
      <c r="J35" s="5" t="s">
        <v>2921</v>
      </c>
      <c r="K35" s="5" t="s">
        <v>78</v>
      </c>
      <c r="L35" s="5" t="s">
        <v>1259</v>
      </c>
      <c r="M35" s="193">
        <v>10.803000000000001</v>
      </c>
      <c r="N35" s="5" t="s">
        <v>2943</v>
      </c>
      <c r="O35" s="202">
        <v>1.4999999999999999E-2</v>
      </c>
      <c r="P35" s="197">
        <v>4.2529999999999998E-2</v>
      </c>
      <c r="R35" s="193">
        <v>7603293</v>
      </c>
      <c r="S35" s="195">
        <v>1</v>
      </c>
      <c r="T35" s="196">
        <v>74.8</v>
      </c>
      <c r="U35" s="193">
        <v>5687.2629999999999</v>
      </c>
      <c r="W35" s="5" t="s">
        <v>17</v>
      </c>
      <c r="X35" s="197">
        <v>2.02E-4</v>
      </c>
      <c r="Y35" s="197">
        <v>2.4762480823627201E-2</v>
      </c>
      <c r="Z35" s="197">
        <v>5.11154197597102E-3</v>
      </c>
    </row>
    <row r="36" spans="1:26">
      <c r="A36" s="5">
        <v>337</v>
      </c>
      <c r="B36" s="5">
        <v>9963</v>
      </c>
      <c r="C36" s="5" t="s">
        <v>2922</v>
      </c>
      <c r="D36" s="5" t="s">
        <v>2944</v>
      </c>
      <c r="E36" s="5" t="s">
        <v>2945</v>
      </c>
      <c r="F36" s="5" t="s">
        <v>223</v>
      </c>
      <c r="G36" s="5" t="s">
        <v>53</v>
      </c>
      <c r="H36" s="5" t="s">
        <v>53</v>
      </c>
      <c r="I36" s="5" t="s">
        <v>311</v>
      </c>
      <c r="J36" s="5" t="s">
        <v>2921</v>
      </c>
      <c r="K36" s="5" t="s">
        <v>78</v>
      </c>
      <c r="L36" s="5" t="s">
        <v>1259</v>
      </c>
      <c r="M36" s="193">
        <v>4.641</v>
      </c>
      <c r="N36" s="5" t="s">
        <v>2234</v>
      </c>
      <c r="O36" s="202">
        <v>0.01</v>
      </c>
      <c r="P36" s="197">
        <v>3.9690000000000003E-2</v>
      </c>
      <c r="R36" s="193">
        <v>40363581</v>
      </c>
      <c r="S36" s="195">
        <v>1</v>
      </c>
      <c r="T36" s="196">
        <v>87.63</v>
      </c>
      <c r="U36" s="193">
        <v>35370.606</v>
      </c>
      <c r="W36" s="5" t="s">
        <v>17</v>
      </c>
      <c r="X36" s="197">
        <v>1.0690000000000001E-3</v>
      </c>
      <c r="Y36" s="197">
        <v>0.154004470742542</v>
      </c>
      <c r="Z36" s="197">
        <v>3.17900424555441E-2</v>
      </c>
    </row>
    <row r="37" spans="1:26">
      <c r="A37" s="5">
        <v>337</v>
      </c>
      <c r="B37" s="5">
        <v>9964</v>
      </c>
      <c r="C37" s="5" t="s">
        <v>2918</v>
      </c>
      <c r="D37" s="5" t="s">
        <v>2919</v>
      </c>
      <c r="E37" s="5" t="s">
        <v>2920</v>
      </c>
      <c r="F37" s="5" t="s">
        <v>221</v>
      </c>
      <c r="G37" s="5" t="s">
        <v>53</v>
      </c>
      <c r="H37" s="5" t="s">
        <v>53</v>
      </c>
      <c r="I37" s="5" t="s">
        <v>311</v>
      </c>
      <c r="J37" s="5" t="s">
        <v>2921</v>
      </c>
      <c r="K37" s="5" t="s">
        <v>78</v>
      </c>
      <c r="L37" s="5" t="s">
        <v>1259</v>
      </c>
      <c r="M37" s="193">
        <v>1.905</v>
      </c>
      <c r="N37" s="5" t="s">
        <v>2661</v>
      </c>
      <c r="O37" s="202">
        <v>7.4999999999999997E-3</v>
      </c>
      <c r="P37" s="197">
        <v>2.0959999999999999E-2</v>
      </c>
      <c r="R37" s="193">
        <v>2065705</v>
      </c>
      <c r="S37" s="195">
        <v>1</v>
      </c>
      <c r="T37" s="196">
        <v>115.45</v>
      </c>
      <c r="U37" s="193">
        <v>2384.8560000000002</v>
      </c>
      <c r="W37" s="5" t="s">
        <v>17</v>
      </c>
      <c r="X37" s="197">
        <v>8.5000000000000006E-5</v>
      </c>
      <c r="Y37" s="197">
        <v>0.13768437298469299</v>
      </c>
      <c r="Z37" s="197">
        <v>6.1420645606948002E-2</v>
      </c>
    </row>
    <row r="38" spans="1:26">
      <c r="A38" s="5">
        <v>337</v>
      </c>
      <c r="B38" s="5">
        <v>9964</v>
      </c>
      <c r="C38" s="5" t="s">
        <v>2918</v>
      </c>
      <c r="D38" s="5" t="s">
        <v>2965</v>
      </c>
      <c r="E38" s="5" t="s">
        <v>2966</v>
      </c>
      <c r="F38" s="5" t="s">
        <v>221</v>
      </c>
      <c r="G38" s="5" t="s">
        <v>53</v>
      </c>
      <c r="H38" s="5" t="s">
        <v>53</v>
      </c>
      <c r="I38" s="5" t="s">
        <v>311</v>
      </c>
      <c r="J38" s="5" t="s">
        <v>2921</v>
      </c>
      <c r="K38" s="5" t="s">
        <v>78</v>
      </c>
      <c r="L38" s="5" t="s">
        <v>1259</v>
      </c>
      <c r="M38" s="193">
        <v>0.33200000000000002</v>
      </c>
      <c r="N38" s="5" t="s">
        <v>2967</v>
      </c>
      <c r="O38" s="202">
        <v>7.4999999999999997E-3</v>
      </c>
      <c r="P38" s="197">
        <v>5.9899999999999997E-3</v>
      </c>
      <c r="R38" s="193">
        <v>542582</v>
      </c>
      <c r="S38" s="195">
        <v>1</v>
      </c>
      <c r="T38" s="196">
        <v>118.26</v>
      </c>
      <c r="U38" s="193">
        <v>641.65700000000004</v>
      </c>
      <c r="W38" s="5" t="s">
        <v>17</v>
      </c>
      <c r="X38" s="197">
        <v>4.3000000000000002E-5</v>
      </c>
      <c r="Y38" s="197">
        <v>3.70446648422856E-2</v>
      </c>
      <c r="Z38" s="197">
        <v>1.6525529960899302E-2</v>
      </c>
    </row>
    <row r="39" spans="1:26">
      <c r="A39" s="5">
        <v>337</v>
      </c>
      <c r="B39" s="5">
        <v>9964</v>
      </c>
      <c r="C39" s="5" t="s">
        <v>2922</v>
      </c>
      <c r="D39" s="5" t="s">
        <v>2923</v>
      </c>
      <c r="E39" s="5" t="s">
        <v>2924</v>
      </c>
      <c r="F39" s="5" t="s">
        <v>223</v>
      </c>
      <c r="G39" s="5" t="s">
        <v>53</v>
      </c>
      <c r="H39" s="5" t="s">
        <v>53</v>
      </c>
      <c r="I39" s="5" t="s">
        <v>311</v>
      </c>
      <c r="J39" s="5" t="s">
        <v>2921</v>
      </c>
      <c r="K39" s="5" t="s">
        <v>78</v>
      </c>
      <c r="L39" s="5" t="s">
        <v>1259</v>
      </c>
      <c r="M39" s="193">
        <v>3.109</v>
      </c>
      <c r="N39" s="5" t="s">
        <v>2925</v>
      </c>
      <c r="O39" s="202">
        <v>2.2499999999999999E-2</v>
      </c>
      <c r="P39" s="197">
        <v>3.952E-2</v>
      </c>
      <c r="R39" s="193">
        <v>1349875</v>
      </c>
      <c r="S39" s="195">
        <v>1</v>
      </c>
      <c r="T39" s="196">
        <v>96.6</v>
      </c>
      <c r="U39" s="193">
        <v>1303.979</v>
      </c>
      <c r="W39" s="5" t="s">
        <v>17</v>
      </c>
      <c r="X39" s="197">
        <v>3.8999999999999999E-5</v>
      </c>
      <c r="Y39" s="197">
        <v>7.5282337220575701E-2</v>
      </c>
      <c r="Z39" s="197">
        <v>3.3583257523362997E-2</v>
      </c>
    </row>
    <row r="40" spans="1:26">
      <c r="A40" s="5">
        <v>337</v>
      </c>
      <c r="B40" s="5">
        <v>9964</v>
      </c>
      <c r="C40" s="5" t="s">
        <v>2922</v>
      </c>
      <c r="D40" s="5" t="s">
        <v>2974</v>
      </c>
      <c r="E40" s="5" t="s">
        <v>2975</v>
      </c>
      <c r="F40" s="5" t="s">
        <v>223</v>
      </c>
      <c r="G40" s="5" t="s">
        <v>53</v>
      </c>
      <c r="H40" s="5" t="s">
        <v>53</v>
      </c>
      <c r="I40" s="5" t="s">
        <v>311</v>
      </c>
      <c r="J40" s="5" t="s">
        <v>2921</v>
      </c>
      <c r="K40" s="5" t="s">
        <v>78</v>
      </c>
      <c r="L40" s="5" t="s">
        <v>1259</v>
      </c>
      <c r="M40" s="193">
        <v>3.45</v>
      </c>
      <c r="N40" s="5" t="s">
        <v>2252</v>
      </c>
      <c r="O40" s="202">
        <v>3.7499999999999999E-2</v>
      </c>
      <c r="P40" s="197">
        <v>3.943E-2</v>
      </c>
      <c r="R40" s="193">
        <v>1006137</v>
      </c>
      <c r="S40" s="195">
        <v>1</v>
      </c>
      <c r="T40" s="196">
        <v>100.61</v>
      </c>
      <c r="U40" s="193">
        <v>1012.274</v>
      </c>
      <c r="W40" s="5" t="s">
        <v>17</v>
      </c>
      <c r="X40" s="197">
        <v>2.8E-5</v>
      </c>
      <c r="Y40" s="197">
        <v>5.8441409576214798E-2</v>
      </c>
      <c r="Z40" s="197">
        <v>2.60705629007748E-2</v>
      </c>
    </row>
    <row r="41" spans="1:26">
      <c r="A41" s="5">
        <v>337</v>
      </c>
      <c r="B41" s="5">
        <v>9964</v>
      </c>
      <c r="C41" s="5" t="s">
        <v>2922</v>
      </c>
      <c r="D41" s="5" t="s">
        <v>2928</v>
      </c>
      <c r="E41" s="5" t="s">
        <v>2929</v>
      </c>
      <c r="F41" s="5" t="s">
        <v>223</v>
      </c>
      <c r="G41" s="5" t="s">
        <v>53</v>
      </c>
      <c r="H41" s="5" t="s">
        <v>53</v>
      </c>
      <c r="I41" s="5" t="s">
        <v>311</v>
      </c>
      <c r="J41" s="5" t="s">
        <v>2921</v>
      </c>
      <c r="K41" s="5" t="s">
        <v>78</v>
      </c>
      <c r="L41" s="5" t="s">
        <v>1259</v>
      </c>
      <c r="M41" s="193">
        <v>8.1739999999999995</v>
      </c>
      <c r="N41" s="5" t="s">
        <v>2930</v>
      </c>
      <c r="O41" s="202">
        <v>0.04</v>
      </c>
      <c r="P41" s="197">
        <v>4.1140000000000003E-2</v>
      </c>
      <c r="R41" s="193">
        <v>2236486</v>
      </c>
      <c r="S41" s="195">
        <v>1</v>
      </c>
      <c r="T41" s="196">
        <v>100.1</v>
      </c>
      <c r="U41" s="193">
        <v>2238.7220000000002</v>
      </c>
      <c r="W41" s="5" t="s">
        <v>17</v>
      </c>
      <c r="X41" s="197">
        <v>6.7000000000000002E-5</v>
      </c>
      <c r="Y41" s="197">
        <v>0.129247655692633</v>
      </c>
      <c r="Z41" s="197">
        <v>5.7657047664432998E-2</v>
      </c>
    </row>
    <row r="42" spans="1:26">
      <c r="A42" s="5">
        <v>337</v>
      </c>
      <c r="B42" s="5">
        <v>9964</v>
      </c>
      <c r="C42" s="5" t="s">
        <v>2922</v>
      </c>
      <c r="D42" s="5" t="s">
        <v>2931</v>
      </c>
      <c r="E42" s="5" t="s">
        <v>2932</v>
      </c>
      <c r="F42" s="5" t="s">
        <v>223</v>
      </c>
      <c r="G42" s="5" t="s">
        <v>53</v>
      </c>
      <c r="H42" s="5" t="s">
        <v>53</v>
      </c>
      <c r="I42" s="5" t="s">
        <v>1691</v>
      </c>
      <c r="J42" s="5" t="s">
        <v>2921</v>
      </c>
      <c r="K42" s="5" t="s">
        <v>78</v>
      </c>
      <c r="L42" s="5" t="s">
        <v>1259</v>
      </c>
      <c r="M42" s="193">
        <v>3.7810000000000001</v>
      </c>
      <c r="N42" s="5" t="s">
        <v>2499</v>
      </c>
      <c r="O42" s="202">
        <v>4.5999999999999999E-2</v>
      </c>
      <c r="P42" s="197">
        <v>3.9390000000000001E-2</v>
      </c>
      <c r="R42" s="193">
        <v>292797</v>
      </c>
      <c r="S42" s="195">
        <v>1</v>
      </c>
      <c r="T42" s="196">
        <v>105.5</v>
      </c>
      <c r="U42" s="193">
        <v>308.90100000000001</v>
      </c>
      <c r="W42" s="5" t="s">
        <v>17</v>
      </c>
      <c r="X42" s="197">
        <v>1.9000000000000001E-5</v>
      </c>
      <c r="Y42" s="197">
        <v>1.7833701593171401E-2</v>
      </c>
      <c r="Z42" s="197">
        <v>7.9555685345352595E-3</v>
      </c>
    </row>
    <row r="43" spans="1:26">
      <c r="A43" s="5">
        <v>337</v>
      </c>
      <c r="B43" s="5">
        <v>9964</v>
      </c>
      <c r="C43" s="5" t="s">
        <v>2922</v>
      </c>
      <c r="D43" s="5" t="s">
        <v>2933</v>
      </c>
      <c r="E43" s="5" t="s">
        <v>2934</v>
      </c>
      <c r="F43" s="5" t="s">
        <v>223</v>
      </c>
      <c r="G43" s="5" t="s">
        <v>53</v>
      </c>
      <c r="H43" s="5" t="s">
        <v>53</v>
      </c>
      <c r="I43" s="5" t="s">
        <v>311</v>
      </c>
      <c r="J43" s="5" t="s">
        <v>2921</v>
      </c>
      <c r="K43" s="5" t="s">
        <v>78</v>
      </c>
      <c r="L43" s="5" t="s">
        <v>1259</v>
      </c>
      <c r="M43" s="193">
        <v>11.420999999999999</v>
      </c>
      <c r="N43" s="5" t="s">
        <v>2935</v>
      </c>
      <c r="O43" s="202">
        <v>5.5E-2</v>
      </c>
      <c r="P43" s="197">
        <v>4.3520000000000003E-2</v>
      </c>
      <c r="R43" s="193">
        <v>1241455</v>
      </c>
      <c r="S43" s="195">
        <v>1</v>
      </c>
      <c r="T43" s="196">
        <v>115.63</v>
      </c>
      <c r="U43" s="193">
        <v>1435.4939999999999</v>
      </c>
      <c r="W43" s="5" t="s">
        <v>17</v>
      </c>
      <c r="X43" s="197">
        <v>4.3000000000000002E-5</v>
      </c>
      <c r="Y43" s="197">
        <v>8.2875072391839499E-2</v>
      </c>
      <c r="Z43" s="197">
        <v>3.6970357206734097E-2</v>
      </c>
    </row>
    <row r="44" spans="1:26">
      <c r="A44" s="5">
        <v>337</v>
      </c>
      <c r="B44" s="5">
        <v>9964</v>
      </c>
      <c r="C44" s="5" t="s">
        <v>2959</v>
      </c>
      <c r="D44" s="5" t="s">
        <v>2960</v>
      </c>
      <c r="E44" s="5" t="s">
        <v>2961</v>
      </c>
      <c r="F44" s="5" t="s">
        <v>224</v>
      </c>
      <c r="G44" s="5" t="s">
        <v>53</v>
      </c>
      <c r="H44" s="5" t="s">
        <v>53</v>
      </c>
      <c r="I44" s="5" t="s">
        <v>311</v>
      </c>
      <c r="J44" s="5" t="s">
        <v>2921</v>
      </c>
      <c r="K44" s="5" t="s">
        <v>78</v>
      </c>
      <c r="L44" s="5" t="s">
        <v>1259</v>
      </c>
      <c r="M44" s="193">
        <v>0.89700000000000002</v>
      </c>
      <c r="N44" s="5" t="s">
        <v>2962</v>
      </c>
      <c r="O44" s="202">
        <v>4.3200000000000002E-2</v>
      </c>
      <c r="P44" s="197">
        <v>4.3869999999999999E-2</v>
      </c>
      <c r="R44" s="193">
        <v>94000</v>
      </c>
      <c r="S44" s="195">
        <v>1</v>
      </c>
      <c r="T44" s="196">
        <v>100.22</v>
      </c>
      <c r="U44" s="193">
        <v>94.206999999999994</v>
      </c>
      <c r="W44" s="5" t="s">
        <v>17</v>
      </c>
      <c r="X44" s="197">
        <v>3.9999999999999998E-6</v>
      </c>
      <c r="Y44" s="197">
        <v>5.43881974047619E-3</v>
      </c>
      <c r="Z44" s="197">
        <v>2.4262435348200201E-3</v>
      </c>
    </row>
    <row r="45" spans="1:26">
      <c r="A45" s="5">
        <v>337</v>
      </c>
      <c r="B45" s="5">
        <v>9964</v>
      </c>
      <c r="C45" s="5" t="s">
        <v>2918</v>
      </c>
      <c r="D45" s="5" t="s">
        <v>2936</v>
      </c>
      <c r="E45" s="5" t="s">
        <v>2937</v>
      </c>
      <c r="F45" s="5" t="s">
        <v>221</v>
      </c>
      <c r="G45" s="5" t="s">
        <v>53</v>
      </c>
      <c r="H45" s="5" t="s">
        <v>53</v>
      </c>
      <c r="I45" s="5" t="s">
        <v>311</v>
      </c>
      <c r="J45" s="5" t="s">
        <v>2921</v>
      </c>
      <c r="K45" s="5" t="s">
        <v>78</v>
      </c>
      <c r="L45" s="5" t="s">
        <v>1259</v>
      </c>
      <c r="M45" s="193">
        <v>1.0780000000000001</v>
      </c>
      <c r="N45" s="5" t="s">
        <v>2630</v>
      </c>
      <c r="O45" s="202">
        <v>1E-3</v>
      </c>
      <c r="P45" s="197">
        <v>2.3380000000000001E-2</v>
      </c>
      <c r="R45" s="193">
        <v>1320000</v>
      </c>
      <c r="S45" s="195">
        <v>1</v>
      </c>
      <c r="T45" s="196">
        <v>114.5</v>
      </c>
      <c r="U45" s="193">
        <v>1511.4</v>
      </c>
      <c r="W45" s="5" t="s">
        <v>17</v>
      </c>
      <c r="X45" s="197">
        <v>6.4999999999999994E-5</v>
      </c>
      <c r="Y45" s="197">
        <v>8.7257312165955198E-2</v>
      </c>
      <c r="Z45" s="197">
        <v>3.89252631288503E-2</v>
      </c>
    </row>
    <row r="46" spans="1:26">
      <c r="A46" s="5">
        <v>337</v>
      </c>
      <c r="B46" s="5">
        <v>9964</v>
      </c>
      <c r="C46" s="5" t="s">
        <v>2918</v>
      </c>
      <c r="D46" s="5" t="s">
        <v>2938</v>
      </c>
      <c r="E46" s="5" t="s">
        <v>2939</v>
      </c>
      <c r="F46" s="5" t="s">
        <v>221</v>
      </c>
      <c r="G46" s="5" t="s">
        <v>53</v>
      </c>
      <c r="H46" s="5" t="s">
        <v>53</v>
      </c>
      <c r="I46" s="5" t="s">
        <v>311</v>
      </c>
      <c r="J46" s="5" t="s">
        <v>2921</v>
      </c>
      <c r="K46" s="5" t="s">
        <v>78</v>
      </c>
      <c r="L46" s="5" t="s">
        <v>1259</v>
      </c>
      <c r="M46" s="193">
        <v>3.2679999999999998</v>
      </c>
      <c r="N46" s="5" t="s">
        <v>2940</v>
      </c>
      <c r="O46" s="202">
        <v>1.0999999999999999E-2</v>
      </c>
      <c r="P46" s="197">
        <v>2.053E-2</v>
      </c>
      <c r="R46" s="193">
        <v>730000</v>
      </c>
      <c r="S46" s="195">
        <v>1</v>
      </c>
      <c r="T46" s="196">
        <v>103.51</v>
      </c>
      <c r="U46" s="193">
        <v>755.62300000000005</v>
      </c>
      <c r="W46" s="5" t="s">
        <v>17</v>
      </c>
      <c r="X46" s="197">
        <v>2.3E-5</v>
      </c>
      <c r="Y46" s="197">
        <v>4.3624210659504802E-2</v>
      </c>
      <c r="Z46" s="197">
        <v>1.94606484724172E-2</v>
      </c>
    </row>
    <row r="47" spans="1:26">
      <c r="A47" s="5">
        <v>337</v>
      </c>
      <c r="B47" s="5">
        <v>9964</v>
      </c>
      <c r="C47" s="5" t="s">
        <v>2922</v>
      </c>
      <c r="D47" s="5" t="s">
        <v>2941</v>
      </c>
      <c r="E47" s="5" t="s">
        <v>2942</v>
      </c>
      <c r="F47" s="5" t="s">
        <v>223</v>
      </c>
      <c r="G47" s="5" t="s">
        <v>53</v>
      </c>
      <c r="H47" s="5" t="s">
        <v>53</v>
      </c>
      <c r="I47" s="5" t="s">
        <v>311</v>
      </c>
      <c r="J47" s="5" t="s">
        <v>2921</v>
      </c>
      <c r="K47" s="5" t="s">
        <v>78</v>
      </c>
      <c r="L47" s="5" t="s">
        <v>1259</v>
      </c>
      <c r="M47" s="193">
        <v>10.803000000000001</v>
      </c>
      <c r="N47" s="5" t="s">
        <v>2943</v>
      </c>
      <c r="O47" s="202">
        <v>1.4999999999999999E-2</v>
      </c>
      <c r="P47" s="197">
        <v>4.2529999999999998E-2</v>
      </c>
      <c r="R47" s="193">
        <v>129073</v>
      </c>
      <c r="S47" s="195">
        <v>1</v>
      </c>
      <c r="T47" s="196">
        <v>74.8</v>
      </c>
      <c r="U47" s="193">
        <v>96.546999999999997</v>
      </c>
      <c r="W47" s="5" t="s">
        <v>17</v>
      </c>
      <c r="X47" s="197">
        <v>3.0000000000000001E-6</v>
      </c>
      <c r="Y47" s="197">
        <v>5.5739031122077898E-3</v>
      </c>
      <c r="Z47" s="197">
        <v>2.4865038804399299E-3</v>
      </c>
    </row>
    <row r="48" spans="1:26">
      <c r="A48" s="5">
        <v>337</v>
      </c>
      <c r="B48" s="5">
        <v>9964</v>
      </c>
      <c r="C48" s="5" t="s">
        <v>2922</v>
      </c>
      <c r="D48" s="5" t="s">
        <v>2944</v>
      </c>
      <c r="E48" s="5" t="s">
        <v>2945</v>
      </c>
      <c r="F48" s="5" t="s">
        <v>223</v>
      </c>
      <c r="G48" s="5" t="s">
        <v>53</v>
      </c>
      <c r="H48" s="5" t="s">
        <v>53</v>
      </c>
      <c r="I48" s="5" t="s">
        <v>311</v>
      </c>
      <c r="J48" s="5" t="s">
        <v>2921</v>
      </c>
      <c r="K48" s="5" t="s">
        <v>78</v>
      </c>
      <c r="L48" s="5" t="s">
        <v>1259</v>
      </c>
      <c r="M48" s="193">
        <v>4.641</v>
      </c>
      <c r="N48" s="5" t="s">
        <v>2234</v>
      </c>
      <c r="O48" s="202">
        <v>0.01</v>
      </c>
      <c r="P48" s="197">
        <v>3.9690000000000003E-2</v>
      </c>
      <c r="R48" s="193">
        <v>4553888</v>
      </c>
      <c r="S48" s="195">
        <v>1</v>
      </c>
      <c r="T48" s="196">
        <v>87.63</v>
      </c>
      <c r="U48" s="193">
        <v>3990.5720000000001</v>
      </c>
      <c r="W48" s="5" t="s">
        <v>17</v>
      </c>
      <c r="X48" s="197">
        <v>1.21E-4</v>
      </c>
      <c r="Y48" s="197">
        <v>0.23038678805843399</v>
      </c>
      <c r="Z48" s="197">
        <v>0.102774955175438</v>
      </c>
    </row>
    <row r="49" spans="1:26">
      <c r="A49" s="5">
        <v>337</v>
      </c>
      <c r="B49" s="5">
        <v>9964</v>
      </c>
      <c r="C49" s="5" t="s">
        <v>2922</v>
      </c>
      <c r="D49" s="5" t="s">
        <v>2963</v>
      </c>
      <c r="E49" s="5" t="s">
        <v>2964</v>
      </c>
      <c r="F49" s="5" t="s">
        <v>223</v>
      </c>
      <c r="G49" s="5" t="s">
        <v>53</v>
      </c>
      <c r="H49" s="5" t="s">
        <v>53</v>
      </c>
      <c r="I49" s="5" t="s">
        <v>311</v>
      </c>
      <c r="J49" s="5" t="s">
        <v>2921</v>
      </c>
      <c r="K49" s="5" t="s">
        <v>78</v>
      </c>
      <c r="L49" s="5" t="s">
        <v>1259</v>
      </c>
      <c r="M49" s="193">
        <v>6.5380000000000003</v>
      </c>
      <c r="N49" s="5" t="s">
        <v>2721</v>
      </c>
      <c r="O49" s="202">
        <v>1.2999999999999999E-2</v>
      </c>
      <c r="P49" s="197">
        <v>4.0480000000000002E-2</v>
      </c>
      <c r="R49" s="193">
        <v>756334</v>
      </c>
      <c r="S49" s="195">
        <v>1</v>
      </c>
      <c r="T49" s="196">
        <v>84.1</v>
      </c>
      <c r="U49" s="193">
        <v>636.077</v>
      </c>
      <c r="W49" s="5" t="s">
        <v>17</v>
      </c>
      <c r="X49" s="197">
        <v>2.0999999999999999E-5</v>
      </c>
      <c r="Y49" s="197">
        <v>3.6722482533617297E-2</v>
      </c>
      <c r="Z49" s="197">
        <v>1.6381805259449399E-2</v>
      </c>
    </row>
    <row r="50" spans="1:26">
      <c r="A50" s="5">
        <v>337</v>
      </c>
      <c r="B50" s="5">
        <v>9964</v>
      </c>
      <c r="C50" s="5" t="s">
        <v>2946</v>
      </c>
      <c r="D50" s="5" t="s">
        <v>2950</v>
      </c>
      <c r="E50" s="5" t="s">
        <v>2951</v>
      </c>
      <c r="F50" s="5" t="s">
        <v>225</v>
      </c>
      <c r="G50" s="5" t="s">
        <v>61</v>
      </c>
      <c r="H50" s="5" t="s">
        <v>314</v>
      </c>
      <c r="I50" s="5" t="s">
        <v>1148</v>
      </c>
      <c r="J50" s="5" t="s">
        <v>1331</v>
      </c>
      <c r="K50" s="5" t="s">
        <v>101</v>
      </c>
      <c r="L50" s="5" t="s">
        <v>1215</v>
      </c>
      <c r="M50" s="193">
        <v>6.9210000000000003</v>
      </c>
      <c r="N50" s="5" t="s">
        <v>2952</v>
      </c>
      <c r="O50" s="202">
        <v>3.3750000000000002E-2</v>
      </c>
      <c r="P50" s="197">
        <v>4.1250000000000002E-2</v>
      </c>
      <c r="R50" s="193">
        <v>282000</v>
      </c>
      <c r="S50" s="195">
        <v>3.3719999999999999</v>
      </c>
      <c r="T50" s="196">
        <v>95.79</v>
      </c>
      <c r="U50" s="193">
        <v>910.87400000000002</v>
      </c>
      <c r="W50" s="5" t="s">
        <v>17</v>
      </c>
      <c r="X50" s="197">
        <v>3.0000000000000001E-6</v>
      </c>
      <c r="Y50" s="197">
        <v>5.2587269428391099E-2</v>
      </c>
      <c r="Z50" s="197">
        <v>2.3459045997597499E-2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C78BF88E-5DA0-42CD-9DCD-E3CA3AE9B1F1}">
      <formula1>israel_abroad</formula1>
    </dataValidation>
    <dataValidation type="list" allowBlank="1" showInputMessage="1" showErrorMessage="1" sqref="I2:I20" xr:uid="{7A9ABA4C-0B6E-4E53-A62E-A3C80F30F93D}">
      <formula1>Stock_Exchange_Gov_Bonds</formula1>
    </dataValidation>
    <dataValidation type="list" allowBlank="1" showInputMessage="1" showErrorMessage="1" sqref="K2:K20" xr:uid="{6A358D90-163B-4885-9F9E-7F1B501EEF76}">
      <formula1>Rating_Agency</formula1>
    </dataValidation>
    <dataValidation type="list" allowBlank="1" showInputMessage="1" showErrorMessage="1" sqref="W2:W20" xr:uid="{1DAD0654-D8DC-4127-A939-27661343B85D}">
      <formula1>In_the_books</formula1>
    </dataValidation>
    <dataValidation type="list" allowBlank="1" showInputMessage="1" showErrorMessage="1" sqref="H2:H20" xr:uid="{A0E06500-8964-4346-9253-DE15EB4A607C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:B7"/>
    </sheetView>
  </sheetViews>
  <sheetFormatPr defaultColWidth="0" defaultRowHeight="14.25" zeroHeight="1"/>
  <cols>
    <col min="1" max="36" width="11.625" style="5" customWidth="1"/>
    <col min="37" max="16384" width="0" style="5" hidden="1"/>
  </cols>
  <sheetData>
    <row r="1" spans="1:36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5</v>
      </c>
      <c r="M1" s="22" t="s">
        <v>9</v>
      </c>
      <c r="N1" s="22" t="s">
        <v>604</v>
      </c>
      <c r="O1" s="22" t="s">
        <v>6</v>
      </c>
      <c r="P1" s="22" t="s">
        <v>8</v>
      </c>
      <c r="Q1" s="22" t="s">
        <v>1144</v>
      </c>
      <c r="R1" s="22" t="s">
        <v>396</v>
      </c>
      <c r="S1" s="22" t="s">
        <v>13</v>
      </c>
      <c r="T1" s="22" t="s">
        <v>309</v>
      </c>
      <c r="U1" s="22" t="s">
        <v>420</v>
      </c>
      <c r="V1" s="22" t="s">
        <v>14</v>
      </c>
      <c r="W1" s="22" t="s">
        <v>619</v>
      </c>
      <c r="X1" s="22" t="s">
        <v>923</v>
      </c>
      <c r="Y1" s="22" t="s">
        <v>667</v>
      </c>
      <c r="Z1" s="22" t="s">
        <v>771</v>
      </c>
      <c r="AA1" s="22" t="s">
        <v>11</v>
      </c>
      <c r="AB1" s="22" t="s">
        <v>15</v>
      </c>
      <c r="AC1" s="22" t="s">
        <v>936</v>
      </c>
      <c r="AD1" s="22" t="s">
        <v>1151</v>
      </c>
      <c r="AE1" s="22" t="s">
        <v>1152</v>
      </c>
      <c r="AF1" s="22" t="s">
        <v>786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9">
        <v>337</v>
      </c>
      <c r="B2" s="9">
        <v>1405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/>
      <c r="P2" s="21"/>
      <c r="Q2" s="21"/>
      <c r="R2" s="21"/>
      <c r="S2" s="21"/>
      <c r="T2" s="23"/>
      <c r="U2" s="21"/>
      <c r="V2" s="21"/>
      <c r="X2" s="21"/>
      <c r="Y2" s="32"/>
      <c r="Z2" s="21"/>
      <c r="AA2" s="21"/>
      <c r="AB2" s="21"/>
      <c r="AC2" s="21"/>
      <c r="AD2" s="21"/>
      <c r="AE2" s="21"/>
      <c r="AF2"/>
      <c r="AG2" s="21"/>
    </row>
    <row r="3" spans="1:36">
      <c r="A3" s="9">
        <v>337</v>
      </c>
      <c r="B3" s="9">
        <v>1477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9">
        <v>337</v>
      </c>
      <c r="B4" s="9">
        <v>9962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9">
        <v>337</v>
      </c>
      <c r="B5" s="9">
        <v>9963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9">
        <v>337</v>
      </c>
      <c r="B6" s="9">
        <v>9964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9">
        <v>337</v>
      </c>
      <c r="B7" s="9">
        <v>15372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G7"/>
    </row>
    <row r="8" spans="1:36" hidden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  <c r="AB8"/>
      <c r="AC8"/>
      <c r="AG8"/>
    </row>
    <row r="9" spans="1:36" hidden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 hidden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 hidden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 hidden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 hidden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 hidden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 hidden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 hidden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 hidden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 hidden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 hidden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 hidden="1">
      <c r="E20" s="21"/>
      <c r="H20" s="21"/>
      <c r="I20" s="21"/>
      <c r="J20" s="21"/>
      <c r="K20" s="21"/>
      <c r="L20" s="21"/>
      <c r="M20" s="21"/>
      <c r="N20" s="21"/>
      <c r="O20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97"/>
  <sheetViews>
    <sheetView rightToLeft="1" workbookViewId="0">
      <selection activeCell="G16" sqref="G16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16384" width="0" style="3" hidden="1"/>
  </cols>
  <sheetData>
    <row r="1" spans="1:36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5</v>
      </c>
      <c r="N1" s="22" t="s">
        <v>9</v>
      </c>
      <c r="O1" s="22" t="s">
        <v>604</v>
      </c>
      <c r="P1" s="22" t="s">
        <v>6</v>
      </c>
      <c r="Q1" s="22" t="s">
        <v>8</v>
      </c>
      <c r="R1" s="22" t="s">
        <v>1144</v>
      </c>
      <c r="S1" s="22" t="s">
        <v>396</v>
      </c>
      <c r="T1" s="22" t="s">
        <v>13</v>
      </c>
      <c r="U1" s="22" t="s">
        <v>420</v>
      </c>
      <c r="V1" s="22" t="s">
        <v>14</v>
      </c>
      <c r="W1" s="22" t="s">
        <v>619</v>
      </c>
      <c r="X1" s="22" t="s">
        <v>923</v>
      </c>
      <c r="Y1" s="22" t="s">
        <v>667</v>
      </c>
      <c r="Z1" s="22" t="s">
        <v>771</v>
      </c>
      <c r="AA1" s="22" t="s">
        <v>11</v>
      </c>
      <c r="AB1" s="22" t="s">
        <v>15</v>
      </c>
      <c r="AC1" s="22" t="s">
        <v>936</v>
      </c>
      <c r="AD1" s="22" t="s">
        <v>1151</v>
      </c>
      <c r="AE1" s="22" t="s">
        <v>1152</v>
      </c>
      <c r="AF1" s="22" t="s">
        <v>786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9">
        <v>337</v>
      </c>
      <c r="B2" s="167">
        <v>1405</v>
      </c>
      <c r="C2" s="167" t="s">
        <v>2216</v>
      </c>
      <c r="D2" s="167" t="s">
        <v>2217</v>
      </c>
      <c r="E2" s="168" t="s">
        <v>1346</v>
      </c>
      <c r="F2" s="167" t="s">
        <v>2218</v>
      </c>
      <c r="G2" s="167" t="s">
        <v>2219</v>
      </c>
      <c r="H2" s="168" t="s">
        <v>76</v>
      </c>
      <c r="I2" s="167" t="s">
        <v>230</v>
      </c>
      <c r="J2" s="168" t="s">
        <v>61</v>
      </c>
      <c r="K2" s="168" t="s">
        <v>53</v>
      </c>
      <c r="L2" s="167" t="s">
        <v>803</v>
      </c>
      <c r="M2" s="168" t="s">
        <v>102</v>
      </c>
      <c r="N2" s="9" t="s">
        <v>267</v>
      </c>
      <c r="O2" s="167" t="s">
        <v>62</v>
      </c>
      <c r="P2" s="167" t="s">
        <v>2220</v>
      </c>
      <c r="Q2" s="167" t="s">
        <v>96</v>
      </c>
      <c r="R2" s="167" t="s">
        <v>57</v>
      </c>
      <c r="S2" s="168" t="s">
        <v>1215</v>
      </c>
      <c r="T2" s="172">
        <v>0.13300000000000001</v>
      </c>
      <c r="U2" s="167" t="s">
        <v>1319</v>
      </c>
      <c r="V2" s="198">
        <v>6.1249999999999999E-2</v>
      </c>
      <c r="W2" s="173">
        <v>0.23773</v>
      </c>
      <c r="X2" s="168" t="s">
        <v>618</v>
      </c>
      <c r="Y2" s="168" t="s">
        <v>62</v>
      </c>
      <c r="Z2" s="172">
        <v>0</v>
      </c>
      <c r="AA2" s="171">
        <v>3.3719999999999999</v>
      </c>
      <c r="AB2" s="178">
        <v>0</v>
      </c>
      <c r="AC2" s="172">
        <v>6.0999999999999999E-2</v>
      </c>
      <c r="AD2" s="172">
        <v>0.20699999999999999</v>
      </c>
      <c r="AE2" s="167"/>
      <c r="AF2" s="167"/>
      <c r="AG2" s="168" t="s">
        <v>17</v>
      </c>
      <c r="AH2" s="185">
        <v>0</v>
      </c>
      <c r="AI2" s="185">
        <v>5.6765711596707601E-5</v>
      </c>
      <c r="AJ2" s="185">
        <v>2.2904630529184799E-5</v>
      </c>
    </row>
    <row r="3" spans="1:36">
      <c r="A3" s="167">
        <v>337</v>
      </c>
      <c r="B3" s="167">
        <v>1405</v>
      </c>
      <c r="C3" s="167" t="s">
        <v>2221</v>
      </c>
      <c r="D3" s="167" t="s">
        <v>2222</v>
      </c>
      <c r="E3" s="168" t="s">
        <v>1346</v>
      </c>
      <c r="F3" s="167" t="s">
        <v>2223</v>
      </c>
      <c r="G3" s="167" t="s">
        <v>2224</v>
      </c>
      <c r="H3" s="168" t="s">
        <v>76</v>
      </c>
      <c r="I3" s="167" t="s">
        <v>228</v>
      </c>
      <c r="J3" s="168" t="s">
        <v>53</v>
      </c>
      <c r="K3" s="168" t="s">
        <v>53</v>
      </c>
      <c r="L3" s="167" t="s">
        <v>803</v>
      </c>
      <c r="M3" s="168" t="s">
        <v>311</v>
      </c>
      <c r="N3" s="167" t="s">
        <v>140</v>
      </c>
      <c r="O3" s="167" t="s">
        <v>62</v>
      </c>
      <c r="P3" s="167" t="s">
        <v>2225</v>
      </c>
      <c r="Q3" s="167" t="s">
        <v>70</v>
      </c>
      <c r="R3" s="167" t="s">
        <v>57</v>
      </c>
      <c r="S3" s="168" t="s">
        <v>1259</v>
      </c>
      <c r="T3" s="172">
        <v>1.2070000000000001</v>
      </c>
      <c r="U3" s="167" t="s">
        <v>2226</v>
      </c>
      <c r="V3" s="198">
        <v>3.5000000000000003E-2</v>
      </c>
      <c r="W3" s="173">
        <v>4.8849999999999998E-2</v>
      </c>
      <c r="X3" s="168" t="s">
        <v>618</v>
      </c>
      <c r="Y3" s="168" t="s">
        <v>62</v>
      </c>
      <c r="Z3" s="172">
        <v>28912</v>
      </c>
      <c r="AA3" s="171">
        <v>1</v>
      </c>
      <c r="AB3" s="178">
        <v>99.31</v>
      </c>
      <c r="AC3" s="167"/>
      <c r="AD3" s="172">
        <v>28.713000000000001</v>
      </c>
      <c r="AE3" s="167"/>
      <c r="AF3" s="9"/>
      <c r="AG3" s="168" t="s">
        <v>17</v>
      </c>
      <c r="AH3" s="185">
        <v>2.0799999999999999E-4</v>
      </c>
      <c r="AI3" s="185">
        <v>7.8915723869251702E-3</v>
      </c>
      <c r="AJ3" s="185">
        <v>3.1842030115116502E-3</v>
      </c>
    </row>
    <row r="4" spans="1:36">
      <c r="A4" s="167">
        <v>337</v>
      </c>
      <c r="B4" s="167">
        <v>1405</v>
      </c>
      <c r="C4" s="167" t="s">
        <v>2221</v>
      </c>
      <c r="D4" s="167" t="s">
        <v>2222</v>
      </c>
      <c r="E4" s="168" t="s">
        <v>1346</v>
      </c>
      <c r="F4" s="167" t="s">
        <v>2227</v>
      </c>
      <c r="G4" s="167" t="s">
        <v>2228</v>
      </c>
      <c r="H4" s="168" t="s">
        <v>76</v>
      </c>
      <c r="I4" s="167" t="s">
        <v>229</v>
      </c>
      <c r="J4" s="168" t="s">
        <v>53</v>
      </c>
      <c r="K4" s="168" t="s">
        <v>53</v>
      </c>
      <c r="L4" s="167" t="s">
        <v>803</v>
      </c>
      <c r="M4" s="168" t="s">
        <v>311</v>
      </c>
      <c r="N4" s="167" t="s">
        <v>140</v>
      </c>
      <c r="O4" s="167" t="s">
        <v>62</v>
      </c>
      <c r="P4" s="167" t="s">
        <v>2225</v>
      </c>
      <c r="Q4" s="167" t="s">
        <v>70</v>
      </c>
      <c r="R4" s="167" t="s">
        <v>57</v>
      </c>
      <c r="S4" s="168" t="s">
        <v>1259</v>
      </c>
      <c r="T4" s="172">
        <v>2.1160000000000001</v>
      </c>
      <c r="U4" s="167" t="s">
        <v>2229</v>
      </c>
      <c r="V4" s="198">
        <v>3.85E-2</v>
      </c>
      <c r="W4" s="173">
        <v>3.2370000000000003E-2</v>
      </c>
      <c r="X4" s="168" t="s">
        <v>618</v>
      </c>
      <c r="Y4" s="168" t="s">
        <v>62</v>
      </c>
      <c r="Z4" s="172">
        <v>19000</v>
      </c>
      <c r="AA4" s="171">
        <v>1</v>
      </c>
      <c r="AB4" s="178">
        <v>111.11</v>
      </c>
      <c r="AC4" s="167"/>
      <c r="AD4" s="172">
        <v>21.111000000000001</v>
      </c>
      <c r="AE4" s="167"/>
      <c r="AF4" s="9"/>
      <c r="AG4" s="168" t="s">
        <v>17</v>
      </c>
      <c r="AH4" s="185">
        <v>6.3E-5</v>
      </c>
      <c r="AI4" s="185">
        <v>5.8022865903935598E-3</v>
      </c>
      <c r="AJ4" s="185">
        <v>2.3411884893048099E-3</v>
      </c>
    </row>
    <row r="5" spans="1:36">
      <c r="A5" s="167">
        <v>337</v>
      </c>
      <c r="B5" s="167">
        <v>1405</v>
      </c>
      <c r="C5" s="167" t="s">
        <v>2230</v>
      </c>
      <c r="D5" s="167" t="s">
        <v>2231</v>
      </c>
      <c r="E5" s="168" t="s">
        <v>1346</v>
      </c>
      <c r="F5" s="167" t="s">
        <v>2232</v>
      </c>
      <c r="G5" s="167" t="s">
        <v>2233</v>
      </c>
      <c r="H5" s="168" t="s">
        <v>76</v>
      </c>
      <c r="I5" s="167" t="s">
        <v>229</v>
      </c>
      <c r="J5" s="168" t="s">
        <v>53</v>
      </c>
      <c r="K5" s="168" t="s">
        <v>317</v>
      </c>
      <c r="L5" s="167" t="s">
        <v>803</v>
      </c>
      <c r="M5" s="168" t="s">
        <v>311</v>
      </c>
      <c r="N5" s="167" t="s">
        <v>634</v>
      </c>
      <c r="O5" s="167" t="s">
        <v>62</v>
      </c>
      <c r="P5" s="167" t="s">
        <v>2225</v>
      </c>
      <c r="Q5" s="167" t="s">
        <v>70</v>
      </c>
      <c r="R5" s="167" t="s">
        <v>57</v>
      </c>
      <c r="S5" s="168" t="s">
        <v>1259</v>
      </c>
      <c r="T5" s="172">
        <v>2.6240000000000001</v>
      </c>
      <c r="U5" s="167" t="s">
        <v>2234</v>
      </c>
      <c r="V5" s="198">
        <v>2.4500000000000001E-2</v>
      </c>
      <c r="W5" s="173">
        <v>3.057E-2</v>
      </c>
      <c r="X5" s="168" t="s">
        <v>618</v>
      </c>
      <c r="Y5" s="168" t="s">
        <v>62</v>
      </c>
      <c r="Z5" s="172">
        <v>4565.22</v>
      </c>
      <c r="AA5" s="171">
        <v>1</v>
      </c>
      <c r="AB5" s="178">
        <v>115.76</v>
      </c>
      <c r="AC5" s="167"/>
      <c r="AD5" s="172">
        <v>5.2850000000000001</v>
      </c>
      <c r="AE5" s="167"/>
      <c r="AF5" s="9"/>
      <c r="AG5" s="168" t="s">
        <v>17</v>
      </c>
      <c r="AH5" s="185">
        <v>1.0000000000000001E-5</v>
      </c>
      <c r="AI5" s="185">
        <v>1.45248834672213E-3</v>
      </c>
      <c r="AJ5" s="185">
        <v>5.8607049914171305E-4</v>
      </c>
    </row>
    <row r="6" spans="1:36">
      <c r="A6" s="167">
        <v>337</v>
      </c>
      <c r="B6" s="167">
        <v>1405</v>
      </c>
      <c r="C6" s="167" t="s">
        <v>2235</v>
      </c>
      <c r="D6" s="167" t="s">
        <v>2236</v>
      </c>
      <c r="E6" s="168" t="s">
        <v>1346</v>
      </c>
      <c r="F6" s="167" t="s">
        <v>2237</v>
      </c>
      <c r="G6" s="167" t="s">
        <v>2238</v>
      </c>
      <c r="H6" s="168" t="s">
        <v>76</v>
      </c>
      <c r="I6" s="167" t="s">
        <v>229</v>
      </c>
      <c r="J6" s="168" t="s">
        <v>53</v>
      </c>
      <c r="K6" s="168" t="s">
        <v>53</v>
      </c>
      <c r="L6" s="167" t="s">
        <v>803</v>
      </c>
      <c r="M6" s="168" t="s">
        <v>311</v>
      </c>
      <c r="N6" s="167" t="s">
        <v>265</v>
      </c>
      <c r="O6" s="167" t="s">
        <v>62</v>
      </c>
      <c r="P6" s="167" t="s">
        <v>2239</v>
      </c>
      <c r="Q6" s="167" t="s">
        <v>65</v>
      </c>
      <c r="R6" s="167" t="s">
        <v>57</v>
      </c>
      <c r="S6" s="168" t="s">
        <v>1259</v>
      </c>
      <c r="T6" s="172">
        <v>5.0369999999999999</v>
      </c>
      <c r="U6" s="167" t="s">
        <v>2240</v>
      </c>
      <c r="V6" s="198">
        <v>5.1499999999999997E-2</v>
      </c>
      <c r="W6" s="173">
        <v>4.1759999999999999E-2</v>
      </c>
      <c r="X6" s="168" t="s">
        <v>618</v>
      </c>
      <c r="Y6" s="168" t="s">
        <v>62</v>
      </c>
      <c r="Z6" s="170">
        <v>0.77</v>
      </c>
      <c r="AA6" s="184">
        <v>1</v>
      </c>
      <c r="AB6" s="186">
        <v>148.91</v>
      </c>
      <c r="AC6" s="167"/>
      <c r="AD6" s="170">
        <v>1E-3</v>
      </c>
      <c r="AE6" s="9"/>
      <c r="AF6" s="9"/>
      <c r="AG6" s="9" t="s">
        <v>17</v>
      </c>
      <c r="AH6" s="185">
        <v>0</v>
      </c>
      <c r="AI6" s="185">
        <v>3.1514252924088502E-7</v>
      </c>
      <c r="AJ6" s="185">
        <v>1.2715815574685699E-7</v>
      </c>
    </row>
    <row r="7" spans="1:36">
      <c r="A7" s="167">
        <v>337</v>
      </c>
      <c r="B7" s="167">
        <v>1405</v>
      </c>
      <c r="C7" s="167" t="s">
        <v>1822</v>
      </c>
      <c r="D7" s="167" t="s">
        <v>1823</v>
      </c>
      <c r="E7" s="168" t="s">
        <v>1346</v>
      </c>
      <c r="F7" s="167" t="s">
        <v>2241</v>
      </c>
      <c r="G7" s="167" t="s">
        <v>2242</v>
      </c>
      <c r="H7" s="168" t="s">
        <v>76</v>
      </c>
      <c r="I7" s="167" t="s">
        <v>229</v>
      </c>
      <c r="J7" s="168" t="s">
        <v>53</v>
      </c>
      <c r="K7" s="168" t="s">
        <v>53</v>
      </c>
      <c r="L7" s="167" t="s">
        <v>803</v>
      </c>
      <c r="M7" s="168" t="s">
        <v>311</v>
      </c>
      <c r="N7" s="167" t="s">
        <v>156</v>
      </c>
      <c r="O7" s="167" t="s">
        <v>62</v>
      </c>
      <c r="P7" s="167" t="s">
        <v>1607</v>
      </c>
      <c r="Q7" s="167" t="s">
        <v>65</v>
      </c>
      <c r="R7" s="167" t="s">
        <v>57</v>
      </c>
      <c r="S7" s="168" t="s">
        <v>1259</v>
      </c>
      <c r="T7" s="172">
        <v>2.472</v>
      </c>
      <c r="U7" s="167" t="s">
        <v>2243</v>
      </c>
      <c r="V7" s="198">
        <v>2.75E-2</v>
      </c>
      <c r="W7" s="173">
        <v>3.0839999999999999E-2</v>
      </c>
      <c r="X7" s="168" t="s">
        <v>618</v>
      </c>
      <c r="Y7" s="168" t="s">
        <v>62</v>
      </c>
      <c r="Z7" s="170">
        <v>32076.49</v>
      </c>
      <c r="AA7" s="184">
        <v>1</v>
      </c>
      <c r="AB7" s="186">
        <v>116.37</v>
      </c>
      <c r="AC7" s="167"/>
      <c r="AD7" s="170">
        <v>37.326999999999998</v>
      </c>
      <c r="AE7" s="9"/>
      <c r="AF7" s="9"/>
      <c r="AG7" s="9" t="s">
        <v>17</v>
      </c>
      <c r="AH7" s="185">
        <v>4.3000000000000002E-5</v>
      </c>
      <c r="AI7" s="185">
        <v>1.0259360742353601E-2</v>
      </c>
      <c r="AJ7" s="185">
        <v>4.13959167707963E-3</v>
      </c>
    </row>
    <row r="8" spans="1:36">
      <c r="A8" s="167">
        <v>337</v>
      </c>
      <c r="B8" s="167">
        <v>1405</v>
      </c>
      <c r="C8" s="167" t="s">
        <v>1834</v>
      </c>
      <c r="D8" s="167" t="s">
        <v>1835</v>
      </c>
      <c r="E8" s="168" t="s">
        <v>1346</v>
      </c>
      <c r="F8" s="167" t="s">
        <v>2244</v>
      </c>
      <c r="G8" s="167" t="s">
        <v>2245</v>
      </c>
      <c r="H8" s="168" t="s">
        <v>76</v>
      </c>
      <c r="I8" s="167" t="s">
        <v>228</v>
      </c>
      <c r="J8" s="168" t="s">
        <v>53</v>
      </c>
      <c r="K8" s="168" t="s">
        <v>53</v>
      </c>
      <c r="L8" s="167" t="s">
        <v>803</v>
      </c>
      <c r="M8" s="168" t="s">
        <v>311</v>
      </c>
      <c r="N8" s="167" t="s">
        <v>265</v>
      </c>
      <c r="O8" s="167" t="s">
        <v>62</v>
      </c>
      <c r="P8" s="167" t="s">
        <v>2246</v>
      </c>
      <c r="Q8" s="167" t="s">
        <v>65</v>
      </c>
      <c r="R8" s="167" t="s">
        <v>57</v>
      </c>
      <c r="S8" s="168" t="s">
        <v>1259</v>
      </c>
      <c r="T8" s="172">
        <v>7.3310000000000004</v>
      </c>
      <c r="U8" s="167" t="s">
        <v>2247</v>
      </c>
      <c r="V8" s="198">
        <v>2.4E-2</v>
      </c>
      <c r="W8" s="173">
        <v>4.6940000000000003E-2</v>
      </c>
      <c r="X8" s="168" t="s">
        <v>618</v>
      </c>
      <c r="Y8" s="168" t="s">
        <v>62</v>
      </c>
      <c r="Z8" s="172">
        <v>57491</v>
      </c>
      <c r="AA8" s="171">
        <v>1</v>
      </c>
      <c r="AB8" s="178">
        <v>84.92</v>
      </c>
      <c r="AC8" s="167"/>
      <c r="AD8" s="172">
        <v>48.820999999999998</v>
      </c>
      <c r="AE8" s="167"/>
      <c r="AF8" s="9"/>
      <c r="AG8" s="168" t="s">
        <v>17</v>
      </c>
      <c r="AH8" s="185">
        <v>3.6999999999999998E-5</v>
      </c>
      <c r="AI8" s="185">
        <v>1.34184476363572E-2</v>
      </c>
      <c r="AJ8" s="185">
        <v>5.4142646456985903E-3</v>
      </c>
    </row>
    <row r="9" spans="1:36">
      <c r="A9" s="167">
        <v>337</v>
      </c>
      <c r="B9" s="167">
        <v>1405</v>
      </c>
      <c r="C9" s="167" t="s">
        <v>2248</v>
      </c>
      <c r="D9" s="167" t="s">
        <v>2249</v>
      </c>
      <c r="E9" s="168" t="s">
        <v>1346</v>
      </c>
      <c r="F9" s="167" t="s">
        <v>2250</v>
      </c>
      <c r="G9" s="167" t="s">
        <v>2251</v>
      </c>
      <c r="H9" s="168" t="s">
        <v>76</v>
      </c>
      <c r="I9" s="167" t="s">
        <v>229</v>
      </c>
      <c r="J9" s="168" t="s">
        <v>53</v>
      </c>
      <c r="K9" s="168" t="s">
        <v>53</v>
      </c>
      <c r="L9" s="167" t="s">
        <v>803</v>
      </c>
      <c r="M9" s="168" t="s">
        <v>311</v>
      </c>
      <c r="N9" s="167" t="s">
        <v>633</v>
      </c>
      <c r="O9" s="167" t="s">
        <v>62</v>
      </c>
      <c r="P9" s="167" t="s">
        <v>2246</v>
      </c>
      <c r="Q9" s="167" t="s">
        <v>65</v>
      </c>
      <c r="R9" s="167" t="s">
        <v>57</v>
      </c>
      <c r="S9" s="168" t="s">
        <v>1259</v>
      </c>
      <c r="T9" s="172">
        <v>2.0139999999999998</v>
      </c>
      <c r="U9" s="167" t="s">
        <v>2252</v>
      </c>
      <c r="V9" s="198">
        <v>2.3400000000000001E-2</v>
      </c>
      <c r="W9" s="173">
        <v>2.8719999999999999E-2</v>
      </c>
      <c r="X9" s="168" t="s">
        <v>618</v>
      </c>
      <c r="Y9" s="168" t="s">
        <v>62</v>
      </c>
      <c r="Z9" s="172">
        <v>44835.17</v>
      </c>
      <c r="AA9" s="171">
        <v>1</v>
      </c>
      <c r="AB9" s="178">
        <v>116.49</v>
      </c>
      <c r="AC9" s="167"/>
      <c r="AD9" s="172">
        <v>52.228000000000002</v>
      </c>
      <c r="AE9" s="167"/>
      <c r="AF9" s="9"/>
      <c r="AG9" s="168" t="s">
        <v>17</v>
      </c>
      <c r="AH9" s="185">
        <v>2.8E-5</v>
      </c>
      <c r="AI9" s="185">
        <v>1.4354890812510899E-2</v>
      </c>
      <c r="AJ9" s="185">
        <v>5.7921139557496901E-3</v>
      </c>
    </row>
    <row r="10" spans="1:36">
      <c r="A10" s="167">
        <v>337</v>
      </c>
      <c r="B10" s="167">
        <v>1405</v>
      </c>
      <c r="C10" s="167" t="s">
        <v>1842</v>
      </c>
      <c r="D10" s="167" t="s">
        <v>1843</v>
      </c>
      <c r="E10" s="168" t="s">
        <v>1346</v>
      </c>
      <c r="F10" s="167" t="s">
        <v>2253</v>
      </c>
      <c r="G10" s="167" t="s">
        <v>2254</v>
      </c>
      <c r="H10" s="168" t="s">
        <v>76</v>
      </c>
      <c r="I10" s="167" t="s">
        <v>605</v>
      </c>
      <c r="J10" s="168" t="s">
        <v>53</v>
      </c>
      <c r="K10" s="168" t="s">
        <v>53</v>
      </c>
      <c r="L10" s="167" t="s">
        <v>803</v>
      </c>
      <c r="M10" s="168" t="s">
        <v>311</v>
      </c>
      <c r="N10" s="167" t="s">
        <v>259</v>
      </c>
      <c r="O10" s="167" t="s">
        <v>62</v>
      </c>
      <c r="P10" s="167" t="s">
        <v>298</v>
      </c>
      <c r="Q10" s="167" t="s">
        <v>298</v>
      </c>
      <c r="R10" s="167" t="s">
        <v>298</v>
      </c>
      <c r="S10" s="168" t="s">
        <v>1259</v>
      </c>
      <c r="T10" s="172">
        <v>2.839</v>
      </c>
      <c r="U10" s="167" t="s">
        <v>2255</v>
      </c>
      <c r="V10" s="198">
        <v>4.8500000000000001E-2</v>
      </c>
      <c r="W10" s="173">
        <v>1E-4</v>
      </c>
      <c r="X10" s="168" t="s">
        <v>618</v>
      </c>
      <c r="Y10" s="168" t="s">
        <v>62</v>
      </c>
      <c r="Z10" s="172">
        <v>13000</v>
      </c>
      <c r="AA10" s="171">
        <v>1</v>
      </c>
      <c r="AB10" s="178">
        <v>115</v>
      </c>
      <c r="AC10" s="167"/>
      <c r="AD10" s="172">
        <v>14.95</v>
      </c>
      <c r="AE10" s="167"/>
      <c r="AF10" s="9"/>
      <c r="AG10" s="168" t="s">
        <v>17</v>
      </c>
      <c r="AH10" s="185">
        <v>4.3000000000000002E-5</v>
      </c>
      <c r="AI10" s="185">
        <v>4.1089761462743801E-3</v>
      </c>
      <c r="AJ10" s="185">
        <v>1.65794769124513E-3</v>
      </c>
    </row>
    <row r="11" spans="1:36">
      <c r="A11" s="167">
        <v>337</v>
      </c>
      <c r="B11" s="167">
        <v>1405</v>
      </c>
      <c r="C11" s="167" t="s">
        <v>2256</v>
      </c>
      <c r="D11" s="167" t="s">
        <v>2257</v>
      </c>
      <c r="E11" s="168" t="s">
        <v>1346</v>
      </c>
      <c r="F11" s="167" t="s">
        <v>2258</v>
      </c>
      <c r="G11" s="167" t="s">
        <v>2259</v>
      </c>
      <c r="H11" s="168" t="s">
        <v>76</v>
      </c>
      <c r="I11" s="167" t="s">
        <v>229</v>
      </c>
      <c r="J11" s="168" t="s">
        <v>53</v>
      </c>
      <c r="K11" s="168" t="s">
        <v>53</v>
      </c>
      <c r="L11" s="167" t="s">
        <v>803</v>
      </c>
      <c r="M11" s="168" t="s">
        <v>311</v>
      </c>
      <c r="N11" s="167" t="s">
        <v>258</v>
      </c>
      <c r="O11" s="167" t="s">
        <v>62</v>
      </c>
      <c r="P11" s="167" t="s">
        <v>1607</v>
      </c>
      <c r="Q11" s="167" t="s">
        <v>65</v>
      </c>
      <c r="R11" s="167" t="s">
        <v>57</v>
      </c>
      <c r="S11" s="168" t="s">
        <v>1259</v>
      </c>
      <c r="T11" s="172">
        <v>1.4510000000000001</v>
      </c>
      <c r="U11" s="167" t="s">
        <v>2260</v>
      </c>
      <c r="V11" s="198">
        <v>3.2000000000000001E-2</v>
      </c>
      <c r="W11" s="173">
        <v>3.2230000000000002E-2</v>
      </c>
      <c r="X11" s="168" t="s">
        <v>618</v>
      </c>
      <c r="Y11" s="168" t="s">
        <v>62</v>
      </c>
      <c r="Z11" s="172">
        <v>6000</v>
      </c>
      <c r="AA11" s="171">
        <v>1</v>
      </c>
      <c r="AB11" s="178">
        <v>109.13</v>
      </c>
      <c r="AC11" s="167"/>
      <c r="AD11" s="172">
        <v>6.548</v>
      </c>
      <c r="AE11" s="167"/>
      <c r="AF11" s="9"/>
      <c r="AG11" s="168" t="s">
        <v>17</v>
      </c>
      <c r="AH11" s="185">
        <v>9.0000000000000002E-6</v>
      </c>
      <c r="AI11" s="185">
        <v>1.7996490976973499E-3</v>
      </c>
      <c r="AJ11" s="185">
        <v>7.2614781891203195E-4</v>
      </c>
    </row>
    <row r="12" spans="1:36">
      <c r="A12" s="167">
        <v>337</v>
      </c>
      <c r="B12" s="167">
        <v>1405</v>
      </c>
      <c r="C12" s="167" t="s">
        <v>2256</v>
      </c>
      <c r="D12" s="167" t="s">
        <v>2257</v>
      </c>
      <c r="E12" s="168" t="s">
        <v>1346</v>
      </c>
      <c r="F12" s="167" t="s">
        <v>2261</v>
      </c>
      <c r="G12" s="167" t="s">
        <v>2262</v>
      </c>
      <c r="H12" s="168" t="s">
        <v>76</v>
      </c>
      <c r="I12" s="167" t="s">
        <v>228</v>
      </c>
      <c r="J12" s="168" t="s">
        <v>53</v>
      </c>
      <c r="K12" s="168" t="s">
        <v>53</v>
      </c>
      <c r="L12" s="167" t="s">
        <v>803</v>
      </c>
      <c r="M12" s="168" t="s">
        <v>311</v>
      </c>
      <c r="N12" s="167" t="s">
        <v>258</v>
      </c>
      <c r="O12" s="167" t="s">
        <v>62</v>
      </c>
      <c r="P12" s="167" t="s">
        <v>1607</v>
      </c>
      <c r="Q12" s="167" t="s">
        <v>65</v>
      </c>
      <c r="R12" s="167" t="s">
        <v>57</v>
      </c>
      <c r="S12" s="168" t="s">
        <v>1259</v>
      </c>
      <c r="T12" s="172">
        <v>1.518</v>
      </c>
      <c r="U12" s="167" t="s">
        <v>2263</v>
      </c>
      <c r="V12" s="198">
        <v>5.7000000000000002E-2</v>
      </c>
      <c r="W12" s="173">
        <v>5.1889999999999999E-2</v>
      </c>
      <c r="X12" s="168" t="s">
        <v>618</v>
      </c>
      <c r="Y12" s="168" t="s">
        <v>62</v>
      </c>
      <c r="Z12" s="172">
        <v>7200</v>
      </c>
      <c r="AA12" s="171">
        <v>1</v>
      </c>
      <c r="AB12" s="178">
        <v>101.09</v>
      </c>
      <c r="AC12" s="167"/>
      <c r="AD12" s="172">
        <v>7.2779999999999996</v>
      </c>
      <c r="AE12" s="167"/>
      <c r="AF12" s="9"/>
      <c r="AG12" s="168" t="s">
        <v>17</v>
      </c>
      <c r="AH12" s="185">
        <v>9.0000000000000002E-6</v>
      </c>
      <c r="AI12" s="185">
        <v>2.0004749632866301E-3</v>
      </c>
      <c r="AJ12" s="185">
        <v>8.0717987369724898E-4</v>
      </c>
    </row>
    <row r="13" spans="1:36">
      <c r="A13" s="167">
        <v>337</v>
      </c>
      <c r="B13" s="167">
        <v>1405</v>
      </c>
      <c r="C13" s="167" t="s">
        <v>2264</v>
      </c>
      <c r="D13" s="167" t="s">
        <v>2265</v>
      </c>
      <c r="E13" s="168" t="s">
        <v>1346</v>
      </c>
      <c r="F13" s="167" t="s">
        <v>2266</v>
      </c>
      <c r="G13" s="167" t="s">
        <v>2267</v>
      </c>
      <c r="H13" s="168" t="s">
        <v>76</v>
      </c>
      <c r="I13" s="167" t="s">
        <v>229</v>
      </c>
      <c r="J13" s="168" t="s">
        <v>53</v>
      </c>
      <c r="K13" s="168" t="s">
        <v>53</v>
      </c>
      <c r="L13" s="167" t="s">
        <v>803</v>
      </c>
      <c r="M13" s="168" t="s">
        <v>311</v>
      </c>
      <c r="N13" s="167" t="s">
        <v>258</v>
      </c>
      <c r="O13" s="167" t="s">
        <v>62</v>
      </c>
      <c r="P13" s="167" t="s">
        <v>1607</v>
      </c>
      <c r="Q13" s="167" t="s">
        <v>65</v>
      </c>
      <c r="R13" s="167" t="s">
        <v>57</v>
      </c>
      <c r="S13" s="168" t="s">
        <v>1259</v>
      </c>
      <c r="T13" s="172">
        <v>2.1680000000000001</v>
      </c>
      <c r="U13" s="167" t="s">
        <v>2268</v>
      </c>
      <c r="V13" s="198">
        <v>3.2300000000000002E-2</v>
      </c>
      <c r="W13" s="173">
        <v>2.972E-2</v>
      </c>
      <c r="X13" s="168" t="s">
        <v>618</v>
      </c>
      <c r="Y13" s="168" t="s">
        <v>62</v>
      </c>
      <c r="Z13" s="172">
        <v>10080</v>
      </c>
      <c r="AA13" s="171">
        <v>1</v>
      </c>
      <c r="AB13" s="178">
        <v>110.07</v>
      </c>
      <c r="AC13" s="167"/>
      <c r="AD13" s="172">
        <v>11.095000000000001</v>
      </c>
      <c r="AE13" s="167"/>
      <c r="AF13" s="9"/>
      <c r="AG13" s="168" t="s">
        <v>17</v>
      </c>
      <c r="AH13" s="185">
        <v>2.0000000000000002E-5</v>
      </c>
      <c r="AI13" s="185">
        <v>3.0494528726139401E-3</v>
      </c>
      <c r="AJ13" s="185">
        <v>1.2304362862498601E-3</v>
      </c>
    </row>
    <row r="14" spans="1:36">
      <c r="A14" s="167">
        <v>337</v>
      </c>
      <c r="B14" s="167">
        <v>1405</v>
      </c>
      <c r="C14" s="167" t="s">
        <v>2269</v>
      </c>
      <c r="D14" s="167" t="s">
        <v>2270</v>
      </c>
      <c r="E14" s="168" t="s">
        <v>1346</v>
      </c>
      <c r="F14" s="167" t="s">
        <v>2271</v>
      </c>
      <c r="G14" s="167" t="s">
        <v>2272</v>
      </c>
      <c r="H14" s="168" t="s">
        <v>76</v>
      </c>
      <c r="I14" s="167" t="s">
        <v>229</v>
      </c>
      <c r="J14" s="168" t="s">
        <v>53</v>
      </c>
      <c r="K14" s="168" t="s">
        <v>53</v>
      </c>
      <c r="L14" s="167" t="s">
        <v>803</v>
      </c>
      <c r="M14" s="168" t="s">
        <v>311</v>
      </c>
      <c r="N14" s="167" t="s">
        <v>633</v>
      </c>
      <c r="O14" s="167" t="s">
        <v>62</v>
      </c>
      <c r="P14" s="167" t="s">
        <v>1614</v>
      </c>
      <c r="Q14" s="167" t="s">
        <v>65</v>
      </c>
      <c r="R14" s="167" t="s">
        <v>57</v>
      </c>
      <c r="S14" s="168" t="s">
        <v>1259</v>
      </c>
      <c r="T14" s="172">
        <v>2.1760000000000002</v>
      </c>
      <c r="U14" s="167" t="s">
        <v>2273</v>
      </c>
      <c r="V14" s="198">
        <v>2.4899999999999999E-2</v>
      </c>
      <c r="W14" s="173">
        <v>3.1350000000000003E-2</v>
      </c>
      <c r="X14" s="168" t="s">
        <v>618</v>
      </c>
      <c r="Y14" s="168" t="s">
        <v>62</v>
      </c>
      <c r="Z14" s="172">
        <v>18400</v>
      </c>
      <c r="AA14" s="171">
        <v>1</v>
      </c>
      <c r="AB14" s="178">
        <v>108.03</v>
      </c>
      <c r="AC14" s="167"/>
      <c r="AD14" s="172">
        <v>19.878</v>
      </c>
      <c r="AE14" s="167"/>
      <c r="AF14" s="9"/>
      <c r="AG14" s="168" t="s">
        <v>17</v>
      </c>
      <c r="AH14" s="185">
        <v>9.8999999999999994E-5</v>
      </c>
      <c r="AI14" s="185">
        <v>5.4632946840864104E-3</v>
      </c>
      <c r="AJ14" s="185">
        <v>2.20440725027953E-3</v>
      </c>
    </row>
    <row r="15" spans="1:36">
      <c r="A15" s="167">
        <v>337</v>
      </c>
      <c r="B15" s="167">
        <v>1405</v>
      </c>
      <c r="C15" s="167" t="s">
        <v>1850</v>
      </c>
      <c r="D15" s="167" t="s">
        <v>1851</v>
      </c>
      <c r="E15" s="168" t="s">
        <v>1346</v>
      </c>
      <c r="F15" s="167" t="s">
        <v>2274</v>
      </c>
      <c r="G15" s="167" t="s">
        <v>2275</v>
      </c>
      <c r="H15" s="168" t="s">
        <v>76</v>
      </c>
      <c r="I15" s="167" t="s">
        <v>228</v>
      </c>
      <c r="J15" s="168" t="s">
        <v>53</v>
      </c>
      <c r="K15" s="168" t="s">
        <v>53</v>
      </c>
      <c r="L15" s="167" t="s">
        <v>803</v>
      </c>
      <c r="M15" s="168" t="s">
        <v>311</v>
      </c>
      <c r="N15" s="167" t="s">
        <v>633</v>
      </c>
      <c r="O15" s="167" t="s">
        <v>62</v>
      </c>
      <c r="P15" s="167" t="s">
        <v>2239</v>
      </c>
      <c r="Q15" s="167" t="s">
        <v>65</v>
      </c>
      <c r="R15" s="167" t="s">
        <v>57</v>
      </c>
      <c r="S15" s="168" t="s">
        <v>1259</v>
      </c>
      <c r="T15" s="172">
        <v>3.7050000000000001</v>
      </c>
      <c r="U15" s="167" t="s">
        <v>2276</v>
      </c>
      <c r="V15" s="198">
        <v>2.41E-2</v>
      </c>
      <c r="W15" s="173">
        <v>4.8559999999999999E-2</v>
      </c>
      <c r="X15" s="168" t="s">
        <v>618</v>
      </c>
      <c r="Y15" s="168" t="s">
        <v>62</v>
      </c>
      <c r="Z15" s="172">
        <v>32851</v>
      </c>
      <c r="AA15" s="171">
        <v>1</v>
      </c>
      <c r="AB15" s="178">
        <v>92.33</v>
      </c>
      <c r="AC15" s="167"/>
      <c r="AD15" s="172">
        <v>30.331</v>
      </c>
      <c r="AE15" s="167"/>
      <c r="AF15" s="9"/>
      <c r="AG15" s="168" t="s">
        <v>17</v>
      </c>
      <c r="AH15" s="185">
        <v>1.5999999999999999E-5</v>
      </c>
      <c r="AI15" s="185">
        <v>8.3365019712051507E-3</v>
      </c>
      <c r="AJ15" s="185">
        <v>3.3637294800925202E-3</v>
      </c>
    </row>
    <row r="16" spans="1:36">
      <c r="A16" s="167">
        <v>337</v>
      </c>
      <c r="B16" s="167">
        <v>1405</v>
      </c>
      <c r="C16" s="167" t="s">
        <v>2277</v>
      </c>
      <c r="D16" s="167" t="s">
        <v>2278</v>
      </c>
      <c r="E16" s="168" t="s">
        <v>1346</v>
      </c>
      <c r="F16" s="167" t="s">
        <v>2279</v>
      </c>
      <c r="G16" s="167" t="s">
        <v>2280</v>
      </c>
      <c r="H16" s="168" t="s">
        <v>76</v>
      </c>
      <c r="I16" s="167" t="s">
        <v>228</v>
      </c>
      <c r="J16" s="168" t="s">
        <v>53</v>
      </c>
      <c r="K16" s="168" t="s">
        <v>53</v>
      </c>
      <c r="L16" s="167" t="s">
        <v>803</v>
      </c>
      <c r="M16" s="168" t="s">
        <v>311</v>
      </c>
      <c r="N16" s="167" t="s">
        <v>690</v>
      </c>
      <c r="O16" s="167" t="s">
        <v>62</v>
      </c>
      <c r="P16" s="167" t="s">
        <v>2239</v>
      </c>
      <c r="Q16" s="167" t="s">
        <v>65</v>
      </c>
      <c r="R16" s="167" t="s">
        <v>57</v>
      </c>
      <c r="S16" s="168" t="s">
        <v>1259</v>
      </c>
      <c r="T16" s="172">
        <v>2.0840000000000001</v>
      </c>
      <c r="U16" s="167" t="s">
        <v>2281</v>
      </c>
      <c r="V16" s="198">
        <v>2.0400000000000001E-2</v>
      </c>
      <c r="W16" s="173">
        <v>4.8349999999999997E-2</v>
      </c>
      <c r="X16" s="168" t="s">
        <v>618</v>
      </c>
      <c r="Y16" s="168" t="s">
        <v>62</v>
      </c>
      <c r="Z16" s="172">
        <v>18750</v>
      </c>
      <c r="AA16" s="171">
        <v>1</v>
      </c>
      <c r="AB16" s="178">
        <v>95.04</v>
      </c>
      <c r="AC16" s="167"/>
      <c r="AD16" s="172">
        <v>17.82</v>
      </c>
      <c r="AE16" s="167"/>
      <c r="AF16" s="9"/>
      <c r="AG16" s="168" t="s">
        <v>17</v>
      </c>
      <c r="AH16" s="185">
        <v>5.0000000000000002E-5</v>
      </c>
      <c r="AI16" s="185">
        <v>4.8977896271979598E-3</v>
      </c>
      <c r="AJ16" s="185">
        <v>1.9762292881597499E-3</v>
      </c>
    </row>
    <row r="17" spans="1:36">
      <c r="A17" s="167">
        <v>337</v>
      </c>
      <c r="B17" s="167">
        <v>1405</v>
      </c>
      <c r="C17" s="167" t="s">
        <v>2282</v>
      </c>
      <c r="D17" s="167" t="s">
        <v>2283</v>
      </c>
      <c r="E17" s="168" t="s">
        <v>1346</v>
      </c>
      <c r="F17" s="167" t="s">
        <v>2284</v>
      </c>
      <c r="G17" s="167" t="s">
        <v>2285</v>
      </c>
      <c r="H17" s="168" t="s">
        <v>76</v>
      </c>
      <c r="I17" s="167" t="s">
        <v>228</v>
      </c>
      <c r="J17" s="168" t="s">
        <v>53</v>
      </c>
      <c r="K17" s="168" t="s">
        <v>53</v>
      </c>
      <c r="L17" s="167" t="s">
        <v>803</v>
      </c>
      <c r="M17" s="168" t="s">
        <v>311</v>
      </c>
      <c r="N17" s="167" t="s">
        <v>690</v>
      </c>
      <c r="O17" s="167" t="s">
        <v>62</v>
      </c>
      <c r="P17" s="167" t="s">
        <v>1607</v>
      </c>
      <c r="Q17" s="167" t="s">
        <v>65</v>
      </c>
      <c r="R17" s="167" t="s">
        <v>57</v>
      </c>
      <c r="S17" s="168" t="s">
        <v>1259</v>
      </c>
      <c r="T17" s="172">
        <v>2.7559999999999998</v>
      </c>
      <c r="U17" s="167" t="s">
        <v>2286</v>
      </c>
      <c r="V17" s="198">
        <v>0.04</v>
      </c>
      <c r="W17" s="173">
        <v>4.7919999999999997E-2</v>
      </c>
      <c r="X17" s="168" t="s">
        <v>618</v>
      </c>
      <c r="Y17" s="168" t="s">
        <v>62</v>
      </c>
      <c r="Z17" s="172">
        <v>9750</v>
      </c>
      <c r="AA17" s="171">
        <v>1</v>
      </c>
      <c r="AB17" s="178">
        <v>99.88</v>
      </c>
      <c r="AC17" s="167"/>
      <c r="AD17" s="172">
        <v>9.7379999999999995</v>
      </c>
      <c r="AE17" s="167"/>
      <c r="AF17" s="9"/>
      <c r="AG17" s="168" t="s">
        <v>17</v>
      </c>
      <c r="AH17" s="185">
        <v>1.7E-5</v>
      </c>
      <c r="AI17" s="185">
        <v>2.6765513314557701E-3</v>
      </c>
      <c r="AJ17" s="185">
        <v>1.0799727091406299E-3</v>
      </c>
    </row>
    <row r="18" spans="1:36">
      <c r="A18" s="167">
        <v>337</v>
      </c>
      <c r="B18" s="167">
        <v>1405</v>
      </c>
      <c r="C18" s="167" t="s">
        <v>2282</v>
      </c>
      <c r="D18" s="167" t="s">
        <v>2283</v>
      </c>
      <c r="E18" s="168" t="s">
        <v>1346</v>
      </c>
      <c r="F18" s="167" t="s">
        <v>2287</v>
      </c>
      <c r="G18" s="167" t="s">
        <v>2288</v>
      </c>
      <c r="H18" s="168" t="s">
        <v>76</v>
      </c>
      <c r="I18" s="167" t="s">
        <v>228</v>
      </c>
      <c r="J18" s="168" t="s">
        <v>53</v>
      </c>
      <c r="K18" s="168" t="s">
        <v>53</v>
      </c>
      <c r="L18" s="167" t="s">
        <v>803</v>
      </c>
      <c r="M18" s="168" t="s">
        <v>311</v>
      </c>
      <c r="N18" s="167" t="s">
        <v>690</v>
      </c>
      <c r="O18" s="167" t="s">
        <v>62</v>
      </c>
      <c r="P18" s="167" t="s">
        <v>1607</v>
      </c>
      <c r="Q18" s="167" t="s">
        <v>65</v>
      </c>
      <c r="R18" s="167" t="s">
        <v>57</v>
      </c>
      <c r="S18" s="168" t="s">
        <v>1259</v>
      </c>
      <c r="T18" s="172">
        <v>4.7830000000000004</v>
      </c>
      <c r="U18" s="167" t="s">
        <v>2289</v>
      </c>
      <c r="V18" s="198">
        <v>2.07E-2</v>
      </c>
      <c r="W18" s="173">
        <v>4.8390000000000002E-2</v>
      </c>
      <c r="X18" s="168" t="s">
        <v>618</v>
      </c>
      <c r="Y18" s="168" t="s">
        <v>62</v>
      </c>
      <c r="Z18" s="172">
        <v>19000</v>
      </c>
      <c r="AA18" s="171">
        <v>1</v>
      </c>
      <c r="AB18" s="178">
        <v>87.83</v>
      </c>
      <c r="AC18" s="167"/>
      <c r="AD18" s="172">
        <v>16.687999999999999</v>
      </c>
      <c r="AE18" s="167"/>
      <c r="AF18" s="9"/>
      <c r="AG18" s="168" t="s">
        <v>17</v>
      </c>
      <c r="AH18" s="185">
        <v>2.5999999999999998E-5</v>
      </c>
      <c r="AI18" s="185">
        <v>4.5865793469018704E-3</v>
      </c>
      <c r="AJ18" s="185">
        <v>1.85065777171849E-3</v>
      </c>
    </row>
    <row r="19" spans="1:36">
      <c r="A19" s="167">
        <v>337</v>
      </c>
      <c r="B19" s="167">
        <v>1405</v>
      </c>
      <c r="C19" s="167" t="s">
        <v>1858</v>
      </c>
      <c r="D19" s="167" t="s">
        <v>1859</v>
      </c>
      <c r="E19" s="168" t="s">
        <v>1346</v>
      </c>
      <c r="F19" s="167" t="s">
        <v>2290</v>
      </c>
      <c r="G19" s="167" t="s">
        <v>2291</v>
      </c>
      <c r="H19" s="168" t="s">
        <v>76</v>
      </c>
      <c r="I19" s="167" t="s">
        <v>229</v>
      </c>
      <c r="J19" s="168" t="s">
        <v>53</v>
      </c>
      <c r="K19" s="168" t="s">
        <v>53</v>
      </c>
      <c r="L19" s="167" t="s">
        <v>803</v>
      </c>
      <c r="M19" s="168" t="s">
        <v>311</v>
      </c>
      <c r="N19" s="167" t="s">
        <v>633</v>
      </c>
      <c r="O19" s="167" t="s">
        <v>62</v>
      </c>
      <c r="P19" s="167" t="s">
        <v>2246</v>
      </c>
      <c r="Q19" s="167" t="s">
        <v>65</v>
      </c>
      <c r="R19" s="167" t="s">
        <v>57</v>
      </c>
      <c r="S19" s="168" t="s">
        <v>1259</v>
      </c>
      <c r="T19" s="172">
        <v>2.5790000000000002</v>
      </c>
      <c r="U19" s="167" t="s">
        <v>2292</v>
      </c>
      <c r="V19" s="198">
        <v>1.14E-2</v>
      </c>
      <c r="W19" s="173">
        <v>2.819E-2</v>
      </c>
      <c r="X19" s="168" t="s">
        <v>618</v>
      </c>
      <c r="Y19" s="168" t="s">
        <v>62</v>
      </c>
      <c r="Z19" s="172">
        <v>40000</v>
      </c>
      <c r="AA19" s="171">
        <v>1</v>
      </c>
      <c r="AB19" s="178">
        <v>111.43</v>
      </c>
      <c r="AC19" s="167"/>
      <c r="AD19" s="172">
        <v>44.572000000000003</v>
      </c>
      <c r="AE19" s="167"/>
      <c r="AF19" s="9"/>
      <c r="AG19" s="168" t="s">
        <v>17</v>
      </c>
      <c r="AH19" s="185">
        <v>1.7E-5</v>
      </c>
      <c r="AI19" s="185">
        <v>1.22505207218556E-2</v>
      </c>
      <c r="AJ19" s="185">
        <v>4.9430130096440204E-3</v>
      </c>
    </row>
    <row r="20" spans="1:36">
      <c r="A20" s="9">
        <v>337</v>
      </c>
      <c r="B20" s="9">
        <v>1405</v>
      </c>
      <c r="C20" s="9" t="s">
        <v>2293</v>
      </c>
      <c r="D20" s="9" t="s">
        <v>2294</v>
      </c>
      <c r="E20" s="168" t="s">
        <v>1346</v>
      </c>
      <c r="F20" s="9" t="s">
        <v>2295</v>
      </c>
      <c r="G20" s="9" t="s">
        <v>2296</v>
      </c>
      <c r="H20" s="168" t="s">
        <v>76</v>
      </c>
      <c r="I20" s="167" t="s">
        <v>228</v>
      </c>
      <c r="J20" s="168" t="s">
        <v>53</v>
      </c>
      <c r="K20" s="168" t="s">
        <v>53</v>
      </c>
      <c r="L20" s="167" t="s">
        <v>803</v>
      </c>
      <c r="M20" s="168" t="s">
        <v>311</v>
      </c>
      <c r="N20" s="167" t="s">
        <v>633</v>
      </c>
      <c r="O20" s="167" t="s">
        <v>62</v>
      </c>
      <c r="P20" s="167" t="s">
        <v>298</v>
      </c>
      <c r="Q20" s="167" t="s">
        <v>298</v>
      </c>
      <c r="R20" s="167" t="s">
        <v>298</v>
      </c>
      <c r="S20" s="9" t="s">
        <v>1259</v>
      </c>
      <c r="T20" s="170">
        <v>0.45500000000000002</v>
      </c>
      <c r="U20" s="9" t="s">
        <v>2297</v>
      </c>
      <c r="V20" s="199">
        <v>6.5000000000000002E-2</v>
      </c>
      <c r="W20" s="185">
        <v>7.2859999999999994E-2</v>
      </c>
      <c r="X20" s="168" t="s">
        <v>618</v>
      </c>
      <c r="Y20" s="168" t="s">
        <v>62</v>
      </c>
      <c r="Z20" s="170">
        <v>10531.5</v>
      </c>
      <c r="AA20" s="184">
        <v>1</v>
      </c>
      <c r="AB20" s="186">
        <v>100</v>
      </c>
      <c r="AC20" s="9"/>
      <c r="AD20" s="170">
        <v>10.531000000000001</v>
      </c>
      <c r="AE20" s="9"/>
      <c r="AF20" s="9"/>
      <c r="AG20" s="9" t="s">
        <v>17</v>
      </c>
      <c r="AH20" s="185">
        <v>1.92E-4</v>
      </c>
      <c r="AI20" s="185">
        <v>2.89456068792566E-3</v>
      </c>
      <c r="AJ20" s="185">
        <v>1.16793820136108E-3</v>
      </c>
    </row>
    <row r="21" spans="1:36" s="42" customFormat="1">
      <c r="A21" s="9">
        <v>337</v>
      </c>
      <c r="B21" s="9">
        <v>1405</v>
      </c>
      <c r="C21" s="9" t="s">
        <v>1862</v>
      </c>
      <c r="D21" s="9" t="s">
        <v>1863</v>
      </c>
      <c r="E21" s="5" t="s">
        <v>1346</v>
      </c>
      <c r="F21" s="9" t="s">
        <v>2298</v>
      </c>
      <c r="G21" s="9" t="s">
        <v>2299</v>
      </c>
      <c r="H21" s="5" t="s">
        <v>76</v>
      </c>
      <c r="I21" s="9" t="s">
        <v>228</v>
      </c>
      <c r="J21" s="9" t="s">
        <v>53</v>
      </c>
      <c r="K21" s="9" t="s">
        <v>314</v>
      </c>
      <c r="L21" s="9" t="s">
        <v>803</v>
      </c>
      <c r="M21" s="5" t="s">
        <v>311</v>
      </c>
      <c r="N21" s="9" t="s">
        <v>629</v>
      </c>
      <c r="O21" s="9" t="s">
        <v>62</v>
      </c>
      <c r="P21" s="9" t="s">
        <v>2225</v>
      </c>
      <c r="Q21" s="9" t="s">
        <v>70</v>
      </c>
      <c r="R21" s="9" t="s">
        <v>57</v>
      </c>
      <c r="S21" s="9" t="s">
        <v>1259</v>
      </c>
      <c r="T21" s="170">
        <v>1.01</v>
      </c>
      <c r="U21" s="9" t="s">
        <v>2300</v>
      </c>
      <c r="V21" s="199">
        <v>3.4500000000000003E-2</v>
      </c>
      <c r="W21" s="185">
        <v>4.7660000000000001E-2</v>
      </c>
      <c r="X21" s="5" t="s">
        <v>618</v>
      </c>
      <c r="Y21" s="5" t="s">
        <v>62</v>
      </c>
      <c r="Z21" s="170">
        <v>9705.8799999999992</v>
      </c>
      <c r="AA21" s="184">
        <v>1</v>
      </c>
      <c r="AB21" s="186">
        <v>99.89</v>
      </c>
      <c r="AC21" s="9"/>
      <c r="AD21" s="170">
        <v>9.6950000000000003</v>
      </c>
      <c r="AE21" s="9"/>
      <c r="AF21" s="9"/>
      <c r="AG21" s="9" t="s">
        <v>17</v>
      </c>
      <c r="AH21" s="185">
        <v>1.5E-5</v>
      </c>
      <c r="AI21" s="185">
        <v>2.6647063576095702E-3</v>
      </c>
      <c r="AJ21" s="185">
        <v>1.0751933319084301E-3</v>
      </c>
    </row>
    <row r="22" spans="1:36">
      <c r="A22" s="9">
        <v>337</v>
      </c>
      <c r="B22" s="9">
        <v>1405</v>
      </c>
      <c r="C22" s="9" t="s">
        <v>1862</v>
      </c>
      <c r="D22" s="9" t="s">
        <v>1863</v>
      </c>
      <c r="E22" s="5" t="s">
        <v>1346</v>
      </c>
      <c r="F22" s="9" t="s">
        <v>2301</v>
      </c>
      <c r="G22" s="9" t="s">
        <v>2302</v>
      </c>
      <c r="H22" s="5" t="s">
        <v>76</v>
      </c>
      <c r="I22" s="9" t="s">
        <v>228</v>
      </c>
      <c r="J22" s="9" t="s">
        <v>53</v>
      </c>
      <c r="K22" s="9" t="s">
        <v>314</v>
      </c>
      <c r="L22" s="9" t="s">
        <v>803</v>
      </c>
      <c r="M22" s="5" t="s">
        <v>311</v>
      </c>
      <c r="N22" s="9" t="s">
        <v>629</v>
      </c>
      <c r="O22" s="9" t="s">
        <v>62</v>
      </c>
      <c r="P22" s="9" t="s">
        <v>2225</v>
      </c>
      <c r="Q22" s="9" t="s">
        <v>70</v>
      </c>
      <c r="R22" s="9" t="s">
        <v>57</v>
      </c>
      <c r="S22" s="9" t="s">
        <v>1259</v>
      </c>
      <c r="T22" s="170">
        <v>3.0470000000000002</v>
      </c>
      <c r="U22" s="9" t="s">
        <v>2303</v>
      </c>
      <c r="V22" s="199">
        <v>1.4999999999999999E-2</v>
      </c>
      <c r="W22" s="185">
        <v>5.0639999999999998E-2</v>
      </c>
      <c r="X22" s="5" t="s">
        <v>618</v>
      </c>
      <c r="Y22" s="5" t="s">
        <v>62</v>
      </c>
      <c r="Z22" s="170">
        <v>12000</v>
      </c>
      <c r="AA22" s="184">
        <v>1</v>
      </c>
      <c r="AB22" s="186">
        <v>90.42</v>
      </c>
      <c r="AC22" s="9"/>
      <c r="AD22" s="170">
        <v>10.85</v>
      </c>
      <c r="AE22" s="9"/>
      <c r="AF22" s="9"/>
      <c r="AG22" s="9" t="s">
        <v>17</v>
      </c>
      <c r="AH22" s="185">
        <v>1.0000000000000001E-5</v>
      </c>
      <c r="AI22" s="185">
        <v>2.9822096841160902E-3</v>
      </c>
      <c r="AJ22" s="185">
        <v>1.2033040554572699E-3</v>
      </c>
    </row>
    <row r="23" spans="1:36">
      <c r="A23" s="9">
        <v>337</v>
      </c>
      <c r="B23" s="9">
        <v>1405</v>
      </c>
      <c r="C23" s="9" t="s">
        <v>1870</v>
      </c>
      <c r="D23" s="9" t="s">
        <v>1871</v>
      </c>
      <c r="E23" s="5" t="s">
        <v>1346</v>
      </c>
      <c r="F23" s="9" t="s">
        <v>2304</v>
      </c>
      <c r="G23" s="9" t="s">
        <v>2305</v>
      </c>
      <c r="H23" s="5" t="s">
        <v>76</v>
      </c>
      <c r="I23" s="9" t="s">
        <v>228</v>
      </c>
      <c r="J23" s="9" t="s">
        <v>53</v>
      </c>
      <c r="K23" s="9" t="s">
        <v>53</v>
      </c>
      <c r="L23" s="9" t="s">
        <v>803</v>
      </c>
      <c r="M23" s="9" t="s">
        <v>311</v>
      </c>
      <c r="N23" s="9" t="s">
        <v>629</v>
      </c>
      <c r="O23" s="9" t="s">
        <v>62</v>
      </c>
      <c r="P23" s="9" t="s">
        <v>1614</v>
      </c>
      <c r="Q23" s="9" t="s">
        <v>65</v>
      </c>
      <c r="R23" s="9" t="s">
        <v>57</v>
      </c>
      <c r="S23" s="9" t="s">
        <v>1259</v>
      </c>
      <c r="T23" s="170">
        <v>2.415</v>
      </c>
      <c r="U23" s="9" t="s">
        <v>2306</v>
      </c>
      <c r="V23" s="199">
        <v>2.0500000000000001E-2</v>
      </c>
      <c r="W23" s="185">
        <v>5.0180000000000002E-2</v>
      </c>
      <c r="X23" s="5" t="s">
        <v>618</v>
      </c>
      <c r="Y23" s="5" t="s">
        <v>62</v>
      </c>
      <c r="Z23" s="170">
        <v>16000</v>
      </c>
      <c r="AA23" s="184">
        <v>1</v>
      </c>
      <c r="AB23" s="186">
        <v>94.03</v>
      </c>
      <c r="AC23" s="9"/>
      <c r="AD23" s="170">
        <v>15.045</v>
      </c>
      <c r="AE23" s="9"/>
      <c r="AF23" s="9"/>
      <c r="AG23" s="9" t="s">
        <v>17</v>
      </c>
      <c r="AH23" s="185">
        <v>1.7E-5</v>
      </c>
      <c r="AI23" s="185">
        <v>4.1350317274560996E-3</v>
      </c>
      <c r="AJ23" s="185">
        <v>1.6684609648993101E-3</v>
      </c>
    </row>
    <row r="24" spans="1:36">
      <c r="A24" s="9">
        <v>337</v>
      </c>
      <c r="B24" s="9">
        <v>1405</v>
      </c>
      <c r="C24" s="9" t="s">
        <v>1870</v>
      </c>
      <c r="D24" s="9" t="s">
        <v>1871</v>
      </c>
      <c r="E24" s="5" t="s">
        <v>1346</v>
      </c>
      <c r="F24" s="9" t="s">
        <v>2307</v>
      </c>
      <c r="G24" s="9" t="s">
        <v>2308</v>
      </c>
      <c r="H24" s="9" t="s">
        <v>76</v>
      </c>
      <c r="I24" s="9" t="s">
        <v>605</v>
      </c>
      <c r="J24" s="9" t="s">
        <v>53</v>
      </c>
      <c r="K24" s="9" t="s">
        <v>53</v>
      </c>
      <c r="L24" s="9" t="s">
        <v>803</v>
      </c>
      <c r="M24" s="9" t="s">
        <v>311</v>
      </c>
      <c r="N24" s="9" t="s">
        <v>629</v>
      </c>
      <c r="O24" s="9" t="s">
        <v>62</v>
      </c>
      <c r="P24" s="9" t="s">
        <v>1614</v>
      </c>
      <c r="Q24" s="9" t="s">
        <v>65</v>
      </c>
      <c r="R24" s="9" t="s">
        <v>57</v>
      </c>
      <c r="S24" s="9" t="s">
        <v>1259</v>
      </c>
      <c r="T24" s="170">
        <v>2.0760000000000001</v>
      </c>
      <c r="U24" s="9" t="s">
        <v>2309</v>
      </c>
      <c r="V24" s="199">
        <v>1.25E-3</v>
      </c>
      <c r="W24" s="185">
        <v>4.8520000000000001E-2</v>
      </c>
      <c r="X24" s="5" t="s">
        <v>618</v>
      </c>
      <c r="Y24" s="5" t="s">
        <v>62</v>
      </c>
      <c r="Z24" s="170">
        <v>7000</v>
      </c>
      <c r="AA24" s="184">
        <v>1</v>
      </c>
      <c r="AB24" s="186">
        <v>91.2</v>
      </c>
      <c r="AC24" s="9"/>
      <c r="AD24" s="170">
        <v>6.3840000000000003</v>
      </c>
      <c r="AE24" s="9"/>
      <c r="AF24" s="9"/>
      <c r="AG24" s="9" t="s">
        <v>17</v>
      </c>
      <c r="AH24" s="185">
        <v>1.2E-5</v>
      </c>
      <c r="AI24" s="185">
        <v>1.7546290112251299E-3</v>
      </c>
      <c r="AJ24" s="185">
        <v>7.0798247899056305E-4</v>
      </c>
    </row>
    <row r="25" spans="1:36">
      <c r="A25" s="9">
        <v>337</v>
      </c>
      <c r="B25" s="9">
        <v>1405</v>
      </c>
      <c r="C25" s="9" t="s">
        <v>2310</v>
      </c>
      <c r="D25" s="9" t="s">
        <v>2311</v>
      </c>
      <c r="E25" s="5" t="s">
        <v>1346</v>
      </c>
      <c r="F25" s="9" t="s">
        <v>2312</v>
      </c>
      <c r="G25" s="9" t="s">
        <v>2313</v>
      </c>
      <c r="H25" s="9" t="s">
        <v>76</v>
      </c>
      <c r="I25" s="9" t="s">
        <v>229</v>
      </c>
      <c r="J25" s="9" t="s">
        <v>53</v>
      </c>
      <c r="K25" s="9" t="s">
        <v>53</v>
      </c>
      <c r="L25" s="9" t="s">
        <v>803</v>
      </c>
      <c r="M25" s="9" t="s">
        <v>311</v>
      </c>
      <c r="N25" s="9" t="s">
        <v>631</v>
      </c>
      <c r="O25" s="9" t="s">
        <v>62</v>
      </c>
      <c r="P25" s="9" t="s">
        <v>2314</v>
      </c>
      <c r="Q25" s="9" t="s">
        <v>70</v>
      </c>
      <c r="R25" s="9" t="s">
        <v>57</v>
      </c>
      <c r="S25" s="9" t="s">
        <v>1259</v>
      </c>
      <c r="T25" s="170">
        <v>1.2310000000000001</v>
      </c>
      <c r="U25" s="9" t="s">
        <v>1615</v>
      </c>
      <c r="V25" s="199">
        <v>1.2500000000000001E-2</v>
      </c>
      <c r="W25" s="185">
        <v>3.8019999999999998E-2</v>
      </c>
      <c r="X25" s="5" t="s">
        <v>618</v>
      </c>
      <c r="Y25" s="5" t="s">
        <v>62</v>
      </c>
      <c r="Z25" s="170">
        <v>0.18</v>
      </c>
      <c r="AA25" s="184">
        <v>1</v>
      </c>
      <c r="AB25" s="186">
        <v>107.48</v>
      </c>
      <c r="AC25" s="9"/>
      <c r="AD25" s="170">
        <v>0</v>
      </c>
      <c r="AE25" s="9"/>
      <c r="AF25" s="9"/>
      <c r="AG25" s="9" t="s">
        <v>17</v>
      </c>
      <c r="AH25" s="185">
        <v>0</v>
      </c>
      <c r="AI25" s="185">
        <v>5.3173174659720801E-8</v>
      </c>
      <c r="AJ25" s="185">
        <v>2.1455063019334301E-8</v>
      </c>
    </row>
    <row r="26" spans="1:36">
      <c r="A26" s="9">
        <v>337</v>
      </c>
      <c r="B26" s="9">
        <v>1405</v>
      </c>
      <c r="C26" s="9" t="s">
        <v>2315</v>
      </c>
      <c r="D26" s="9" t="s">
        <v>2316</v>
      </c>
      <c r="E26" s="5" t="s">
        <v>1346</v>
      </c>
      <c r="F26" s="9" t="s">
        <v>2317</v>
      </c>
      <c r="G26" s="9" t="s">
        <v>2318</v>
      </c>
      <c r="H26" s="9" t="s">
        <v>76</v>
      </c>
      <c r="I26" s="9" t="s">
        <v>229</v>
      </c>
      <c r="J26" s="9" t="s">
        <v>53</v>
      </c>
      <c r="K26" s="9" t="s">
        <v>53</v>
      </c>
      <c r="L26" s="9" t="s">
        <v>803</v>
      </c>
      <c r="M26" s="9" t="s">
        <v>311</v>
      </c>
      <c r="N26" s="9" t="s">
        <v>634</v>
      </c>
      <c r="O26" s="9" t="s">
        <v>62</v>
      </c>
      <c r="P26" s="9" t="s">
        <v>1607</v>
      </c>
      <c r="Q26" s="9" t="s">
        <v>65</v>
      </c>
      <c r="R26" s="9" t="s">
        <v>57</v>
      </c>
      <c r="S26" s="9" t="s">
        <v>1259</v>
      </c>
      <c r="T26" s="170">
        <v>3.4340000000000002</v>
      </c>
      <c r="U26" s="9" t="s">
        <v>2273</v>
      </c>
      <c r="V26" s="199">
        <v>1.09E-2</v>
      </c>
      <c r="W26" s="185">
        <v>3.0700000000000002E-2</v>
      </c>
      <c r="X26" s="5" t="s">
        <v>618</v>
      </c>
      <c r="Y26" s="5" t="s">
        <v>62</v>
      </c>
      <c r="Z26" s="170">
        <v>10000</v>
      </c>
      <c r="AA26" s="184">
        <v>1</v>
      </c>
      <c r="AB26" s="186">
        <v>107.99</v>
      </c>
      <c r="AC26" s="9"/>
      <c r="AD26" s="170">
        <v>10.798999999999999</v>
      </c>
      <c r="AE26" s="9"/>
      <c r="AF26" s="9"/>
      <c r="AG26" s="9" t="s">
        <v>17</v>
      </c>
      <c r="AH26" s="185">
        <v>1.4E-5</v>
      </c>
      <c r="AI26" s="185">
        <v>2.9680825019141798E-3</v>
      </c>
      <c r="AJ26" s="185">
        <v>1.1976038205857001E-3</v>
      </c>
    </row>
    <row r="27" spans="1:36">
      <c r="A27" s="9">
        <v>337</v>
      </c>
      <c r="B27" s="9">
        <v>1405</v>
      </c>
      <c r="C27" s="9" t="s">
        <v>2315</v>
      </c>
      <c r="D27" s="9" t="s">
        <v>2316</v>
      </c>
      <c r="E27" s="5" t="s">
        <v>1346</v>
      </c>
      <c r="F27" s="9" t="s">
        <v>2319</v>
      </c>
      <c r="G27" s="9" t="s">
        <v>2320</v>
      </c>
      <c r="H27" s="9" t="s">
        <v>76</v>
      </c>
      <c r="I27" s="9" t="s">
        <v>229</v>
      </c>
      <c r="J27" s="9" t="s">
        <v>53</v>
      </c>
      <c r="K27" s="9" t="s">
        <v>53</v>
      </c>
      <c r="L27" s="9" t="s">
        <v>803</v>
      </c>
      <c r="M27" s="9" t="s">
        <v>1691</v>
      </c>
      <c r="N27" s="9" t="s">
        <v>634</v>
      </c>
      <c r="O27" s="9" t="s">
        <v>62</v>
      </c>
      <c r="P27" s="9" t="s">
        <v>1607</v>
      </c>
      <c r="Q27" s="9" t="s">
        <v>65</v>
      </c>
      <c r="R27" s="9" t="s">
        <v>57</v>
      </c>
      <c r="S27" s="9" t="s">
        <v>1259</v>
      </c>
      <c r="T27" s="170">
        <v>6.5960000000000001</v>
      </c>
      <c r="U27" s="9" t="s">
        <v>2321</v>
      </c>
      <c r="V27" s="199">
        <v>4.02E-2</v>
      </c>
      <c r="W27" s="185">
        <v>3.245E-2</v>
      </c>
      <c r="X27" s="5" t="s">
        <v>618</v>
      </c>
      <c r="Y27" s="5" t="s">
        <v>62</v>
      </c>
      <c r="Z27" s="170">
        <v>16000</v>
      </c>
      <c r="AA27" s="184">
        <v>1</v>
      </c>
      <c r="AB27" s="186">
        <v>108.93</v>
      </c>
      <c r="AC27" s="9"/>
      <c r="AD27" s="170">
        <v>17.428999999999998</v>
      </c>
      <c r="AE27" s="9"/>
      <c r="AF27" s="9"/>
      <c r="AG27" s="9" t="s">
        <v>17</v>
      </c>
      <c r="AH27" s="185">
        <v>2.0000000000000002E-5</v>
      </c>
      <c r="AI27" s="185">
        <v>4.79026912763792E-3</v>
      </c>
      <c r="AJ27" s="185">
        <v>1.9328453994095799E-3</v>
      </c>
    </row>
    <row r="28" spans="1:36">
      <c r="A28" s="9">
        <v>337</v>
      </c>
      <c r="B28" s="9">
        <v>1405</v>
      </c>
      <c r="C28" s="9" t="s">
        <v>2322</v>
      </c>
      <c r="D28" s="9" t="s">
        <v>2323</v>
      </c>
      <c r="E28" s="5" t="s">
        <v>1346</v>
      </c>
      <c r="F28" s="9" t="s">
        <v>2324</v>
      </c>
      <c r="G28" s="9" t="s">
        <v>2325</v>
      </c>
      <c r="H28" s="9" t="s">
        <v>76</v>
      </c>
      <c r="I28" s="9" t="s">
        <v>228</v>
      </c>
      <c r="J28" s="9" t="s">
        <v>53</v>
      </c>
      <c r="K28" s="9" t="s">
        <v>53</v>
      </c>
      <c r="L28" s="9" t="s">
        <v>803</v>
      </c>
      <c r="M28" s="9" t="s">
        <v>311</v>
      </c>
      <c r="N28" s="9" t="s">
        <v>140</v>
      </c>
      <c r="O28" s="9" t="s">
        <v>62</v>
      </c>
      <c r="P28" s="167" t="s">
        <v>298</v>
      </c>
      <c r="Q28" s="9" t="s">
        <v>298</v>
      </c>
      <c r="R28" s="9" t="s">
        <v>298</v>
      </c>
      <c r="S28" s="9" t="s">
        <v>1259</v>
      </c>
      <c r="T28" s="170">
        <v>1.4359999999999999</v>
      </c>
      <c r="U28" s="9" t="s">
        <v>1615</v>
      </c>
      <c r="V28" s="199">
        <v>8.5000000000000006E-2</v>
      </c>
      <c r="W28" s="185">
        <v>5.4870000000000002E-2</v>
      </c>
      <c r="X28" s="5" t="s">
        <v>618</v>
      </c>
      <c r="Y28" s="5" t="s">
        <v>62</v>
      </c>
      <c r="Z28" s="170">
        <v>10000</v>
      </c>
      <c r="AA28" s="184">
        <v>1</v>
      </c>
      <c r="AB28" s="186">
        <v>104.4</v>
      </c>
      <c r="AC28" s="9"/>
      <c r="AD28" s="170">
        <v>10.44</v>
      </c>
      <c r="AE28" s="9"/>
      <c r="AF28" s="9"/>
      <c r="AG28" s="9" t="s">
        <v>17</v>
      </c>
      <c r="AH28" s="185">
        <v>7.7000000000000001E-5</v>
      </c>
      <c r="AI28" s="185">
        <v>2.86941210482304E-3</v>
      </c>
      <c r="AJ28" s="185">
        <v>1.1577908960935901E-3</v>
      </c>
    </row>
    <row r="29" spans="1:36">
      <c r="A29" s="9">
        <v>337</v>
      </c>
      <c r="B29" s="9">
        <v>1405</v>
      </c>
      <c r="C29" s="9" t="s">
        <v>2326</v>
      </c>
      <c r="D29" s="9" t="s">
        <v>2327</v>
      </c>
      <c r="E29" s="5" t="s">
        <v>1346</v>
      </c>
      <c r="F29" s="9" t="s">
        <v>2328</v>
      </c>
      <c r="G29" s="9" t="s">
        <v>2329</v>
      </c>
      <c r="H29" s="9" t="s">
        <v>76</v>
      </c>
      <c r="I29" s="9" t="s">
        <v>229</v>
      </c>
      <c r="J29" s="9" t="s">
        <v>53</v>
      </c>
      <c r="K29" s="9" t="s">
        <v>53</v>
      </c>
      <c r="L29" s="9" t="s">
        <v>803</v>
      </c>
      <c r="M29" s="9" t="s">
        <v>311</v>
      </c>
      <c r="N29" s="9" t="s">
        <v>690</v>
      </c>
      <c r="O29" s="9" t="s">
        <v>62</v>
      </c>
      <c r="P29" s="9" t="s">
        <v>2330</v>
      </c>
      <c r="Q29" s="9" t="s">
        <v>65</v>
      </c>
      <c r="R29" s="9" t="s">
        <v>57</v>
      </c>
      <c r="S29" s="9" t="s">
        <v>1259</v>
      </c>
      <c r="T29" s="170">
        <v>2.2010000000000001</v>
      </c>
      <c r="U29" s="9" t="s">
        <v>2331</v>
      </c>
      <c r="V29" s="199">
        <v>2.8799999999999999E-2</v>
      </c>
      <c r="W29" s="185">
        <v>3.0429999999999999E-2</v>
      </c>
      <c r="X29" s="5" t="s">
        <v>618</v>
      </c>
      <c r="Y29" s="5" t="s">
        <v>62</v>
      </c>
      <c r="Z29" s="170">
        <v>14777.78</v>
      </c>
      <c r="AA29" s="184">
        <v>1</v>
      </c>
      <c r="AB29" s="186">
        <v>117.53</v>
      </c>
      <c r="AC29" s="9"/>
      <c r="AD29" s="170">
        <v>17.367999999999999</v>
      </c>
      <c r="AE29" s="9"/>
      <c r="AF29" s="9"/>
      <c r="AG29" s="9" t="s">
        <v>17</v>
      </c>
      <c r="AH29" s="185">
        <v>6.4999999999999994E-5</v>
      </c>
      <c r="AI29" s="185">
        <v>4.77364765509371E-3</v>
      </c>
      <c r="AJ29" s="185">
        <v>1.9261387330652699E-3</v>
      </c>
    </row>
    <row r="30" spans="1:36">
      <c r="A30" s="9">
        <v>337</v>
      </c>
      <c r="B30" s="9">
        <v>1405</v>
      </c>
      <c r="C30" s="9" t="s">
        <v>2332</v>
      </c>
      <c r="D30" s="9" t="s">
        <v>2333</v>
      </c>
      <c r="E30" s="5" t="s">
        <v>1346</v>
      </c>
      <c r="F30" s="9" t="s">
        <v>2334</v>
      </c>
      <c r="G30" s="9" t="s">
        <v>2335</v>
      </c>
      <c r="H30" s="9" t="s">
        <v>76</v>
      </c>
      <c r="I30" s="9" t="s">
        <v>228</v>
      </c>
      <c r="J30" s="9" t="s">
        <v>53</v>
      </c>
      <c r="K30" s="9" t="s">
        <v>53</v>
      </c>
      <c r="L30" s="9" t="s">
        <v>803</v>
      </c>
      <c r="M30" s="9" t="s">
        <v>311</v>
      </c>
      <c r="N30" s="9" t="s">
        <v>690</v>
      </c>
      <c r="O30" s="9" t="s">
        <v>62</v>
      </c>
      <c r="P30" s="9" t="s">
        <v>2246</v>
      </c>
      <c r="Q30" s="9" t="s">
        <v>65</v>
      </c>
      <c r="R30" s="9" t="s">
        <v>57</v>
      </c>
      <c r="S30" s="9" t="s">
        <v>1259</v>
      </c>
      <c r="T30" s="170">
        <v>5.8239999999999998</v>
      </c>
      <c r="U30" s="9" t="s">
        <v>2336</v>
      </c>
      <c r="V30" s="199">
        <v>5.3100000000000001E-2</v>
      </c>
      <c r="W30" s="185">
        <v>4.8070000000000002E-2</v>
      </c>
      <c r="X30" s="5" t="s">
        <v>618</v>
      </c>
      <c r="Y30" s="5" t="s">
        <v>62</v>
      </c>
      <c r="Z30" s="170">
        <v>5000</v>
      </c>
      <c r="AA30" s="184">
        <v>1</v>
      </c>
      <c r="AB30" s="186">
        <v>105.58</v>
      </c>
      <c r="AC30" s="9"/>
      <c r="AD30" s="170">
        <v>5.2789999999999999</v>
      </c>
      <c r="AE30" s="9"/>
      <c r="AF30" s="9"/>
      <c r="AG30" s="9" t="s">
        <v>17</v>
      </c>
      <c r="AH30" s="185">
        <v>1.5999999999999999E-5</v>
      </c>
      <c r="AI30" s="185">
        <v>1.45092207867441E-3</v>
      </c>
      <c r="AJ30" s="185">
        <v>5.8543851920287999E-4</v>
      </c>
    </row>
    <row r="31" spans="1:36">
      <c r="A31" s="9">
        <v>337</v>
      </c>
      <c r="B31" s="9">
        <v>1405</v>
      </c>
      <c r="C31" s="9" t="s">
        <v>2337</v>
      </c>
      <c r="D31" s="9" t="s">
        <v>2338</v>
      </c>
      <c r="E31" s="5" t="s">
        <v>765</v>
      </c>
      <c r="F31" s="9" t="s">
        <v>2339</v>
      </c>
      <c r="G31" s="9" t="s">
        <v>2340</v>
      </c>
      <c r="H31" s="9" t="s">
        <v>76</v>
      </c>
      <c r="I31" s="9" t="s">
        <v>228</v>
      </c>
      <c r="J31" s="9" t="s">
        <v>53</v>
      </c>
      <c r="K31" s="9" t="s">
        <v>53</v>
      </c>
      <c r="L31" s="9" t="s">
        <v>803</v>
      </c>
      <c r="M31" s="9" t="s">
        <v>311</v>
      </c>
      <c r="N31" s="9" t="s">
        <v>634</v>
      </c>
      <c r="O31" s="9" t="s">
        <v>62</v>
      </c>
      <c r="P31" s="9" t="s">
        <v>2314</v>
      </c>
      <c r="Q31" s="9" t="s">
        <v>70</v>
      </c>
      <c r="R31" s="9" t="s">
        <v>57</v>
      </c>
      <c r="S31" s="9" t="s">
        <v>1259</v>
      </c>
      <c r="T31" s="170">
        <v>0.72799999999999998</v>
      </c>
      <c r="U31" s="9" t="s">
        <v>2341</v>
      </c>
      <c r="V31" s="199">
        <v>7.0000000000000007E-2</v>
      </c>
      <c r="W31" s="185">
        <v>5.9749999999999998E-2</v>
      </c>
      <c r="X31" s="5" t="s">
        <v>618</v>
      </c>
      <c r="Y31" s="5" t="s">
        <v>62</v>
      </c>
      <c r="Z31" s="170">
        <v>0.39</v>
      </c>
      <c r="AA31" s="184">
        <v>1</v>
      </c>
      <c r="AB31" s="186">
        <v>102.57</v>
      </c>
      <c r="AC31" s="9"/>
      <c r="AD31" s="170">
        <v>0</v>
      </c>
      <c r="AE31" s="9"/>
      <c r="AF31" s="9"/>
      <c r="AG31" s="9" t="s">
        <v>17</v>
      </c>
      <c r="AH31" s="185">
        <v>0</v>
      </c>
      <c r="AI31" s="185">
        <v>1.0994548260609501E-7</v>
      </c>
      <c r="AJ31" s="185">
        <v>4.4362355136786002E-8</v>
      </c>
    </row>
    <row r="32" spans="1:36">
      <c r="A32" s="9">
        <v>337</v>
      </c>
      <c r="B32" s="9">
        <v>1405</v>
      </c>
      <c r="C32" s="9" t="s">
        <v>2342</v>
      </c>
      <c r="D32" s="9" t="s">
        <v>2343</v>
      </c>
      <c r="E32" s="5" t="s">
        <v>1346</v>
      </c>
      <c r="F32" s="9" t="s">
        <v>2344</v>
      </c>
      <c r="G32" s="9" t="s">
        <v>2345</v>
      </c>
      <c r="H32" s="9" t="s">
        <v>76</v>
      </c>
      <c r="I32" s="9" t="s">
        <v>229</v>
      </c>
      <c r="J32" s="9" t="s">
        <v>53</v>
      </c>
      <c r="K32" s="9" t="s">
        <v>53</v>
      </c>
      <c r="L32" s="9" t="s">
        <v>803</v>
      </c>
      <c r="M32" s="9" t="s">
        <v>311</v>
      </c>
      <c r="N32" s="9" t="s">
        <v>633</v>
      </c>
      <c r="O32" s="9" t="s">
        <v>62</v>
      </c>
      <c r="P32" s="167" t="s">
        <v>298</v>
      </c>
      <c r="Q32" s="9" t="s">
        <v>298</v>
      </c>
      <c r="R32" s="9" t="s">
        <v>298</v>
      </c>
      <c r="S32" s="9" t="s">
        <v>1259</v>
      </c>
      <c r="T32" s="170">
        <v>1.6719999999999999</v>
      </c>
      <c r="U32" s="9" t="s">
        <v>2346</v>
      </c>
      <c r="V32" s="199">
        <v>1.9E-2</v>
      </c>
      <c r="W32" s="185">
        <v>3.4250000000000003E-2</v>
      </c>
      <c r="X32" s="5" t="s">
        <v>618</v>
      </c>
      <c r="Y32" s="5" t="s">
        <v>62</v>
      </c>
      <c r="Z32" s="170">
        <v>11280</v>
      </c>
      <c r="AA32" s="184">
        <v>1</v>
      </c>
      <c r="AB32" s="186">
        <v>110.1</v>
      </c>
      <c r="AC32" s="9"/>
      <c r="AD32" s="170">
        <v>12.419</v>
      </c>
      <c r="AE32" s="9"/>
      <c r="AF32" s="9"/>
      <c r="AG32" s="9" t="s">
        <v>17</v>
      </c>
      <c r="AH32" s="185">
        <v>2.0000000000000002E-5</v>
      </c>
      <c r="AI32" s="185">
        <v>3.4134130617995001E-3</v>
      </c>
      <c r="AJ32" s="185">
        <v>1.37729208046333E-3</v>
      </c>
    </row>
    <row r="33" spans="1:36">
      <c r="A33" s="9">
        <v>337</v>
      </c>
      <c r="B33" s="9">
        <v>1405</v>
      </c>
      <c r="C33" s="9" t="s">
        <v>2248</v>
      </c>
      <c r="D33" s="9" t="s">
        <v>2249</v>
      </c>
      <c r="E33" s="5" t="s">
        <v>1346</v>
      </c>
      <c r="F33" s="9" t="s">
        <v>2347</v>
      </c>
      <c r="G33" s="9" t="s">
        <v>2348</v>
      </c>
      <c r="H33" s="9" t="s">
        <v>76</v>
      </c>
      <c r="I33" s="9" t="s">
        <v>229</v>
      </c>
      <c r="J33" s="9" t="s">
        <v>53</v>
      </c>
      <c r="K33" s="9" t="s">
        <v>53</v>
      </c>
      <c r="L33" s="9" t="s">
        <v>803</v>
      </c>
      <c r="M33" s="9" t="s">
        <v>311</v>
      </c>
      <c r="N33" s="9" t="s">
        <v>633</v>
      </c>
      <c r="O33" s="9" t="s">
        <v>62</v>
      </c>
      <c r="P33" s="9" t="s">
        <v>2246</v>
      </c>
      <c r="Q33" s="9" t="s">
        <v>65</v>
      </c>
      <c r="R33" s="9" t="s">
        <v>57</v>
      </c>
      <c r="S33" s="9" t="s">
        <v>1259</v>
      </c>
      <c r="T33" s="170">
        <v>4.6710000000000003</v>
      </c>
      <c r="U33" s="9" t="s">
        <v>2349</v>
      </c>
      <c r="V33" s="199">
        <v>6.4999999999999997E-3</v>
      </c>
      <c r="W33" s="185">
        <v>2.8320000000000001E-2</v>
      </c>
      <c r="X33" s="5" t="s">
        <v>618</v>
      </c>
      <c r="Y33" s="5" t="s">
        <v>62</v>
      </c>
      <c r="Z33" s="170">
        <v>10204.82</v>
      </c>
      <c r="AA33" s="184">
        <v>1</v>
      </c>
      <c r="AB33" s="186">
        <v>105.26</v>
      </c>
      <c r="AC33" s="9"/>
      <c r="AD33" s="170">
        <v>10.742000000000001</v>
      </c>
      <c r="AE33" s="9"/>
      <c r="AF33" s="9"/>
      <c r="AG33" s="9" t="s">
        <v>17</v>
      </c>
      <c r="AH33" s="185">
        <v>5.0000000000000004E-6</v>
      </c>
      <c r="AI33" s="185">
        <v>2.9523044545794802E-3</v>
      </c>
      <c r="AJ33" s="185">
        <v>1.1912374713493701E-3</v>
      </c>
    </row>
    <row r="34" spans="1:36">
      <c r="A34" s="9">
        <v>337</v>
      </c>
      <c r="B34" s="9">
        <v>1405</v>
      </c>
      <c r="C34" s="9" t="s">
        <v>2248</v>
      </c>
      <c r="D34" s="9" t="s">
        <v>2249</v>
      </c>
      <c r="E34" s="5" t="s">
        <v>1346</v>
      </c>
      <c r="F34" s="9" t="s">
        <v>2350</v>
      </c>
      <c r="G34" s="9" t="s">
        <v>2351</v>
      </c>
      <c r="H34" s="9" t="s">
        <v>76</v>
      </c>
      <c r="I34" s="9" t="s">
        <v>229</v>
      </c>
      <c r="J34" s="9" t="s">
        <v>53</v>
      </c>
      <c r="K34" s="9" t="s">
        <v>53</v>
      </c>
      <c r="L34" s="9" t="s">
        <v>803</v>
      </c>
      <c r="M34" s="9" t="s">
        <v>1691</v>
      </c>
      <c r="N34" s="9" t="s">
        <v>633</v>
      </c>
      <c r="O34" s="9" t="s">
        <v>62</v>
      </c>
      <c r="P34" s="9" t="s">
        <v>2246</v>
      </c>
      <c r="Q34" s="9" t="s">
        <v>65</v>
      </c>
      <c r="R34" s="9" t="s">
        <v>57</v>
      </c>
      <c r="S34" s="9" t="s">
        <v>1259</v>
      </c>
      <c r="T34" s="170">
        <v>7.21</v>
      </c>
      <c r="U34" s="9" t="s">
        <v>2352</v>
      </c>
      <c r="V34" s="199">
        <v>3.5999999999999997E-2</v>
      </c>
      <c r="W34" s="185">
        <v>3.048E-2</v>
      </c>
      <c r="X34" s="5" t="s">
        <v>618</v>
      </c>
      <c r="Y34" s="5" t="s">
        <v>62</v>
      </c>
      <c r="Z34" s="170">
        <v>21000</v>
      </c>
      <c r="AA34" s="184">
        <v>1</v>
      </c>
      <c r="AB34" s="186">
        <v>106.32</v>
      </c>
      <c r="AC34" s="9"/>
      <c r="AD34" s="170">
        <v>22.327000000000002</v>
      </c>
      <c r="AE34" s="9"/>
      <c r="AF34" s="9"/>
      <c r="AG34" s="9" t="s">
        <v>17</v>
      </c>
      <c r="AH34" s="185">
        <v>2.9E-5</v>
      </c>
      <c r="AI34" s="185">
        <v>6.1365840945215603E-3</v>
      </c>
      <c r="AJ34" s="185">
        <v>2.4760755646801502E-3</v>
      </c>
    </row>
    <row r="35" spans="1:36">
      <c r="A35" s="9">
        <v>337</v>
      </c>
      <c r="B35" s="9">
        <v>1405</v>
      </c>
      <c r="C35" s="9" t="s">
        <v>2353</v>
      </c>
      <c r="D35" s="9" t="s">
        <v>2354</v>
      </c>
      <c r="E35" s="5" t="s">
        <v>1346</v>
      </c>
      <c r="F35" s="9" t="s">
        <v>2355</v>
      </c>
      <c r="G35" s="9" t="s">
        <v>2356</v>
      </c>
      <c r="H35" s="9" t="s">
        <v>76</v>
      </c>
      <c r="I35" s="9" t="s">
        <v>229</v>
      </c>
      <c r="J35" s="9" t="s">
        <v>53</v>
      </c>
      <c r="K35" s="9" t="s">
        <v>53</v>
      </c>
      <c r="L35" s="9" t="s">
        <v>803</v>
      </c>
      <c r="M35" s="9" t="s">
        <v>311</v>
      </c>
      <c r="N35" s="9" t="s">
        <v>633</v>
      </c>
      <c r="O35" s="9" t="s">
        <v>62</v>
      </c>
      <c r="P35" s="9" t="s">
        <v>1614</v>
      </c>
      <c r="Q35" s="9" t="s">
        <v>65</v>
      </c>
      <c r="R35" s="9" t="s">
        <v>57</v>
      </c>
      <c r="S35" s="9" t="s">
        <v>1259</v>
      </c>
      <c r="T35" s="170">
        <v>5.5640000000000001</v>
      </c>
      <c r="U35" s="9" t="s">
        <v>2357</v>
      </c>
      <c r="V35" s="199">
        <v>3.6799999999999999E-2</v>
      </c>
      <c r="W35" s="185">
        <v>3.3189999999999997E-2</v>
      </c>
      <c r="X35" s="5" t="s">
        <v>618</v>
      </c>
      <c r="Y35" s="5" t="s">
        <v>62</v>
      </c>
      <c r="Z35" s="170">
        <v>21000</v>
      </c>
      <c r="AA35" s="184">
        <v>1</v>
      </c>
      <c r="AB35" s="186">
        <v>107.29</v>
      </c>
      <c r="AC35" s="9"/>
      <c r="AD35" s="170">
        <v>22.530999999999999</v>
      </c>
      <c r="AE35" s="9"/>
      <c r="AF35" s="9"/>
      <c r="AG35" s="9" t="s">
        <v>17</v>
      </c>
      <c r="AH35" s="185">
        <v>4.6999999999999997E-5</v>
      </c>
      <c r="AI35" s="185">
        <v>6.1925706123139397E-3</v>
      </c>
      <c r="AJ35" s="185">
        <v>2.4986657950953101E-3</v>
      </c>
    </row>
    <row r="36" spans="1:36">
      <c r="A36" s="9">
        <v>337</v>
      </c>
      <c r="B36" s="9">
        <v>1405</v>
      </c>
      <c r="C36" s="9" t="s">
        <v>2353</v>
      </c>
      <c r="D36" s="9" t="s">
        <v>2354</v>
      </c>
      <c r="E36" s="5" t="s">
        <v>1346</v>
      </c>
      <c r="F36" s="9" t="s">
        <v>2358</v>
      </c>
      <c r="G36" s="9" t="s">
        <v>2359</v>
      </c>
      <c r="H36" s="9" t="s">
        <v>76</v>
      </c>
      <c r="I36" s="9" t="s">
        <v>228</v>
      </c>
      <c r="J36" s="9" t="s">
        <v>53</v>
      </c>
      <c r="K36" s="9" t="s">
        <v>53</v>
      </c>
      <c r="L36" s="9" t="s">
        <v>803</v>
      </c>
      <c r="M36" s="9" t="s">
        <v>311</v>
      </c>
      <c r="N36" s="9" t="s">
        <v>140</v>
      </c>
      <c r="O36" s="9" t="s">
        <v>62</v>
      </c>
      <c r="P36" s="9" t="s">
        <v>1614</v>
      </c>
      <c r="Q36" s="9" t="s">
        <v>65</v>
      </c>
      <c r="R36" s="9" t="s">
        <v>57</v>
      </c>
      <c r="S36" s="9" t="s">
        <v>1259</v>
      </c>
      <c r="T36" s="170">
        <v>2.0859999999999999</v>
      </c>
      <c r="U36" s="9" t="s">
        <v>2360</v>
      </c>
      <c r="V36" s="199">
        <v>5.2999999999999999E-2</v>
      </c>
      <c r="W36" s="185">
        <v>5.006E-2</v>
      </c>
      <c r="X36" s="5" t="s">
        <v>618</v>
      </c>
      <c r="Y36" s="5" t="s">
        <v>62</v>
      </c>
      <c r="Z36" s="170">
        <v>44891</v>
      </c>
      <c r="AA36" s="184">
        <v>1</v>
      </c>
      <c r="AB36" s="186">
        <v>102.04</v>
      </c>
      <c r="AC36" s="9"/>
      <c r="AD36" s="170">
        <v>45.807000000000002</v>
      </c>
      <c r="AE36" s="9"/>
      <c r="AF36" s="9"/>
      <c r="AG36" s="9" t="s">
        <v>17</v>
      </c>
      <c r="AH36" s="185">
        <v>1.1900000000000001E-4</v>
      </c>
      <c r="AI36" s="185">
        <v>1.25898964257742E-2</v>
      </c>
      <c r="AJ36" s="185">
        <v>5.0799491087466196E-3</v>
      </c>
    </row>
    <row r="37" spans="1:36">
      <c r="A37" s="9">
        <v>337</v>
      </c>
      <c r="B37" s="9">
        <v>1405</v>
      </c>
      <c r="C37" s="9" t="s">
        <v>1885</v>
      </c>
      <c r="D37" s="9" t="s">
        <v>1886</v>
      </c>
      <c r="E37" s="5" t="s">
        <v>1346</v>
      </c>
      <c r="F37" s="9" t="s">
        <v>2361</v>
      </c>
      <c r="G37" s="9" t="s">
        <v>2362</v>
      </c>
      <c r="H37" s="9" t="s">
        <v>76</v>
      </c>
      <c r="I37" s="9" t="s">
        <v>228</v>
      </c>
      <c r="J37" s="9" t="s">
        <v>53</v>
      </c>
      <c r="K37" s="9" t="s">
        <v>53</v>
      </c>
      <c r="L37" s="9" t="s">
        <v>803</v>
      </c>
      <c r="M37" s="9" t="s">
        <v>311</v>
      </c>
      <c r="N37" s="9" t="s">
        <v>260</v>
      </c>
      <c r="O37" s="9" t="s">
        <v>62</v>
      </c>
      <c r="P37" s="9" t="s">
        <v>2246</v>
      </c>
      <c r="Q37" s="9" t="s">
        <v>65</v>
      </c>
      <c r="R37" s="9" t="s">
        <v>57</v>
      </c>
      <c r="S37" s="9" t="s">
        <v>1259</v>
      </c>
      <c r="T37" s="170">
        <v>7.4169999999999998</v>
      </c>
      <c r="U37" s="9" t="s">
        <v>2363</v>
      </c>
      <c r="V37" s="199">
        <v>2.7900000000000001E-2</v>
      </c>
      <c r="W37" s="185">
        <v>4.7230000000000001E-2</v>
      </c>
      <c r="X37" s="5" t="s">
        <v>618</v>
      </c>
      <c r="Y37" s="5" t="s">
        <v>62</v>
      </c>
      <c r="Z37" s="170">
        <v>56566</v>
      </c>
      <c r="AA37" s="184">
        <v>1</v>
      </c>
      <c r="AB37" s="186">
        <v>87.32</v>
      </c>
      <c r="AC37" s="9"/>
      <c r="AD37" s="170">
        <v>49.393000000000001</v>
      </c>
      <c r="AE37" s="9"/>
      <c r="AF37" s="9"/>
      <c r="AG37" s="9" t="s">
        <v>17</v>
      </c>
      <c r="AH37" s="185">
        <v>4.0000000000000003E-5</v>
      </c>
      <c r="AI37" s="185">
        <v>1.3575680975481201E-2</v>
      </c>
      <c r="AJ37" s="185">
        <v>5.4777073726231E-3</v>
      </c>
    </row>
    <row r="38" spans="1:36">
      <c r="A38" s="9">
        <v>337</v>
      </c>
      <c r="B38" s="9">
        <v>1405</v>
      </c>
      <c r="C38" s="9" t="s">
        <v>1687</v>
      </c>
      <c r="D38" s="9" t="s">
        <v>1688</v>
      </c>
      <c r="E38" s="5" t="s">
        <v>1346</v>
      </c>
      <c r="F38" s="9" t="s">
        <v>2364</v>
      </c>
      <c r="G38" s="9" t="s">
        <v>2365</v>
      </c>
      <c r="H38" s="9" t="s">
        <v>76</v>
      </c>
      <c r="I38" s="9" t="s">
        <v>229</v>
      </c>
      <c r="J38" s="9" t="s">
        <v>53</v>
      </c>
      <c r="K38" s="9" t="s">
        <v>53</v>
      </c>
      <c r="L38" s="9" t="s">
        <v>803</v>
      </c>
      <c r="M38" s="9" t="s">
        <v>311</v>
      </c>
      <c r="N38" s="9" t="s">
        <v>633</v>
      </c>
      <c r="O38" s="9" t="s">
        <v>62</v>
      </c>
      <c r="P38" s="9" t="s">
        <v>2239</v>
      </c>
      <c r="Q38" s="9" t="s">
        <v>65</v>
      </c>
      <c r="R38" s="9" t="s">
        <v>57</v>
      </c>
      <c r="S38" s="9" t="s">
        <v>1259</v>
      </c>
      <c r="T38" s="170">
        <v>4.93</v>
      </c>
      <c r="U38" s="9" t="s">
        <v>2366</v>
      </c>
      <c r="V38" s="199">
        <v>1.8700000000000001E-2</v>
      </c>
      <c r="W38" s="185">
        <v>2.9700000000000001E-2</v>
      </c>
      <c r="X38" s="5" t="s">
        <v>618</v>
      </c>
      <c r="Y38" s="5" t="s">
        <v>62</v>
      </c>
      <c r="Z38" s="170">
        <v>19090.91</v>
      </c>
      <c r="AA38" s="184">
        <v>1</v>
      </c>
      <c r="AB38" s="186">
        <v>106.87</v>
      </c>
      <c r="AC38" s="9"/>
      <c r="AD38" s="170">
        <v>20.402000000000001</v>
      </c>
      <c r="AE38" s="9"/>
      <c r="AF38" s="9"/>
      <c r="AG38" s="9" t="s">
        <v>17</v>
      </c>
      <c r="AH38" s="185">
        <v>2.0000000000000002E-5</v>
      </c>
      <c r="AI38" s="185">
        <v>5.6075721100185402E-3</v>
      </c>
      <c r="AJ38" s="185">
        <v>2.26262234248439E-3</v>
      </c>
    </row>
    <row r="39" spans="1:36">
      <c r="A39" s="9">
        <v>337</v>
      </c>
      <c r="B39" s="9">
        <v>1405</v>
      </c>
      <c r="C39" s="9" t="s">
        <v>2367</v>
      </c>
      <c r="D39" s="9" t="s">
        <v>2368</v>
      </c>
      <c r="E39" s="5" t="s">
        <v>1346</v>
      </c>
      <c r="F39" s="9" t="s">
        <v>2369</v>
      </c>
      <c r="G39" s="9" t="s">
        <v>2370</v>
      </c>
      <c r="H39" s="9" t="s">
        <v>76</v>
      </c>
      <c r="I39" s="9" t="s">
        <v>229</v>
      </c>
      <c r="J39" s="9" t="s">
        <v>53</v>
      </c>
      <c r="K39" s="9" t="s">
        <v>53</v>
      </c>
      <c r="L39" s="9" t="s">
        <v>803</v>
      </c>
      <c r="M39" s="9" t="s">
        <v>311</v>
      </c>
      <c r="N39" s="9" t="s">
        <v>256</v>
      </c>
      <c r="O39" s="9" t="s">
        <v>62</v>
      </c>
      <c r="P39" s="9" t="s">
        <v>2239</v>
      </c>
      <c r="Q39" s="9" t="s">
        <v>65</v>
      </c>
      <c r="R39" s="9" t="s">
        <v>57</v>
      </c>
      <c r="S39" s="9" t="s">
        <v>1259</v>
      </c>
      <c r="T39" s="170">
        <v>2.7149999999999999</v>
      </c>
      <c r="U39" s="9" t="s">
        <v>2371</v>
      </c>
      <c r="V39" s="199">
        <v>1.09E-2</v>
      </c>
      <c r="W39" s="185">
        <v>2.8570000000000002E-2</v>
      </c>
      <c r="X39" s="5" t="s">
        <v>618</v>
      </c>
      <c r="Y39" s="5" t="s">
        <v>62</v>
      </c>
      <c r="Z39" s="170">
        <v>50000</v>
      </c>
      <c r="AA39" s="184">
        <v>1</v>
      </c>
      <c r="AB39" s="186">
        <v>108.07</v>
      </c>
      <c r="AC39" s="9"/>
      <c r="AD39" s="170">
        <v>54.034999999999997</v>
      </c>
      <c r="AE39" s="9"/>
      <c r="AF39" s="9"/>
      <c r="AG39" s="9" t="s">
        <v>17</v>
      </c>
      <c r="AH39" s="185">
        <v>5.5000000000000002E-5</v>
      </c>
      <c r="AI39" s="185">
        <v>1.48514064256813E-2</v>
      </c>
      <c r="AJ39" s="185">
        <v>5.9924550833732899E-3</v>
      </c>
    </row>
    <row r="40" spans="1:36">
      <c r="A40" s="9">
        <v>337</v>
      </c>
      <c r="B40" s="9">
        <v>1405</v>
      </c>
      <c r="C40" s="9" t="s">
        <v>2367</v>
      </c>
      <c r="D40" s="9" t="s">
        <v>2368</v>
      </c>
      <c r="E40" s="5" t="s">
        <v>1346</v>
      </c>
      <c r="F40" s="9" t="s">
        <v>2372</v>
      </c>
      <c r="G40" s="9" t="s">
        <v>2373</v>
      </c>
      <c r="H40" s="9" t="s">
        <v>76</v>
      </c>
      <c r="I40" s="9" t="s">
        <v>229</v>
      </c>
      <c r="J40" s="9" t="s">
        <v>53</v>
      </c>
      <c r="K40" s="9" t="s">
        <v>53</v>
      </c>
      <c r="L40" s="9" t="s">
        <v>803</v>
      </c>
      <c r="M40" s="9" t="s">
        <v>311</v>
      </c>
      <c r="N40" s="9" t="s">
        <v>256</v>
      </c>
      <c r="O40" s="9" t="s">
        <v>62</v>
      </c>
      <c r="P40" s="9" t="s">
        <v>2239</v>
      </c>
      <c r="Q40" s="9" t="s">
        <v>65</v>
      </c>
      <c r="R40" s="9" t="s">
        <v>57</v>
      </c>
      <c r="S40" s="9" t="s">
        <v>1259</v>
      </c>
      <c r="T40" s="170">
        <v>3.528</v>
      </c>
      <c r="U40" s="9" t="s">
        <v>2374</v>
      </c>
      <c r="V40" s="199">
        <v>2.9899999999999999E-2</v>
      </c>
      <c r="W40" s="185">
        <v>2.819E-2</v>
      </c>
      <c r="X40" s="5" t="s">
        <v>618</v>
      </c>
      <c r="Y40" s="5" t="s">
        <v>62</v>
      </c>
      <c r="Z40" s="170">
        <v>50000</v>
      </c>
      <c r="AA40" s="184">
        <v>1</v>
      </c>
      <c r="AB40" s="186">
        <v>110.79</v>
      </c>
      <c r="AC40" s="9"/>
      <c r="AD40" s="170">
        <v>55.395000000000003</v>
      </c>
      <c r="AE40" s="9"/>
      <c r="AF40" s="9"/>
      <c r="AG40" s="9" t="s">
        <v>17</v>
      </c>
      <c r="AH40" s="185">
        <v>6.3E-5</v>
      </c>
      <c r="AI40" s="185">
        <v>1.5225199573436101E-2</v>
      </c>
      <c r="AJ40" s="185">
        <v>6.1432784184965996E-3</v>
      </c>
    </row>
    <row r="41" spans="1:36">
      <c r="A41" s="9">
        <v>337</v>
      </c>
      <c r="B41" s="9">
        <v>1405</v>
      </c>
      <c r="C41" s="9" t="s">
        <v>2071</v>
      </c>
      <c r="D41" s="9" t="s">
        <v>2072</v>
      </c>
      <c r="E41" s="5" t="s">
        <v>1346</v>
      </c>
      <c r="F41" s="9" t="s">
        <v>2375</v>
      </c>
      <c r="G41" s="9" t="s">
        <v>2376</v>
      </c>
      <c r="H41" s="9" t="s">
        <v>76</v>
      </c>
      <c r="I41" s="9" t="s">
        <v>228</v>
      </c>
      <c r="J41" s="9" t="s">
        <v>53</v>
      </c>
      <c r="K41" s="9" t="s">
        <v>53</v>
      </c>
      <c r="L41" s="9" t="s">
        <v>803</v>
      </c>
      <c r="M41" s="9" t="s">
        <v>311</v>
      </c>
      <c r="N41" s="9" t="s">
        <v>156</v>
      </c>
      <c r="O41" s="9" t="s">
        <v>62</v>
      </c>
      <c r="P41" s="9" t="s">
        <v>2314</v>
      </c>
      <c r="Q41" s="9" t="s">
        <v>70</v>
      </c>
      <c r="R41" s="9" t="s">
        <v>57</v>
      </c>
      <c r="S41" s="9" t="s">
        <v>1259</v>
      </c>
      <c r="T41" s="170">
        <v>2.7770000000000001</v>
      </c>
      <c r="U41" s="9" t="s">
        <v>2377</v>
      </c>
      <c r="V41" s="199">
        <v>7.2499999999999995E-2</v>
      </c>
      <c r="W41" s="185">
        <v>5.3060000000000003E-2</v>
      </c>
      <c r="X41" s="5" t="s">
        <v>618</v>
      </c>
      <c r="Y41" s="5" t="s">
        <v>62</v>
      </c>
      <c r="Z41" s="170">
        <v>48000</v>
      </c>
      <c r="AA41" s="184">
        <v>1</v>
      </c>
      <c r="AB41" s="186">
        <v>106.83</v>
      </c>
      <c r="AC41" s="9"/>
      <c r="AD41" s="170">
        <v>51.277999999999999</v>
      </c>
      <c r="AE41" s="9"/>
      <c r="AF41" s="9"/>
      <c r="AG41" s="9" t="s">
        <v>17</v>
      </c>
      <c r="AH41" s="185">
        <v>7.4999999999999993E-5</v>
      </c>
      <c r="AI41" s="185">
        <v>1.40937606969308E-2</v>
      </c>
      <c r="AJ41" s="185">
        <v>5.6867494910196898E-3</v>
      </c>
    </row>
    <row r="42" spans="1:36">
      <c r="A42" s="9">
        <v>337</v>
      </c>
      <c r="B42" s="9">
        <v>1405</v>
      </c>
      <c r="C42" s="9" t="s">
        <v>2378</v>
      </c>
      <c r="D42" s="9" t="s">
        <v>2379</v>
      </c>
      <c r="E42" s="5" t="s">
        <v>1346</v>
      </c>
      <c r="F42" s="9" t="s">
        <v>2380</v>
      </c>
      <c r="G42" s="9" t="s">
        <v>2381</v>
      </c>
      <c r="H42" s="9" t="s">
        <v>76</v>
      </c>
      <c r="I42" s="9" t="s">
        <v>228</v>
      </c>
      <c r="J42" s="9" t="s">
        <v>53</v>
      </c>
      <c r="K42" s="9" t="s">
        <v>53</v>
      </c>
      <c r="L42" s="9" t="s">
        <v>803</v>
      </c>
      <c r="M42" s="9" t="s">
        <v>311</v>
      </c>
      <c r="N42" s="9" t="s">
        <v>156</v>
      </c>
      <c r="O42" s="9" t="s">
        <v>62</v>
      </c>
      <c r="P42" s="9" t="s">
        <v>1607</v>
      </c>
      <c r="Q42" s="9" t="s">
        <v>65</v>
      </c>
      <c r="R42" s="9" t="s">
        <v>57</v>
      </c>
      <c r="S42" s="9" t="s">
        <v>1259</v>
      </c>
      <c r="T42" s="170">
        <v>4.024</v>
      </c>
      <c r="U42" s="9" t="s">
        <v>2382</v>
      </c>
      <c r="V42" s="199">
        <v>5.7500000000000002E-2</v>
      </c>
      <c r="W42" s="185">
        <v>5.16E-2</v>
      </c>
      <c r="X42" s="5" t="s">
        <v>618</v>
      </c>
      <c r="Y42" s="5" t="s">
        <v>62</v>
      </c>
      <c r="Z42" s="170">
        <v>28929</v>
      </c>
      <c r="AA42" s="184">
        <v>1</v>
      </c>
      <c r="AB42" s="186">
        <v>104.15</v>
      </c>
      <c r="AC42" s="9"/>
      <c r="AD42" s="170">
        <v>30.13</v>
      </c>
      <c r="AE42" s="9"/>
      <c r="AF42" s="9"/>
      <c r="AG42" s="9" t="s">
        <v>17</v>
      </c>
      <c r="AH42" s="185">
        <v>5.5000000000000002E-5</v>
      </c>
      <c r="AI42" s="185">
        <v>8.2810445905951591E-3</v>
      </c>
      <c r="AJ42" s="185">
        <v>3.3413527534161699E-3</v>
      </c>
    </row>
    <row r="43" spans="1:36">
      <c r="A43" s="9">
        <v>337</v>
      </c>
      <c r="B43" s="9">
        <v>1405</v>
      </c>
      <c r="C43" s="9" t="s">
        <v>1902</v>
      </c>
      <c r="D43" s="9" t="s">
        <v>1903</v>
      </c>
      <c r="E43" s="5" t="s">
        <v>1346</v>
      </c>
      <c r="F43" s="9" t="s">
        <v>2383</v>
      </c>
      <c r="G43" s="9" t="s">
        <v>2384</v>
      </c>
      <c r="H43" s="9" t="s">
        <v>76</v>
      </c>
      <c r="I43" s="9" t="s">
        <v>228</v>
      </c>
      <c r="J43" s="9" t="s">
        <v>53</v>
      </c>
      <c r="K43" s="9" t="s">
        <v>53</v>
      </c>
      <c r="L43" s="9" t="s">
        <v>803</v>
      </c>
      <c r="M43" s="9" t="s">
        <v>311</v>
      </c>
      <c r="N43" s="9" t="s">
        <v>633</v>
      </c>
      <c r="O43" s="9" t="s">
        <v>62</v>
      </c>
      <c r="P43" s="9" t="s">
        <v>2246</v>
      </c>
      <c r="Q43" s="9" t="s">
        <v>65</v>
      </c>
      <c r="R43" s="9" t="s">
        <v>57</v>
      </c>
      <c r="S43" s="9" t="s">
        <v>1259</v>
      </c>
      <c r="T43" s="170">
        <v>4.8040000000000003</v>
      </c>
      <c r="U43" s="9" t="s">
        <v>2385</v>
      </c>
      <c r="V43" s="199">
        <v>2.5499999999999998E-2</v>
      </c>
      <c r="W43" s="185">
        <v>4.9270000000000001E-2</v>
      </c>
      <c r="X43" s="5" t="s">
        <v>618</v>
      </c>
      <c r="Y43" s="5" t="s">
        <v>62</v>
      </c>
      <c r="Z43" s="170">
        <v>32568.27</v>
      </c>
      <c r="AA43" s="184">
        <v>1</v>
      </c>
      <c r="AB43" s="186">
        <v>89.51</v>
      </c>
      <c r="AC43" s="9"/>
      <c r="AD43" s="170">
        <v>29.152000000000001</v>
      </c>
      <c r="AE43" s="9"/>
      <c r="AF43" s="9"/>
      <c r="AG43" s="9" t="s">
        <v>17</v>
      </c>
      <c r="AH43" s="185">
        <v>1.2E-5</v>
      </c>
      <c r="AI43" s="185">
        <v>8.0123271639839198E-3</v>
      </c>
      <c r="AJ43" s="185">
        <v>3.2329268533409401E-3</v>
      </c>
    </row>
    <row r="44" spans="1:36">
      <c r="A44" s="9">
        <v>337</v>
      </c>
      <c r="B44" s="9">
        <v>1405</v>
      </c>
      <c r="C44" s="9" t="s">
        <v>1902</v>
      </c>
      <c r="D44" s="9" t="s">
        <v>1903</v>
      </c>
      <c r="E44" s="5" t="s">
        <v>1346</v>
      </c>
      <c r="F44" s="9" t="s">
        <v>2386</v>
      </c>
      <c r="G44" s="9" t="s">
        <v>2387</v>
      </c>
      <c r="H44" s="9" t="s">
        <v>76</v>
      </c>
      <c r="I44" s="9" t="s">
        <v>229</v>
      </c>
      <c r="J44" s="9" t="s">
        <v>53</v>
      </c>
      <c r="K44" s="9" t="s">
        <v>53</v>
      </c>
      <c r="L44" s="9" t="s">
        <v>803</v>
      </c>
      <c r="M44" s="9" t="s">
        <v>311</v>
      </c>
      <c r="N44" s="9" t="s">
        <v>633</v>
      </c>
      <c r="O44" s="9" t="s">
        <v>62</v>
      </c>
      <c r="P44" s="9" t="s">
        <v>2246</v>
      </c>
      <c r="Q44" s="9" t="s">
        <v>65</v>
      </c>
      <c r="R44" s="9" t="s">
        <v>57</v>
      </c>
      <c r="S44" s="9" t="s">
        <v>1259</v>
      </c>
      <c r="T44" s="170">
        <v>3.992</v>
      </c>
      <c r="U44" s="9" t="s">
        <v>2388</v>
      </c>
      <c r="V44" s="199">
        <v>5.0000000000000001E-3</v>
      </c>
      <c r="W44" s="185">
        <v>2.8850000000000001E-2</v>
      </c>
      <c r="X44" s="5" t="s">
        <v>618</v>
      </c>
      <c r="Y44" s="5" t="s">
        <v>62</v>
      </c>
      <c r="Z44" s="170">
        <v>17258.84</v>
      </c>
      <c r="AA44" s="184">
        <v>1</v>
      </c>
      <c r="AB44" s="186">
        <v>106.2</v>
      </c>
      <c r="AC44" s="9"/>
      <c r="AD44" s="170">
        <v>18.329000000000001</v>
      </c>
      <c r="AE44" s="9"/>
      <c r="AF44" s="9"/>
      <c r="AG44" s="9" t="s">
        <v>17</v>
      </c>
      <c r="AH44" s="185">
        <v>1.2999999999999999E-5</v>
      </c>
      <c r="AI44" s="185">
        <v>5.0376564487259398E-3</v>
      </c>
      <c r="AJ44" s="185">
        <v>2.03266472744658E-3</v>
      </c>
    </row>
    <row r="45" spans="1:36">
      <c r="A45" s="9">
        <v>337</v>
      </c>
      <c r="B45" s="9">
        <v>1405</v>
      </c>
      <c r="C45" s="9" t="s">
        <v>1902</v>
      </c>
      <c r="D45" s="9" t="s">
        <v>1903</v>
      </c>
      <c r="E45" s="5" t="s">
        <v>1346</v>
      </c>
      <c r="F45" s="9" t="s">
        <v>2389</v>
      </c>
      <c r="G45" s="9" t="s">
        <v>2390</v>
      </c>
      <c r="H45" s="9" t="s">
        <v>76</v>
      </c>
      <c r="I45" s="9" t="s">
        <v>229</v>
      </c>
      <c r="J45" s="9" t="s">
        <v>53</v>
      </c>
      <c r="K45" s="9" t="s">
        <v>53</v>
      </c>
      <c r="L45" s="9" t="s">
        <v>803</v>
      </c>
      <c r="M45" s="9" t="s">
        <v>1691</v>
      </c>
      <c r="N45" s="9" t="s">
        <v>633</v>
      </c>
      <c r="O45" s="9" t="s">
        <v>62</v>
      </c>
      <c r="P45" s="9" t="s">
        <v>2246</v>
      </c>
      <c r="Q45" s="9" t="s">
        <v>65</v>
      </c>
      <c r="R45" s="9" t="s">
        <v>57</v>
      </c>
      <c r="S45" s="9" t="s">
        <v>1259</v>
      </c>
      <c r="T45" s="170">
        <v>3.0670000000000002</v>
      </c>
      <c r="U45" s="9" t="s">
        <v>2234</v>
      </c>
      <c r="V45" s="199">
        <v>3.3399999999999999E-2</v>
      </c>
      <c r="W45" s="185">
        <v>2.9409999999999999E-2</v>
      </c>
      <c r="X45" s="5" t="s">
        <v>618</v>
      </c>
      <c r="Y45" s="5" t="s">
        <v>62</v>
      </c>
      <c r="Z45" s="170">
        <v>30000</v>
      </c>
      <c r="AA45" s="184">
        <v>1</v>
      </c>
      <c r="AB45" s="186">
        <v>105.28</v>
      </c>
      <c r="AC45" s="9"/>
      <c r="AD45" s="170">
        <v>31.584</v>
      </c>
      <c r="AE45" s="9"/>
      <c r="AF45" s="9"/>
      <c r="AG45" s="9" t="s">
        <v>17</v>
      </c>
      <c r="AH45" s="185">
        <v>2.8E-5</v>
      </c>
      <c r="AI45" s="185">
        <v>8.6807961607979905E-3</v>
      </c>
      <c r="AJ45" s="185">
        <v>3.5026501592164698E-3</v>
      </c>
    </row>
    <row r="46" spans="1:36">
      <c r="A46" s="9">
        <v>337</v>
      </c>
      <c r="B46" s="9">
        <v>1405</v>
      </c>
      <c r="C46" s="9" t="s">
        <v>2391</v>
      </c>
      <c r="D46" s="9" t="s">
        <v>2392</v>
      </c>
      <c r="E46" s="5" t="s">
        <v>1346</v>
      </c>
      <c r="F46" s="9" t="s">
        <v>2393</v>
      </c>
      <c r="G46" s="9" t="s">
        <v>2394</v>
      </c>
      <c r="H46" s="9" t="s">
        <v>76</v>
      </c>
      <c r="I46" s="9" t="s">
        <v>228</v>
      </c>
      <c r="J46" s="9" t="s">
        <v>53</v>
      </c>
      <c r="K46" s="9" t="s">
        <v>53</v>
      </c>
      <c r="L46" s="9" t="s">
        <v>803</v>
      </c>
      <c r="M46" s="9" t="s">
        <v>311</v>
      </c>
      <c r="N46" s="9" t="s">
        <v>140</v>
      </c>
      <c r="O46" s="9" t="s">
        <v>62</v>
      </c>
      <c r="P46" s="167" t="s">
        <v>298</v>
      </c>
      <c r="Q46" s="9" t="s">
        <v>298</v>
      </c>
      <c r="R46" s="9" t="s">
        <v>298</v>
      </c>
      <c r="S46" s="9" t="s">
        <v>1259</v>
      </c>
      <c r="T46" s="170">
        <v>0.98499999999999999</v>
      </c>
      <c r="U46" s="9" t="s">
        <v>2395</v>
      </c>
      <c r="V46" s="199">
        <v>3.8699999999999998E-2</v>
      </c>
      <c r="W46" s="185">
        <v>4.9630000000000001E-2</v>
      </c>
      <c r="X46" s="5" t="s">
        <v>618</v>
      </c>
      <c r="Y46" s="5" t="s">
        <v>62</v>
      </c>
      <c r="Z46" s="170">
        <v>9978.4500000000007</v>
      </c>
      <c r="AA46" s="184">
        <v>1</v>
      </c>
      <c r="AB46" s="186">
        <v>99.03</v>
      </c>
      <c r="AC46" s="9"/>
      <c r="AD46" s="170">
        <v>9.8819999999999997</v>
      </c>
      <c r="AE46" s="9"/>
      <c r="AF46" s="9"/>
      <c r="AG46" s="9" t="s">
        <v>17</v>
      </c>
      <c r="AH46" s="185">
        <v>3.1000000000000001E-5</v>
      </c>
      <c r="AI46" s="185">
        <v>2.71595326156734E-3</v>
      </c>
      <c r="AJ46" s="185">
        <v>1.0958711560367801E-3</v>
      </c>
    </row>
    <row r="47" spans="1:36">
      <c r="A47" s="9">
        <v>337</v>
      </c>
      <c r="B47" s="9">
        <v>1405</v>
      </c>
      <c r="C47" s="9" t="s">
        <v>2391</v>
      </c>
      <c r="D47" s="9" t="s">
        <v>2392</v>
      </c>
      <c r="E47" s="5" t="s">
        <v>1346</v>
      </c>
      <c r="F47" s="9" t="s">
        <v>2396</v>
      </c>
      <c r="G47" s="9" t="s">
        <v>2397</v>
      </c>
      <c r="H47" s="9" t="s">
        <v>76</v>
      </c>
      <c r="I47" s="9" t="s">
        <v>228</v>
      </c>
      <c r="J47" s="9" t="s">
        <v>53</v>
      </c>
      <c r="K47" s="9" t="s">
        <v>53</v>
      </c>
      <c r="L47" s="9" t="s">
        <v>803</v>
      </c>
      <c r="M47" s="9" t="s">
        <v>311</v>
      </c>
      <c r="N47" s="9" t="s">
        <v>140</v>
      </c>
      <c r="O47" s="9" t="s">
        <v>62</v>
      </c>
      <c r="P47" s="167" t="s">
        <v>298</v>
      </c>
      <c r="Q47" s="9" t="s">
        <v>298</v>
      </c>
      <c r="R47" s="9" t="s">
        <v>298</v>
      </c>
      <c r="S47" s="9" t="s">
        <v>1259</v>
      </c>
      <c r="T47" s="170">
        <v>1.4470000000000001</v>
      </c>
      <c r="U47" s="9" t="s">
        <v>1615</v>
      </c>
      <c r="V47" s="199">
        <v>6.25E-2</v>
      </c>
      <c r="W47" s="185">
        <v>4.6330000000000003E-2</v>
      </c>
      <c r="X47" s="5" t="s">
        <v>618</v>
      </c>
      <c r="Y47" s="5" t="s">
        <v>62</v>
      </c>
      <c r="Z47" s="170">
        <v>0.5</v>
      </c>
      <c r="AA47" s="184">
        <v>1</v>
      </c>
      <c r="AB47" s="186">
        <v>102.41</v>
      </c>
      <c r="AC47" s="9"/>
      <c r="AD47" s="170">
        <v>1E-3</v>
      </c>
      <c r="AE47" s="9"/>
      <c r="AF47" s="9"/>
      <c r="AG47" s="9" t="s">
        <v>17</v>
      </c>
      <c r="AH47" s="185">
        <v>0</v>
      </c>
      <c r="AI47" s="185">
        <v>1.40735868608682E-7</v>
      </c>
      <c r="AJ47" s="185">
        <v>5.6786094669034803E-8</v>
      </c>
    </row>
    <row r="48" spans="1:36">
      <c r="A48" s="9">
        <v>337</v>
      </c>
      <c r="B48" s="9">
        <v>1405</v>
      </c>
      <c r="C48" s="9" t="s">
        <v>2398</v>
      </c>
      <c r="D48" s="9" t="s">
        <v>2399</v>
      </c>
      <c r="E48" s="5" t="s">
        <v>1346</v>
      </c>
      <c r="F48" s="9" t="s">
        <v>2400</v>
      </c>
      <c r="G48" s="9" t="s">
        <v>2401</v>
      </c>
      <c r="H48" s="9" t="s">
        <v>76</v>
      </c>
      <c r="I48" s="9" t="s">
        <v>605</v>
      </c>
      <c r="J48" s="9" t="s">
        <v>53</v>
      </c>
      <c r="K48" s="9" t="s">
        <v>53</v>
      </c>
      <c r="L48" s="9" t="s">
        <v>803</v>
      </c>
      <c r="M48" s="9" t="s">
        <v>311</v>
      </c>
      <c r="N48" s="9" t="s">
        <v>140</v>
      </c>
      <c r="O48" s="9" t="s">
        <v>62</v>
      </c>
      <c r="P48" s="167" t="s">
        <v>298</v>
      </c>
      <c r="Q48" s="9" t="s">
        <v>298</v>
      </c>
      <c r="R48" s="9" t="s">
        <v>298</v>
      </c>
      <c r="S48" s="9" t="s">
        <v>1259</v>
      </c>
      <c r="T48" s="170">
        <v>2.9780000000000002</v>
      </c>
      <c r="U48" s="9" t="s">
        <v>2243</v>
      </c>
      <c r="V48" s="199">
        <v>7.0000000000000007E-2</v>
      </c>
      <c r="W48" s="185">
        <v>-4.1079999999999998E-2</v>
      </c>
      <c r="X48" s="5" t="s">
        <v>618</v>
      </c>
      <c r="Y48" s="5" t="s">
        <v>62</v>
      </c>
      <c r="Z48" s="170">
        <v>10000</v>
      </c>
      <c r="AA48" s="184">
        <v>1</v>
      </c>
      <c r="AB48" s="186">
        <v>141</v>
      </c>
      <c r="AC48" s="9"/>
      <c r="AD48" s="170">
        <v>14.1</v>
      </c>
      <c r="AE48" s="9"/>
      <c r="AF48" s="9"/>
      <c r="AG48" s="9" t="s">
        <v>17</v>
      </c>
      <c r="AH48" s="185">
        <v>2.0000000000000001E-4</v>
      </c>
      <c r="AI48" s="185">
        <v>3.8753554289276699E-3</v>
      </c>
      <c r="AJ48" s="185">
        <v>1.56368310679307E-3</v>
      </c>
    </row>
    <row r="49" spans="1:36">
      <c r="A49" s="9">
        <v>337</v>
      </c>
      <c r="B49" s="9">
        <v>1405</v>
      </c>
      <c r="C49" s="9" t="s">
        <v>2402</v>
      </c>
      <c r="D49" s="9" t="s">
        <v>2403</v>
      </c>
      <c r="E49" s="5" t="s">
        <v>1346</v>
      </c>
      <c r="F49" s="9" t="s">
        <v>2404</v>
      </c>
      <c r="G49" s="9" t="s">
        <v>2405</v>
      </c>
      <c r="H49" s="9" t="s">
        <v>76</v>
      </c>
      <c r="I49" s="9" t="s">
        <v>229</v>
      </c>
      <c r="J49" s="9" t="s">
        <v>53</v>
      </c>
      <c r="K49" s="9" t="s">
        <v>53</v>
      </c>
      <c r="L49" s="9" t="s">
        <v>803</v>
      </c>
      <c r="M49" s="9" t="s">
        <v>311</v>
      </c>
      <c r="N49" s="9" t="s">
        <v>256</v>
      </c>
      <c r="O49" s="9" t="s">
        <v>62</v>
      </c>
      <c r="P49" s="9" t="s">
        <v>1641</v>
      </c>
      <c r="Q49" s="9" t="s">
        <v>65</v>
      </c>
      <c r="R49" s="9" t="s">
        <v>57</v>
      </c>
      <c r="S49" s="9" t="s">
        <v>1259</v>
      </c>
      <c r="T49" s="170">
        <v>3.4950000000000001</v>
      </c>
      <c r="U49" s="9" t="s">
        <v>2406</v>
      </c>
      <c r="V49" s="199">
        <v>2E-3</v>
      </c>
      <c r="W49" s="185">
        <v>2.6020000000000001E-2</v>
      </c>
      <c r="X49" s="5" t="s">
        <v>618</v>
      </c>
      <c r="Y49" s="5" t="s">
        <v>62</v>
      </c>
      <c r="Z49" s="170">
        <v>18115.93</v>
      </c>
      <c r="AA49" s="184">
        <v>1</v>
      </c>
      <c r="AB49" s="186">
        <v>105.05</v>
      </c>
      <c r="AC49" s="9"/>
      <c r="AD49" s="170">
        <v>19.030999999999999</v>
      </c>
      <c r="AE49" s="9"/>
      <c r="AF49" s="9"/>
      <c r="AG49" s="9" t="s">
        <v>17</v>
      </c>
      <c r="AH49" s="185">
        <v>5.0000000000000004E-6</v>
      </c>
      <c r="AI49" s="185">
        <v>5.2305711980985999E-3</v>
      </c>
      <c r="AJ49" s="185">
        <v>2.1105046934000301E-3</v>
      </c>
    </row>
    <row r="50" spans="1:36">
      <c r="A50" s="9">
        <v>337</v>
      </c>
      <c r="B50" s="9">
        <v>1405</v>
      </c>
      <c r="C50" s="9" t="s">
        <v>2402</v>
      </c>
      <c r="D50" s="9" t="s">
        <v>2403</v>
      </c>
      <c r="E50" s="5" t="s">
        <v>1346</v>
      </c>
      <c r="F50" s="9" t="s">
        <v>2407</v>
      </c>
      <c r="G50" s="9" t="s">
        <v>2408</v>
      </c>
      <c r="H50" s="9" t="s">
        <v>76</v>
      </c>
      <c r="I50" s="9" t="s">
        <v>229</v>
      </c>
      <c r="J50" s="9" t="s">
        <v>53</v>
      </c>
      <c r="K50" s="9" t="s">
        <v>53</v>
      </c>
      <c r="L50" s="9" t="s">
        <v>803</v>
      </c>
      <c r="M50" s="9" t="s">
        <v>1691</v>
      </c>
      <c r="N50" s="9" t="s">
        <v>256</v>
      </c>
      <c r="O50" s="9" t="s">
        <v>62</v>
      </c>
      <c r="P50" s="9" t="s">
        <v>1641</v>
      </c>
      <c r="Q50" s="9" t="s">
        <v>65</v>
      </c>
      <c r="R50" s="9" t="s">
        <v>57</v>
      </c>
      <c r="S50" s="9" t="s">
        <v>1259</v>
      </c>
      <c r="T50" s="170">
        <v>4.8159999999999998</v>
      </c>
      <c r="U50" s="9" t="s">
        <v>2409</v>
      </c>
      <c r="V50" s="199">
        <v>2.4E-2</v>
      </c>
      <c r="W50" s="185">
        <v>2.605E-2</v>
      </c>
      <c r="X50" s="5" t="s">
        <v>618</v>
      </c>
      <c r="Y50" s="5" t="s">
        <v>62</v>
      </c>
      <c r="Z50" s="170">
        <v>17000</v>
      </c>
      <c r="AA50" s="184">
        <v>1</v>
      </c>
      <c r="AB50" s="186">
        <v>101.7</v>
      </c>
      <c r="AC50" s="9"/>
      <c r="AD50" s="170">
        <v>17.289000000000001</v>
      </c>
      <c r="AE50" s="9"/>
      <c r="AF50" s="9"/>
      <c r="AG50" s="9" t="s">
        <v>17</v>
      </c>
      <c r="AH50" s="185">
        <v>7.9999999999999996E-6</v>
      </c>
      <c r="AI50" s="185">
        <v>4.7518453908319599E-3</v>
      </c>
      <c r="AJ50" s="185">
        <v>1.91734164775499E-3</v>
      </c>
    </row>
    <row r="51" spans="1:36">
      <c r="A51" s="9">
        <v>337</v>
      </c>
      <c r="B51" s="9">
        <v>1405</v>
      </c>
      <c r="C51" s="9" t="s">
        <v>2402</v>
      </c>
      <c r="D51" s="9" t="s">
        <v>2403</v>
      </c>
      <c r="E51" s="5" t="s">
        <v>1346</v>
      </c>
      <c r="F51" s="9" t="s">
        <v>2410</v>
      </c>
      <c r="G51" s="9" t="s">
        <v>2411</v>
      </c>
      <c r="H51" s="9" t="s">
        <v>76</v>
      </c>
      <c r="I51" s="9" t="s">
        <v>228</v>
      </c>
      <c r="J51" s="9" t="s">
        <v>53</v>
      </c>
      <c r="K51" s="9" t="s">
        <v>53</v>
      </c>
      <c r="L51" s="9" t="s">
        <v>803</v>
      </c>
      <c r="M51" s="9" t="s">
        <v>311</v>
      </c>
      <c r="N51" s="9" t="s">
        <v>256</v>
      </c>
      <c r="O51" s="9" t="s">
        <v>62</v>
      </c>
      <c r="P51" s="9" t="s">
        <v>1641</v>
      </c>
      <c r="Q51" s="9" t="s">
        <v>65</v>
      </c>
      <c r="R51" s="9" t="s">
        <v>57</v>
      </c>
      <c r="S51" s="9" t="s">
        <v>1259</v>
      </c>
      <c r="T51" s="170">
        <v>2.7370000000000001</v>
      </c>
      <c r="U51" s="9" t="s">
        <v>2412</v>
      </c>
      <c r="V51" s="199">
        <v>2.6800000000000001E-2</v>
      </c>
      <c r="W51" s="185">
        <v>4.3189999999999999E-2</v>
      </c>
      <c r="X51" s="5" t="s">
        <v>618</v>
      </c>
      <c r="Y51" s="5" t="s">
        <v>62</v>
      </c>
      <c r="Z51" s="170">
        <v>56681.77</v>
      </c>
      <c r="AA51" s="184">
        <v>1</v>
      </c>
      <c r="AB51" s="186">
        <v>97.18</v>
      </c>
      <c r="AC51" s="9"/>
      <c r="AD51" s="170">
        <v>55.082999999999998</v>
      </c>
      <c r="AE51" s="9"/>
      <c r="AF51" s="9"/>
      <c r="AG51" s="9" t="s">
        <v>17</v>
      </c>
      <c r="AH51" s="185">
        <v>2.9E-5</v>
      </c>
      <c r="AI51" s="185">
        <v>1.51395415990902E-2</v>
      </c>
      <c r="AJ51" s="185">
        <v>6.1087159299963098E-3</v>
      </c>
    </row>
    <row r="52" spans="1:36">
      <c r="A52" s="9">
        <v>337</v>
      </c>
      <c r="B52" s="9">
        <v>1405</v>
      </c>
      <c r="C52" s="9" t="s">
        <v>2413</v>
      </c>
      <c r="D52" s="9" t="s">
        <v>2414</v>
      </c>
      <c r="E52" s="5" t="s">
        <v>1346</v>
      </c>
      <c r="F52" s="9" t="s">
        <v>2415</v>
      </c>
      <c r="G52" s="9" t="s">
        <v>2416</v>
      </c>
      <c r="H52" s="9" t="s">
        <v>76</v>
      </c>
      <c r="I52" s="9" t="s">
        <v>229</v>
      </c>
      <c r="J52" s="9" t="s">
        <v>53</v>
      </c>
      <c r="K52" s="9" t="s">
        <v>53</v>
      </c>
      <c r="L52" s="9" t="s">
        <v>803</v>
      </c>
      <c r="M52" s="9" t="s">
        <v>311</v>
      </c>
      <c r="N52" s="9" t="s">
        <v>156</v>
      </c>
      <c r="O52" s="9" t="s">
        <v>62</v>
      </c>
      <c r="P52" s="9" t="s">
        <v>2314</v>
      </c>
      <c r="Q52" s="9" t="s">
        <v>70</v>
      </c>
      <c r="R52" s="9" t="s">
        <v>57</v>
      </c>
      <c r="S52" s="9" t="s">
        <v>1259</v>
      </c>
      <c r="T52" s="170">
        <v>3.21</v>
      </c>
      <c r="U52" s="9" t="s">
        <v>2417</v>
      </c>
      <c r="V52" s="199">
        <v>1.7999999999999999E-2</v>
      </c>
      <c r="W52" s="185">
        <v>3.0980000000000001E-2</v>
      </c>
      <c r="X52" s="5" t="s">
        <v>618</v>
      </c>
      <c r="Y52" s="5" t="s">
        <v>62</v>
      </c>
      <c r="Z52" s="170">
        <v>14211.5</v>
      </c>
      <c r="AA52" s="184">
        <v>1</v>
      </c>
      <c r="AB52" s="186">
        <v>112.88</v>
      </c>
      <c r="AC52" s="9"/>
      <c r="AD52" s="170">
        <v>16.042000000000002</v>
      </c>
      <c r="AE52" s="9"/>
      <c r="AF52" s="9"/>
      <c r="AG52" s="9" t="s">
        <v>17</v>
      </c>
      <c r="AH52" s="185">
        <v>1.5999999999999999E-5</v>
      </c>
      <c r="AI52" s="185">
        <v>4.4090938950325197E-3</v>
      </c>
      <c r="AJ52" s="185">
        <v>1.7790434364969999E-3</v>
      </c>
    </row>
    <row r="53" spans="1:36">
      <c r="A53" s="9">
        <v>337</v>
      </c>
      <c r="B53" s="9">
        <v>1405</v>
      </c>
      <c r="C53" s="9" t="s">
        <v>2418</v>
      </c>
      <c r="D53" s="9" t="s">
        <v>2419</v>
      </c>
      <c r="E53" s="5" t="s">
        <v>1346</v>
      </c>
      <c r="F53" s="9" t="s">
        <v>2420</v>
      </c>
      <c r="G53" s="9" t="s">
        <v>2421</v>
      </c>
      <c r="H53" s="9" t="s">
        <v>76</v>
      </c>
      <c r="I53" s="9" t="s">
        <v>228</v>
      </c>
      <c r="J53" s="9" t="s">
        <v>53</v>
      </c>
      <c r="K53" s="9" t="s">
        <v>53</v>
      </c>
      <c r="L53" s="9" t="s">
        <v>803</v>
      </c>
      <c r="M53" s="9" t="s">
        <v>311</v>
      </c>
      <c r="N53" s="9" t="s">
        <v>267</v>
      </c>
      <c r="O53" s="9" t="s">
        <v>62</v>
      </c>
      <c r="P53" s="9" t="s">
        <v>2330</v>
      </c>
      <c r="Q53" s="9" t="s">
        <v>65</v>
      </c>
      <c r="R53" s="9" t="s">
        <v>57</v>
      </c>
      <c r="S53" s="9" t="s">
        <v>1259</v>
      </c>
      <c r="T53" s="170">
        <v>2.339</v>
      </c>
      <c r="U53" s="9" t="s">
        <v>2229</v>
      </c>
      <c r="V53" s="199">
        <v>6.7500000000000004E-2</v>
      </c>
      <c r="W53" s="185">
        <v>5.058E-2</v>
      </c>
      <c r="X53" s="5" t="s">
        <v>618</v>
      </c>
      <c r="Y53" s="5" t="s">
        <v>62</v>
      </c>
      <c r="Z53" s="170">
        <v>17261.43</v>
      </c>
      <c r="AA53" s="184">
        <v>1</v>
      </c>
      <c r="AB53" s="186">
        <v>106.95</v>
      </c>
      <c r="AC53" s="9"/>
      <c r="AD53" s="170">
        <v>18.460999999999999</v>
      </c>
      <c r="AE53" s="9"/>
      <c r="AF53" s="9"/>
      <c r="AG53" s="9" t="s">
        <v>17</v>
      </c>
      <c r="AH53" s="185">
        <v>1.5999999999999999E-5</v>
      </c>
      <c r="AI53" s="185">
        <v>5.0739944486264598E-3</v>
      </c>
      <c r="AJ53" s="185">
        <v>2.0473268965356299E-3</v>
      </c>
    </row>
    <row r="54" spans="1:36">
      <c r="A54" s="9">
        <v>337</v>
      </c>
      <c r="B54" s="9">
        <v>1405</v>
      </c>
      <c r="C54" s="9" t="s">
        <v>2418</v>
      </c>
      <c r="D54" s="9" t="s">
        <v>2419</v>
      </c>
      <c r="E54" s="5" t="s">
        <v>1346</v>
      </c>
      <c r="F54" s="9" t="s">
        <v>2422</v>
      </c>
      <c r="G54" s="9" t="s">
        <v>2423</v>
      </c>
      <c r="H54" s="9" t="s">
        <v>76</v>
      </c>
      <c r="I54" s="9" t="s">
        <v>228</v>
      </c>
      <c r="J54" s="9" t="s">
        <v>53</v>
      </c>
      <c r="K54" s="9" t="s">
        <v>53</v>
      </c>
      <c r="L54" s="9" t="s">
        <v>803</v>
      </c>
      <c r="M54" s="9" t="s">
        <v>1691</v>
      </c>
      <c r="N54" s="9" t="s">
        <v>267</v>
      </c>
      <c r="O54" s="9" t="s">
        <v>62</v>
      </c>
      <c r="P54" s="9" t="s">
        <v>2330</v>
      </c>
      <c r="Q54" s="9" t="s">
        <v>65</v>
      </c>
      <c r="R54" s="9" t="s">
        <v>57</v>
      </c>
      <c r="S54" s="9" t="s">
        <v>1259</v>
      </c>
      <c r="T54" s="170">
        <v>5.5919999999999996</v>
      </c>
      <c r="U54" s="9" t="s">
        <v>2388</v>
      </c>
      <c r="V54" s="199">
        <v>5.6899999999999999E-2</v>
      </c>
      <c r="W54" s="185">
        <v>5.5149999999999998E-2</v>
      </c>
      <c r="X54" s="5" t="s">
        <v>618</v>
      </c>
      <c r="Y54" s="5" t="s">
        <v>62</v>
      </c>
      <c r="Z54" s="170">
        <v>16000</v>
      </c>
      <c r="AA54" s="184">
        <v>1</v>
      </c>
      <c r="AB54" s="186">
        <v>101.37</v>
      </c>
      <c r="AC54" s="9"/>
      <c r="AD54" s="170">
        <v>16.219000000000001</v>
      </c>
      <c r="AE54" s="9"/>
      <c r="AF54" s="9"/>
      <c r="AG54" s="9" t="s">
        <v>17</v>
      </c>
      <c r="AH54" s="185">
        <v>1.0000000000000001E-5</v>
      </c>
      <c r="AI54" s="185">
        <v>4.4578131044584199E-3</v>
      </c>
      <c r="AJ54" s="185">
        <v>1.79870135075873E-3</v>
      </c>
    </row>
    <row r="55" spans="1:36">
      <c r="A55" s="9">
        <v>337</v>
      </c>
      <c r="B55" s="9">
        <v>1405</v>
      </c>
      <c r="C55" s="9" t="s">
        <v>2424</v>
      </c>
      <c r="D55" s="9" t="s">
        <v>2425</v>
      </c>
      <c r="E55" s="5" t="s">
        <v>1346</v>
      </c>
      <c r="F55" s="9" t="s">
        <v>2426</v>
      </c>
      <c r="G55" s="9" t="s">
        <v>2427</v>
      </c>
      <c r="H55" s="9" t="s">
        <v>76</v>
      </c>
      <c r="I55" s="9" t="s">
        <v>229</v>
      </c>
      <c r="J55" s="9" t="s">
        <v>53</v>
      </c>
      <c r="K55" s="9" t="s">
        <v>53</v>
      </c>
      <c r="L55" s="9" t="s">
        <v>803</v>
      </c>
      <c r="M55" s="9" t="s">
        <v>311</v>
      </c>
      <c r="N55" s="9" t="s">
        <v>633</v>
      </c>
      <c r="O55" s="9" t="s">
        <v>62</v>
      </c>
      <c r="P55" s="9" t="s">
        <v>1614</v>
      </c>
      <c r="Q55" s="9" t="s">
        <v>65</v>
      </c>
      <c r="R55" s="9" t="s">
        <v>57</v>
      </c>
      <c r="S55" s="9" t="s">
        <v>1259</v>
      </c>
      <c r="T55" s="170">
        <v>2.2509999999999999</v>
      </c>
      <c r="U55" s="9" t="s">
        <v>2428</v>
      </c>
      <c r="V55" s="199">
        <v>1.7999999999999999E-2</v>
      </c>
      <c r="W55" s="185">
        <v>2.801E-2</v>
      </c>
      <c r="X55" s="5" t="s">
        <v>618</v>
      </c>
      <c r="Y55" s="5" t="s">
        <v>62</v>
      </c>
      <c r="Z55" s="170">
        <v>44517.53</v>
      </c>
      <c r="AA55" s="184">
        <v>1</v>
      </c>
      <c r="AB55" s="186">
        <v>115.55</v>
      </c>
      <c r="AC55" s="9"/>
      <c r="AD55" s="170">
        <v>51.44</v>
      </c>
      <c r="AE55" s="9"/>
      <c r="AF55" s="9"/>
      <c r="AG55" s="9" t="s">
        <v>17</v>
      </c>
      <c r="AH55" s="185">
        <v>6.0000000000000002E-5</v>
      </c>
      <c r="AI55" s="185">
        <v>1.41381777437423E-2</v>
      </c>
      <c r="AJ55" s="185">
        <v>5.7046715079873004E-3</v>
      </c>
    </row>
    <row r="56" spans="1:36">
      <c r="A56" s="9">
        <v>337</v>
      </c>
      <c r="B56" s="9">
        <v>1405</v>
      </c>
      <c r="C56" s="9" t="s">
        <v>2429</v>
      </c>
      <c r="D56" s="9" t="s">
        <v>2430</v>
      </c>
      <c r="E56" s="5" t="s">
        <v>1346</v>
      </c>
      <c r="F56" s="9" t="s">
        <v>2431</v>
      </c>
      <c r="G56" s="9" t="s">
        <v>2432</v>
      </c>
      <c r="H56" s="9" t="s">
        <v>76</v>
      </c>
      <c r="I56" s="9" t="s">
        <v>228</v>
      </c>
      <c r="J56" s="9" t="s">
        <v>53</v>
      </c>
      <c r="K56" s="9" t="s">
        <v>53</v>
      </c>
      <c r="L56" s="9" t="s">
        <v>803</v>
      </c>
      <c r="M56" s="9" t="s">
        <v>1691</v>
      </c>
      <c r="N56" s="9" t="s">
        <v>269</v>
      </c>
      <c r="O56" s="9" t="s">
        <v>62</v>
      </c>
      <c r="P56" s="9" t="s">
        <v>2239</v>
      </c>
      <c r="Q56" s="9" t="s">
        <v>65</v>
      </c>
      <c r="R56" s="9" t="s">
        <v>57</v>
      </c>
      <c r="S56" s="9" t="s">
        <v>1259</v>
      </c>
      <c r="T56" s="170">
        <v>6.8650000000000002</v>
      </c>
      <c r="U56" s="9" t="s">
        <v>2357</v>
      </c>
      <c r="V56" s="199">
        <v>6.0199999999999997E-2</v>
      </c>
      <c r="W56" s="185">
        <v>4.7699999999999999E-2</v>
      </c>
      <c r="X56" s="5" t="s">
        <v>618</v>
      </c>
      <c r="Y56" s="5" t="s">
        <v>62</v>
      </c>
      <c r="Z56" s="170">
        <v>28307</v>
      </c>
      <c r="AA56" s="184">
        <v>1</v>
      </c>
      <c r="AB56" s="186">
        <v>109.04</v>
      </c>
      <c r="AC56" s="9"/>
      <c r="AD56" s="170">
        <v>30.866</v>
      </c>
      <c r="AE56" s="9"/>
      <c r="AF56" s="9"/>
      <c r="AG56" s="9" t="s">
        <v>17</v>
      </c>
      <c r="AH56" s="185">
        <v>5.7000000000000003E-5</v>
      </c>
      <c r="AI56" s="185">
        <v>8.4834423937947094E-3</v>
      </c>
      <c r="AJ56" s="185">
        <v>3.4230190757753298E-3</v>
      </c>
    </row>
    <row r="57" spans="1:36">
      <c r="A57" s="9">
        <v>337</v>
      </c>
      <c r="B57" s="9">
        <v>1405</v>
      </c>
      <c r="C57" s="9" t="s">
        <v>2429</v>
      </c>
      <c r="D57" s="9" t="s">
        <v>2430</v>
      </c>
      <c r="E57" s="5" t="s">
        <v>1346</v>
      </c>
      <c r="F57" s="9" t="s">
        <v>2433</v>
      </c>
      <c r="G57" s="9" t="s">
        <v>2434</v>
      </c>
      <c r="H57" s="9" t="s">
        <v>76</v>
      </c>
      <c r="I57" s="9" t="s">
        <v>228</v>
      </c>
      <c r="J57" s="9" t="s">
        <v>53</v>
      </c>
      <c r="K57" s="9" t="s">
        <v>53</v>
      </c>
      <c r="L57" s="9" t="s">
        <v>803</v>
      </c>
      <c r="M57" s="9" t="s">
        <v>311</v>
      </c>
      <c r="N57" s="9" t="s">
        <v>269</v>
      </c>
      <c r="O57" s="9" t="s">
        <v>62</v>
      </c>
      <c r="P57" s="9" t="s">
        <v>1607</v>
      </c>
      <c r="Q57" s="9" t="s">
        <v>65</v>
      </c>
      <c r="R57" s="9" t="s">
        <v>57</v>
      </c>
      <c r="S57" s="9" t="s">
        <v>1259</v>
      </c>
      <c r="T57" s="170">
        <v>7.6970000000000001</v>
      </c>
      <c r="U57" s="9" t="s">
        <v>2435</v>
      </c>
      <c r="V57" s="199">
        <v>5.8500000000000003E-2</v>
      </c>
      <c r="W57" s="185">
        <v>5.3460000000000001E-2</v>
      </c>
      <c r="X57" s="5" t="s">
        <v>618</v>
      </c>
      <c r="Y57" s="5" t="s">
        <v>62</v>
      </c>
      <c r="Z57" s="170">
        <v>18000</v>
      </c>
      <c r="AA57" s="184">
        <v>1</v>
      </c>
      <c r="AB57" s="186">
        <v>105.43</v>
      </c>
      <c r="AC57" s="9"/>
      <c r="AD57" s="170">
        <v>18.977</v>
      </c>
      <c r="AE57" s="9"/>
      <c r="AF57" s="9"/>
      <c r="AG57" s="9" t="s">
        <v>17</v>
      </c>
      <c r="AH57" s="185">
        <v>1.8E-5</v>
      </c>
      <c r="AI57" s="185">
        <v>5.2158985898533398E-3</v>
      </c>
      <c r="AJ57" s="185">
        <v>2.1045843823301199E-3</v>
      </c>
    </row>
    <row r="58" spans="1:36">
      <c r="A58" s="9">
        <v>337</v>
      </c>
      <c r="B58" s="9">
        <v>1405</v>
      </c>
      <c r="C58" s="9" t="s">
        <v>2436</v>
      </c>
      <c r="D58" s="9" t="s">
        <v>2437</v>
      </c>
      <c r="E58" s="5" t="s">
        <v>1346</v>
      </c>
      <c r="F58" s="9" t="s">
        <v>2438</v>
      </c>
      <c r="G58" s="9" t="s">
        <v>2439</v>
      </c>
      <c r="H58" s="9" t="s">
        <v>76</v>
      </c>
      <c r="I58" s="9" t="s">
        <v>229</v>
      </c>
      <c r="J58" s="9" t="s">
        <v>53</v>
      </c>
      <c r="K58" s="9" t="s">
        <v>53</v>
      </c>
      <c r="L58" s="9" t="s">
        <v>803</v>
      </c>
      <c r="M58" s="9" t="s">
        <v>311</v>
      </c>
      <c r="N58" s="9" t="s">
        <v>633</v>
      </c>
      <c r="O58" s="9" t="s">
        <v>62</v>
      </c>
      <c r="P58" s="9" t="s">
        <v>2225</v>
      </c>
      <c r="Q58" s="9" t="s">
        <v>70</v>
      </c>
      <c r="R58" s="9" t="s">
        <v>57</v>
      </c>
      <c r="S58" s="9" t="s">
        <v>1259</v>
      </c>
      <c r="T58" s="170">
        <v>5.1120000000000001</v>
      </c>
      <c r="U58" s="9" t="s">
        <v>2440</v>
      </c>
      <c r="V58" s="199">
        <v>3.1800000000000002E-2</v>
      </c>
      <c r="W58" s="185">
        <v>3.049E-2</v>
      </c>
      <c r="X58" s="5" t="s">
        <v>618</v>
      </c>
      <c r="Y58" s="5" t="s">
        <v>62</v>
      </c>
      <c r="Z58" s="170">
        <v>21000</v>
      </c>
      <c r="AA58" s="184">
        <v>1</v>
      </c>
      <c r="AB58" s="186">
        <v>102.65</v>
      </c>
      <c r="AC58" s="9"/>
      <c r="AD58" s="170">
        <v>21.556000000000001</v>
      </c>
      <c r="AE58" s="9"/>
      <c r="AF58" s="9"/>
      <c r="AG58" s="9" t="s">
        <v>17</v>
      </c>
      <c r="AH58" s="185">
        <v>9.3999999999999994E-5</v>
      </c>
      <c r="AI58" s="185">
        <v>5.9247588158637902E-3</v>
      </c>
      <c r="AJ58" s="185">
        <v>2.39060531145991E-3</v>
      </c>
    </row>
    <row r="59" spans="1:36">
      <c r="A59" s="9">
        <v>337</v>
      </c>
      <c r="B59" s="9">
        <v>1405</v>
      </c>
      <c r="C59" s="9" t="s">
        <v>2441</v>
      </c>
      <c r="D59" s="9" t="s">
        <v>2442</v>
      </c>
      <c r="E59" s="5" t="s">
        <v>1346</v>
      </c>
      <c r="F59" s="9" t="s">
        <v>2443</v>
      </c>
      <c r="G59" s="9" t="s">
        <v>2444</v>
      </c>
      <c r="H59" s="9" t="s">
        <v>76</v>
      </c>
      <c r="I59" s="9" t="s">
        <v>229</v>
      </c>
      <c r="J59" s="9" t="s">
        <v>53</v>
      </c>
      <c r="K59" s="9" t="s">
        <v>53</v>
      </c>
      <c r="L59" s="9" t="s">
        <v>803</v>
      </c>
      <c r="M59" s="9" t="s">
        <v>311</v>
      </c>
      <c r="N59" s="9" t="s">
        <v>156</v>
      </c>
      <c r="O59" s="9" t="s">
        <v>62</v>
      </c>
      <c r="P59" s="9" t="s">
        <v>1641</v>
      </c>
      <c r="Q59" s="9" t="s">
        <v>65</v>
      </c>
      <c r="R59" s="9" t="s">
        <v>57</v>
      </c>
      <c r="S59" s="9" t="s">
        <v>1259</v>
      </c>
      <c r="T59" s="170">
        <v>10.058999999999999</v>
      </c>
      <c r="U59" s="9" t="s">
        <v>2445</v>
      </c>
      <c r="V59" s="199">
        <v>3.2000000000000001E-2</v>
      </c>
      <c r="W59" s="185">
        <v>2.7959999999999999E-2</v>
      </c>
      <c r="X59" s="5" t="s">
        <v>618</v>
      </c>
      <c r="Y59" s="5" t="s">
        <v>62</v>
      </c>
      <c r="Z59" s="170">
        <v>26000</v>
      </c>
      <c r="AA59" s="184">
        <v>1</v>
      </c>
      <c r="AB59" s="186">
        <v>110.87</v>
      </c>
      <c r="AC59" s="9"/>
      <c r="AD59" s="170">
        <v>28.826000000000001</v>
      </c>
      <c r="AE59" s="9"/>
      <c r="AF59" s="9"/>
      <c r="AG59" s="9" t="s">
        <v>17</v>
      </c>
      <c r="AH59" s="185">
        <v>5.0000000000000004E-6</v>
      </c>
      <c r="AI59" s="185">
        <v>7.9228206145641796E-3</v>
      </c>
      <c r="AJ59" s="185">
        <v>3.1968114874495299E-3</v>
      </c>
    </row>
    <row r="60" spans="1:36">
      <c r="A60" s="9">
        <v>337</v>
      </c>
      <c r="B60" s="9">
        <v>1405</v>
      </c>
      <c r="C60" s="9" t="s">
        <v>2441</v>
      </c>
      <c r="D60" s="9" t="s">
        <v>2442</v>
      </c>
      <c r="E60" s="5" t="s">
        <v>1346</v>
      </c>
      <c r="F60" s="9" t="s">
        <v>2446</v>
      </c>
      <c r="G60" s="9" t="s">
        <v>2447</v>
      </c>
      <c r="H60" s="9" t="s">
        <v>76</v>
      </c>
      <c r="I60" s="9" t="s">
        <v>229</v>
      </c>
      <c r="J60" s="9" t="s">
        <v>53</v>
      </c>
      <c r="K60" s="9" t="s">
        <v>53</v>
      </c>
      <c r="L60" s="9" t="s">
        <v>803</v>
      </c>
      <c r="M60" s="9" t="s">
        <v>1691</v>
      </c>
      <c r="N60" s="9" t="s">
        <v>156</v>
      </c>
      <c r="O60" s="9" t="s">
        <v>62</v>
      </c>
      <c r="P60" s="9" t="s">
        <v>1641</v>
      </c>
      <c r="Q60" s="9" t="s">
        <v>65</v>
      </c>
      <c r="R60" s="9" t="s">
        <v>57</v>
      </c>
      <c r="S60" s="9" t="s">
        <v>1259</v>
      </c>
      <c r="T60" s="170">
        <v>7.8319999999999999</v>
      </c>
      <c r="U60" s="9" t="s">
        <v>2448</v>
      </c>
      <c r="V60" s="199">
        <v>2.9899999999999999E-2</v>
      </c>
      <c r="W60" s="185">
        <v>2.759E-2</v>
      </c>
      <c r="X60" s="5" t="s">
        <v>618</v>
      </c>
      <c r="Y60" s="5" t="s">
        <v>62</v>
      </c>
      <c r="Z60" s="170">
        <v>3000</v>
      </c>
      <c r="AA60" s="184">
        <v>1</v>
      </c>
      <c r="AB60" s="186">
        <v>103.17</v>
      </c>
      <c r="AC60" s="9"/>
      <c r="AD60" s="170">
        <v>3.0950000000000002</v>
      </c>
      <c r="AE60" s="9"/>
      <c r="AF60" s="9"/>
      <c r="AG60" s="9" t="s">
        <v>17</v>
      </c>
      <c r="AH60" s="185">
        <v>7.9999999999999996E-6</v>
      </c>
      <c r="AI60" s="185">
        <v>8.5068174383503897E-4</v>
      </c>
      <c r="AJ60" s="185">
        <v>3.43245076867746E-4</v>
      </c>
    </row>
    <row r="61" spans="1:36">
      <c r="A61" s="9">
        <v>337</v>
      </c>
      <c r="B61" s="9">
        <v>1405</v>
      </c>
      <c r="C61" s="9" t="s">
        <v>2449</v>
      </c>
      <c r="D61" s="9" t="s">
        <v>2450</v>
      </c>
      <c r="E61" s="5" t="s">
        <v>765</v>
      </c>
      <c r="F61" s="9" t="s">
        <v>2451</v>
      </c>
      <c r="G61" s="9" t="s">
        <v>2452</v>
      </c>
      <c r="H61" s="9" t="s">
        <v>76</v>
      </c>
      <c r="I61" s="9" t="s">
        <v>230</v>
      </c>
      <c r="J61" s="9" t="s">
        <v>53</v>
      </c>
      <c r="K61" s="9" t="s">
        <v>314</v>
      </c>
      <c r="L61" s="9" t="s">
        <v>803</v>
      </c>
      <c r="M61" s="9" t="s">
        <v>311</v>
      </c>
      <c r="N61" s="9" t="s">
        <v>634</v>
      </c>
      <c r="O61" s="9" t="s">
        <v>62</v>
      </c>
      <c r="P61" s="9" t="s">
        <v>2239</v>
      </c>
      <c r="Q61" s="9" t="s">
        <v>65</v>
      </c>
      <c r="R61" s="9" t="s">
        <v>57</v>
      </c>
      <c r="S61" s="9" t="s">
        <v>1215</v>
      </c>
      <c r="T61" s="170">
        <v>1.5920000000000001</v>
      </c>
      <c r="U61" s="9" t="s">
        <v>2453</v>
      </c>
      <c r="V61" s="199">
        <v>4.7199999999999999E-2</v>
      </c>
      <c r="W61" s="185">
        <v>5.8950000000000002E-2</v>
      </c>
      <c r="X61" s="5" t="s">
        <v>618</v>
      </c>
      <c r="Y61" s="5" t="s">
        <v>62</v>
      </c>
      <c r="Z61" s="170">
        <v>18000</v>
      </c>
      <c r="AA61" s="184">
        <v>3.3719999999999999</v>
      </c>
      <c r="AB61" s="186">
        <v>31.234000000000002</v>
      </c>
      <c r="AC61" s="9"/>
      <c r="AD61" s="170">
        <v>18.957999999999998</v>
      </c>
      <c r="AE61" s="9"/>
      <c r="AF61" s="9"/>
      <c r="AG61" s="9" t="s">
        <v>17</v>
      </c>
      <c r="AH61" s="185">
        <v>5.5000000000000002E-5</v>
      </c>
      <c r="AI61" s="185">
        <v>5.2104566013786704E-3</v>
      </c>
      <c r="AJ61" s="185">
        <v>2.10238857200995E-3</v>
      </c>
    </row>
    <row r="62" spans="1:36">
      <c r="A62" s="9">
        <v>337</v>
      </c>
      <c r="B62" s="9">
        <v>1405</v>
      </c>
      <c r="C62" s="9" t="s">
        <v>2454</v>
      </c>
      <c r="D62" s="9" t="s">
        <v>2455</v>
      </c>
      <c r="E62" s="5" t="s">
        <v>1346</v>
      </c>
      <c r="F62" s="9" t="s">
        <v>2456</v>
      </c>
      <c r="G62" s="9" t="s">
        <v>2457</v>
      </c>
      <c r="H62" s="9" t="s">
        <v>76</v>
      </c>
      <c r="I62" s="9" t="s">
        <v>228</v>
      </c>
      <c r="J62" s="9" t="s">
        <v>53</v>
      </c>
      <c r="K62" s="9" t="s">
        <v>53</v>
      </c>
      <c r="L62" s="9" t="s">
        <v>803</v>
      </c>
      <c r="M62" s="9" t="s">
        <v>311</v>
      </c>
      <c r="N62" s="9" t="s">
        <v>140</v>
      </c>
      <c r="O62" s="9" t="s">
        <v>62</v>
      </c>
      <c r="P62" s="167" t="s">
        <v>298</v>
      </c>
      <c r="Q62" s="9" t="s">
        <v>298</v>
      </c>
      <c r="R62" s="9" t="s">
        <v>298</v>
      </c>
      <c r="S62" s="9" t="s">
        <v>1259</v>
      </c>
      <c r="T62" s="170">
        <v>0.995</v>
      </c>
      <c r="U62" s="9" t="s">
        <v>2458</v>
      </c>
      <c r="V62" s="199">
        <v>5.6000000000000001E-2</v>
      </c>
      <c r="W62" s="185">
        <v>5.842E-2</v>
      </c>
      <c r="X62" s="5" t="s">
        <v>618</v>
      </c>
      <c r="Y62" s="5" t="s">
        <v>62</v>
      </c>
      <c r="Z62" s="170">
        <v>13600</v>
      </c>
      <c r="AA62" s="184">
        <v>1</v>
      </c>
      <c r="AB62" s="186">
        <v>99.8</v>
      </c>
      <c r="AC62" s="170">
        <v>3.8759999999999999</v>
      </c>
      <c r="AD62" s="170">
        <v>17.449000000000002</v>
      </c>
      <c r="AE62" s="9"/>
      <c r="AF62" s="9"/>
      <c r="AG62" s="9" t="s">
        <v>17</v>
      </c>
      <c r="AH62" s="185">
        <v>1E-4</v>
      </c>
      <c r="AI62" s="185">
        <v>4.79576608569314E-3</v>
      </c>
      <c r="AJ62" s="185">
        <v>1.93506338963198E-3</v>
      </c>
    </row>
    <row r="63" spans="1:36">
      <c r="A63" s="9">
        <v>337</v>
      </c>
      <c r="B63" s="9">
        <v>1405</v>
      </c>
      <c r="C63" s="9" t="s">
        <v>1988</v>
      </c>
      <c r="D63" s="9" t="s">
        <v>1989</v>
      </c>
      <c r="E63" s="5" t="s">
        <v>1346</v>
      </c>
      <c r="F63" s="9" t="s">
        <v>2459</v>
      </c>
      <c r="G63" s="9" t="s">
        <v>2460</v>
      </c>
      <c r="H63" s="9" t="s">
        <v>76</v>
      </c>
      <c r="I63" s="9" t="s">
        <v>228</v>
      </c>
      <c r="J63" s="9" t="s">
        <v>53</v>
      </c>
      <c r="K63" s="9" t="s">
        <v>53</v>
      </c>
      <c r="L63" s="9" t="s">
        <v>803</v>
      </c>
      <c r="M63" s="9" t="s">
        <v>311</v>
      </c>
      <c r="N63" s="9" t="s">
        <v>632</v>
      </c>
      <c r="O63" s="9" t="s">
        <v>62</v>
      </c>
      <c r="P63" s="9" t="s">
        <v>1621</v>
      </c>
      <c r="Q63" s="9" t="s">
        <v>70</v>
      </c>
      <c r="R63" s="9" t="s">
        <v>57</v>
      </c>
      <c r="S63" s="9" t="s">
        <v>1259</v>
      </c>
      <c r="T63" s="170">
        <v>3.431</v>
      </c>
      <c r="U63" s="9" t="s">
        <v>2461</v>
      </c>
      <c r="V63" s="199">
        <v>3.9399999999999998E-2</v>
      </c>
      <c r="W63" s="185">
        <v>4.6039999999999998E-2</v>
      </c>
      <c r="X63" s="5" t="s">
        <v>618</v>
      </c>
      <c r="Y63" s="5" t="s">
        <v>62</v>
      </c>
      <c r="Z63" s="170">
        <v>1264.2</v>
      </c>
      <c r="AA63" s="184">
        <v>1</v>
      </c>
      <c r="AB63" s="186">
        <v>97.95</v>
      </c>
      <c r="AC63" s="170">
        <v>0.11700000000000001</v>
      </c>
      <c r="AD63" s="170">
        <v>1.355</v>
      </c>
      <c r="AE63" s="9"/>
      <c r="AF63" s="9"/>
      <c r="AG63" s="9" t="s">
        <v>17</v>
      </c>
      <c r="AH63" s="185">
        <v>9.0000000000000002E-6</v>
      </c>
      <c r="AI63" s="185">
        <v>3.7249144060246101E-4</v>
      </c>
      <c r="AJ63" s="185">
        <v>1.50298103948687E-4</v>
      </c>
    </row>
    <row r="64" spans="1:36">
      <c r="A64" s="9">
        <v>337</v>
      </c>
      <c r="B64" s="9">
        <v>1405</v>
      </c>
      <c r="C64" s="9" t="s">
        <v>2462</v>
      </c>
      <c r="D64" s="9" t="s">
        <v>2463</v>
      </c>
      <c r="E64" s="5" t="s">
        <v>1346</v>
      </c>
      <c r="F64" s="9" t="s">
        <v>2464</v>
      </c>
      <c r="G64" s="9" t="s">
        <v>2465</v>
      </c>
      <c r="H64" s="9" t="s">
        <v>76</v>
      </c>
      <c r="I64" s="9" t="s">
        <v>229</v>
      </c>
      <c r="J64" s="9" t="s">
        <v>53</v>
      </c>
      <c r="K64" s="9" t="s">
        <v>53</v>
      </c>
      <c r="L64" s="9" t="s">
        <v>803</v>
      </c>
      <c r="M64" s="9" t="s">
        <v>311</v>
      </c>
      <c r="N64" s="9" t="s">
        <v>256</v>
      </c>
      <c r="O64" s="9" t="s">
        <v>62</v>
      </c>
      <c r="P64" s="9" t="s">
        <v>2239</v>
      </c>
      <c r="Q64" s="9" t="s">
        <v>65</v>
      </c>
      <c r="R64" s="9" t="s">
        <v>57</v>
      </c>
      <c r="S64" s="9" t="s">
        <v>1259</v>
      </c>
      <c r="T64" s="170">
        <v>3.8740000000000001</v>
      </c>
      <c r="U64" s="9" t="s">
        <v>2466</v>
      </c>
      <c r="V64" s="199">
        <v>2.5899999999999999E-2</v>
      </c>
      <c r="W64" s="185">
        <v>2.7470000000000001E-2</v>
      </c>
      <c r="X64" s="5" t="s">
        <v>618</v>
      </c>
      <c r="Y64" s="5" t="s">
        <v>62</v>
      </c>
      <c r="Z64" s="170">
        <v>10000</v>
      </c>
      <c r="AA64" s="184">
        <v>1</v>
      </c>
      <c r="AB64" s="186">
        <v>105.24</v>
      </c>
      <c r="AC64" s="9"/>
      <c r="AD64" s="170">
        <v>10.523999999999999</v>
      </c>
      <c r="AE64" s="9"/>
      <c r="AF64" s="9"/>
      <c r="AG64" s="9" t="s">
        <v>17</v>
      </c>
      <c r="AH64" s="185">
        <v>1.5E-5</v>
      </c>
      <c r="AI64" s="185">
        <v>2.8924993286549498E-3</v>
      </c>
      <c r="AJ64" s="185">
        <v>1.16710645502768E-3</v>
      </c>
    </row>
    <row r="65" spans="1:36">
      <c r="A65" s="9">
        <v>337</v>
      </c>
      <c r="B65" s="9">
        <v>1405</v>
      </c>
      <c r="C65" s="9" t="s">
        <v>2467</v>
      </c>
      <c r="D65" s="9" t="s">
        <v>2468</v>
      </c>
      <c r="E65" s="5" t="s">
        <v>1346</v>
      </c>
      <c r="F65" s="9" t="s">
        <v>2469</v>
      </c>
      <c r="G65" s="9" t="s">
        <v>2470</v>
      </c>
      <c r="H65" s="9" t="s">
        <v>76</v>
      </c>
      <c r="I65" s="9" t="s">
        <v>229</v>
      </c>
      <c r="J65" s="9" t="s">
        <v>53</v>
      </c>
      <c r="K65" s="9" t="s">
        <v>53</v>
      </c>
      <c r="L65" s="9" t="s">
        <v>803</v>
      </c>
      <c r="M65" s="9" t="s">
        <v>311</v>
      </c>
      <c r="N65" s="9" t="s">
        <v>633</v>
      </c>
      <c r="O65" s="9" t="s">
        <v>62</v>
      </c>
      <c r="P65" s="167" t="s">
        <v>298</v>
      </c>
      <c r="Q65" s="9" t="s">
        <v>298</v>
      </c>
      <c r="R65" s="9" t="s">
        <v>298</v>
      </c>
      <c r="S65" s="9" t="s">
        <v>1259</v>
      </c>
      <c r="T65" s="170">
        <v>2.3610000000000002</v>
      </c>
      <c r="U65" s="9" t="s">
        <v>2428</v>
      </c>
      <c r="V65" s="199">
        <v>4.4999999999999998E-2</v>
      </c>
      <c r="W65" s="185">
        <v>3.3390000000000003E-2</v>
      </c>
      <c r="X65" s="5" t="s">
        <v>618</v>
      </c>
      <c r="Y65" s="5" t="s">
        <v>62</v>
      </c>
      <c r="Z65" s="170">
        <v>16000</v>
      </c>
      <c r="AA65" s="184">
        <v>1</v>
      </c>
      <c r="AB65" s="186">
        <v>108.49</v>
      </c>
      <c r="AC65" s="9"/>
      <c r="AD65" s="170">
        <v>17.358000000000001</v>
      </c>
      <c r="AE65" s="9"/>
      <c r="AF65" s="9"/>
      <c r="AG65" s="9" t="s">
        <v>17</v>
      </c>
      <c r="AH65" s="185">
        <v>1.5999999999999999E-5</v>
      </c>
      <c r="AI65" s="185">
        <v>4.7709198352835604E-3</v>
      </c>
      <c r="AJ65" s="185">
        <v>1.9250380738267199E-3</v>
      </c>
    </row>
    <row r="66" spans="1:36">
      <c r="A66" s="9">
        <v>337</v>
      </c>
      <c r="B66" s="9">
        <v>1405</v>
      </c>
      <c r="C66" s="9" t="s">
        <v>2471</v>
      </c>
      <c r="D66" s="9" t="s">
        <v>2472</v>
      </c>
      <c r="E66" s="5" t="s">
        <v>1346</v>
      </c>
      <c r="F66" s="9" t="s">
        <v>2473</v>
      </c>
      <c r="G66" s="9" t="s">
        <v>2474</v>
      </c>
      <c r="H66" s="9" t="s">
        <v>76</v>
      </c>
      <c r="I66" s="9" t="s">
        <v>228</v>
      </c>
      <c r="J66" s="9" t="s">
        <v>53</v>
      </c>
      <c r="K66" s="9" t="s">
        <v>53</v>
      </c>
      <c r="L66" s="9" t="s">
        <v>803</v>
      </c>
      <c r="M66" s="9" t="s">
        <v>311</v>
      </c>
      <c r="N66" s="9" t="s">
        <v>140</v>
      </c>
      <c r="O66" s="9" t="s">
        <v>62</v>
      </c>
      <c r="P66" s="9" t="s">
        <v>2330</v>
      </c>
      <c r="Q66" s="9" t="s">
        <v>65</v>
      </c>
      <c r="R66" s="9" t="s">
        <v>57</v>
      </c>
      <c r="S66" s="9" t="s">
        <v>1259</v>
      </c>
      <c r="T66" s="170">
        <v>1.4570000000000001</v>
      </c>
      <c r="U66" s="9" t="s">
        <v>1615</v>
      </c>
      <c r="V66" s="199">
        <v>3.95E-2</v>
      </c>
      <c r="W66" s="185">
        <v>5.5649999999999998E-2</v>
      </c>
      <c r="X66" s="5" t="s">
        <v>618</v>
      </c>
      <c r="Y66" s="5" t="s">
        <v>62</v>
      </c>
      <c r="Z66" s="170">
        <v>20300</v>
      </c>
      <c r="AA66" s="184">
        <v>1</v>
      </c>
      <c r="AB66" s="186">
        <v>97.85</v>
      </c>
      <c r="AC66" s="9"/>
      <c r="AD66" s="170">
        <v>19.864000000000001</v>
      </c>
      <c r="AE66" s="9"/>
      <c r="AF66" s="9"/>
      <c r="AG66" s="9" t="s">
        <v>17</v>
      </c>
      <c r="AH66" s="185">
        <v>3.4999999999999997E-5</v>
      </c>
      <c r="AI66" s="185">
        <v>5.4594550588848399E-3</v>
      </c>
      <c r="AJ66" s="185">
        <v>2.2028579841091799E-3</v>
      </c>
    </row>
    <row r="67" spans="1:36">
      <c r="A67" s="9">
        <v>337</v>
      </c>
      <c r="B67" s="9">
        <v>1405</v>
      </c>
      <c r="C67" s="9" t="s">
        <v>1974</v>
      </c>
      <c r="D67" s="9" t="s">
        <v>1975</v>
      </c>
      <c r="E67" s="5" t="s">
        <v>431</v>
      </c>
      <c r="F67" s="9" t="s">
        <v>2475</v>
      </c>
      <c r="G67" s="9" t="s">
        <v>2476</v>
      </c>
      <c r="H67" s="9" t="s">
        <v>76</v>
      </c>
      <c r="I67" s="9" t="s">
        <v>228</v>
      </c>
      <c r="J67" s="9" t="s">
        <v>53</v>
      </c>
      <c r="K67" s="9" t="s">
        <v>53</v>
      </c>
      <c r="L67" s="9" t="s">
        <v>803</v>
      </c>
      <c r="M67" s="9" t="s">
        <v>311</v>
      </c>
      <c r="N67" s="9" t="s">
        <v>267</v>
      </c>
      <c r="O67" s="9" t="s">
        <v>62</v>
      </c>
      <c r="P67" s="9" t="s">
        <v>2246</v>
      </c>
      <c r="Q67" s="9" t="s">
        <v>65</v>
      </c>
      <c r="R67" s="9" t="s">
        <v>57</v>
      </c>
      <c r="S67" s="9" t="s">
        <v>1259</v>
      </c>
      <c r="T67" s="170">
        <v>2.93</v>
      </c>
      <c r="U67" s="9" t="s">
        <v>2477</v>
      </c>
      <c r="V67" s="199">
        <v>2.24E-2</v>
      </c>
      <c r="W67" s="185">
        <v>4.589E-2</v>
      </c>
      <c r="X67" s="5" t="s">
        <v>618</v>
      </c>
      <c r="Y67" s="5" t="s">
        <v>62</v>
      </c>
      <c r="Z67" s="170">
        <v>47133.71</v>
      </c>
      <c r="AA67" s="184">
        <v>1</v>
      </c>
      <c r="AB67" s="186">
        <v>94.01</v>
      </c>
      <c r="AC67" s="9"/>
      <c r="AD67" s="170">
        <v>44.31</v>
      </c>
      <c r="AE67" s="9"/>
      <c r="AF67" s="9"/>
      <c r="AG67" s="9" t="s">
        <v>17</v>
      </c>
      <c r="AH67" s="185">
        <v>8.7999999999999998E-5</v>
      </c>
      <c r="AI67" s="185">
        <v>1.21786207224011E-2</v>
      </c>
      <c r="AJ67" s="185">
        <v>4.9140017830385302E-3</v>
      </c>
    </row>
    <row r="68" spans="1:36">
      <c r="A68" s="9">
        <v>337</v>
      </c>
      <c r="B68" s="9">
        <v>1405</v>
      </c>
      <c r="C68" s="9" t="s">
        <v>2478</v>
      </c>
      <c r="D68" s="9" t="s">
        <v>2479</v>
      </c>
      <c r="E68" s="5" t="s">
        <v>1346</v>
      </c>
      <c r="F68" s="9" t="s">
        <v>2480</v>
      </c>
      <c r="G68" s="9" t="s">
        <v>2481</v>
      </c>
      <c r="H68" s="9" t="s">
        <v>76</v>
      </c>
      <c r="I68" s="9" t="s">
        <v>229</v>
      </c>
      <c r="J68" s="9" t="s">
        <v>53</v>
      </c>
      <c r="K68" s="9" t="s">
        <v>53</v>
      </c>
      <c r="L68" s="9" t="s">
        <v>803</v>
      </c>
      <c r="M68" s="9" t="s">
        <v>311</v>
      </c>
      <c r="N68" s="9" t="s">
        <v>633</v>
      </c>
      <c r="O68" s="9" t="s">
        <v>62</v>
      </c>
      <c r="P68" s="9" t="s">
        <v>2246</v>
      </c>
      <c r="Q68" s="9" t="s">
        <v>65</v>
      </c>
      <c r="R68" s="9" t="s">
        <v>57</v>
      </c>
      <c r="S68" s="9" t="s">
        <v>1259</v>
      </c>
      <c r="T68" s="170">
        <v>1.7569999999999999</v>
      </c>
      <c r="U68" s="9" t="s">
        <v>2482</v>
      </c>
      <c r="V68" s="199">
        <v>1.5800000000000002E-2</v>
      </c>
      <c r="W68" s="185">
        <v>2.7789999999999999E-2</v>
      </c>
      <c r="X68" s="5" t="s">
        <v>618</v>
      </c>
      <c r="Y68" s="5" t="s">
        <v>62</v>
      </c>
      <c r="Z68" s="170">
        <v>0.26</v>
      </c>
      <c r="AA68" s="184">
        <v>1</v>
      </c>
      <c r="AB68" s="186">
        <v>116.04</v>
      </c>
      <c r="AC68" s="9"/>
      <c r="AD68" s="170">
        <v>0</v>
      </c>
      <c r="AE68" s="9"/>
      <c r="AF68" s="9"/>
      <c r="AG68" s="9" t="s">
        <v>17</v>
      </c>
      <c r="AH68" s="185">
        <v>0</v>
      </c>
      <c r="AI68" s="185">
        <v>8.2922711654552894E-8</v>
      </c>
      <c r="AJ68" s="185">
        <v>3.34588261029713E-8</v>
      </c>
    </row>
    <row r="69" spans="1:36">
      <c r="A69" s="9">
        <v>337</v>
      </c>
      <c r="B69" s="9">
        <v>1405</v>
      </c>
      <c r="C69" s="9" t="s">
        <v>2478</v>
      </c>
      <c r="D69" s="9" t="s">
        <v>2479</v>
      </c>
      <c r="E69" s="5" t="s">
        <v>1346</v>
      </c>
      <c r="F69" s="9" t="s">
        <v>2483</v>
      </c>
      <c r="G69" s="9" t="s">
        <v>2484</v>
      </c>
      <c r="H69" s="9" t="s">
        <v>76</v>
      </c>
      <c r="I69" s="9" t="s">
        <v>229</v>
      </c>
      <c r="J69" s="9" t="s">
        <v>53</v>
      </c>
      <c r="K69" s="9" t="s">
        <v>53</v>
      </c>
      <c r="L69" s="9" t="s">
        <v>803</v>
      </c>
      <c r="M69" s="9" t="s">
        <v>311</v>
      </c>
      <c r="N69" s="9" t="s">
        <v>633</v>
      </c>
      <c r="O69" s="9" t="s">
        <v>62</v>
      </c>
      <c r="P69" s="9" t="s">
        <v>2239</v>
      </c>
      <c r="Q69" s="9" t="s">
        <v>65</v>
      </c>
      <c r="R69" s="9" t="s">
        <v>57</v>
      </c>
      <c r="S69" s="9" t="s">
        <v>1259</v>
      </c>
      <c r="T69" s="170">
        <v>2.9750000000000001</v>
      </c>
      <c r="U69" s="9" t="s">
        <v>2485</v>
      </c>
      <c r="V69" s="199">
        <v>2.4E-2</v>
      </c>
      <c r="W69" s="185">
        <v>2.9590000000000002E-2</v>
      </c>
      <c r="X69" s="5" t="s">
        <v>618</v>
      </c>
      <c r="Y69" s="5" t="s">
        <v>62</v>
      </c>
      <c r="Z69" s="170">
        <v>26447.37</v>
      </c>
      <c r="AA69" s="184">
        <v>1</v>
      </c>
      <c r="AB69" s="186">
        <v>117.41</v>
      </c>
      <c r="AC69" s="9"/>
      <c r="AD69" s="170">
        <v>31.052</v>
      </c>
      <c r="AE69" s="9"/>
      <c r="AF69" s="9"/>
      <c r="AG69" s="9" t="s">
        <v>17</v>
      </c>
      <c r="AH69" s="185">
        <v>2.1999999999999999E-5</v>
      </c>
      <c r="AI69" s="185">
        <v>8.5345378054363392E-3</v>
      </c>
      <c r="AJ69" s="185">
        <v>3.4436357736457399E-3</v>
      </c>
    </row>
    <row r="70" spans="1:36">
      <c r="A70" s="9">
        <v>337</v>
      </c>
      <c r="B70" s="9">
        <v>1405</v>
      </c>
      <c r="C70" s="9" t="s">
        <v>2478</v>
      </c>
      <c r="D70" s="9" t="s">
        <v>2479</v>
      </c>
      <c r="E70" s="5" t="s">
        <v>1346</v>
      </c>
      <c r="F70" s="9" t="s">
        <v>2486</v>
      </c>
      <c r="G70" s="9" t="s">
        <v>2487</v>
      </c>
      <c r="H70" s="9" t="s">
        <v>76</v>
      </c>
      <c r="I70" s="9" t="s">
        <v>229</v>
      </c>
      <c r="J70" s="9" t="s">
        <v>53</v>
      </c>
      <c r="K70" s="9" t="s">
        <v>53</v>
      </c>
      <c r="L70" s="9" t="s">
        <v>803</v>
      </c>
      <c r="M70" s="9" t="s">
        <v>311</v>
      </c>
      <c r="N70" s="9" t="s">
        <v>633</v>
      </c>
      <c r="O70" s="9" t="s">
        <v>62</v>
      </c>
      <c r="P70" s="9" t="s">
        <v>2246</v>
      </c>
      <c r="Q70" s="9" t="s">
        <v>65</v>
      </c>
      <c r="R70" s="9" t="s">
        <v>57</v>
      </c>
      <c r="S70" s="9" t="s">
        <v>1259</v>
      </c>
      <c r="T70" s="170">
        <v>4.2240000000000002</v>
      </c>
      <c r="U70" s="9" t="s">
        <v>2488</v>
      </c>
      <c r="V70" s="199">
        <v>8.3999999999999995E-3</v>
      </c>
      <c r="W70" s="185">
        <v>2.7869999999999999E-2</v>
      </c>
      <c r="X70" s="5" t="s">
        <v>618</v>
      </c>
      <c r="Y70" s="5" t="s">
        <v>62</v>
      </c>
      <c r="Z70" s="170">
        <v>20549.46</v>
      </c>
      <c r="AA70" s="184">
        <v>1</v>
      </c>
      <c r="AB70" s="186">
        <v>107.28</v>
      </c>
      <c r="AC70" s="9"/>
      <c r="AD70" s="170">
        <v>22.045000000000002</v>
      </c>
      <c r="AE70" s="9"/>
      <c r="AF70" s="9"/>
      <c r="AG70" s="9" t="s">
        <v>17</v>
      </c>
      <c r="AH70" s="185">
        <v>2.6999999999999999E-5</v>
      </c>
      <c r="AI70" s="185">
        <v>6.0591486354930803E-3</v>
      </c>
      <c r="AJ70" s="185">
        <v>2.4448308127160501E-3</v>
      </c>
    </row>
    <row r="71" spans="1:36">
      <c r="A71" s="9">
        <v>337</v>
      </c>
      <c r="B71" s="9">
        <v>1405</v>
      </c>
      <c r="C71" s="9" t="s">
        <v>1982</v>
      </c>
      <c r="D71" s="9" t="s">
        <v>1983</v>
      </c>
      <c r="E71" s="5" t="s">
        <v>1346</v>
      </c>
      <c r="F71" s="9" t="s">
        <v>2489</v>
      </c>
      <c r="G71" s="9" t="s">
        <v>2490</v>
      </c>
      <c r="H71" s="9" t="s">
        <v>76</v>
      </c>
      <c r="I71" s="9" t="s">
        <v>228</v>
      </c>
      <c r="J71" s="9" t="s">
        <v>53</v>
      </c>
      <c r="K71" s="9" t="s">
        <v>53</v>
      </c>
      <c r="L71" s="9" t="s">
        <v>803</v>
      </c>
      <c r="M71" s="9" t="s">
        <v>311</v>
      </c>
      <c r="N71" s="9" t="s">
        <v>269</v>
      </c>
      <c r="O71" s="9" t="s">
        <v>62</v>
      </c>
      <c r="P71" s="9" t="s">
        <v>2239</v>
      </c>
      <c r="Q71" s="9" t="s">
        <v>65</v>
      </c>
      <c r="R71" s="9" t="s">
        <v>57</v>
      </c>
      <c r="S71" s="9" t="s">
        <v>1259</v>
      </c>
      <c r="T71" s="170">
        <v>4.694</v>
      </c>
      <c r="U71" s="9" t="s">
        <v>2491</v>
      </c>
      <c r="V71" s="199">
        <v>5.2499999999999998E-2</v>
      </c>
      <c r="W71" s="185">
        <v>4.6530000000000002E-2</v>
      </c>
      <c r="X71" s="5" t="s">
        <v>618</v>
      </c>
      <c r="Y71" s="5" t="s">
        <v>62</v>
      </c>
      <c r="Z71" s="170">
        <v>15000</v>
      </c>
      <c r="AA71" s="184">
        <v>1</v>
      </c>
      <c r="AB71" s="186">
        <v>103.89</v>
      </c>
      <c r="AC71" s="9"/>
      <c r="AD71" s="170">
        <v>15.584</v>
      </c>
      <c r="AE71" s="9"/>
      <c r="AF71" s="9"/>
      <c r="AG71" s="9" t="s">
        <v>17</v>
      </c>
      <c r="AH71" s="185">
        <v>3.0000000000000001E-5</v>
      </c>
      <c r="AI71" s="185">
        <v>4.28309229267336E-3</v>
      </c>
      <c r="AJ71" s="185">
        <v>1.7282025315396999E-3</v>
      </c>
    </row>
    <row r="72" spans="1:36">
      <c r="A72" s="9">
        <v>337</v>
      </c>
      <c r="B72" s="9">
        <v>1405</v>
      </c>
      <c r="C72" s="9" t="s">
        <v>2492</v>
      </c>
      <c r="D72" s="9" t="s">
        <v>2493</v>
      </c>
      <c r="E72" s="5" t="s">
        <v>1346</v>
      </c>
      <c r="F72" s="9" t="s">
        <v>2494</v>
      </c>
      <c r="G72" s="9" t="s">
        <v>2495</v>
      </c>
      <c r="H72" s="9" t="s">
        <v>76</v>
      </c>
      <c r="I72" s="9" t="s">
        <v>228</v>
      </c>
      <c r="J72" s="9" t="s">
        <v>53</v>
      </c>
      <c r="K72" s="9" t="s">
        <v>53</v>
      </c>
      <c r="L72" s="9" t="s">
        <v>803</v>
      </c>
      <c r="M72" s="9" t="s">
        <v>1691</v>
      </c>
      <c r="N72" s="9" t="s">
        <v>269</v>
      </c>
      <c r="O72" s="9" t="s">
        <v>62</v>
      </c>
      <c r="P72" s="9" t="s">
        <v>2239</v>
      </c>
      <c r="Q72" s="9" t="s">
        <v>65</v>
      </c>
      <c r="R72" s="9" t="s">
        <v>57</v>
      </c>
      <c r="S72" s="9" t="s">
        <v>1259</v>
      </c>
      <c r="T72" s="170">
        <v>8.5109999999999992</v>
      </c>
      <c r="U72" s="9" t="s">
        <v>2496</v>
      </c>
      <c r="V72" s="199">
        <v>5.5100000000000003E-2</v>
      </c>
      <c r="W72" s="185">
        <v>5.1450000000000003E-2</v>
      </c>
      <c r="X72" s="5" t="s">
        <v>618</v>
      </c>
      <c r="Y72" s="5" t="s">
        <v>62</v>
      </c>
      <c r="Z72" s="170">
        <v>17000</v>
      </c>
      <c r="AA72" s="184">
        <v>1</v>
      </c>
      <c r="AB72" s="186">
        <v>104.59</v>
      </c>
      <c r="AC72" s="9"/>
      <c r="AD72" s="170">
        <v>17.78</v>
      </c>
      <c r="AE72" s="9"/>
      <c r="AF72" s="9"/>
      <c r="AG72" s="9" t="s">
        <v>17</v>
      </c>
      <c r="AH72" s="185">
        <v>3.4E-5</v>
      </c>
      <c r="AI72" s="185">
        <v>4.88687816545835E-3</v>
      </c>
      <c r="AJ72" s="185">
        <v>1.97182657756828E-3</v>
      </c>
    </row>
    <row r="73" spans="1:36">
      <c r="A73" s="9">
        <v>337</v>
      </c>
      <c r="B73" s="9">
        <v>1405</v>
      </c>
      <c r="C73" s="9" t="s">
        <v>1663</v>
      </c>
      <c r="D73" s="9" t="s">
        <v>1664</v>
      </c>
      <c r="E73" s="5" t="s">
        <v>1346</v>
      </c>
      <c r="F73" s="9" t="s">
        <v>2497</v>
      </c>
      <c r="G73" s="9" t="s">
        <v>2498</v>
      </c>
      <c r="H73" s="9" t="s">
        <v>76</v>
      </c>
      <c r="I73" s="9" t="s">
        <v>229</v>
      </c>
      <c r="J73" s="9" t="s">
        <v>53</v>
      </c>
      <c r="K73" s="9" t="s">
        <v>53</v>
      </c>
      <c r="L73" s="9" t="s">
        <v>803</v>
      </c>
      <c r="M73" s="9" t="s">
        <v>311</v>
      </c>
      <c r="N73" s="9" t="s">
        <v>256</v>
      </c>
      <c r="O73" s="9" t="s">
        <v>62</v>
      </c>
      <c r="P73" s="9" t="s">
        <v>1641</v>
      </c>
      <c r="Q73" s="9" t="s">
        <v>65</v>
      </c>
      <c r="R73" s="9" t="s">
        <v>57</v>
      </c>
      <c r="S73" s="9" t="s">
        <v>1259</v>
      </c>
      <c r="T73" s="170">
        <v>2.0920000000000001</v>
      </c>
      <c r="U73" s="9" t="s">
        <v>2499</v>
      </c>
      <c r="V73" s="199">
        <v>1.8599999999999998E-2</v>
      </c>
      <c r="W73" s="185">
        <v>2.5680000000000001E-2</v>
      </c>
      <c r="X73" s="5" t="s">
        <v>618</v>
      </c>
      <c r="Y73" s="5" t="s">
        <v>62</v>
      </c>
      <c r="Z73" s="170">
        <v>14400</v>
      </c>
      <c r="AA73" s="184">
        <v>1</v>
      </c>
      <c r="AB73" s="186">
        <v>104.2</v>
      </c>
      <c r="AC73" s="9"/>
      <c r="AD73" s="170">
        <v>15.005000000000001</v>
      </c>
      <c r="AE73" s="9"/>
      <c r="AF73" s="9"/>
      <c r="AG73" s="9" t="s">
        <v>17</v>
      </c>
      <c r="AH73" s="185">
        <v>5.0000000000000004E-6</v>
      </c>
      <c r="AI73" s="185">
        <v>4.12403781134567E-3</v>
      </c>
      <c r="AJ73" s="185">
        <v>1.6640249844545099E-3</v>
      </c>
    </row>
    <row r="74" spans="1:36">
      <c r="A74" s="9">
        <v>337</v>
      </c>
      <c r="B74" s="9">
        <v>1405</v>
      </c>
      <c r="C74" s="9" t="s">
        <v>1663</v>
      </c>
      <c r="D74" s="9" t="s">
        <v>1664</v>
      </c>
      <c r="E74" s="5" t="s">
        <v>1346</v>
      </c>
      <c r="F74" s="9" t="s">
        <v>2500</v>
      </c>
      <c r="G74" s="9" t="s">
        <v>2501</v>
      </c>
      <c r="H74" s="9" t="s">
        <v>76</v>
      </c>
      <c r="I74" s="9" t="s">
        <v>229</v>
      </c>
      <c r="J74" s="9" t="s">
        <v>53</v>
      </c>
      <c r="K74" s="9" t="s">
        <v>53</v>
      </c>
      <c r="L74" s="9" t="s">
        <v>803</v>
      </c>
      <c r="M74" s="9" t="s">
        <v>311</v>
      </c>
      <c r="N74" s="9" t="s">
        <v>256</v>
      </c>
      <c r="O74" s="9" t="s">
        <v>62</v>
      </c>
      <c r="P74" s="9" t="s">
        <v>1641</v>
      </c>
      <c r="Q74" s="9" t="s">
        <v>65</v>
      </c>
      <c r="R74" s="9" t="s">
        <v>57</v>
      </c>
      <c r="S74" s="9" t="s">
        <v>1259</v>
      </c>
      <c r="T74" s="170">
        <v>4.3879999999999999</v>
      </c>
      <c r="U74" s="9" t="s">
        <v>2502</v>
      </c>
      <c r="V74" s="199">
        <v>2.0199999999999999E-2</v>
      </c>
      <c r="W74" s="185">
        <v>2.6360000000000001E-2</v>
      </c>
      <c r="X74" s="5" t="s">
        <v>618</v>
      </c>
      <c r="Y74" s="5" t="s">
        <v>62</v>
      </c>
      <c r="Z74" s="170">
        <v>66000</v>
      </c>
      <c r="AA74" s="184">
        <v>1</v>
      </c>
      <c r="AB74" s="186">
        <v>102.52</v>
      </c>
      <c r="AC74" s="9"/>
      <c r="AD74" s="170">
        <v>67.662999999999997</v>
      </c>
      <c r="AE74" s="9"/>
      <c r="AF74" s="9"/>
      <c r="AG74" s="9" t="s">
        <v>17</v>
      </c>
      <c r="AH74" s="185">
        <v>1.8E-5</v>
      </c>
      <c r="AI74" s="185">
        <v>1.8597088614086502E-2</v>
      </c>
      <c r="AJ74" s="185">
        <v>7.50381580081991E-3</v>
      </c>
    </row>
    <row r="75" spans="1:36">
      <c r="A75" s="9">
        <v>337</v>
      </c>
      <c r="B75" s="9">
        <v>1405</v>
      </c>
      <c r="C75" s="9" t="s">
        <v>1663</v>
      </c>
      <c r="D75" s="9" t="s">
        <v>1664</v>
      </c>
      <c r="E75" s="5" t="s">
        <v>1346</v>
      </c>
      <c r="F75" s="9" t="s">
        <v>2503</v>
      </c>
      <c r="G75" s="9" t="s">
        <v>2504</v>
      </c>
      <c r="H75" s="9" t="s">
        <v>76</v>
      </c>
      <c r="I75" s="9" t="s">
        <v>229</v>
      </c>
      <c r="J75" s="9" t="s">
        <v>53</v>
      </c>
      <c r="K75" s="9" t="s">
        <v>53</v>
      </c>
      <c r="L75" s="9" t="s">
        <v>803</v>
      </c>
      <c r="M75" s="9" t="s">
        <v>311</v>
      </c>
      <c r="N75" s="9" t="s">
        <v>256</v>
      </c>
      <c r="O75" s="9" t="s">
        <v>62</v>
      </c>
      <c r="P75" s="9" t="s">
        <v>1641</v>
      </c>
      <c r="Q75" s="9" t="s">
        <v>65</v>
      </c>
      <c r="R75" s="9" t="s">
        <v>57</v>
      </c>
      <c r="S75" s="9" t="s">
        <v>1259</v>
      </c>
      <c r="T75" s="170">
        <v>4.3920000000000003</v>
      </c>
      <c r="U75" s="9" t="s">
        <v>2505</v>
      </c>
      <c r="V75" s="199">
        <v>1E-3</v>
      </c>
      <c r="W75" s="185">
        <v>2.581E-2</v>
      </c>
      <c r="X75" s="5" t="s">
        <v>618</v>
      </c>
      <c r="Y75" s="5" t="s">
        <v>62</v>
      </c>
      <c r="Z75" s="170">
        <v>79000</v>
      </c>
      <c r="AA75" s="184">
        <v>1</v>
      </c>
      <c r="AB75" s="186">
        <v>102.6</v>
      </c>
      <c r="AC75" s="9"/>
      <c r="AD75" s="170">
        <v>81.054000000000002</v>
      </c>
      <c r="AE75" s="9"/>
      <c r="AF75" s="9"/>
      <c r="AG75" s="9" t="s">
        <v>17</v>
      </c>
      <c r="AH75" s="185">
        <v>1.8E-5</v>
      </c>
      <c r="AI75" s="185">
        <v>2.22775219103762E-2</v>
      </c>
      <c r="AJ75" s="185">
        <v>8.9888489743266201E-3</v>
      </c>
    </row>
    <row r="76" spans="1:36">
      <c r="A76" s="9">
        <v>337</v>
      </c>
      <c r="B76" s="9">
        <v>1405</v>
      </c>
      <c r="C76" s="9" t="s">
        <v>1663</v>
      </c>
      <c r="D76" s="9" t="s">
        <v>1664</v>
      </c>
      <c r="E76" s="5" t="s">
        <v>1346</v>
      </c>
      <c r="F76" s="9" t="s">
        <v>2506</v>
      </c>
      <c r="G76" s="9" t="s">
        <v>2507</v>
      </c>
      <c r="H76" s="9" t="s">
        <v>76</v>
      </c>
      <c r="I76" s="9" t="s">
        <v>229</v>
      </c>
      <c r="J76" s="9" t="s">
        <v>53</v>
      </c>
      <c r="K76" s="9" t="s">
        <v>53</v>
      </c>
      <c r="L76" s="9" t="s">
        <v>803</v>
      </c>
      <c r="M76" s="9" t="s">
        <v>311</v>
      </c>
      <c r="N76" s="9" t="s">
        <v>256</v>
      </c>
      <c r="O76" s="9" t="s">
        <v>62</v>
      </c>
      <c r="P76" s="9" t="s">
        <v>2239</v>
      </c>
      <c r="Q76" s="9" t="s">
        <v>65</v>
      </c>
      <c r="R76" s="9" t="s">
        <v>57</v>
      </c>
      <c r="S76" s="9" t="s">
        <v>1259</v>
      </c>
      <c r="T76" s="170">
        <v>2.6920000000000002</v>
      </c>
      <c r="U76" s="9" t="s">
        <v>2508</v>
      </c>
      <c r="V76" s="199">
        <v>1.4999999999999999E-2</v>
      </c>
      <c r="W76" s="185">
        <v>2.954E-2</v>
      </c>
      <c r="X76" s="5" t="s">
        <v>618</v>
      </c>
      <c r="Y76" s="5" t="s">
        <v>62</v>
      </c>
      <c r="Z76" s="170">
        <v>50000</v>
      </c>
      <c r="AA76" s="184">
        <v>1</v>
      </c>
      <c r="AB76" s="186">
        <v>109.15</v>
      </c>
      <c r="AC76" s="9"/>
      <c r="AD76" s="170">
        <v>54.575000000000003</v>
      </c>
      <c r="AE76" s="9"/>
      <c r="AF76" s="9"/>
      <c r="AG76" s="9" t="s">
        <v>17</v>
      </c>
      <c r="AH76" s="185">
        <v>3.6000000000000001E-5</v>
      </c>
      <c r="AI76" s="185">
        <v>1.49998242931722E-2</v>
      </c>
      <c r="AJ76" s="185">
        <v>6.0523408193781303E-3</v>
      </c>
    </row>
    <row r="77" spans="1:36">
      <c r="A77" s="9">
        <v>337</v>
      </c>
      <c r="B77" s="9">
        <v>1405</v>
      </c>
      <c r="C77" s="9" t="s">
        <v>1663</v>
      </c>
      <c r="D77" s="9" t="s">
        <v>1664</v>
      </c>
      <c r="E77" s="5" t="s">
        <v>1346</v>
      </c>
      <c r="F77" s="9" t="s">
        <v>2509</v>
      </c>
      <c r="G77" s="9" t="s">
        <v>2510</v>
      </c>
      <c r="H77" s="9" t="s">
        <v>76</v>
      </c>
      <c r="I77" s="9" t="s">
        <v>229</v>
      </c>
      <c r="J77" s="9" t="s">
        <v>53</v>
      </c>
      <c r="K77" s="9" t="s">
        <v>53</v>
      </c>
      <c r="L77" s="9" t="s">
        <v>803</v>
      </c>
      <c r="M77" s="9" t="s">
        <v>1691</v>
      </c>
      <c r="N77" s="9" t="s">
        <v>256</v>
      </c>
      <c r="O77" s="9" t="s">
        <v>62</v>
      </c>
      <c r="P77" s="9" t="s">
        <v>2239</v>
      </c>
      <c r="Q77" s="9" t="s">
        <v>65</v>
      </c>
      <c r="R77" s="9" t="s">
        <v>57</v>
      </c>
      <c r="S77" s="9" t="s">
        <v>1259</v>
      </c>
      <c r="T77" s="170">
        <v>5.2320000000000002</v>
      </c>
      <c r="U77" s="9" t="s">
        <v>2511</v>
      </c>
      <c r="V77" s="199">
        <v>3.1E-2</v>
      </c>
      <c r="W77" s="185">
        <v>2.937E-2</v>
      </c>
      <c r="X77" s="5" t="s">
        <v>618</v>
      </c>
      <c r="Y77" s="5" t="s">
        <v>62</v>
      </c>
      <c r="Z77" s="170">
        <v>21000</v>
      </c>
      <c r="AA77" s="184">
        <v>1</v>
      </c>
      <c r="AB77" s="186">
        <v>103.76</v>
      </c>
      <c r="AC77" s="9"/>
      <c r="AD77" s="170">
        <v>21.79</v>
      </c>
      <c r="AE77" s="9"/>
      <c r="AF77" s="9"/>
      <c r="AG77" s="9" t="s">
        <v>17</v>
      </c>
      <c r="AH77" s="185">
        <v>1.4E-5</v>
      </c>
      <c r="AI77" s="185">
        <v>5.9888258619973404E-3</v>
      </c>
      <c r="AJ77" s="185">
        <v>2.416455987502E-3</v>
      </c>
    </row>
    <row r="78" spans="1:36">
      <c r="A78" s="9">
        <v>337</v>
      </c>
      <c r="B78" s="9">
        <v>1405</v>
      </c>
      <c r="C78" s="9" t="s">
        <v>2512</v>
      </c>
      <c r="D78" s="9" t="s">
        <v>2513</v>
      </c>
      <c r="E78" s="5" t="s">
        <v>1346</v>
      </c>
      <c r="F78" s="9" t="s">
        <v>2514</v>
      </c>
      <c r="G78" s="9" t="s">
        <v>2515</v>
      </c>
      <c r="H78" s="9" t="s">
        <v>76</v>
      </c>
      <c r="I78" s="9" t="s">
        <v>228</v>
      </c>
      <c r="J78" s="9" t="s">
        <v>53</v>
      </c>
      <c r="K78" s="9" t="s">
        <v>53</v>
      </c>
      <c r="L78" s="9" t="s">
        <v>803</v>
      </c>
      <c r="M78" s="9" t="s">
        <v>311</v>
      </c>
      <c r="N78" s="9" t="s">
        <v>140</v>
      </c>
      <c r="O78" s="9" t="s">
        <v>62</v>
      </c>
      <c r="P78" s="167" t="s">
        <v>298</v>
      </c>
      <c r="Q78" s="9" t="s">
        <v>298</v>
      </c>
      <c r="R78" s="9" t="s">
        <v>298</v>
      </c>
      <c r="S78" s="9" t="s">
        <v>1259</v>
      </c>
      <c r="T78" s="170">
        <v>2.8420000000000001</v>
      </c>
      <c r="U78" s="9" t="s">
        <v>2516</v>
      </c>
      <c r="V78" s="199">
        <v>8.1500000000000003E-2</v>
      </c>
      <c r="W78" s="185">
        <v>5.6730000000000003E-2</v>
      </c>
      <c r="X78" s="5" t="s">
        <v>618</v>
      </c>
      <c r="Y78" s="5" t="s">
        <v>62</v>
      </c>
      <c r="Z78" s="170">
        <v>10000</v>
      </c>
      <c r="AA78" s="184">
        <v>1</v>
      </c>
      <c r="AB78" s="186">
        <v>109.5</v>
      </c>
      <c r="AC78" s="9"/>
      <c r="AD78" s="170">
        <v>10.95</v>
      </c>
      <c r="AE78" s="9"/>
      <c r="AF78" s="9"/>
      <c r="AG78" s="9" t="s">
        <v>17</v>
      </c>
      <c r="AH78" s="185">
        <v>4.8000000000000001E-5</v>
      </c>
      <c r="AI78" s="185">
        <v>3.00958453523107E-3</v>
      </c>
      <c r="AJ78" s="185">
        <v>1.21434964676483E-3</v>
      </c>
    </row>
    <row r="79" spans="1:36">
      <c r="A79" s="9">
        <v>337</v>
      </c>
      <c r="B79" s="9">
        <v>1405</v>
      </c>
      <c r="C79" s="9" t="s">
        <v>2517</v>
      </c>
      <c r="D79" s="9" t="s">
        <v>2518</v>
      </c>
      <c r="E79" s="5" t="s">
        <v>1346</v>
      </c>
      <c r="F79" s="9" t="s">
        <v>2519</v>
      </c>
      <c r="G79" s="9" t="s">
        <v>2520</v>
      </c>
      <c r="H79" s="9" t="s">
        <v>76</v>
      </c>
      <c r="I79" s="9" t="s">
        <v>228</v>
      </c>
      <c r="J79" s="9" t="s">
        <v>53</v>
      </c>
      <c r="K79" s="9" t="s">
        <v>314</v>
      </c>
      <c r="L79" s="9" t="s">
        <v>803</v>
      </c>
      <c r="M79" s="9" t="s">
        <v>311</v>
      </c>
      <c r="N79" s="9" t="s">
        <v>634</v>
      </c>
      <c r="O79" s="9" t="s">
        <v>62</v>
      </c>
      <c r="P79" s="9" t="s">
        <v>1607</v>
      </c>
      <c r="Q79" s="9" t="s">
        <v>65</v>
      </c>
      <c r="R79" s="9" t="s">
        <v>57</v>
      </c>
      <c r="S79" s="9" t="s">
        <v>1259</v>
      </c>
      <c r="T79" s="170">
        <v>0.41399999999999998</v>
      </c>
      <c r="U79" s="9" t="s">
        <v>2521</v>
      </c>
      <c r="V79" s="199">
        <v>3.95E-2</v>
      </c>
      <c r="W79" s="185">
        <v>5.1709999999999999E-2</v>
      </c>
      <c r="X79" s="5" t="s">
        <v>618</v>
      </c>
      <c r="Y79" s="5" t="s">
        <v>62</v>
      </c>
      <c r="Z79" s="170">
        <v>5000</v>
      </c>
      <c r="AA79" s="184">
        <v>1</v>
      </c>
      <c r="AB79" s="186">
        <v>99.87</v>
      </c>
      <c r="AC79" s="9"/>
      <c r="AD79" s="170">
        <v>4.9939999999999998</v>
      </c>
      <c r="AE79" s="9"/>
      <c r="AF79" s="9"/>
      <c r="AG79" s="9" t="s">
        <v>17</v>
      </c>
      <c r="AH79" s="185">
        <v>1.5999999999999999E-5</v>
      </c>
      <c r="AI79" s="185">
        <v>1.37245300243619E-3</v>
      </c>
      <c r="AJ79" s="185">
        <v>5.5377670877809803E-4</v>
      </c>
    </row>
    <row r="80" spans="1:36">
      <c r="A80" s="9">
        <v>337</v>
      </c>
      <c r="B80" s="9">
        <v>1405</v>
      </c>
      <c r="C80" s="9" t="s">
        <v>1992</v>
      </c>
      <c r="D80" s="9" t="s">
        <v>1993</v>
      </c>
      <c r="E80" s="5" t="s">
        <v>1346</v>
      </c>
      <c r="F80" s="9" t="s">
        <v>2522</v>
      </c>
      <c r="G80" s="9" t="s">
        <v>2523</v>
      </c>
      <c r="H80" s="9" t="s">
        <v>76</v>
      </c>
      <c r="I80" s="9" t="s">
        <v>229</v>
      </c>
      <c r="J80" s="9" t="s">
        <v>53</v>
      </c>
      <c r="K80" s="9" t="s">
        <v>53</v>
      </c>
      <c r="L80" s="9" t="s">
        <v>803</v>
      </c>
      <c r="M80" s="9" t="s">
        <v>311</v>
      </c>
      <c r="N80" s="9" t="s">
        <v>633</v>
      </c>
      <c r="O80" s="9" t="s">
        <v>62</v>
      </c>
      <c r="P80" s="9" t="s">
        <v>2246</v>
      </c>
      <c r="Q80" s="9" t="s">
        <v>65</v>
      </c>
      <c r="R80" s="9" t="s">
        <v>57</v>
      </c>
      <c r="S80" s="9" t="s">
        <v>1259</v>
      </c>
      <c r="T80" s="170">
        <v>5.1150000000000002</v>
      </c>
      <c r="U80" s="9" t="s">
        <v>2524</v>
      </c>
      <c r="V80" s="199">
        <v>3.5000000000000001E-3</v>
      </c>
      <c r="W80" s="185">
        <v>2.9239999999999999E-2</v>
      </c>
      <c r="X80" s="5" t="s">
        <v>618</v>
      </c>
      <c r="Y80" s="5" t="s">
        <v>62</v>
      </c>
      <c r="Z80" s="170">
        <v>45000</v>
      </c>
      <c r="AA80" s="184">
        <v>1</v>
      </c>
      <c r="AB80" s="186">
        <v>100.33</v>
      </c>
      <c r="AC80" s="9"/>
      <c r="AD80" s="170">
        <v>45.148000000000003</v>
      </c>
      <c r="AE80" s="9"/>
      <c r="AF80" s="9"/>
      <c r="AG80" s="9" t="s">
        <v>17</v>
      </c>
      <c r="AH80" s="185">
        <v>1.2999999999999999E-5</v>
      </c>
      <c r="AI80" s="185">
        <v>1.2408970537797199E-2</v>
      </c>
      <c r="AJ80" s="185">
        <v>5.0069465778047398E-3</v>
      </c>
    </row>
    <row r="81" spans="1:36">
      <c r="A81" s="9">
        <v>337</v>
      </c>
      <c r="B81" s="9">
        <v>1405</v>
      </c>
      <c r="C81" s="9" t="s">
        <v>1992</v>
      </c>
      <c r="D81" s="9" t="s">
        <v>1993</v>
      </c>
      <c r="E81" s="5" t="s">
        <v>1346</v>
      </c>
      <c r="F81" s="9" t="s">
        <v>2525</v>
      </c>
      <c r="G81" s="9" t="s">
        <v>2526</v>
      </c>
      <c r="H81" s="9" t="s">
        <v>76</v>
      </c>
      <c r="I81" s="9" t="s">
        <v>229</v>
      </c>
      <c r="J81" s="9" t="s">
        <v>53</v>
      </c>
      <c r="K81" s="9" t="s">
        <v>53</v>
      </c>
      <c r="L81" s="9" t="s">
        <v>803</v>
      </c>
      <c r="M81" s="9" t="s">
        <v>311</v>
      </c>
      <c r="N81" s="9" t="s">
        <v>633</v>
      </c>
      <c r="O81" s="9" t="s">
        <v>62</v>
      </c>
      <c r="P81" s="9" t="s">
        <v>2246</v>
      </c>
      <c r="Q81" s="9" t="s">
        <v>65</v>
      </c>
      <c r="R81" s="9" t="s">
        <v>57</v>
      </c>
      <c r="S81" s="9" t="s">
        <v>1259</v>
      </c>
      <c r="T81" s="170">
        <v>2.7789999999999999</v>
      </c>
      <c r="U81" s="9" t="s">
        <v>2527</v>
      </c>
      <c r="V81" s="199">
        <v>2.81E-2</v>
      </c>
      <c r="W81" s="185">
        <v>2.716E-2</v>
      </c>
      <c r="X81" s="5" t="s">
        <v>618</v>
      </c>
      <c r="Y81" s="5" t="s">
        <v>62</v>
      </c>
      <c r="Z81" s="170">
        <v>55250</v>
      </c>
      <c r="AA81" s="184">
        <v>1</v>
      </c>
      <c r="AB81" s="186">
        <v>118.81</v>
      </c>
      <c r="AC81" s="9"/>
      <c r="AD81" s="170">
        <v>65.643000000000001</v>
      </c>
      <c r="AE81" s="9"/>
      <c r="AF81" s="9"/>
      <c r="AG81" s="9" t="s">
        <v>17</v>
      </c>
      <c r="AH81" s="185">
        <v>4.0000000000000003E-5</v>
      </c>
      <c r="AI81" s="185">
        <v>1.8041710328175201E-2</v>
      </c>
      <c r="AJ81" s="185">
        <v>7.2797239311873504E-3</v>
      </c>
    </row>
    <row r="82" spans="1:36">
      <c r="A82" s="9">
        <v>337</v>
      </c>
      <c r="B82" s="9">
        <v>1405</v>
      </c>
      <c r="C82" s="9" t="s">
        <v>2528</v>
      </c>
      <c r="D82" s="9" t="s">
        <v>2529</v>
      </c>
      <c r="E82" s="5" t="s">
        <v>1346</v>
      </c>
      <c r="F82" s="9" t="s">
        <v>2530</v>
      </c>
      <c r="G82" s="9" t="s">
        <v>2531</v>
      </c>
      <c r="H82" s="9" t="s">
        <v>76</v>
      </c>
      <c r="I82" s="9" t="s">
        <v>228</v>
      </c>
      <c r="J82" s="9" t="s">
        <v>53</v>
      </c>
      <c r="K82" s="9" t="s">
        <v>53</v>
      </c>
      <c r="L82" s="9" t="s">
        <v>803</v>
      </c>
      <c r="M82" s="9" t="s">
        <v>311</v>
      </c>
      <c r="N82" s="9" t="s">
        <v>633</v>
      </c>
      <c r="O82" s="9" t="s">
        <v>62</v>
      </c>
      <c r="P82" s="9" t="s">
        <v>2225</v>
      </c>
      <c r="Q82" s="9" t="s">
        <v>70</v>
      </c>
      <c r="R82" s="9" t="s">
        <v>57</v>
      </c>
      <c r="S82" s="9" t="s">
        <v>1259</v>
      </c>
      <c r="T82" s="170">
        <v>2.7469999999999999</v>
      </c>
      <c r="U82" s="9" t="s">
        <v>2273</v>
      </c>
      <c r="V82" s="199">
        <v>3.04E-2</v>
      </c>
      <c r="W82" s="185">
        <v>4.7059999999999998E-2</v>
      </c>
      <c r="X82" s="5" t="s">
        <v>618</v>
      </c>
      <c r="Y82" s="5" t="s">
        <v>62</v>
      </c>
      <c r="Z82" s="170">
        <v>24002.240000000002</v>
      </c>
      <c r="AA82" s="184">
        <v>1</v>
      </c>
      <c r="AB82" s="186">
        <v>95.74</v>
      </c>
      <c r="AC82" s="9"/>
      <c r="AD82" s="170">
        <v>22.98</v>
      </c>
      <c r="AE82" s="9"/>
      <c r="AF82" s="9"/>
      <c r="AG82" s="9" t="s">
        <v>17</v>
      </c>
      <c r="AH82" s="185">
        <v>7.7999999999999999E-5</v>
      </c>
      <c r="AI82" s="185">
        <v>6.3159346026931103E-3</v>
      </c>
      <c r="AJ82" s="185">
        <v>2.54844243914261E-3</v>
      </c>
    </row>
    <row r="83" spans="1:36">
      <c r="A83" s="9">
        <v>337</v>
      </c>
      <c r="B83" s="9">
        <v>1405</v>
      </c>
      <c r="C83" s="9" t="s">
        <v>2532</v>
      </c>
      <c r="D83" s="9" t="s">
        <v>2533</v>
      </c>
      <c r="E83" s="5" t="s">
        <v>1346</v>
      </c>
      <c r="F83" s="9" t="s">
        <v>2534</v>
      </c>
      <c r="G83" s="9" t="s">
        <v>2535</v>
      </c>
      <c r="H83" s="9" t="s">
        <v>76</v>
      </c>
      <c r="I83" s="9" t="s">
        <v>229</v>
      </c>
      <c r="J83" s="9" t="s">
        <v>53</v>
      </c>
      <c r="K83" s="9" t="s">
        <v>53</v>
      </c>
      <c r="L83" s="9" t="s">
        <v>803</v>
      </c>
      <c r="M83" s="9" t="s">
        <v>311</v>
      </c>
      <c r="N83" s="9" t="s">
        <v>633</v>
      </c>
      <c r="O83" s="9" t="s">
        <v>62</v>
      </c>
      <c r="P83" s="9" t="s">
        <v>1607</v>
      </c>
      <c r="Q83" s="9" t="s">
        <v>65</v>
      </c>
      <c r="R83" s="9" t="s">
        <v>57</v>
      </c>
      <c r="S83" s="9" t="s">
        <v>1259</v>
      </c>
      <c r="T83" s="170">
        <v>1.133</v>
      </c>
      <c r="U83" s="9" t="s">
        <v>2536</v>
      </c>
      <c r="V83" s="199">
        <v>2.0500000000000001E-2</v>
      </c>
      <c r="W83" s="185">
        <v>3.2419999999999997E-2</v>
      </c>
      <c r="X83" s="5" t="s">
        <v>618</v>
      </c>
      <c r="Y83" s="5" t="s">
        <v>62</v>
      </c>
      <c r="Z83" s="170">
        <v>16267.71</v>
      </c>
      <c r="AA83" s="184">
        <v>1</v>
      </c>
      <c r="AB83" s="186">
        <v>117.83</v>
      </c>
      <c r="AC83" s="9"/>
      <c r="AD83" s="170">
        <v>19.167999999999999</v>
      </c>
      <c r="AE83" s="9"/>
      <c r="AF83" s="9"/>
      <c r="AG83" s="9" t="s">
        <v>17</v>
      </c>
      <c r="AH83" s="185">
        <v>2.1999999999999999E-5</v>
      </c>
      <c r="AI83" s="185">
        <v>5.2683513037816198E-3</v>
      </c>
      <c r="AJ83" s="185">
        <v>2.1257487436846601E-3</v>
      </c>
    </row>
    <row r="84" spans="1:36">
      <c r="A84" s="9">
        <v>337</v>
      </c>
      <c r="B84" s="9">
        <v>1405</v>
      </c>
      <c r="C84" s="9" t="s">
        <v>2532</v>
      </c>
      <c r="D84" s="9" t="s">
        <v>2533</v>
      </c>
      <c r="E84" s="5" t="s">
        <v>1346</v>
      </c>
      <c r="F84" s="9" t="s">
        <v>2537</v>
      </c>
      <c r="G84" s="9" t="s">
        <v>2538</v>
      </c>
      <c r="H84" s="9" t="s">
        <v>76</v>
      </c>
      <c r="I84" s="9" t="s">
        <v>229</v>
      </c>
      <c r="J84" s="9" t="s">
        <v>53</v>
      </c>
      <c r="K84" s="9" t="s">
        <v>53</v>
      </c>
      <c r="L84" s="9" t="s">
        <v>803</v>
      </c>
      <c r="M84" s="9" t="s">
        <v>311</v>
      </c>
      <c r="N84" s="9" t="s">
        <v>633</v>
      </c>
      <c r="O84" s="9" t="s">
        <v>62</v>
      </c>
      <c r="P84" s="9" t="s">
        <v>1607</v>
      </c>
      <c r="Q84" s="9" t="s">
        <v>65</v>
      </c>
      <c r="R84" s="9" t="s">
        <v>57</v>
      </c>
      <c r="S84" s="9" t="s">
        <v>1259</v>
      </c>
      <c r="T84" s="170">
        <v>3.585</v>
      </c>
      <c r="U84" s="9" t="s">
        <v>2539</v>
      </c>
      <c r="V84" s="199">
        <v>8.3999999999999995E-3</v>
      </c>
      <c r="W84" s="185">
        <v>2.9960000000000001E-2</v>
      </c>
      <c r="X84" s="5" t="s">
        <v>618</v>
      </c>
      <c r="Y84" s="5" t="s">
        <v>62</v>
      </c>
      <c r="Z84" s="170">
        <v>30000</v>
      </c>
      <c r="AA84" s="184">
        <v>1</v>
      </c>
      <c r="AB84" s="186">
        <v>108.57</v>
      </c>
      <c r="AC84" s="9"/>
      <c r="AD84" s="170">
        <v>32.570999999999998</v>
      </c>
      <c r="AE84" s="9"/>
      <c r="AF84" s="9"/>
      <c r="AG84" s="9" t="s">
        <v>17</v>
      </c>
      <c r="AH84" s="185">
        <v>3.6000000000000001E-5</v>
      </c>
      <c r="AI84" s="185">
        <v>8.9520710408229308E-3</v>
      </c>
      <c r="AJ84" s="185">
        <v>3.6121079766919901E-3</v>
      </c>
    </row>
    <row r="85" spans="1:36">
      <c r="A85" s="9">
        <v>337</v>
      </c>
      <c r="B85" s="9">
        <v>1405</v>
      </c>
      <c r="C85" s="9" t="s">
        <v>2532</v>
      </c>
      <c r="D85" s="9" t="s">
        <v>2533</v>
      </c>
      <c r="E85" s="5" t="s">
        <v>1346</v>
      </c>
      <c r="F85" s="9" t="s">
        <v>2540</v>
      </c>
      <c r="G85" s="9" t="s">
        <v>2541</v>
      </c>
      <c r="H85" s="9" t="s">
        <v>76</v>
      </c>
      <c r="I85" s="9" t="s">
        <v>229</v>
      </c>
      <c r="J85" s="9" t="s">
        <v>53</v>
      </c>
      <c r="K85" s="9" t="s">
        <v>53</v>
      </c>
      <c r="L85" s="9" t="s">
        <v>803</v>
      </c>
      <c r="M85" s="9" t="s">
        <v>311</v>
      </c>
      <c r="N85" s="9" t="s">
        <v>633</v>
      </c>
      <c r="O85" s="9" t="s">
        <v>62</v>
      </c>
      <c r="P85" s="9" t="s">
        <v>1607</v>
      </c>
      <c r="Q85" s="9" t="s">
        <v>65</v>
      </c>
      <c r="R85" s="9" t="s">
        <v>57</v>
      </c>
      <c r="S85" s="9" t="s">
        <v>1259</v>
      </c>
      <c r="T85" s="170">
        <v>5.1100000000000003</v>
      </c>
      <c r="U85" s="9" t="s">
        <v>2542</v>
      </c>
      <c r="V85" s="199">
        <v>9.7000000000000003E-3</v>
      </c>
      <c r="W85" s="185">
        <v>3.2030000000000003E-2</v>
      </c>
      <c r="X85" s="5" t="s">
        <v>618</v>
      </c>
      <c r="Y85" s="5" t="s">
        <v>62</v>
      </c>
      <c r="Z85" s="170">
        <v>15529.41</v>
      </c>
      <c r="AA85" s="184">
        <v>1</v>
      </c>
      <c r="AB85" s="186">
        <v>103.36</v>
      </c>
      <c r="AC85" s="9"/>
      <c r="AD85" s="170">
        <v>16.050999999999998</v>
      </c>
      <c r="AE85" s="9"/>
      <c r="AF85" s="9"/>
      <c r="AG85" s="9" t="s">
        <v>17</v>
      </c>
      <c r="AH85" s="185">
        <v>2.5999999999999998E-5</v>
      </c>
      <c r="AI85" s="185">
        <v>4.4116381554720301E-3</v>
      </c>
      <c r="AJ85" s="185">
        <v>1.7800700306098501E-3</v>
      </c>
    </row>
    <row r="86" spans="1:36">
      <c r="A86" s="9">
        <v>337</v>
      </c>
      <c r="B86" s="9">
        <v>1405</v>
      </c>
      <c r="C86" s="9" t="s">
        <v>2543</v>
      </c>
      <c r="D86" s="9" t="s">
        <v>2544</v>
      </c>
      <c r="E86" s="5" t="s">
        <v>1346</v>
      </c>
      <c r="F86" s="9" t="s">
        <v>2545</v>
      </c>
      <c r="G86" s="9" t="s">
        <v>2546</v>
      </c>
      <c r="H86" s="9" t="s">
        <v>76</v>
      </c>
      <c r="I86" s="9" t="s">
        <v>229</v>
      </c>
      <c r="J86" s="9" t="s">
        <v>53</v>
      </c>
      <c r="K86" s="9" t="s">
        <v>53</v>
      </c>
      <c r="L86" s="9" t="s">
        <v>803</v>
      </c>
      <c r="M86" s="9" t="s">
        <v>311</v>
      </c>
      <c r="N86" s="9" t="s">
        <v>256</v>
      </c>
      <c r="O86" s="9" t="s">
        <v>62</v>
      </c>
      <c r="P86" s="9" t="s">
        <v>1641</v>
      </c>
      <c r="Q86" s="9" t="s">
        <v>65</v>
      </c>
      <c r="R86" s="9" t="s">
        <v>57</v>
      </c>
      <c r="S86" s="9" t="s">
        <v>1259</v>
      </c>
      <c r="T86" s="170">
        <v>2.2040000000000002</v>
      </c>
      <c r="U86" s="9" t="s">
        <v>2547</v>
      </c>
      <c r="V86" s="199">
        <v>1.2200000000000001E-2</v>
      </c>
      <c r="W86" s="185">
        <v>2.5080000000000002E-2</v>
      </c>
      <c r="X86" s="5" t="s">
        <v>618</v>
      </c>
      <c r="Y86" s="5" t="s">
        <v>62</v>
      </c>
      <c r="Z86" s="170">
        <v>80000</v>
      </c>
      <c r="AA86" s="184">
        <v>1</v>
      </c>
      <c r="AB86" s="186">
        <v>116.02</v>
      </c>
      <c r="AC86" s="9"/>
      <c r="AD86" s="170">
        <v>92.816000000000003</v>
      </c>
      <c r="AE86" s="9"/>
      <c r="AF86" s="9"/>
      <c r="AG86" s="9" t="s">
        <v>17</v>
      </c>
      <c r="AH86" s="185">
        <v>2.6999999999999999E-5</v>
      </c>
      <c r="AI86" s="185">
        <v>2.5510282942648999E-2</v>
      </c>
      <c r="AJ86" s="185">
        <v>1.0293249024120901E-2</v>
      </c>
    </row>
    <row r="87" spans="1:36">
      <c r="A87" s="9">
        <v>337</v>
      </c>
      <c r="B87" s="9">
        <v>1405</v>
      </c>
      <c r="C87" s="9" t="s">
        <v>2543</v>
      </c>
      <c r="D87" s="9" t="s">
        <v>2544</v>
      </c>
      <c r="E87" s="5" t="s">
        <v>1346</v>
      </c>
      <c r="F87" s="9" t="s">
        <v>2548</v>
      </c>
      <c r="G87" s="9" t="s">
        <v>2549</v>
      </c>
      <c r="H87" s="9" t="s">
        <v>76</v>
      </c>
      <c r="I87" s="9" t="s">
        <v>229</v>
      </c>
      <c r="J87" s="9" t="s">
        <v>53</v>
      </c>
      <c r="K87" s="9" t="s">
        <v>53</v>
      </c>
      <c r="L87" s="9" t="s">
        <v>803</v>
      </c>
      <c r="M87" s="9" t="s">
        <v>311</v>
      </c>
      <c r="N87" s="9" t="s">
        <v>256</v>
      </c>
      <c r="O87" s="9" t="s">
        <v>62</v>
      </c>
      <c r="P87" s="9" t="s">
        <v>1641</v>
      </c>
      <c r="Q87" s="9" t="s">
        <v>65</v>
      </c>
      <c r="R87" s="9" t="s">
        <v>57</v>
      </c>
      <c r="S87" s="9" t="s">
        <v>1259</v>
      </c>
      <c r="T87" s="170">
        <v>3.3029999999999999</v>
      </c>
      <c r="U87" s="9" t="s">
        <v>2550</v>
      </c>
      <c r="V87" s="199">
        <v>1E-3</v>
      </c>
      <c r="W87" s="185">
        <v>2.5829999999999999E-2</v>
      </c>
      <c r="X87" s="5" t="s">
        <v>618</v>
      </c>
      <c r="Y87" s="5" t="s">
        <v>62</v>
      </c>
      <c r="Z87" s="170">
        <v>54000</v>
      </c>
      <c r="AA87" s="184">
        <v>1</v>
      </c>
      <c r="AB87" s="186">
        <v>105.48</v>
      </c>
      <c r="AC87" s="9"/>
      <c r="AD87" s="170">
        <v>56.959000000000003</v>
      </c>
      <c r="AE87" s="9"/>
      <c r="AF87" s="9"/>
      <c r="AG87" s="9" t="s">
        <v>17</v>
      </c>
      <c r="AH87" s="185">
        <v>1.5999999999999999E-5</v>
      </c>
      <c r="AI87" s="185">
        <v>1.56551166629346E-2</v>
      </c>
      <c r="AJ87" s="185">
        <v>6.3167474337906199E-3</v>
      </c>
    </row>
    <row r="88" spans="1:36">
      <c r="A88" s="9">
        <v>337</v>
      </c>
      <c r="B88" s="9">
        <v>1405</v>
      </c>
      <c r="C88" s="9" t="s">
        <v>2543</v>
      </c>
      <c r="D88" s="9" t="s">
        <v>2544</v>
      </c>
      <c r="E88" s="5" t="s">
        <v>1346</v>
      </c>
      <c r="F88" s="9" t="s">
        <v>2551</v>
      </c>
      <c r="G88" s="9" t="s">
        <v>2552</v>
      </c>
      <c r="H88" s="9" t="s">
        <v>76</v>
      </c>
      <c r="I88" s="9" t="s">
        <v>228</v>
      </c>
      <c r="J88" s="9" t="s">
        <v>53</v>
      </c>
      <c r="K88" s="9" t="s">
        <v>53</v>
      </c>
      <c r="L88" s="9" t="s">
        <v>803</v>
      </c>
      <c r="M88" s="9" t="s">
        <v>311</v>
      </c>
      <c r="N88" s="9" t="s">
        <v>256</v>
      </c>
      <c r="O88" s="9" t="s">
        <v>62</v>
      </c>
      <c r="P88" s="9" t="s">
        <v>1641</v>
      </c>
      <c r="Q88" s="9" t="s">
        <v>65</v>
      </c>
      <c r="R88" s="9" t="s">
        <v>57</v>
      </c>
      <c r="S88" s="9" t="s">
        <v>1259</v>
      </c>
      <c r="T88" s="170">
        <v>3.0840000000000001</v>
      </c>
      <c r="U88" s="9" t="s">
        <v>2553</v>
      </c>
      <c r="V88" s="199">
        <v>2.7400000000000001E-2</v>
      </c>
      <c r="W88" s="185">
        <v>4.3369999999999999E-2</v>
      </c>
      <c r="X88" s="5" t="s">
        <v>618</v>
      </c>
      <c r="Y88" s="5" t="s">
        <v>62</v>
      </c>
      <c r="Z88" s="170">
        <v>44238.09</v>
      </c>
      <c r="AA88" s="184">
        <v>1</v>
      </c>
      <c r="AB88" s="186">
        <v>95.89</v>
      </c>
      <c r="AC88" s="9"/>
      <c r="AD88" s="170">
        <v>42.42</v>
      </c>
      <c r="AE88" s="9"/>
      <c r="AF88" s="9"/>
      <c r="AG88" s="9" t="s">
        <v>17</v>
      </c>
      <c r="AH88" s="185">
        <v>3.4E-5</v>
      </c>
      <c r="AI88" s="185">
        <v>1.16590217874145E-2</v>
      </c>
      <c r="AJ88" s="185">
        <v>4.7043466709212004E-3</v>
      </c>
    </row>
    <row r="89" spans="1:36">
      <c r="A89" s="9">
        <v>337</v>
      </c>
      <c r="B89" s="9">
        <v>1405</v>
      </c>
      <c r="C89" s="9" t="s">
        <v>2543</v>
      </c>
      <c r="D89" s="9" t="s">
        <v>2544</v>
      </c>
      <c r="E89" s="5" t="s">
        <v>1346</v>
      </c>
      <c r="F89" s="9" t="s">
        <v>2554</v>
      </c>
      <c r="G89" s="9" t="s">
        <v>2555</v>
      </c>
      <c r="H89" s="9" t="s">
        <v>76</v>
      </c>
      <c r="I89" s="9" t="s">
        <v>229</v>
      </c>
      <c r="J89" s="9" t="s">
        <v>53</v>
      </c>
      <c r="K89" s="9" t="s">
        <v>53</v>
      </c>
      <c r="L89" s="9" t="s">
        <v>803</v>
      </c>
      <c r="M89" s="9" t="s">
        <v>311</v>
      </c>
      <c r="N89" s="9" t="s">
        <v>256</v>
      </c>
      <c r="O89" s="9" t="s">
        <v>62</v>
      </c>
      <c r="P89" s="9" t="s">
        <v>1641</v>
      </c>
      <c r="Q89" s="9" t="s">
        <v>65</v>
      </c>
      <c r="R89" s="9" t="s">
        <v>57</v>
      </c>
      <c r="S89" s="9" t="s">
        <v>1259</v>
      </c>
      <c r="T89" s="170">
        <v>4.2160000000000002</v>
      </c>
      <c r="U89" s="9" t="s">
        <v>2556</v>
      </c>
      <c r="V89" s="199">
        <v>2.06E-2</v>
      </c>
      <c r="W89" s="185">
        <v>2.5899999999999999E-2</v>
      </c>
      <c r="X89" s="5" t="s">
        <v>618</v>
      </c>
      <c r="Y89" s="5" t="s">
        <v>62</v>
      </c>
      <c r="Z89" s="170">
        <v>80000</v>
      </c>
      <c r="AA89" s="184">
        <v>1</v>
      </c>
      <c r="AB89" s="186">
        <v>103.97</v>
      </c>
      <c r="AC89" s="9"/>
      <c r="AD89" s="170">
        <v>83.176000000000002</v>
      </c>
      <c r="AE89" s="9"/>
      <c r="AF89" s="9"/>
      <c r="AG89" s="9" t="s">
        <v>17</v>
      </c>
      <c r="AH89" s="185">
        <v>5.0000000000000002E-5</v>
      </c>
      <c r="AI89" s="185">
        <v>2.28607491600346E-2</v>
      </c>
      <c r="AJ89" s="185">
        <v>9.2241777369234199E-3</v>
      </c>
    </row>
    <row r="90" spans="1:36">
      <c r="A90" s="9">
        <v>337</v>
      </c>
      <c r="B90" s="9">
        <v>1405</v>
      </c>
      <c r="C90" s="9" t="s">
        <v>2543</v>
      </c>
      <c r="D90" s="9" t="s">
        <v>2544</v>
      </c>
      <c r="E90" s="5" t="s">
        <v>1346</v>
      </c>
      <c r="F90" s="9" t="s">
        <v>2557</v>
      </c>
      <c r="G90" s="9" t="s">
        <v>2558</v>
      </c>
      <c r="H90" s="9" t="s">
        <v>76</v>
      </c>
      <c r="I90" s="9" t="s">
        <v>229</v>
      </c>
      <c r="J90" s="9" t="s">
        <v>53</v>
      </c>
      <c r="K90" s="9" t="s">
        <v>53</v>
      </c>
      <c r="L90" s="9" t="s">
        <v>803</v>
      </c>
      <c r="M90" s="9" t="s">
        <v>311</v>
      </c>
      <c r="N90" s="9" t="s">
        <v>256</v>
      </c>
      <c r="O90" s="9" t="s">
        <v>62</v>
      </c>
      <c r="P90" s="9" t="s">
        <v>1641</v>
      </c>
      <c r="Q90" s="9" t="s">
        <v>65</v>
      </c>
      <c r="R90" s="9" t="s">
        <v>57</v>
      </c>
      <c r="S90" s="9" t="s">
        <v>1259</v>
      </c>
      <c r="T90" s="170">
        <v>4.9790000000000001</v>
      </c>
      <c r="U90" s="9" t="s">
        <v>2559</v>
      </c>
      <c r="V90" s="199">
        <v>2E-3</v>
      </c>
      <c r="W90" s="185">
        <v>2.6159999999999999E-2</v>
      </c>
      <c r="X90" s="5" t="s">
        <v>618</v>
      </c>
      <c r="Y90" s="5" t="s">
        <v>62</v>
      </c>
      <c r="Z90" s="170">
        <v>21000</v>
      </c>
      <c r="AA90" s="184">
        <v>1</v>
      </c>
      <c r="AB90" s="186">
        <v>104.05</v>
      </c>
      <c r="AC90" s="170">
        <v>4.9000000000000002E-2</v>
      </c>
      <c r="AD90" s="170">
        <v>21.9</v>
      </c>
      <c r="AE90" s="9"/>
      <c r="AF90" s="9"/>
      <c r="AG90" s="9" t="s">
        <v>17</v>
      </c>
      <c r="AH90" s="185">
        <v>6.0000000000000002E-6</v>
      </c>
      <c r="AI90" s="185">
        <v>6.0190893645703297E-3</v>
      </c>
      <c r="AJ90" s="185">
        <v>2.4286671326714301E-3</v>
      </c>
    </row>
    <row r="91" spans="1:36">
      <c r="A91" s="9">
        <v>337</v>
      </c>
      <c r="B91" s="9">
        <v>1405</v>
      </c>
      <c r="C91" s="9" t="s">
        <v>2543</v>
      </c>
      <c r="D91" s="9" t="s">
        <v>2544</v>
      </c>
      <c r="E91" s="5" t="s">
        <v>1346</v>
      </c>
      <c r="F91" s="9" t="s">
        <v>2560</v>
      </c>
      <c r="G91" s="9" t="s">
        <v>2561</v>
      </c>
      <c r="H91" s="9" t="s">
        <v>76</v>
      </c>
      <c r="I91" s="9" t="s">
        <v>229</v>
      </c>
      <c r="J91" s="9" t="s">
        <v>53</v>
      </c>
      <c r="K91" s="9" t="s">
        <v>53</v>
      </c>
      <c r="L91" s="9" t="s">
        <v>803</v>
      </c>
      <c r="M91" s="9" t="s">
        <v>311</v>
      </c>
      <c r="N91" s="9" t="s">
        <v>256</v>
      </c>
      <c r="O91" s="9" t="s">
        <v>62</v>
      </c>
      <c r="P91" s="9" t="s">
        <v>1641</v>
      </c>
      <c r="Q91" s="9" t="s">
        <v>65</v>
      </c>
      <c r="R91" s="9" t="s">
        <v>57</v>
      </c>
      <c r="S91" s="9" t="s">
        <v>1259</v>
      </c>
      <c r="T91" s="170">
        <v>3.2029999999999998</v>
      </c>
      <c r="U91" s="9" t="s">
        <v>2553</v>
      </c>
      <c r="V91" s="199">
        <v>1E-3</v>
      </c>
      <c r="W91" s="185">
        <v>2.5860000000000001E-2</v>
      </c>
      <c r="X91" s="5" t="s">
        <v>618</v>
      </c>
      <c r="Y91" s="5" t="s">
        <v>62</v>
      </c>
      <c r="Z91" s="170">
        <v>42858.06</v>
      </c>
      <c r="AA91" s="184">
        <v>1</v>
      </c>
      <c r="AB91" s="186">
        <v>104.36</v>
      </c>
      <c r="AC91" s="9"/>
      <c r="AD91" s="170">
        <v>44.726999999999997</v>
      </c>
      <c r="AE91" s="9"/>
      <c r="AF91" s="9"/>
      <c r="AG91" s="9" t="s">
        <v>17</v>
      </c>
      <c r="AH91" s="185">
        <v>1.9000000000000001E-5</v>
      </c>
      <c r="AI91" s="185">
        <v>1.22930318361603E-2</v>
      </c>
      <c r="AJ91" s="185">
        <v>4.9601659940626602E-3</v>
      </c>
    </row>
    <row r="92" spans="1:36">
      <c r="A92" s="9">
        <v>337</v>
      </c>
      <c r="B92" s="9">
        <v>1405</v>
      </c>
      <c r="C92" s="9" t="s">
        <v>2562</v>
      </c>
      <c r="D92" s="9" t="s">
        <v>2563</v>
      </c>
      <c r="E92" s="5" t="s">
        <v>1346</v>
      </c>
      <c r="F92" s="9" t="s">
        <v>2564</v>
      </c>
      <c r="G92" s="9" t="s">
        <v>2565</v>
      </c>
      <c r="H92" s="9" t="s">
        <v>76</v>
      </c>
      <c r="I92" s="9" t="s">
        <v>229</v>
      </c>
      <c r="J92" s="9" t="s">
        <v>53</v>
      </c>
      <c r="K92" s="9" t="s">
        <v>53</v>
      </c>
      <c r="L92" s="9" t="s">
        <v>803</v>
      </c>
      <c r="M92" s="9" t="s">
        <v>311</v>
      </c>
      <c r="N92" s="9" t="s">
        <v>631</v>
      </c>
      <c r="O92" s="9" t="s">
        <v>62</v>
      </c>
      <c r="P92" s="9" t="s">
        <v>1621</v>
      </c>
      <c r="Q92" s="9" t="s">
        <v>70</v>
      </c>
      <c r="R92" s="9" t="s">
        <v>57</v>
      </c>
      <c r="S92" s="9" t="s">
        <v>1259</v>
      </c>
      <c r="T92" s="170">
        <v>2.782</v>
      </c>
      <c r="U92" s="9" t="s">
        <v>2566</v>
      </c>
      <c r="V92" s="199">
        <v>0.01</v>
      </c>
      <c r="W92" s="185">
        <v>3.107E-2</v>
      </c>
      <c r="X92" s="5" t="s">
        <v>618</v>
      </c>
      <c r="Y92" s="5" t="s">
        <v>62</v>
      </c>
      <c r="Z92" s="170">
        <v>23828.880000000001</v>
      </c>
      <c r="AA92" s="184">
        <v>1</v>
      </c>
      <c r="AB92" s="186">
        <v>108.19</v>
      </c>
      <c r="AC92" s="9"/>
      <c r="AD92" s="170">
        <v>25.78</v>
      </c>
      <c r="AE92" s="9"/>
      <c r="AF92" s="9"/>
      <c r="AG92" s="9" t="s">
        <v>17</v>
      </c>
      <c r="AH92" s="185">
        <v>1.2999999999999999E-5</v>
      </c>
      <c r="AI92" s="185">
        <v>7.0857068122075597E-3</v>
      </c>
      <c r="AJ92" s="185">
        <v>2.8590409951128899E-3</v>
      </c>
    </row>
    <row r="93" spans="1:36">
      <c r="A93" s="9">
        <v>337</v>
      </c>
      <c r="B93" s="9">
        <v>1405</v>
      </c>
      <c r="C93" s="9" t="s">
        <v>2562</v>
      </c>
      <c r="D93" s="9" t="s">
        <v>2563</v>
      </c>
      <c r="E93" s="5" t="s">
        <v>1346</v>
      </c>
      <c r="F93" s="9" t="s">
        <v>2567</v>
      </c>
      <c r="G93" s="9" t="s">
        <v>2568</v>
      </c>
      <c r="H93" s="9" t="s">
        <v>76</v>
      </c>
      <c r="I93" s="9" t="s">
        <v>229</v>
      </c>
      <c r="J93" s="9" t="s">
        <v>53</v>
      </c>
      <c r="K93" s="9" t="s">
        <v>53</v>
      </c>
      <c r="L93" s="9" t="s">
        <v>803</v>
      </c>
      <c r="M93" s="9" t="s">
        <v>311</v>
      </c>
      <c r="N93" s="9" t="s">
        <v>631</v>
      </c>
      <c r="O93" s="9" t="s">
        <v>62</v>
      </c>
      <c r="P93" s="9" t="s">
        <v>1621</v>
      </c>
      <c r="Q93" s="9" t="s">
        <v>70</v>
      </c>
      <c r="R93" s="9" t="s">
        <v>57</v>
      </c>
      <c r="S93" s="9" t="s">
        <v>1259</v>
      </c>
      <c r="T93" s="170">
        <v>1.056</v>
      </c>
      <c r="U93" s="9" t="s">
        <v>2569</v>
      </c>
      <c r="V93" s="199">
        <v>3.5400000000000001E-2</v>
      </c>
      <c r="W93" s="185">
        <v>3.4250000000000003E-2</v>
      </c>
      <c r="X93" s="5" t="s">
        <v>618</v>
      </c>
      <c r="Y93" s="5" t="s">
        <v>62</v>
      </c>
      <c r="Z93" s="170">
        <v>20700</v>
      </c>
      <c r="AA93" s="184">
        <v>1</v>
      </c>
      <c r="AB93" s="186">
        <v>109.8</v>
      </c>
      <c r="AC93" s="9"/>
      <c r="AD93" s="170">
        <v>22.728999999999999</v>
      </c>
      <c r="AE93" s="9"/>
      <c r="AF93" s="9"/>
      <c r="AG93" s="9" t="s">
        <v>17</v>
      </c>
      <c r="AH93" s="185">
        <v>2.0999999999999999E-5</v>
      </c>
      <c r="AI93" s="185">
        <v>6.2469080426897604E-3</v>
      </c>
      <c r="AJ93" s="185">
        <v>2.5205906284437498E-3</v>
      </c>
    </row>
    <row r="94" spans="1:36">
      <c r="A94" s="9">
        <v>337</v>
      </c>
      <c r="B94" s="9">
        <v>1405</v>
      </c>
      <c r="C94" s="9" t="s">
        <v>2562</v>
      </c>
      <c r="D94" s="9" t="s">
        <v>2563</v>
      </c>
      <c r="E94" s="5" t="s">
        <v>1346</v>
      </c>
      <c r="F94" s="9" t="s">
        <v>2570</v>
      </c>
      <c r="G94" s="9" t="s">
        <v>2571</v>
      </c>
      <c r="H94" s="9" t="s">
        <v>76</v>
      </c>
      <c r="I94" s="9" t="s">
        <v>229</v>
      </c>
      <c r="J94" s="9" t="s">
        <v>53</v>
      </c>
      <c r="K94" s="9" t="s">
        <v>53</v>
      </c>
      <c r="L94" s="9" t="s">
        <v>803</v>
      </c>
      <c r="M94" s="9" t="s">
        <v>311</v>
      </c>
      <c r="N94" s="9" t="s">
        <v>631</v>
      </c>
      <c r="O94" s="9" t="s">
        <v>62</v>
      </c>
      <c r="P94" s="9" t="s">
        <v>1621</v>
      </c>
      <c r="Q94" s="9" t="s">
        <v>70</v>
      </c>
      <c r="R94" s="9" t="s">
        <v>57</v>
      </c>
      <c r="S94" s="9" t="s">
        <v>1259</v>
      </c>
      <c r="T94" s="170">
        <v>0.17899999999999999</v>
      </c>
      <c r="U94" s="9" t="s">
        <v>2572</v>
      </c>
      <c r="V94" s="199">
        <v>0.01</v>
      </c>
      <c r="W94" s="185">
        <v>3.569E-2</v>
      </c>
      <c r="X94" s="5" t="s">
        <v>618</v>
      </c>
      <c r="Y94" s="5" t="s">
        <v>62</v>
      </c>
      <c r="Z94" s="170">
        <v>16800</v>
      </c>
      <c r="AA94" s="184">
        <v>1</v>
      </c>
      <c r="AB94" s="186">
        <v>115.84</v>
      </c>
      <c r="AC94" s="9"/>
      <c r="AD94" s="170">
        <v>19.460999999999999</v>
      </c>
      <c r="AE94" s="9"/>
      <c r="AF94" s="9"/>
      <c r="AG94" s="9" t="s">
        <v>17</v>
      </c>
      <c r="AH94" s="185">
        <v>9.8999999999999994E-5</v>
      </c>
      <c r="AI94" s="185">
        <v>5.3488480173768003E-3</v>
      </c>
      <c r="AJ94" s="185">
        <v>2.1582286938491299E-3</v>
      </c>
    </row>
    <row r="95" spans="1:36">
      <c r="A95" s="9">
        <v>337</v>
      </c>
      <c r="B95" s="9">
        <v>1405</v>
      </c>
      <c r="C95" s="9" t="s">
        <v>2004</v>
      </c>
      <c r="D95" s="9" t="s">
        <v>2005</v>
      </c>
      <c r="E95" s="5" t="s">
        <v>1346</v>
      </c>
      <c r="F95" s="9" t="s">
        <v>2573</v>
      </c>
      <c r="G95" s="9" t="s">
        <v>2574</v>
      </c>
      <c r="H95" s="9" t="s">
        <v>76</v>
      </c>
      <c r="I95" s="9" t="s">
        <v>229</v>
      </c>
      <c r="J95" s="9" t="s">
        <v>53</v>
      </c>
      <c r="K95" s="9" t="s">
        <v>53</v>
      </c>
      <c r="L95" s="9" t="s">
        <v>803</v>
      </c>
      <c r="M95" s="9" t="s">
        <v>311</v>
      </c>
      <c r="N95" s="9" t="s">
        <v>633</v>
      </c>
      <c r="O95" s="9" t="s">
        <v>62</v>
      </c>
      <c r="P95" s="9" t="s">
        <v>2246</v>
      </c>
      <c r="Q95" s="9" t="s">
        <v>65</v>
      </c>
      <c r="R95" s="9" t="s">
        <v>57</v>
      </c>
      <c r="S95" s="9" t="s">
        <v>1259</v>
      </c>
      <c r="T95" s="170">
        <v>3.7440000000000002</v>
      </c>
      <c r="U95" s="9" t="s">
        <v>2273</v>
      </c>
      <c r="V95" s="199">
        <v>1.43E-2</v>
      </c>
      <c r="W95" s="185">
        <v>2.81E-2</v>
      </c>
      <c r="X95" s="5" t="s">
        <v>618</v>
      </c>
      <c r="Y95" s="5" t="s">
        <v>62</v>
      </c>
      <c r="Z95" s="170">
        <v>66172</v>
      </c>
      <c r="AA95" s="184">
        <v>1</v>
      </c>
      <c r="AB95" s="186">
        <v>111.28</v>
      </c>
      <c r="AC95" s="170">
        <v>1.42</v>
      </c>
      <c r="AD95" s="170">
        <v>75.057000000000002</v>
      </c>
      <c r="AE95" s="9"/>
      <c r="AF95" s="9"/>
      <c r="AG95" s="9" t="s">
        <v>17</v>
      </c>
      <c r="AH95" s="185">
        <v>3.4E-5</v>
      </c>
      <c r="AI95" s="185">
        <v>2.0629152286594E-2</v>
      </c>
      <c r="AJ95" s="185">
        <v>8.3237415327694006E-3</v>
      </c>
    </row>
    <row r="96" spans="1:36">
      <c r="A96" s="9">
        <v>337</v>
      </c>
      <c r="B96" s="9">
        <v>1405</v>
      </c>
      <c r="C96" s="9" t="s">
        <v>2004</v>
      </c>
      <c r="D96" s="9" t="s">
        <v>2005</v>
      </c>
      <c r="E96" s="5" t="s">
        <v>1346</v>
      </c>
      <c r="F96" s="9" t="s">
        <v>2575</v>
      </c>
      <c r="G96" s="9" t="s">
        <v>2576</v>
      </c>
      <c r="H96" s="9" t="s">
        <v>76</v>
      </c>
      <c r="I96" s="9" t="s">
        <v>229</v>
      </c>
      <c r="J96" s="9" t="s">
        <v>53</v>
      </c>
      <c r="K96" s="9" t="s">
        <v>53</v>
      </c>
      <c r="L96" s="9" t="s">
        <v>803</v>
      </c>
      <c r="M96" s="9" t="s">
        <v>311</v>
      </c>
      <c r="N96" s="9" t="s">
        <v>633</v>
      </c>
      <c r="O96" s="9" t="s">
        <v>62</v>
      </c>
      <c r="P96" s="9" t="s">
        <v>2246</v>
      </c>
      <c r="Q96" s="9" t="s">
        <v>65</v>
      </c>
      <c r="R96" s="9" t="s">
        <v>57</v>
      </c>
      <c r="S96" s="9" t="s">
        <v>1259</v>
      </c>
      <c r="T96" s="170">
        <v>5.5979999999999999</v>
      </c>
      <c r="U96" s="9" t="s">
        <v>2577</v>
      </c>
      <c r="V96" s="199">
        <v>3.61E-2</v>
      </c>
      <c r="W96" s="185">
        <v>2.928E-2</v>
      </c>
      <c r="X96" s="5" t="s">
        <v>618</v>
      </c>
      <c r="Y96" s="5" t="s">
        <v>62</v>
      </c>
      <c r="Z96" s="170">
        <v>20892.86</v>
      </c>
      <c r="AA96" s="184">
        <v>1</v>
      </c>
      <c r="AB96" s="186">
        <v>111.6</v>
      </c>
      <c r="AC96" s="170">
        <v>0.46400000000000002</v>
      </c>
      <c r="AD96" s="170">
        <v>23.78</v>
      </c>
      <c r="AE96" s="9"/>
      <c r="AF96" s="9"/>
      <c r="AG96" s="9" t="s">
        <v>17</v>
      </c>
      <c r="AH96" s="185">
        <v>1.2999999999999999E-5</v>
      </c>
      <c r="AI96" s="185">
        <v>6.5358891083428499E-3</v>
      </c>
      <c r="AJ96" s="185">
        <v>2.6371927876087599E-3</v>
      </c>
    </row>
    <row r="97" spans="1:36">
      <c r="A97" s="9">
        <v>337</v>
      </c>
      <c r="B97" s="9">
        <v>1405</v>
      </c>
      <c r="C97" s="9" t="s">
        <v>2004</v>
      </c>
      <c r="D97" s="9" t="s">
        <v>2005</v>
      </c>
      <c r="E97" s="5" t="s">
        <v>1346</v>
      </c>
      <c r="F97" s="9" t="s">
        <v>2578</v>
      </c>
      <c r="G97" s="9" t="s">
        <v>2579</v>
      </c>
      <c r="H97" s="9" t="s">
        <v>76</v>
      </c>
      <c r="I97" s="9" t="s">
        <v>229</v>
      </c>
      <c r="J97" s="9" t="s">
        <v>53</v>
      </c>
      <c r="K97" s="9" t="s">
        <v>53</v>
      </c>
      <c r="L97" s="9" t="s">
        <v>803</v>
      </c>
      <c r="M97" s="9" t="s">
        <v>311</v>
      </c>
      <c r="N97" s="9" t="s">
        <v>633</v>
      </c>
      <c r="O97" s="9" t="s">
        <v>62</v>
      </c>
      <c r="P97" s="9" t="s">
        <v>2246</v>
      </c>
      <c r="Q97" s="9" t="s">
        <v>65</v>
      </c>
      <c r="R97" s="9" t="s">
        <v>57</v>
      </c>
      <c r="S97" s="9" t="s">
        <v>1259</v>
      </c>
      <c r="T97" s="170">
        <v>3.33</v>
      </c>
      <c r="U97" s="9" t="s">
        <v>2580</v>
      </c>
      <c r="V97" s="199">
        <v>2.2499999999999999E-2</v>
      </c>
      <c r="W97" s="185">
        <v>2.861E-2</v>
      </c>
      <c r="X97" s="5" t="s">
        <v>618</v>
      </c>
      <c r="Y97" s="5" t="s">
        <v>62</v>
      </c>
      <c r="Z97" s="170">
        <v>18870.72</v>
      </c>
      <c r="AA97" s="184">
        <v>1</v>
      </c>
      <c r="AB97" s="186">
        <v>116.27</v>
      </c>
      <c r="AC97" s="170">
        <v>0.6</v>
      </c>
      <c r="AD97" s="170">
        <v>22.541</v>
      </c>
      <c r="AE97" s="9"/>
      <c r="AF97" s="9"/>
      <c r="AG97" s="9" t="s">
        <v>17</v>
      </c>
      <c r="AH97" s="185">
        <v>1.1E-5</v>
      </c>
      <c r="AI97" s="185">
        <v>6.1952823013006796E-3</v>
      </c>
      <c r="AJ97" s="185">
        <v>2.4997599456415501E-3</v>
      </c>
    </row>
    <row r="98" spans="1:36">
      <c r="A98" s="9">
        <v>337</v>
      </c>
      <c r="B98" s="9">
        <v>1405</v>
      </c>
      <c r="C98" s="9" t="s">
        <v>2004</v>
      </c>
      <c r="D98" s="9" t="s">
        <v>2005</v>
      </c>
      <c r="E98" s="5" t="s">
        <v>1346</v>
      </c>
      <c r="F98" s="9" t="s">
        <v>2581</v>
      </c>
      <c r="G98" s="9" t="s">
        <v>2582</v>
      </c>
      <c r="H98" s="9" t="s">
        <v>76</v>
      </c>
      <c r="I98" s="9" t="s">
        <v>229</v>
      </c>
      <c r="J98" s="9" t="s">
        <v>53</v>
      </c>
      <c r="K98" s="9" t="s">
        <v>53</v>
      </c>
      <c r="L98" s="9" t="s">
        <v>803</v>
      </c>
      <c r="M98" s="9" t="s">
        <v>311</v>
      </c>
      <c r="N98" s="9" t="s">
        <v>633</v>
      </c>
      <c r="O98" s="9" t="s">
        <v>62</v>
      </c>
      <c r="P98" s="9" t="s">
        <v>2246</v>
      </c>
      <c r="Q98" s="9" t="s">
        <v>65</v>
      </c>
      <c r="R98" s="9" t="s">
        <v>57</v>
      </c>
      <c r="S98" s="9" t="s">
        <v>1259</v>
      </c>
      <c r="T98" s="170">
        <v>4.6920000000000002</v>
      </c>
      <c r="U98" s="9" t="s">
        <v>2559</v>
      </c>
      <c r="V98" s="199">
        <v>2.5000000000000001E-3</v>
      </c>
      <c r="W98" s="185">
        <v>2.7019999999999999E-2</v>
      </c>
      <c r="X98" s="5" t="s">
        <v>618</v>
      </c>
      <c r="Y98" s="5" t="s">
        <v>62</v>
      </c>
      <c r="Z98" s="170">
        <v>42140</v>
      </c>
      <c r="AA98" s="184">
        <v>1</v>
      </c>
      <c r="AB98" s="186">
        <v>102.52</v>
      </c>
      <c r="AC98" s="170">
        <v>0.624</v>
      </c>
      <c r="AD98" s="170">
        <v>43.826000000000001</v>
      </c>
      <c r="AE98" s="9"/>
      <c r="AF98" s="9"/>
      <c r="AG98" s="9" t="s">
        <v>17</v>
      </c>
      <c r="AH98" s="185">
        <v>3.1999999999999999E-5</v>
      </c>
      <c r="AI98" s="185">
        <v>1.2045461648868E-2</v>
      </c>
      <c r="AJ98" s="185">
        <v>4.8602728805885297E-3</v>
      </c>
    </row>
    <row r="99" spans="1:36">
      <c r="A99" s="9">
        <v>337</v>
      </c>
      <c r="B99" s="9">
        <v>1405</v>
      </c>
      <c r="C99" s="9" t="s">
        <v>2583</v>
      </c>
      <c r="D99" s="9" t="s">
        <v>2584</v>
      </c>
      <c r="E99" s="5" t="s">
        <v>1346</v>
      </c>
      <c r="F99" s="9" t="s">
        <v>2585</v>
      </c>
      <c r="G99" s="9" t="s">
        <v>2586</v>
      </c>
      <c r="H99" s="9" t="s">
        <v>76</v>
      </c>
      <c r="I99" s="9" t="s">
        <v>228</v>
      </c>
      <c r="J99" s="9" t="s">
        <v>53</v>
      </c>
      <c r="K99" s="9" t="s">
        <v>53</v>
      </c>
      <c r="L99" s="9" t="s">
        <v>803</v>
      </c>
      <c r="M99" s="9" t="s">
        <v>311</v>
      </c>
      <c r="N99" s="9" t="s">
        <v>269</v>
      </c>
      <c r="O99" s="9" t="s">
        <v>62</v>
      </c>
      <c r="P99" s="9" t="s">
        <v>2587</v>
      </c>
      <c r="Q99" s="9" t="s">
        <v>70</v>
      </c>
      <c r="R99" s="9" t="s">
        <v>57</v>
      </c>
      <c r="S99" s="9" t="s">
        <v>1259</v>
      </c>
      <c r="T99" s="170">
        <v>6.0990000000000002</v>
      </c>
      <c r="U99" s="9" t="s">
        <v>2588</v>
      </c>
      <c r="V99" s="199">
        <v>5.0200000000000002E-2</v>
      </c>
      <c r="W99" s="185">
        <v>4.7890000000000002E-2</v>
      </c>
      <c r="X99" s="5" t="s">
        <v>618</v>
      </c>
      <c r="Y99" s="5" t="s">
        <v>62</v>
      </c>
      <c r="Z99" s="170">
        <v>16000</v>
      </c>
      <c r="AA99" s="184">
        <v>1</v>
      </c>
      <c r="AB99" s="186">
        <v>103.09</v>
      </c>
      <c r="AC99" s="9"/>
      <c r="AD99" s="170">
        <v>16.494</v>
      </c>
      <c r="AE99" s="9"/>
      <c r="AF99" s="9"/>
      <c r="AG99" s="9" t="s">
        <v>17</v>
      </c>
      <c r="AH99" s="185">
        <v>4.0000000000000003E-5</v>
      </c>
      <c r="AI99" s="185">
        <v>4.5334512472982001E-3</v>
      </c>
      <c r="AJ99" s="185">
        <v>1.82922089621898E-3</v>
      </c>
    </row>
    <row r="100" spans="1:36">
      <c r="A100" s="9">
        <v>337</v>
      </c>
      <c r="B100" s="9">
        <v>1405</v>
      </c>
      <c r="C100" s="9" t="s">
        <v>2012</v>
      </c>
      <c r="D100" s="9" t="s">
        <v>2013</v>
      </c>
      <c r="E100" s="5" t="s">
        <v>1346</v>
      </c>
      <c r="F100" s="9" t="s">
        <v>2589</v>
      </c>
      <c r="G100" s="9" t="s">
        <v>2590</v>
      </c>
      <c r="H100" s="9" t="s">
        <v>76</v>
      </c>
      <c r="I100" s="9" t="s">
        <v>228</v>
      </c>
      <c r="J100" s="9" t="s">
        <v>53</v>
      </c>
      <c r="K100" s="9" t="s">
        <v>53</v>
      </c>
      <c r="L100" s="9" t="s">
        <v>803</v>
      </c>
      <c r="M100" s="9" t="s">
        <v>311</v>
      </c>
      <c r="N100" s="9" t="s">
        <v>631</v>
      </c>
      <c r="O100" s="9" t="s">
        <v>62</v>
      </c>
      <c r="P100" s="9" t="s">
        <v>2314</v>
      </c>
      <c r="Q100" s="9" t="s">
        <v>70</v>
      </c>
      <c r="R100" s="9" t="s">
        <v>57</v>
      </c>
      <c r="S100" s="9" t="s">
        <v>1259</v>
      </c>
      <c r="T100" s="170">
        <v>0.73099999999999998</v>
      </c>
      <c r="U100" s="9" t="s">
        <v>2591</v>
      </c>
      <c r="V100" s="199">
        <v>0.114</v>
      </c>
      <c r="W100" s="185">
        <v>5.91E-2</v>
      </c>
      <c r="X100" s="5" t="s">
        <v>618</v>
      </c>
      <c r="Y100" s="5" t="s">
        <v>62</v>
      </c>
      <c r="Z100" s="170">
        <v>15410</v>
      </c>
      <c r="AA100" s="184">
        <v>1</v>
      </c>
      <c r="AB100" s="186">
        <v>102.52</v>
      </c>
      <c r="AC100" s="9"/>
      <c r="AD100" s="170">
        <v>15.798</v>
      </c>
      <c r="AE100" s="9"/>
      <c r="AF100" s="9"/>
      <c r="AG100" s="9" t="s">
        <v>17</v>
      </c>
      <c r="AH100" s="185">
        <v>6.3999999999999997E-5</v>
      </c>
      <c r="AI100" s="185">
        <v>4.3421384173192804E-3</v>
      </c>
      <c r="AJ100" s="185">
        <v>1.75202729531265E-3</v>
      </c>
    </row>
    <row r="101" spans="1:36">
      <c r="A101" s="9">
        <v>337</v>
      </c>
      <c r="B101" s="9">
        <v>1405</v>
      </c>
      <c r="C101" s="9" t="s">
        <v>2012</v>
      </c>
      <c r="D101" s="9" t="s">
        <v>2013</v>
      </c>
      <c r="E101" s="5" t="s">
        <v>1346</v>
      </c>
      <c r="F101" s="9" t="s">
        <v>2592</v>
      </c>
      <c r="G101" s="9" t="s">
        <v>2593</v>
      </c>
      <c r="H101" s="9" t="s">
        <v>76</v>
      </c>
      <c r="I101" s="9" t="s">
        <v>228</v>
      </c>
      <c r="J101" s="9" t="s">
        <v>53</v>
      </c>
      <c r="K101" s="9" t="s">
        <v>53</v>
      </c>
      <c r="L101" s="9" t="s">
        <v>803</v>
      </c>
      <c r="M101" s="9" t="s">
        <v>1691</v>
      </c>
      <c r="N101" s="9" t="s">
        <v>631</v>
      </c>
      <c r="O101" s="9" t="s">
        <v>62</v>
      </c>
      <c r="P101" s="9" t="s">
        <v>2314</v>
      </c>
      <c r="Q101" s="9" t="s">
        <v>70</v>
      </c>
      <c r="R101" s="9" t="s">
        <v>57</v>
      </c>
      <c r="S101" s="9" t="s">
        <v>1259</v>
      </c>
      <c r="T101" s="170">
        <v>3.1070000000000002</v>
      </c>
      <c r="U101" s="9" t="s">
        <v>2594</v>
      </c>
      <c r="V101" s="199">
        <v>6.4000000000000001E-2</v>
      </c>
      <c r="W101" s="185">
        <v>5.5649999999999998E-2</v>
      </c>
      <c r="X101" s="5" t="s">
        <v>618</v>
      </c>
      <c r="Y101" s="5" t="s">
        <v>62</v>
      </c>
      <c r="Z101" s="170">
        <v>10000</v>
      </c>
      <c r="AA101" s="184">
        <v>1</v>
      </c>
      <c r="AB101" s="186">
        <v>103.33</v>
      </c>
      <c r="AC101" s="9"/>
      <c r="AD101" s="170">
        <v>10.333</v>
      </c>
      <c r="AE101" s="9"/>
      <c r="AF101" s="9"/>
      <c r="AG101" s="9" t="s">
        <v>17</v>
      </c>
      <c r="AH101" s="185">
        <v>2.9E-5</v>
      </c>
      <c r="AI101" s="185">
        <v>2.84000337922764E-3</v>
      </c>
      <c r="AJ101" s="185">
        <v>1.14592464840374E-3</v>
      </c>
    </row>
    <row r="102" spans="1:36">
      <c r="A102" s="9">
        <v>337</v>
      </c>
      <c r="B102" s="9">
        <v>1405</v>
      </c>
      <c r="C102" s="9" t="s">
        <v>2595</v>
      </c>
      <c r="D102" s="9" t="s">
        <v>2596</v>
      </c>
      <c r="E102" s="5" t="s">
        <v>1346</v>
      </c>
      <c r="F102" s="9" t="s">
        <v>2597</v>
      </c>
      <c r="G102" s="9" t="s">
        <v>2598</v>
      </c>
      <c r="H102" s="9" t="s">
        <v>76</v>
      </c>
      <c r="I102" s="9" t="s">
        <v>229</v>
      </c>
      <c r="J102" s="9" t="s">
        <v>53</v>
      </c>
      <c r="K102" s="9" t="s">
        <v>53</v>
      </c>
      <c r="L102" s="9" t="s">
        <v>803</v>
      </c>
      <c r="M102" s="9" t="s">
        <v>311</v>
      </c>
      <c r="N102" s="9" t="s">
        <v>140</v>
      </c>
      <c r="O102" s="9" t="s">
        <v>62</v>
      </c>
      <c r="P102" s="9" t="s">
        <v>2599</v>
      </c>
      <c r="Q102" s="9" t="s">
        <v>70</v>
      </c>
      <c r="R102" s="9" t="s">
        <v>57</v>
      </c>
      <c r="S102" s="9" t="s">
        <v>1259</v>
      </c>
      <c r="T102" s="170">
        <v>3.5459999999999998</v>
      </c>
      <c r="U102" s="9" t="s">
        <v>2600</v>
      </c>
      <c r="V102" s="199">
        <v>2.07E-2</v>
      </c>
      <c r="W102" s="185">
        <v>3.721E-2</v>
      </c>
      <c r="X102" s="5" t="s">
        <v>618</v>
      </c>
      <c r="Y102" s="5" t="s">
        <v>62</v>
      </c>
      <c r="Z102" s="170">
        <v>24889.599999999999</v>
      </c>
      <c r="AA102" s="184">
        <v>1</v>
      </c>
      <c r="AB102" s="186">
        <v>107.9</v>
      </c>
      <c r="AC102" s="9"/>
      <c r="AD102" s="170">
        <v>26.856000000000002</v>
      </c>
      <c r="AE102" s="9"/>
      <c r="AF102" s="9"/>
      <c r="AG102" s="9" t="s">
        <v>17</v>
      </c>
      <c r="AH102" s="185">
        <v>6.0000000000000002E-5</v>
      </c>
      <c r="AI102" s="185">
        <v>7.3812818550398202E-3</v>
      </c>
      <c r="AJ102" s="185">
        <v>2.9783037852602E-3</v>
      </c>
    </row>
    <row r="103" spans="1:36">
      <c r="A103" s="9">
        <v>337</v>
      </c>
      <c r="B103" s="9">
        <v>1405</v>
      </c>
      <c r="C103" s="9" t="s">
        <v>2016</v>
      </c>
      <c r="D103" s="9" t="s">
        <v>2017</v>
      </c>
      <c r="E103" s="5" t="s">
        <v>431</v>
      </c>
      <c r="F103" s="9" t="s">
        <v>2601</v>
      </c>
      <c r="G103" s="9" t="s">
        <v>2602</v>
      </c>
      <c r="H103" s="9" t="s">
        <v>76</v>
      </c>
      <c r="I103" s="9" t="s">
        <v>228</v>
      </c>
      <c r="J103" s="9" t="s">
        <v>53</v>
      </c>
      <c r="K103" s="9" t="s">
        <v>53</v>
      </c>
      <c r="L103" s="9" t="s">
        <v>803</v>
      </c>
      <c r="M103" s="9" t="s">
        <v>311</v>
      </c>
      <c r="N103" s="9" t="s">
        <v>267</v>
      </c>
      <c r="O103" s="9" t="s">
        <v>62</v>
      </c>
      <c r="P103" s="9" t="s">
        <v>2330</v>
      </c>
      <c r="Q103" s="9" t="s">
        <v>65</v>
      </c>
      <c r="R103" s="9" t="s">
        <v>57</v>
      </c>
      <c r="S103" s="9" t="s">
        <v>1259</v>
      </c>
      <c r="T103" s="170">
        <v>1.7090000000000001</v>
      </c>
      <c r="U103" s="9" t="s">
        <v>2603</v>
      </c>
      <c r="V103" s="199">
        <v>5.2499999999999998E-2</v>
      </c>
      <c r="W103" s="185">
        <v>5.1819999999999998E-2</v>
      </c>
      <c r="X103" s="5" t="s">
        <v>618</v>
      </c>
      <c r="Y103" s="5" t="s">
        <v>62</v>
      </c>
      <c r="Z103" s="170">
        <v>34000</v>
      </c>
      <c r="AA103" s="184">
        <v>1</v>
      </c>
      <c r="AB103" s="186">
        <v>102.65</v>
      </c>
      <c r="AC103" s="9"/>
      <c r="AD103" s="170">
        <v>34.901000000000003</v>
      </c>
      <c r="AE103" s="9"/>
      <c r="AF103" s="9"/>
      <c r="AG103" s="9" t="s">
        <v>17</v>
      </c>
      <c r="AH103" s="185">
        <v>1.03E-4</v>
      </c>
      <c r="AI103" s="185">
        <v>9.5924666542556592E-3</v>
      </c>
      <c r="AJ103" s="185">
        <v>3.8705038376017601E-3</v>
      </c>
    </row>
    <row r="104" spans="1:36">
      <c r="A104" s="9">
        <v>337</v>
      </c>
      <c r="B104" s="9">
        <v>1405</v>
      </c>
      <c r="C104" s="9" t="s">
        <v>2016</v>
      </c>
      <c r="D104" s="9" t="s">
        <v>2017</v>
      </c>
      <c r="E104" s="5" t="s">
        <v>431</v>
      </c>
      <c r="F104" s="9" t="s">
        <v>2604</v>
      </c>
      <c r="G104" s="9" t="s">
        <v>2605</v>
      </c>
      <c r="H104" s="9" t="s">
        <v>76</v>
      </c>
      <c r="I104" s="9" t="s">
        <v>228</v>
      </c>
      <c r="J104" s="9" t="s">
        <v>53</v>
      </c>
      <c r="K104" s="9" t="s">
        <v>314</v>
      </c>
      <c r="L104" s="9" t="s">
        <v>803</v>
      </c>
      <c r="M104" s="9" t="s">
        <v>311</v>
      </c>
      <c r="N104" s="9" t="s">
        <v>267</v>
      </c>
      <c r="O104" s="9" t="s">
        <v>62</v>
      </c>
      <c r="P104" s="9" t="s">
        <v>2330</v>
      </c>
      <c r="Q104" s="9" t="s">
        <v>65</v>
      </c>
      <c r="R104" s="9" t="s">
        <v>57</v>
      </c>
      <c r="S104" s="9" t="s">
        <v>1259</v>
      </c>
      <c r="T104" s="170">
        <v>2.5539999999999998</v>
      </c>
      <c r="U104" s="9" t="s">
        <v>1608</v>
      </c>
      <c r="V104" s="199">
        <v>6.5000000000000002E-2</v>
      </c>
      <c r="W104" s="185">
        <v>5.2010000000000001E-2</v>
      </c>
      <c r="X104" s="5" t="s">
        <v>618</v>
      </c>
      <c r="Y104" s="5" t="s">
        <v>62</v>
      </c>
      <c r="Z104" s="170">
        <v>21000</v>
      </c>
      <c r="AA104" s="184">
        <v>1</v>
      </c>
      <c r="AB104" s="186">
        <v>103.44</v>
      </c>
      <c r="AC104" s="9"/>
      <c r="AD104" s="170">
        <v>21.722000000000001</v>
      </c>
      <c r="AE104" s="9"/>
      <c r="AF104" s="9"/>
      <c r="AG104" s="9" t="s">
        <v>17</v>
      </c>
      <c r="AH104" s="185">
        <v>4.1999999999999998E-5</v>
      </c>
      <c r="AI104" s="185">
        <v>5.9703560829318103E-3</v>
      </c>
      <c r="AJ104" s="185">
        <v>2.40900354035473E-3</v>
      </c>
    </row>
    <row r="105" spans="1:36">
      <c r="A105" s="9">
        <v>337</v>
      </c>
      <c r="B105" s="9">
        <v>1405</v>
      </c>
      <c r="C105" s="9" t="s">
        <v>2016</v>
      </c>
      <c r="D105" s="9" t="s">
        <v>2017</v>
      </c>
      <c r="E105" s="5" t="s">
        <v>431</v>
      </c>
      <c r="F105" s="9" t="s">
        <v>2606</v>
      </c>
      <c r="G105" s="9" t="s">
        <v>2607</v>
      </c>
      <c r="H105" s="9" t="s">
        <v>76</v>
      </c>
      <c r="I105" s="9" t="s">
        <v>228</v>
      </c>
      <c r="J105" s="9" t="s">
        <v>53</v>
      </c>
      <c r="K105" s="9" t="s">
        <v>53</v>
      </c>
      <c r="L105" s="9" t="s">
        <v>803</v>
      </c>
      <c r="M105" s="9" t="s">
        <v>1691</v>
      </c>
      <c r="N105" s="9" t="s">
        <v>267</v>
      </c>
      <c r="O105" s="9" t="s">
        <v>62</v>
      </c>
      <c r="P105" s="9" t="s">
        <v>2330</v>
      </c>
      <c r="Q105" s="9" t="s">
        <v>65</v>
      </c>
      <c r="R105" s="9" t="s">
        <v>57</v>
      </c>
      <c r="S105" s="9" t="s">
        <v>1259</v>
      </c>
      <c r="T105" s="170">
        <v>3.129</v>
      </c>
      <c r="U105" s="9" t="s">
        <v>2268</v>
      </c>
      <c r="V105" s="199">
        <v>6.7000000000000004E-2</v>
      </c>
      <c r="W105" s="185">
        <v>5.1139999999999998E-2</v>
      </c>
      <c r="X105" s="5" t="s">
        <v>618</v>
      </c>
      <c r="Y105" s="5" t="s">
        <v>62</v>
      </c>
      <c r="Z105" s="170">
        <v>17000</v>
      </c>
      <c r="AA105" s="184">
        <v>1</v>
      </c>
      <c r="AB105" s="186">
        <v>106.88</v>
      </c>
      <c r="AC105" s="9"/>
      <c r="AD105" s="170">
        <v>18.170000000000002</v>
      </c>
      <c r="AE105" s="9"/>
      <c r="AF105" s="9"/>
      <c r="AG105" s="9" t="s">
        <v>17</v>
      </c>
      <c r="AH105" s="185">
        <v>1.9000000000000001E-5</v>
      </c>
      <c r="AI105" s="185">
        <v>4.9938764540031402E-3</v>
      </c>
      <c r="AJ105" s="185">
        <v>2.0149997572473299E-3</v>
      </c>
    </row>
    <row r="106" spans="1:36">
      <c r="A106" s="9">
        <v>337</v>
      </c>
      <c r="B106" s="9">
        <v>1405</v>
      </c>
      <c r="C106" s="9" t="s">
        <v>2024</v>
      </c>
      <c r="D106" s="9" t="s">
        <v>2025</v>
      </c>
      <c r="E106" s="5" t="s">
        <v>1346</v>
      </c>
      <c r="F106" s="9" t="s">
        <v>2608</v>
      </c>
      <c r="G106" s="9" t="s">
        <v>2609</v>
      </c>
      <c r="H106" s="9" t="s">
        <v>76</v>
      </c>
      <c r="I106" s="9" t="s">
        <v>229</v>
      </c>
      <c r="J106" s="9" t="s">
        <v>53</v>
      </c>
      <c r="K106" s="9" t="s">
        <v>53</v>
      </c>
      <c r="L106" s="9" t="s">
        <v>803</v>
      </c>
      <c r="M106" s="9" t="s">
        <v>311</v>
      </c>
      <c r="N106" s="9" t="s">
        <v>629</v>
      </c>
      <c r="O106" s="9" t="s">
        <v>62</v>
      </c>
      <c r="P106" s="9" t="s">
        <v>2314</v>
      </c>
      <c r="Q106" s="9" t="s">
        <v>70</v>
      </c>
      <c r="R106" s="9" t="s">
        <v>57</v>
      </c>
      <c r="S106" s="9" t="s">
        <v>1259</v>
      </c>
      <c r="T106" s="170">
        <v>2.1589999999999998</v>
      </c>
      <c r="U106" s="9" t="s">
        <v>2428</v>
      </c>
      <c r="V106" s="199">
        <v>1.4800000000000001E-2</v>
      </c>
      <c r="W106" s="185">
        <v>2.9860000000000001E-2</v>
      </c>
      <c r="X106" s="5" t="s">
        <v>618</v>
      </c>
      <c r="Y106" s="5" t="s">
        <v>62</v>
      </c>
      <c r="Z106" s="170">
        <v>21780</v>
      </c>
      <c r="AA106" s="184">
        <v>1</v>
      </c>
      <c r="AB106" s="186">
        <v>111.27</v>
      </c>
      <c r="AC106" s="9"/>
      <c r="AD106" s="170">
        <v>24.234999999999999</v>
      </c>
      <c r="AE106" s="9"/>
      <c r="AF106" s="9"/>
      <c r="AG106" s="9" t="s">
        <v>17</v>
      </c>
      <c r="AH106" s="185">
        <v>7.4999999999999993E-5</v>
      </c>
      <c r="AI106" s="185">
        <v>6.6608306333349803E-3</v>
      </c>
      <c r="AJ106" s="185">
        <v>2.6876059575876498E-3</v>
      </c>
    </row>
    <row r="107" spans="1:36">
      <c r="A107" s="9">
        <v>337</v>
      </c>
      <c r="B107" s="9">
        <v>1405</v>
      </c>
      <c r="C107" s="9" t="s">
        <v>2036</v>
      </c>
      <c r="D107" s="9" t="s">
        <v>2037</v>
      </c>
      <c r="E107" s="5" t="s">
        <v>1346</v>
      </c>
      <c r="F107" s="9" t="s">
        <v>2610</v>
      </c>
      <c r="G107" s="9" t="s">
        <v>2611</v>
      </c>
      <c r="H107" s="9" t="s">
        <v>76</v>
      </c>
      <c r="I107" s="9" t="s">
        <v>228</v>
      </c>
      <c r="J107" s="9" t="s">
        <v>53</v>
      </c>
      <c r="K107" s="9" t="s">
        <v>53</v>
      </c>
      <c r="L107" s="9" t="s">
        <v>803</v>
      </c>
      <c r="M107" s="9" t="s">
        <v>311</v>
      </c>
      <c r="N107" s="9" t="s">
        <v>633</v>
      </c>
      <c r="O107" s="9" t="s">
        <v>62</v>
      </c>
      <c r="P107" s="9" t="s">
        <v>1614</v>
      </c>
      <c r="Q107" s="9" t="s">
        <v>65</v>
      </c>
      <c r="R107" s="9" t="s">
        <v>57</v>
      </c>
      <c r="S107" s="9" t="s">
        <v>1259</v>
      </c>
      <c r="T107" s="170">
        <v>2.363</v>
      </c>
      <c r="U107" s="9" t="s">
        <v>2273</v>
      </c>
      <c r="V107" s="199">
        <v>3.95E-2</v>
      </c>
      <c r="W107" s="185">
        <v>5.3260000000000002E-2</v>
      </c>
      <c r="X107" s="5" t="s">
        <v>618</v>
      </c>
      <c r="Y107" s="5" t="s">
        <v>62</v>
      </c>
      <c r="Z107" s="170">
        <v>24729.24</v>
      </c>
      <c r="AA107" s="184">
        <v>1</v>
      </c>
      <c r="AB107" s="186">
        <v>97.03</v>
      </c>
      <c r="AC107" s="9"/>
      <c r="AD107" s="170">
        <v>23.995000000000001</v>
      </c>
      <c r="AE107" s="9"/>
      <c r="AF107" s="9"/>
      <c r="AG107" s="9" t="s">
        <v>17</v>
      </c>
      <c r="AH107" s="185">
        <v>2.0999999999999999E-5</v>
      </c>
      <c r="AI107" s="185">
        <v>6.59491539226836E-3</v>
      </c>
      <c r="AJ107" s="185">
        <v>2.6610095457678001E-3</v>
      </c>
    </row>
    <row r="108" spans="1:36">
      <c r="A108" s="9">
        <v>337</v>
      </c>
      <c r="B108" s="9">
        <v>1405</v>
      </c>
      <c r="C108" s="9" t="s">
        <v>2036</v>
      </c>
      <c r="D108" s="9" t="s">
        <v>2037</v>
      </c>
      <c r="E108" s="5" t="s">
        <v>1346</v>
      </c>
      <c r="F108" s="9" t="s">
        <v>2612</v>
      </c>
      <c r="G108" s="9" t="s">
        <v>2613</v>
      </c>
      <c r="H108" s="9" t="s">
        <v>76</v>
      </c>
      <c r="I108" s="9" t="s">
        <v>229</v>
      </c>
      <c r="J108" s="9" t="s">
        <v>53</v>
      </c>
      <c r="K108" s="9" t="s">
        <v>53</v>
      </c>
      <c r="L108" s="9" t="s">
        <v>803</v>
      </c>
      <c r="M108" s="9" t="s">
        <v>311</v>
      </c>
      <c r="N108" s="9" t="s">
        <v>633</v>
      </c>
      <c r="O108" s="9" t="s">
        <v>62</v>
      </c>
      <c r="P108" s="9" t="s">
        <v>1614</v>
      </c>
      <c r="Q108" s="9" t="s">
        <v>65</v>
      </c>
      <c r="R108" s="9" t="s">
        <v>57</v>
      </c>
      <c r="S108" s="9" t="s">
        <v>1259</v>
      </c>
      <c r="T108" s="170">
        <v>3.5569999999999999</v>
      </c>
      <c r="U108" s="9" t="s">
        <v>2273</v>
      </c>
      <c r="V108" s="199">
        <v>3.6200000000000003E-2</v>
      </c>
      <c r="W108" s="185">
        <v>3.0020000000000002E-2</v>
      </c>
      <c r="X108" s="5" t="s">
        <v>618</v>
      </c>
      <c r="Y108" s="5" t="s">
        <v>62</v>
      </c>
      <c r="Z108" s="170">
        <v>11100</v>
      </c>
      <c r="AA108" s="184">
        <v>1</v>
      </c>
      <c r="AB108" s="186">
        <v>110.37</v>
      </c>
      <c r="AC108" s="9"/>
      <c r="AD108" s="170">
        <v>12.250999999999999</v>
      </c>
      <c r="AE108" s="9"/>
      <c r="AF108" s="9"/>
      <c r="AG108" s="9" t="s">
        <v>17</v>
      </c>
      <c r="AH108" s="185">
        <v>6.0000000000000002E-6</v>
      </c>
      <c r="AI108" s="185">
        <v>3.3671808960761E-3</v>
      </c>
      <c r="AJ108" s="185">
        <v>1.3586376736978299E-3</v>
      </c>
    </row>
    <row r="109" spans="1:36">
      <c r="A109" s="9">
        <v>337</v>
      </c>
      <c r="B109" s="9">
        <v>1405</v>
      </c>
      <c r="C109" s="9" t="s">
        <v>2614</v>
      </c>
      <c r="D109" s="9" t="s">
        <v>2615</v>
      </c>
      <c r="E109" s="5" t="s">
        <v>765</v>
      </c>
      <c r="F109" s="9" t="s">
        <v>2616</v>
      </c>
      <c r="G109" s="9" t="s">
        <v>2617</v>
      </c>
      <c r="H109" s="9" t="s">
        <v>76</v>
      </c>
      <c r="I109" s="9" t="s">
        <v>228</v>
      </c>
      <c r="J109" s="9" t="s">
        <v>53</v>
      </c>
      <c r="K109" s="9" t="s">
        <v>314</v>
      </c>
      <c r="L109" s="9" t="s">
        <v>803</v>
      </c>
      <c r="M109" s="9" t="s">
        <v>311</v>
      </c>
      <c r="N109" s="9" t="s">
        <v>634</v>
      </c>
      <c r="O109" s="9" t="s">
        <v>62</v>
      </c>
      <c r="P109" s="9" t="s">
        <v>2239</v>
      </c>
      <c r="Q109" s="9" t="s">
        <v>65</v>
      </c>
      <c r="R109" s="9" t="s">
        <v>57</v>
      </c>
      <c r="S109" s="9" t="s">
        <v>1259</v>
      </c>
      <c r="T109" s="170">
        <v>3.359</v>
      </c>
      <c r="U109" s="9" t="s">
        <v>2618</v>
      </c>
      <c r="V109" s="199">
        <v>4.4999999999999998E-2</v>
      </c>
      <c r="W109" s="185">
        <v>5.5239999999999997E-2</v>
      </c>
      <c r="X109" s="5" t="s">
        <v>618</v>
      </c>
      <c r="Y109" s="5" t="s">
        <v>62</v>
      </c>
      <c r="Z109" s="170">
        <v>18855.84</v>
      </c>
      <c r="AA109" s="184">
        <v>1</v>
      </c>
      <c r="AB109" s="186">
        <v>97.83</v>
      </c>
      <c r="AC109" s="9"/>
      <c r="AD109" s="170">
        <v>18.446999999999999</v>
      </c>
      <c r="AE109" s="9"/>
      <c r="AF109" s="9"/>
      <c r="AG109" s="9" t="s">
        <v>17</v>
      </c>
      <c r="AH109" s="185">
        <v>2.3E-5</v>
      </c>
      <c r="AI109" s="185">
        <v>5.0700280874839097E-3</v>
      </c>
      <c r="AJ109" s="185">
        <v>2.04572649315901E-3</v>
      </c>
    </row>
    <row r="110" spans="1:36">
      <c r="A110" s="9">
        <v>337</v>
      </c>
      <c r="B110" s="9">
        <v>1405</v>
      </c>
      <c r="C110" s="9" t="s">
        <v>2614</v>
      </c>
      <c r="D110" s="9" t="s">
        <v>2615</v>
      </c>
      <c r="E110" s="5" t="s">
        <v>765</v>
      </c>
      <c r="F110" s="9" t="s">
        <v>2619</v>
      </c>
      <c r="G110" s="9" t="s">
        <v>2620</v>
      </c>
      <c r="H110" s="9" t="s">
        <v>76</v>
      </c>
      <c r="I110" s="9" t="s">
        <v>228</v>
      </c>
      <c r="J110" s="9" t="s">
        <v>53</v>
      </c>
      <c r="K110" s="9" t="s">
        <v>53</v>
      </c>
      <c r="L110" s="9" t="s">
        <v>803</v>
      </c>
      <c r="M110" s="9" t="s">
        <v>311</v>
      </c>
      <c r="N110" s="9" t="s">
        <v>634</v>
      </c>
      <c r="O110" s="9" t="s">
        <v>62</v>
      </c>
      <c r="P110" s="9" t="s">
        <v>2246</v>
      </c>
      <c r="Q110" s="9" t="s">
        <v>65</v>
      </c>
      <c r="R110" s="9" t="s">
        <v>57</v>
      </c>
      <c r="S110" s="9" t="s">
        <v>1259</v>
      </c>
      <c r="T110" s="170">
        <v>1.877</v>
      </c>
      <c r="U110" s="9" t="s">
        <v>1615</v>
      </c>
      <c r="V110" s="199">
        <v>6.3500000000000001E-2</v>
      </c>
      <c r="W110" s="185">
        <v>5.33E-2</v>
      </c>
      <c r="X110" s="5" t="s">
        <v>618</v>
      </c>
      <c r="Y110" s="5" t="s">
        <v>62</v>
      </c>
      <c r="Z110" s="170">
        <v>9700</v>
      </c>
      <c r="AA110" s="184">
        <v>1</v>
      </c>
      <c r="AB110" s="186">
        <v>102.04</v>
      </c>
      <c r="AC110" s="9"/>
      <c r="AD110" s="170">
        <v>9.8979999999999997</v>
      </c>
      <c r="AE110" s="9"/>
      <c r="AF110" s="9"/>
      <c r="AG110" s="9" t="s">
        <v>17</v>
      </c>
      <c r="AH110" s="185">
        <v>2.4000000000000001E-5</v>
      </c>
      <c r="AI110" s="185">
        <v>2.7204115597783398E-3</v>
      </c>
      <c r="AJ110" s="185">
        <v>1.0976700531251801E-3</v>
      </c>
    </row>
    <row r="111" spans="1:36">
      <c r="A111" s="9">
        <v>337</v>
      </c>
      <c r="B111" s="9">
        <v>1405</v>
      </c>
      <c r="C111" s="9" t="s">
        <v>2614</v>
      </c>
      <c r="D111" s="9" t="s">
        <v>2615</v>
      </c>
      <c r="E111" s="5" t="s">
        <v>765</v>
      </c>
      <c r="F111" s="9" t="s">
        <v>2621</v>
      </c>
      <c r="G111" s="9" t="s">
        <v>2622</v>
      </c>
      <c r="H111" s="9" t="s">
        <v>76</v>
      </c>
      <c r="I111" s="9" t="s">
        <v>228</v>
      </c>
      <c r="J111" s="9" t="s">
        <v>53</v>
      </c>
      <c r="K111" s="9" t="s">
        <v>53</v>
      </c>
      <c r="L111" s="9" t="s">
        <v>803</v>
      </c>
      <c r="M111" s="9" t="s">
        <v>1691</v>
      </c>
      <c r="N111" s="9" t="s">
        <v>634</v>
      </c>
      <c r="O111" s="9" t="s">
        <v>62</v>
      </c>
      <c r="P111" s="9" t="s">
        <v>2246</v>
      </c>
      <c r="Q111" s="9" t="s">
        <v>65</v>
      </c>
      <c r="R111" s="9" t="s">
        <v>57</v>
      </c>
      <c r="S111" s="9" t="s">
        <v>1259</v>
      </c>
      <c r="T111" s="170">
        <v>3.3980000000000001</v>
      </c>
      <c r="U111" s="9" t="s">
        <v>2623</v>
      </c>
      <c r="V111" s="199">
        <v>6.25E-2</v>
      </c>
      <c r="W111" s="185">
        <v>5.2850000000000001E-2</v>
      </c>
      <c r="X111" s="5" t="s">
        <v>618</v>
      </c>
      <c r="Y111" s="5" t="s">
        <v>62</v>
      </c>
      <c r="Z111" s="170">
        <v>10000</v>
      </c>
      <c r="AA111" s="184">
        <v>1</v>
      </c>
      <c r="AB111" s="186">
        <v>104.82</v>
      </c>
      <c r="AC111" s="9"/>
      <c r="AD111" s="170">
        <v>10.481999999999999</v>
      </c>
      <c r="AE111" s="9"/>
      <c r="AF111" s="9"/>
      <c r="AG111" s="9" t="s">
        <v>17</v>
      </c>
      <c r="AH111" s="185">
        <v>1.8E-5</v>
      </c>
      <c r="AI111" s="185">
        <v>2.8809557167389999E-3</v>
      </c>
      <c r="AJ111" s="185">
        <v>1.16244867556063E-3</v>
      </c>
    </row>
    <row r="112" spans="1:36">
      <c r="A112" s="9">
        <v>337</v>
      </c>
      <c r="B112" s="9">
        <v>1405</v>
      </c>
      <c r="C112" s="9" t="s">
        <v>2043</v>
      </c>
      <c r="D112" s="9" t="s">
        <v>2044</v>
      </c>
      <c r="E112" s="5" t="s">
        <v>1346</v>
      </c>
      <c r="F112" s="9" t="s">
        <v>2624</v>
      </c>
      <c r="G112" s="9" t="s">
        <v>2625</v>
      </c>
      <c r="H112" s="9" t="s">
        <v>76</v>
      </c>
      <c r="I112" s="9" t="s">
        <v>229</v>
      </c>
      <c r="J112" s="9" t="s">
        <v>53</v>
      </c>
      <c r="K112" s="9" t="s">
        <v>53</v>
      </c>
      <c r="L112" s="9" t="s">
        <v>803</v>
      </c>
      <c r="M112" s="9" t="s">
        <v>311</v>
      </c>
      <c r="N112" s="9" t="s">
        <v>629</v>
      </c>
      <c r="O112" s="9" t="s">
        <v>62</v>
      </c>
      <c r="P112" s="167" t="s">
        <v>298</v>
      </c>
      <c r="Q112" s="9" t="s">
        <v>298</v>
      </c>
      <c r="R112" s="9" t="s">
        <v>298</v>
      </c>
      <c r="S112" s="9" t="s">
        <v>1259</v>
      </c>
      <c r="T112" s="170">
        <v>1.786</v>
      </c>
      <c r="U112" s="9" t="s">
        <v>2428</v>
      </c>
      <c r="V112" s="199">
        <v>2.3E-2</v>
      </c>
      <c r="W112" s="185">
        <v>4.0899999999999999E-2</v>
      </c>
      <c r="X112" s="5" t="s">
        <v>618</v>
      </c>
      <c r="Y112" s="5" t="s">
        <v>62</v>
      </c>
      <c r="Z112" s="170">
        <v>0.5</v>
      </c>
      <c r="AA112" s="184">
        <v>1</v>
      </c>
      <c r="AB112" s="186">
        <v>110.5</v>
      </c>
      <c r="AC112" s="9"/>
      <c r="AD112" s="170">
        <v>1E-3</v>
      </c>
      <c r="AE112" s="9"/>
      <c r="AF112" s="9"/>
      <c r="AG112" s="9" t="s">
        <v>17</v>
      </c>
      <c r="AH112" s="185">
        <v>0</v>
      </c>
      <c r="AI112" s="185">
        <v>1.51853466275358E-7</v>
      </c>
      <c r="AJ112" s="185">
        <v>6.1271979893841799E-8</v>
      </c>
    </row>
    <row r="113" spans="1:36">
      <c r="A113" s="9">
        <v>337</v>
      </c>
      <c r="B113" s="9">
        <v>1405</v>
      </c>
      <c r="C113" s="9" t="s">
        <v>2626</v>
      </c>
      <c r="D113" s="9" t="s">
        <v>2627</v>
      </c>
      <c r="E113" s="5" t="s">
        <v>765</v>
      </c>
      <c r="F113" s="9" t="s">
        <v>2628</v>
      </c>
      <c r="G113" s="9" t="s">
        <v>2629</v>
      </c>
      <c r="H113" s="9" t="s">
        <v>76</v>
      </c>
      <c r="I113" s="9" t="s">
        <v>228</v>
      </c>
      <c r="J113" s="9" t="s">
        <v>53</v>
      </c>
      <c r="K113" s="9" t="s">
        <v>317</v>
      </c>
      <c r="L113" s="9" t="s">
        <v>803</v>
      </c>
      <c r="M113" s="9" t="s">
        <v>311</v>
      </c>
      <c r="N113" s="9" t="s">
        <v>634</v>
      </c>
      <c r="O113" s="9" t="s">
        <v>62</v>
      </c>
      <c r="P113" s="9" t="s">
        <v>2239</v>
      </c>
      <c r="Q113" s="9" t="s">
        <v>65</v>
      </c>
      <c r="R113" s="9" t="s">
        <v>57</v>
      </c>
      <c r="S113" s="9" t="s">
        <v>1259</v>
      </c>
      <c r="T113" s="170">
        <v>0.96799999999999997</v>
      </c>
      <c r="U113" s="9" t="s">
        <v>2630</v>
      </c>
      <c r="V113" s="199">
        <v>5.7000000000000002E-2</v>
      </c>
      <c r="W113" s="185">
        <v>5.8029999999999998E-2</v>
      </c>
      <c r="X113" s="5" t="s">
        <v>618</v>
      </c>
      <c r="Y113" s="5" t="s">
        <v>62</v>
      </c>
      <c r="Z113" s="170">
        <v>20794.86</v>
      </c>
      <c r="AA113" s="184">
        <v>1</v>
      </c>
      <c r="AB113" s="186">
        <v>102.37</v>
      </c>
      <c r="AC113" s="9"/>
      <c r="AD113" s="170">
        <v>21.288</v>
      </c>
      <c r="AE113" s="9"/>
      <c r="AF113" s="9"/>
      <c r="AG113" s="9" t="s">
        <v>17</v>
      </c>
      <c r="AH113" s="185">
        <v>7.7999999999999999E-5</v>
      </c>
      <c r="AI113" s="185">
        <v>5.8508791999281901E-3</v>
      </c>
      <c r="AJ113" s="185">
        <v>2.3607953212555202E-3</v>
      </c>
    </row>
    <row r="114" spans="1:36">
      <c r="A114" s="9">
        <v>337</v>
      </c>
      <c r="B114" s="9">
        <v>1405</v>
      </c>
      <c r="C114" s="9" t="s">
        <v>2631</v>
      </c>
      <c r="D114" s="9" t="s">
        <v>2632</v>
      </c>
      <c r="E114" s="5" t="s">
        <v>765</v>
      </c>
      <c r="F114" s="9" t="s">
        <v>2633</v>
      </c>
      <c r="G114" s="9" t="s">
        <v>2634</v>
      </c>
      <c r="H114" s="9" t="s">
        <v>76</v>
      </c>
      <c r="I114" s="9" t="s">
        <v>230</v>
      </c>
      <c r="J114" s="9" t="s">
        <v>53</v>
      </c>
      <c r="K114" s="9" t="s">
        <v>314</v>
      </c>
      <c r="L114" s="9" t="s">
        <v>803</v>
      </c>
      <c r="M114" s="9" t="s">
        <v>311</v>
      </c>
      <c r="N114" s="9" t="s">
        <v>631</v>
      </c>
      <c r="O114" s="9" t="s">
        <v>62</v>
      </c>
      <c r="P114" s="9" t="s">
        <v>1621</v>
      </c>
      <c r="Q114" s="9" t="s">
        <v>70</v>
      </c>
      <c r="R114" s="9" t="s">
        <v>57</v>
      </c>
      <c r="S114" s="9" t="s">
        <v>1259</v>
      </c>
      <c r="T114" s="170">
        <v>1.1160000000000001</v>
      </c>
      <c r="U114" s="9" t="s">
        <v>2635</v>
      </c>
      <c r="V114" s="199">
        <v>7.9135999999999998E-2</v>
      </c>
      <c r="W114" s="185">
        <v>5.5309999999999998E-2</v>
      </c>
      <c r="X114" s="5" t="s">
        <v>618</v>
      </c>
      <c r="Y114" s="5" t="s">
        <v>62</v>
      </c>
      <c r="Z114" s="170">
        <v>18000</v>
      </c>
      <c r="AA114" s="184">
        <v>1</v>
      </c>
      <c r="AB114" s="186">
        <v>95.62</v>
      </c>
      <c r="AC114" s="9"/>
      <c r="AD114" s="170">
        <v>17.212</v>
      </c>
      <c r="AE114" s="9"/>
      <c r="AF114" s="9"/>
      <c r="AG114" s="9" t="s">
        <v>17</v>
      </c>
      <c r="AH114" s="185">
        <v>4.3000000000000002E-5</v>
      </c>
      <c r="AI114" s="185">
        <v>4.7305721631582696E-3</v>
      </c>
      <c r="AJ114" s="185">
        <v>1.9087580255943001E-3</v>
      </c>
    </row>
    <row r="115" spans="1:36">
      <c r="A115" s="9">
        <v>337</v>
      </c>
      <c r="B115" s="9">
        <v>1405</v>
      </c>
      <c r="C115" s="9" t="s">
        <v>2636</v>
      </c>
      <c r="D115" s="9" t="s">
        <v>2637</v>
      </c>
      <c r="E115" s="5" t="s">
        <v>765</v>
      </c>
      <c r="F115" s="9" t="s">
        <v>2638</v>
      </c>
      <c r="G115" s="9" t="s">
        <v>2639</v>
      </c>
      <c r="H115" s="9" t="s">
        <v>76</v>
      </c>
      <c r="I115" s="9" t="s">
        <v>228</v>
      </c>
      <c r="J115" s="9" t="s">
        <v>53</v>
      </c>
      <c r="K115" s="9" t="s">
        <v>314</v>
      </c>
      <c r="L115" s="9" t="s">
        <v>803</v>
      </c>
      <c r="M115" s="9" t="s">
        <v>1691</v>
      </c>
      <c r="N115" s="9" t="s">
        <v>634</v>
      </c>
      <c r="O115" s="9" t="s">
        <v>62</v>
      </c>
      <c r="P115" s="9" t="s">
        <v>2246</v>
      </c>
      <c r="Q115" s="9" t="s">
        <v>65</v>
      </c>
      <c r="R115" s="9" t="s">
        <v>57</v>
      </c>
      <c r="S115" s="9" t="s">
        <v>1259</v>
      </c>
      <c r="T115" s="170">
        <v>3.96</v>
      </c>
      <c r="U115" s="9" t="s">
        <v>2640</v>
      </c>
      <c r="V115" s="199">
        <v>6.7400000000000002E-2</v>
      </c>
      <c r="W115" s="185">
        <v>5.6840000000000002E-2</v>
      </c>
      <c r="X115" s="5" t="s">
        <v>618</v>
      </c>
      <c r="Y115" s="5" t="s">
        <v>62</v>
      </c>
      <c r="Z115" s="170">
        <v>31000</v>
      </c>
      <c r="AA115" s="184">
        <v>1</v>
      </c>
      <c r="AB115" s="186">
        <v>104.44</v>
      </c>
      <c r="AC115" s="9"/>
      <c r="AD115" s="170">
        <v>32.375999999999998</v>
      </c>
      <c r="AE115" s="9"/>
      <c r="AF115" s="9"/>
      <c r="AG115" s="9" t="s">
        <v>17</v>
      </c>
      <c r="AH115" s="185">
        <v>1.0900000000000001E-4</v>
      </c>
      <c r="AI115" s="185">
        <v>8.8985856389456695E-3</v>
      </c>
      <c r="AJ115" s="185">
        <v>3.5905269318280198E-3</v>
      </c>
    </row>
    <row r="116" spans="1:36">
      <c r="A116" s="9">
        <v>337</v>
      </c>
      <c r="B116" s="9">
        <v>1405</v>
      </c>
      <c r="C116" s="9" t="s">
        <v>2641</v>
      </c>
      <c r="D116" s="9" t="s">
        <v>2642</v>
      </c>
      <c r="E116" s="5" t="s">
        <v>765</v>
      </c>
      <c r="F116" s="9" t="s">
        <v>2643</v>
      </c>
      <c r="G116" s="9" t="s">
        <v>2644</v>
      </c>
      <c r="H116" s="9" t="s">
        <v>76</v>
      </c>
      <c r="I116" s="9" t="s">
        <v>228</v>
      </c>
      <c r="J116" s="9" t="s">
        <v>53</v>
      </c>
      <c r="K116" s="9" t="s">
        <v>314</v>
      </c>
      <c r="L116" s="9" t="s">
        <v>803</v>
      </c>
      <c r="M116" s="9" t="s">
        <v>311</v>
      </c>
      <c r="N116" s="9" t="s">
        <v>634</v>
      </c>
      <c r="O116" s="9" t="s">
        <v>62</v>
      </c>
      <c r="P116" s="9" t="s">
        <v>1614</v>
      </c>
      <c r="Q116" s="9" t="s">
        <v>65</v>
      </c>
      <c r="R116" s="9" t="s">
        <v>57</v>
      </c>
      <c r="S116" s="9" t="s">
        <v>1259</v>
      </c>
      <c r="T116" s="170">
        <v>1.6379999999999999</v>
      </c>
      <c r="U116" s="9" t="s">
        <v>2371</v>
      </c>
      <c r="V116" s="199">
        <v>5.1499999999999997E-2</v>
      </c>
      <c r="W116" s="185">
        <v>6.0409999999999998E-2</v>
      </c>
      <c r="X116" s="5" t="s">
        <v>618</v>
      </c>
      <c r="Y116" s="5" t="s">
        <v>62</v>
      </c>
      <c r="Z116" s="170">
        <v>0.49</v>
      </c>
      <c r="AA116" s="184">
        <v>1</v>
      </c>
      <c r="AB116" s="186">
        <v>101.87</v>
      </c>
      <c r="AC116" s="9"/>
      <c r="AD116" s="170">
        <v>0</v>
      </c>
      <c r="AE116" s="9"/>
      <c r="AF116" s="9"/>
      <c r="AG116" s="9" t="s">
        <v>17</v>
      </c>
      <c r="AH116" s="185">
        <v>0</v>
      </c>
      <c r="AI116" s="185">
        <v>1.37193903685803E-7</v>
      </c>
      <c r="AJ116" s="185">
        <v>5.5356932669230397E-8</v>
      </c>
    </row>
    <row r="117" spans="1:36">
      <c r="A117" s="9">
        <v>337</v>
      </c>
      <c r="B117" s="9">
        <v>1405</v>
      </c>
      <c r="C117" s="9" t="s">
        <v>2055</v>
      </c>
      <c r="D117" s="9" t="s">
        <v>2056</v>
      </c>
      <c r="E117" s="5" t="s">
        <v>1346</v>
      </c>
      <c r="F117" s="9" t="s">
        <v>2645</v>
      </c>
      <c r="G117" s="9" t="s">
        <v>2646</v>
      </c>
      <c r="H117" s="9" t="s">
        <v>76</v>
      </c>
      <c r="I117" s="9" t="s">
        <v>229</v>
      </c>
      <c r="J117" s="9" t="s">
        <v>53</v>
      </c>
      <c r="K117" s="9" t="s">
        <v>53</v>
      </c>
      <c r="L117" s="9" t="s">
        <v>803</v>
      </c>
      <c r="M117" s="9" t="s">
        <v>311</v>
      </c>
      <c r="N117" s="9" t="s">
        <v>633</v>
      </c>
      <c r="O117" s="9" t="s">
        <v>62</v>
      </c>
      <c r="P117" s="9" t="s">
        <v>1331</v>
      </c>
      <c r="Q117" s="9" t="s">
        <v>65</v>
      </c>
      <c r="R117" s="9" t="s">
        <v>57</v>
      </c>
      <c r="S117" s="9" t="s">
        <v>1259</v>
      </c>
      <c r="T117" s="170">
        <v>2.6779999999999999</v>
      </c>
      <c r="U117" s="9" t="s">
        <v>2647</v>
      </c>
      <c r="V117" s="199">
        <v>1.34E-2</v>
      </c>
      <c r="W117" s="185">
        <v>2.8029999999999999E-2</v>
      </c>
      <c r="X117" s="5" t="s">
        <v>618</v>
      </c>
      <c r="Y117" s="5" t="s">
        <v>62</v>
      </c>
      <c r="Z117" s="170">
        <v>35000</v>
      </c>
      <c r="AA117" s="184">
        <v>1</v>
      </c>
      <c r="AB117" s="186">
        <v>114.07</v>
      </c>
      <c r="AC117" s="170">
        <v>4.4560000000000004</v>
      </c>
      <c r="AD117" s="170">
        <v>44.38</v>
      </c>
      <c r="AE117" s="9"/>
      <c r="AF117" s="9"/>
      <c r="AG117" s="9" t="s">
        <v>17</v>
      </c>
      <c r="AH117" s="185">
        <v>1.5999999999999999E-5</v>
      </c>
      <c r="AI117" s="185">
        <v>1.21977774093158E-2</v>
      </c>
      <c r="AJ117" s="185">
        <v>4.9217313934600696E-3</v>
      </c>
    </row>
    <row r="118" spans="1:36">
      <c r="A118" s="9">
        <v>337</v>
      </c>
      <c r="B118" s="9">
        <v>1405</v>
      </c>
      <c r="C118" s="9" t="s">
        <v>2055</v>
      </c>
      <c r="D118" s="9" t="s">
        <v>2056</v>
      </c>
      <c r="E118" s="5" t="s">
        <v>1346</v>
      </c>
      <c r="F118" s="9" t="s">
        <v>2648</v>
      </c>
      <c r="G118" s="9" t="s">
        <v>2649</v>
      </c>
      <c r="H118" s="9" t="s">
        <v>76</v>
      </c>
      <c r="I118" s="9" t="s">
        <v>229</v>
      </c>
      <c r="J118" s="9" t="s">
        <v>53</v>
      </c>
      <c r="K118" s="9" t="s">
        <v>53</v>
      </c>
      <c r="L118" s="9" t="s">
        <v>803</v>
      </c>
      <c r="M118" s="9" t="s">
        <v>311</v>
      </c>
      <c r="N118" s="9" t="s">
        <v>633</v>
      </c>
      <c r="O118" s="9" t="s">
        <v>62</v>
      </c>
      <c r="P118" s="9" t="s">
        <v>2650</v>
      </c>
      <c r="Q118" s="9" t="s">
        <v>70</v>
      </c>
      <c r="R118" s="9" t="s">
        <v>57</v>
      </c>
      <c r="S118" s="9" t="s">
        <v>1259</v>
      </c>
      <c r="T118" s="170">
        <v>1.9570000000000001</v>
      </c>
      <c r="U118" s="9" t="s">
        <v>2255</v>
      </c>
      <c r="V118" s="199">
        <v>1.77E-2</v>
      </c>
      <c r="W118" s="185">
        <v>2.8219999999999999E-2</v>
      </c>
      <c r="X118" s="5" t="s">
        <v>618</v>
      </c>
      <c r="Y118" s="5" t="s">
        <v>62</v>
      </c>
      <c r="Z118" s="170">
        <v>59952.31</v>
      </c>
      <c r="AA118" s="184">
        <v>1</v>
      </c>
      <c r="AB118" s="186">
        <v>114.73</v>
      </c>
      <c r="AC118" s="9"/>
      <c r="AD118" s="170">
        <v>68.783000000000001</v>
      </c>
      <c r="AE118" s="9"/>
      <c r="AF118" s="9"/>
      <c r="AG118" s="9" t="s">
        <v>17</v>
      </c>
      <c r="AH118" s="185">
        <v>2.5000000000000001E-5</v>
      </c>
      <c r="AI118" s="185">
        <v>1.8904941699535299E-2</v>
      </c>
      <c r="AJ118" s="185">
        <v>7.6280327088994104E-3</v>
      </c>
    </row>
    <row r="119" spans="1:36">
      <c r="A119" s="9">
        <v>337</v>
      </c>
      <c r="B119" s="9">
        <v>1405</v>
      </c>
      <c r="C119" s="9" t="s">
        <v>2055</v>
      </c>
      <c r="D119" s="9" t="s">
        <v>2056</v>
      </c>
      <c r="E119" s="5" t="s">
        <v>1346</v>
      </c>
      <c r="F119" s="9" t="s">
        <v>2651</v>
      </c>
      <c r="G119" s="9" t="s">
        <v>2652</v>
      </c>
      <c r="H119" s="9" t="s">
        <v>76</v>
      </c>
      <c r="I119" s="9" t="s">
        <v>229</v>
      </c>
      <c r="J119" s="9" t="s">
        <v>53</v>
      </c>
      <c r="K119" s="9" t="s">
        <v>53</v>
      </c>
      <c r="L119" s="9" t="s">
        <v>803</v>
      </c>
      <c r="M119" s="9" t="s">
        <v>311</v>
      </c>
      <c r="N119" s="9" t="s">
        <v>633</v>
      </c>
      <c r="O119" s="9" t="s">
        <v>62</v>
      </c>
      <c r="P119" s="9" t="s">
        <v>1331</v>
      </c>
      <c r="Q119" s="9" t="s">
        <v>65</v>
      </c>
      <c r="R119" s="9" t="s">
        <v>57</v>
      </c>
      <c r="S119" s="9" t="s">
        <v>1259</v>
      </c>
      <c r="T119" s="170">
        <v>6.4160000000000004</v>
      </c>
      <c r="U119" s="9" t="s">
        <v>2653</v>
      </c>
      <c r="V119" s="199">
        <v>8.9999999999999993E-3</v>
      </c>
      <c r="W119" s="185">
        <v>2.8410000000000001E-2</v>
      </c>
      <c r="X119" s="5" t="s">
        <v>618</v>
      </c>
      <c r="Y119" s="5" t="s">
        <v>62</v>
      </c>
      <c r="Z119" s="170">
        <v>26233.47</v>
      </c>
      <c r="AA119" s="184">
        <v>1</v>
      </c>
      <c r="AB119" s="186">
        <v>101.93</v>
      </c>
      <c r="AC119" s="170">
        <v>0.76900000000000002</v>
      </c>
      <c r="AD119" s="170">
        <v>27.509</v>
      </c>
      <c r="AE119" s="9"/>
      <c r="AF119" s="9"/>
      <c r="AG119" s="9" t="s">
        <v>17</v>
      </c>
      <c r="AH119" s="185">
        <v>1.0000000000000001E-5</v>
      </c>
      <c r="AI119" s="185">
        <v>7.5607706103322202E-3</v>
      </c>
      <c r="AJ119" s="185">
        <v>3.0507264416222502E-3</v>
      </c>
    </row>
    <row r="120" spans="1:36">
      <c r="A120" s="9">
        <v>337</v>
      </c>
      <c r="B120" s="9">
        <v>1405</v>
      </c>
      <c r="C120" s="9" t="s">
        <v>2055</v>
      </c>
      <c r="D120" s="9" t="s">
        <v>2056</v>
      </c>
      <c r="E120" s="5" t="s">
        <v>1346</v>
      </c>
      <c r="F120" s="9" t="s">
        <v>2654</v>
      </c>
      <c r="G120" s="9" t="s">
        <v>2655</v>
      </c>
      <c r="H120" s="9" t="s">
        <v>76</v>
      </c>
      <c r="I120" s="9" t="s">
        <v>229</v>
      </c>
      <c r="J120" s="9" t="s">
        <v>53</v>
      </c>
      <c r="K120" s="9" t="s">
        <v>53</v>
      </c>
      <c r="L120" s="9" t="s">
        <v>803</v>
      </c>
      <c r="M120" s="9" t="s">
        <v>311</v>
      </c>
      <c r="N120" s="9" t="s">
        <v>633</v>
      </c>
      <c r="O120" s="9" t="s">
        <v>62</v>
      </c>
      <c r="P120" s="9" t="s">
        <v>1331</v>
      </c>
      <c r="Q120" s="9" t="s">
        <v>65</v>
      </c>
      <c r="R120" s="9" t="s">
        <v>57</v>
      </c>
      <c r="S120" s="9" t="s">
        <v>1259</v>
      </c>
      <c r="T120" s="170">
        <v>9.8800000000000008</v>
      </c>
      <c r="U120" s="9" t="s">
        <v>2656</v>
      </c>
      <c r="V120" s="199">
        <v>1.6899999999999998E-2</v>
      </c>
      <c r="W120" s="185">
        <v>2.9499999999999998E-2</v>
      </c>
      <c r="X120" s="5" t="s">
        <v>618</v>
      </c>
      <c r="Y120" s="5" t="s">
        <v>62</v>
      </c>
      <c r="Z120" s="170">
        <v>30000</v>
      </c>
      <c r="AA120" s="184">
        <v>1</v>
      </c>
      <c r="AB120" s="186">
        <v>102.05</v>
      </c>
      <c r="AC120" s="170">
        <v>0.29199999999999998</v>
      </c>
      <c r="AD120" s="170">
        <v>30.907</v>
      </c>
      <c r="AE120" s="9"/>
      <c r="AF120" s="9"/>
      <c r="AG120" s="9" t="s">
        <v>17</v>
      </c>
      <c r="AH120" s="185">
        <v>6.9999999999999999E-6</v>
      </c>
      <c r="AI120" s="185">
        <v>8.4948065849997402E-3</v>
      </c>
      <c r="AJ120" s="185">
        <v>3.42760446004152E-3</v>
      </c>
    </row>
    <row r="121" spans="1:36">
      <c r="A121" s="9">
        <v>337</v>
      </c>
      <c r="B121" s="9">
        <v>1405</v>
      </c>
      <c r="C121" s="9" t="s">
        <v>2657</v>
      </c>
      <c r="D121" s="9" t="s">
        <v>2658</v>
      </c>
      <c r="E121" s="5" t="s">
        <v>1346</v>
      </c>
      <c r="F121" s="9" t="s">
        <v>2659</v>
      </c>
      <c r="G121" s="9" t="s">
        <v>2660</v>
      </c>
      <c r="H121" s="9" t="s">
        <v>76</v>
      </c>
      <c r="I121" s="9" t="s">
        <v>228</v>
      </c>
      <c r="J121" s="9" t="s">
        <v>53</v>
      </c>
      <c r="K121" s="9" t="s">
        <v>53</v>
      </c>
      <c r="L121" s="9" t="s">
        <v>803</v>
      </c>
      <c r="M121" s="9" t="s">
        <v>311</v>
      </c>
      <c r="N121" s="9" t="s">
        <v>140</v>
      </c>
      <c r="O121" s="9" t="s">
        <v>62</v>
      </c>
      <c r="P121" s="9" t="s">
        <v>2314</v>
      </c>
      <c r="Q121" s="9" t="s">
        <v>70</v>
      </c>
      <c r="R121" s="9" t="s">
        <v>57</v>
      </c>
      <c r="S121" s="9" t="s">
        <v>1259</v>
      </c>
      <c r="T121" s="170">
        <v>1.385</v>
      </c>
      <c r="U121" s="9" t="s">
        <v>2661</v>
      </c>
      <c r="V121" s="199">
        <v>0.06</v>
      </c>
      <c r="W121" s="185">
        <v>5.2359999999999997E-2</v>
      </c>
      <c r="X121" s="5" t="s">
        <v>618</v>
      </c>
      <c r="Y121" s="5" t="s">
        <v>62</v>
      </c>
      <c r="Z121" s="170">
        <v>9200</v>
      </c>
      <c r="AA121" s="184">
        <v>1</v>
      </c>
      <c r="AB121" s="186">
        <v>101.65</v>
      </c>
      <c r="AC121" s="9"/>
      <c r="AD121" s="170">
        <v>9.3520000000000003</v>
      </c>
      <c r="AE121" s="9"/>
      <c r="AF121" s="9"/>
      <c r="AG121" s="9" t="s">
        <v>17</v>
      </c>
      <c r="AH121" s="185">
        <v>5.3999999999999998E-5</v>
      </c>
      <c r="AI121" s="185">
        <v>2.5703226170387099E-3</v>
      </c>
      <c r="AJ121" s="185">
        <v>1.0371100480927201E-3</v>
      </c>
    </row>
    <row r="122" spans="1:36">
      <c r="A122" s="9">
        <v>337</v>
      </c>
      <c r="B122" s="9">
        <v>1405</v>
      </c>
      <c r="C122" s="9" t="s">
        <v>2059</v>
      </c>
      <c r="D122" s="9" t="s">
        <v>2060</v>
      </c>
      <c r="E122" s="5" t="s">
        <v>1346</v>
      </c>
      <c r="F122" s="9" t="s">
        <v>2662</v>
      </c>
      <c r="G122" s="9" t="s">
        <v>2663</v>
      </c>
      <c r="H122" s="9" t="s">
        <v>76</v>
      </c>
      <c r="I122" s="9" t="s">
        <v>229</v>
      </c>
      <c r="J122" s="9" t="s">
        <v>53</v>
      </c>
      <c r="K122" s="9" t="s">
        <v>53</v>
      </c>
      <c r="L122" s="9" t="s">
        <v>803</v>
      </c>
      <c r="M122" s="9" t="s">
        <v>311</v>
      </c>
      <c r="N122" s="9" t="s">
        <v>256</v>
      </c>
      <c r="O122" s="9" t="s">
        <v>62</v>
      </c>
      <c r="P122" s="9" t="s">
        <v>1641</v>
      </c>
      <c r="Q122" s="9" t="s">
        <v>65</v>
      </c>
      <c r="R122" s="9" t="s">
        <v>57</v>
      </c>
      <c r="S122" s="9" t="s">
        <v>1259</v>
      </c>
      <c r="T122" s="170">
        <v>3.335</v>
      </c>
      <c r="U122" s="9" t="s">
        <v>2664</v>
      </c>
      <c r="V122" s="199">
        <v>1E-3</v>
      </c>
      <c r="W122" s="185">
        <v>2.5729999999999999E-2</v>
      </c>
      <c r="X122" s="5" t="s">
        <v>618</v>
      </c>
      <c r="Y122" s="5" t="s">
        <v>62</v>
      </c>
      <c r="Z122" s="170">
        <v>11988.2</v>
      </c>
      <c r="AA122" s="184">
        <v>1</v>
      </c>
      <c r="AB122" s="186">
        <v>105.19</v>
      </c>
      <c r="AC122" s="9"/>
      <c r="AD122" s="170">
        <v>12.61</v>
      </c>
      <c r="AE122" s="9"/>
      <c r="AF122" s="9"/>
      <c r="AG122" s="9" t="s">
        <v>17</v>
      </c>
      <c r="AH122" s="185">
        <v>1.2E-5</v>
      </c>
      <c r="AI122" s="185">
        <v>3.4659385793641899E-3</v>
      </c>
      <c r="AJ122" s="185">
        <v>1.3984858176566699E-3</v>
      </c>
    </row>
    <row r="123" spans="1:36">
      <c r="A123" s="9">
        <v>337</v>
      </c>
      <c r="B123" s="9">
        <v>1405</v>
      </c>
      <c r="C123" s="9" t="s">
        <v>2059</v>
      </c>
      <c r="D123" s="9" t="s">
        <v>2060</v>
      </c>
      <c r="E123" s="5" t="s">
        <v>1346</v>
      </c>
      <c r="F123" s="9" t="s">
        <v>2665</v>
      </c>
      <c r="G123" s="9" t="s">
        <v>2666</v>
      </c>
      <c r="H123" s="9" t="s">
        <v>76</v>
      </c>
      <c r="I123" s="9" t="s">
        <v>229</v>
      </c>
      <c r="J123" s="9" t="s">
        <v>53</v>
      </c>
      <c r="K123" s="9" t="s">
        <v>53</v>
      </c>
      <c r="L123" s="9" t="s">
        <v>803</v>
      </c>
      <c r="M123" s="9" t="s">
        <v>311</v>
      </c>
      <c r="N123" s="9" t="s">
        <v>256</v>
      </c>
      <c r="O123" s="9" t="s">
        <v>62</v>
      </c>
      <c r="P123" s="9" t="s">
        <v>1641</v>
      </c>
      <c r="Q123" s="9" t="s">
        <v>65</v>
      </c>
      <c r="R123" s="9" t="s">
        <v>57</v>
      </c>
      <c r="S123" s="9" t="s">
        <v>1259</v>
      </c>
      <c r="T123" s="170">
        <v>3.7149999999999999</v>
      </c>
      <c r="U123" s="9" t="s">
        <v>2667</v>
      </c>
      <c r="V123" s="199">
        <v>1.3899999999999999E-2</v>
      </c>
      <c r="W123" s="185">
        <v>2.511E-2</v>
      </c>
      <c r="X123" s="5" t="s">
        <v>618</v>
      </c>
      <c r="Y123" s="5" t="s">
        <v>62</v>
      </c>
      <c r="Z123" s="170">
        <v>18400</v>
      </c>
      <c r="AA123" s="184">
        <v>1</v>
      </c>
      <c r="AB123" s="186">
        <v>105.13</v>
      </c>
      <c r="AC123" s="9"/>
      <c r="AD123" s="170">
        <v>19.344000000000001</v>
      </c>
      <c r="AE123" s="9"/>
      <c r="AF123" s="9"/>
      <c r="AG123" s="9" t="s">
        <v>17</v>
      </c>
      <c r="AH123" s="185">
        <v>1.2E-5</v>
      </c>
      <c r="AI123" s="185">
        <v>5.3166358431732397E-3</v>
      </c>
      <c r="AJ123" s="185">
        <v>2.1452312711458502E-3</v>
      </c>
    </row>
    <row r="124" spans="1:36">
      <c r="A124" s="9">
        <v>337</v>
      </c>
      <c r="B124" s="9">
        <v>1405</v>
      </c>
      <c r="C124" s="9" t="s">
        <v>2059</v>
      </c>
      <c r="D124" s="9" t="s">
        <v>2060</v>
      </c>
      <c r="E124" s="5" t="s">
        <v>1346</v>
      </c>
      <c r="F124" s="9" t="s">
        <v>2668</v>
      </c>
      <c r="G124" s="9" t="s">
        <v>2669</v>
      </c>
      <c r="H124" s="9" t="s">
        <v>76</v>
      </c>
      <c r="I124" s="9" t="s">
        <v>229</v>
      </c>
      <c r="J124" s="9" t="s">
        <v>53</v>
      </c>
      <c r="K124" s="9" t="s">
        <v>53</v>
      </c>
      <c r="L124" s="9" t="s">
        <v>803</v>
      </c>
      <c r="M124" s="9" t="s">
        <v>311</v>
      </c>
      <c r="N124" s="9" t="s">
        <v>256</v>
      </c>
      <c r="O124" s="9" t="s">
        <v>62</v>
      </c>
      <c r="P124" s="9" t="s">
        <v>1641</v>
      </c>
      <c r="Q124" s="9" t="s">
        <v>65</v>
      </c>
      <c r="R124" s="9" t="s">
        <v>57</v>
      </c>
      <c r="S124" s="9" t="s">
        <v>1259</v>
      </c>
      <c r="T124" s="170">
        <v>2.8039999999999998</v>
      </c>
      <c r="U124" s="9" t="s">
        <v>2670</v>
      </c>
      <c r="V124" s="199">
        <v>1.7500000000000002E-2</v>
      </c>
      <c r="W124" s="185">
        <v>2.4469999999999999E-2</v>
      </c>
      <c r="X124" s="5" t="s">
        <v>618</v>
      </c>
      <c r="Y124" s="5" t="s">
        <v>62</v>
      </c>
      <c r="Z124" s="170">
        <v>33342.230000000003</v>
      </c>
      <c r="AA124" s="184">
        <v>1</v>
      </c>
      <c r="AB124" s="186">
        <v>115.29</v>
      </c>
      <c r="AC124" s="9"/>
      <c r="AD124" s="170">
        <v>38.44</v>
      </c>
      <c r="AE124" s="9"/>
      <c r="AF124" s="9"/>
      <c r="AG124" s="9" t="s">
        <v>17</v>
      </c>
      <c r="AH124" s="185">
        <v>1.5E-5</v>
      </c>
      <c r="AI124" s="185">
        <v>1.0565224008967301E-2</v>
      </c>
      <c r="AJ124" s="185">
        <v>4.2630057049703801E-3</v>
      </c>
    </row>
    <row r="125" spans="1:36">
      <c r="A125" s="9">
        <v>337</v>
      </c>
      <c r="B125" s="9">
        <v>1405</v>
      </c>
      <c r="C125" s="9" t="s">
        <v>2059</v>
      </c>
      <c r="D125" s="9" t="s">
        <v>2060</v>
      </c>
      <c r="E125" s="5" t="s">
        <v>1346</v>
      </c>
      <c r="F125" s="9" t="s">
        <v>2671</v>
      </c>
      <c r="G125" s="9" t="s">
        <v>2672</v>
      </c>
      <c r="H125" s="9" t="s">
        <v>76</v>
      </c>
      <c r="I125" s="9" t="s">
        <v>229</v>
      </c>
      <c r="J125" s="9" t="s">
        <v>53</v>
      </c>
      <c r="K125" s="9" t="s">
        <v>53</v>
      </c>
      <c r="L125" s="9" t="s">
        <v>803</v>
      </c>
      <c r="M125" s="9" t="s">
        <v>1691</v>
      </c>
      <c r="N125" s="9" t="s">
        <v>256</v>
      </c>
      <c r="O125" s="9" t="s">
        <v>62</v>
      </c>
      <c r="P125" s="9" t="s">
        <v>2239</v>
      </c>
      <c r="Q125" s="9" t="s">
        <v>65</v>
      </c>
      <c r="R125" s="9" t="s">
        <v>57</v>
      </c>
      <c r="S125" s="9" t="s">
        <v>1259</v>
      </c>
      <c r="T125" s="170">
        <v>6.56</v>
      </c>
      <c r="U125" s="9" t="s">
        <v>2673</v>
      </c>
      <c r="V125" s="199">
        <v>3.4500000000000003E-2</v>
      </c>
      <c r="W125" s="185">
        <v>2.903E-2</v>
      </c>
      <c r="X125" s="5" t="s">
        <v>618</v>
      </c>
      <c r="Y125" s="5" t="s">
        <v>62</v>
      </c>
      <c r="Z125" s="170">
        <v>21000</v>
      </c>
      <c r="AA125" s="184">
        <v>1</v>
      </c>
      <c r="AB125" s="186">
        <v>106.85</v>
      </c>
      <c r="AC125" s="9"/>
      <c r="AD125" s="170">
        <v>22.439</v>
      </c>
      <c r="AE125" s="9"/>
      <c r="AF125" s="9"/>
      <c r="AG125" s="9" t="s">
        <v>17</v>
      </c>
      <c r="AH125" s="185">
        <v>1.4E-5</v>
      </c>
      <c r="AI125" s="185">
        <v>6.1671746660988402E-3</v>
      </c>
      <c r="AJ125" s="185">
        <v>2.48841868026782E-3</v>
      </c>
    </row>
    <row r="126" spans="1:36">
      <c r="A126" s="9">
        <v>337</v>
      </c>
      <c r="B126" s="9">
        <v>1405</v>
      </c>
      <c r="C126" s="9" t="s">
        <v>2067</v>
      </c>
      <c r="D126" s="9" t="s">
        <v>2068</v>
      </c>
      <c r="E126" s="5" t="s">
        <v>1346</v>
      </c>
      <c r="F126" s="9" t="s">
        <v>2674</v>
      </c>
      <c r="G126" s="9" t="s">
        <v>2675</v>
      </c>
      <c r="H126" s="9" t="s">
        <v>76</v>
      </c>
      <c r="I126" s="9" t="s">
        <v>228</v>
      </c>
      <c r="J126" s="9" t="s">
        <v>53</v>
      </c>
      <c r="K126" s="9" t="s">
        <v>53</v>
      </c>
      <c r="L126" s="9" t="s">
        <v>803</v>
      </c>
      <c r="M126" s="9" t="s">
        <v>311</v>
      </c>
      <c r="N126" s="9" t="s">
        <v>252</v>
      </c>
      <c r="O126" s="9" t="s">
        <v>62</v>
      </c>
      <c r="P126" s="9" t="s">
        <v>2239</v>
      </c>
      <c r="Q126" s="9" t="s">
        <v>65</v>
      </c>
      <c r="R126" s="9" t="s">
        <v>57</v>
      </c>
      <c r="S126" s="9" t="s">
        <v>1259</v>
      </c>
      <c r="T126" s="170">
        <v>0.90200000000000002</v>
      </c>
      <c r="U126" s="9" t="s">
        <v>2676</v>
      </c>
      <c r="V126" s="199">
        <v>2.29E-2</v>
      </c>
      <c r="W126" s="185">
        <v>4.7030000000000002E-2</v>
      </c>
      <c r="X126" s="5" t="s">
        <v>618</v>
      </c>
      <c r="Y126" s="5" t="s">
        <v>62</v>
      </c>
      <c r="Z126" s="170">
        <v>10961.53</v>
      </c>
      <c r="AA126" s="184">
        <v>1</v>
      </c>
      <c r="AB126" s="186">
        <v>98.11</v>
      </c>
      <c r="AC126" s="9"/>
      <c r="AD126" s="170">
        <v>10.754</v>
      </c>
      <c r="AE126" s="9"/>
      <c r="AF126" s="9"/>
      <c r="AG126" s="9" t="s">
        <v>17</v>
      </c>
      <c r="AH126" s="185">
        <v>3.3000000000000003E-5</v>
      </c>
      <c r="AI126" s="185">
        <v>2.9558124898036099E-3</v>
      </c>
      <c r="AJ126" s="185">
        <v>1.19265294291542E-3</v>
      </c>
    </row>
    <row r="127" spans="1:36">
      <c r="A127" s="9">
        <v>337</v>
      </c>
      <c r="B127" s="9">
        <v>1405</v>
      </c>
      <c r="C127" s="9" t="s">
        <v>2677</v>
      </c>
      <c r="D127" s="9" t="s">
        <v>2678</v>
      </c>
      <c r="E127" s="5" t="s">
        <v>1346</v>
      </c>
      <c r="F127" s="9" t="s">
        <v>2679</v>
      </c>
      <c r="G127" s="9" t="s">
        <v>2680</v>
      </c>
      <c r="H127" s="9" t="s">
        <v>76</v>
      </c>
      <c r="I127" s="9" t="s">
        <v>228</v>
      </c>
      <c r="J127" s="9" t="s">
        <v>53</v>
      </c>
      <c r="K127" s="9" t="s">
        <v>53</v>
      </c>
      <c r="L127" s="9" t="s">
        <v>803</v>
      </c>
      <c r="M127" s="9" t="s">
        <v>1691</v>
      </c>
      <c r="N127" s="9" t="s">
        <v>269</v>
      </c>
      <c r="O127" s="9" t="s">
        <v>62</v>
      </c>
      <c r="P127" s="9" t="s">
        <v>2246</v>
      </c>
      <c r="Q127" s="9" t="s">
        <v>65</v>
      </c>
      <c r="R127" s="9" t="s">
        <v>57</v>
      </c>
      <c r="S127" s="9" t="s">
        <v>1259</v>
      </c>
      <c r="T127" s="170">
        <v>5.4450000000000003</v>
      </c>
      <c r="U127" s="9" t="s">
        <v>2681</v>
      </c>
      <c r="V127" s="199">
        <v>5.1499999999999997E-2</v>
      </c>
      <c r="W127" s="185">
        <v>4.768E-2</v>
      </c>
      <c r="X127" s="5" t="s">
        <v>618</v>
      </c>
      <c r="Y127" s="5" t="s">
        <v>62</v>
      </c>
      <c r="Z127" s="170">
        <v>15000</v>
      </c>
      <c r="AA127" s="184">
        <v>1</v>
      </c>
      <c r="AB127" s="186">
        <v>103.43</v>
      </c>
      <c r="AC127" s="9"/>
      <c r="AD127" s="170">
        <v>15.515000000000001</v>
      </c>
      <c r="AE127" s="9"/>
      <c r="AF127" s="9"/>
      <c r="AG127" s="9" t="s">
        <v>17</v>
      </c>
      <c r="AH127" s="185">
        <v>2.6999999999999999E-5</v>
      </c>
      <c r="AI127" s="185">
        <v>4.2641277873828702E-3</v>
      </c>
      <c r="AJ127" s="185">
        <v>1.72055046527241E-3</v>
      </c>
    </row>
    <row r="128" spans="1:36">
      <c r="A128" s="9">
        <v>337</v>
      </c>
      <c r="B128" s="9">
        <v>1405</v>
      </c>
      <c r="C128" s="9" t="s">
        <v>2677</v>
      </c>
      <c r="D128" s="9" t="s">
        <v>2678</v>
      </c>
      <c r="E128" s="5" t="s">
        <v>1346</v>
      </c>
      <c r="F128" s="9" t="s">
        <v>2682</v>
      </c>
      <c r="G128" s="9" t="s">
        <v>2683</v>
      </c>
      <c r="H128" s="9" t="s">
        <v>76</v>
      </c>
      <c r="I128" s="9" t="s">
        <v>229</v>
      </c>
      <c r="J128" s="9" t="s">
        <v>53</v>
      </c>
      <c r="K128" s="9" t="s">
        <v>53</v>
      </c>
      <c r="L128" s="9" t="s">
        <v>803</v>
      </c>
      <c r="M128" s="9" t="s">
        <v>311</v>
      </c>
      <c r="N128" s="9" t="s">
        <v>269</v>
      </c>
      <c r="O128" s="9" t="s">
        <v>62</v>
      </c>
      <c r="P128" s="9" t="s">
        <v>2239</v>
      </c>
      <c r="Q128" s="9" t="s">
        <v>65</v>
      </c>
      <c r="R128" s="9" t="s">
        <v>57</v>
      </c>
      <c r="S128" s="9" t="s">
        <v>1259</v>
      </c>
      <c r="T128" s="170">
        <v>6.133</v>
      </c>
      <c r="U128" s="9" t="s">
        <v>2684</v>
      </c>
      <c r="V128" s="199">
        <v>2.0899999999999998E-2</v>
      </c>
      <c r="W128" s="185">
        <v>2.9159999999999998E-2</v>
      </c>
      <c r="X128" s="5" t="s">
        <v>618</v>
      </c>
      <c r="Y128" s="5" t="s">
        <v>62</v>
      </c>
      <c r="Z128" s="170">
        <v>50000</v>
      </c>
      <c r="AA128" s="184">
        <v>1</v>
      </c>
      <c r="AB128" s="186">
        <v>110.73</v>
      </c>
      <c r="AC128" s="9"/>
      <c r="AD128" s="170">
        <v>55.365000000000002</v>
      </c>
      <c r="AE128" s="9"/>
      <c r="AF128" s="9"/>
      <c r="AG128" s="9" t="s">
        <v>17</v>
      </c>
      <c r="AH128" s="185">
        <v>3.1999999999999999E-5</v>
      </c>
      <c r="AI128" s="185">
        <v>1.5216954136353201E-2</v>
      </c>
      <c r="AJ128" s="185">
        <v>6.1399514331629901E-3</v>
      </c>
    </row>
    <row r="129" spans="1:36">
      <c r="A129" s="9">
        <v>337</v>
      </c>
      <c r="B129" s="9">
        <v>1405</v>
      </c>
      <c r="C129" s="9" t="s">
        <v>2685</v>
      </c>
      <c r="D129" s="9" t="s">
        <v>2686</v>
      </c>
      <c r="E129" s="5" t="s">
        <v>765</v>
      </c>
      <c r="F129" s="9" t="s">
        <v>2687</v>
      </c>
      <c r="G129" s="9" t="s">
        <v>2688</v>
      </c>
      <c r="H129" s="9" t="s">
        <v>76</v>
      </c>
      <c r="I129" s="9" t="s">
        <v>228</v>
      </c>
      <c r="J129" s="9" t="s">
        <v>53</v>
      </c>
      <c r="K129" s="9" t="s">
        <v>314</v>
      </c>
      <c r="L129" s="9" t="s">
        <v>803</v>
      </c>
      <c r="M129" s="9" t="s">
        <v>311</v>
      </c>
      <c r="N129" s="9" t="s">
        <v>634</v>
      </c>
      <c r="O129" s="9" t="s">
        <v>62</v>
      </c>
      <c r="P129" s="9" t="s">
        <v>1614</v>
      </c>
      <c r="Q129" s="9" t="s">
        <v>65</v>
      </c>
      <c r="R129" s="9" t="s">
        <v>57</v>
      </c>
      <c r="S129" s="9" t="s">
        <v>1259</v>
      </c>
      <c r="T129" s="170">
        <v>0.57399999999999995</v>
      </c>
      <c r="U129" s="9" t="s">
        <v>2572</v>
      </c>
      <c r="V129" s="199">
        <v>4.045E-2</v>
      </c>
      <c r="W129" s="185">
        <v>0.44588</v>
      </c>
      <c r="X129" s="5" t="s">
        <v>618</v>
      </c>
      <c r="Y129" s="5" t="s">
        <v>62</v>
      </c>
      <c r="Z129" s="170">
        <v>0.18</v>
      </c>
      <c r="AA129" s="184">
        <v>1</v>
      </c>
      <c r="AB129" s="186">
        <v>84.44</v>
      </c>
      <c r="AC129" s="9"/>
      <c r="AD129" s="170">
        <v>0</v>
      </c>
      <c r="AE129" s="9"/>
      <c r="AF129" s="9"/>
      <c r="AG129" s="9" t="s">
        <v>17</v>
      </c>
      <c r="AH129" s="185">
        <v>0</v>
      </c>
      <c r="AI129" s="185">
        <v>4.17746824364238E-8</v>
      </c>
      <c r="AJ129" s="185">
        <v>1.6855838494162499E-8</v>
      </c>
    </row>
    <row r="130" spans="1:36">
      <c r="A130" s="9">
        <v>337</v>
      </c>
      <c r="B130" s="9">
        <v>1405</v>
      </c>
      <c r="C130" s="9" t="s">
        <v>2689</v>
      </c>
      <c r="D130" s="9" t="s">
        <v>2690</v>
      </c>
      <c r="E130" s="5" t="s">
        <v>1346</v>
      </c>
      <c r="F130" s="9" t="s">
        <v>2691</v>
      </c>
      <c r="G130" s="9" t="s">
        <v>2692</v>
      </c>
      <c r="H130" s="9" t="s">
        <v>76</v>
      </c>
      <c r="I130" s="9" t="s">
        <v>228</v>
      </c>
      <c r="J130" s="9" t="s">
        <v>53</v>
      </c>
      <c r="K130" s="9" t="s">
        <v>53</v>
      </c>
      <c r="L130" s="9" t="s">
        <v>803</v>
      </c>
      <c r="M130" s="9" t="s">
        <v>311</v>
      </c>
      <c r="N130" s="9" t="s">
        <v>634</v>
      </c>
      <c r="O130" s="9" t="s">
        <v>62</v>
      </c>
      <c r="P130" s="9" t="s">
        <v>2225</v>
      </c>
      <c r="Q130" s="9" t="s">
        <v>70</v>
      </c>
      <c r="R130" s="9" t="s">
        <v>57</v>
      </c>
      <c r="S130" s="9" t="s">
        <v>1259</v>
      </c>
      <c r="T130" s="170">
        <v>5.6509999999999998</v>
      </c>
      <c r="U130" s="9" t="s">
        <v>2693</v>
      </c>
      <c r="V130" s="199">
        <v>5.5899999999999998E-2</v>
      </c>
      <c r="W130" s="185">
        <v>5.2449999999999997E-2</v>
      </c>
      <c r="X130" s="5" t="s">
        <v>618</v>
      </c>
      <c r="Y130" s="5" t="s">
        <v>62</v>
      </c>
      <c r="Z130" s="170">
        <v>13000</v>
      </c>
      <c r="AA130" s="184">
        <v>1</v>
      </c>
      <c r="AB130" s="186">
        <v>103.88</v>
      </c>
      <c r="AC130" s="9"/>
      <c r="AD130" s="170">
        <v>13.504</v>
      </c>
      <c r="AE130" s="9"/>
      <c r="AF130" s="9"/>
      <c r="AG130" s="9" t="s">
        <v>17</v>
      </c>
      <c r="AH130" s="185">
        <v>5.8E-5</v>
      </c>
      <c r="AI130" s="185">
        <v>3.7116560180433301E-3</v>
      </c>
      <c r="AJ130" s="185">
        <v>1.49763135796995E-3</v>
      </c>
    </row>
    <row r="131" spans="1:36">
      <c r="A131" s="9">
        <v>337</v>
      </c>
      <c r="B131" s="9">
        <v>1405</v>
      </c>
      <c r="C131" s="9" t="s">
        <v>2689</v>
      </c>
      <c r="D131" s="9" t="s">
        <v>2690</v>
      </c>
      <c r="E131" s="5" t="s">
        <v>1346</v>
      </c>
      <c r="F131" s="9" t="s">
        <v>2694</v>
      </c>
      <c r="G131" s="9" t="s">
        <v>2695</v>
      </c>
      <c r="H131" s="9" t="s">
        <v>76</v>
      </c>
      <c r="I131" s="9" t="s">
        <v>228</v>
      </c>
      <c r="J131" s="9" t="s">
        <v>53</v>
      </c>
      <c r="K131" s="9" t="s">
        <v>53</v>
      </c>
      <c r="L131" s="9" t="s">
        <v>803</v>
      </c>
      <c r="M131" s="9" t="s">
        <v>311</v>
      </c>
      <c r="N131" s="9" t="s">
        <v>634</v>
      </c>
      <c r="O131" s="9" t="s">
        <v>62</v>
      </c>
      <c r="P131" s="9" t="s">
        <v>2225</v>
      </c>
      <c r="Q131" s="9" t="s">
        <v>70</v>
      </c>
      <c r="R131" s="9" t="s">
        <v>57</v>
      </c>
      <c r="S131" s="9" t="s">
        <v>1259</v>
      </c>
      <c r="T131" s="170">
        <v>1.3160000000000001</v>
      </c>
      <c r="U131" s="9" t="s">
        <v>2536</v>
      </c>
      <c r="V131" s="199">
        <v>2.6499999999999999E-2</v>
      </c>
      <c r="W131" s="185">
        <v>4.9759999999999999E-2</v>
      </c>
      <c r="X131" s="5" t="s">
        <v>618</v>
      </c>
      <c r="Y131" s="5" t="s">
        <v>62</v>
      </c>
      <c r="Z131" s="170">
        <v>31010</v>
      </c>
      <c r="AA131" s="184">
        <v>1</v>
      </c>
      <c r="AB131" s="186">
        <v>97.97</v>
      </c>
      <c r="AC131" s="9"/>
      <c r="AD131" s="170">
        <v>30.38</v>
      </c>
      <c r="AE131" s="9"/>
      <c r="AF131" s="9"/>
      <c r="AG131" s="9" t="s">
        <v>17</v>
      </c>
      <c r="AH131" s="185">
        <v>6.0999999999999999E-5</v>
      </c>
      <c r="AI131" s="185">
        <v>8.3500158852816298E-3</v>
      </c>
      <c r="AJ131" s="185">
        <v>3.36918226488493E-3</v>
      </c>
    </row>
    <row r="132" spans="1:36">
      <c r="A132" s="9">
        <v>337</v>
      </c>
      <c r="B132" s="9">
        <v>1405</v>
      </c>
      <c r="C132" s="9" t="s">
        <v>2079</v>
      </c>
      <c r="D132" s="9" t="s">
        <v>2080</v>
      </c>
      <c r="E132" s="5" t="s">
        <v>1346</v>
      </c>
      <c r="F132" s="9" t="s">
        <v>2696</v>
      </c>
      <c r="G132" s="9" t="s">
        <v>2697</v>
      </c>
      <c r="H132" s="9" t="s">
        <v>76</v>
      </c>
      <c r="I132" s="9" t="s">
        <v>229</v>
      </c>
      <c r="J132" s="9" t="s">
        <v>53</v>
      </c>
      <c r="K132" s="9" t="s">
        <v>53</v>
      </c>
      <c r="L132" s="9" t="s">
        <v>803</v>
      </c>
      <c r="M132" s="9" t="s">
        <v>311</v>
      </c>
      <c r="N132" s="9" t="s">
        <v>259</v>
      </c>
      <c r="O132" s="9" t="s">
        <v>62</v>
      </c>
      <c r="P132" s="9" t="s">
        <v>2225</v>
      </c>
      <c r="Q132" s="9" t="s">
        <v>70</v>
      </c>
      <c r="R132" s="9" t="s">
        <v>57</v>
      </c>
      <c r="S132" s="9" t="s">
        <v>1259</v>
      </c>
      <c r="T132" s="170">
        <v>3.407</v>
      </c>
      <c r="U132" s="9" t="s">
        <v>2698</v>
      </c>
      <c r="V132" s="199">
        <v>3.2500000000000001E-2</v>
      </c>
      <c r="W132" s="185">
        <v>3.083E-2</v>
      </c>
      <c r="X132" s="5" t="s">
        <v>618</v>
      </c>
      <c r="Y132" s="5" t="s">
        <v>62</v>
      </c>
      <c r="Z132" s="170">
        <v>15010</v>
      </c>
      <c r="AA132" s="184">
        <v>1</v>
      </c>
      <c r="AB132" s="186">
        <v>111.12</v>
      </c>
      <c r="AC132" s="9"/>
      <c r="AD132" s="170">
        <v>16.678999999999998</v>
      </c>
      <c r="AE132" s="9"/>
      <c r="AF132" s="9"/>
      <c r="AG132" s="9" t="s">
        <v>17</v>
      </c>
      <c r="AH132" s="185">
        <v>4.1E-5</v>
      </c>
      <c r="AI132" s="185">
        <v>4.5842189531129602E-3</v>
      </c>
      <c r="AJ132" s="185">
        <v>1.84970536671699E-3</v>
      </c>
    </row>
    <row r="133" spans="1:36">
      <c r="A133" s="9">
        <v>337</v>
      </c>
      <c r="B133" s="9">
        <v>1405</v>
      </c>
      <c r="C133" s="9" t="s">
        <v>2699</v>
      </c>
      <c r="D133" s="9" t="s">
        <v>2700</v>
      </c>
      <c r="E133" s="5" t="s">
        <v>1346</v>
      </c>
      <c r="F133" s="9" t="s">
        <v>2701</v>
      </c>
      <c r="G133" s="9" t="s">
        <v>2702</v>
      </c>
      <c r="H133" s="9" t="s">
        <v>76</v>
      </c>
      <c r="I133" s="9" t="s">
        <v>228</v>
      </c>
      <c r="J133" s="9" t="s">
        <v>53</v>
      </c>
      <c r="K133" s="9" t="s">
        <v>53</v>
      </c>
      <c r="L133" s="9" t="s">
        <v>803</v>
      </c>
      <c r="M133" s="9" t="s">
        <v>311</v>
      </c>
      <c r="N133" s="9" t="s">
        <v>140</v>
      </c>
      <c r="O133" s="9" t="s">
        <v>62</v>
      </c>
      <c r="P133" s="9" t="s">
        <v>2599</v>
      </c>
      <c r="Q133" s="9" t="s">
        <v>70</v>
      </c>
      <c r="R133" s="9" t="s">
        <v>57</v>
      </c>
      <c r="S133" s="9" t="s">
        <v>1259</v>
      </c>
      <c r="T133" s="170">
        <v>1.431</v>
      </c>
      <c r="U133" s="9" t="s">
        <v>2428</v>
      </c>
      <c r="V133" s="199">
        <v>5.5500000000000001E-2</v>
      </c>
      <c r="W133" s="185">
        <v>5.3670000000000002E-2</v>
      </c>
      <c r="X133" s="5" t="s">
        <v>618</v>
      </c>
      <c r="Y133" s="5" t="s">
        <v>62</v>
      </c>
      <c r="Z133" s="170">
        <v>19800</v>
      </c>
      <c r="AA133" s="184">
        <v>1</v>
      </c>
      <c r="AB133" s="186">
        <v>103</v>
      </c>
      <c r="AC133" s="9"/>
      <c r="AD133" s="170">
        <v>20.393999999999998</v>
      </c>
      <c r="AE133" s="9"/>
      <c r="AF133" s="9"/>
      <c r="AG133" s="9" t="s">
        <v>17</v>
      </c>
      <c r="AH133" s="185">
        <v>1.3799999999999999E-4</v>
      </c>
      <c r="AI133" s="185">
        <v>5.6052481289043301E-3</v>
      </c>
      <c r="AJ133" s="185">
        <v>2.26168462978282E-3</v>
      </c>
    </row>
    <row r="134" spans="1:36">
      <c r="A134" s="9">
        <v>337</v>
      </c>
      <c r="B134" s="9">
        <v>1405</v>
      </c>
      <c r="C134" s="9" t="s">
        <v>2703</v>
      </c>
      <c r="D134" s="9" t="s">
        <v>2704</v>
      </c>
      <c r="E134" s="5" t="s">
        <v>1346</v>
      </c>
      <c r="F134" s="9" t="s">
        <v>2705</v>
      </c>
      <c r="G134" s="9" t="s">
        <v>2706</v>
      </c>
      <c r="H134" s="9" t="s">
        <v>76</v>
      </c>
      <c r="I134" s="9" t="s">
        <v>228</v>
      </c>
      <c r="J134" s="9" t="s">
        <v>53</v>
      </c>
      <c r="K134" s="9" t="s">
        <v>53</v>
      </c>
      <c r="L134" s="9" t="s">
        <v>803</v>
      </c>
      <c r="M134" s="9" t="s">
        <v>311</v>
      </c>
      <c r="N134" s="9" t="s">
        <v>140</v>
      </c>
      <c r="O134" s="9" t="s">
        <v>62</v>
      </c>
      <c r="P134" s="9" t="s">
        <v>1614</v>
      </c>
      <c r="Q134" s="9" t="s">
        <v>65</v>
      </c>
      <c r="R134" s="9" t="s">
        <v>57</v>
      </c>
      <c r="S134" s="9" t="s">
        <v>1259</v>
      </c>
      <c r="T134" s="170">
        <v>2.246</v>
      </c>
      <c r="U134" s="9" t="s">
        <v>2594</v>
      </c>
      <c r="V134" s="199">
        <v>5.3400000000000003E-2</v>
      </c>
      <c r="W134" s="185">
        <v>5.16E-2</v>
      </c>
      <c r="X134" s="5" t="s">
        <v>618</v>
      </c>
      <c r="Y134" s="5" t="s">
        <v>62</v>
      </c>
      <c r="Z134" s="170">
        <v>21000</v>
      </c>
      <c r="AA134" s="184">
        <v>1</v>
      </c>
      <c r="AB134" s="186">
        <v>100.99</v>
      </c>
      <c r="AC134" s="9"/>
      <c r="AD134" s="170">
        <v>21.207999999999998</v>
      </c>
      <c r="AE134" s="9"/>
      <c r="AF134" s="9"/>
      <c r="AG134" s="9" t="s">
        <v>17</v>
      </c>
      <c r="AH134" s="185">
        <v>3.0000000000000001E-5</v>
      </c>
      <c r="AI134" s="185">
        <v>5.8289468369613602E-3</v>
      </c>
      <c r="AJ134" s="185">
        <v>2.3519457418834499E-3</v>
      </c>
    </row>
    <row r="135" spans="1:36">
      <c r="A135" s="9">
        <v>337</v>
      </c>
      <c r="B135" s="9">
        <v>1405</v>
      </c>
      <c r="C135" s="9" t="s">
        <v>2707</v>
      </c>
      <c r="D135" s="9" t="s">
        <v>2708</v>
      </c>
      <c r="E135" s="5" t="s">
        <v>1346</v>
      </c>
      <c r="F135" s="9" t="s">
        <v>2709</v>
      </c>
      <c r="G135" s="9" t="s">
        <v>2710</v>
      </c>
      <c r="H135" s="9" t="s">
        <v>76</v>
      </c>
      <c r="I135" s="9" t="s">
        <v>228</v>
      </c>
      <c r="J135" s="9" t="s">
        <v>53</v>
      </c>
      <c r="K135" s="9" t="s">
        <v>53</v>
      </c>
      <c r="L135" s="9" t="s">
        <v>803</v>
      </c>
      <c r="M135" s="9" t="s">
        <v>311</v>
      </c>
      <c r="N135" s="9" t="s">
        <v>140</v>
      </c>
      <c r="O135" s="9" t="s">
        <v>62</v>
      </c>
      <c r="P135" s="9" t="s">
        <v>2314</v>
      </c>
      <c r="Q135" s="9" t="s">
        <v>70</v>
      </c>
      <c r="R135" s="9" t="s">
        <v>57</v>
      </c>
      <c r="S135" s="9" t="s">
        <v>1259</v>
      </c>
      <c r="T135" s="170">
        <v>3.3000000000000002E-2</v>
      </c>
      <c r="U135" s="9" t="s">
        <v>2711</v>
      </c>
      <c r="V135" s="199">
        <v>4.3499999999999997E-2</v>
      </c>
      <c r="W135" s="185">
        <v>9.1929999999999998E-2</v>
      </c>
      <c r="X135" s="5" t="s">
        <v>618</v>
      </c>
      <c r="Y135" s="5" t="s">
        <v>62</v>
      </c>
      <c r="Z135" s="170">
        <v>5000</v>
      </c>
      <c r="AA135" s="184">
        <v>1</v>
      </c>
      <c r="AB135" s="186">
        <v>101.88</v>
      </c>
      <c r="AC135" s="9"/>
      <c r="AD135" s="170">
        <v>5.0940000000000003</v>
      </c>
      <c r="AE135" s="9"/>
      <c r="AF135" s="9"/>
      <c r="AG135" s="9" t="s">
        <v>17</v>
      </c>
      <c r="AH135" s="185">
        <v>2.0799999999999999E-4</v>
      </c>
      <c r="AI135" s="185">
        <v>1.4000752166636601E-3</v>
      </c>
      <c r="AJ135" s="185">
        <v>5.6492210964566596E-4</v>
      </c>
    </row>
    <row r="136" spans="1:36">
      <c r="A136" s="9">
        <v>337</v>
      </c>
      <c r="B136" s="9">
        <v>1405</v>
      </c>
      <c r="C136" s="9" t="s">
        <v>2707</v>
      </c>
      <c r="D136" s="9" t="s">
        <v>2708</v>
      </c>
      <c r="E136" s="5" t="s">
        <v>1346</v>
      </c>
      <c r="F136" s="9" t="s">
        <v>2712</v>
      </c>
      <c r="G136" s="9" t="s">
        <v>2713</v>
      </c>
      <c r="H136" s="9" t="s">
        <v>76</v>
      </c>
      <c r="I136" s="9" t="s">
        <v>228</v>
      </c>
      <c r="J136" s="9" t="s">
        <v>53</v>
      </c>
      <c r="K136" s="9" t="s">
        <v>53</v>
      </c>
      <c r="L136" s="9" t="s">
        <v>803</v>
      </c>
      <c r="M136" s="9" t="s">
        <v>311</v>
      </c>
      <c r="N136" s="9" t="s">
        <v>140</v>
      </c>
      <c r="O136" s="9" t="s">
        <v>62</v>
      </c>
      <c r="P136" s="9" t="s">
        <v>2314</v>
      </c>
      <c r="Q136" s="9" t="s">
        <v>70</v>
      </c>
      <c r="R136" s="9" t="s">
        <v>57</v>
      </c>
      <c r="S136" s="9" t="s">
        <v>1259</v>
      </c>
      <c r="T136" s="170">
        <v>3.3000000000000002E-2</v>
      </c>
      <c r="U136" s="9" t="s">
        <v>2711</v>
      </c>
      <c r="V136" s="199">
        <v>0.06</v>
      </c>
      <c r="W136" s="185">
        <v>2.392E-2</v>
      </c>
      <c r="X136" s="5" t="s">
        <v>618</v>
      </c>
      <c r="Y136" s="5" t="s">
        <v>62</v>
      </c>
      <c r="Z136" s="170">
        <v>1333.6</v>
      </c>
      <c r="AA136" s="184">
        <v>1</v>
      </c>
      <c r="AB136" s="186">
        <v>102.92</v>
      </c>
      <c r="AC136" s="9"/>
      <c r="AD136" s="170">
        <v>1.373</v>
      </c>
      <c r="AE136" s="9"/>
      <c r="AF136" s="9"/>
      <c r="AG136" s="9" t="s">
        <v>17</v>
      </c>
      <c r="AH136" s="185">
        <v>5.1E-5</v>
      </c>
      <c r="AI136" s="185">
        <v>3.77240048284998E-4</v>
      </c>
      <c r="AJ136" s="185">
        <v>1.52214139200201E-4</v>
      </c>
    </row>
    <row r="137" spans="1:36">
      <c r="A137" s="9">
        <v>337</v>
      </c>
      <c r="B137" s="9">
        <v>1405</v>
      </c>
      <c r="C137" s="9" t="s">
        <v>2091</v>
      </c>
      <c r="D137" s="9" t="s">
        <v>2092</v>
      </c>
      <c r="E137" s="5" t="s">
        <v>1346</v>
      </c>
      <c r="F137" s="9" t="s">
        <v>2714</v>
      </c>
      <c r="G137" s="9" t="s">
        <v>2715</v>
      </c>
      <c r="H137" s="9" t="s">
        <v>76</v>
      </c>
      <c r="I137" s="9" t="s">
        <v>229</v>
      </c>
      <c r="J137" s="9" t="s">
        <v>53</v>
      </c>
      <c r="K137" s="9" t="s">
        <v>53</v>
      </c>
      <c r="L137" s="9" t="s">
        <v>803</v>
      </c>
      <c r="M137" s="9" t="s">
        <v>311</v>
      </c>
      <c r="N137" s="9" t="s">
        <v>633</v>
      </c>
      <c r="O137" s="9" t="s">
        <v>62</v>
      </c>
      <c r="P137" s="9" t="s">
        <v>2246</v>
      </c>
      <c r="Q137" s="9" t="s">
        <v>65</v>
      </c>
      <c r="R137" s="9" t="s">
        <v>57</v>
      </c>
      <c r="S137" s="9" t="s">
        <v>1259</v>
      </c>
      <c r="T137" s="170">
        <v>6.0019999999999998</v>
      </c>
      <c r="U137" s="9" t="s">
        <v>2716</v>
      </c>
      <c r="V137" s="199">
        <v>2.5000000000000001E-2</v>
      </c>
      <c r="W137" s="185">
        <v>2.9499999999999998E-2</v>
      </c>
      <c r="X137" s="5" t="s">
        <v>618</v>
      </c>
      <c r="Y137" s="5" t="s">
        <v>62</v>
      </c>
      <c r="Z137" s="170">
        <v>43450</v>
      </c>
      <c r="AA137" s="184">
        <v>1</v>
      </c>
      <c r="AB137" s="186">
        <v>114.89</v>
      </c>
      <c r="AC137" s="9"/>
      <c r="AD137" s="170">
        <v>49.92</v>
      </c>
      <c r="AE137" s="9"/>
      <c r="AF137" s="9"/>
      <c r="AG137" s="9" t="s">
        <v>17</v>
      </c>
      <c r="AH137" s="185">
        <v>3.1999999999999999E-5</v>
      </c>
      <c r="AI137" s="185">
        <v>1.37203262256892E-2</v>
      </c>
      <c r="AJ137" s="185">
        <v>5.5360708797584004E-3</v>
      </c>
    </row>
    <row r="138" spans="1:36">
      <c r="A138" s="9">
        <v>337</v>
      </c>
      <c r="B138" s="9">
        <v>1405</v>
      </c>
      <c r="C138" s="9" t="s">
        <v>2717</v>
      </c>
      <c r="D138" s="9" t="s">
        <v>2718</v>
      </c>
      <c r="E138" s="5" t="s">
        <v>1346</v>
      </c>
      <c r="F138" s="9" t="s">
        <v>2719</v>
      </c>
      <c r="G138" s="9" t="s">
        <v>2720</v>
      </c>
      <c r="H138" s="9" t="s">
        <v>76</v>
      </c>
      <c r="I138" s="9" t="s">
        <v>228</v>
      </c>
      <c r="J138" s="9" t="s">
        <v>53</v>
      </c>
      <c r="K138" s="9" t="s">
        <v>53</v>
      </c>
      <c r="L138" s="9" t="s">
        <v>803</v>
      </c>
      <c r="M138" s="9" t="s">
        <v>1691</v>
      </c>
      <c r="N138" s="9" t="s">
        <v>140</v>
      </c>
      <c r="O138" s="9" t="s">
        <v>62</v>
      </c>
      <c r="P138" s="9" t="s">
        <v>2225</v>
      </c>
      <c r="Q138" s="9" t="s">
        <v>70</v>
      </c>
      <c r="R138" s="9" t="s">
        <v>57</v>
      </c>
      <c r="S138" s="9" t="s">
        <v>1259</v>
      </c>
      <c r="T138" s="170">
        <v>3.6869999999999998</v>
      </c>
      <c r="U138" s="9" t="s">
        <v>2721</v>
      </c>
      <c r="V138" s="199">
        <v>5.8200000000000002E-2</v>
      </c>
      <c r="W138" s="185">
        <v>4.8480000000000002E-2</v>
      </c>
      <c r="X138" s="5" t="s">
        <v>618</v>
      </c>
      <c r="Y138" s="5" t="s">
        <v>62</v>
      </c>
      <c r="Z138" s="170">
        <v>15000</v>
      </c>
      <c r="AA138" s="184">
        <v>1</v>
      </c>
      <c r="AB138" s="186">
        <v>104.76</v>
      </c>
      <c r="AC138" s="9"/>
      <c r="AD138" s="170">
        <v>15.714</v>
      </c>
      <c r="AE138" s="9"/>
      <c r="AF138" s="9"/>
      <c r="AG138" s="9" t="s">
        <v>17</v>
      </c>
      <c r="AH138" s="185">
        <v>8.6000000000000003E-5</v>
      </c>
      <c r="AI138" s="185">
        <v>4.3189599439836497E-3</v>
      </c>
      <c r="AJ138" s="185">
        <v>1.7426749177408701E-3</v>
      </c>
    </row>
    <row r="139" spans="1:36">
      <c r="A139" s="9">
        <v>337</v>
      </c>
      <c r="B139" s="9">
        <v>1405</v>
      </c>
      <c r="C139" s="9" t="s">
        <v>2722</v>
      </c>
      <c r="D139" s="9" t="s">
        <v>2723</v>
      </c>
      <c r="E139" s="5" t="s">
        <v>1346</v>
      </c>
      <c r="F139" s="9" t="s">
        <v>2724</v>
      </c>
      <c r="G139" s="9" t="s">
        <v>2725</v>
      </c>
      <c r="H139" s="9" t="s">
        <v>76</v>
      </c>
      <c r="I139" s="9" t="s">
        <v>228</v>
      </c>
      <c r="J139" s="9" t="s">
        <v>53</v>
      </c>
      <c r="K139" s="9" t="s">
        <v>53</v>
      </c>
      <c r="L139" s="9" t="s">
        <v>803</v>
      </c>
      <c r="M139" s="9" t="s">
        <v>311</v>
      </c>
      <c r="N139" s="9" t="s">
        <v>631</v>
      </c>
      <c r="O139" s="9" t="s">
        <v>62</v>
      </c>
      <c r="P139" s="9" t="s">
        <v>2726</v>
      </c>
      <c r="Q139" s="9" t="s">
        <v>70</v>
      </c>
      <c r="R139" s="9" t="s">
        <v>57</v>
      </c>
      <c r="S139" s="9" t="s">
        <v>1259</v>
      </c>
      <c r="T139" s="170">
        <v>0.499</v>
      </c>
      <c r="U139" s="9" t="s">
        <v>2727</v>
      </c>
      <c r="V139" s="199">
        <v>3.15E-2</v>
      </c>
      <c r="W139" s="185">
        <v>5.3269999999999998E-2</v>
      </c>
      <c r="X139" s="5" t="s">
        <v>618</v>
      </c>
      <c r="Y139" s="5" t="s">
        <v>62</v>
      </c>
      <c r="Z139" s="170">
        <v>6000.25</v>
      </c>
      <c r="AA139" s="184">
        <v>1</v>
      </c>
      <c r="AB139" s="186">
        <v>98.98</v>
      </c>
      <c r="AC139" s="9"/>
      <c r="AD139" s="170">
        <v>5.9390000000000001</v>
      </c>
      <c r="AE139" s="9"/>
      <c r="AF139" s="9"/>
      <c r="AG139" s="9" t="s">
        <v>17</v>
      </c>
      <c r="AH139" s="185">
        <v>1.3899999999999999E-4</v>
      </c>
      <c r="AI139" s="185">
        <v>1.6323347360295401E-3</v>
      </c>
      <c r="AJ139" s="185">
        <v>6.58637458723932E-4</v>
      </c>
    </row>
    <row r="140" spans="1:36">
      <c r="A140" s="9">
        <v>337</v>
      </c>
      <c r="B140" s="9">
        <v>1405</v>
      </c>
      <c r="C140" s="9" t="s">
        <v>2107</v>
      </c>
      <c r="D140" s="9" t="s">
        <v>2108</v>
      </c>
      <c r="E140" s="5" t="s">
        <v>1346</v>
      </c>
      <c r="F140" s="9" t="s">
        <v>2728</v>
      </c>
      <c r="G140" s="9" t="s">
        <v>2729</v>
      </c>
      <c r="H140" s="9" t="s">
        <v>76</v>
      </c>
      <c r="I140" s="9" t="s">
        <v>228</v>
      </c>
      <c r="J140" s="9" t="s">
        <v>53</v>
      </c>
      <c r="K140" s="9" t="s">
        <v>53</v>
      </c>
      <c r="L140" s="9" t="s">
        <v>803</v>
      </c>
      <c r="M140" s="9" t="s">
        <v>311</v>
      </c>
      <c r="N140" s="9" t="s">
        <v>632</v>
      </c>
      <c r="O140" s="9" t="s">
        <v>62</v>
      </c>
      <c r="P140" s="9" t="s">
        <v>2246</v>
      </c>
      <c r="Q140" s="9" t="s">
        <v>65</v>
      </c>
      <c r="R140" s="9" t="s">
        <v>57</v>
      </c>
      <c r="S140" s="9" t="s">
        <v>1259</v>
      </c>
      <c r="T140" s="170">
        <v>2.806</v>
      </c>
      <c r="U140" s="9" t="s">
        <v>2730</v>
      </c>
      <c r="V140" s="199">
        <v>3.5200000000000002E-2</v>
      </c>
      <c r="W140" s="185">
        <v>4.5089999999999998E-2</v>
      </c>
      <c r="X140" s="5" t="s">
        <v>618</v>
      </c>
      <c r="Y140" s="5" t="s">
        <v>62</v>
      </c>
      <c r="Z140" s="170">
        <v>29613.81</v>
      </c>
      <c r="AA140" s="184">
        <v>1</v>
      </c>
      <c r="AB140" s="186">
        <v>98.68</v>
      </c>
      <c r="AC140" s="9"/>
      <c r="AD140" s="170">
        <v>29.222999999999999</v>
      </c>
      <c r="AE140" s="9"/>
      <c r="AF140" s="9"/>
      <c r="AG140" s="9" t="s">
        <v>17</v>
      </c>
      <c r="AH140" s="185">
        <v>4.1E-5</v>
      </c>
      <c r="AI140" s="185">
        <v>8.0318548961170397E-3</v>
      </c>
      <c r="AJ140" s="185">
        <v>3.24080617832429E-3</v>
      </c>
    </row>
    <row r="141" spans="1:36">
      <c r="A141" s="9">
        <v>337</v>
      </c>
      <c r="B141" s="9">
        <v>1405</v>
      </c>
      <c r="C141" s="9" t="s">
        <v>2731</v>
      </c>
      <c r="D141" s="9" t="s">
        <v>2732</v>
      </c>
      <c r="E141" s="5" t="s">
        <v>1346</v>
      </c>
      <c r="F141" s="9" t="s">
        <v>2733</v>
      </c>
      <c r="G141" s="9" t="s">
        <v>2734</v>
      </c>
      <c r="H141" s="9" t="s">
        <v>76</v>
      </c>
      <c r="I141" s="9" t="s">
        <v>228</v>
      </c>
      <c r="J141" s="9" t="s">
        <v>53</v>
      </c>
      <c r="K141" s="9" t="s">
        <v>53</v>
      </c>
      <c r="L141" s="9" t="s">
        <v>803</v>
      </c>
      <c r="M141" s="9" t="s">
        <v>311</v>
      </c>
      <c r="N141" s="9" t="s">
        <v>633</v>
      </c>
      <c r="O141" s="9" t="s">
        <v>62</v>
      </c>
      <c r="P141" s="9" t="s">
        <v>2314</v>
      </c>
      <c r="Q141" s="9" t="s">
        <v>70</v>
      </c>
      <c r="R141" s="9" t="s">
        <v>57</v>
      </c>
      <c r="S141" s="9" t="s">
        <v>1259</v>
      </c>
      <c r="T141" s="170">
        <v>2.6080000000000001</v>
      </c>
      <c r="U141" s="9" t="s">
        <v>2735</v>
      </c>
      <c r="V141" s="199">
        <v>4.1000000000000002E-2</v>
      </c>
      <c r="W141" s="185">
        <v>5.0680000000000003E-2</v>
      </c>
      <c r="X141" s="5" t="s">
        <v>618</v>
      </c>
      <c r="Y141" s="5" t="s">
        <v>62</v>
      </c>
      <c r="Z141" s="170">
        <v>65238.1</v>
      </c>
      <c r="AA141" s="184">
        <v>1</v>
      </c>
      <c r="AB141" s="186">
        <v>98.37</v>
      </c>
      <c r="AC141" s="9"/>
      <c r="AD141" s="170">
        <v>64.174999999999997</v>
      </c>
      <c r="AE141" s="9"/>
      <c r="AF141" s="9"/>
      <c r="AG141" s="9" t="s">
        <v>17</v>
      </c>
      <c r="AH141" s="185">
        <v>1.4300000000000001E-4</v>
      </c>
      <c r="AI141" s="185">
        <v>1.763828691917E-2</v>
      </c>
      <c r="AJ141" s="185">
        <v>7.1169449600412497E-3</v>
      </c>
    </row>
    <row r="142" spans="1:36">
      <c r="A142" s="9">
        <v>337</v>
      </c>
      <c r="B142" s="9">
        <v>1405</v>
      </c>
      <c r="C142" s="9" t="s">
        <v>2736</v>
      </c>
      <c r="D142" s="9" t="s">
        <v>2737</v>
      </c>
      <c r="E142" s="5" t="s">
        <v>1346</v>
      </c>
      <c r="F142" s="9" t="s">
        <v>2738</v>
      </c>
      <c r="G142" s="9" t="s">
        <v>2739</v>
      </c>
      <c r="H142" s="9" t="s">
        <v>76</v>
      </c>
      <c r="I142" s="9" t="s">
        <v>228</v>
      </c>
      <c r="J142" s="9" t="s">
        <v>53</v>
      </c>
      <c r="K142" s="9" t="s">
        <v>53</v>
      </c>
      <c r="L142" s="9" t="s">
        <v>803</v>
      </c>
      <c r="M142" s="9" t="s">
        <v>311</v>
      </c>
      <c r="N142" s="9" t="s">
        <v>263</v>
      </c>
      <c r="O142" s="9" t="s">
        <v>62</v>
      </c>
      <c r="P142" s="9" t="s">
        <v>1607</v>
      </c>
      <c r="Q142" s="9" t="s">
        <v>65</v>
      </c>
      <c r="R142" s="9" t="s">
        <v>57</v>
      </c>
      <c r="S142" s="9" t="s">
        <v>1259</v>
      </c>
      <c r="T142" s="170">
        <v>2.8639999999999999</v>
      </c>
      <c r="U142" s="9" t="s">
        <v>2647</v>
      </c>
      <c r="V142" s="199">
        <v>2.6200000000000001E-2</v>
      </c>
      <c r="W142" s="185">
        <v>4.8750000000000002E-2</v>
      </c>
      <c r="X142" s="5" t="s">
        <v>618</v>
      </c>
      <c r="Y142" s="5" t="s">
        <v>62</v>
      </c>
      <c r="Z142" s="170">
        <v>13948.08</v>
      </c>
      <c r="AA142" s="184">
        <v>1</v>
      </c>
      <c r="AB142" s="186">
        <v>93.94</v>
      </c>
      <c r="AC142" s="170">
        <v>2.9820000000000002</v>
      </c>
      <c r="AD142" s="170">
        <v>16.085000000000001</v>
      </c>
      <c r="AE142" s="9"/>
      <c r="AF142" s="9"/>
      <c r="AG142" s="9" t="s">
        <v>17</v>
      </c>
      <c r="AH142" s="185">
        <v>3.8999999999999999E-5</v>
      </c>
      <c r="AI142" s="185">
        <v>4.4208505558500002E-3</v>
      </c>
      <c r="AJ142" s="185">
        <v>1.78378717994189E-3</v>
      </c>
    </row>
    <row r="143" spans="1:36">
      <c r="A143" s="9">
        <v>337</v>
      </c>
      <c r="B143" s="9">
        <v>1405</v>
      </c>
      <c r="C143" s="9" t="s">
        <v>2740</v>
      </c>
      <c r="D143" s="9" t="s">
        <v>2741</v>
      </c>
      <c r="E143" s="5" t="s">
        <v>1346</v>
      </c>
      <c r="F143" s="9" t="s">
        <v>2742</v>
      </c>
      <c r="G143" s="9" t="s">
        <v>2743</v>
      </c>
      <c r="H143" s="9" t="s">
        <v>76</v>
      </c>
      <c r="I143" s="9" t="s">
        <v>229</v>
      </c>
      <c r="J143" s="9" t="s">
        <v>53</v>
      </c>
      <c r="K143" s="9" t="s">
        <v>53</v>
      </c>
      <c r="L143" s="9" t="s">
        <v>803</v>
      </c>
      <c r="M143" s="9" t="s">
        <v>311</v>
      </c>
      <c r="N143" s="9" t="s">
        <v>633</v>
      </c>
      <c r="O143" s="9" t="s">
        <v>62</v>
      </c>
      <c r="P143" s="167" t="s">
        <v>298</v>
      </c>
      <c r="Q143" s="9" t="s">
        <v>298</v>
      </c>
      <c r="R143" s="9" t="s">
        <v>298</v>
      </c>
      <c r="S143" s="9" t="s">
        <v>1259</v>
      </c>
      <c r="T143" s="170">
        <v>1.448</v>
      </c>
      <c r="U143" s="9" t="s">
        <v>2744</v>
      </c>
      <c r="V143" s="199">
        <v>3.5180000000000003E-2</v>
      </c>
      <c r="W143" s="185">
        <v>3.9109999999999999E-2</v>
      </c>
      <c r="X143" s="5" t="s">
        <v>618</v>
      </c>
      <c r="Y143" s="5" t="s">
        <v>62</v>
      </c>
      <c r="Z143" s="170">
        <v>10000</v>
      </c>
      <c r="AA143" s="184">
        <v>1</v>
      </c>
      <c r="AB143" s="186">
        <v>108.93</v>
      </c>
      <c r="AC143" s="9"/>
      <c r="AD143" s="170">
        <v>10.893000000000001</v>
      </c>
      <c r="AE143" s="9"/>
      <c r="AF143" s="9"/>
      <c r="AG143" s="9" t="s">
        <v>17</v>
      </c>
      <c r="AH143" s="185">
        <v>1.4E-5</v>
      </c>
      <c r="AI143" s="185">
        <v>2.9939182047737001E-3</v>
      </c>
      <c r="AJ143" s="185">
        <v>1.20802837463098E-3</v>
      </c>
    </row>
    <row r="144" spans="1:36">
      <c r="A144" s="9">
        <v>337</v>
      </c>
      <c r="B144" s="9">
        <v>1405</v>
      </c>
      <c r="C144" s="9" t="s">
        <v>1866</v>
      </c>
      <c r="D144" s="9" t="s">
        <v>1867</v>
      </c>
      <c r="E144" s="5" t="s">
        <v>429</v>
      </c>
      <c r="F144" s="9" t="s">
        <v>2745</v>
      </c>
      <c r="G144" s="9" t="s">
        <v>2746</v>
      </c>
      <c r="H144" s="9" t="s">
        <v>76</v>
      </c>
      <c r="I144" s="9" t="s">
        <v>230</v>
      </c>
      <c r="J144" s="9" t="s">
        <v>61</v>
      </c>
      <c r="K144" s="9" t="s">
        <v>317</v>
      </c>
      <c r="L144" s="9" t="s">
        <v>803</v>
      </c>
      <c r="M144" s="9" t="s">
        <v>102</v>
      </c>
      <c r="N144" s="9" t="s">
        <v>267</v>
      </c>
      <c r="O144" s="9" t="s">
        <v>62</v>
      </c>
      <c r="P144" s="9" t="s">
        <v>2220</v>
      </c>
      <c r="Q144" s="9" t="s">
        <v>96</v>
      </c>
      <c r="R144" s="9" t="s">
        <v>57</v>
      </c>
      <c r="S144" s="9" t="s">
        <v>1215</v>
      </c>
      <c r="T144" s="170">
        <v>2.5489999999999999</v>
      </c>
      <c r="U144" s="9" t="s">
        <v>2747</v>
      </c>
      <c r="V144" s="199">
        <v>5.3749999999999999E-2</v>
      </c>
      <c r="W144" s="185">
        <v>7.4149999999999994E-2</v>
      </c>
      <c r="X144" s="5" t="s">
        <v>618</v>
      </c>
      <c r="Y144" s="5" t="s">
        <v>62</v>
      </c>
      <c r="Z144" s="170">
        <v>4000</v>
      </c>
      <c r="AA144" s="184">
        <v>3.3719999999999999</v>
      </c>
      <c r="AB144" s="186">
        <v>96.94</v>
      </c>
      <c r="AC144" s="9"/>
      <c r="AD144" s="170">
        <v>13.074999999999999</v>
      </c>
      <c r="AE144" s="9"/>
      <c r="AF144" s="9"/>
      <c r="AG144" s="9" t="s">
        <v>17</v>
      </c>
      <c r="AH144" s="185">
        <v>6.0000000000000002E-6</v>
      </c>
      <c r="AI144" s="185">
        <v>3.5936986465119102E-3</v>
      </c>
      <c r="AJ144" s="185">
        <v>1.4500362528065401E-3</v>
      </c>
    </row>
    <row r="145" spans="1:36">
      <c r="A145" s="9">
        <v>337</v>
      </c>
      <c r="B145" s="9">
        <v>1405</v>
      </c>
      <c r="C145" s="9" t="s">
        <v>1866</v>
      </c>
      <c r="D145" s="9" t="s">
        <v>1867</v>
      </c>
      <c r="E145" s="5" t="s">
        <v>429</v>
      </c>
      <c r="F145" s="9" t="s">
        <v>2748</v>
      </c>
      <c r="G145" s="9" t="s">
        <v>2749</v>
      </c>
      <c r="H145" s="9" t="s">
        <v>76</v>
      </c>
      <c r="I145" s="9" t="s">
        <v>230</v>
      </c>
      <c r="J145" s="9" t="s">
        <v>61</v>
      </c>
      <c r="K145" s="9" t="s">
        <v>317</v>
      </c>
      <c r="L145" s="9" t="s">
        <v>803</v>
      </c>
      <c r="M145" s="9" t="s">
        <v>102</v>
      </c>
      <c r="N145" s="9" t="s">
        <v>267</v>
      </c>
      <c r="O145" s="9" t="s">
        <v>62</v>
      </c>
      <c r="P145" s="9" t="s">
        <v>2220</v>
      </c>
      <c r="Q145" s="9" t="s">
        <v>96</v>
      </c>
      <c r="R145" s="9" t="s">
        <v>57</v>
      </c>
      <c r="S145" s="9" t="s">
        <v>1215</v>
      </c>
      <c r="T145" s="170">
        <v>4.8440000000000003</v>
      </c>
      <c r="U145" s="9" t="s">
        <v>2750</v>
      </c>
      <c r="V145" s="199">
        <v>5.8749999999999997E-2</v>
      </c>
      <c r="W145" s="185">
        <v>7.6170000000000002E-2</v>
      </c>
      <c r="X145" s="5" t="s">
        <v>618</v>
      </c>
      <c r="Y145" s="5" t="s">
        <v>62</v>
      </c>
      <c r="Z145" s="170">
        <v>4000</v>
      </c>
      <c r="AA145" s="184">
        <v>3.3719999999999999</v>
      </c>
      <c r="AB145" s="186">
        <v>94.051000000000002</v>
      </c>
      <c r="AC145" s="9"/>
      <c r="AD145" s="170">
        <v>12.686</v>
      </c>
      <c r="AE145" s="9"/>
      <c r="AF145" s="9"/>
      <c r="AG145" s="9" t="s">
        <v>17</v>
      </c>
      <c r="AH145" s="185">
        <v>6.0000000000000002E-6</v>
      </c>
      <c r="AI145" s="185">
        <v>3.4866139545816199E-3</v>
      </c>
      <c r="AJ145" s="185">
        <v>1.40682820986999E-3</v>
      </c>
    </row>
    <row r="146" spans="1:36">
      <c r="A146" s="9">
        <v>337</v>
      </c>
      <c r="B146" s="9">
        <v>1405</v>
      </c>
      <c r="C146" s="9" t="s">
        <v>1663</v>
      </c>
      <c r="D146" s="9" t="s">
        <v>1664</v>
      </c>
      <c r="E146" s="5" t="s">
        <v>1346</v>
      </c>
      <c r="F146" s="9" t="s">
        <v>2751</v>
      </c>
      <c r="G146" s="9" t="s">
        <v>2752</v>
      </c>
      <c r="H146" s="9" t="s">
        <v>76</v>
      </c>
      <c r="I146" s="9" t="s">
        <v>230</v>
      </c>
      <c r="J146" s="9" t="s">
        <v>61</v>
      </c>
      <c r="K146" s="9" t="s">
        <v>53</v>
      </c>
      <c r="L146" s="9" t="s">
        <v>803</v>
      </c>
      <c r="M146" s="9" t="s">
        <v>102</v>
      </c>
      <c r="N146" s="9" t="s">
        <v>256</v>
      </c>
      <c r="O146" s="9" t="s">
        <v>62</v>
      </c>
      <c r="P146" s="9" t="s">
        <v>2753</v>
      </c>
      <c r="Q146" s="9" t="s">
        <v>96</v>
      </c>
      <c r="R146" s="9" t="s">
        <v>57</v>
      </c>
      <c r="S146" s="9" t="s">
        <v>1215</v>
      </c>
      <c r="T146" s="170">
        <v>4.8479999999999999</v>
      </c>
      <c r="U146" s="9" t="s">
        <v>2754</v>
      </c>
      <c r="V146" s="199">
        <v>3.2750000000000001E-2</v>
      </c>
      <c r="W146" s="185">
        <v>5.8430000000000003E-2</v>
      </c>
      <c r="X146" s="5" t="s">
        <v>618</v>
      </c>
      <c r="Y146" s="5" t="s">
        <v>62</v>
      </c>
      <c r="Z146" s="170">
        <v>3000</v>
      </c>
      <c r="AA146" s="184">
        <v>3.3719999999999999</v>
      </c>
      <c r="AB146" s="186">
        <v>99.753</v>
      </c>
      <c r="AC146" s="9"/>
      <c r="AD146" s="170">
        <v>10.090999999999999</v>
      </c>
      <c r="AE146" s="9"/>
      <c r="AF146" s="9"/>
      <c r="AG146" s="9" t="s">
        <v>17</v>
      </c>
      <c r="AH146" s="185">
        <v>3.9999999999999998E-6</v>
      </c>
      <c r="AI146" s="185">
        <v>2.7734911113478601E-3</v>
      </c>
      <c r="AJ146" s="185">
        <v>1.1190873397786401E-3</v>
      </c>
    </row>
    <row r="147" spans="1:36">
      <c r="A147" s="9">
        <v>337</v>
      </c>
      <c r="B147" s="9">
        <v>1405</v>
      </c>
      <c r="C147" s="9" t="s">
        <v>2216</v>
      </c>
      <c r="D147" s="9" t="s">
        <v>2217</v>
      </c>
      <c r="E147" s="5" t="s">
        <v>1346</v>
      </c>
      <c r="F147" s="9" t="s">
        <v>2755</v>
      </c>
      <c r="G147" s="9" t="s">
        <v>2756</v>
      </c>
      <c r="H147" s="9" t="s">
        <v>76</v>
      </c>
      <c r="I147" s="9" t="s">
        <v>230</v>
      </c>
      <c r="J147" s="9" t="s">
        <v>61</v>
      </c>
      <c r="K147" s="9" t="s">
        <v>53</v>
      </c>
      <c r="L147" s="9" t="s">
        <v>803</v>
      </c>
      <c r="M147" s="9" t="s">
        <v>102</v>
      </c>
      <c r="N147" s="9" t="s">
        <v>267</v>
      </c>
      <c r="O147" s="9" t="s">
        <v>62</v>
      </c>
      <c r="P147" s="9" t="s">
        <v>2220</v>
      </c>
      <c r="Q147" s="9" t="s">
        <v>96</v>
      </c>
      <c r="R147" s="9" t="s">
        <v>57</v>
      </c>
      <c r="S147" s="9" t="s">
        <v>1215</v>
      </c>
      <c r="T147" s="170">
        <v>1.9019999999999999</v>
      </c>
      <c r="U147" s="9" t="s">
        <v>1615</v>
      </c>
      <c r="V147" s="199">
        <v>6.5000000000000002E-2</v>
      </c>
      <c r="W147" s="185">
        <v>7.0449999999999999E-2</v>
      </c>
      <c r="X147" s="5" t="s">
        <v>618</v>
      </c>
      <c r="Y147" s="5" t="s">
        <v>62</v>
      </c>
      <c r="Z147" s="170">
        <v>2000</v>
      </c>
      <c r="AA147" s="184">
        <v>3.3719999999999999</v>
      </c>
      <c r="AB147" s="186">
        <v>99.572999999999993</v>
      </c>
      <c r="AC147" s="9"/>
      <c r="AD147" s="170">
        <v>6.7149999999999999</v>
      </c>
      <c r="AE147" s="9"/>
      <c r="AF147" s="9"/>
      <c r="AG147" s="9" t="s">
        <v>17</v>
      </c>
      <c r="AH147" s="185">
        <v>3.0000000000000001E-6</v>
      </c>
      <c r="AI147" s="185">
        <v>1.8456613477192199E-3</v>
      </c>
      <c r="AJ147" s="185">
        <v>7.4471349098631002E-4</v>
      </c>
    </row>
    <row r="148" spans="1:36">
      <c r="A148" s="9">
        <v>337</v>
      </c>
      <c r="B148" s="9">
        <v>1405</v>
      </c>
      <c r="C148" s="9" t="s">
        <v>1996</v>
      </c>
      <c r="D148" s="9" t="s">
        <v>1997</v>
      </c>
      <c r="E148" s="5" t="s">
        <v>1346</v>
      </c>
      <c r="F148" s="9" t="s">
        <v>2757</v>
      </c>
      <c r="G148" s="9" t="s">
        <v>2758</v>
      </c>
      <c r="H148" s="9" t="s">
        <v>76</v>
      </c>
      <c r="I148" s="9" t="s">
        <v>230</v>
      </c>
      <c r="J148" s="9" t="s">
        <v>61</v>
      </c>
      <c r="K148" s="9" t="s">
        <v>53</v>
      </c>
      <c r="L148" s="9" t="s">
        <v>803</v>
      </c>
      <c r="M148" s="9" t="s">
        <v>102</v>
      </c>
      <c r="N148" s="9" t="s">
        <v>256</v>
      </c>
      <c r="O148" s="9" t="s">
        <v>62</v>
      </c>
      <c r="P148" s="9" t="s">
        <v>2753</v>
      </c>
      <c r="Q148" s="9" t="s">
        <v>96</v>
      </c>
      <c r="R148" s="9" t="s">
        <v>57</v>
      </c>
      <c r="S148" s="9" t="s">
        <v>1215</v>
      </c>
      <c r="T148" s="170">
        <v>5.0060000000000002</v>
      </c>
      <c r="U148" s="9" t="s">
        <v>2759</v>
      </c>
      <c r="V148" s="199">
        <v>3.0769999999999999E-2</v>
      </c>
      <c r="W148" s="185">
        <v>6.2969999999999998E-2</v>
      </c>
      <c r="X148" s="5" t="s">
        <v>618</v>
      </c>
      <c r="Y148" s="5" t="s">
        <v>62</v>
      </c>
      <c r="Z148" s="170">
        <v>3000</v>
      </c>
      <c r="AA148" s="184">
        <v>3.3719999999999999</v>
      </c>
      <c r="AB148" s="186">
        <v>98.424999999999997</v>
      </c>
      <c r="AC148" s="9"/>
      <c r="AD148" s="170">
        <v>9.9570000000000007</v>
      </c>
      <c r="AE148" s="9"/>
      <c r="AF148" s="9"/>
      <c r="AG148" s="9" t="s">
        <v>17</v>
      </c>
      <c r="AH148" s="185">
        <v>5.0000000000000004E-6</v>
      </c>
      <c r="AI148" s="185">
        <v>2.7365706925253602E-3</v>
      </c>
      <c r="AJ148" s="185">
        <v>1.10419016808246E-3</v>
      </c>
    </row>
    <row r="149" spans="1:36">
      <c r="A149" s="9">
        <v>337</v>
      </c>
      <c r="B149" s="9">
        <v>1405</v>
      </c>
      <c r="C149" s="9" t="s">
        <v>1966</v>
      </c>
      <c r="D149" s="9" t="s">
        <v>1967</v>
      </c>
      <c r="E149" s="5" t="s">
        <v>1346</v>
      </c>
      <c r="F149" s="9" t="s">
        <v>2760</v>
      </c>
      <c r="G149" s="9" t="s">
        <v>2761</v>
      </c>
      <c r="H149" s="9" t="s">
        <v>76</v>
      </c>
      <c r="I149" s="9" t="s">
        <v>230</v>
      </c>
      <c r="J149" s="9" t="s">
        <v>61</v>
      </c>
      <c r="K149" s="9" t="s">
        <v>314</v>
      </c>
      <c r="L149" s="9" t="s">
        <v>803</v>
      </c>
      <c r="M149" s="9" t="s">
        <v>102</v>
      </c>
      <c r="N149" s="9" t="s">
        <v>85</v>
      </c>
      <c r="O149" s="9" t="s">
        <v>62</v>
      </c>
      <c r="P149" s="9" t="s">
        <v>2220</v>
      </c>
      <c r="Q149" s="9" t="s">
        <v>96</v>
      </c>
      <c r="R149" s="9" t="s">
        <v>57</v>
      </c>
      <c r="S149" s="9" t="s">
        <v>1239</v>
      </c>
      <c r="T149" s="170">
        <v>4.2009999999999996</v>
      </c>
      <c r="U149" s="9" t="s">
        <v>2762</v>
      </c>
      <c r="V149" s="199">
        <v>4.3749999999999997E-2</v>
      </c>
      <c r="W149" s="185">
        <v>4.0820000000000002E-2</v>
      </c>
      <c r="X149" s="5" t="s">
        <v>618</v>
      </c>
      <c r="Y149" s="5" t="s">
        <v>62</v>
      </c>
      <c r="Z149" s="170">
        <v>15000</v>
      </c>
      <c r="AA149" s="184">
        <v>3.9552</v>
      </c>
      <c r="AB149" s="186">
        <v>102.464</v>
      </c>
      <c r="AC149" s="9"/>
      <c r="AD149" s="170">
        <v>60.79</v>
      </c>
      <c r="AE149" s="9"/>
      <c r="AF149" s="9"/>
      <c r="AG149" s="9" t="s">
        <v>17</v>
      </c>
      <c r="AH149" s="185">
        <v>1.0000000000000001E-5</v>
      </c>
      <c r="AI149" s="185">
        <v>1.6707976867050601E-2</v>
      </c>
      <c r="AJ149" s="185">
        <v>6.7415703294408796E-3</v>
      </c>
    </row>
    <row r="150" spans="1:36">
      <c r="A150" s="9">
        <v>337</v>
      </c>
      <c r="B150" s="9">
        <v>1405</v>
      </c>
      <c r="C150" s="9" t="s">
        <v>1966</v>
      </c>
      <c r="D150" s="9" t="s">
        <v>1967</v>
      </c>
      <c r="E150" s="5" t="s">
        <v>1346</v>
      </c>
      <c r="F150" s="9" t="s">
        <v>2763</v>
      </c>
      <c r="G150" s="9" t="s">
        <v>2764</v>
      </c>
      <c r="H150" s="9" t="s">
        <v>76</v>
      </c>
      <c r="I150" s="9" t="s">
        <v>230</v>
      </c>
      <c r="J150" s="9" t="s">
        <v>61</v>
      </c>
      <c r="K150" s="9" t="s">
        <v>314</v>
      </c>
      <c r="L150" s="9" t="s">
        <v>803</v>
      </c>
      <c r="M150" s="9" t="s">
        <v>102</v>
      </c>
      <c r="N150" s="9" t="s">
        <v>85</v>
      </c>
      <c r="O150" s="9" t="s">
        <v>62</v>
      </c>
      <c r="P150" s="9" t="s">
        <v>2220</v>
      </c>
      <c r="Q150" s="9" t="s">
        <v>96</v>
      </c>
      <c r="R150" s="9" t="s">
        <v>57</v>
      </c>
      <c r="S150" s="9" t="s">
        <v>1215</v>
      </c>
      <c r="T150" s="170">
        <v>3.3149999999999999</v>
      </c>
      <c r="U150" s="9" t="s">
        <v>2765</v>
      </c>
      <c r="V150" s="199">
        <v>5.1249999999999997E-2</v>
      </c>
      <c r="W150" s="185">
        <v>5.0509999999999999E-2</v>
      </c>
      <c r="X150" s="5" t="s">
        <v>618</v>
      </c>
      <c r="Y150" s="5" t="s">
        <v>62</v>
      </c>
      <c r="Z150" s="170">
        <v>13000</v>
      </c>
      <c r="AA150" s="184">
        <v>3.3719999999999999</v>
      </c>
      <c r="AB150" s="186">
        <v>102.14700000000001</v>
      </c>
      <c r="AC150" s="9"/>
      <c r="AD150" s="170">
        <v>44.777000000000001</v>
      </c>
      <c r="AE150" s="9"/>
      <c r="AF150" s="9"/>
      <c r="AG150" s="9" t="s">
        <v>17</v>
      </c>
      <c r="AH150" s="185">
        <v>1.2999999999999999E-5</v>
      </c>
      <c r="AI150" s="185">
        <v>1.23069493700988E-2</v>
      </c>
      <c r="AJ150" s="185">
        <v>4.9657816370938601E-3</v>
      </c>
    </row>
    <row r="151" spans="1:36">
      <c r="A151" s="9">
        <v>337</v>
      </c>
      <c r="B151" s="9">
        <v>1477</v>
      </c>
      <c r="C151" s="9" t="s">
        <v>2216</v>
      </c>
      <c r="D151" s="9" t="s">
        <v>2217</v>
      </c>
      <c r="E151" s="5" t="s">
        <v>1346</v>
      </c>
      <c r="F151" s="9" t="s">
        <v>2218</v>
      </c>
      <c r="G151" s="9" t="s">
        <v>2219</v>
      </c>
      <c r="H151" s="9" t="s">
        <v>76</v>
      </c>
      <c r="I151" s="9" t="s">
        <v>230</v>
      </c>
      <c r="J151" s="9" t="s">
        <v>61</v>
      </c>
      <c r="K151" s="9" t="s">
        <v>53</v>
      </c>
      <c r="L151" s="9" t="s">
        <v>803</v>
      </c>
      <c r="M151" s="9" t="s">
        <v>102</v>
      </c>
      <c r="N151" s="9" t="s">
        <v>267</v>
      </c>
      <c r="O151" s="9" t="s">
        <v>62</v>
      </c>
      <c r="P151" s="9" t="s">
        <v>2220</v>
      </c>
      <c r="Q151" s="9" t="s">
        <v>96</v>
      </c>
      <c r="R151" s="9" t="s">
        <v>57</v>
      </c>
      <c r="S151" s="9" t="s">
        <v>1215</v>
      </c>
      <c r="T151" s="170">
        <v>0.13300000000000001</v>
      </c>
      <c r="U151" s="9" t="s">
        <v>1319</v>
      </c>
      <c r="V151" s="199">
        <v>6.1249999999999999E-2</v>
      </c>
      <c r="W151" s="185">
        <v>0.23773</v>
      </c>
      <c r="X151" s="5" t="s">
        <v>618</v>
      </c>
      <c r="Y151" s="5" t="s">
        <v>62</v>
      </c>
      <c r="Z151" s="170">
        <v>0</v>
      </c>
      <c r="AA151" s="184">
        <v>3.3719999999999999</v>
      </c>
      <c r="AB151" s="186">
        <v>0</v>
      </c>
      <c r="AC151" s="170">
        <v>0.01</v>
      </c>
      <c r="AD151" s="170">
        <v>3.4000000000000002E-2</v>
      </c>
      <c r="AE151" s="9"/>
      <c r="AF151" s="9"/>
      <c r="AG151" s="9" t="s">
        <v>17</v>
      </c>
      <c r="AH151" s="185">
        <v>0</v>
      </c>
      <c r="AI151" s="185">
        <v>3.19722434526511E-4</v>
      </c>
      <c r="AJ151" s="185">
        <v>1.97962261701941E-6</v>
      </c>
    </row>
    <row r="152" spans="1:36">
      <c r="A152" s="9">
        <v>337</v>
      </c>
      <c r="B152" s="9">
        <v>1477</v>
      </c>
      <c r="C152" s="9" t="s">
        <v>1822</v>
      </c>
      <c r="D152" s="9" t="s">
        <v>1823</v>
      </c>
      <c r="E152" s="5" t="s">
        <v>1346</v>
      </c>
      <c r="F152" s="9" t="s">
        <v>2241</v>
      </c>
      <c r="G152" s="9" t="s">
        <v>2242</v>
      </c>
      <c r="H152" s="9" t="s">
        <v>76</v>
      </c>
      <c r="I152" s="9" t="s">
        <v>229</v>
      </c>
      <c r="J152" s="9" t="s">
        <v>53</v>
      </c>
      <c r="K152" s="9" t="s">
        <v>53</v>
      </c>
      <c r="L152" s="9" t="s">
        <v>803</v>
      </c>
      <c r="M152" s="9" t="s">
        <v>311</v>
      </c>
      <c r="N152" s="9" t="s">
        <v>156</v>
      </c>
      <c r="O152" s="9" t="s">
        <v>62</v>
      </c>
      <c r="P152" s="9" t="s">
        <v>1607</v>
      </c>
      <c r="Q152" s="9" t="s">
        <v>65</v>
      </c>
      <c r="R152" s="9" t="s">
        <v>57</v>
      </c>
      <c r="S152" s="9" t="s">
        <v>1259</v>
      </c>
      <c r="T152" s="170">
        <v>2.472</v>
      </c>
      <c r="U152" s="9" t="s">
        <v>2243</v>
      </c>
      <c r="V152" s="199">
        <v>2.75E-2</v>
      </c>
      <c r="W152" s="185">
        <v>3.0839999999999999E-2</v>
      </c>
      <c r="X152" s="5" t="s">
        <v>618</v>
      </c>
      <c r="Y152" s="5" t="s">
        <v>62</v>
      </c>
      <c r="Z152" s="170">
        <v>0.59</v>
      </c>
      <c r="AA152" s="184">
        <v>1</v>
      </c>
      <c r="AB152" s="186">
        <v>116.37</v>
      </c>
      <c r="AC152" s="9"/>
      <c r="AD152" s="170">
        <v>1E-3</v>
      </c>
      <c r="AE152" s="9"/>
      <c r="AF152" s="9"/>
      <c r="AG152" s="9" t="s">
        <v>17</v>
      </c>
      <c r="AH152" s="185">
        <v>0</v>
      </c>
      <c r="AI152" s="185">
        <v>6.3823177105725197E-6</v>
      </c>
      <c r="AJ152" s="185">
        <v>3.9517341057295302E-8</v>
      </c>
    </row>
    <row r="153" spans="1:36">
      <c r="A153" s="9">
        <v>337</v>
      </c>
      <c r="B153" s="9">
        <v>1477</v>
      </c>
      <c r="C153" s="9" t="s">
        <v>1694</v>
      </c>
      <c r="D153" s="9" t="s">
        <v>1695</v>
      </c>
      <c r="E153" s="5" t="s">
        <v>1346</v>
      </c>
      <c r="F153" s="9" t="s">
        <v>2766</v>
      </c>
      <c r="G153" s="9" t="s">
        <v>2767</v>
      </c>
      <c r="H153" s="9" t="s">
        <v>76</v>
      </c>
      <c r="I153" s="9" t="s">
        <v>228</v>
      </c>
      <c r="J153" s="9" t="s">
        <v>53</v>
      </c>
      <c r="K153" s="9" t="s">
        <v>53</v>
      </c>
      <c r="L153" s="9" t="s">
        <v>803</v>
      </c>
      <c r="M153" s="9" t="s">
        <v>311</v>
      </c>
      <c r="N153" s="9" t="s">
        <v>629</v>
      </c>
      <c r="O153" s="9" t="s">
        <v>62</v>
      </c>
      <c r="P153" s="167" t="s">
        <v>298</v>
      </c>
      <c r="Q153" s="9" t="s">
        <v>298</v>
      </c>
      <c r="R153" s="9" t="s">
        <v>298</v>
      </c>
      <c r="S153" s="9" t="s">
        <v>1259</v>
      </c>
      <c r="T153" s="170">
        <v>2.7330000000000001</v>
      </c>
      <c r="U153" s="9" t="s">
        <v>2234</v>
      </c>
      <c r="V153" s="199">
        <v>5.5E-2</v>
      </c>
      <c r="W153" s="185">
        <v>6.3310000000000005E-2</v>
      </c>
      <c r="X153" s="5" t="s">
        <v>618</v>
      </c>
      <c r="Y153" s="5" t="s">
        <v>62</v>
      </c>
      <c r="Z153" s="170">
        <v>17000</v>
      </c>
      <c r="AA153" s="184">
        <v>1</v>
      </c>
      <c r="AB153" s="186">
        <v>99.42</v>
      </c>
      <c r="AC153" s="9"/>
      <c r="AD153" s="170">
        <v>16.901</v>
      </c>
      <c r="AE153" s="9"/>
      <c r="AF153" s="9"/>
      <c r="AG153" s="9" t="s">
        <v>17</v>
      </c>
      <c r="AH153" s="185">
        <v>5.1999999999999997E-5</v>
      </c>
      <c r="AI153" s="185">
        <v>0.15711152847284399</v>
      </c>
      <c r="AJ153" s="185">
        <v>9.7278608434198197E-4</v>
      </c>
    </row>
    <row r="154" spans="1:36">
      <c r="A154" s="9">
        <v>337</v>
      </c>
      <c r="B154" s="9">
        <v>1477</v>
      </c>
      <c r="C154" s="9" t="s">
        <v>2293</v>
      </c>
      <c r="D154" s="9" t="s">
        <v>2294</v>
      </c>
      <c r="E154" s="5" t="s">
        <v>1346</v>
      </c>
      <c r="F154" s="9" t="s">
        <v>2295</v>
      </c>
      <c r="G154" s="9" t="s">
        <v>2296</v>
      </c>
      <c r="H154" s="9" t="s">
        <v>76</v>
      </c>
      <c r="I154" s="9" t="s">
        <v>228</v>
      </c>
      <c r="J154" s="9" t="s">
        <v>53</v>
      </c>
      <c r="K154" s="9" t="s">
        <v>53</v>
      </c>
      <c r="L154" s="9" t="s">
        <v>803</v>
      </c>
      <c r="M154" s="9" t="s">
        <v>311</v>
      </c>
      <c r="N154" s="9" t="s">
        <v>633</v>
      </c>
      <c r="O154" s="9" t="s">
        <v>62</v>
      </c>
      <c r="P154" s="167" t="s">
        <v>298</v>
      </c>
      <c r="Q154" s="9" t="s">
        <v>298</v>
      </c>
      <c r="R154" s="9" t="s">
        <v>298</v>
      </c>
      <c r="S154" s="9" t="s">
        <v>1259</v>
      </c>
      <c r="T154" s="170">
        <v>0.45500000000000002</v>
      </c>
      <c r="U154" s="9" t="s">
        <v>2297</v>
      </c>
      <c r="V154" s="199">
        <v>6.5000000000000002E-2</v>
      </c>
      <c r="W154" s="185">
        <v>7.2859999999999994E-2</v>
      </c>
      <c r="X154" s="5" t="s">
        <v>618</v>
      </c>
      <c r="Y154" s="5" t="s">
        <v>62</v>
      </c>
      <c r="Z154" s="170">
        <v>9589</v>
      </c>
      <c r="AA154" s="184">
        <v>1</v>
      </c>
      <c r="AB154" s="186">
        <v>100</v>
      </c>
      <c r="AC154" s="9"/>
      <c r="AD154" s="170">
        <v>9.5890000000000004</v>
      </c>
      <c r="AE154" s="9"/>
      <c r="AF154" s="9"/>
      <c r="AG154" s="9" t="s">
        <v>17</v>
      </c>
      <c r="AH154" s="185">
        <v>1.75E-4</v>
      </c>
      <c r="AI154" s="185">
        <v>8.9137139321363801E-2</v>
      </c>
      <c r="AJ154" s="185">
        <v>5.5190965025117805E-4</v>
      </c>
    </row>
    <row r="155" spans="1:36">
      <c r="A155" s="9">
        <v>337</v>
      </c>
      <c r="B155" s="9">
        <v>1477</v>
      </c>
      <c r="C155" s="9" t="s">
        <v>1870</v>
      </c>
      <c r="D155" s="9" t="s">
        <v>1871</v>
      </c>
      <c r="E155" s="5" t="s">
        <v>1346</v>
      </c>
      <c r="F155" s="9" t="s">
        <v>2307</v>
      </c>
      <c r="G155" s="9" t="s">
        <v>2308</v>
      </c>
      <c r="H155" s="9" t="s">
        <v>76</v>
      </c>
      <c r="I155" s="9" t="s">
        <v>605</v>
      </c>
      <c r="J155" s="9" t="s">
        <v>53</v>
      </c>
      <c r="K155" s="9" t="s">
        <v>53</v>
      </c>
      <c r="L155" s="9" t="s">
        <v>803</v>
      </c>
      <c r="M155" s="9" t="s">
        <v>311</v>
      </c>
      <c r="N155" s="9" t="s">
        <v>629</v>
      </c>
      <c r="O155" s="9" t="s">
        <v>62</v>
      </c>
      <c r="P155" s="9" t="s">
        <v>1614</v>
      </c>
      <c r="Q155" s="9" t="s">
        <v>65</v>
      </c>
      <c r="R155" s="9" t="s">
        <v>57</v>
      </c>
      <c r="S155" s="9" t="s">
        <v>1259</v>
      </c>
      <c r="T155" s="170">
        <v>2.0760000000000001</v>
      </c>
      <c r="U155" s="9" t="s">
        <v>2309</v>
      </c>
      <c r="V155" s="199">
        <v>1.25E-3</v>
      </c>
      <c r="W155" s="185">
        <v>4.8520000000000001E-2</v>
      </c>
      <c r="X155" s="5" t="s">
        <v>618</v>
      </c>
      <c r="Y155" s="5" t="s">
        <v>62</v>
      </c>
      <c r="Z155" s="170">
        <v>4000</v>
      </c>
      <c r="AA155" s="184">
        <v>1</v>
      </c>
      <c r="AB155" s="186">
        <v>91.2</v>
      </c>
      <c r="AC155" s="9"/>
      <c r="AD155" s="170">
        <v>3.6480000000000001</v>
      </c>
      <c r="AE155" s="9"/>
      <c r="AF155" s="9"/>
      <c r="AG155" s="9" t="s">
        <v>17</v>
      </c>
      <c r="AH155" s="185">
        <v>6.9999999999999999E-6</v>
      </c>
      <c r="AI155" s="185">
        <v>3.3910969261063198E-2</v>
      </c>
      <c r="AJ155" s="185">
        <v>2.099662534275E-4</v>
      </c>
    </row>
    <row r="156" spans="1:36">
      <c r="A156" s="9">
        <v>337</v>
      </c>
      <c r="B156" s="9">
        <v>1477</v>
      </c>
      <c r="C156" s="9" t="s">
        <v>2310</v>
      </c>
      <c r="D156" s="9" t="s">
        <v>2311</v>
      </c>
      <c r="E156" s="5" t="s">
        <v>1346</v>
      </c>
      <c r="F156" s="9" t="s">
        <v>2312</v>
      </c>
      <c r="G156" s="9" t="s">
        <v>2313</v>
      </c>
      <c r="H156" s="9" t="s">
        <v>76</v>
      </c>
      <c r="I156" s="9" t="s">
        <v>229</v>
      </c>
      <c r="J156" s="9" t="s">
        <v>53</v>
      </c>
      <c r="K156" s="9" t="s">
        <v>53</v>
      </c>
      <c r="L156" s="9" t="s">
        <v>803</v>
      </c>
      <c r="M156" s="9" t="s">
        <v>311</v>
      </c>
      <c r="N156" s="9" t="s">
        <v>631</v>
      </c>
      <c r="O156" s="9" t="s">
        <v>62</v>
      </c>
      <c r="P156" s="9" t="s">
        <v>2314</v>
      </c>
      <c r="Q156" s="9" t="s">
        <v>70</v>
      </c>
      <c r="R156" s="9" t="s">
        <v>57</v>
      </c>
      <c r="S156" s="9" t="s">
        <v>1259</v>
      </c>
      <c r="T156" s="170">
        <v>1.2310000000000001</v>
      </c>
      <c r="U156" s="9" t="s">
        <v>1615</v>
      </c>
      <c r="V156" s="199">
        <v>1.2500000000000001E-2</v>
      </c>
      <c r="W156" s="185">
        <v>3.8019999999999998E-2</v>
      </c>
      <c r="X156" s="5" t="s">
        <v>618</v>
      </c>
      <c r="Y156" s="5" t="s">
        <v>62</v>
      </c>
      <c r="Z156" s="170">
        <v>0.22</v>
      </c>
      <c r="AA156" s="184">
        <v>1</v>
      </c>
      <c r="AB156" s="186">
        <v>107.48</v>
      </c>
      <c r="AC156" s="9"/>
      <c r="AD156" s="170">
        <v>0</v>
      </c>
      <c r="AE156" s="9"/>
      <c r="AF156" s="9"/>
      <c r="AG156" s="9" t="s">
        <v>17</v>
      </c>
      <c r="AH156" s="185">
        <v>0</v>
      </c>
      <c r="AI156" s="185">
        <v>2.19804061063431E-6</v>
      </c>
      <c r="AJ156" s="185">
        <v>1.3609588931045201E-8</v>
      </c>
    </row>
    <row r="157" spans="1:36">
      <c r="A157" s="9">
        <v>337</v>
      </c>
      <c r="B157" s="9">
        <v>1477</v>
      </c>
      <c r="C157" s="9" t="s">
        <v>2337</v>
      </c>
      <c r="D157" s="9" t="s">
        <v>2338</v>
      </c>
      <c r="E157" s="5" t="s">
        <v>765</v>
      </c>
      <c r="F157" s="9" t="s">
        <v>2339</v>
      </c>
      <c r="G157" s="9" t="s">
        <v>2340</v>
      </c>
      <c r="H157" s="9" t="s">
        <v>76</v>
      </c>
      <c r="I157" s="9" t="s">
        <v>228</v>
      </c>
      <c r="J157" s="9" t="s">
        <v>53</v>
      </c>
      <c r="K157" s="9" t="s">
        <v>53</v>
      </c>
      <c r="L157" s="9" t="s">
        <v>803</v>
      </c>
      <c r="M157" s="9" t="s">
        <v>311</v>
      </c>
      <c r="N157" s="9" t="s">
        <v>634</v>
      </c>
      <c r="O157" s="9" t="s">
        <v>62</v>
      </c>
      <c r="P157" s="9" t="s">
        <v>2314</v>
      </c>
      <c r="Q157" s="9" t="s">
        <v>70</v>
      </c>
      <c r="R157" s="9" t="s">
        <v>57</v>
      </c>
      <c r="S157" s="9" t="s">
        <v>1259</v>
      </c>
      <c r="T157" s="170">
        <v>0.72799999999999998</v>
      </c>
      <c r="U157" s="9" t="s">
        <v>2341</v>
      </c>
      <c r="V157" s="199">
        <v>7.0000000000000007E-2</v>
      </c>
      <c r="W157" s="185">
        <v>5.9749999999999998E-2</v>
      </c>
      <c r="X157" s="5" t="s">
        <v>618</v>
      </c>
      <c r="Y157" s="5" t="s">
        <v>62</v>
      </c>
      <c r="Z157" s="170">
        <v>0.37</v>
      </c>
      <c r="AA157" s="184">
        <v>1</v>
      </c>
      <c r="AB157" s="186">
        <v>102.57</v>
      </c>
      <c r="AC157" s="9"/>
      <c r="AD157" s="170">
        <v>0</v>
      </c>
      <c r="AE157" s="9"/>
      <c r="AF157" s="9"/>
      <c r="AG157" s="9" t="s">
        <v>17</v>
      </c>
      <c r="AH157" s="185">
        <v>0</v>
      </c>
      <c r="AI157" s="185">
        <v>3.5278284082502301E-6</v>
      </c>
      <c r="AJ157" s="185">
        <v>2.1843224471495902E-8</v>
      </c>
    </row>
    <row r="158" spans="1:36">
      <c r="A158" s="9">
        <v>337</v>
      </c>
      <c r="B158" s="9">
        <v>1477</v>
      </c>
      <c r="C158" s="9" t="s">
        <v>2398</v>
      </c>
      <c r="D158" s="9" t="s">
        <v>2399</v>
      </c>
      <c r="E158" s="5" t="s">
        <v>1346</v>
      </c>
      <c r="F158" s="9" t="s">
        <v>2400</v>
      </c>
      <c r="G158" s="9" t="s">
        <v>2401</v>
      </c>
      <c r="H158" s="9" t="s">
        <v>76</v>
      </c>
      <c r="I158" s="9" t="s">
        <v>605</v>
      </c>
      <c r="J158" s="9" t="s">
        <v>53</v>
      </c>
      <c r="K158" s="9" t="s">
        <v>53</v>
      </c>
      <c r="L158" s="9" t="s">
        <v>803</v>
      </c>
      <c r="M158" s="9" t="s">
        <v>311</v>
      </c>
      <c r="N158" s="9" t="s">
        <v>140</v>
      </c>
      <c r="O158" s="9" t="s">
        <v>62</v>
      </c>
      <c r="P158" s="167" t="s">
        <v>298</v>
      </c>
      <c r="Q158" s="9" t="s">
        <v>298</v>
      </c>
      <c r="R158" s="9" t="s">
        <v>298</v>
      </c>
      <c r="S158" s="9" t="s">
        <v>1259</v>
      </c>
      <c r="T158" s="170">
        <v>2.9780000000000002</v>
      </c>
      <c r="U158" s="9" t="s">
        <v>2243</v>
      </c>
      <c r="V158" s="199">
        <v>7.0000000000000007E-2</v>
      </c>
      <c r="W158" s="185">
        <v>-4.1079999999999998E-2</v>
      </c>
      <c r="X158" s="5" t="s">
        <v>618</v>
      </c>
      <c r="Y158" s="5" t="s">
        <v>62</v>
      </c>
      <c r="Z158" s="170">
        <v>18000</v>
      </c>
      <c r="AA158" s="184">
        <v>1</v>
      </c>
      <c r="AB158" s="186">
        <v>141</v>
      </c>
      <c r="AC158" s="9"/>
      <c r="AD158" s="170">
        <v>25.38</v>
      </c>
      <c r="AE158" s="9"/>
      <c r="AF158" s="9"/>
      <c r="AG158" s="9" t="s">
        <v>17</v>
      </c>
      <c r="AH158" s="185">
        <v>3.6000000000000002E-4</v>
      </c>
      <c r="AI158" s="185">
        <v>0.23592664469456801</v>
      </c>
      <c r="AJ158" s="185">
        <v>1.4607849539446101E-3</v>
      </c>
    </row>
    <row r="159" spans="1:36">
      <c r="A159" s="9">
        <v>337</v>
      </c>
      <c r="B159" s="9">
        <v>1477</v>
      </c>
      <c r="C159" s="9" t="s">
        <v>2036</v>
      </c>
      <c r="D159" s="9" t="s">
        <v>2037</v>
      </c>
      <c r="E159" s="5" t="s">
        <v>1346</v>
      </c>
      <c r="F159" s="9" t="s">
        <v>2768</v>
      </c>
      <c r="G159" s="9" t="s">
        <v>2769</v>
      </c>
      <c r="H159" s="9" t="s">
        <v>76</v>
      </c>
      <c r="I159" s="9" t="s">
        <v>229</v>
      </c>
      <c r="J159" s="9" t="s">
        <v>53</v>
      </c>
      <c r="K159" s="9" t="s">
        <v>53</v>
      </c>
      <c r="L159" s="9" t="s">
        <v>803</v>
      </c>
      <c r="M159" s="9" t="s">
        <v>311</v>
      </c>
      <c r="N159" s="9" t="s">
        <v>633</v>
      </c>
      <c r="O159" s="9" t="s">
        <v>62</v>
      </c>
      <c r="P159" s="9" t="s">
        <v>1614</v>
      </c>
      <c r="Q159" s="9" t="s">
        <v>65</v>
      </c>
      <c r="R159" s="9" t="s">
        <v>57</v>
      </c>
      <c r="S159" s="9" t="s">
        <v>1259</v>
      </c>
      <c r="T159" s="170">
        <v>0.499</v>
      </c>
      <c r="U159" s="9" t="s">
        <v>2727</v>
      </c>
      <c r="V159" s="199">
        <v>4.9500000000000002E-2</v>
      </c>
      <c r="W159" s="185">
        <v>3.091E-2</v>
      </c>
      <c r="X159" s="5" t="s">
        <v>618</v>
      </c>
      <c r="Y159" s="5" t="s">
        <v>62</v>
      </c>
      <c r="Z159" s="170">
        <v>0.17</v>
      </c>
      <c r="AA159" s="184">
        <v>1</v>
      </c>
      <c r="AB159" s="186">
        <v>142.71</v>
      </c>
      <c r="AC159" s="9"/>
      <c r="AD159" s="170">
        <v>0</v>
      </c>
      <c r="AE159" s="9"/>
      <c r="AF159" s="9"/>
      <c r="AG159" s="9" t="s">
        <v>17</v>
      </c>
      <c r="AH159" s="185">
        <v>0</v>
      </c>
      <c r="AI159" s="185">
        <v>2.25521889241194E-6</v>
      </c>
      <c r="AJ159" s="185">
        <v>1.39636192010103E-8</v>
      </c>
    </row>
    <row r="160" spans="1:36">
      <c r="A160" s="9">
        <v>337</v>
      </c>
      <c r="B160" s="9">
        <v>1477</v>
      </c>
      <c r="C160" s="9" t="s">
        <v>2626</v>
      </c>
      <c r="D160" s="9" t="s">
        <v>2627</v>
      </c>
      <c r="E160" s="5" t="s">
        <v>765</v>
      </c>
      <c r="F160" s="9" t="s">
        <v>2628</v>
      </c>
      <c r="G160" s="9" t="s">
        <v>2629</v>
      </c>
      <c r="H160" s="9" t="s">
        <v>76</v>
      </c>
      <c r="I160" s="9" t="s">
        <v>228</v>
      </c>
      <c r="J160" s="9" t="s">
        <v>53</v>
      </c>
      <c r="K160" s="9" t="s">
        <v>317</v>
      </c>
      <c r="L160" s="9" t="s">
        <v>803</v>
      </c>
      <c r="M160" s="9" t="s">
        <v>311</v>
      </c>
      <c r="N160" s="9" t="s">
        <v>634</v>
      </c>
      <c r="O160" s="9" t="s">
        <v>62</v>
      </c>
      <c r="P160" s="9" t="s">
        <v>2239</v>
      </c>
      <c r="Q160" s="9" t="s">
        <v>65</v>
      </c>
      <c r="R160" s="9" t="s">
        <v>57</v>
      </c>
      <c r="S160" s="9" t="s">
        <v>1259</v>
      </c>
      <c r="T160" s="170">
        <v>0.96799999999999997</v>
      </c>
      <c r="U160" s="9" t="s">
        <v>2630</v>
      </c>
      <c r="V160" s="199">
        <v>5.7000000000000002E-2</v>
      </c>
      <c r="W160" s="185">
        <v>5.8029999999999998E-2</v>
      </c>
      <c r="X160" s="5" t="s">
        <v>618</v>
      </c>
      <c r="Y160" s="5" t="s">
        <v>62</v>
      </c>
      <c r="Z160" s="170">
        <v>0.1</v>
      </c>
      <c r="AA160" s="184">
        <v>1</v>
      </c>
      <c r="AB160" s="186">
        <v>102.37</v>
      </c>
      <c r="AC160" s="9"/>
      <c r="AD160" s="170">
        <v>0</v>
      </c>
      <c r="AE160" s="9"/>
      <c r="AF160" s="9"/>
      <c r="AG160" s="9" t="s">
        <v>17</v>
      </c>
      <c r="AH160" s="185">
        <v>0</v>
      </c>
      <c r="AI160" s="185">
        <v>9.51607983348422E-7</v>
      </c>
      <c r="AJ160" s="185">
        <v>5.8920628737316804E-9</v>
      </c>
    </row>
    <row r="161" spans="1:36">
      <c r="A161" s="9">
        <v>337</v>
      </c>
      <c r="B161" s="9">
        <v>1477</v>
      </c>
      <c r="C161" s="9" t="s">
        <v>2657</v>
      </c>
      <c r="D161" s="9" t="s">
        <v>2658</v>
      </c>
      <c r="E161" s="5" t="s">
        <v>1346</v>
      </c>
      <c r="F161" s="9" t="s">
        <v>2659</v>
      </c>
      <c r="G161" s="9" t="s">
        <v>2660</v>
      </c>
      <c r="H161" s="9" t="s">
        <v>76</v>
      </c>
      <c r="I161" s="9" t="s">
        <v>228</v>
      </c>
      <c r="J161" s="9" t="s">
        <v>53</v>
      </c>
      <c r="K161" s="9" t="s">
        <v>53</v>
      </c>
      <c r="L161" s="9" t="s">
        <v>803</v>
      </c>
      <c r="M161" s="9" t="s">
        <v>311</v>
      </c>
      <c r="N161" s="9" t="s">
        <v>140</v>
      </c>
      <c r="O161" s="9" t="s">
        <v>62</v>
      </c>
      <c r="P161" s="9" t="s">
        <v>2314</v>
      </c>
      <c r="Q161" s="9" t="s">
        <v>70</v>
      </c>
      <c r="R161" s="9" t="s">
        <v>57</v>
      </c>
      <c r="S161" s="9" t="s">
        <v>1259</v>
      </c>
      <c r="T161" s="170">
        <v>1.385</v>
      </c>
      <c r="U161" s="9" t="s">
        <v>2661</v>
      </c>
      <c r="V161" s="199">
        <v>0.06</v>
      </c>
      <c r="W161" s="185">
        <v>5.2359999999999997E-2</v>
      </c>
      <c r="X161" s="5" t="s">
        <v>618</v>
      </c>
      <c r="Y161" s="5" t="s">
        <v>62</v>
      </c>
      <c r="Z161" s="170">
        <v>0.6</v>
      </c>
      <c r="AA161" s="184">
        <v>1</v>
      </c>
      <c r="AB161" s="186">
        <v>101.65</v>
      </c>
      <c r="AC161" s="9"/>
      <c r="AD161" s="170">
        <v>1E-3</v>
      </c>
      <c r="AE161" s="9"/>
      <c r="AF161" s="9"/>
      <c r="AG161" s="9" t="s">
        <v>17</v>
      </c>
      <c r="AH161" s="185">
        <v>0</v>
      </c>
      <c r="AI161" s="185">
        <v>5.66949017333401E-6</v>
      </c>
      <c r="AJ161" s="185">
        <v>3.5103732994910198E-8</v>
      </c>
    </row>
    <row r="162" spans="1:36">
      <c r="A162" s="9">
        <v>337</v>
      </c>
      <c r="B162" s="9">
        <v>1477</v>
      </c>
      <c r="C162" s="9" t="s">
        <v>2722</v>
      </c>
      <c r="D162" s="9" t="s">
        <v>2723</v>
      </c>
      <c r="E162" s="5" t="s">
        <v>1346</v>
      </c>
      <c r="F162" s="9" t="s">
        <v>2724</v>
      </c>
      <c r="G162" s="9" t="s">
        <v>2725</v>
      </c>
      <c r="H162" s="9" t="s">
        <v>76</v>
      </c>
      <c r="I162" s="9" t="s">
        <v>228</v>
      </c>
      <c r="J162" s="9" t="s">
        <v>53</v>
      </c>
      <c r="K162" s="9" t="s">
        <v>53</v>
      </c>
      <c r="L162" s="9" t="s">
        <v>803</v>
      </c>
      <c r="M162" s="9" t="s">
        <v>311</v>
      </c>
      <c r="N162" s="9" t="s">
        <v>631</v>
      </c>
      <c r="O162" s="9" t="s">
        <v>62</v>
      </c>
      <c r="P162" s="9" t="s">
        <v>2726</v>
      </c>
      <c r="Q162" s="9" t="s">
        <v>70</v>
      </c>
      <c r="R162" s="9" t="s">
        <v>57</v>
      </c>
      <c r="S162" s="9" t="s">
        <v>1259</v>
      </c>
      <c r="T162" s="170">
        <v>0.499</v>
      </c>
      <c r="U162" s="9" t="s">
        <v>2727</v>
      </c>
      <c r="V162" s="199">
        <v>3.15E-2</v>
      </c>
      <c r="W162" s="185">
        <v>5.3269999999999998E-2</v>
      </c>
      <c r="X162" s="5" t="s">
        <v>618</v>
      </c>
      <c r="Y162" s="5" t="s">
        <v>62</v>
      </c>
      <c r="Z162" s="170">
        <v>4749.96</v>
      </c>
      <c r="AA162" s="184">
        <v>1</v>
      </c>
      <c r="AB162" s="186">
        <v>98.98</v>
      </c>
      <c r="AC162" s="9"/>
      <c r="AD162" s="170">
        <v>4.702</v>
      </c>
      <c r="AE162" s="9"/>
      <c r="AF162" s="9"/>
      <c r="AG162" s="9" t="s">
        <v>17</v>
      </c>
      <c r="AH162" s="185">
        <v>1.1E-4</v>
      </c>
      <c r="AI162" s="185">
        <v>4.3704159793381797E-2</v>
      </c>
      <c r="AJ162" s="185">
        <v>2.7060266606857399E-4</v>
      </c>
    </row>
    <row r="163" spans="1:36">
      <c r="A163" s="9">
        <v>337</v>
      </c>
      <c r="B163" s="9">
        <v>1477</v>
      </c>
      <c r="C163" s="9" t="s">
        <v>1663</v>
      </c>
      <c r="D163" s="9" t="s">
        <v>1664</v>
      </c>
      <c r="E163" s="5" t="s">
        <v>1346</v>
      </c>
      <c r="F163" s="9" t="s">
        <v>2751</v>
      </c>
      <c r="G163" s="9" t="s">
        <v>2752</v>
      </c>
      <c r="H163" s="9" t="s">
        <v>76</v>
      </c>
      <c r="I163" s="9" t="s">
        <v>230</v>
      </c>
      <c r="J163" s="9" t="s">
        <v>61</v>
      </c>
      <c r="K163" s="9" t="s">
        <v>53</v>
      </c>
      <c r="L163" s="9" t="s">
        <v>803</v>
      </c>
      <c r="M163" s="9" t="s">
        <v>102</v>
      </c>
      <c r="N163" s="9" t="s">
        <v>256</v>
      </c>
      <c r="O163" s="9" t="s">
        <v>62</v>
      </c>
      <c r="P163" s="9" t="s">
        <v>2753</v>
      </c>
      <c r="Q163" s="9" t="s">
        <v>96</v>
      </c>
      <c r="R163" s="9" t="s">
        <v>57</v>
      </c>
      <c r="S163" s="9" t="s">
        <v>1215</v>
      </c>
      <c r="T163" s="170">
        <v>4.8479999999999999</v>
      </c>
      <c r="U163" s="9" t="s">
        <v>2754</v>
      </c>
      <c r="V163" s="199">
        <v>3.2750000000000001E-2</v>
      </c>
      <c r="W163" s="185">
        <v>5.8430000000000003E-2</v>
      </c>
      <c r="X163" s="5" t="s">
        <v>618</v>
      </c>
      <c r="Y163" s="5" t="s">
        <v>62</v>
      </c>
      <c r="Z163" s="170">
        <v>2000</v>
      </c>
      <c r="AA163" s="184">
        <v>3.3719999999999999</v>
      </c>
      <c r="AB163" s="186">
        <v>99.753</v>
      </c>
      <c r="AC163" s="9"/>
      <c r="AD163" s="170">
        <v>6.7270000000000003</v>
      </c>
      <c r="AE163" s="9"/>
      <c r="AF163" s="9"/>
      <c r="AG163" s="9" t="s">
        <v>17</v>
      </c>
      <c r="AH163" s="185">
        <v>3.0000000000000001E-6</v>
      </c>
      <c r="AI163" s="185">
        <v>6.2535764782509107E-2</v>
      </c>
      <c r="AJ163" s="185">
        <v>3.8720215088877501E-4</v>
      </c>
    </row>
    <row r="164" spans="1:36">
      <c r="A164" s="9">
        <v>337</v>
      </c>
      <c r="B164" s="9">
        <v>1477</v>
      </c>
      <c r="C164" s="9" t="s">
        <v>2216</v>
      </c>
      <c r="D164" s="9" t="s">
        <v>2217</v>
      </c>
      <c r="E164" s="5" t="s">
        <v>1346</v>
      </c>
      <c r="F164" s="9" t="s">
        <v>2755</v>
      </c>
      <c r="G164" s="9" t="s">
        <v>2756</v>
      </c>
      <c r="H164" s="9" t="s">
        <v>76</v>
      </c>
      <c r="I164" s="9" t="s">
        <v>230</v>
      </c>
      <c r="J164" s="9" t="s">
        <v>61</v>
      </c>
      <c r="K164" s="9" t="s">
        <v>53</v>
      </c>
      <c r="L164" s="9" t="s">
        <v>803</v>
      </c>
      <c r="M164" s="9" t="s">
        <v>102</v>
      </c>
      <c r="N164" s="9" t="s">
        <v>267</v>
      </c>
      <c r="O164" s="9" t="s">
        <v>62</v>
      </c>
      <c r="P164" s="9" t="s">
        <v>2220</v>
      </c>
      <c r="Q164" s="9" t="s">
        <v>96</v>
      </c>
      <c r="R164" s="9" t="s">
        <v>57</v>
      </c>
      <c r="S164" s="9" t="s">
        <v>1215</v>
      </c>
      <c r="T164" s="170">
        <v>1.9019999999999999</v>
      </c>
      <c r="U164" s="9" t="s">
        <v>1615</v>
      </c>
      <c r="V164" s="199">
        <v>6.5000000000000002E-2</v>
      </c>
      <c r="W164" s="185">
        <v>7.0449999999999999E-2</v>
      </c>
      <c r="X164" s="5" t="s">
        <v>618</v>
      </c>
      <c r="Y164" s="5" t="s">
        <v>62</v>
      </c>
      <c r="Z164" s="170">
        <v>1000</v>
      </c>
      <c r="AA164" s="184">
        <v>3.3719999999999999</v>
      </c>
      <c r="AB164" s="186">
        <v>99.572999999999993</v>
      </c>
      <c r="AC164" s="9"/>
      <c r="AD164" s="170">
        <v>3.3580000000000001</v>
      </c>
      <c r="AE164" s="9"/>
      <c r="AF164" s="9"/>
      <c r="AG164" s="9" t="s">
        <v>17</v>
      </c>
      <c r="AH164" s="185">
        <v>1.9999999999999999E-6</v>
      </c>
      <c r="AI164" s="185">
        <v>3.1211523475835098E-2</v>
      </c>
      <c r="AJ164" s="185">
        <v>1.9325211843797599E-4</v>
      </c>
    </row>
    <row r="165" spans="1:36">
      <c r="A165" s="9">
        <v>337</v>
      </c>
      <c r="B165" s="9">
        <v>1477</v>
      </c>
      <c r="C165" s="9" t="s">
        <v>1996</v>
      </c>
      <c r="D165" s="9" t="s">
        <v>1997</v>
      </c>
      <c r="E165" s="5" t="s">
        <v>1346</v>
      </c>
      <c r="F165" s="9" t="s">
        <v>2757</v>
      </c>
      <c r="G165" s="9" t="s">
        <v>2758</v>
      </c>
      <c r="H165" s="9" t="s">
        <v>76</v>
      </c>
      <c r="I165" s="9" t="s">
        <v>230</v>
      </c>
      <c r="J165" s="9" t="s">
        <v>61</v>
      </c>
      <c r="K165" s="9" t="s">
        <v>53</v>
      </c>
      <c r="L165" s="9" t="s">
        <v>803</v>
      </c>
      <c r="M165" s="9" t="s">
        <v>102</v>
      </c>
      <c r="N165" s="9" t="s">
        <v>256</v>
      </c>
      <c r="O165" s="9" t="s">
        <v>62</v>
      </c>
      <c r="P165" s="9" t="s">
        <v>2753</v>
      </c>
      <c r="Q165" s="9" t="s">
        <v>96</v>
      </c>
      <c r="R165" s="9" t="s">
        <v>57</v>
      </c>
      <c r="S165" s="9" t="s">
        <v>1215</v>
      </c>
      <c r="T165" s="170">
        <v>5.0060000000000002</v>
      </c>
      <c r="U165" s="9" t="s">
        <v>2759</v>
      </c>
      <c r="V165" s="199">
        <v>3.0769999999999999E-2</v>
      </c>
      <c r="W165" s="185">
        <v>6.2969999999999998E-2</v>
      </c>
      <c r="X165" s="5" t="s">
        <v>618</v>
      </c>
      <c r="Y165" s="5" t="s">
        <v>62</v>
      </c>
      <c r="Z165" s="170">
        <v>2000</v>
      </c>
      <c r="AA165" s="184">
        <v>3.3719999999999999</v>
      </c>
      <c r="AB165" s="186">
        <v>98.424999999999997</v>
      </c>
      <c r="AC165" s="9"/>
      <c r="AD165" s="170">
        <v>6.6379999999999999</v>
      </c>
      <c r="AE165" s="9"/>
      <c r="AF165" s="9"/>
      <c r="AG165" s="9" t="s">
        <v>17</v>
      </c>
      <c r="AH165" s="185">
        <v>3.0000000000000001E-6</v>
      </c>
      <c r="AI165" s="185">
        <v>6.1703295329944799E-2</v>
      </c>
      <c r="AJ165" s="185">
        <v>3.82047757019873E-4</v>
      </c>
    </row>
    <row r="166" spans="1:36">
      <c r="A166" s="9">
        <v>337</v>
      </c>
      <c r="B166" s="9">
        <v>1477</v>
      </c>
      <c r="C166" s="9" t="s">
        <v>1966</v>
      </c>
      <c r="D166" s="9" t="s">
        <v>1967</v>
      </c>
      <c r="E166" s="5" t="s">
        <v>1346</v>
      </c>
      <c r="F166" s="9" t="s">
        <v>2760</v>
      </c>
      <c r="G166" s="9" t="s">
        <v>2761</v>
      </c>
      <c r="H166" s="9" t="s">
        <v>76</v>
      </c>
      <c r="I166" s="9" t="s">
        <v>230</v>
      </c>
      <c r="J166" s="9" t="s">
        <v>61</v>
      </c>
      <c r="K166" s="9" t="s">
        <v>314</v>
      </c>
      <c r="L166" s="9" t="s">
        <v>803</v>
      </c>
      <c r="M166" s="9" t="s">
        <v>102</v>
      </c>
      <c r="N166" s="9" t="s">
        <v>85</v>
      </c>
      <c r="O166" s="9" t="s">
        <v>62</v>
      </c>
      <c r="P166" s="9" t="s">
        <v>2220</v>
      </c>
      <c r="Q166" s="9" t="s">
        <v>96</v>
      </c>
      <c r="R166" s="9" t="s">
        <v>57</v>
      </c>
      <c r="S166" s="9" t="s">
        <v>1239</v>
      </c>
      <c r="T166" s="170">
        <v>4.2009999999999996</v>
      </c>
      <c r="U166" s="9" t="s">
        <v>2762</v>
      </c>
      <c r="V166" s="199">
        <v>4.3749999999999997E-2</v>
      </c>
      <c r="W166" s="185">
        <v>4.0820000000000002E-2</v>
      </c>
      <c r="X166" s="5" t="s">
        <v>618</v>
      </c>
      <c r="Y166" s="5" t="s">
        <v>62</v>
      </c>
      <c r="Z166" s="170">
        <v>5000</v>
      </c>
      <c r="AA166" s="184">
        <v>3.9552</v>
      </c>
      <c r="AB166" s="186">
        <v>102.464</v>
      </c>
      <c r="AC166" s="9"/>
      <c r="AD166" s="170">
        <v>20.263000000000002</v>
      </c>
      <c r="AE166" s="9"/>
      <c r="AF166" s="9"/>
      <c r="AG166" s="9" t="s">
        <v>17</v>
      </c>
      <c r="AH166" s="185">
        <v>3.0000000000000001E-6</v>
      </c>
      <c r="AI166" s="185">
        <v>0.188362981780336</v>
      </c>
      <c r="AJ166" s="185">
        <v>1.16628543597133E-3</v>
      </c>
    </row>
    <row r="167" spans="1:36">
      <c r="A167" s="9">
        <v>337</v>
      </c>
      <c r="B167" s="9">
        <v>1477</v>
      </c>
      <c r="C167" s="9" t="s">
        <v>1966</v>
      </c>
      <c r="D167" s="9" t="s">
        <v>1967</v>
      </c>
      <c r="E167" s="5" t="s">
        <v>1346</v>
      </c>
      <c r="F167" s="9" t="s">
        <v>2763</v>
      </c>
      <c r="G167" s="9" t="s">
        <v>2764</v>
      </c>
      <c r="H167" s="9" t="s">
        <v>76</v>
      </c>
      <c r="I167" s="9" t="s">
        <v>230</v>
      </c>
      <c r="J167" s="9" t="s">
        <v>61</v>
      </c>
      <c r="K167" s="9" t="s">
        <v>314</v>
      </c>
      <c r="L167" s="9" t="s">
        <v>803</v>
      </c>
      <c r="M167" s="9" t="s">
        <v>102</v>
      </c>
      <c r="N167" s="9" t="s">
        <v>85</v>
      </c>
      <c r="O167" s="9" t="s">
        <v>62</v>
      </c>
      <c r="P167" s="9" t="s">
        <v>2220</v>
      </c>
      <c r="Q167" s="9" t="s">
        <v>96</v>
      </c>
      <c r="R167" s="9" t="s">
        <v>57</v>
      </c>
      <c r="S167" s="9" t="s">
        <v>1215</v>
      </c>
      <c r="T167" s="170">
        <v>3.3149999999999999</v>
      </c>
      <c r="U167" s="9" t="s">
        <v>2765</v>
      </c>
      <c r="V167" s="199">
        <v>5.1249999999999997E-2</v>
      </c>
      <c r="W167" s="185">
        <v>5.0509999999999999E-2</v>
      </c>
      <c r="X167" s="5" t="s">
        <v>618</v>
      </c>
      <c r="Y167" s="5" t="s">
        <v>62</v>
      </c>
      <c r="Z167" s="170">
        <v>3000</v>
      </c>
      <c r="AA167" s="184">
        <v>3.3719999999999999</v>
      </c>
      <c r="AB167" s="186">
        <v>102.14700000000001</v>
      </c>
      <c r="AC167" s="9"/>
      <c r="AD167" s="170">
        <v>10.333</v>
      </c>
      <c r="AE167" s="9"/>
      <c r="AF167" s="9"/>
      <c r="AG167" s="9" t="s">
        <v>17</v>
      </c>
      <c r="AH167" s="185">
        <v>3.0000000000000001E-6</v>
      </c>
      <c r="AI167" s="185">
        <v>9.6055286149849206E-2</v>
      </c>
      <c r="AJ167" s="185">
        <v>5.9474467979739201E-4</v>
      </c>
    </row>
    <row r="168" spans="1:36">
      <c r="A168" s="9">
        <v>337</v>
      </c>
      <c r="B168" s="9">
        <v>9962</v>
      </c>
      <c r="C168" s="9" t="s">
        <v>2216</v>
      </c>
      <c r="D168" s="9" t="s">
        <v>2217</v>
      </c>
      <c r="E168" s="5" t="s">
        <v>1346</v>
      </c>
      <c r="F168" s="9" t="s">
        <v>2218</v>
      </c>
      <c r="G168" s="9" t="s">
        <v>2219</v>
      </c>
      <c r="H168" s="9" t="s">
        <v>76</v>
      </c>
      <c r="I168" s="9" t="s">
        <v>230</v>
      </c>
      <c r="J168" s="9" t="s">
        <v>61</v>
      </c>
      <c r="K168" s="9" t="s">
        <v>53</v>
      </c>
      <c r="L168" s="9" t="s">
        <v>803</v>
      </c>
      <c r="M168" s="9" t="s">
        <v>102</v>
      </c>
      <c r="N168" s="9" t="s">
        <v>267</v>
      </c>
      <c r="O168" s="9" t="s">
        <v>62</v>
      </c>
      <c r="P168" s="9" t="s">
        <v>2220</v>
      </c>
      <c r="Q168" s="9" t="s">
        <v>96</v>
      </c>
      <c r="R168" s="9" t="s">
        <v>57</v>
      </c>
      <c r="S168" s="9" t="s">
        <v>1215</v>
      </c>
      <c r="T168" s="170">
        <v>0.13300000000000001</v>
      </c>
      <c r="U168" s="9" t="s">
        <v>1319</v>
      </c>
      <c r="V168" s="199">
        <v>6.1249999999999999E-2</v>
      </c>
      <c r="W168" s="185">
        <v>0.23773</v>
      </c>
      <c r="X168" s="5" t="s">
        <v>618</v>
      </c>
      <c r="Y168" s="5" t="s">
        <v>62</v>
      </c>
      <c r="Z168" s="170">
        <v>0</v>
      </c>
      <c r="AA168" s="184">
        <v>3.3719999999999999</v>
      </c>
      <c r="AB168" s="186">
        <v>0</v>
      </c>
      <c r="AC168" s="170">
        <v>0.112</v>
      </c>
      <c r="AD168" s="170">
        <v>0.379</v>
      </c>
      <c r="AE168" s="9"/>
      <c r="AF168" s="9"/>
      <c r="AG168" s="9" t="s">
        <v>17</v>
      </c>
      <c r="AH168" s="185">
        <v>0</v>
      </c>
      <c r="AI168" s="185">
        <v>5.6071382243226599E-5</v>
      </c>
      <c r="AJ168" s="185">
        <v>8.8982576872271305E-6</v>
      </c>
    </row>
    <row r="169" spans="1:36">
      <c r="A169" s="9">
        <v>337</v>
      </c>
      <c r="B169" s="9">
        <v>9962</v>
      </c>
      <c r="C169" s="9" t="s">
        <v>2221</v>
      </c>
      <c r="D169" s="9" t="s">
        <v>2222</v>
      </c>
      <c r="E169" s="5" t="s">
        <v>1346</v>
      </c>
      <c r="F169" s="9" t="s">
        <v>2223</v>
      </c>
      <c r="G169" s="9" t="s">
        <v>2224</v>
      </c>
      <c r="H169" s="9" t="s">
        <v>76</v>
      </c>
      <c r="I169" s="9" t="s">
        <v>228</v>
      </c>
      <c r="J169" s="9" t="s">
        <v>53</v>
      </c>
      <c r="K169" s="9" t="s">
        <v>53</v>
      </c>
      <c r="L169" s="9" t="s">
        <v>803</v>
      </c>
      <c r="M169" s="9" t="s">
        <v>311</v>
      </c>
      <c r="N169" s="9" t="s">
        <v>140</v>
      </c>
      <c r="O169" s="9" t="s">
        <v>62</v>
      </c>
      <c r="P169" s="9" t="s">
        <v>2225</v>
      </c>
      <c r="Q169" s="9" t="s">
        <v>70</v>
      </c>
      <c r="R169" s="9" t="s">
        <v>57</v>
      </c>
      <c r="S169" s="9" t="s">
        <v>1259</v>
      </c>
      <c r="T169" s="170">
        <v>1.2070000000000001</v>
      </c>
      <c r="U169" s="9" t="s">
        <v>2226</v>
      </c>
      <c r="V169" s="199">
        <v>3.5000000000000003E-2</v>
      </c>
      <c r="W169" s="185">
        <v>4.8849999999999998E-2</v>
      </c>
      <c r="X169" s="5" t="s">
        <v>618</v>
      </c>
      <c r="Y169" s="5" t="s">
        <v>62</v>
      </c>
      <c r="Z169" s="170">
        <v>21128</v>
      </c>
      <c r="AA169" s="184">
        <v>1</v>
      </c>
      <c r="AB169" s="186">
        <v>99.31</v>
      </c>
      <c r="AC169" s="9"/>
      <c r="AD169" s="170">
        <v>20.981999999999999</v>
      </c>
      <c r="AE169" s="9"/>
      <c r="AF169" s="9"/>
      <c r="AG169" s="9" t="s">
        <v>17</v>
      </c>
      <c r="AH169" s="185">
        <v>1.5200000000000001E-4</v>
      </c>
      <c r="AI169" s="185">
        <v>3.1077161429679499E-3</v>
      </c>
      <c r="AJ169" s="185">
        <v>4.9317954993386803E-4</v>
      </c>
    </row>
    <row r="170" spans="1:36">
      <c r="A170" s="9">
        <v>337</v>
      </c>
      <c r="B170" s="9">
        <v>9962</v>
      </c>
      <c r="C170" s="9" t="s">
        <v>2221</v>
      </c>
      <c r="D170" s="9" t="s">
        <v>2222</v>
      </c>
      <c r="E170" s="5" t="s">
        <v>1346</v>
      </c>
      <c r="F170" s="9" t="s">
        <v>2227</v>
      </c>
      <c r="G170" s="9" t="s">
        <v>2228</v>
      </c>
      <c r="H170" s="9" t="s">
        <v>76</v>
      </c>
      <c r="I170" s="9" t="s">
        <v>229</v>
      </c>
      <c r="J170" s="9" t="s">
        <v>53</v>
      </c>
      <c r="K170" s="9" t="s">
        <v>53</v>
      </c>
      <c r="L170" s="9" t="s">
        <v>803</v>
      </c>
      <c r="M170" s="9" t="s">
        <v>311</v>
      </c>
      <c r="N170" s="9" t="s">
        <v>140</v>
      </c>
      <c r="O170" s="9" t="s">
        <v>62</v>
      </c>
      <c r="P170" s="9" t="s">
        <v>2225</v>
      </c>
      <c r="Q170" s="9" t="s">
        <v>70</v>
      </c>
      <c r="R170" s="9" t="s">
        <v>57</v>
      </c>
      <c r="S170" s="9" t="s">
        <v>1259</v>
      </c>
      <c r="T170" s="170">
        <v>2.1160000000000001</v>
      </c>
      <c r="U170" s="9" t="s">
        <v>2229</v>
      </c>
      <c r="V170" s="199">
        <v>3.85E-2</v>
      </c>
      <c r="W170" s="185">
        <v>3.2370000000000003E-2</v>
      </c>
      <c r="X170" s="5" t="s">
        <v>618</v>
      </c>
      <c r="Y170" s="5" t="s">
        <v>62</v>
      </c>
      <c r="Z170" s="170">
        <v>43000</v>
      </c>
      <c r="AA170" s="184">
        <v>1</v>
      </c>
      <c r="AB170" s="186">
        <v>111.11</v>
      </c>
      <c r="AC170" s="9"/>
      <c r="AD170" s="170">
        <v>47.777000000000001</v>
      </c>
      <c r="AE170" s="9"/>
      <c r="AF170" s="9"/>
      <c r="AG170" s="9" t="s">
        <v>17</v>
      </c>
      <c r="AH170" s="185">
        <v>1.4300000000000001E-4</v>
      </c>
      <c r="AI170" s="185">
        <v>7.0763870134743102E-3</v>
      </c>
      <c r="AJ170" s="185">
        <v>1.1229884590199901E-3</v>
      </c>
    </row>
    <row r="171" spans="1:36">
      <c r="A171" s="9">
        <v>337</v>
      </c>
      <c r="B171" s="9">
        <v>9962</v>
      </c>
      <c r="C171" s="9" t="s">
        <v>2230</v>
      </c>
      <c r="D171" s="9" t="s">
        <v>2231</v>
      </c>
      <c r="E171" s="5" t="s">
        <v>1346</v>
      </c>
      <c r="F171" s="9" t="s">
        <v>2232</v>
      </c>
      <c r="G171" s="9" t="s">
        <v>2233</v>
      </c>
      <c r="H171" s="9" t="s">
        <v>76</v>
      </c>
      <c r="I171" s="9" t="s">
        <v>229</v>
      </c>
      <c r="J171" s="9" t="s">
        <v>53</v>
      </c>
      <c r="K171" s="9" t="s">
        <v>317</v>
      </c>
      <c r="L171" s="9" t="s">
        <v>803</v>
      </c>
      <c r="M171" s="9" t="s">
        <v>311</v>
      </c>
      <c r="N171" s="9" t="s">
        <v>634</v>
      </c>
      <c r="O171" s="9" t="s">
        <v>62</v>
      </c>
      <c r="P171" s="9" t="s">
        <v>2225</v>
      </c>
      <c r="Q171" s="9" t="s">
        <v>70</v>
      </c>
      <c r="R171" s="9" t="s">
        <v>57</v>
      </c>
      <c r="S171" s="9" t="s">
        <v>1259</v>
      </c>
      <c r="T171" s="170">
        <v>2.6240000000000001</v>
      </c>
      <c r="U171" s="9" t="s">
        <v>2234</v>
      </c>
      <c r="V171" s="199">
        <v>2.4500000000000001E-2</v>
      </c>
      <c r="W171" s="185">
        <v>3.057E-2</v>
      </c>
      <c r="X171" s="5" t="s">
        <v>618</v>
      </c>
      <c r="Y171" s="5" t="s">
        <v>62</v>
      </c>
      <c r="Z171" s="170">
        <v>10956.52</v>
      </c>
      <c r="AA171" s="184">
        <v>1</v>
      </c>
      <c r="AB171" s="186">
        <v>115.76</v>
      </c>
      <c r="AC171" s="9"/>
      <c r="AD171" s="170">
        <v>12.683</v>
      </c>
      <c r="AE171" s="9"/>
      <c r="AF171" s="9"/>
      <c r="AG171" s="9" t="s">
        <v>17</v>
      </c>
      <c r="AH171" s="185">
        <v>2.3E-5</v>
      </c>
      <c r="AI171" s="185">
        <v>1.8785429438958E-3</v>
      </c>
      <c r="AJ171" s="185">
        <v>2.9811569685936102E-4</v>
      </c>
    </row>
    <row r="172" spans="1:36">
      <c r="A172" s="9">
        <v>337</v>
      </c>
      <c r="B172" s="9">
        <v>9962</v>
      </c>
      <c r="C172" s="9" t="s">
        <v>1822</v>
      </c>
      <c r="D172" s="9" t="s">
        <v>1823</v>
      </c>
      <c r="E172" s="5" t="s">
        <v>1346</v>
      </c>
      <c r="F172" s="9" t="s">
        <v>2241</v>
      </c>
      <c r="G172" s="9" t="s">
        <v>2242</v>
      </c>
      <c r="H172" s="9" t="s">
        <v>76</v>
      </c>
      <c r="I172" s="9" t="s">
        <v>229</v>
      </c>
      <c r="J172" s="9" t="s">
        <v>53</v>
      </c>
      <c r="K172" s="9" t="s">
        <v>53</v>
      </c>
      <c r="L172" s="9" t="s">
        <v>803</v>
      </c>
      <c r="M172" s="9" t="s">
        <v>311</v>
      </c>
      <c r="N172" s="9" t="s">
        <v>156</v>
      </c>
      <c r="O172" s="9" t="s">
        <v>62</v>
      </c>
      <c r="P172" s="9" t="s">
        <v>1607</v>
      </c>
      <c r="Q172" s="9" t="s">
        <v>65</v>
      </c>
      <c r="R172" s="9" t="s">
        <v>57</v>
      </c>
      <c r="S172" s="9" t="s">
        <v>1259</v>
      </c>
      <c r="T172" s="170">
        <v>2.472</v>
      </c>
      <c r="U172" s="9" t="s">
        <v>2243</v>
      </c>
      <c r="V172" s="199">
        <v>2.75E-2</v>
      </c>
      <c r="W172" s="185">
        <v>3.0839999999999999E-2</v>
      </c>
      <c r="X172" s="5" t="s">
        <v>618</v>
      </c>
      <c r="Y172" s="5" t="s">
        <v>62</v>
      </c>
      <c r="Z172" s="170">
        <v>62007.58</v>
      </c>
      <c r="AA172" s="184">
        <v>1</v>
      </c>
      <c r="AB172" s="186">
        <v>116.37</v>
      </c>
      <c r="AC172" s="9"/>
      <c r="AD172" s="170">
        <v>72.158000000000001</v>
      </c>
      <c r="AE172" s="9"/>
      <c r="AF172" s="9"/>
      <c r="AG172" s="9" t="s">
        <v>17</v>
      </c>
      <c r="AH172" s="185">
        <v>8.2999999999999998E-5</v>
      </c>
      <c r="AI172" s="185">
        <v>1.06874916939644E-2</v>
      </c>
      <c r="AJ172" s="185">
        <v>1.6960533398386699E-3</v>
      </c>
    </row>
    <row r="173" spans="1:36">
      <c r="A173" s="9">
        <v>337</v>
      </c>
      <c r="B173" s="9">
        <v>9962</v>
      </c>
      <c r="C173" s="9" t="s">
        <v>1834</v>
      </c>
      <c r="D173" s="9" t="s">
        <v>1835</v>
      </c>
      <c r="E173" s="5" t="s">
        <v>1346</v>
      </c>
      <c r="F173" s="9" t="s">
        <v>2244</v>
      </c>
      <c r="G173" s="9" t="s">
        <v>2245</v>
      </c>
      <c r="H173" s="9" t="s">
        <v>76</v>
      </c>
      <c r="I173" s="9" t="s">
        <v>228</v>
      </c>
      <c r="J173" s="9" t="s">
        <v>53</v>
      </c>
      <c r="K173" s="9" t="s">
        <v>53</v>
      </c>
      <c r="L173" s="9" t="s">
        <v>803</v>
      </c>
      <c r="M173" s="9" t="s">
        <v>311</v>
      </c>
      <c r="N173" s="9" t="s">
        <v>265</v>
      </c>
      <c r="O173" s="9" t="s">
        <v>62</v>
      </c>
      <c r="P173" s="9" t="s">
        <v>2246</v>
      </c>
      <c r="Q173" s="9" t="s">
        <v>65</v>
      </c>
      <c r="R173" s="9" t="s">
        <v>57</v>
      </c>
      <c r="S173" s="9" t="s">
        <v>1259</v>
      </c>
      <c r="T173" s="170">
        <v>7.3310000000000004</v>
      </c>
      <c r="U173" s="9" t="s">
        <v>2247</v>
      </c>
      <c r="V173" s="199">
        <v>2.4E-2</v>
      </c>
      <c r="W173" s="185">
        <v>4.6940000000000003E-2</v>
      </c>
      <c r="X173" s="5" t="s">
        <v>618</v>
      </c>
      <c r="Y173" s="5" t="s">
        <v>62</v>
      </c>
      <c r="Z173" s="170">
        <v>76000</v>
      </c>
      <c r="AA173" s="184">
        <v>1</v>
      </c>
      <c r="AB173" s="186">
        <v>84.92</v>
      </c>
      <c r="AC173" s="9"/>
      <c r="AD173" s="170">
        <v>64.539000000000001</v>
      </c>
      <c r="AE173" s="9"/>
      <c r="AF173" s="9"/>
      <c r="AG173" s="9" t="s">
        <v>17</v>
      </c>
      <c r="AH173" s="185">
        <v>4.8000000000000001E-5</v>
      </c>
      <c r="AI173" s="185">
        <v>9.5590239871240299E-3</v>
      </c>
      <c r="AJ173" s="185">
        <v>1.5169709622432201E-3</v>
      </c>
    </row>
    <row r="174" spans="1:36">
      <c r="A174" s="9">
        <v>337</v>
      </c>
      <c r="B174" s="9">
        <v>9962</v>
      </c>
      <c r="C174" s="9" t="s">
        <v>2248</v>
      </c>
      <c r="D174" s="9" t="s">
        <v>2249</v>
      </c>
      <c r="E174" s="5" t="s">
        <v>1346</v>
      </c>
      <c r="F174" s="9" t="s">
        <v>2250</v>
      </c>
      <c r="G174" s="9" t="s">
        <v>2251</v>
      </c>
      <c r="H174" s="9" t="s">
        <v>76</v>
      </c>
      <c r="I174" s="9" t="s">
        <v>229</v>
      </c>
      <c r="J174" s="9" t="s">
        <v>53</v>
      </c>
      <c r="K174" s="9" t="s">
        <v>53</v>
      </c>
      <c r="L174" s="9" t="s">
        <v>803</v>
      </c>
      <c r="M174" s="9" t="s">
        <v>311</v>
      </c>
      <c r="N174" s="9" t="s">
        <v>633</v>
      </c>
      <c r="O174" s="9" t="s">
        <v>62</v>
      </c>
      <c r="P174" s="9" t="s">
        <v>2246</v>
      </c>
      <c r="Q174" s="9" t="s">
        <v>65</v>
      </c>
      <c r="R174" s="9" t="s">
        <v>57</v>
      </c>
      <c r="S174" s="9" t="s">
        <v>1259</v>
      </c>
      <c r="T174" s="170">
        <v>2.0139999999999998</v>
      </c>
      <c r="U174" s="9" t="s">
        <v>2252</v>
      </c>
      <c r="V174" s="199">
        <v>2.3400000000000001E-2</v>
      </c>
      <c r="W174" s="185">
        <v>2.8719999999999999E-2</v>
      </c>
      <c r="X174" s="5" t="s">
        <v>618</v>
      </c>
      <c r="Y174" s="5" t="s">
        <v>62</v>
      </c>
      <c r="Z174" s="170">
        <v>28481.48</v>
      </c>
      <c r="AA174" s="184">
        <v>1</v>
      </c>
      <c r="AB174" s="186">
        <v>116.49</v>
      </c>
      <c r="AC174" s="9"/>
      <c r="AD174" s="170">
        <v>33.177999999999997</v>
      </c>
      <c r="AE174" s="9"/>
      <c r="AF174" s="9"/>
      <c r="AG174" s="9" t="s">
        <v>17</v>
      </c>
      <c r="AH174" s="185">
        <v>1.7E-5</v>
      </c>
      <c r="AI174" s="185">
        <v>4.9140681140716598E-3</v>
      </c>
      <c r="AJ174" s="185">
        <v>7.7983888790039604E-4</v>
      </c>
    </row>
    <row r="175" spans="1:36">
      <c r="A175" s="9">
        <v>337</v>
      </c>
      <c r="B175" s="9">
        <v>9962</v>
      </c>
      <c r="C175" s="9" t="s">
        <v>1842</v>
      </c>
      <c r="D175" s="9" t="s">
        <v>1843</v>
      </c>
      <c r="E175" s="5" t="s">
        <v>1346</v>
      </c>
      <c r="F175" s="9" t="s">
        <v>2253</v>
      </c>
      <c r="G175" s="9" t="s">
        <v>2254</v>
      </c>
      <c r="H175" s="9" t="s">
        <v>76</v>
      </c>
      <c r="I175" s="9" t="s">
        <v>605</v>
      </c>
      <c r="J175" s="9" t="s">
        <v>53</v>
      </c>
      <c r="K175" s="9" t="s">
        <v>53</v>
      </c>
      <c r="L175" s="9" t="s">
        <v>803</v>
      </c>
      <c r="M175" s="9" t="s">
        <v>311</v>
      </c>
      <c r="N175" s="9" t="s">
        <v>259</v>
      </c>
      <c r="O175" s="9" t="s">
        <v>62</v>
      </c>
      <c r="P175" s="167" t="s">
        <v>298</v>
      </c>
      <c r="Q175" s="9" t="s">
        <v>298</v>
      </c>
      <c r="R175" s="9" t="s">
        <v>298</v>
      </c>
      <c r="S175" s="9" t="s">
        <v>1259</v>
      </c>
      <c r="T175" s="170">
        <v>2.839</v>
      </c>
      <c r="U175" s="9" t="s">
        <v>2255</v>
      </c>
      <c r="V175" s="199">
        <v>4.8500000000000001E-2</v>
      </c>
      <c r="W175" s="185">
        <v>1E-4</v>
      </c>
      <c r="X175" s="5" t="s">
        <v>618</v>
      </c>
      <c r="Y175" s="5" t="s">
        <v>62</v>
      </c>
      <c r="Z175" s="170">
        <v>33000</v>
      </c>
      <c r="AA175" s="184">
        <v>1</v>
      </c>
      <c r="AB175" s="186">
        <v>115</v>
      </c>
      <c r="AC175" s="9"/>
      <c r="AD175" s="170">
        <v>37.950000000000003</v>
      </c>
      <c r="AE175" s="9"/>
      <c r="AF175" s="9"/>
      <c r="AG175" s="9" t="s">
        <v>17</v>
      </c>
      <c r="AH175" s="185">
        <v>1.1E-4</v>
      </c>
      <c r="AI175" s="185">
        <v>5.62084686998533E-3</v>
      </c>
      <c r="AJ175" s="185">
        <v>8.9200126461329396E-4</v>
      </c>
    </row>
    <row r="176" spans="1:36">
      <c r="A176" s="9">
        <v>337</v>
      </c>
      <c r="B176" s="9">
        <v>9962</v>
      </c>
      <c r="C176" s="9" t="s">
        <v>2256</v>
      </c>
      <c r="D176" s="9" t="s">
        <v>2257</v>
      </c>
      <c r="E176" s="5" t="s">
        <v>1346</v>
      </c>
      <c r="F176" s="9" t="s">
        <v>2258</v>
      </c>
      <c r="G176" s="9" t="s">
        <v>2259</v>
      </c>
      <c r="H176" s="9" t="s">
        <v>76</v>
      </c>
      <c r="I176" s="9" t="s">
        <v>229</v>
      </c>
      <c r="J176" s="9" t="s">
        <v>53</v>
      </c>
      <c r="K176" s="9" t="s">
        <v>53</v>
      </c>
      <c r="L176" s="9" t="s">
        <v>803</v>
      </c>
      <c r="M176" s="9" t="s">
        <v>311</v>
      </c>
      <c r="N176" s="9" t="s">
        <v>258</v>
      </c>
      <c r="O176" s="9" t="s">
        <v>62</v>
      </c>
      <c r="P176" s="9" t="s">
        <v>1607</v>
      </c>
      <c r="Q176" s="9" t="s">
        <v>65</v>
      </c>
      <c r="R176" s="9" t="s">
        <v>57</v>
      </c>
      <c r="S176" s="9" t="s">
        <v>1259</v>
      </c>
      <c r="T176" s="170">
        <v>1.4510000000000001</v>
      </c>
      <c r="U176" s="9" t="s">
        <v>2260</v>
      </c>
      <c r="V176" s="199">
        <v>3.2000000000000001E-2</v>
      </c>
      <c r="W176" s="185">
        <v>3.2230000000000002E-2</v>
      </c>
      <c r="X176" s="5" t="s">
        <v>618</v>
      </c>
      <c r="Y176" s="5" t="s">
        <v>62</v>
      </c>
      <c r="Z176" s="170">
        <v>14400</v>
      </c>
      <c r="AA176" s="184">
        <v>1</v>
      </c>
      <c r="AB176" s="186">
        <v>109.13</v>
      </c>
      <c r="AC176" s="9"/>
      <c r="AD176" s="170">
        <v>15.715</v>
      </c>
      <c r="AE176" s="9"/>
      <c r="AF176" s="9"/>
      <c r="AG176" s="9" t="s">
        <v>17</v>
      </c>
      <c r="AH176" s="185">
        <v>2.1999999999999999E-5</v>
      </c>
      <c r="AI176" s="185">
        <v>2.3275371468958099E-3</v>
      </c>
      <c r="AJ176" s="185">
        <v>3.6936890943462002E-4</v>
      </c>
    </row>
    <row r="177" spans="1:36">
      <c r="A177" s="9">
        <v>337</v>
      </c>
      <c r="B177" s="9">
        <v>9962</v>
      </c>
      <c r="C177" s="9" t="s">
        <v>2256</v>
      </c>
      <c r="D177" s="9" t="s">
        <v>2257</v>
      </c>
      <c r="E177" s="5" t="s">
        <v>1346</v>
      </c>
      <c r="F177" s="9" t="s">
        <v>2261</v>
      </c>
      <c r="G177" s="9" t="s">
        <v>2262</v>
      </c>
      <c r="H177" s="9" t="s">
        <v>76</v>
      </c>
      <c r="I177" s="9" t="s">
        <v>228</v>
      </c>
      <c r="J177" s="9" t="s">
        <v>53</v>
      </c>
      <c r="K177" s="9" t="s">
        <v>53</v>
      </c>
      <c r="L177" s="9" t="s">
        <v>803</v>
      </c>
      <c r="M177" s="9" t="s">
        <v>311</v>
      </c>
      <c r="N177" s="9" t="s">
        <v>258</v>
      </c>
      <c r="O177" s="9" t="s">
        <v>62</v>
      </c>
      <c r="P177" s="9" t="s">
        <v>1607</v>
      </c>
      <c r="Q177" s="9" t="s">
        <v>65</v>
      </c>
      <c r="R177" s="9" t="s">
        <v>57</v>
      </c>
      <c r="S177" s="9" t="s">
        <v>1259</v>
      </c>
      <c r="T177" s="170">
        <v>1.518</v>
      </c>
      <c r="U177" s="9" t="s">
        <v>2263</v>
      </c>
      <c r="V177" s="199">
        <v>5.7000000000000002E-2</v>
      </c>
      <c r="W177" s="185">
        <v>5.1889999999999999E-2</v>
      </c>
      <c r="X177" s="5" t="s">
        <v>618</v>
      </c>
      <c r="Y177" s="5" t="s">
        <v>62</v>
      </c>
      <c r="Z177" s="170">
        <v>13800</v>
      </c>
      <c r="AA177" s="184">
        <v>1</v>
      </c>
      <c r="AB177" s="186">
        <v>101.09</v>
      </c>
      <c r="AC177" s="9"/>
      <c r="AD177" s="170">
        <v>13.95</v>
      </c>
      <c r="AE177" s="9"/>
      <c r="AF177" s="9"/>
      <c r="AG177" s="9" t="s">
        <v>17</v>
      </c>
      <c r="AH177" s="185">
        <v>1.8E-5</v>
      </c>
      <c r="AI177" s="185">
        <v>2.06622330940661E-3</v>
      </c>
      <c r="AJ177" s="185">
        <v>3.2789966487184702E-4</v>
      </c>
    </row>
    <row r="178" spans="1:36">
      <c r="A178" s="9">
        <v>337</v>
      </c>
      <c r="B178" s="9">
        <v>9962</v>
      </c>
      <c r="C178" s="9" t="s">
        <v>2264</v>
      </c>
      <c r="D178" s="9" t="s">
        <v>2265</v>
      </c>
      <c r="E178" s="5" t="s">
        <v>1346</v>
      </c>
      <c r="F178" s="9" t="s">
        <v>2266</v>
      </c>
      <c r="G178" s="9" t="s">
        <v>2267</v>
      </c>
      <c r="H178" s="9" t="s">
        <v>76</v>
      </c>
      <c r="I178" s="9" t="s">
        <v>229</v>
      </c>
      <c r="J178" s="9" t="s">
        <v>53</v>
      </c>
      <c r="K178" s="9" t="s">
        <v>53</v>
      </c>
      <c r="L178" s="9" t="s">
        <v>803</v>
      </c>
      <c r="M178" s="9" t="s">
        <v>311</v>
      </c>
      <c r="N178" s="9" t="s">
        <v>258</v>
      </c>
      <c r="O178" s="9" t="s">
        <v>62</v>
      </c>
      <c r="P178" s="9" t="s">
        <v>1607</v>
      </c>
      <c r="Q178" s="9" t="s">
        <v>65</v>
      </c>
      <c r="R178" s="9" t="s">
        <v>57</v>
      </c>
      <c r="S178" s="9" t="s">
        <v>1259</v>
      </c>
      <c r="T178" s="170">
        <v>2.1680000000000001</v>
      </c>
      <c r="U178" s="9" t="s">
        <v>2268</v>
      </c>
      <c r="V178" s="199">
        <v>3.2300000000000002E-2</v>
      </c>
      <c r="W178" s="185">
        <v>2.972E-2</v>
      </c>
      <c r="X178" s="5" t="s">
        <v>618</v>
      </c>
      <c r="Y178" s="5" t="s">
        <v>62</v>
      </c>
      <c r="Z178" s="170">
        <v>17640</v>
      </c>
      <c r="AA178" s="184">
        <v>1</v>
      </c>
      <c r="AB178" s="186">
        <v>110.07</v>
      </c>
      <c r="AC178" s="9"/>
      <c r="AD178" s="170">
        <v>19.416</v>
      </c>
      <c r="AE178" s="9"/>
      <c r="AF178" s="9"/>
      <c r="AG178" s="9" t="s">
        <v>17</v>
      </c>
      <c r="AH178" s="185">
        <v>3.4E-5</v>
      </c>
      <c r="AI178" s="185">
        <v>2.87579232891557E-3</v>
      </c>
      <c r="AJ178" s="185">
        <v>4.5637436021533098E-4</v>
      </c>
    </row>
    <row r="179" spans="1:36">
      <c r="A179" s="9">
        <v>337</v>
      </c>
      <c r="B179" s="9">
        <v>9962</v>
      </c>
      <c r="C179" s="9" t="s">
        <v>2269</v>
      </c>
      <c r="D179" s="9" t="s">
        <v>2270</v>
      </c>
      <c r="E179" s="5" t="s">
        <v>1346</v>
      </c>
      <c r="F179" s="9" t="s">
        <v>2271</v>
      </c>
      <c r="G179" s="9" t="s">
        <v>2272</v>
      </c>
      <c r="H179" s="9" t="s">
        <v>76</v>
      </c>
      <c r="I179" s="9" t="s">
        <v>229</v>
      </c>
      <c r="J179" s="9" t="s">
        <v>53</v>
      </c>
      <c r="K179" s="9" t="s">
        <v>53</v>
      </c>
      <c r="L179" s="9" t="s">
        <v>803</v>
      </c>
      <c r="M179" s="9" t="s">
        <v>311</v>
      </c>
      <c r="N179" s="9" t="s">
        <v>633</v>
      </c>
      <c r="O179" s="9" t="s">
        <v>62</v>
      </c>
      <c r="P179" s="9" t="s">
        <v>1614</v>
      </c>
      <c r="Q179" s="9" t="s">
        <v>65</v>
      </c>
      <c r="R179" s="9" t="s">
        <v>57</v>
      </c>
      <c r="S179" s="9" t="s">
        <v>1259</v>
      </c>
      <c r="T179" s="170">
        <v>2.1760000000000002</v>
      </c>
      <c r="U179" s="9" t="s">
        <v>2273</v>
      </c>
      <c r="V179" s="199">
        <v>2.4899999999999999E-2</v>
      </c>
      <c r="W179" s="185">
        <v>3.1350000000000003E-2</v>
      </c>
      <c r="X179" s="5" t="s">
        <v>618</v>
      </c>
      <c r="Y179" s="5" t="s">
        <v>62</v>
      </c>
      <c r="Z179" s="170">
        <v>33600</v>
      </c>
      <c r="AA179" s="184">
        <v>1</v>
      </c>
      <c r="AB179" s="186">
        <v>108.03</v>
      </c>
      <c r="AC179" s="9"/>
      <c r="AD179" s="170">
        <v>36.298000000000002</v>
      </c>
      <c r="AE179" s="9"/>
      <c r="AF179" s="9"/>
      <c r="AG179" s="9" t="s">
        <v>17</v>
      </c>
      <c r="AH179" s="185">
        <v>1.8000000000000001E-4</v>
      </c>
      <c r="AI179" s="185">
        <v>5.3761778486028202E-3</v>
      </c>
      <c r="AJ179" s="185">
        <v>8.5317347201672002E-4</v>
      </c>
    </row>
    <row r="180" spans="1:36">
      <c r="A180" s="9">
        <v>337</v>
      </c>
      <c r="B180" s="9">
        <v>9962</v>
      </c>
      <c r="C180" s="9" t="s">
        <v>1694</v>
      </c>
      <c r="D180" s="9" t="s">
        <v>1695</v>
      </c>
      <c r="E180" s="5" t="s">
        <v>1346</v>
      </c>
      <c r="F180" s="9" t="s">
        <v>2766</v>
      </c>
      <c r="G180" s="9" t="s">
        <v>2767</v>
      </c>
      <c r="H180" s="9" t="s">
        <v>76</v>
      </c>
      <c r="I180" s="9" t="s">
        <v>228</v>
      </c>
      <c r="J180" s="9" t="s">
        <v>53</v>
      </c>
      <c r="K180" s="9" t="s">
        <v>53</v>
      </c>
      <c r="L180" s="9" t="s">
        <v>803</v>
      </c>
      <c r="M180" s="9" t="s">
        <v>311</v>
      </c>
      <c r="N180" s="9" t="s">
        <v>629</v>
      </c>
      <c r="O180" s="9" t="s">
        <v>62</v>
      </c>
      <c r="P180" s="167" t="s">
        <v>298</v>
      </c>
      <c r="Q180" s="9" t="s">
        <v>298</v>
      </c>
      <c r="R180" s="9" t="s">
        <v>298</v>
      </c>
      <c r="S180" s="9" t="s">
        <v>1259</v>
      </c>
      <c r="T180" s="170">
        <v>2.7330000000000001</v>
      </c>
      <c r="U180" s="9" t="s">
        <v>2234</v>
      </c>
      <c r="V180" s="199">
        <v>5.5E-2</v>
      </c>
      <c r="W180" s="185">
        <v>6.3310000000000005E-2</v>
      </c>
      <c r="X180" s="5" t="s">
        <v>618</v>
      </c>
      <c r="Y180" s="5" t="s">
        <v>62</v>
      </c>
      <c r="Z180" s="170">
        <v>26000</v>
      </c>
      <c r="AA180" s="184">
        <v>1</v>
      </c>
      <c r="AB180" s="186">
        <v>99.42</v>
      </c>
      <c r="AC180" s="9"/>
      <c r="AD180" s="170">
        <v>25.849</v>
      </c>
      <c r="AE180" s="9"/>
      <c r="AF180" s="9"/>
      <c r="AG180" s="9" t="s">
        <v>17</v>
      </c>
      <c r="AH180" s="185">
        <v>7.8999999999999996E-5</v>
      </c>
      <c r="AI180" s="185">
        <v>3.8285743059716698E-3</v>
      </c>
      <c r="AJ180" s="185">
        <v>6.0757626058608599E-4</v>
      </c>
    </row>
    <row r="181" spans="1:36">
      <c r="A181" s="9">
        <v>337</v>
      </c>
      <c r="B181" s="9">
        <v>9962</v>
      </c>
      <c r="C181" s="9" t="s">
        <v>1850</v>
      </c>
      <c r="D181" s="9" t="s">
        <v>1851</v>
      </c>
      <c r="E181" s="5" t="s">
        <v>1346</v>
      </c>
      <c r="F181" s="9" t="s">
        <v>2770</v>
      </c>
      <c r="G181" s="9" t="s">
        <v>2771</v>
      </c>
      <c r="H181" s="9" t="s">
        <v>76</v>
      </c>
      <c r="I181" s="9" t="s">
        <v>228</v>
      </c>
      <c r="J181" s="9" t="s">
        <v>53</v>
      </c>
      <c r="K181" s="9" t="s">
        <v>53</v>
      </c>
      <c r="L181" s="9" t="s">
        <v>803</v>
      </c>
      <c r="M181" s="9" t="s">
        <v>311</v>
      </c>
      <c r="N181" s="9" t="s">
        <v>633</v>
      </c>
      <c r="O181" s="9" t="s">
        <v>62</v>
      </c>
      <c r="P181" s="9" t="s">
        <v>2239</v>
      </c>
      <c r="Q181" s="9" t="s">
        <v>65</v>
      </c>
      <c r="R181" s="9" t="s">
        <v>57</v>
      </c>
      <c r="S181" s="9" t="s">
        <v>1259</v>
      </c>
      <c r="T181" s="170">
        <v>5.9409999999999998</v>
      </c>
      <c r="U181" s="9" t="s">
        <v>2772</v>
      </c>
      <c r="V181" s="199">
        <v>4.9399999999999999E-2</v>
      </c>
      <c r="W181" s="185">
        <v>5.2420000000000001E-2</v>
      </c>
      <c r="X181" s="5" t="s">
        <v>618</v>
      </c>
      <c r="Y181" s="5" t="s">
        <v>62</v>
      </c>
      <c r="Z181" s="170">
        <v>62318</v>
      </c>
      <c r="AA181" s="184">
        <v>1</v>
      </c>
      <c r="AB181" s="186">
        <v>99.91</v>
      </c>
      <c r="AC181" s="9"/>
      <c r="AD181" s="170">
        <v>62.262</v>
      </c>
      <c r="AE181" s="9"/>
      <c r="AF181" s="9"/>
      <c r="AG181" s="9" t="s">
        <v>17</v>
      </c>
      <c r="AH181" s="185">
        <v>3.3000000000000003E-5</v>
      </c>
      <c r="AI181" s="185">
        <v>9.2217307852971407E-3</v>
      </c>
      <c r="AJ181" s="185">
        <v>1.46344415933712E-3</v>
      </c>
    </row>
    <row r="182" spans="1:36">
      <c r="A182" s="9">
        <v>337</v>
      </c>
      <c r="B182" s="9">
        <v>9962</v>
      </c>
      <c r="C182" s="9" t="s">
        <v>2282</v>
      </c>
      <c r="D182" s="9" t="s">
        <v>2283</v>
      </c>
      <c r="E182" s="5" t="s">
        <v>1346</v>
      </c>
      <c r="F182" s="9" t="s">
        <v>2284</v>
      </c>
      <c r="G182" s="9" t="s">
        <v>2285</v>
      </c>
      <c r="H182" s="9" t="s">
        <v>76</v>
      </c>
      <c r="I182" s="9" t="s">
        <v>228</v>
      </c>
      <c r="J182" s="9" t="s">
        <v>53</v>
      </c>
      <c r="K182" s="9" t="s">
        <v>53</v>
      </c>
      <c r="L182" s="9" t="s">
        <v>803</v>
      </c>
      <c r="M182" s="9" t="s">
        <v>311</v>
      </c>
      <c r="N182" s="9" t="s">
        <v>690</v>
      </c>
      <c r="O182" s="9" t="s">
        <v>62</v>
      </c>
      <c r="P182" s="9" t="s">
        <v>1607</v>
      </c>
      <c r="Q182" s="9" t="s">
        <v>65</v>
      </c>
      <c r="R182" s="9" t="s">
        <v>57</v>
      </c>
      <c r="S182" s="9" t="s">
        <v>1259</v>
      </c>
      <c r="T182" s="170">
        <v>2.7559999999999998</v>
      </c>
      <c r="U182" s="9" t="s">
        <v>2286</v>
      </c>
      <c r="V182" s="199">
        <v>0.04</v>
      </c>
      <c r="W182" s="185">
        <v>4.7919999999999997E-2</v>
      </c>
      <c r="X182" s="5" t="s">
        <v>618</v>
      </c>
      <c r="Y182" s="5" t="s">
        <v>62</v>
      </c>
      <c r="Z182" s="170">
        <v>17250</v>
      </c>
      <c r="AA182" s="184">
        <v>1</v>
      </c>
      <c r="AB182" s="186">
        <v>99.88</v>
      </c>
      <c r="AC182" s="9"/>
      <c r="AD182" s="170">
        <v>17.228999999999999</v>
      </c>
      <c r="AE182" s="9"/>
      <c r="AF182" s="9"/>
      <c r="AG182" s="9" t="s">
        <v>17</v>
      </c>
      <c r="AH182" s="185">
        <v>3.0000000000000001E-5</v>
      </c>
      <c r="AI182" s="185">
        <v>2.5518644789733402E-3</v>
      </c>
      <c r="AJ182" s="185">
        <v>4.04968574134435E-4</v>
      </c>
    </row>
    <row r="183" spans="1:36">
      <c r="A183" s="9">
        <v>337</v>
      </c>
      <c r="B183" s="9">
        <v>9962</v>
      </c>
      <c r="C183" s="9" t="s">
        <v>2282</v>
      </c>
      <c r="D183" s="9" t="s">
        <v>2283</v>
      </c>
      <c r="E183" s="5" t="s">
        <v>1346</v>
      </c>
      <c r="F183" s="9" t="s">
        <v>2287</v>
      </c>
      <c r="G183" s="9" t="s">
        <v>2288</v>
      </c>
      <c r="H183" s="9" t="s">
        <v>76</v>
      </c>
      <c r="I183" s="9" t="s">
        <v>228</v>
      </c>
      <c r="J183" s="9" t="s">
        <v>53</v>
      </c>
      <c r="K183" s="9" t="s">
        <v>53</v>
      </c>
      <c r="L183" s="9" t="s">
        <v>803</v>
      </c>
      <c r="M183" s="9" t="s">
        <v>311</v>
      </c>
      <c r="N183" s="9" t="s">
        <v>690</v>
      </c>
      <c r="O183" s="9" t="s">
        <v>62</v>
      </c>
      <c r="P183" s="9" t="s">
        <v>1607</v>
      </c>
      <c r="Q183" s="9" t="s">
        <v>65</v>
      </c>
      <c r="R183" s="9" t="s">
        <v>57</v>
      </c>
      <c r="S183" s="9" t="s">
        <v>1259</v>
      </c>
      <c r="T183" s="170">
        <v>4.7830000000000004</v>
      </c>
      <c r="U183" s="9" t="s">
        <v>2289</v>
      </c>
      <c r="V183" s="199">
        <v>2.07E-2</v>
      </c>
      <c r="W183" s="185">
        <v>4.8390000000000002E-2</v>
      </c>
      <c r="X183" s="5" t="s">
        <v>618</v>
      </c>
      <c r="Y183" s="5" t="s">
        <v>62</v>
      </c>
      <c r="Z183" s="170">
        <v>67000</v>
      </c>
      <c r="AA183" s="184">
        <v>1</v>
      </c>
      <c r="AB183" s="186">
        <v>87.83</v>
      </c>
      <c r="AC183" s="9"/>
      <c r="AD183" s="170">
        <v>58.845999999999997</v>
      </c>
      <c r="AE183" s="9"/>
      <c r="AF183" s="9"/>
      <c r="AG183" s="9" t="s">
        <v>17</v>
      </c>
      <c r="AH183" s="185">
        <v>9.2E-5</v>
      </c>
      <c r="AI183" s="185">
        <v>8.7158080894820401E-3</v>
      </c>
      <c r="AJ183" s="185">
        <v>1.3831566697644401E-3</v>
      </c>
    </row>
    <row r="184" spans="1:36">
      <c r="A184" s="9">
        <v>337</v>
      </c>
      <c r="B184" s="9">
        <v>9962</v>
      </c>
      <c r="C184" s="9" t="s">
        <v>1858</v>
      </c>
      <c r="D184" s="9" t="s">
        <v>1859</v>
      </c>
      <c r="E184" s="5" t="s">
        <v>1346</v>
      </c>
      <c r="F184" s="9" t="s">
        <v>2773</v>
      </c>
      <c r="G184" s="9" t="s">
        <v>2774</v>
      </c>
      <c r="H184" s="9" t="s">
        <v>76</v>
      </c>
      <c r="I184" s="9" t="s">
        <v>228</v>
      </c>
      <c r="J184" s="9" t="s">
        <v>53</v>
      </c>
      <c r="K184" s="9" t="s">
        <v>53</v>
      </c>
      <c r="L184" s="9" t="s">
        <v>803</v>
      </c>
      <c r="M184" s="9" t="s">
        <v>311</v>
      </c>
      <c r="N184" s="9" t="s">
        <v>633</v>
      </c>
      <c r="O184" s="9" t="s">
        <v>62</v>
      </c>
      <c r="P184" s="9" t="s">
        <v>2246</v>
      </c>
      <c r="Q184" s="9" t="s">
        <v>65</v>
      </c>
      <c r="R184" s="9" t="s">
        <v>57</v>
      </c>
      <c r="S184" s="9" t="s">
        <v>1259</v>
      </c>
      <c r="T184" s="170">
        <v>4.6719999999999997</v>
      </c>
      <c r="U184" s="9" t="s">
        <v>2775</v>
      </c>
      <c r="V184" s="199">
        <v>2.4400000000000002E-2</v>
      </c>
      <c r="W184" s="185">
        <v>4.7059999999999998E-2</v>
      </c>
      <c r="X184" s="5" t="s">
        <v>618</v>
      </c>
      <c r="Y184" s="5" t="s">
        <v>62</v>
      </c>
      <c r="Z184" s="170">
        <v>69404</v>
      </c>
      <c r="AA184" s="184">
        <v>1</v>
      </c>
      <c r="AB184" s="186">
        <v>91.3</v>
      </c>
      <c r="AC184" s="9"/>
      <c r="AD184" s="170">
        <v>63.366</v>
      </c>
      <c r="AE184" s="9"/>
      <c r="AF184" s="9"/>
      <c r="AG184" s="9" t="s">
        <v>17</v>
      </c>
      <c r="AH184" s="185">
        <v>5.7000000000000003E-5</v>
      </c>
      <c r="AI184" s="185">
        <v>9.3852371772899408E-3</v>
      </c>
      <c r="AJ184" s="185">
        <v>1.4893918344479301E-3</v>
      </c>
    </row>
    <row r="185" spans="1:36">
      <c r="A185" s="9">
        <v>337</v>
      </c>
      <c r="B185" s="9">
        <v>9962</v>
      </c>
      <c r="C185" s="9" t="s">
        <v>2293</v>
      </c>
      <c r="D185" s="9" t="s">
        <v>2294</v>
      </c>
      <c r="E185" s="5" t="s">
        <v>1346</v>
      </c>
      <c r="F185" s="9" t="s">
        <v>2295</v>
      </c>
      <c r="G185" s="9" t="s">
        <v>2296</v>
      </c>
      <c r="H185" s="9" t="s">
        <v>76</v>
      </c>
      <c r="I185" s="9" t="s">
        <v>228</v>
      </c>
      <c r="J185" s="9" t="s">
        <v>53</v>
      </c>
      <c r="K185" s="9" t="s">
        <v>53</v>
      </c>
      <c r="L185" s="9" t="s">
        <v>803</v>
      </c>
      <c r="M185" s="9" t="s">
        <v>311</v>
      </c>
      <c r="N185" s="9" t="s">
        <v>633</v>
      </c>
      <c r="O185" s="9" t="s">
        <v>62</v>
      </c>
      <c r="P185" s="167" t="s">
        <v>298</v>
      </c>
      <c r="Q185" s="9" t="s">
        <v>298</v>
      </c>
      <c r="R185" s="9" t="s">
        <v>298</v>
      </c>
      <c r="S185" s="9" t="s">
        <v>1259</v>
      </c>
      <c r="T185" s="170">
        <v>0.45500000000000002</v>
      </c>
      <c r="U185" s="9" t="s">
        <v>2297</v>
      </c>
      <c r="V185" s="199">
        <v>6.5000000000000002E-2</v>
      </c>
      <c r="W185" s="185">
        <v>7.2859999999999994E-2</v>
      </c>
      <c r="X185" s="5" t="s">
        <v>618</v>
      </c>
      <c r="Y185" s="5" t="s">
        <v>62</v>
      </c>
      <c r="Z185" s="170">
        <v>29742</v>
      </c>
      <c r="AA185" s="184">
        <v>1</v>
      </c>
      <c r="AB185" s="186">
        <v>100</v>
      </c>
      <c r="AC185" s="9"/>
      <c r="AD185" s="170">
        <v>29.742000000000001</v>
      </c>
      <c r="AE185" s="9"/>
      <c r="AF185" s="9"/>
      <c r="AG185" s="9" t="s">
        <v>17</v>
      </c>
      <c r="AH185" s="185">
        <v>5.4100000000000003E-4</v>
      </c>
      <c r="AI185" s="185">
        <v>4.40514433747309E-3</v>
      </c>
      <c r="AJ185" s="185">
        <v>6.9907514129456097E-4</v>
      </c>
    </row>
    <row r="186" spans="1:36">
      <c r="A186" s="9">
        <v>337</v>
      </c>
      <c r="B186" s="9">
        <v>9962</v>
      </c>
      <c r="C186" s="9" t="s">
        <v>1862</v>
      </c>
      <c r="D186" s="9" t="s">
        <v>1863</v>
      </c>
      <c r="E186" s="5" t="s">
        <v>1346</v>
      </c>
      <c r="F186" s="9" t="s">
        <v>2298</v>
      </c>
      <c r="G186" s="9" t="s">
        <v>2299</v>
      </c>
      <c r="H186" s="9" t="s">
        <v>76</v>
      </c>
      <c r="I186" s="9" t="s">
        <v>228</v>
      </c>
      <c r="J186" s="9" t="s">
        <v>53</v>
      </c>
      <c r="K186" s="9" t="s">
        <v>314</v>
      </c>
      <c r="L186" s="9" t="s">
        <v>803</v>
      </c>
      <c r="M186" s="9" t="s">
        <v>311</v>
      </c>
      <c r="N186" s="9" t="s">
        <v>629</v>
      </c>
      <c r="O186" s="9" t="s">
        <v>62</v>
      </c>
      <c r="P186" s="9" t="s">
        <v>2225</v>
      </c>
      <c r="Q186" s="9" t="s">
        <v>70</v>
      </c>
      <c r="R186" s="9" t="s">
        <v>57</v>
      </c>
      <c r="S186" s="9" t="s">
        <v>1259</v>
      </c>
      <c r="T186" s="170">
        <v>1.01</v>
      </c>
      <c r="U186" s="9" t="s">
        <v>2300</v>
      </c>
      <c r="V186" s="199">
        <v>3.4500000000000003E-2</v>
      </c>
      <c r="W186" s="185">
        <v>4.7660000000000001E-2</v>
      </c>
      <c r="X186" s="5" t="s">
        <v>618</v>
      </c>
      <c r="Y186" s="5" t="s">
        <v>62</v>
      </c>
      <c r="Z186" s="170">
        <v>28695.64</v>
      </c>
      <c r="AA186" s="184">
        <v>1</v>
      </c>
      <c r="AB186" s="186">
        <v>99.89</v>
      </c>
      <c r="AC186" s="9"/>
      <c r="AD186" s="170">
        <v>28.664000000000001</v>
      </c>
      <c r="AE186" s="9"/>
      <c r="AF186" s="9"/>
      <c r="AG186" s="9" t="s">
        <v>17</v>
      </c>
      <c r="AH186" s="185">
        <v>4.5000000000000003E-5</v>
      </c>
      <c r="AI186" s="185">
        <v>4.2454907799241602E-3</v>
      </c>
      <c r="AJ186" s="185">
        <v>6.7373889241112103E-4</v>
      </c>
    </row>
    <row r="187" spans="1:36">
      <c r="A187" s="9">
        <v>337</v>
      </c>
      <c r="B187" s="9">
        <v>9962</v>
      </c>
      <c r="C187" s="9" t="s">
        <v>1862</v>
      </c>
      <c r="D187" s="9" t="s">
        <v>1863</v>
      </c>
      <c r="E187" s="5" t="s">
        <v>1346</v>
      </c>
      <c r="F187" s="9" t="s">
        <v>2301</v>
      </c>
      <c r="G187" s="9" t="s">
        <v>2302</v>
      </c>
      <c r="H187" s="9" t="s">
        <v>76</v>
      </c>
      <c r="I187" s="9" t="s">
        <v>228</v>
      </c>
      <c r="J187" s="9" t="s">
        <v>53</v>
      </c>
      <c r="K187" s="9" t="s">
        <v>314</v>
      </c>
      <c r="L187" s="9" t="s">
        <v>803</v>
      </c>
      <c r="M187" s="9" t="s">
        <v>311</v>
      </c>
      <c r="N187" s="9" t="s">
        <v>629</v>
      </c>
      <c r="O187" s="9" t="s">
        <v>62</v>
      </c>
      <c r="P187" s="9" t="s">
        <v>2225</v>
      </c>
      <c r="Q187" s="9" t="s">
        <v>70</v>
      </c>
      <c r="R187" s="9" t="s">
        <v>57</v>
      </c>
      <c r="S187" s="9" t="s">
        <v>1259</v>
      </c>
      <c r="T187" s="170">
        <v>3.0470000000000002</v>
      </c>
      <c r="U187" s="9" t="s">
        <v>2303</v>
      </c>
      <c r="V187" s="199">
        <v>1.4999999999999999E-2</v>
      </c>
      <c r="W187" s="185">
        <v>5.0639999999999998E-2</v>
      </c>
      <c r="X187" s="5" t="s">
        <v>618</v>
      </c>
      <c r="Y187" s="5" t="s">
        <v>62</v>
      </c>
      <c r="Z187" s="170">
        <v>31000</v>
      </c>
      <c r="AA187" s="184">
        <v>1</v>
      </c>
      <c r="AB187" s="186">
        <v>90.42</v>
      </c>
      <c r="AC187" s="9"/>
      <c r="AD187" s="170">
        <v>28.03</v>
      </c>
      <c r="AE187" s="9"/>
      <c r="AF187" s="9"/>
      <c r="AG187" s="9" t="s">
        <v>17</v>
      </c>
      <c r="AH187" s="185">
        <v>2.5999999999999998E-5</v>
      </c>
      <c r="AI187" s="185">
        <v>4.1516063751004702E-3</v>
      </c>
      <c r="AJ187" s="185">
        <v>6.5883989057611495E-4</v>
      </c>
    </row>
    <row r="188" spans="1:36">
      <c r="A188" s="9">
        <v>337</v>
      </c>
      <c r="B188" s="9">
        <v>9962</v>
      </c>
      <c r="C188" s="9" t="s">
        <v>1870</v>
      </c>
      <c r="D188" s="9" t="s">
        <v>1871</v>
      </c>
      <c r="E188" s="5" t="s">
        <v>1346</v>
      </c>
      <c r="F188" s="9" t="s">
        <v>2304</v>
      </c>
      <c r="G188" s="9" t="s">
        <v>2305</v>
      </c>
      <c r="H188" s="9" t="s">
        <v>76</v>
      </c>
      <c r="I188" s="9" t="s">
        <v>228</v>
      </c>
      <c r="J188" s="9" t="s">
        <v>53</v>
      </c>
      <c r="K188" s="9" t="s">
        <v>53</v>
      </c>
      <c r="L188" s="9" t="s">
        <v>803</v>
      </c>
      <c r="M188" s="9" t="s">
        <v>311</v>
      </c>
      <c r="N188" s="9" t="s">
        <v>629</v>
      </c>
      <c r="O188" s="9" t="s">
        <v>62</v>
      </c>
      <c r="P188" s="9" t="s">
        <v>1614</v>
      </c>
      <c r="Q188" s="9" t="s">
        <v>65</v>
      </c>
      <c r="R188" s="9" t="s">
        <v>57</v>
      </c>
      <c r="S188" s="9" t="s">
        <v>1259</v>
      </c>
      <c r="T188" s="170">
        <v>2.415</v>
      </c>
      <c r="U188" s="9" t="s">
        <v>2306</v>
      </c>
      <c r="V188" s="199">
        <v>2.0500000000000001E-2</v>
      </c>
      <c r="W188" s="185">
        <v>5.0180000000000002E-2</v>
      </c>
      <c r="X188" s="5" t="s">
        <v>618</v>
      </c>
      <c r="Y188" s="5" t="s">
        <v>62</v>
      </c>
      <c r="Z188" s="170">
        <v>55000</v>
      </c>
      <c r="AA188" s="184">
        <v>1</v>
      </c>
      <c r="AB188" s="186">
        <v>94.03</v>
      </c>
      <c r="AC188" s="9"/>
      <c r="AD188" s="170">
        <v>51.716999999999999</v>
      </c>
      <c r="AE188" s="9"/>
      <c r="AF188" s="9"/>
      <c r="AG188" s="9" t="s">
        <v>17</v>
      </c>
      <c r="AH188" s="185">
        <v>5.7000000000000003E-5</v>
      </c>
      <c r="AI188" s="185">
        <v>7.6598294374597203E-3</v>
      </c>
      <c r="AJ188" s="185">
        <v>1.21557795524041E-3</v>
      </c>
    </row>
    <row r="189" spans="1:36">
      <c r="A189" s="9">
        <v>337</v>
      </c>
      <c r="B189" s="9">
        <v>9962</v>
      </c>
      <c r="C189" s="9" t="s">
        <v>1870</v>
      </c>
      <c r="D189" s="9" t="s">
        <v>1871</v>
      </c>
      <c r="E189" s="5" t="s">
        <v>1346</v>
      </c>
      <c r="F189" s="9" t="s">
        <v>2307</v>
      </c>
      <c r="G189" s="9" t="s">
        <v>2308</v>
      </c>
      <c r="H189" s="9" t="s">
        <v>76</v>
      </c>
      <c r="I189" s="9" t="s">
        <v>605</v>
      </c>
      <c r="J189" s="9" t="s">
        <v>53</v>
      </c>
      <c r="K189" s="9" t="s">
        <v>53</v>
      </c>
      <c r="L189" s="9" t="s">
        <v>803</v>
      </c>
      <c r="M189" s="9" t="s">
        <v>311</v>
      </c>
      <c r="N189" s="9" t="s">
        <v>629</v>
      </c>
      <c r="O189" s="9" t="s">
        <v>62</v>
      </c>
      <c r="P189" s="9" t="s">
        <v>1614</v>
      </c>
      <c r="Q189" s="9" t="s">
        <v>65</v>
      </c>
      <c r="R189" s="9" t="s">
        <v>57</v>
      </c>
      <c r="S189" s="9" t="s">
        <v>1259</v>
      </c>
      <c r="T189" s="170">
        <v>2.0760000000000001</v>
      </c>
      <c r="U189" s="9" t="s">
        <v>2309</v>
      </c>
      <c r="V189" s="199">
        <v>1.25E-3</v>
      </c>
      <c r="W189" s="185">
        <v>4.8520000000000001E-2</v>
      </c>
      <c r="X189" s="5" t="s">
        <v>618</v>
      </c>
      <c r="Y189" s="5" t="s">
        <v>62</v>
      </c>
      <c r="Z189" s="170">
        <v>9000</v>
      </c>
      <c r="AA189" s="184">
        <v>1</v>
      </c>
      <c r="AB189" s="186">
        <v>91.2</v>
      </c>
      <c r="AC189" s="9"/>
      <c r="AD189" s="170">
        <v>8.2080000000000002</v>
      </c>
      <c r="AE189" s="9"/>
      <c r="AF189" s="9"/>
      <c r="AG189" s="9" t="s">
        <v>17</v>
      </c>
      <c r="AH189" s="185">
        <v>1.5999999999999999E-5</v>
      </c>
      <c r="AI189" s="185">
        <v>1.21570253251224E-3</v>
      </c>
      <c r="AJ189" s="185">
        <v>1.9292612331873299E-4</v>
      </c>
    </row>
    <row r="190" spans="1:36">
      <c r="A190" s="9">
        <v>337</v>
      </c>
      <c r="B190" s="9">
        <v>9962</v>
      </c>
      <c r="C190" s="9" t="s">
        <v>2310</v>
      </c>
      <c r="D190" s="9" t="s">
        <v>2311</v>
      </c>
      <c r="E190" s="5" t="s">
        <v>1346</v>
      </c>
      <c r="F190" s="9" t="s">
        <v>2312</v>
      </c>
      <c r="G190" s="9" t="s">
        <v>2313</v>
      </c>
      <c r="H190" s="9" t="s">
        <v>76</v>
      </c>
      <c r="I190" s="9" t="s">
        <v>229</v>
      </c>
      <c r="J190" s="9" t="s">
        <v>53</v>
      </c>
      <c r="K190" s="9" t="s">
        <v>53</v>
      </c>
      <c r="L190" s="9" t="s">
        <v>803</v>
      </c>
      <c r="M190" s="9" t="s">
        <v>311</v>
      </c>
      <c r="N190" s="9" t="s">
        <v>631</v>
      </c>
      <c r="O190" s="9" t="s">
        <v>62</v>
      </c>
      <c r="P190" s="9" t="s">
        <v>2314</v>
      </c>
      <c r="Q190" s="9" t="s">
        <v>70</v>
      </c>
      <c r="R190" s="9" t="s">
        <v>57</v>
      </c>
      <c r="S190" s="9" t="s">
        <v>1259</v>
      </c>
      <c r="T190" s="170">
        <v>1.2310000000000001</v>
      </c>
      <c r="U190" s="9" t="s">
        <v>1615</v>
      </c>
      <c r="V190" s="199">
        <v>1.2500000000000001E-2</v>
      </c>
      <c r="W190" s="185">
        <v>3.8019999999999998E-2</v>
      </c>
      <c r="X190" s="5" t="s">
        <v>618</v>
      </c>
      <c r="Y190" s="5" t="s">
        <v>62</v>
      </c>
      <c r="Z190" s="170">
        <v>10222.219999999999</v>
      </c>
      <c r="AA190" s="184">
        <v>1</v>
      </c>
      <c r="AB190" s="186">
        <v>107.48</v>
      </c>
      <c r="AC190" s="9"/>
      <c r="AD190" s="170">
        <v>10.987</v>
      </c>
      <c r="AE190" s="9"/>
      <c r="AF190" s="9"/>
      <c r="AG190" s="9" t="s">
        <v>17</v>
      </c>
      <c r="AH190" s="185">
        <v>8.2999999999999998E-5</v>
      </c>
      <c r="AI190" s="185">
        <v>1.6272821286295301E-3</v>
      </c>
      <c r="AJ190" s="185">
        <v>2.58241818394164E-4</v>
      </c>
    </row>
    <row r="191" spans="1:36">
      <c r="A191" s="9">
        <v>337</v>
      </c>
      <c r="B191" s="9">
        <v>9962</v>
      </c>
      <c r="C191" s="9" t="s">
        <v>2315</v>
      </c>
      <c r="D191" s="9" t="s">
        <v>2316</v>
      </c>
      <c r="E191" s="5" t="s">
        <v>1346</v>
      </c>
      <c r="F191" s="9" t="s">
        <v>2317</v>
      </c>
      <c r="G191" s="9" t="s">
        <v>2318</v>
      </c>
      <c r="H191" s="9" t="s">
        <v>76</v>
      </c>
      <c r="I191" s="9" t="s">
        <v>229</v>
      </c>
      <c r="J191" s="9" t="s">
        <v>53</v>
      </c>
      <c r="K191" s="9" t="s">
        <v>53</v>
      </c>
      <c r="L191" s="9" t="s">
        <v>803</v>
      </c>
      <c r="M191" s="9" t="s">
        <v>311</v>
      </c>
      <c r="N191" s="9" t="s">
        <v>634</v>
      </c>
      <c r="O191" s="9" t="s">
        <v>62</v>
      </c>
      <c r="P191" s="9" t="s">
        <v>1607</v>
      </c>
      <c r="Q191" s="9" t="s">
        <v>65</v>
      </c>
      <c r="R191" s="9" t="s">
        <v>57</v>
      </c>
      <c r="S191" s="9" t="s">
        <v>1259</v>
      </c>
      <c r="T191" s="170">
        <v>3.4340000000000002</v>
      </c>
      <c r="U191" s="9" t="s">
        <v>2273</v>
      </c>
      <c r="V191" s="199">
        <v>1.09E-2</v>
      </c>
      <c r="W191" s="185">
        <v>3.0700000000000002E-2</v>
      </c>
      <c r="X191" s="5" t="s">
        <v>618</v>
      </c>
      <c r="Y191" s="5" t="s">
        <v>62</v>
      </c>
      <c r="Z191" s="170">
        <v>31000</v>
      </c>
      <c r="AA191" s="184">
        <v>1</v>
      </c>
      <c r="AB191" s="186">
        <v>107.99</v>
      </c>
      <c r="AC191" s="9"/>
      <c r="AD191" s="170">
        <v>33.476999999999997</v>
      </c>
      <c r="AE191" s="9"/>
      <c r="AF191" s="9"/>
      <c r="AG191" s="9" t="s">
        <v>17</v>
      </c>
      <c r="AH191" s="185">
        <v>4.3999999999999999E-5</v>
      </c>
      <c r="AI191" s="185">
        <v>4.9583274988619702E-3</v>
      </c>
      <c r="AJ191" s="185">
        <v>7.8686263861219399E-4</v>
      </c>
    </row>
    <row r="192" spans="1:36">
      <c r="A192" s="9">
        <v>337</v>
      </c>
      <c r="B192" s="9">
        <v>9962</v>
      </c>
      <c r="C192" s="9" t="s">
        <v>2315</v>
      </c>
      <c r="D192" s="9" t="s">
        <v>2316</v>
      </c>
      <c r="E192" s="5" t="s">
        <v>1346</v>
      </c>
      <c r="F192" s="9" t="s">
        <v>2319</v>
      </c>
      <c r="G192" s="9" t="s">
        <v>2320</v>
      </c>
      <c r="H192" s="9" t="s">
        <v>76</v>
      </c>
      <c r="I192" s="9" t="s">
        <v>229</v>
      </c>
      <c r="J192" s="9" t="s">
        <v>53</v>
      </c>
      <c r="K192" s="9" t="s">
        <v>53</v>
      </c>
      <c r="L192" s="9" t="s">
        <v>803</v>
      </c>
      <c r="M192" s="9" t="s">
        <v>1691</v>
      </c>
      <c r="N192" s="9" t="s">
        <v>634</v>
      </c>
      <c r="O192" s="9" t="s">
        <v>62</v>
      </c>
      <c r="P192" s="9" t="s">
        <v>1607</v>
      </c>
      <c r="Q192" s="9" t="s">
        <v>65</v>
      </c>
      <c r="R192" s="9" t="s">
        <v>57</v>
      </c>
      <c r="S192" s="9" t="s">
        <v>1259</v>
      </c>
      <c r="T192" s="170">
        <v>6.5960000000000001</v>
      </c>
      <c r="U192" s="9" t="s">
        <v>2321</v>
      </c>
      <c r="V192" s="199">
        <v>4.02E-2</v>
      </c>
      <c r="W192" s="185">
        <v>3.245E-2</v>
      </c>
      <c r="X192" s="5" t="s">
        <v>618</v>
      </c>
      <c r="Y192" s="5" t="s">
        <v>62</v>
      </c>
      <c r="Z192" s="170">
        <v>50000</v>
      </c>
      <c r="AA192" s="184">
        <v>1</v>
      </c>
      <c r="AB192" s="186">
        <v>108.93</v>
      </c>
      <c r="AC192" s="9"/>
      <c r="AD192" s="170">
        <v>54.465000000000003</v>
      </c>
      <c r="AE192" s="9"/>
      <c r="AF192" s="9"/>
      <c r="AG192" s="9" t="s">
        <v>17</v>
      </c>
      <c r="AH192" s="185">
        <v>6.2000000000000003E-5</v>
      </c>
      <c r="AI192" s="185">
        <v>8.0669150138010792E-3</v>
      </c>
      <c r="AJ192" s="185">
        <v>1.2801804710714901E-3</v>
      </c>
    </row>
    <row r="193" spans="1:36">
      <c r="A193" s="9">
        <v>337</v>
      </c>
      <c r="B193" s="9">
        <v>9962</v>
      </c>
      <c r="C193" s="9" t="s">
        <v>2322</v>
      </c>
      <c r="D193" s="9" t="s">
        <v>2323</v>
      </c>
      <c r="E193" s="5" t="s">
        <v>1346</v>
      </c>
      <c r="F193" s="9" t="s">
        <v>2324</v>
      </c>
      <c r="G193" s="9" t="s">
        <v>2325</v>
      </c>
      <c r="H193" s="9" t="s">
        <v>76</v>
      </c>
      <c r="I193" s="9" t="s">
        <v>228</v>
      </c>
      <c r="J193" s="9" t="s">
        <v>53</v>
      </c>
      <c r="K193" s="9" t="s">
        <v>53</v>
      </c>
      <c r="L193" s="9" t="s">
        <v>803</v>
      </c>
      <c r="M193" s="9" t="s">
        <v>311</v>
      </c>
      <c r="N193" s="9" t="s">
        <v>140</v>
      </c>
      <c r="O193" s="9" t="s">
        <v>62</v>
      </c>
      <c r="P193" s="167" t="s">
        <v>298</v>
      </c>
      <c r="Q193" s="9" t="s">
        <v>298</v>
      </c>
      <c r="R193" s="9" t="s">
        <v>298</v>
      </c>
      <c r="S193" s="9" t="s">
        <v>1259</v>
      </c>
      <c r="T193" s="170">
        <v>1.4359999999999999</v>
      </c>
      <c r="U193" s="9" t="s">
        <v>1615</v>
      </c>
      <c r="V193" s="199">
        <v>8.5000000000000006E-2</v>
      </c>
      <c r="W193" s="185">
        <v>5.4870000000000002E-2</v>
      </c>
      <c r="X193" s="5" t="s">
        <v>618</v>
      </c>
      <c r="Y193" s="5" t="s">
        <v>62</v>
      </c>
      <c r="Z193" s="170">
        <v>24000</v>
      </c>
      <c r="AA193" s="184">
        <v>1</v>
      </c>
      <c r="AB193" s="186">
        <v>104.4</v>
      </c>
      <c r="AC193" s="9"/>
      <c r="AD193" s="170">
        <v>25.056000000000001</v>
      </c>
      <c r="AE193" s="9"/>
      <c r="AF193" s="9"/>
      <c r="AG193" s="9" t="s">
        <v>17</v>
      </c>
      <c r="AH193" s="185">
        <v>1.85E-4</v>
      </c>
      <c r="AI193" s="185">
        <v>3.71109194135316E-3</v>
      </c>
      <c r="AJ193" s="185">
        <v>5.8893237644665902E-4</v>
      </c>
    </row>
    <row r="194" spans="1:36">
      <c r="A194" s="9">
        <v>337</v>
      </c>
      <c r="B194" s="9">
        <v>9962</v>
      </c>
      <c r="C194" s="9" t="s">
        <v>2326</v>
      </c>
      <c r="D194" s="9" t="s">
        <v>2327</v>
      </c>
      <c r="E194" s="5" t="s">
        <v>1346</v>
      </c>
      <c r="F194" s="9" t="s">
        <v>2328</v>
      </c>
      <c r="G194" s="9" t="s">
        <v>2329</v>
      </c>
      <c r="H194" s="9" t="s">
        <v>76</v>
      </c>
      <c r="I194" s="9" t="s">
        <v>229</v>
      </c>
      <c r="J194" s="9" t="s">
        <v>53</v>
      </c>
      <c r="K194" s="9" t="s">
        <v>53</v>
      </c>
      <c r="L194" s="9" t="s">
        <v>803</v>
      </c>
      <c r="M194" s="9" t="s">
        <v>311</v>
      </c>
      <c r="N194" s="9" t="s">
        <v>690</v>
      </c>
      <c r="O194" s="9" t="s">
        <v>62</v>
      </c>
      <c r="P194" s="9" t="s">
        <v>2330</v>
      </c>
      <c r="Q194" s="9" t="s">
        <v>65</v>
      </c>
      <c r="R194" s="9" t="s">
        <v>57</v>
      </c>
      <c r="S194" s="9" t="s">
        <v>1259</v>
      </c>
      <c r="T194" s="170">
        <v>2.2010000000000001</v>
      </c>
      <c r="U194" s="9" t="s">
        <v>2331</v>
      </c>
      <c r="V194" s="199">
        <v>2.8799999999999999E-2</v>
      </c>
      <c r="W194" s="185">
        <v>3.0429999999999999E-2</v>
      </c>
      <c r="X194" s="5" t="s">
        <v>618</v>
      </c>
      <c r="Y194" s="5" t="s">
        <v>62</v>
      </c>
      <c r="Z194" s="170">
        <v>37333.339999999997</v>
      </c>
      <c r="AA194" s="184">
        <v>1</v>
      </c>
      <c r="AB194" s="186">
        <v>117.53</v>
      </c>
      <c r="AC194" s="9"/>
      <c r="AD194" s="170">
        <v>43.878</v>
      </c>
      <c r="AE194" s="9"/>
      <c r="AF194" s="9"/>
      <c r="AG194" s="9" t="s">
        <v>17</v>
      </c>
      <c r="AH194" s="185">
        <v>1.64E-4</v>
      </c>
      <c r="AI194" s="185">
        <v>6.4988356668294004E-3</v>
      </c>
      <c r="AJ194" s="185">
        <v>1.03133384833537E-3</v>
      </c>
    </row>
    <row r="195" spans="1:36">
      <c r="A195" s="9">
        <v>337</v>
      </c>
      <c r="B195" s="9">
        <v>9962</v>
      </c>
      <c r="C195" s="9" t="s">
        <v>2332</v>
      </c>
      <c r="D195" s="9" t="s">
        <v>2333</v>
      </c>
      <c r="E195" s="5" t="s">
        <v>1346</v>
      </c>
      <c r="F195" s="9" t="s">
        <v>2334</v>
      </c>
      <c r="G195" s="9" t="s">
        <v>2335</v>
      </c>
      <c r="H195" s="9" t="s">
        <v>76</v>
      </c>
      <c r="I195" s="9" t="s">
        <v>228</v>
      </c>
      <c r="J195" s="9" t="s">
        <v>53</v>
      </c>
      <c r="K195" s="9" t="s">
        <v>53</v>
      </c>
      <c r="L195" s="9" t="s">
        <v>803</v>
      </c>
      <c r="M195" s="9" t="s">
        <v>311</v>
      </c>
      <c r="N195" s="9" t="s">
        <v>690</v>
      </c>
      <c r="O195" s="9" t="s">
        <v>62</v>
      </c>
      <c r="P195" s="9" t="s">
        <v>2246</v>
      </c>
      <c r="Q195" s="9" t="s">
        <v>65</v>
      </c>
      <c r="R195" s="9" t="s">
        <v>57</v>
      </c>
      <c r="S195" s="9" t="s">
        <v>1259</v>
      </c>
      <c r="T195" s="170">
        <v>5.8239999999999998</v>
      </c>
      <c r="U195" s="9" t="s">
        <v>2336</v>
      </c>
      <c r="V195" s="199">
        <v>5.3100000000000001E-2</v>
      </c>
      <c r="W195" s="185">
        <v>4.8070000000000002E-2</v>
      </c>
      <c r="X195" s="5" t="s">
        <v>618</v>
      </c>
      <c r="Y195" s="5" t="s">
        <v>62</v>
      </c>
      <c r="Z195" s="170">
        <v>16000</v>
      </c>
      <c r="AA195" s="184">
        <v>1</v>
      </c>
      <c r="AB195" s="186">
        <v>105.58</v>
      </c>
      <c r="AC195" s="9"/>
      <c r="AD195" s="170">
        <v>16.893000000000001</v>
      </c>
      <c r="AE195" s="9"/>
      <c r="AF195" s="9"/>
      <c r="AG195" s="9" t="s">
        <v>17</v>
      </c>
      <c r="AH195" s="185">
        <v>5.0000000000000002E-5</v>
      </c>
      <c r="AI195" s="185">
        <v>2.5020248222737298E-3</v>
      </c>
      <c r="AJ195" s="185">
        <v>3.9705926120841802E-4</v>
      </c>
    </row>
    <row r="196" spans="1:36">
      <c r="A196" s="9">
        <v>337</v>
      </c>
      <c r="B196" s="9">
        <v>9962</v>
      </c>
      <c r="C196" s="9" t="s">
        <v>2337</v>
      </c>
      <c r="D196" s="9" t="s">
        <v>2338</v>
      </c>
      <c r="E196" s="5" t="s">
        <v>765</v>
      </c>
      <c r="F196" s="9" t="s">
        <v>2339</v>
      </c>
      <c r="G196" s="9" t="s">
        <v>2340</v>
      </c>
      <c r="H196" s="9" t="s">
        <v>76</v>
      </c>
      <c r="I196" s="9" t="s">
        <v>228</v>
      </c>
      <c r="J196" s="9" t="s">
        <v>53</v>
      </c>
      <c r="K196" s="9" t="s">
        <v>53</v>
      </c>
      <c r="L196" s="9" t="s">
        <v>803</v>
      </c>
      <c r="M196" s="9" t="s">
        <v>311</v>
      </c>
      <c r="N196" s="9" t="s">
        <v>634</v>
      </c>
      <c r="O196" s="9" t="s">
        <v>62</v>
      </c>
      <c r="P196" s="9" t="s">
        <v>2314</v>
      </c>
      <c r="Q196" s="9" t="s">
        <v>70</v>
      </c>
      <c r="R196" s="9" t="s">
        <v>57</v>
      </c>
      <c r="S196" s="9" t="s">
        <v>1259</v>
      </c>
      <c r="T196" s="170">
        <v>0.72799999999999998</v>
      </c>
      <c r="U196" s="9" t="s">
        <v>2341</v>
      </c>
      <c r="V196" s="199">
        <v>7.0000000000000007E-2</v>
      </c>
      <c r="W196" s="185">
        <v>5.9749999999999998E-2</v>
      </c>
      <c r="X196" s="5" t="s">
        <v>618</v>
      </c>
      <c r="Y196" s="5" t="s">
        <v>62</v>
      </c>
      <c r="Z196" s="170">
        <v>0.08</v>
      </c>
      <c r="AA196" s="184">
        <v>1</v>
      </c>
      <c r="AB196" s="186">
        <v>102.57</v>
      </c>
      <c r="AC196" s="9"/>
      <c r="AD196" s="170">
        <v>0</v>
      </c>
      <c r="AE196" s="9"/>
      <c r="AF196" s="9"/>
      <c r="AG196" s="9" t="s">
        <v>17</v>
      </c>
      <c r="AH196" s="185">
        <v>0</v>
      </c>
      <c r="AI196" s="185">
        <v>1.2153470639354799E-8</v>
      </c>
      <c r="AJ196" s="185">
        <v>1.9286971217156402E-9</v>
      </c>
    </row>
    <row r="197" spans="1:36">
      <c r="A197" s="9">
        <v>337</v>
      </c>
      <c r="B197" s="9">
        <v>9962</v>
      </c>
      <c r="C197" s="9" t="s">
        <v>2248</v>
      </c>
      <c r="D197" s="9" t="s">
        <v>2249</v>
      </c>
      <c r="E197" s="5" t="s">
        <v>1346</v>
      </c>
      <c r="F197" s="9" t="s">
        <v>2347</v>
      </c>
      <c r="G197" s="9" t="s">
        <v>2348</v>
      </c>
      <c r="H197" s="9" t="s">
        <v>76</v>
      </c>
      <c r="I197" s="9" t="s">
        <v>229</v>
      </c>
      <c r="J197" s="9" t="s">
        <v>53</v>
      </c>
      <c r="K197" s="9" t="s">
        <v>53</v>
      </c>
      <c r="L197" s="9" t="s">
        <v>803</v>
      </c>
      <c r="M197" s="9" t="s">
        <v>311</v>
      </c>
      <c r="N197" s="9" t="s">
        <v>633</v>
      </c>
      <c r="O197" s="9" t="s">
        <v>62</v>
      </c>
      <c r="P197" s="9" t="s">
        <v>2246</v>
      </c>
      <c r="Q197" s="9" t="s">
        <v>65</v>
      </c>
      <c r="R197" s="9" t="s">
        <v>57</v>
      </c>
      <c r="S197" s="9" t="s">
        <v>1259</v>
      </c>
      <c r="T197" s="170">
        <v>4.6710000000000003</v>
      </c>
      <c r="U197" s="9" t="s">
        <v>2349</v>
      </c>
      <c r="V197" s="199">
        <v>6.4999999999999997E-3</v>
      </c>
      <c r="W197" s="185">
        <v>2.8320000000000001E-2</v>
      </c>
      <c r="X197" s="5" t="s">
        <v>618</v>
      </c>
      <c r="Y197" s="5" t="s">
        <v>62</v>
      </c>
      <c r="Z197" s="170">
        <v>88078.33</v>
      </c>
      <c r="AA197" s="184">
        <v>1</v>
      </c>
      <c r="AB197" s="186">
        <v>105.26</v>
      </c>
      <c r="AC197" s="9"/>
      <c r="AD197" s="170">
        <v>92.710999999999999</v>
      </c>
      <c r="AE197" s="9"/>
      <c r="AF197" s="9"/>
      <c r="AG197" s="9" t="s">
        <v>17</v>
      </c>
      <c r="AH197" s="185">
        <v>3.8999999999999999E-5</v>
      </c>
      <c r="AI197" s="185">
        <v>1.37316400596316E-2</v>
      </c>
      <c r="AJ197" s="185">
        <v>2.17914499037722E-3</v>
      </c>
    </row>
    <row r="198" spans="1:36">
      <c r="A198" s="9">
        <v>337</v>
      </c>
      <c r="B198" s="9">
        <v>9962</v>
      </c>
      <c r="C198" s="9" t="s">
        <v>2248</v>
      </c>
      <c r="D198" s="9" t="s">
        <v>2249</v>
      </c>
      <c r="E198" s="5" t="s">
        <v>1346</v>
      </c>
      <c r="F198" s="9" t="s">
        <v>2350</v>
      </c>
      <c r="G198" s="9" t="s">
        <v>2351</v>
      </c>
      <c r="H198" s="9" t="s">
        <v>76</v>
      </c>
      <c r="I198" s="9" t="s">
        <v>229</v>
      </c>
      <c r="J198" s="9" t="s">
        <v>53</v>
      </c>
      <c r="K198" s="9" t="s">
        <v>53</v>
      </c>
      <c r="L198" s="9" t="s">
        <v>803</v>
      </c>
      <c r="M198" s="9" t="s">
        <v>1691</v>
      </c>
      <c r="N198" s="9" t="s">
        <v>633</v>
      </c>
      <c r="O198" s="9" t="s">
        <v>62</v>
      </c>
      <c r="P198" s="9" t="s">
        <v>2246</v>
      </c>
      <c r="Q198" s="9" t="s">
        <v>65</v>
      </c>
      <c r="R198" s="9" t="s">
        <v>57</v>
      </c>
      <c r="S198" s="9" t="s">
        <v>1259</v>
      </c>
      <c r="T198" s="170">
        <v>7.21</v>
      </c>
      <c r="U198" s="9" t="s">
        <v>2352</v>
      </c>
      <c r="V198" s="199">
        <v>3.5999999999999997E-2</v>
      </c>
      <c r="W198" s="185">
        <v>3.048E-2</v>
      </c>
      <c r="X198" s="5" t="s">
        <v>618</v>
      </c>
      <c r="Y198" s="5" t="s">
        <v>62</v>
      </c>
      <c r="Z198" s="170">
        <v>67000</v>
      </c>
      <c r="AA198" s="184">
        <v>1</v>
      </c>
      <c r="AB198" s="186">
        <v>106.32</v>
      </c>
      <c r="AC198" s="9"/>
      <c r="AD198" s="170">
        <v>71.233999999999995</v>
      </c>
      <c r="AE198" s="9"/>
      <c r="AF198" s="9"/>
      <c r="AG198" s="9" t="s">
        <v>17</v>
      </c>
      <c r="AH198" s="185">
        <v>9.2E-5</v>
      </c>
      <c r="AI198" s="185">
        <v>1.0550662826753199E-2</v>
      </c>
      <c r="AJ198" s="185">
        <v>1.6743392591296201E-3</v>
      </c>
    </row>
    <row r="199" spans="1:36">
      <c r="A199" s="9">
        <v>337</v>
      </c>
      <c r="B199" s="9">
        <v>9962</v>
      </c>
      <c r="C199" s="9" t="s">
        <v>2353</v>
      </c>
      <c r="D199" s="9" t="s">
        <v>2354</v>
      </c>
      <c r="E199" s="5" t="s">
        <v>1346</v>
      </c>
      <c r="F199" s="9" t="s">
        <v>2355</v>
      </c>
      <c r="G199" s="9" t="s">
        <v>2356</v>
      </c>
      <c r="H199" s="9" t="s">
        <v>76</v>
      </c>
      <c r="I199" s="9" t="s">
        <v>229</v>
      </c>
      <c r="J199" s="9" t="s">
        <v>53</v>
      </c>
      <c r="K199" s="9" t="s">
        <v>53</v>
      </c>
      <c r="L199" s="9" t="s">
        <v>803</v>
      </c>
      <c r="M199" s="9" t="s">
        <v>311</v>
      </c>
      <c r="N199" s="9" t="s">
        <v>633</v>
      </c>
      <c r="O199" s="9" t="s">
        <v>62</v>
      </c>
      <c r="P199" s="9" t="s">
        <v>1614</v>
      </c>
      <c r="Q199" s="9" t="s">
        <v>65</v>
      </c>
      <c r="R199" s="9" t="s">
        <v>57</v>
      </c>
      <c r="S199" s="9" t="s">
        <v>1259</v>
      </c>
      <c r="T199" s="170">
        <v>5.5640000000000001</v>
      </c>
      <c r="U199" s="9" t="s">
        <v>2357</v>
      </c>
      <c r="V199" s="199">
        <v>3.6799999999999999E-2</v>
      </c>
      <c r="W199" s="185">
        <v>3.3189999999999997E-2</v>
      </c>
      <c r="X199" s="5" t="s">
        <v>618</v>
      </c>
      <c r="Y199" s="5" t="s">
        <v>62</v>
      </c>
      <c r="Z199" s="170">
        <v>67000</v>
      </c>
      <c r="AA199" s="184">
        <v>1</v>
      </c>
      <c r="AB199" s="186">
        <v>107.29</v>
      </c>
      <c r="AC199" s="9"/>
      <c r="AD199" s="170">
        <v>71.884</v>
      </c>
      <c r="AE199" s="9"/>
      <c r="AF199" s="9"/>
      <c r="AG199" s="9" t="s">
        <v>17</v>
      </c>
      <c r="AH199" s="185">
        <v>1.5100000000000001E-4</v>
      </c>
      <c r="AI199" s="185">
        <v>1.06469207551011E-2</v>
      </c>
      <c r="AJ199" s="185">
        <v>1.68961492769016E-3</v>
      </c>
    </row>
    <row r="200" spans="1:36">
      <c r="A200" s="9">
        <v>337</v>
      </c>
      <c r="B200" s="9">
        <v>9962</v>
      </c>
      <c r="C200" s="9" t="s">
        <v>1885</v>
      </c>
      <c r="D200" s="9" t="s">
        <v>1886</v>
      </c>
      <c r="E200" s="5" t="s">
        <v>1346</v>
      </c>
      <c r="F200" s="9" t="s">
        <v>2361</v>
      </c>
      <c r="G200" s="9" t="s">
        <v>2362</v>
      </c>
      <c r="H200" s="9" t="s">
        <v>76</v>
      </c>
      <c r="I200" s="9" t="s">
        <v>228</v>
      </c>
      <c r="J200" s="9" t="s">
        <v>53</v>
      </c>
      <c r="K200" s="9" t="s">
        <v>53</v>
      </c>
      <c r="L200" s="9" t="s">
        <v>803</v>
      </c>
      <c r="M200" s="9" t="s">
        <v>311</v>
      </c>
      <c r="N200" s="9" t="s">
        <v>260</v>
      </c>
      <c r="O200" s="9" t="s">
        <v>62</v>
      </c>
      <c r="P200" s="9" t="s">
        <v>2246</v>
      </c>
      <c r="Q200" s="9" t="s">
        <v>65</v>
      </c>
      <c r="R200" s="9" t="s">
        <v>57</v>
      </c>
      <c r="S200" s="9" t="s">
        <v>1259</v>
      </c>
      <c r="T200" s="170">
        <v>7.4169999999999998</v>
      </c>
      <c r="U200" s="9" t="s">
        <v>2363</v>
      </c>
      <c r="V200" s="199">
        <v>2.7900000000000001E-2</v>
      </c>
      <c r="W200" s="185">
        <v>4.7230000000000001E-2</v>
      </c>
      <c r="X200" s="5" t="s">
        <v>618</v>
      </c>
      <c r="Y200" s="5" t="s">
        <v>62</v>
      </c>
      <c r="Z200" s="170">
        <v>67000</v>
      </c>
      <c r="AA200" s="184">
        <v>1</v>
      </c>
      <c r="AB200" s="186">
        <v>87.32</v>
      </c>
      <c r="AC200" s="9"/>
      <c r="AD200" s="170">
        <v>58.503999999999998</v>
      </c>
      <c r="AE200" s="9"/>
      <c r="AF200" s="9"/>
      <c r="AG200" s="9" t="s">
        <v>17</v>
      </c>
      <c r="AH200" s="185">
        <v>4.8000000000000001E-5</v>
      </c>
      <c r="AI200" s="185">
        <v>8.6651982508661306E-3</v>
      </c>
      <c r="AJ200" s="185">
        <v>1.3751251326862199E-3</v>
      </c>
    </row>
    <row r="201" spans="1:36">
      <c r="A201" s="9">
        <v>337</v>
      </c>
      <c r="B201" s="9">
        <v>9962</v>
      </c>
      <c r="C201" s="9" t="s">
        <v>1687</v>
      </c>
      <c r="D201" s="9" t="s">
        <v>1688</v>
      </c>
      <c r="E201" s="5" t="s">
        <v>1346</v>
      </c>
      <c r="F201" s="9" t="s">
        <v>2364</v>
      </c>
      <c r="G201" s="9" t="s">
        <v>2365</v>
      </c>
      <c r="H201" s="9" t="s">
        <v>76</v>
      </c>
      <c r="I201" s="9" t="s">
        <v>229</v>
      </c>
      <c r="J201" s="9" t="s">
        <v>53</v>
      </c>
      <c r="K201" s="9" t="s">
        <v>53</v>
      </c>
      <c r="L201" s="9" t="s">
        <v>803</v>
      </c>
      <c r="M201" s="9" t="s">
        <v>311</v>
      </c>
      <c r="N201" s="9" t="s">
        <v>633</v>
      </c>
      <c r="O201" s="9" t="s">
        <v>62</v>
      </c>
      <c r="P201" s="9" t="s">
        <v>2239</v>
      </c>
      <c r="Q201" s="9" t="s">
        <v>65</v>
      </c>
      <c r="R201" s="9" t="s">
        <v>57</v>
      </c>
      <c r="S201" s="9" t="s">
        <v>1259</v>
      </c>
      <c r="T201" s="170">
        <v>4.93</v>
      </c>
      <c r="U201" s="9" t="s">
        <v>2366</v>
      </c>
      <c r="V201" s="199">
        <v>1.8700000000000001E-2</v>
      </c>
      <c r="W201" s="185">
        <v>2.9700000000000001E-2</v>
      </c>
      <c r="X201" s="5" t="s">
        <v>618</v>
      </c>
      <c r="Y201" s="5" t="s">
        <v>62</v>
      </c>
      <c r="Z201" s="170">
        <v>57272.73</v>
      </c>
      <c r="AA201" s="184">
        <v>1</v>
      </c>
      <c r="AB201" s="186">
        <v>106.87</v>
      </c>
      <c r="AC201" s="9"/>
      <c r="AD201" s="170">
        <v>61.207000000000001</v>
      </c>
      <c r="AE201" s="9"/>
      <c r="AF201" s="9"/>
      <c r="AG201" s="9" t="s">
        <v>17</v>
      </c>
      <c r="AH201" s="185">
        <v>5.8999999999999998E-5</v>
      </c>
      <c r="AI201" s="185">
        <v>9.0655397812446099E-3</v>
      </c>
      <c r="AJ201" s="185">
        <v>1.43865740097869E-3</v>
      </c>
    </row>
    <row r="202" spans="1:36">
      <c r="A202" s="9">
        <v>337</v>
      </c>
      <c r="B202" s="9">
        <v>9962</v>
      </c>
      <c r="C202" s="9" t="s">
        <v>2367</v>
      </c>
      <c r="D202" s="9" t="s">
        <v>2368</v>
      </c>
      <c r="E202" s="5" t="s">
        <v>1346</v>
      </c>
      <c r="F202" s="9" t="s">
        <v>2369</v>
      </c>
      <c r="G202" s="9" t="s">
        <v>2370</v>
      </c>
      <c r="H202" s="9" t="s">
        <v>76</v>
      </c>
      <c r="I202" s="9" t="s">
        <v>229</v>
      </c>
      <c r="J202" s="9" t="s">
        <v>53</v>
      </c>
      <c r="K202" s="9" t="s">
        <v>53</v>
      </c>
      <c r="L202" s="9" t="s">
        <v>803</v>
      </c>
      <c r="M202" s="9" t="s">
        <v>311</v>
      </c>
      <c r="N202" s="9" t="s">
        <v>256</v>
      </c>
      <c r="O202" s="9" t="s">
        <v>62</v>
      </c>
      <c r="P202" s="9" t="s">
        <v>2239</v>
      </c>
      <c r="Q202" s="9" t="s">
        <v>65</v>
      </c>
      <c r="R202" s="9" t="s">
        <v>57</v>
      </c>
      <c r="S202" s="9" t="s">
        <v>1259</v>
      </c>
      <c r="T202" s="170">
        <v>2.7149999999999999</v>
      </c>
      <c r="U202" s="9" t="s">
        <v>2371</v>
      </c>
      <c r="V202" s="199">
        <v>1.09E-2</v>
      </c>
      <c r="W202" s="185">
        <v>2.8570000000000002E-2</v>
      </c>
      <c r="X202" s="5" t="s">
        <v>618</v>
      </c>
      <c r="Y202" s="5" t="s">
        <v>62</v>
      </c>
      <c r="Z202" s="170">
        <v>50000</v>
      </c>
      <c r="AA202" s="184">
        <v>1</v>
      </c>
      <c r="AB202" s="186">
        <v>108.07</v>
      </c>
      <c r="AC202" s="9"/>
      <c r="AD202" s="170">
        <v>54.034999999999997</v>
      </c>
      <c r="AE202" s="9"/>
      <c r="AF202" s="9"/>
      <c r="AG202" s="9" t="s">
        <v>17</v>
      </c>
      <c r="AH202" s="185">
        <v>5.5000000000000002E-5</v>
      </c>
      <c r="AI202" s="185">
        <v>8.0032268937986102E-3</v>
      </c>
      <c r="AJ202" s="185">
        <v>1.2700734738703399E-3</v>
      </c>
    </row>
    <row r="203" spans="1:36">
      <c r="A203" s="9">
        <v>337</v>
      </c>
      <c r="B203" s="9">
        <v>9962</v>
      </c>
      <c r="C203" s="9" t="s">
        <v>2071</v>
      </c>
      <c r="D203" s="9" t="s">
        <v>2072</v>
      </c>
      <c r="E203" s="5" t="s">
        <v>1346</v>
      </c>
      <c r="F203" s="9" t="s">
        <v>2375</v>
      </c>
      <c r="G203" s="9" t="s">
        <v>2376</v>
      </c>
      <c r="H203" s="9" t="s">
        <v>76</v>
      </c>
      <c r="I203" s="9" t="s">
        <v>228</v>
      </c>
      <c r="J203" s="9" t="s">
        <v>53</v>
      </c>
      <c r="K203" s="9" t="s">
        <v>53</v>
      </c>
      <c r="L203" s="9" t="s">
        <v>803</v>
      </c>
      <c r="M203" s="9" t="s">
        <v>311</v>
      </c>
      <c r="N203" s="9" t="s">
        <v>156</v>
      </c>
      <c r="O203" s="9" t="s">
        <v>62</v>
      </c>
      <c r="P203" s="9" t="s">
        <v>2314</v>
      </c>
      <c r="Q203" s="9" t="s">
        <v>70</v>
      </c>
      <c r="R203" s="9" t="s">
        <v>57</v>
      </c>
      <c r="S203" s="9" t="s">
        <v>1259</v>
      </c>
      <c r="T203" s="170">
        <v>2.7770000000000001</v>
      </c>
      <c r="U203" s="9" t="s">
        <v>2377</v>
      </c>
      <c r="V203" s="199">
        <v>7.2499999999999995E-2</v>
      </c>
      <c r="W203" s="185">
        <v>5.3060000000000003E-2</v>
      </c>
      <c r="X203" s="5" t="s">
        <v>618</v>
      </c>
      <c r="Y203" s="5" t="s">
        <v>62</v>
      </c>
      <c r="Z203" s="170">
        <v>86400</v>
      </c>
      <c r="AA203" s="184">
        <v>1</v>
      </c>
      <c r="AB203" s="186">
        <v>106.83</v>
      </c>
      <c r="AC203" s="9"/>
      <c r="AD203" s="170">
        <v>92.301000000000002</v>
      </c>
      <c r="AE203" s="9"/>
      <c r="AF203" s="9"/>
      <c r="AG203" s="9" t="s">
        <v>17</v>
      </c>
      <c r="AH203" s="185">
        <v>1.35E-4</v>
      </c>
      <c r="AI203" s="185">
        <v>1.3670894899819199E-2</v>
      </c>
      <c r="AJ203" s="185">
        <v>2.1695050267516E-3</v>
      </c>
    </row>
    <row r="204" spans="1:36">
      <c r="A204" s="9">
        <v>337</v>
      </c>
      <c r="B204" s="9">
        <v>9962</v>
      </c>
      <c r="C204" s="9" t="s">
        <v>1902</v>
      </c>
      <c r="D204" s="9" t="s">
        <v>1903</v>
      </c>
      <c r="E204" s="5" t="s">
        <v>1346</v>
      </c>
      <c r="F204" s="9" t="s">
        <v>2386</v>
      </c>
      <c r="G204" s="9" t="s">
        <v>2387</v>
      </c>
      <c r="H204" s="9" t="s">
        <v>76</v>
      </c>
      <c r="I204" s="9" t="s">
        <v>229</v>
      </c>
      <c r="J204" s="9" t="s">
        <v>53</v>
      </c>
      <c r="K204" s="9" t="s">
        <v>53</v>
      </c>
      <c r="L204" s="9" t="s">
        <v>803</v>
      </c>
      <c r="M204" s="9" t="s">
        <v>311</v>
      </c>
      <c r="N204" s="9" t="s">
        <v>633</v>
      </c>
      <c r="O204" s="9" t="s">
        <v>62</v>
      </c>
      <c r="P204" s="9" t="s">
        <v>2246</v>
      </c>
      <c r="Q204" s="9" t="s">
        <v>65</v>
      </c>
      <c r="R204" s="9" t="s">
        <v>57</v>
      </c>
      <c r="S204" s="9" t="s">
        <v>1259</v>
      </c>
      <c r="T204" s="170">
        <v>3.992</v>
      </c>
      <c r="U204" s="9" t="s">
        <v>2388</v>
      </c>
      <c r="V204" s="199">
        <v>5.0000000000000001E-3</v>
      </c>
      <c r="W204" s="185">
        <v>2.8850000000000001E-2</v>
      </c>
      <c r="X204" s="5" t="s">
        <v>618</v>
      </c>
      <c r="Y204" s="5" t="s">
        <v>62</v>
      </c>
      <c r="Z204" s="170">
        <v>30859.49</v>
      </c>
      <c r="AA204" s="184">
        <v>1</v>
      </c>
      <c r="AB204" s="186">
        <v>106.2</v>
      </c>
      <c r="AC204" s="9"/>
      <c r="AD204" s="170">
        <v>32.773000000000003</v>
      </c>
      <c r="AE204" s="9"/>
      <c r="AF204" s="9"/>
      <c r="AG204" s="9" t="s">
        <v>17</v>
      </c>
      <c r="AH204" s="185">
        <v>2.3E-5</v>
      </c>
      <c r="AI204" s="185">
        <v>4.8540387029761701E-3</v>
      </c>
      <c r="AJ204" s="185">
        <v>7.7031251014100701E-4</v>
      </c>
    </row>
    <row r="205" spans="1:36">
      <c r="A205" s="9">
        <v>337</v>
      </c>
      <c r="B205" s="9">
        <v>9962</v>
      </c>
      <c r="C205" s="9" t="s">
        <v>1902</v>
      </c>
      <c r="D205" s="9" t="s">
        <v>1903</v>
      </c>
      <c r="E205" s="5" t="s">
        <v>1346</v>
      </c>
      <c r="F205" s="9" t="s">
        <v>2389</v>
      </c>
      <c r="G205" s="9" t="s">
        <v>2390</v>
      </c>
      <c r="H205" s="9" t="s">
        <v>76</v>
      </c>
      <c r="I205" s="9" t="s">
        <v>229</v>
      </c>
      <c r="J205" s="9" t="s">
        <v>53</v>
      </c>
      <c r="K205" s="9" t="s">
        <v>53</v>
      </c>
      <c r="L205" s="9" t="s">
        <v>803</v>
      </c>
      <c r="M205" s="9" t="s">
        <v>1691</v>
      </c>
      <c r="N205" s="9" t="s">
        <v>633</v>
      </c>
      <c r="O205" s="9" t="s">
        <v>62</v>
      </c>
      <c r="P205" s="9" t="s">
        <v>2246</v>
      </c>
      <c r="Q205" s="9" t="s">
        <v>65</v>
      </c>
      <c r="R205" s="9" t="s">
        <v>57</v>
      </c>
      <c r="S205" s="9" t="s">
        <v>1259</v>
      </c>
      <c r="T205" s="170">
        <v>3.0670000000000002</v>
      </c>
      <c r="U205" s="9" t="s">
        <v>2234</v>
      </c>
      <c r="V205" s="199">
        <v>3.3399999999999999E-2</v>
      </c>
      <c r="W205" s="185">
        <v>2.9409999999999999E-2</v>
      </c>
      <c r="X205" s="5" t="s">
        <v>618</v>
      </c>
      <c r="Y205" s="5" t="s">
        <v>62</v>
      </c>
      <c r="Z205" s="170">
        <v>100000</v>
      </c>
      <c r="AA205" s="184">
        <v>1</v>
      </c>
      <c r="AB205" s="186">
        <v>105.28</v>
      </c>
      <c r="AC205" s="9"/>
      <c r="AD205" s="170">
        <v>105.28</v>
      </c>
      <c r="AE205" s="9"/>
      <c r="AF205" s="9"/>
      <c r="AG205" s="9" t="s">
        <v>17</v>
      </c>
      <c r="AH205" s="185">
        <v>9.2999999999999997E-5</v>
      </c>
      <c r="AI205" s="185">
        <v>1.55932215671161E-2</v>
      </c>
      <c r="AJ205" s="185">
        <v>2.4745689891564602E-3</v>
      </c>
    </row>
    <row r="206" spans="1:36">
      <c r="A206" s="9">
        <v>337</v>
      </c>
      <c r="B206" s="9">
        <v>9962</v>
      </c>
      <c r="C206" s="9" t="s">
        <v>2391</v>
      </c>
      <c r="D206" s="9" t="s">
        <v>2392</v>
      </c>
      <c r="E206" s="5" t="s">
        <v>1346</v>
      </c>
      <c r="F206" s="9" t="s">
        <v>2393</v>
      </c>
      <c r="G206" s="9" t="s">
        <v>2394</v>
      </c>
      <c r="H206" s="9" t="s">
        <v>76</v>
      </c>
      <c r="I206" s="9" t="s">
        <v>228</v>
      </c>
      <c r="J206" s="9" t="s">
        <v>53</v>
      </c>
      <c r="K206" s="9" t="s">
        <v>53</v>
      </c>
      <c r="L206" s="9" t="s">
        <v>803</v>
      </c>
      <c r="M206" s="9" t="s">
        <v>311</v>
      </c>
      <c r="N206" s="9" t="s">
        <v>140</v>
      </c>
      <c r="O206" s="9" t="s">
        <v>62</v>
      </c>
      <c r="P206" s="167" t="s">
        <v>298</v>
      </c>
      <c r="Q206" s="9" t="s">
        <v>298</v>
      </c>
      <c r="R206" s="9" t="s">
        <v>298</v>
      </c>
      <c r="S206" s="9" t="s">
        <v>1259</v>
      </c>
      <c r="T206" s="170">
        <v>0.98499999999999999</v>
      </c>
      <c r="U206" s="9" t="s">
        <v>2395</v>
      </c>
      <c r="V206" s="199">
        <v>3.8699999999999998E-2</v>
      </c>
      <c r="W206" s="185">
        <v>4.9630000000000001E-2</v>
      </c>
      <c r="X206" s="5" t="s">
        <v>618</v>
      </c>
      <c r="Y206" s="5" t="s">
        <v>62</v>
      </c>
      <c r="Z206" s="170">
        <v>22716.93</v>
      </c>
      <c r="AA206" s="184">
        <v>1</v>
      </c>
      <c r="AB206" s="186">
        <v>99.03</v>
      </c>
      <c r="AC206" s="9"/>
      <c r="AD206" s="170">
        <v>22.497</v>
      </c>
      <c r="AE206" s="9"/>
      <c r="AF206" s="9"/>
      <c r="AG206" s="9" t="s">
        <v>17</v>
      </c>
      <c r="AH206" s="185">
        <v>7.1000000000000005E-5</v>
      </c>
      <c r="AI206" s="185">
        <v>3.3320107392036898E-3</v>
      </c>
      <c r="AJ206" s="185">
        <v>5.28774019613618E-4</v>
      </c>
    </row>
    <row r="207" spans="1:36">
      <c r="A207" s="9">
        <v>337</v>
      </c>
      <c r="B207" s="9">
        <v>9962</v>
      </c>
      <c r="C207" s="9" t="s">
        <v>2391</v>
      </c>
      <c r="D207" s="9" t="s">
        <v>2392</v>
      </c>
      <c r="E207" s="5" t="s">
        <v>1346</v>
      </c>
      <c r="F207" s="9" t="s">
        <v>2396</v>
      </c>
      <c r="G207" s="9" t="s">
        <v>2397</v>
      </c>
      <c r="H207" s="9" t="s">
        <v>76</v>
      </c>
      <c r="I207" s="9" t="s">
        <v>228</v>
      </c>
      <c r="J207" s="9" t="s">
        <v>53</v>
      </c>
      <c r="K207" s="9" t="s">
        <v>53</v>
      </c>
      <c r="L207" s="9" t="s">
        <v>803</v>
      </c>
      <c r="M207" s="9" t="s">
        <v>311</v>
      </c>
      <c r="N207" s="9" t="s">
        <v>140</v>
      </c>
      <c r="O207" s="9" t="s">
        <v>62</v>
      </c>
      <c r="P207" s="167" t="s">
        <v>298</v>
      </c>
      <c r="Q207" s="9" t="s">
        <v>298</v>
      </c>
      <c r="R207" s="9" t="s">
        <v>298</v>
      </c>
      <c r="S207" s="9" t="s">
        <v>1259</v>
      </c>
      <c r="T207" s="170">
        <v>1.4470000000000001</v>
      </c>
      <c r="U207" s="9" t="s">
        <v>1615</v>
      </c>
      <c r="V207" s="199">
        <v>6.25E-2</v>
      </c>
      <c r="W207" s="185">
        <v>4.6330000000000003E-2</v>
      </c>
      <c r="X207" s="5" t="s">
        <v>618</v>
      </c>
      <c r="Y207" s="5" t="s">
        <v>62</v>
      </c>
      <c r="Z207" s="170">
        <v>0.17</v>
      </c>
      <c r="AA207" s="184">
        <v>1</v>
      </c>
      <c r="AB207" s="186">
        <v>102.41</v>
      </c>
      <c r="AC207" s="9"/>
      <c r="AD207" s="170">
        <v>0</v>
      </c>
      <c r="AE207" s="9"/>
      <c r="AF207" s="9"/>
      <c r="AG207" s="9" t="s">
        <v>17</v>
      </c>
      <c r="AH207" s="185">
        <v>0</v>
      </c>
      <c r="AI207" s="185">
        <v>2.5785838669929801E-8</v>
      </c>
      <c r="AJ207" s="185">
        <v>4.0920881202998802E-9</v>
      </c>
    </row>
    <row r="208" spans="1:36">
      <c r="A208" s="9">
        <v>337</v>
      </c>
      <c r="B208" s="9">
        <v>9962</v>
      </c>
      <c r="C208" s="9" t="s">
        <v>2391</v>
      </c>
      <c r="D208" s="9" t="s">
        <v>2392</v>
      </c>
      <c r="E208" s="5" t="s">
        <v>1346</v>
      </c>
      <c r="F208" s="9" t="s">
        <v>2776</v>
      </c>
      <c r="G208" s="9" t="s">
        <v>2777</v>
      </c>
      <c r="H208" s="9" t="s">
        <v>76</v>
      </c>
      <c r="I208" s="9" t="s">
        <v>228</v>
      </c>
      <c r="J208" s="9" t="s">
        <v>53</v>
      </c>
      <c r="K208" s="9" t="s">
        <v>53</v>
      </c>
      <c r="L208" s="9" t="s">
        <v>803</v>
      </c>
      <c r="M208" s="9" t="s">
        <v>1691</v>
      </c>
      <c r="N208" s="9" t="s">
        <v>140</v>
      </c>
      <c r="O208" s="9" t="s">
        <v>62</v>
      </c>
      <c r="P208" s="167" t="s">
        <v>298</v>
      </c>
      <c r="Q208" s="9" t="s">
        <v>298</v>
      </c>
      <c r="R208" s="9" t="s">
        <v>298</v>
      </c>
      <c r="S208" s="9" t="s">
        <v>1259</v>
      </c>
      <c r="T208" s="170">
        <v>1.4550000000000001</v>
      </c>
      <c r="U208" s="9" t="s">
        <v>1615</v>
      </c>
      <c r="V208" s="199">
        <v>4.19E-2</v>
      </c>
      <c r="W208" s="185">
        <v>5.883E-2</v>
      </c>
      <c r="X208" s="5" t="s">
        <v>618</v>
      </c>
      <c r="Y208" s="5" t="s">
        <v>62</v>
      </c>
      <c r="Z208" s="170">
        <v>11716</v>
      </c>
      <c r="AA208" s="184">
        <v>1</v>
      </c>
      <c r="AB208" s="186">
        <v>97.76</v>
      </c>
      <c r="AC208" s="9"/>
      <c r="AD208" s="170">
        <v>11.454000000000001</v>
      </c>
      <c r="AE208" s="9"/>
      <c r="AF208" s="9"/>
      <c r="AG208" s="9" t="s">
        <v>17</v>
      </c>
      <c r="AH208" s="185">
        <v>2.2000000000000001E-4</v>
      </c>
      <c r="AI208" s="185">
        <v>1.6964088503173701E-3</v>
      </c>
      <c r="AJ208" s="185">
        <v>2.6921189542888701E-4</v>
      </c>
    </row>
    <row r="209" spans="1:36">
      <c r="A209" s="9">
        <v>337</v>
      </c>
      <c r="B209" s="9">
        <v>9962</v>
      </c>
      <c r="C209" s="9" t="s">
        <v>2778</v>
      </c>
      <c r="D209" s="9" t="s">
        <v>2779</v>
      </c>
      <c r="E209" s="5" t="s">
        <v>765</v>
      </c>
      <c r="F209" s="9" t="s">
        <v>2780</v>
      </c>
      <c r="G209" s="9" t="s">
        <v>2781</v>
      </c>
      <c r="H209" s="9" t="s">
        <v>76</v>
      </c>
      <c r="I209" s="9" t="s">
        <v>228</v>
      </c>
      <c r="J209" s="9" t="s">
        <v>53</v>
      </c>
      <c r="K209" s="9" t="s">
        <v>314</v>
      </c>
      <c r="L209" s="9" t="s">
        <v>803</v>
      </c>
      <c r="M209" s="9" t="s">
        <v>311</v>
      </c>
      <c r="N209" s="9" t="s">
        <v>634</v>
      </c>
      <c r="O209" s="9" t="s">
        <v>62</v>
      </c>
      <c r="P209" s="9" t="s">
        <v>2782</v>
      </c>
      <c r="Q209" s="9" t="s">
        <v>65</v>
      </c>
      <c r="R209" s="9" t="s">
        <v>57</v>
      </c>
      <c r="S209" s="9" t="s">
        <v>1259</v>
      </c>
      <c r="T209" s="170">
        <v>1.3620000000000001</v>
      </c>
      <c r="U209" s="9" t="s">
        <v>2676</v>
      </c>
      <c r="V209" s="199">
        <v>8.7499999999999994E-2</v>
      </c>
      <c r="W209" s="185">
        <v>8.1519999999999995E-2</v>
      </c>
      <c r="X209" s="5" t="s">
        <v>618</v>
      </c>
      <c r="Y209" s="5" t="s">
        <v>62</v>
      </c>
      <c r="Z209" s="170">
        <v>56000</v>
      </c>
      <c r="AA209" s="184">
        <v>1</v>
      </c>
      <c r="AB209" s="186">
        <v>115.14</v>
      </c>
      <c r="AC209" s="9"/>
      <c r="AD209" s="170">
        <v>64.477999999999994</v>
      </c>
      <c r="AE209" s="9"/>
      <c r="AF209" s="9"/>
      <c r="AG209" s="9" t="s">
        <v>17</v>
      </c>
      <c r="AH209" s="185">
        <v>3.2899999999999997E-4</v>
      </c>
      <c r="AI209" s="185">
        <v>9.5500187831795008E-3</v>
      </c>
      <c r="AJ209" s="185">
        <v>1.51554187984827E-3</v>
      </c>
    </row>
    <row r="210" spans="1:36">
      <c r="A210" s="9">
        <v>337</v>
      </c>
      <c r="B210" s="9">
        <v>9962</v>
      </c>
      <c r="C210" s="9" t="s">
        <v>2398</v>
      </c>
      <c r="D210" s="9" t="s">
        <v>2399</v>
      </c>
      <c r="E210" s="5" t="s">
        <v>1346</v>
      </c>
      <c r="F210" s="9" t="s">
        <v>2400</v>
      </c>
      <c r="G210" s="9" t="s">
        <v>2401</v>
      </c>
      <c r="H210" s="9" t="s">
        <v>76</v>
      </c>
      <c r="I210" s="9" t="s">
        <v>605</v>
      </c>
      <c r="J210" s="9" t="s">
        <v>53</v>
      </c>
      <c r="K210" s="9" t="s">
        <v>53</v>
      </c>
      <c r="L210" s="9" t="s">
        <v>803</v>
      </c>
      <c r="M210" s="9" t="s">
        <v>311</v>
      </c>
      <c r="N210" s="9" t="s">
        <v>140</v>
      </c>
      <c r="O210" s="9" t="s">
        <v>62</v>
      </c>
      <c r="P210" s="167" t="s">
        <v>298</v>
      </c>
      <c r="Q210" s="9" t="s">
        <v>298</v>
      </c>
      <c r="R210" s="9" t="s">
        <v>298</v>
      </c>
      <c r="S210" s="9" t="s">
        <v>1259</v>
      </c>
      <c r="T210" s="170">
        <v>2.9780000000000002</v>
      </c>
      <c r="U210" s="9" t="s">
        <v>2243</v>
      </c>
      <c r="V210" s="199">
        <v>7.0000000000000007E-2</v>
      </c>
      <c r="W210" s="185">
        <v>-4.1079999999999998E-2</v>
      </c>
      <c r="X210" s="5" t="s">
        <v>618</v>
      </c>
      <c r="Y210" s="5" t="s">
        <v>62</v>
      </c>
      <c r="Z210" s="170">
        <v>11000</v>
      </c>
      <c r="AA210" s="184">
        <v>1</v>
      </c>
      <c r="AB210" s="186">
        <v>141</v>
      </c>
      <c r="AC210" s="9"/>
      <c r="AD210" s="170">
        <v>15.51</v>
      </c>
      <c r="AE210" s="9"/>
      <c r="AF210" s="9"/>
      <c r="AG210" s="9" t="s">
        <v>17</v>
      </c>
      <c r="AH210" s="185">
        <v>2.2000000000000001E-4</v>
      </c>
      <c r="AI210" s="185">
        <v>2.2972156772983498E-3</v>
      </c>
      <c r="AJ210" s="185">
        <v>3.64557038581085E-4</v>
      </c>
    </row>
    <row r="211" spans="1:36">
      <c r="A211" s="9">
        <v>337</v>
      </c>
      <c r="B211" s="9">
        <v>9962</v>
      </c>
      <c r="C211" s="9" t="s">
        <v>2783</v>
      </c>
      <c r="D211" s="9" t="s">
        <v>2784</v>
      </c>
      <c r="E211" s="5" t="s">
        <v>78</v>
      </c>
      <c r="F211" s="9" t="s">
        <v>2785</v>
      </c>
      <c r="G211" s="9" t="s">
        <v>2786</v>
      </c>
      <c r="H211" s="9" t="s">
        <v>76</v>
      </c>
      <c r="I211" s="9" t="s">
        <v>228</v>
      </c>
      <c r="J211" s="9" t="s">
        <v>53</v>
      </c>
      <c r="K211" s="9" t="s">
        <v>314</v>
      </c>
      <c r="L211" s="9" t="s">
        <v>803</v>
      </c>
      <c r="M211" s="9" t="s">
        <v>311</v>
      </c>
      <c r="N211" s="9" t="s">
        <v>634</v>
      </c>
      <c r="O211" s="9" t="s">
        <v>62</v>
      </c>
      <c r="P211" s="9" t="s">
        <v>2330</v>
      </c>
      <c r="Q211" s="9" t="s">
        <v>65</v>
      </c>
      <c r="R211" s="9" t="s">
        <v>57</v>
      </c>
      <c r="S211" s="9" t="s">
        <v>1259</v>
      </c>
      <c r="T211" s="170">
        <v>1.8740000000000001</v>
      </c>
      <c r="U211" s="9" t="s">
        <v>2255</v>
      </c>
      <c r="V211" s="199">
        <v>7.7499999999999999E-2</v>
      </c>
      <c r="W211" s="185">
        <v>6.3810000000000006E-2</v>
      </c>
      <c r="X211" s="5" t="s">
        <v>618</v>
      </c>
      <c r="Y211" s="5" t="s">
        <v>62</v>
      </c>
      <c r="Z211" s="170">
        <v>42000</v>
      </c>
      <c r="AA211" s="184">
        <v>1</v>
      </c>
      <c r="AB211" s="186">
        <v>102.72</v>
      </c>
      <c r="AC211" s="9"/>
      <c r="AD211" s="170">
        <v>43.142000000000003</v>
      </c>
      <c r="AE211" s="9"/>
      <c r="AF211" s="9"/>
      <c r="AG211" s="9" t="s">
        <v>17</v>
      </c>
      <c r="AH211" s="185">
        <v>1.2999999999999999E-4</v>
      </c>
      <c r="AI211" s="185">
        <v>6.3899031358011799E-3</v>
      </c>
      <c r="AJ211" s="185">
        <v>1.0140467815139E-3</v>
      </c>
    </row>
    <row r="212" spans="1:36">
      <c r="A212" s="9">
        <v>337</v>
      </c>
      <c r="B212" s="9">
        <v>9962</v>
      </c>
      <c r="C212" s="9" t="s">
        <v>2783</v>
      </c>
      <c r="D212" s="9" t="s">
        <v>2784</v>
      </c>
      <c r="E212" s="5" t="s">
        <v>78</v>
      </c>
      <c r="F212" s="9" t="s">
        <v>2787</v>
      </c>
      <c r="G212" s="9" t="s">
        <v>2788</v>
      </c>
      <c r="H212" s="9" t="s">
        <v>76</v>
      </c>
      <c r="I212" s="9" t="s">
        <v>228</v>
      </c>
      <c r="J212" s="9" t="s">
        <v>53</v>
      </c>
      <c r="K212" s="9" t="s">
        <v>314</v>
      </c>
      <c r="L212" s="9" t="s">
        <v>803</v>
      </c>
      <c r="M212" s="9" t="s">
        <v>311</v>
      </c>
      <c r="N212" s="9" t="s">
        <v>634</v>
      </c>
      <c r="O212" s="9" t="s">
        <v>62</v>
      </c>
      <c r="P212" s="9" t="s">
        <v>1614</v>
      </c>
      <c r="Q212" s="9" t="s">
        <v>65</v>
      </c>
      <c r="R212" s="9" t="s">
        <v>57</v>
      </c>
      <c r="S212" s="9" t="s">
        <v>1259</v>
      </c>
      <c r="T212" s="170">
        <v>1.4279999999999999</v>
      </c>
      <c r="U212" s="9" t="s">
        <v>2744</v>
      </c>
      <c r="V212" s="199">
        <v>6.8000000000000005E-2</v>
      </c>
      <c r="W212" s="185">
        <v>5.6610000000000001E-2</v>
      </c>
      <c r="X212" s="5" t="s">
        <v>618</v>
      </c>
      <c r="Y212" s="5" t="s">
        <v>62</v>
      </c>
      <c r="Z212" s="170">
        <v>30080</v>
      </c>
      <c r="AA212" s="184">
        <v>1</v>
      </c>
      <c r="AB212" s="186">
        <v>101.71</v>
      </c>
      <c r="AC212" s="9"/>
      <c r="AD212" s="170">
        <v>30.594000000000001</v>
      </c>
      <c r="AE212" s="9"/>
      <c r="AF212" s="9"/>
      <c r="AG212" s="9" t="s">
        <v>17</v>
      </c>
      <c r="AH212" s="185">
        <v>8.7999999999999998E-5</v>
      </c>
      <c r="AI212" s="185">
        <v>4.5313901874039298E-3</v>
      </c>
      <c r="AJ212" s="185">
        <v>7.1910974824886695E-4</v>
      </c>
    </row>
    <row r="213" spans="1:36">
      <c r="A213" s="9">
        <v>337</v>
      </c>
      <c r="B213" s="9">
        <v>9962</v>
      </c>
      <c r="C213" s="9" t="s">
        <v>2402</v>
      </c>
      <c r="D213" s="9" t="s">
        <v>2403</v>
      </c>
      <c r="E213" s="5" t="s">
        <v>1346</v>
      </c>
      <c r="F213" s="9" t="s">
        <v>2404</v>
      </c>
      <c r="G213" s="9" t="s">
        <v>2405</v>
      </c>
      <c r="H213" s="9" t="s">
        <v>76</v>
      </c>
      <c r="I213" s="9" t="s">
        <v>229</v>
      </c>
      <c r="J213" s="9" t="s">
        <v>53</v>
      </c>
      <c r="K213" s="9" t="s">
        <v>53</v>
      </c>
      <c r="L213" s="9" t="s">
        <v>803</v>
      </c>
      <c r="M213" s="9" t="s">
        <v>311</v>
      </c>
      <c r="N213" s="9" t="s">
        <v>256</v>
      </c>
      <c r="O213" s="9" t="s">
        <v>62</v>
      </c>
      <c r="P213" s="9" t="s">
        <v>1641</v>
      </c>
      <c r="Q213" s="9" t="s">
        <v>65</v>
      </c>
      <c r="R213" s="9" t="s">
        <v>57</v>
      </c>
      <c r="S213" s="9" t="s">
        <v>1259</v>
      </c>
      <c r="T213" s="170">
        <v>3.4950000000000001</v>
      </c>
      <c r="U213" s="9" t="s">
        <v>2406</v>
      </c>
      <c r="V213" s="199">
        <v>2E-3</v>
      </c>
      <c r="W213" s="185">
        <v>2.6020000000000001E-2</v>
      </c>
      <c r="X213" s="5" t="s">
        <v>618</v>
      </c>
      <c r="Y213" s="5" t="s">
        <v>62</v>
      </c>
      <c r="Z213" s="170">
        <v>37891.269999999997</v>
      </c>
      <c r="AA213" s="184">
        <v>1</v>
      </c>
      <c r="AB213" s="186">
        <v>105.05</v>
      </c>
      <c r="AC213" s="9"/>
      <c r="AD213" s="170">
        <v>39.805</v>
      </c>
      <c r="AE213" s="9"/>
      <c r="AF213" s="9"/>
      <c r="AG213" s="9" t="s">
        <v>17</v>
      </c>
      <c r="AH213" s="185">
        <v>1.1E-5</v>
      </c>
      <c r="AI213" s="185">
        <v>5.8955617447014998E-3</v>
      </c>
      <c r="AJ213" s="185">
        <v>9.3559718909282899E-4</v>
      </c>
    </row>
    <row r="214" spans="1:36">
      <c r="A214" s="9">
        <v>337</v>
      </c>
      <c r="B214" s="9">
        <v>9962</v>
      </c>
      <c r="C214" s="9" t="s">
        <v>2402</v>
      </c>
      <c r="D214" s="9" t="s">
        <v>2403</v>
      </c>
      <c r="E214" s="5" t="s">
        <v>1346</v>
      </c>
      <c r="F214" s="9" t="s">
        <v>2407</v>
      </c>
      <c r="G214" s="9" t="s">
        <v>2408</v>
      </c>
      <c r="H214" s="9" t="s">
        <v>76</v>
      </c>
      <c r="I214" s="9" t="s">
        <v>229</v>
      </c>
      <c r="J214" s="9" t="s">
        <v>53</v>
      </c>
      <c r="K214" s="9" t="s">
        <v>53</v>
      </c>
      <c r="L214" s="9" t="s">
        <v>803</v>
      </c>
      <c r="M214" s="9" t="s">
        <v>1691</v>
      </c>
      <c r="N214" s="9" t="s">
        <v>256</v>
      </c>
      <c r="O214" s="9" t="s">
        <v>62</v>
      </c>
      <c r="P214" s="9" t="s">
        <v>1641</v>
      </c>
      <c r="Q214" s="9" t="s">
        <v>65</v>
      </c>
      <c r="R214" s="9" t="s">
        <v>57</v>
      </c>
      <c r="S214" s="9" t="s">
        <v>1259</v>
      </c>
      <c r="T214" s="170">
        <v>4.8159999999999998</v>
      </c>
      <c r="U214" s="9" t="s">
        <v>2409</v>
      </c>
      <c r="V214" s="199">
        <v>2.4E-2</v>
      </c>
      <c r="W214" s="185">
        <v>2.605E-2</v>
      </c>
      <c r="X214" s="5" t="s">
        <v>618</v>
      </c>
      <c r="Y214" s="5" t="s">
        <v>62</v>
      </c>
      <c r="Z214" s="170">
        <v>56000</v>
      </c>
      <c r="AA214" s="184">
        <v>1</v>
      </c>
      <c r="AB214" s="186">
        <v>101.7</v>
      </c>
      <c r="AC214" s="9"/>
      <c r="AD214" s="170">
        <v>56.951999999999998</v>
      </c>
      <c r="AE214" s="9"/>
      <c r="AF214" s="9"/>
      <c r="AG214" s="9" t="s">
        <v>17</v>
      </c>
      <c r="AH214" s="185">
        <v>2.5000000000000001E-5</v>
      </c>
      <c r="AI214" s="185">
        <v>8.4352693264665192E-3</v>
      </c>
      <c r="AJ214" s="185">
        <v>1.3386365223255899E-3</v>
      </c>
    </row>
    <row r="215" spans="1:36">
      <c r="A215" s="9">
        <v>337</v>
      </c>
      <c r="B215" s="9">
        <v>9962</v>
      </c>
      <c r="C215" s="9" t="s">
        <v>2402</v>
      </c>
      <c r="D215" s="9" t="s">
        <v>2403</v>
      </c>
      <c r="E215" s="5" t="s">
        <v>1346</v>
      </c>
      <c r="F215" s="9" t="s">
        <v>2410</v>
      </c>
      <c r="G215" s="9" t="s">
        <v>2411</v>
      </c>
      <c r="H215" s="9" t="s">
        <v>76</v>
      </c>
      <c r="I215" s="9" t="s">
        <v>228</v>
      </c>
      <c r="J215" s="9" t="s">
        <v>53</v>
      </c>
      <c r="K215" s="9" t="s">
        <v>53</v>
      </c>
      <c r="L215" s="9" t="s">
        <v>803</v>
      </c>
      <c r="M215" s="9" t="s">
        <v>311</v>
      </c>
      <c r="N215" s="9" t="s">
        <v>256</v>
      </c>
      <c r="O215" s="9" t="s">
        <v>62</v>
      </c>
      <c r="P215" s="9" t="s">
        <v>1641</v>
      </c>
      <c r="Q215" s="9" t="s">
        <v>65</v>
      </c>
      <c r="R215" s="9" t="s">
        <v>57</v>
      </c>
      <c r="S215" s="9" t="s">
        <v>1259</v>
      </c>
      <c r="T215" s="170">
        <v>2.7370000000000001</v>
      </c>
      <c r="U215" s="9" t="s">
        <v>2412</v>
      </c>
      <c r="V215" s="199">
        <v>2.6800000000000001E-2</v>
      </c>
      <c r="W215" s="185">
        <v>4.3189999999999999E-2</v>
      </c>
      <c r="X215" s="5" t="s">
        <v>618</v>
      </c>
      <c r="Y215" s="5" t="s">
        <v>62</v>
      </c>
      <c r="Z215" s="170">
        <v>98513.22</v>
      </c>
      <c r="AA215" s="184">
        <v>1</v>
      </c>
      <c r="AB215" s="186">
        <v>97.18</v>
      </c>
      <c r="AC215" s="9"/>
      <c r="AD215" s="170">
        <v>95.734999999999999</v>
      </c>
      <c r="AE215" s="9"/>
      <c r="AF215" s="9"/>
      <c r="AG215" s="9" t="s">
        <v>17</v>
      </c>
      <c r="AH215" s="185">
        <v>5.0000000000000002E-5</v>
      </c>
      <c r="AI215" s="185">
        <v>1.41795152164485E-2</v>
      </c>
      <c r="AJ215" s="185">
        <v>2.2502206157252098E-3</v>
      </c>
    </row>
    <row r="216" spans="1:36">
      <c r="A216" s="9">
        <v>337</v>
      </c>
      <c r="B216" s="9">
        <v>9962</v>
      </c>
      <c r="C216" s="9" t="s">
        <v>2402</v>
      </c>
      <c r="D216" s="9" t="s">
        <v>2403</v>
      </c>
      <c r="E216" s="5" t="s">
        <v>1346</v>
      </c>
      <c r="F216" s="9" t="s">
        <v>2789</v>
      </c>
      <c r="G216" s="9" t="s">
        <v>2790</v>
      </c>
      <c r="H216" s="9" t="s">
        <v>76</v>
      </c>
      <c r="I216" s="9" t="s">
        <v>229</v>
      </c>
      <c r="J216" s="9" t="s">
        <v>53</v>
      </c>
      <c r="K216" s="9" t="s">
        <v>53</v>
      </c>
      <c r="L216" s="9" t="s">
        <v>803</v>
      </c>
      <c r="M216" s="9" t="s">
        <v>311</v>
      </c>
      <c r="N216" s="9" t="s">
        <v>256</v>
      </c>
      <c r="O216" s="9" t="s">
        <v>62</v>
      </c>
      <c r="P216" s="9" t="s">
        <v>2239</v>
      </c>
      <c r="Q216" s="9" t="s">
        <v>65</v>
      </c>
      <c r="R216" s="9" t="s">
        <v>57</v>
      </c>
      <c r="S216" s="9" t="s">
        <v>1259</v>
      </c>
      <c r="T216" s="170">
        <v>2.3279999999999998</v>
      </c>
      <c r="U216" s="9" t="s">
        <v>2791</v>
      </c>
      <c r="V216" s="199">
        <v>2E-3</v>
      </c>
      <c r="W216" s="185">
        <v>2.8879999999999999E-2</v>
      </c>
      <c r="X216" s="5" t="s">
        <v>618</v>
      </c>
      <c r="Y216" s="5" t="s">
        <v>62</v>
      </c>
      <c r="Z216" s="170">
        <v>50000</v>
      </c>
      <c r="AA216" s="184">
        <v>1</v>
      </c>
      <c r="AB216" s="186">
        <v>107.5</v>
      </c>
      <c r="AC216" s="9"/>
      <c r="AD216" s="170">
        <v>53.75</v>
      </c>
      <c r="AE216" s="9"/>
      <c r="AF216" s="9"/>
      <c r="AG216" s="9" t="s">
        <v>17</v>
      </c>
      <c r="AH216" s="185">
        <v>8.7000000000000001E-5</v>
      </c>
      <c r="AI216" s="185">
        <v>7.9610150003086005E-3</v>
      </c>
      <c r="AJ216" s="185">
        <v>1.2633746501439899E-3</v>
      </c>
    </row>
    <row r="217" spans="1:36">
      <c r="A217" s="9">
        <v>337</v>
      </c>
      <c r="B217" s="9">
        <v>9962</v>
      </c>
      <c r="C217" s="9" t="s">
        <v>2413</v>
      </c>
      <c r="D217" s="9" t="s">
        <v>2414</v>
      </c>
      <c r="E217" s="5" t="s">
        <v>1346</v>
      </c>
      <c r="F217" s="9" t="s">
        <v>2415</v>
      </c>
      <c r="G217" s="9" t="s">
        <v>2416</v>
      </c>
      <c r="H217" s="9" t="s">
        <v>76</v>
      </c>
      <c r="I217" s="9" t="s">
        <v>229</v>
      </c>
      <c r="J217" s="9" t="s">
        <v>53</v>
      </c>
      <c r="K217" s="9" t="s">
        <v>53</v>
      </c>
      <c r="L217" s="9" t="s">
        <v>803</v>
      </c>
      <c r="M217" s="9" t="s">
        <v>311</v>
      </c>
      <c r="N217" s="9" t="s">
        <v>156</v>
      </c>
      <c r="O217" s="9" t="s">
        <v>62</v>
      </c>
      <c r="P217" s="9" t="s">
        <v>2314</v>
      </c>
      <c r="Q217" s="9" t="s">
        <v>70</v>
      </c>
      <c r="R217" s="9" t="s">
        <v>57</v>
      </c>
      <c r="S217" s="9" t="s">
        <v>1259</v>
      </c>
      <c r="T217" s="170">
        <v>3.21</v>
      </c>
      <c r="U217" s="9" t="s">
        <v>2417</v>
      </c>
      <c r="V217" s="199">
        <v>1.7999999999999999E-2</v>
      </c>
      <c r="W217" s="185">
        <v>3.0980000000000001E-2</v>
      </c>
      <c r="X217" s="5" t="s">
        <v>618</v>
      </c>
      <c r="Y217" s="5" t="s">
        <v>62</v>
      </c>
      <c r="Z217" s="170">
        <v>23463.56</v>
      </c>
      <c r="AA217" s="184">
        <v>1</v>
      </c>
      <c r="AB217" s="186">
        <v>112.88</v>
      </c>
      <c r="AC217" s="9"/>
      <c r="AD217" s="170">
        <v>26.486000000000001</v>
      </c>
      <c r="AE217" s="9"/>
      <c r="AF217" s="9"/>
      <c r="AG217" s="9" t="s">
        <v>17</v>
      </c>
      <c r="AH217" s="185">
        <v>2.6999999999999999E-5</v>
      </c>
      <c r="AI217" s="185">
        <v>3.9228425771642697E-3</v>
      </c>
      <c r="AJ217" s="185">
        <v>6.2253618016078996E-4</v>
      </c>
    </row>
    <row r="218" spans="1:36">
      <c r="A218" s="9">
        <v>337</v>
      </c>
      <c r="B218" s="9">
        <v>9962</v>
      </c>
      <c r="C218" s="9" t="s">
        <v>2418</v>
      </c>
      <c r="D218" s="9" t="s">
        <v>2419</v>
      </c>
      <c r="E218" s="5" t="s">
        <v>1346</v>
      </c>
      <c r="F218" s="9" t="s">
        <v>2422</v>
      </c>
      <c r="G218" s="9" t="s">
        <v>2423</v>
      </c>
      <c r="H218" s="9" t="s">
        <v>76</v>
      </c>
      <c r="I218" s="9" t="s">
        <v>228</v>
      </c>
      <c r="J218" s="9" t="s">
        <v>53</v>
      </c>
      <c r="K218" s="9" t="s">
        <v>53</v>
      </c>
      <c r="L218" s="9" t="s">
        <v>803</v>
      </c>
      <c r="M218" s="9" t="s">
        <v>1691</v>
      </c>
      <c r="N218" s="9" t="s">
        <v>267</v>
      </c>
      <c r="O218" s="9" t="s">
        <v>62</v>
      </c>
      <c r="P218" s="9" t="s">
        <v>2330</v>
      </c>
      <c r="Q218" s="9" t="s">
        <v>65</v>
      </c>
      <c r="R218" s="9" t="s">
        <v>57</v>
      </c>
      <c r="S218" s="9" t="s">
        <v>1259</v>
      </c>
      <c r="T218" s="170">
        <v>5.5919999999999996</v>
      </c>
      <c r="U218" s="9" t="s">
        <v>2388</v>
      </c>
      <c r="V218" s="199">
        <v>5.6899999999999999E-2</v>
      </c>
      <c r="W218" s="185">
        <v>5.5149999999999998E-2</v>
      </c>
      <c r="X218" s="5" t="s">
        <v>618</v>
      </c>
      <c r="Y218" s="5" t="s">
        <v>62</v>
      </c>
      <c r="Z218" s="170">
        <v>50000</v>
      </c>
      <c r="AA218" s="184">
        <v>1</v>
      </c>
      <c r="AB218" s="186">
        <v>101.37</v>
      </c>
      <c r="AC218" s="9"/>
      <c r="AD218" s="170">
        <v>50.685000000000002</v>
      </c>
      <c r="AE218" s="9"/>
      <c r="AF218" s="9"/>
      <c r="AG218" s="9" t="s">
        <v>17</v>
      </c>
      <c r="AH218" s="185">
        <v>3.1999999999999999E-5</v>
      </c>
      <c r="AI218" s="185">
        <v>7.5070520054072798E-3</v>
      </c>
      <c r="AJ218" s="185">
        <v>1.1913329142799699E-3</v>
      </c>
    </row>
    <row r="219" spans="1:36">
      <c r="A219" s="9">
        <v>337</v>
      </c>
      <c r="B219" s="9">
        <v>9962</v>
      </c>
      <c r="C219" s="9" t="s">
        <v>2418</v>
      </c>
      <c r="D219" s="9" t="s">
        <v>2419</v>
      </c>
      <c r="E219" s="5" t="s">
        <v>1346</v>
      </c>
      <c r="F219" s="9" t="s">
        <v>2792</v>
      </c>
      <c r="G219" s="9" t="s">
        <v>2793</v>
      </c>
      <c r="H219" s="9" t="s">
        <v>76</v>
      </c>
      <c r="I219" s="9" t="s">
        <v>228</v>
      </c>
      <c r="J219" s="9" t="s">
        <v>53</v>
      </c>
      <c r="K219" s="9" t="s">
        <v>53</v>
      </c>
      <c r="L219" s="9" t="s">
        <v>803</v>
      </c>
      <c r="M219" s="9" t="s">
        <v>1691</v>
      </c>
      <c r="N219" s="9" t="s">
        <v>267</v>
      </c>
      <c r="O219" s="9" t="s">
        <v>62</v>
      </c>
      <c r="P219" s="9" t="s">
        <v>2330</v>
      </c>
      <c r="Q219" s="9" t="s">
        <v>65</v>
      </c>
      <c r="R219" s="9" t="s">
        <v>57</v>
      </c>
      <c r="S219" s="9" t="s">
        <v>1259</v>
      </c>
      <c r="T219" s="170">
        <v>4.9580000000000002</v>
      </c>
      <c r="U219" s="9" t="s">
        <v>2698</v>
      </c>
      <c r="V219" s="199">
        <v>6.3799999999999996E-2</v>
      </c>
      <c r="W219" s="185">
        <v>5.1869999999999999E-2</v>
      </c>
      <c r="X219" s="5" t="s">
        <v>618</v>
      </c>
      <c r="Y219" s="5" t="s">
        <v>62</v>
      </c>
      <c r="Z219" s="170">
        <v>58485</v>
      </c>
      <c r="AA219" s="184">
        <v>1</v>
      </c>
      <c r="AB219" s="186">
        <v>106.21</v>
      </c>
      <c r="AC219" s="9"/>
      <c r="AD219" s="170">
        <v>62.116999999999997</v>
      </c>
      <c r="AE219" s="9"/>
      <c r="AF219" s="9"/>
      <c r="AG219" s="9" t="s">
        <v>17</v>
      </c>
      <c r="AH219" s="185">
        <v>5.8E-5</v>
      </c>
      <c r="AI219" s="185">
        <v>9.2002552549106404E-3</v>
      </c>
      <c r="AJ219" s="185">
        <v>1.4600360963341499E-3</v>
      </c>
    </row>
    <row r="220" spans="1:36">
      <c r="A220" s="9">
        <v>337</v>
      </c>
      <c r="B220" s="9">
        <v>9962</v>
      </c>
      <c r="C220" s="9" t="s">
        <v>2424</v>
      </c>
      <c r="D220" s="9" t="s">
        <v>2425</v>
      </c>
      <c r="E220" s="5" t="s">
        <v>1346</v>
      </c>
      <c r="F220" s="9" t="s">
        <v>2426</v>
      </c>
      <c r="G220" s="9" t="s">
        <v>2427</v>
      </c>
      <c r="H220" s="9" t="s">
        <v>76</v>
      </c>
      <c r="I220" s="9" t="s">
        <v>229</v>
      </c>
      <c r="J220" s="9" t="s">
        <v>53</v>
      </c>
      <c r="K220" s="9" t="s">
        <v>53</v>
      </c>
      <c r="L220" s="9" t="s">
        <v>803</v>
      </c>
      <c r="M220" s="9" t="s">
        <v>311</v>
      </c>
      <c r="N220" s="9" t="s">
        <v>633</v>
      </c>
      <c r="O220" s="9" t="s">
        <v>62</v>
      </c>
      <c r="P220" s="9" t="s">
        <v>1614</v>
      </c>
      <c r="Q220" s="9" t="s">
        <v>65</v>
      </c>
      <c r="R220" s="9" t="s">
        <v>57</v>
      </c>
      <c r="S220" s="9" t="s">
        <v>1259</v>
      </c>
      <c r="T220" s="170">
        <v>2.2509999999999999</v>
      </c>
      <c r="U220" s="9" t="s">
        <v>2428</v>
      </c>
      <c r="V220" s="199">
        <v>1.7999999999999999E-2</v>
      </c>
      <c r="W220" s="185">
        <v>2.801E-2</v>
      </c>
      <c r="X220" s="5" t="s">
        <v>618</v>
      </c>
      <c r="Y220" s="5" t="s">
        <v>62</v>
      </c>
      <c r="Z220" s="170">
        <v>33333.339999999997</v>
      </c>
      <c r="AA220" s="184">
        <v>1</v>
      </c>
      <c r="AB220" s="186">
        <v>115.55</v>
      </c>
      <c r="AC220" s="9"/>
      <c r="AD220" s="170">
        <v>38.517000000000003</v>
      </c>
      <c r="AE220" s="9"/>
      <c r="AF220" s="9"/>
      <c r="AG220" s="9" t="s">
        <v>17</v>
      </c>
      <c r="AH220" s="185">
        <v>4.5000000000000003E-5</v>
      </c>
      <c r="AI220" s="185">
        <v>5.7047780915641198E-3</v>
      </c>
      <c r="AJ220" s="185">
        <v>9.0532074431458299E-4</v>
      </c>
    </row>
    <row r="221" spans="1:36">
      <c r="A221" s="9">
        <v>337</v>
      </c>
      <c r="B221" s="9">
        <v>9962</v>
      </c>
      <c r="C221" s="9" t="s">
        <v>1938</v>
      </c>
      <c r="D221" s="9" t="s">
        <v>1939</v>
      </c>
      <c r="E221" s="5" t="s">
        <v>1346</v>
      </c>
      <c r="F221" s="9" t="s">
        <v>2794</v>
      </c>
      <c r="G221" s="9" t="s">
        <v>2795</v>
      </c>
      <c r="H221" s="9" t="s">
        <v>76</v>
      </c>
      <c r="I221" s="9" t="s">
        <v>229</v>
      </c>
      <c r="J221" s="9" t="s">
        <v>53</v>
      </c>
      <c r="K221" s="9" t="s">
        <v>53</v>
      </c>
      <c r="L221" s="9" t="s">
        <v>803</v>
      </c>
      <c r="M221" s="9" t="s">
        <v>311</v>
      </c>
      <c r="N221" s="9" t="s">
        <v>269</v>
      </c>
      <c r="O221" s="9" t="s">
        <v>62</v>
      </c>
      <c r="P221" s="9" t="s">
        <v>2246</v>
      </c>
      <c r="Q221" s="9" t="s">
        <v>65</v>
      </c>
      <c r="R221" s="9" t="s">
        <v>57</v>
      </c>
      <c r="S221" s="9" t="s">
        <v>1259</v>
      </c>
      <c r="T221" s="170">
        <v>3.8069999999999999</v>
      </c>
      <c r="U221" s="9" t="s">
        <v>2796</v>
      </c>
      <c r="V221" s="199">
        <v>4.4000000000000003E-3</v>
      </c>
      <c r="W221" s="185">
        <v>2.647E-2</v>
      </c>
      <c r="X221" s="5" t="s">
        <v>618</v>
      </c>
      <c r="Y221" s="5" t="s">
        <v>62</v>
      </c>
      <c r="Z221" s="170">
        <v>100833.34</v>
      </c>
      <c r="AA221" s="184">
        <v>1</v>
      </c>
      <c r="AB221" s="186">
        <v>107.59</v>
      </c>
      <c r="AC221" s="9"/>
      <c r="AD221" s="170">
        <v>108.48699999999999</v>
      </c>
      <c r="AE221" s="9"/>
      <c r="AF221" s="9"/>
      <c r="AG221" s="9" t="s">
        <v>17</v>
      </c>
      <c r="AH221" s="185">
        <v>9.7999999999999997E-5</v>
      </c>
      <c r="AI221" s="185">
        <v>1.6068155801871702E-2</v>
      </c>
      <c r="AJ221" s="185">
        <v>2.5499387595503699E-3</v>
      </c>
    </row>
    <row r="222" spans="1:36">
      <c r="A222" s="9">
        <v>337</v>
      </c>
      <c r="B222" s="9">
        <v>9962</v>
      </c>
      <c r="C222" s="9" t="s">
        <v>2429</v>
      </c>
      <c r="D222" s="9" t="s">
        <v>2430</v>
      </c>
      <c r="E222" s="5" t="s">
        <v>1346</v>
      </c>
      <c r="F222" s="9" t="s">
        <v>2433</v>
      </c>
      <c r="G222" s="9" t="s">
        <v>2434</v>
      </c>
      <c r="H222" s="9" t="s">
        <v>76</v>
      </c>
      <c r="I222" s="9" t="s">
        <v>228</v>
      </c>
      <c r="J222" s="9" t="s">
        <v>53</v>
      </c>
      <c r="K222" s="9" t="s">
        <v>53</v>
      </c>
      <c r="L222" s="9" t="s">
        <v>803</v>
      </c>
      <c r="M222" s="9" t="s">
        <v>311</v>
      </c>
      <c r="N222" s="9" t="s">
        <v>269</v>
      </c>
      <c r="O222" s="9" t="s">
        <v>62</v>
      </c>
      <c r="P222" s="9" t="s">
        <v>1607</v>
      </c>
      <c r="Q222" s="9" t="s">
        <v>65</v>
      </c>
      <c r="R222" s="9" t="s">
        <v>57</v>
      </c>
      <c r="S222" s="9" t="s">
        <v>1259</v>
      </c>
      <c r="T222" s="170">
        <v>7.6970000000000001</v>
      </c>
      <c r="U222" s="9" t="s">
        <v>2435</v>
      </c>
      <c r="V222" s="199">
        <v>5.8500000000000003E-2</v>
      </c>
      <c r="W222" s="185">
        <v>5.3460000000000001E-2</v>
      </c>
      <c r="X222" s="5" t="s">
        <v>618</v>
      </c>
      <c r="Y222" s="5" t="s">
        <v>62</v>
      </c>
      <c r="Z222" s="170">
        <v>74000</v>
      </c>
      <c r="AA222" s="184">
        <v>1</v>
      </c>
      <c r="AB222" s="186">
        <v>105.43</v>
      </c>
      <c r="AC222" s="9"/>
      <c r="AD222" s="170">
        <v>78.018000000000001</v>
      </c>
      <c r="AE222" s="9"/>
      <c r="AF222" s="9"/>
      <c r="AG222" s="9" t="s">
        <v>17</v>
      </c>
      <c r="AH222" s="185">
        <v>7.3999999999999996E-5</v>
      </c>
      <c r="AI222" s="185">
        <v>1.1555424381341E-2</v>
      </c>
      <c r="AJ222" s="185">
        <v>1.83379006753236E-3</v>
      </c>
    </row>
    <row r="223" spans="1:36">
      <c r="A223" s="9">
        <v>337</v>
      </c>
      <c r="B223" s="9">
        <v>9962</v>
      </c>
      <c r="C223" s="9" t="s">
        <v>2429</v>
      </c>
      <c r="D223" s="9" t="s">
        <v>2430</v>
      </c>
      <c r="E223" s="5" t="s">
        <v>1346</v>
      </c>
      <c r="F223" s="9" t="s">
        <v>2797</v>
      </c>
      <c r="G223" s="9" t="s">
        <v>2798</v>
      </c>
      <c r="H223" s="9" t="s">
        <v>76</v>
      </c>
      <c r="I223" s="9" t="s">
        <v>228</v>
      </c>
      <c r="J223" s="9" t="s">
        <v>53</v>
      </c>
      <c r="K223" s="9" t="s">
        <v>53</v>
      </c>
      <c r="L223" s="9" t="s">
        <v>803</v>
      </c>
      <c r="M223" s="9" t="s">
        <v>311</v>
      </c>
      <c r="N223" s="9" t="s">
        <v>269</v>
      </c>
      <c r="O223" s="9" t="s">
        <v>62</v>
      </c>
      <c r="P223" s="9" t="s">
        <v>2239</v>
      </c>
      <c r="Q223" s="9" t="s">
        <v>65</v>
      </c>
      <c r="R223" s="9" t="s">
        <v>57</v>
      </c>
      <c r="S223" s="9" t="s">
        <v>1259</v>
      </c>
      <c r="T223" s="170">
        <v>4.1639999999999997</v>
      </c>
      <c r="U223" s="9" t="s">
        <v>2527</v>
      </c>
      <c r="V223" s="199">
        <v>3.95E-2</v>
      </c>
      <c r="W223" s="185">
        <v>4.478E-2</v>
      </c>
      <c r="X223" s="5" t="s">
        <v>618</v>
      </c>
      <c r="Y223" s="5" t="s">
        <v>62</v>
      </c>
      <c r="Z223" s="170">
        <v>20000</v>
      </c>
      <c r="AA223" s="184">
        <v>1</v>
      </c>
      <c r="AB223" s="186">
        <v>98.06</v>
      </c>
      <c r="AC223" s="9"/>
      <c r="AD223" s="170">
        <v>19.611999999999998</v>
      </c>
      <c r="AE223" s="9"/>
      <c r="AF223" s="9"/>
      <c r="AG223" s="9" t="s">
        <v>17</v>
      </c>
      <c r="AH223" s="185">
        <v>8.2999999999999998E-5</v>
      </c>
      <c r="AI223" s="185">
        <v>2.9047707197405099E-3</v>
      </c>
      <c r="AJ223" s="185">
        <v>4.6097309095114402E-4</v>
      </c>
    </row>
    <row r="224" spans="1:36">
      <c r="A224" s="9">
        <v>337</v>
      </c>
      <c r="B224" s="9">
        <v>9962</v>
      </c>
      <c r="C224" s="9" t="s">
        <v>2436</v>
      </c>
      <c r="D224" s="9" t="s">
        <v>2437</v>
      </c>
      <c r="E224" s="5" t="s">
        <v>1346</v>
      </c>
      <c r="F224" s="9" t="s">
        <v>2438</v>
      </c>
      <c r="G224" s="9" t="s">
        <v>2439</v>
      </c>
      <c r="H224" s="9" t="s">
        <v>76</v>
      </c>
      <c r="I224" s="9" t="s">
        <v>229</v>
      </c>
      <c r="J224" s="9" t="s">
        <v>53</v>
      </c>
      <c r="K224" s="9" t="s">
        <v>53</v>
      </c>
      <c r="L224" s="9" t="s">
        <v>803</v>
      </c>
      <c r="M224" s="9" t="s">
        <v>311</v>
      </c>
      <c r="N224" s="9" t="s">
        <v>633</v>
      </c>
      <c r="O224" s="9" t="s">
        <v>62</v>
      </c>
      <c r="P224" s="9" t="s">
        <v>2225</v>
      </c>
      <c r="Q224" s="9" t="s">
        <v>70</v>
      </c>
      <c r="R224" s="9" t="s">
        <v>57</v>
      </c>
      <c r="S224" s="9" t="s">
        <v>1259</v>
      </c>
      <c r="T224" s="170">
        <v>5.1120000000000001</v>
      </c>
      <c r="U224" s="9" t="s">
        <v>2440</v>
      </c>
      <c r="V224" s="199">
        <v>3.1800000000000002E-2</v>
      </c>
      <c r="W224" s="185">
        <v>3.049E-2</v>
      </c>
      <c r="X224" s="5" t="s">
        <v>618</v>
      </c>
      <c r="Y224" s="5" t="s">
        <v>62</v>
      </c>
      <c r="Z224" s="170">
        <v>67000</v>
      </c>
      <c r="AA224" s="184">
        <v>1</v>
      </c>
      <c r="AB224" s="186">
        <v>102.65</v>
      </c>
      <c r="AC224" s="9"/>
      <c r="AD224" s="170">
        <v>68.775000000000006</v>
      </c>
      <c r="AE224" s="9"/>
      <c r="AF224" s="9"/>
      <c r="AG224" s="9" t="s">
        <v>17</v>
      </c>
      <c r="AH224" s="185">
        <v>2.9999999999999997E-4</v>
      </c>
      <c r="AI224" s="185">
        <v>1.01864704586739E-2</v>
      </c>
      <c r="AJ224" s="185">
        <v>1.6165436883902901E-3</v>
      </c>
    </row>
    <row r="225" spans="1:36">
      <c r="A225" s="9">
        <v>337</v>
      </c>
      <c r="B225" s="9">
        <v>9962</v>
      </c>
      <c r="C225" s="9" t="s">
        <v>1950</v>
      </c>
      <c r="D225" s="9" t="s">
        <v>1951</v>
      </c>
      <c r="E225" s="5" t="s">
        <v>1346</v>
      </c>
      <c r="F225" s="9" t="s">
        <v>2799</v>
      </c>
      <c r="G225" s="9" t="s">
        <v>2800</v>
      </c>
      <c r="H225" s="9" t="s">
        <v>76</v>
      </c>
      <c r="I225" s="9" t="s">
        <v>229</v>
      </c>
      <c r="J225" s="9" t="s">
        <v>53</v>
      </c>
      <c r="K225" s="9" t="s">
        <v>53</v>
      </c>
      <c r="L225" s="9" t="s">
        <v>803</v>
      </c>
      <c r="M225" s="9" t="s">
        <v>311</v>
      </c>
      <c r="N225" s="9" t="s">
        <v>140</v>
      </c>
      <c r="O225" s="9" t="s">
        <v>62</v>
      </c>
      <c r="P225" s="167" t="s">
        <v>298</v>
      </c>
      <c r="Q225" s="9" t="s">
        <v>298</v>
      </c>
      <c r="R225" s="9" t="s">
        <v>298</v>
      </c>
      <c r="S225" s="9" t="s">
        <v>1259</v>
      </c>
      <c r="T225" s="170">
        <v>1.107</v>
      </c>
      <c r="U225" s="9" t="s">
        <v>2744</v>
      </c>
      <c r="V225" s="199">
        <v>3.5000000000000003E-2</v>
      </c>
      <c r="W225" s="185">
        <v>3.8109999999999998E-2</v>
      </c>
      <c r="X225" s="5" t="s">
        <v>618</v>
      </c>
      <c r="Y225" s="5" t="s">
        <v>62</v>
      </c>
      <c r="Z225" s="170">
        <v>19200</v>
      </c>
      <c r="AA225" s="184">
        <v>1</v>
      </c>
      <c r="AB225" s="186">
        <v>110.5</v>
      </c>
      <c r="AC225" s="9"/>
      <c r="AD225" s="170">
        <v>21.216000000000001</v>
      </c>
      <c r="AE225" s="9"/>
      <c r="AF225" s="9"/>
      <c r="AG225" s="9" t="s">
        <v>17</v>
      </c>
      <c r="AH225" s="185">
        <v>1.26E-4</v>
      </c>
      <c r="AI225" s="185">
        <v>3.14234221854041E-3</v>
      </c>
      <c r="AJ225" s="185">
        <v>4.9867454097590595E-4</v>
      </c>
    </row>
    <row r="226" spans="1:36">
      <c r="A226" s="9">
        <v>337</v>
      </c>
      <c r="B226" s="9">
        <v>9962</v>
      </c>
      <c r="C226" s="9" t="s">
        <v>1950</v>
      </c>
      <c r="D226" s="9" t="s">
        <v>1951</v>
      </c>
      <c r="E226" s="5" t="s">
        <v>1346</v>
      </c>
      <c r="F226" s="9" t="s">
        <v>2801</v>
      </c>
      <c r="G226" s="9" t="s">
        <v>2802</v>
      </c>
      <c r="H226" s="9" t="s">
        <v>76</v>
      </c>
      <c r="I226" s="9" t="s">
        <v>228</v>
      </c>
      <c r="J226" s="9" t="s">
        <v>53</v>
      </c>
      <c r="K226" s="9" t="s">
        <v>53</v>
      </c>
      <c r="L226" s="9" t="s">
        <v>803</v>
      </c>
      <c r="M226" s="9" t="s">
        <v>1691</v>
      </c>
      <c r="N226" s="9" t="s">
        <v>140</v>
      </c>
      <c r="O226" s="9" t="s">
        <v>62</v>
      </c>
      <c r="P226" s="167" t="s">
        <v>298</v>
      </c>
      <c r="Q226" s="9" t="s">
        <v>298</v>
      </c>
      <c r="R226" s="9" t="s">
        <v>298</v>
      </c>
      <c r="S226" s="9" t="s">
        <v>1259</v>
      </c>
      <c r="T226" s="170">
        <v>1.9419999999999999</v>
      </c>
      <c r="U226" s="9" t="s">
        <v>2803</v>
      </c>
      <c r="V226" s="199">
        <v>6.5000000000000002E-2</v>
      </c>
      <c r="W226" s="185">
        <v>6.1740000000000003E-2</v>
      </c>
      <c r="X226" s="5" t="s">
        <v>618</v>
      </c>
      <c r="Y226" s="5" t="s">
        <v>62</v>
      </c>
      <c r="Z226" s="170">
        <v>29000</v>
      </c>
      <c r="AA226" s="184">
        <v>1</v>
      </c>
      <c r="AB226" s="186">
        <v>100.78</v>
      </c>
      <c r="AC226" s="170">
        <v>0.94299999999999995</v>
      </c>
      <c r="AD226" s="170">
        <v>30.169</v>
      </c>
      <c r="AE226" s="9"/>
      <c r="AF226" s="9"/>
      <c r="AG226" s="9" t="s">
        <v>17</v>
      </c>
      <c r="AH226" s="185">
        <v>9.8999999999999994E-5</v>
      </c>
      <c r="AI226" s="185">
        <v>4.4683436881825097E-3</v>
      </c>
      <c r="AJ226" s="185">
        <v>7.0910457316835502E-4</v>
      </c>
    </row>
    <row r="227" spans="1:36">
      <c r="A227" s="9">
        <v>337</v>
      </c>
      <c r="B227" s="9">
        <v>9962</v>
      </c>
      <c r="C227" s="9" t="s">
        <v>2804</v>
      </c>
      <c r="D227" s="9" t="s">
        <v>2805</v>
      </c>
      <c r="E227" s="5" t="s">
        <v>1346</v>
      </c>
      <c r="F227" s="9" t="s">
        <v>2806</v>
      </c>
      <c r="G227" s="9" t="s">
        <v>2807</v>
      </c>
      <c r="H227" s="9" t="s">
        <v>76</v>
      </c>
      <c r="I227" s="9" t="s">
        <v>228</v>
      </c>
      <c r="J227" s="9" t="s">
        <v>53</v>
      </c>
      <c r="K227" s="9" t="s">
        <v>206</v>
      </c>
      <c r="L227" s="9" t="s">
        <v>803</v>
      </c>
      <c r="M227" s="9" t="s">
        <v>311</v>
      </c>
      <c r="N227" s="9" t="s">
        <v>140</v>
      </c>
      <c r="O227" s="9" t="s">
        <v>62</v>
      </c>
      <c r="P227" s="167" t="s">
        <v>298</v>
      </c>
      <c r="Q227" s="9" t="s">
        <v>298</v>
      </c>
      <c r="R227" s="9" t="s">
        <v>298</v>
      </c>
      <c r="S227" s="9" t="s">
        <v>1259</v>
      </c>
      <c r="T227" s="170">
        <v>0.97799999999999998</v>
      </c>
      <c r="U227" s="9" t="s">
        <v>2808</v>
      </c>
      <c r="V227" s="199">
        <v>8.2400000000000001E-2</v>
      </c>
      <c r="W227" s="185">
        <v>7.7710000000000001E-2</v>
      </c>
      <c r="X227" s="5" t="s">
        <v>618</v>
      </c>
      <c r="Y227" s="5" t="s">
        <v>62</v>
      </c>
      <c r="Z227" s="170">
        <v>67200</v>
      </c>
      <c r="AA227" s="184">
        <v>1</v>
      </c>
      <c r="AB227" s="186">
        <v>100.6</v>
      </c>
      <c r="AC227" s="170">
        <v>20.260999999999999</v>
      </c>
      <c r="AD227" s="170">
        <v>87.864000000000004</v>
      </c>
      <c r="AE227" s="9"/>
      <c r="AF227" s="9"/>
      <c r="AG227" s="9" t="s">
        <v>17</v>
      </c>
      <c r="AH227" s="185">
        <v>1.418E-3</v>
      </c>
      <c r="AI227" s="185">
        <v>1.30137045951091E-2</v>
      </c>
      <c r="AJ227" s="185">
        <v>2.0652120978651499E-3</v>
      </c>
    </row>
    <row r="228" spans="1:36">
      <c r="A228" s="9">
        <v>337</v>
      </c>
      <c r="B228" s="9">
        <v>9962</v>
      </c>
      <c r="C228" s="9" t="s">
        <v>2441</v>
      </c>
      <c r="D228" s="9" t="s">
        <v>2442</v>
      </c>
      <c r="E228" s="5" t="s">
        <v>1346</v>
      </c>
      <c r="F228" s="9" t="s">
        <v>2809</v>
      </c>
      <c r="G228" s="9" t="s">
        <v>2810</v>
      </c>
      <c r="H228" s="9" t="s">
        <v>76</v>
      </c>
      <c r="I228" s="9" t="s">
        <v>229</v>
      </c>
      <c r="J228" s="9" t="s">
        <v>53</v>
      </c>
      <c r="K228" s="9" t="s">
        <v>53</v>
      </c>
      <c r="L228" s="9" t="s">
        <v>803</v>
      </c>
      <c r="M228" s="9" t="s">
        <v>311</v>
      </c>
      <c r="N228" s="9" t="s">
        <v>156</v>
      </c>
      <c r="O228" s="9" t="s">
        <v>62</v>
      </c>
      <c r="P228" s="9" t="s">
        <v>1641</v>
      </c>
      <c r="Q228" s="9" t="s">
        <v>65</v>
      </c>
      <c r="R228" s="9" t="s">
        <v>57</v>
      </c>
      <c r="S228" s="9" t="s">
        <v>1259</v>
      </c>
      <c r="T228" s="170">
        <v>0.65200000000000002</v>
      </c>
      <c r="U228" s="9" t="s">
        <v>2811</v>
      </c>
      <c r="V228" s="199">
        <v>4.4999999999999998E-2</v>
      </c>
      <c r="W228" s="185">
        <v>2.9680000000000002E-2</v>
      </c>
      <c r="X228" s="5" t="s">
        <v>618</v>
      </c>
      <c r="Y228" s="5" t="s">
        <v>62</v>
      </c>
      <c r="Z228" s="170">
        <v>25000</v>
      </c>
      <c r="AA228" s="184">
        <v>1</v>
      </c>
      <c r="AB228" s="186">
        <v>121.68</v>
      </c>
      <c r="AC228" s="9"/>
      <c r="AD228" s="170">
        <v>30.42</v>
      </c>
      <c r="AE228" s="9"/>
      <c r="AF228" s="9"/>
      <c r="AG228" s="9" t="s">
        <v>17</v>
      </c>
      <c r="AH228" s="185">
        <v>1.7E-5</v>
      </c>
      <c r="AI228" s="185">
        <v>4.50556421040721E-3</v>
      </c>
      <c r="AJ228" s="185">
        <v>7.1501129036986605E-4</v>
      </c>
    </row>
    <row r="229" spans="1:36">
      <c r="A229" s="9">
        <v>337</v>
      </c>
      <c r="B229" s="9">
        <v>9962</v>
      </c>
      <c r="C229" s="9" t="s">
        <v>2441</v>
      </c>
      <c r="D229" s="9" t="s">
        <v>2442</v>
      </c>
      <c r="E229" s="5" t="s">
        <v>1346</v>
      </c>
      <c r="F229" s="9" t="s">
        <v>2812</v>
      </c>
      <c r="G229" s="9" t="s">
        <v>2813</v>
      </c>
      <c r="H229" s="9" t="s">
        <v>76</v>
      </c>
      <c r="I229" s="9" t="s">
        <v>229</v>
      </c>
      <c r="J229" s="9" t="s">
        <v>53</v>
      </c>
      <c r="K229" s="9" t="s">
        <v>53</v>
      </c>
      <c r="L229" s="9" t="s">
        <v>803</v>
      </c>
      <c r="M229" s="9" t="s">
        <v>311</v>
      </c>
      <c r="N229" s="9" t="s">
        <v>156</v>
      </c>
      <c r="O229" s="9" t="s">
        <v>62</v>
      </c>
      <c r="P229" s="9" t="s">
        <v>1641</v>
      </c>
      <c r="Q229" s="9" t="s">
        <v>65</v>
      </c>
      <c r="R229" s="9" t="s">
        <v>57</v>
      </c>
      <c r="S229" s="9" t="s">
        <v>1259</v>
      </c>
      <c r="T229" s="170">
        <v>5.1180000000000003</v>
      </c>
      <c r="U229" s="9" t="s">
        <v>2814</v>
      </c>
      <c r="V229" s="199">
        <v>2.3900000000000001E-2</v>
      </c>
      <c r="W229" s="185">
        <v>2.6190000000000001E-2</v>
      </c>
      <c r="X229" s="5" t="s">
        <v>618</v>
      </c>
      <c r="Y229" s="5" t="s">
        <v>62</v>
      </c>
      <c r="Z229" s="170">
        <v>55000</v>
      </c>
      <c r="AA229" s="184">
        <v>1</v>
      </c>
      <c r="AB229" s="186">
        <v>116.21</v>
      </c>
      <c r="AC229" s="9"/>
      <c r="AD229" s="170">
        <v>63.915999999999997</v>
      </c>
      <c r="AE229" s="9"/>
      <c r="AF229" s="9"/>
      <c r="AG229" s="9" t="s">
        <v>17</v>
      </c>
      <c r="AH229" s="185">
        <v>1.4E-5</v>
      </c>
      <c r="AI229" s="185">
        <v>9.4666465907390605E-3</v>
      </c>
      <c r="AJ229" s="185">
        <v>1.50231111537262E-3</v>
      </c>
    </row>
    <row r="230" spans="1:36">
      <c r="A230" s="9">
        <v>337</v>
      </c>
      <c r="B230" s="9">
        <v>9962</v>
      </c>
      <c r="C230" s="9" t="s">
        <v>2441</v>
      </c>
      <c r="D230" s="9" t="s">
        <v>2442</v>
      </c>
      <c r="E230" s="5" t="s">
        <v>1346</v>
      </c>
      <c r="F230" s="9" t="s">
        <v>2443</v>
      </c>
      <c r="G230" s="9" t="s">
        <v>2444</v>
      </c>
      <c r="H230" s="9" t="s">
        <v>76</v>
      </c>
      <c r="I230" s="9" t="s">
        <v>229</v>
      </c>
      <c r="J230" s="9" t="s">
        <v>53</v>
      </c>
      <c r="K230" s="9" t="s">
        <v>53</v>
      </c>
      <c r="L230" s="9" t="s">
        <v>803</v>
      </c>
      <c r="M230" s="9" t="s">
        <v>311</v>
      </c>
      <c r="N230" s="9" t="s">
        <v>156</v>
      </c>
      <c r="O230" s="9" t="s">
        <v>62</v>
      </c>
      <c r="P230" s="9" t="s">
        <v>1641</v>
      </c>
      <c r="Q230" s="9" t="s">
        <v>65</v>
      </c>
      <c r="R230" s="9" t="s">
        <v>57</v>
      </c>
      <c r="S230" s="9" t="s">
        <v>1259</v>
      </c>
      <c r="T230" s="170">
        <v>10.058999999999999</v>
      </c>
      <c r="U230" s="9" t="s">
        <v>2445</v>
      </c>
      <c r="V230" s="199">
        <v>3.2000000000000001E-2</v>
      </c>
      <c r="W230" s="185">
        <v>2.7959999999999999E-2</v>
      </c>
      <c r="X230" s="5" t="s">
        <v>618</v>
      </c>
      <c r="Y230" s="5" t="s">
        <v>62</v>
      </c>
      <c r="Z230" s="170">
        <v>85000</v>
      </c>
      <c r="AA230" s="184">
        <v>1</v>
      </c>
      <c r="AB230" s="186">
        <v>110.87</v>
      </c>
      <c r="AC230" s="9"/>
      <c r="AD230" s="170">
        <v>94.24</v>
      </c>
      <c r="AE230" s="9"/>
      <c r="AF230" s="9"/>
      <c r="AG230" s="9" t="s">
        <v>17</v>
      </c>
      <c r="AH230" s="185">
        <v>1.7E-5</v>
      </c>
      <c r="AI230" s="185">
        <v>1.3957992058076E-2</v>
      </c>
      <c r="AJ230" s="185">
        <v>2.2150659598557201E-3</v>
      </c>
    </row>
    <row r="231" spans="1:36">
      <c r="A231" s="9">
        <v>337</v>
      </c>
      <c r="B231" s="9">
        <v>9962</v>
      </c>
      <c r="C231" s="9" t="s">
        <v>2441</v>
      </c>
      <c r="D231" s="9" t="s">
        <v>2442</v>
      </c>
      <c r="E231" s="5" t="s">
        <v>1346</v>
      </c>
      <c r="F231" s="9" t="s">
        <v>2446</v>
      </c>
      <c r="G231" s="9" t="s">
        <v>2447</v>
      </c>
      <c r="H231" s="9" t="s">
        <v>76</v>
      </c>
      <c r="I231" s="9" t="s">
        <v>229</v>
      </c>
      <c r="J231" s="9" t="s">
        <v>53</v>
      </c>
      <c r="K231" s="9" t="s">
        <v>53</v>
      </c>
      <c r="L231" s="9" t="s">
        <v>803</v>
      </c>
      <c r="M231" s="9" t="s">
        <v>1691</v>
      </c>
      <c r="N231" s="9" t="s">
        <v>156</v>
      </c>
      <c r="O231" s="9" t="s">
        <v>62</v>
      </c>
      <c r="P231" s="9" t="s">
        <v>1641</v>
      </c>
      <c r="Q231" s="9" t="s">
        <v>65</v>
      </c>
      <c r="R231" s="9" t="s">
        <v>57</v>
      </c>
      <c r="S231" s="9" t="s">
        <v>1259</v>
      </c>
      <c r="T231" s="170">
        <v>7.8319999999999999</v>
      </c>
      <c r="U231" s="9" t="s">
        <v>2448</v>
      </c>
      <c r="V231" s="199">
        <v>2.9899999999999999E-2</v>
      </c>
      <c r="W231" s="185">
        <v>2.759E-2</v>
      </c>
      <c r="X231" s="5" t="s">
        <v>618</v>
      </c>
      <c r="Y231" s="5" t="s">
        <v>62</v>
      </c>
      <c r="Z231" s="170">
        <v>10000</v>
      </c>
      <c r="AA231" s="184">
        <v>1</v>
      </c>
      <c r="AB231" s="186">
        <v>103.17</v>
      </c>
      <c r="AC231" s="9"/>
      <c r="AD231" s="170">
        <v>10.317</v>
      </c>
      <c r="AE231" s="9"/>
      <c r="AF231" s="9"/>
      <c r="AG231" s="9" t="s">
        <v>17</v>
      </c>
      <c r="AH231" s="185">
        <v>2.5999999999999998E-5</v>
      </c>
      <c r="AI231" s="185">
        <v>1.5280705443383E-3</v>
      </c>
      <c r="AJ231" s="185">
        <v>2.42497418893685E-4</v>
      </c>
    </row>
    <row r="232" spans="1:36">
      <c r="A232" s="9">
        <v>337</v>
      </c>
      <c r="B232" s="9">
        <v>9962</v>
      </c>
      <c r="C232" s="9" t="s">
        <v>2449</v>
      </c>
      <c r="D232" s="9" t="s">
        <v>2450</v>
      </c>
      <c r="E232" s="5" t="s">
        <v>765</v>
      </c>
      <c r="F232" s="9" t="s">
        <v>2451</v>
      </c>
      <c r="G232" s="9" t="s">
        <v>2452</v>
      </c>
      <c r="H232" s="9" t="s">
        <v>76</v>
      </c>
      <c r="I232" s="9" t="s">
        <v>230</v>
      </c>
      <c r="J232" s="9" t="s">
        <v>53</v>
      </c>
      <c r="K232" s="9" t="s">
        <v>314</v>
      </c>
      <c r="L232" s="9" t="s">
        <v>803</v>
      </c>
      <c r="M232" s="9" t="s">
        <v>311</v>
      </c>
      <c r="N232" s="9" t="s">
        <v>634</v>
      </c>
      <c r="O232" s="9" t="s">
        <v>62</v>
      </c>
      <c r="P232" s="9" t="s">
        <v>2239</v>
      </c>
      <c r="Q232" s="9" t="s">
        <v>65</v>
      </c>
      <c r="R232" s="9" t="s">
        <v>57</v>
      </c>
      <c r="S232" s="9" t="s">
        <v>1215</v>
      </c>
      <c r="T232" s="170">
        <v>1.5920000000000001</v>
      </c>
      <c r="U232" s="9" t="s">
        <v>2453</v>
      </c>
      <c r="V232" s="199">
        <v>4.7199999999999999E-2</v>
      </c>
      <c r="W232" s="185">
        <v>5.8950000000000002E-2</v>
      </c>
      <c r="X232" s="5" t="s">
        <v>618</v>
      </c>
      <c r="Y232" s="5" t="s">
        <v>62</v>
      </c>
      <c r="Z232" s="170">
        <v>29000</v>
      </c>
      <c r="AA232" s="184">
        <v>3.3719999999999999</v>
      </c>
      <c r="AB232" s="186">
        <v>31.234000000000002</v>
      </c>
      <c r="AC232" s="9"/>
      <c r="AD232" s="170">
        <v>30.542999999999999</v>
      </c>
      <c r="AE232" s="9"/>
      <c r="AF232" s="9"/>
      <c r="AG232" s="9" t="s">
        <v>17</v>
      </c>
      <c r="AH232" s="185">
        <v>8.7999999999999998E-5</v>
      </c>
      <c r="AI232" s="185">
        <v>4.5237523525846601E-3</v>
      </c>
      <c r="AJ232" s="185">
        <v>7.17897660733358E-4</v>
      </c>
    </row>
    <row r="233" spans="1:36">
      <c r="A233" s="9">
        <v>337</v>
      </c>
      <c r="B233" s="9">
        <v>9962</v>
      </c>
      <c r="C233" s="9" t="s">
        <v>2454</v>
      </c>
      <c r="D233" s="9" t="s">
        <v>2455</v>
      </c>
      <c r="E233" s="5" t="s">
        <v>1346</v>
      </c>
      <c r="F233" s="9" t="s">
        <v>2456</v>
      </c>
      <c r="G233" s="9" t="s">
        <v>2457</v>
      </c>
      <c r="H233" s="9" t="s">
        <v>76</v>
      </c>
      <c r="I233" s="9" t="s">
        <v>228</v>
      </c>
      <c r="J233" s="9" t="s">
        <v>53</v>
      </c>
      <c r="K233" s="9" t="s">
        <v>53</v>
      </c>
      <c r="L233" s="9" t="s">
        <v>803</v>
      </c>
      <c r="M233" s="9" t="s">
        <v>311</v>
      </c>
      <c r="N233" s="9" t="s">
        <v>140</v>
      </c>
      <c r="O233" s="9" t="s">
        <v>62</v>
      </c>
      <c r="P233" s="167" t="s">
        <v>298</v>
      </c>
      <c r="Q233" s="9" t="s">
        <v>298</v>
      </c>
      <c r="R233" s="9" t="s">
        <v>298</v>
      </c>
      <c r="S233" s="9" t="s">
        <v>1259</v>
      </c>
      <c r="T233" s="170">
        <v>0.995</v>
      </c>
      <c r="U233" s="9" t="s">
        <v>2458</v>
      </c>
      <c r="V233" s="199">
        <v>5.6000000000000001E-2</v>
      </c>
      <c r="W233" s="185">
        <v>5.842E-2</v>
      </c>
      <c r="X233" s="5" t="s">
        <v>618</v>
      </c>
      <c r="Y233" s="5" t="s">
        <v>62</v>
      </c>
      <c r="Z233" s="170">
        <v>23200</v>
      </c>
      <c r="AA233" s="184">
        <v>1</v>
      </c>
      <c r="AB233" s="186">
        <v>99.8</v>
      </c>
      <c r="AC233" s="170">
        <v>6.6120000000000001</v>
      </c>
      <c r="AD233" s="170">
        <v>29.765999999999998</v>
      </c>
      <c r="AE233" s="9"/>
      <c r="AF233" s="9"/>
      <c r="AG233" s="9" t="s">
        <v>17</v>
      </c>
      <c r="AH233" s="185">
        <v>1.7100000000000001E-4</v>
      </c>
      <c r="AI233" s="185">
        <v>4.4086397784778696E-3</v>
      </c>
      <c r="AJ233" s="185">
        <v>6.9962985090839204E-4</v>
      </c>
    </row>
    <row r="234" spans="1:36">
      <c r="A234" s="9">
        <v>337</v>
      </c>
      <c r="B234" s="9">
        <v>9962</v>
      </c>
      <c r="C234" s="9" t="s">
        <v>2462</v>
      </c>
      <c r="D234" s="9" t="s">
        <v>2463</v>
      </c>
      <c r="E234" s="5" t="s">
        <v>1346</v>
      </c>
      <c r="F234" s="9" t="s">
        <v>2464</v>
      </c>
      <c r="G234" s="9" t="s">
        <v>2465</v>
      </c>
      <c r="H234" s="9" t="s">
        <v>76</v>
      </c>
      <c r="I234" s="9" t="s">
        <v>229</v>
      </c>
      <c r="J234" s="9" t="s">
        <v>53</v>
      </c>
      <c r="K234" s="9" t="s">
        <v>53</v>
      </c>
      <c r="L234" s="9" t="s">
        <v>803</v>
      </c>
      <c r="M234" s="9" t="s">
        <v>311</v>
      </c>
      <c r="N234" s="9" t="s">
        <v>256</v>
      </c>
      <c r="O234" s="9" t="s">
        <v>62</v>
      </c>
      <c r="P234" s="9" t="s">
        <v>2239</v>
      </c>
      <c r="Q234" s="9" t="s">
        <v>65</v>
      </c>
      <c r="R234" s="9" t="s">
        <v>57</v>
      </c>
      <c r="S234" s="9" t="s">
        <v>1259</v>
      </c>
      <c r="T234" s="170">
        <v>3.8740000000000001</v>
      </c>
      <c r="U234" s="9" t="s">
        <v>2466</v>
      </c>
      <c r="V234" s="199">
        <v>2.5899999999999999E-2</v>
      </c>
      <c r="W234" s="185">
        <v>2.7470000000000001E-2</v>
      </c>
      <c r="X234" s="5" t="s">
        <v>618</v>
      </c>
      <c r="Y234" s="5" t="s">
        <v>62</v>
      </c>
      <c r="Z234" s="170">
        <v>25000</v>
      </c>
      <c r="AA234" s="184">
        <v>1</v>
      </c>
      <c r="AB234" s="186">
        <v>105.24</v>
      </c>
      <c r="AC234" s="9"/>
      <c r="AD234" s="170">
        <v>26.31</v>
      </c>
      <c r="AE234" s="9"/>
      <c r="AF234" s="9"/>
      <c r="AG234" s="9" t="s">
        <v>17</v>
      </c>
      <c r="AH234" s="185">
        <v>3.6999999999999998E-5</v>
      </c>
      <c r="AI234" s="185">
        <v>3.8968242727092E-3</v>
      </c>
      <c r="AJ234" s="185">
        <v>6.1840720084257604E-4</v>
      </c>
    </row>
    <row r="235" spans="1:36">
      <c r="A235" s="9">
        <v>337</v>
      </c>
      <c r="B235" s="9">
        <v>9962</v>
      </c>
      <c r="C235" s="9" t="s">
        <v>2467</v>
      </c>
      <c r="D235" s="9" t="s">
        <v>2468</v>
      </c>
      <c r="E235" s="5" t="s">
        <v>1346</v>
      </c>
      <c r="F235" s="9" t="s">
        <v>2469</v>
      </c>
      <c r="G235" s="9" t="s">
        <v>2470</v>
      </c>
      <c r="H235" s="9" t="s">
        <v>76</v>
      </c>
      <c r="I235" s="9" t="s">
        <v>229</v>
      </c>
      <c r="J235" s="9" t="s">
        <v>53</v>
      </c>
      <c r="K235" s="9" t="s">
        <v>53</v>
      </c>
      <c r="L235" s="9" t="s">
        <v>803</v>
      </c>
      <c r="M235" s="9" t="s">
        <v>311</v>
      </c>
      <c r="N235" s="9" t="s">
        <v>633</v>
      </c>
      <c r="O235" s="9" t="s">
        <v>62</v>
      </c>
      <c r="P235" s="167" t="s">
        <v>298</v>
      </c>
      <c r="Q235" s="9" t="s">
        <v>298</v>
      </c>
      <c r="R235" s="9" t="s">
        <v>298</v>
      </c>
      <c r="S235" s="9" t="s">
        <v>1259</v>
      </c>
      <c r="T235" s="170">
        <v>2.3610000000000002</v>
      </c>
      <c r="U235" s="9" t="s">
        <v>2428</v>
      </c>
      <c r="V235" s="199">
        <v>4.4999999999999998E-2</v>
      </c>
      <c r="W235" s="185">
        <v>3.3390000000000003E-2</v>
      </c>
      <c r="X235" s="5" t="s">
        <v>618</v>
      </c>
      <c r="Y235" s="5" t="s">
        <v>62</v>
      </c>
      <c r="Z235" s="170">
        <v>42000</v>
      </c>
      <c r="AA235" s="184">
        <v>1</v>
      </c>
      <c r="AB235" s="186">
        <v>108.49</v>
      </c>
      <c r="AC235" s="9"/>
      <c r="AD235" s="170">
        <v>45.566000000000003</v>
      </c>
      <c r="AE235" s="9"/>
      <c r="AF235" s="9"/>
      <c r="AG235" s="9" t="s">
        <v>17</v>
      </c>
      <c r="AH235" s="185">
        <v>4.3000000000000002E-5</v>
      </c>
      <c r="AI235" s="185">
        <v>6.7488375311825404E-3</v>
      </c>
      <c r="AJ235" s="185">
        <v>1.0710079373680199E-3</v>
      </c>
    </row>
    <row r="236" spans="1:36">
      <c r="A236" s="9">
        <v>337</v>
      </c>
      <c r="B236" s="9">
        <v>9962</v>
      </c>
      <c r="C236" s="9" t="s">
        <v>2471</v>
      </c>
      <c r="D236" s="9" t="s">
        <v>2472</v>
      </c>
      <c r="E236" s="5" t="s">
        <v>1346</v>
      </c>
      <c r="F236" s="9" t="s">
        <v>2473</v>
      </c>
      <c r="G236" s="9" t="s">
        <v>2474</v>
      </c>
      <c r="H236" s="9" t="s">
        <v>76</v>
      </c>
      <c r="I236" s="9" t="s">
        <v>228</v>
      </c>
      <c r="J236" s="9" t="s">
        <v>53</v>
      </c>
      <c r="K236" s="9" t="s">
        <v>53</v>
      </c>
      <c r="L236" s="9" t="s">
        <v>803</v>
      </c>
      <c r="M236" s="9" t="s">
        <v>311</v>
      </c>
      <c r="N236" s="9" t="s">
        <v>140</v>
      </c>
      <c r="O236" s="9" t="s">
        <v>62</v>
      </c>
      <c r="P236" s="9" t="s">
        <v>2330</v>
      </c>
      <c r="Q236" s="9" t="s">
        <v>65</v>
      </c>
      <c r="R236" s="9" t="s">
        <v>57</v>
      </c>
      <c r="S236" s="9" t="s">
        <v>1259</v>
      </c>
      <c r="T236" s="170">
        <v>1.4570000000000001</v>
      </c>
      <c r="U236" s="9" t="s">
        <v>1615</v>
      </c>
      <c r="V236" s="199">
        <v>3.95E-2</v>
      </c>
      <c r="W236" s="185">
        <v>5.5649999999999998E-2</v>
      </c>
      <c r="X236" s="5" t="s">
        <v>618</v>
      </c>
      <c r="Y236" s="5" t="s">
        <v>62</v>
      </c>
      <c r="Z236" s="170">
        <v>27300</v>
      </c>
      <c r="AA236" s="184">
        <v>1</v>
      </c>
      <c r="AB236" s="186">
        <v>97.85</v>
      </c>
      <c r="AC236" s="9"/>
      <c r="AD236" s="170">
        <v>26.713000000000001</v>
      </c>
      <c r="AE236" s="9"/>
      <c r="AF236" s="9"/>
      <c r="AG236" s="9" t="s">
        <v>17</v>
      </c>
      <c r="AH236" s="185">
        <v>4.6999999999999997E-5</v>
      </c>
      <c r="AI236" s="185">
        <v>3.9565207768184896E-3</v>
      </c>
      <c r="AJ236" s="185">
        <v>6.2788074787030696E-4</v>
      </c>
    </row>
    <row r="237" spans="1:36">
      <c r="A237" s="9">
        <v>337</v>
      </c>
      <c r="B237" s="9">
        <v>9962</v>
      </c>
      <c r="C237" s="9" t="s">
        <v>2478</v>
      </c>
      <c r="D237" s="9" t="s">
        <v>2479</v>
      </c>
      <c r="E237" s="5" t="s">
        <v>1346</v>
      </c>
      <c r="F237" s="9" t="s">
        <v>2480</v>
      </c>
      <c r="G237" s="9" t="s">
        <v>2481</v>
      </c>
      <c r="H237" s="9" t="s">
        <v>76</v>
      </c>
      <c r="I237" s="9" t="s">
        <v>229</v>
      </c>
      <c r="J237" s="9" t="s">
        <v>53</v>
      </c>
      <c r="K237" s="9" t="s">
        <v>53</v>
      </c>
      <c r="L237" s="9" t="s">
        <v>803</v>
      </c>
      <c r="M237" s="9" t="s">
        <v>311</v>
      </c>
      <c r="N237" s="9" t="s">
        <v>633</v>
      </c>
      <c r="O237" s="9" t="s">
        <v>62</v>
      </c>
      <c r="P237" s="9" t="s">
        <v>2246</v>
      </c>
      <c r="Q237" s="9" t="s">
        <v>65</v>
      </c>
      <c r="R237" s="9" t="s">
        <v>57</v>
      </c>
      <c r="S237" s="9" t="s">
        <v>1259</v>
      </c>
      <c r="T237" s="170">
        <v>1.7569999999999999</v>
      </c>
      <c r="U237" s="9" t="s">
        <v>2482</v>
      </c>
      <c r="V237" s="199">
        <v>1.5800000000000002E-2</v>
      </c>
      <c r="W237" s="185">
        <v>2.7789999999999999E-2</v>
      </c>
      <c r="X237" s="5" t="s">
        <v>618</v>
      </c>
      <c r="Y237" s="5" t="s">
        <v>62</v>
      </c>
      <c r="Z237" s="170">
        <v>14680.29</v>
      </c>
      <c r="AA237" s="184">
        <v>1</v>
      </c>
      <c r="AB237" s="186">
        <v>116.04</v>
      </c>
      <c r="AC237" s="9"/>
      <c r="AD237" s="170">
        <v>17.035</v>
      </c>
      <c r="AE237" s="9"/>
      <c r="AF237" s="9"/>
      <c r="AG237" s="9" t="s">
        <v>17</v>
      </c>
      <c r="AH237" s="185">
        <v>3.6999999999999998E-5</v>
      </c>
      <c r="AI237" s="185">
        <v>2.5230875967676399E-3</v>
      </c>
      <c r="AJ237" s="185">
        <v>4.0040182184374799E-4</v>
      </c>
    </row>
    <row r="238" spans="1:36">
      <c r="A238" s="9">
        <v>337</v>
      </c>
      <c r="B238" s="9">
        <v>9962</v>
      </c>
      <c r="C238" s="9" t="s">
        <v>2478</v>
      </c>
      <c r="D238" s="9" t="s">
        <v>2479</v>
      </c>
      <c r="E238" s="5" t="s">
        <v>1346</v>
      </c>
      <c r="F238" s="9" t="s">
        <v>2486</v>
      </c>
      <c r="G238" s="9" t="s">
        <v>2487</v>
      </c>
      <c r="H238" s="9" t="s">
        <v>76</v>
      </c>
      <c r="I238" s="9" t="s">
        <v>229</v>
      </c>
      <c r="J238" s="9" t="s">
        <v>53</v>
      </c>
      <c r="K238" s="9" t="s">
        <v>53</v>
      </c>
      <c r="L238" s="9" t="s">
        <v>803</v>
      </c>
      <c r="M238" s="9" t="s">
        <v>311</v>
      </c>
      <c r="N238" s="9" t="s">
        <v>633</v>
      </c>
      <c r="O238" s="9" t="s">
        <v>62</v>
      </c>
      <c r="P238" s="9" t="s">
        <v>2246</v>
      </c>
      <c r="Q238" s="9" t="s">
        <v>65</v>
      </c>
      <c r="R238" s="9" t="s">
        <v>57</v>
      </c>
      <c r="S238" s="9" t="s">
        <v>1259</v>
      </c>
      <c r="T238" s="170">
        <v>4.2240000000000002</v>
      </c>
      <c r="U238" s="9" t="s">
        <v>2488</v>
      </c>
      <c r="V238" s="199">
        <v>8.3999999999999995E-3</v>
      </c>
      <c r="W238" s="185">
        <v>2.7869999999999999E-2</v>
      </c>
      <c r="X238" s="5" t="s">
        <v>618</v>
      </c>
      <c r="Y238" s="5" t="s">
        <v>62</v>
      </c>
      <c r="Z238" s="170">
        <v>46703.3</v>
      </c>
      <c r="AA238" s="184">
        <v>1</v>
      </c>
      <c r="AB238" s="186">
        <v>107.28</v>
      </c>
      <c r="AC238" s="9"/>
      <c r="AD238" s="170">
        <v>50.103000000000002</v>
      </c>
      <c r="AE238" s="9"/>
      <c r="AF238" s="9"/>
      <c r="AG238" s="9" t="s">
        <v>17</v>
      </c>
      <c r="AH238" s="185">
        <v>6.0999999999999999E-5</v>
      </c>
      <c r="AI238" s="185">
        <v>7.4208953446624299E-3</v>
      </c>
      <c r="AJ238" s="185">
        <v>1.1776602681259399E-3</v>
      </c>
    </row>
    <row r="239" spans="1:36">
      <c r="A239" s="9">
        <v>337</v>
      </c>
      <c r="B239" s="9">
        <v>9962</v>
      </c>
      <c r="C239" s="9" t="s">
        <v>1982</v>
      </c>
      <c r="D239" s="9" t="s">
        <v>1983</v>
      </c>
      <c r="E239" s="5" t="s">
        <v>1346</v>
      </c>
      <c r="F239" s="9" t="s">
        <v>2815</v>
      </c>
      <c r="G239" s="9" t="s">
        <v>2816</v>
      </c>
      <c r="H239" s="9" t="s">
        <v>76</v>
      </c>
      <c r="I239" s="9" t="s">
        <v>228</v>
      </c>
      <c r="J239" s="9" t="s">
        <v>53</v>
      </c>
      <c r="K239" s="9" t="s">
        <v>53</v>
      </c>
      <c r="L239" s="9" t="s">
        <v>803</v>
      </c>
      <c r="M239" s="9" t="s">
        <v>311</v>
      </c>
      <c r="N239" s="9" t="s">
        <v>269</v>
      </c>
      <c r="O239" s="9" t="s">
        <v>62</v>
      </c>
      <c r="P239" s="9" t="s">
        <v>2239</v>
      </c>
      <c r="Q239" s="9" t="s">
        <v>65</v>
      </c>
      <c r="R239" s="9" t="s">
        <v>57</v>
      </c>
      <c r="S239" s="9" t="s">
        <v>1259</v>
      </c>
      <c r="T239" s="170">
        <v>1.56</v>
      </c>
      <c r="U239" s="9" t="s">
        <v>2817</v>
      </c>
      <c r="V239" s="199">
        <v>4.7E-2</v>
      </c>
      <c r="W239" s="185">
        <v>4.385E-2</v>
      </c>
      <c r="X239" s="5" t="s">
        <v>618</v>
      </c>
      <c r="Y239" s="5" t="s">
        <v>62</v>
      </c>
      <c r="Z239" s="170">
        <v>50000</v>
      </c>
      <c r="AA239" s="184">
        <v>1</v>
      </c>
      <c r="AB239" s="186">
        <v>102.06</v>
      </c>
      <c r="AC239" s="9"/>
      <c r="AD239" s="170">
        <v>51.03</v>
      </c>
      <c r="AE239" s="9"/>
      <c r="AF239" s="9"/>
      <c r="AG239" s="9" t="s">
        <v>17</v>
      </c>
      <c r="AH239" s="185">
        <v>5.5999999999999999E-5</v>
      </c>
      <c r="AI239" s="185">
        <v>7.5581506133162403E-3</v>
      </c>
      <c r="AJ239" s="185">
        <v>1.1994420166855401E-3</v>
      </c>
    </row>
    <row r="240" spans="1:36">
      <c r="A240" s="9">
        <v>337</v>
      </c>
      <c r="B240" s="9">
        <v>9962</v>
      </c>
      <c r="C240" s="9" t="s">
        <v>1982</v>
      </c>
      <c r="D240" s="9" t="s">
        <v>1983</v>
      </c>
      <c r="E240" s="5" t="s">
        <v>1346</v>
      </c>
      <c r="F240" s="9" t="s">
        <v>2489</v>
      </c>
      <c r="G240" s="9" t="s">
        <v>2490</v>
      </c>
      <c r="H240" s="9" t="s">
        <v>76</v>
      </c>
      <c r="I240" s="9" t="s">
        <v>228</v>
      </c>
      <c r="J240" s="9" t="s">
        <v>53</v>
      </c>
      <c r="K240" s="9" t="s">
        <v>53</v>
      </c>
      <c r="L240" s="9" t="s">
        <v>803</v>
      </c>
      <c r="M240" s="9" t="s">
        <v>311</v>
      </c>
      <c r="N240" s="9" t="s">
        <v>269</v>
      </c>
      <c r="O240" s="9" t="s">
        <v>62</v>
      </c>
      <c r="P240" s="9" t="s">
        <v>2239</v>
      </c>
      <c r="Q240" s="9" t="s">
        <v>65</v>
      </c>
      <c r="R240" s="9" t="s">
        <v>57</v>
      </c>
      <c r="S240" s="9" t="s">
        <v>1259</v>
      </c>
      <c r="T240" s="170">
        <v>4.694</v>
      </c>
      <c r="U240" s="9" t="s">
        <v>2491</v>
      </c>
      <c r="V240" s="199">
        <v>5.2499999999999998E-2</v>
      </c>
      <c r="W240" s="185">
        <v>4.6530000000000002E-2</v>
      </c>
      <c r="X240" s="5" t="s">
        <v>618</v>
      </c>
      <c r="Y240" s="5" t="s">
        <v>62</v>
      </c>
      <c r="Z240" s="170">
        <v>46000</v>
      </c>
      <c r="AA240" s="184">
        <v>1</v>
      </c>
      <c r="AB240" s="186">
        <v>103.89</v>
      </c>
      <c r="AC240" s="9"/>
      <c r="AD240" s="170">
        <v>47.789000000000001</v>
      </c>
      <c r="AE240" s="9"/>
      <c r="AF240" s="9"/>
      <c r="AG240" s="9" t="s">
        <v>17</v>
      </c>
      <c r="AH240" s="185">
        <v>9.2E-5</v>
      </c>
      <c r="AI240" s="185">
        <v>7.0781791675487999E-3</v>
      </c>
      <c r="AJ240" s="185">
        <v>1.1232728652202999E-3</v>
      </c>
    </row>
    <row r="241" spans="1:36">
      <c r="A241" s="9">
        <v>337</v>
      </c>
      <c r="B241" s="9">
        <v>9962</v>
      </c>
      <c r="C241" s="9" t="s">
        <v>2492</v>
      </c>
      <c r="D241" s="9" t="s">
        <v>2493</v>
      </c>
      <c r="E241" s="5" t="s">
        <v>1346</v>
      </c>
      <c r="F241" s="9" t="s">
        <v>2494</v>
      </c>
      <c r="G241" s="9" t="s">
        <v>2495</v>
      </c>
      <c r="H241" s="9" t="s">
        <v>76</v>
      </c>
      <c r="I241" s="9" t="s">
        <v>228</v>
      </c>
      <c r="J241" s="9" t="s">
        <v>53</v>
      </c>
      <c r="K241" s="9" t="s">
        <v>53</v>
      </c>
      <c r="L241" s="9" t="s">
        <v>803</v>
      </c>
      <c r="M241" s="9" t="s">
        <v>1691</v>
      </c>
      <c r="N241" s="9" t="s">
        <v>269</v>
      </c>
      <c r="O241" s="9" t="s">
        <v>62</v>
      </c>
      <c r="P241" s="9" t="s">
        <v>2239</v>
      </c>
      <c r="Q241" s="9" t="s">
        <v>65</v>
      </c>
      <c r="R241" s="9" t="s">
        <v>57</v>
      </c>
      <c r="S241" s="9" t="s">
        <v>1259</v>
      </c>
      <c r="T241" s="170">
        <v>8.5109999999999992</v>
      </c>
      <c r="U241" s="9" t="s">
        <v>2496</v>
      </c>
      <c r="V241" s="199">
        <v>5.5100000000000003E-2</v>
      </c>
      <c r="W241" s="185">
        <v>5.1450000000000003E-2</v>
      </c>
      <c r="X241" s="5" t="s">
        <v>618</v>
      </c>
      <c r="Y241" s="5" t="s">
        <v>62</v>
      </c>
      <c r="Z241" s="170">
        <v>74000</v>
      </c>
      <c r="AA241" s="184">
        <v>1</v>
      </c>
      <c r="AB241" s="186">
        <v>104.59</v>
      </c>
      <c r="AC241" s="9"/>
      <c r="AD241" s="170">
        <v>77.397000000000006</v>
      </c>
      <c r="AE241" s="9"/>
      <c r="AF241" s="9"/>
      <c r="AG241" s="9" t="s">
        <v>17</v>
      </c>
      <c r="AH241" s="185">
        <v>1.4799999999999999E-4</v>
      </c>
      <c r="AI241" s="185">
        <v>1.1463358019960601E-2</v>
      </c>
      <c r="AJ241" s="185">
        <v>1.8191795804155301E-3</v>
      </c>
    </row>
    <row r="242" spans="1:36">
      <c r="A242" s="9">
        <v>337</v>
      </c>
      <c r="B242" s="9">
        <v>9962</v>
      </c>
      <c r="C242" s="9" t="s">
        <v>2492</v>
      </c>
      <c r="D242" s="9" t="s">
        <v>2493</v>
      </c>
      <c r="E242" s="5" t="s">
        <v>1346</v>
      </c>
      <c r="F242" s="9" t="s">
        <v>2818</v>
      </c>
      <c r="G242" s="9" t="s">
        <v>2819</v>
      </c>
      <c r="H242" s="9" t="s">
        <v>76</v>
      </c>
      <c r="I242" s="9" t="s">
        <v>228</v>
      </c>
      <c r="J242" s="9" t="s">
        <v>53</v>
      </c>
      <c r="K242" s="9" t="s">
        <v>53</v>
      </c>
      <c r="L242" s="9" t="s">
        <v>803</v>
      </c>
      <c r="M242" s="9" t="s">
        <v>311</v>
      </c>
      <c r="N242" s="9" t="s">
        <v>269</v>
      </c>
      <c r="O242" s="9" t="s">
        <v>62</v>
      </c>
      <c r="P242" s="9" t="s">
        <v>2239</v>
      </c>
      <c r="Q242" s="9" t="s">
        <v>65</v>
      </c>
      <c r="R242" s="9" t="s">
        <v>57</v>
      </c>
      <c r="S242" s="9" t="s">
        <v>1259</v>
      </c>
      <c r="T242" s="170">
        <v>6.1639999999999997</v>
      </c>
      <c r="U242" s="9" t="s">
        <v>2542</v>
      </c>
      <c r="V242" s="199">
        <v>2.5000000000000001E-2</v>
      </c>
      <c r="W242" s="185">
        <v>4.8559999999999999E-2</v>
      </c>
      <c r="X242" s="5" t="s">
        <v>618</v>
      </c>
      <c r="Y242" s="5" t="s">
        <v>62</v>
      </c>
      <c r="Z242" s="170">
        <v>80000</v>
      </c>
      <c r="AA242" s="184">
        <v>1</v>
      </c>
      <c r="AB242" s="186">
        <v>87.5</v>
      </c>
      <c r="AC242" s="9"/>
      <c r="AD242" s="170">
        <v>70</v>
      </c>
      <c r="AE242" s="9"/>
      <c r="AF242" s="9"/>
      <c r="AG242" s="9" t="s">
        <v>17</v>
      </c>
      <c r="AH242" s="185">
        <v>6.0000000000000002E-5</v>
      </c>
      <c r="AI242" s="185">
        <v>1.0367833488774E-2</v>
      </c>
      <c r="AJ242" s="185">
        <v>1.64532512576892E-3</v>
      </c>
    </row>
    <row r="243" spans="1:36">
      <c r="A243" s="9">
        <v>337</v>
      </c>
      <c r="B243" s="9">
        <v>9962</v>
      </c>
      <c r="C243" s="9" t="s">
        <v>2492</v>
      </c>
      <c r="D243" s="9" t="s">
        <v>2493</v>
      </c>
      <c r="E243" s="5" t="s">
        <v>1346</v>
      </c>
      <c r="F243" s="9" t="s">
        <v>2820</v>
      </c>
      <c r="G243" s="9" t="s">
        <v>2821</v>
      </c>
      <c r="H243" s="9" t="s">
        <v>76</v>
      </c>
      <c r="I243" s="9" t="s">
        <v>229</v>
      </c>
      <c r="J243" s="9" t="s">
        <v>53</v>
      </c>
      <c r="K243" s="9" t="s">
        <v>53</v>
      </c>
      <c r="L243" s="9" t="s">
        <v>803</v>
      </c>
      <c r="M243" s="9" t="s">
        <v>311</v>
      </c>
      <c r="N243" s="9" t="s">
        <v>269</v>
      </c>
      <c r="O243" s="9" t="s">
        <v>62</v>
      </c>
      <c r="P243" s="9" t="s">
        <v>2239</v>
      </c>
      <c r="Q243" s="9" t="s">
        <v>65</v>
      </c>
      <c r="R243" s="9" t="s">
        <v>57</v>
      </c>
      <c r="S243" s="9" t="s">
        <v>1259</v>
      </c>
      <c r="T243" s="170">
        <v>7.9000000000000001E-2</v>
      </c>
      <c r="U243" s="9" t="s">
        <v>2822</v>
      </c>
      <c r="V243" s="199">
        <v>2.4799999999999999E-2</v>
      </c>
      <c r="W243" s="185">
        <v>5.1540000000000002E-2</v>
      </c>
      <c r="X243" s="5" t="s">
        <v>618</v>
      </c>
      <c r="Y243" s="5" t="s">
        <v>62</v>
      </c>
      <c r="Z243" s="170">
        <v>50000</v>
      </c>
      <c r="AA243" s="184">
        <v>1</v>
      </c>
      <c r="AB243" s="186">
        <v>118.24</v>
      </c>
      <c r="AC243" s="9"/>
      <c r="AD243" s="170">
        <v>59.12</v>
      </c>
      <c r="AE243" s="9"/>
      <c r="AF243" s="9"/>
      <c r="AG243" s="9" t="s">
        <v>17</v>
      </c>
      <c r="AH243" s="185">
        <v>1.18E-4</v>
      </c>
      <c r="AI243" s="185">
        <v>8.7563759408045404E-3</v>
      </c>
      <c r="AJ243" s="185">
        <v>1.3895945919351199E-3</v>
      </c>
    </row>
    <row r="244" spans="1:36">
      <c r="A244" s="9">
        <v>337</v>
      </c>
      <c r="B244" s="9">
        <v>9962</v>
      </c>
      <c r="C244" s="9" t="s">
        <v>1663</v>
      </c>
      <c r="D244" s="9" t="s">
        <v>1664</v>
      </c>
      <c r="E244" s="5" t="s">
        <v>1346</v>
      </c>
      <c r="F244" s="9" t="s">
        <v>2497</v>
      </c>
      <c r="G244" s="9" t="s">
        <v>2498</v>
      </c>
      <c r="H244" s="9" t="s">
        <v>76</v>
      </c>
      <c r="I244" s="9" t="s">
        <v>229</v>
      </c>
      <c r="J244" s="9" t="s">
        <v>53</v>
      </c>
      <c r="K244" s="9" t="s">
        <v>53</v>
      </c>
      <c r="L244" s="9" t="s">
        <v>803</v>
      </c>
      <c r="M244" s="9" t="s">
        <v>311</v>
      </c>
      <c r="N244" s="9" t="s">
        <v>256</v>
      </c>
      <c r="O244" s="9" t="s">
        <v>62</v>
      </c>
      <c r="P244" s="9" t="s">
        <v>1641</v>
      </c>
      <c r="Q244" s="9" t="s">
        <v>65</v>
      </c>
      <c r="R244" s="9" t="s">
        <v>57</v>
      </c>
      <c r="S244" s="9" t="s">
        <v>1259</v>
      </c>
      <c r="T244" s="170">
        <v>2.0920000000000001</v>
      </c>
      <c r="U244" s="9" t="s">
        <v>2499</v>
      </c>
      <c r="V244" s="199">
        <v>1.8599999999999998E-2</v>
      </c>
      <c r="W244" s="185">
        <v>2.5680000000000001E-2</v>
      </c>
      <c r="X244" s="5" t="s">
        <v>618</v>
      </c>
      <c r="Y244" s="5" t="s">
        <v>62</v>
      </c>
      <c r="Z244" s="170">
        <v>37800</v>
      </c>
      <c r="AA244" s="184">
        <v>1</v>
      </c>
      <c r="AB244" s="186">
        <v>104.2</v>
      </c>
      <c r="AC244" s="9"/>
      <c r="AD244" s="170">
        <v>39.387999999999998</v>
      </c>
      <c r="AE244" s="9"/>
      <c r="AF244" s="9"/>
      <c r="AG244" s="9" t="s">
        <v>17</v>
      </c>
      <c r="AH244" s="185">
        <v>1.2999999999999999E-5</v>
      </c>
      <c r="AI244" s="185">
        <v>5.8337725474633499E-3</v>
      </c>
      <c r="AJ244" s="185">
        <v>9.2579154176765702E-4</v>
      </c>
    </row>
    <row r="245" spans="1:36">
      <c r="A245" s="9">
        <v>337</v>
      </c>
      <c r="B245" s="9">
        <v>9962</v>
      </c>
      <c r="C245" s="9" t="s">
        <v>1663</v>
      </c>
      <c r="D245" s="9" t="s">
        <v>1664</v>
      </c>
      <c r="E245" s="5" t="s">
        <v>1346</v>
      </c>
      <c r="F245" s="9" t="s">
        <v>2823</v>
      </c>
      <c r="G245" s="9" t="s">
        <v>2824</v>
      </c>
      <c r="H245" s="9" t="s">
        <v>76</v>
      </c>
      <c r="I245" s="9" t="s">
        <v>229</v>
      </c>
      <c r="J245" s="9" t="s">
        <v>53</v>
      </c>
      <c r="K245" s="9" t="s">
        <v>53</v>
      </c>
      <c r="L245" s="9" t="s">
        <v>803</v>
      </c>
      <c r="M245" s="9" t="s">
        <v>311</v>
      </c>
      <c r="N245" s="9" t="s">
        <v>256</v>
      </c>
      <c r="O245" s="9" t="s">
        <v>62</v>
      </c>
      <c r="P245" s="9" t="s">
        <v>1641</v>
      </c>
      <c r="Q245" s="9" t="s">
        <v>65</v>
      </c>
      <c r="R245" s="9" t="s">
        <v>57</v>
      </c>
      <c r="S245" s="9" t="s">
        <v>1259</v>
      </c>
      <c r="T245" s="170">
        <v>2.3969999999999998</v>
      </c>
      <c r="U245" s="9" t="s">
        <v>2825</v>
      </c>
      <c r="V245" s="199">
        <v>1E-3</v>
      </c>
      <c r="W245" s="185">
        <v>2.4969999999999999E-2</v>
      </c>
      <c r="X245" s="5" t="s">
        <v>618</v>
      </c>
      <c r="Y245" s="5" t="s">
        <v>62</v>
      </c>
      <c r="Z245" s="170">
        <v>28000</v>
      </c>
      <c r="AA245" s="184">
        <v>1</v>
      </c>
      <c r="AB245" s="186">
        <v>107.95</v>
      </c>
      <c r="AC245" s="9"/>
      <c r="AD245" s="170">
        <v>30.225999999999999</v>
      </c>
      <c r="AE245" s="9"/>
      <c r="AF245" s="9"/>
      <c r="AG245" s="9" t="s">
        <v>17</v>
      </c>
      <c r="AH245" s="185">
        <v>9.0000000000000002E-6</v>
      </c>
      <c r="AI245" s="185">
        <v>4.4768305004526101E-3</v>
      </c>
      <c r="AJ245" s="185">
        <v>7.1045138930701996E-4</v>
      </c>
    </row>
    <row r="246" spans="1:36">
      <c r="A246" s="9">
        <v>337</v>
      </c>
      <c r="B246" s="9">
        <v>9962</v>
      </c>
      <c r="C246" s="9" t="s">
        <v>1663</v>
      </c>
      <c r="D246" s="9" t="s">
        <v>1664</v>
      </c>
      <c r="E246" s="5" t="s">
        <v>1346</v>
      </c>
      <c r="F246" s="9" t="s">
        <v>2500</v>
      </c>
      <c r="G246" s="9" t="s">
        <v>2501</v>
      </c>
      <c r="H246" s="9" t="s">
        <v>76</v>
      </c>
      <c r="I246" s="9" t="s">
        <v>229</v>
      </c>
      <c r="J246" s="9" t="s">
        <v>53</v>
      </c>
      <c r="K246" s="9" t="s">
        <v>53</v>
      </c>
      <c r="L246" s="9" t="s">
        <v>803</v>
      </c>
      <c r="M246" s="9" t="s">
        <v>311</v>
      </c>
      <c r="N246" s="9" t="s">
        <v>256</v>
      </c>
      <c r="O246" s="9" t="s">
        <v>62</v>
      </c>
      <c r="P246" s="9" t="s">
        <v>1641</v>
      </c>
      <c r="Q246" s="9" t="s">
        <v>65</v>
      </c>
      <c r="R246" s="9" t="s">
        <v>57</v>
      </c>
      <c r="S246" s="9" t="s">
        <v>1259</v>
      </c>
      <c r="T246" s="170">
        <v>4.3879999999999999</v>
      </c>
      <c r="U246" s="9" t="s">
        <v>2502</v>
      </c>
      <c r="V246" s="199">
        <v>2.0199999999999999E-2</v>
      </c>
      <c r="W246" s="185">
        <v>2.6360000000000001E-2</v>
      </c>
      <c r="X246" s="5" t="s">
        <v>618</v>
      </c>
      <c r="Y246" s="5" t="s">
        <v>62</v>
      </c>
      <c r="Z246" s="170">
        <v>142000</v>
      </c>
      <c r="AA246" s="184">
        <v>1</v>
      </c>
      <c r="AB246" s="186">
        <v>102.52</v>
      </c>
      <c r="AC246" s="9"/>
      <c r="AD246" s="170">
        <v>145.578</v>
      </c>
      <c r="AE246" s="9"/>
      <c r="AF246" s="9"/>
      <c r="AG246" s="9" t="s">
        <v>17</v>
      </c>
      <c r="AH246" s="185">
        <v>4.0000000000000003E-5</v>
      </c>
      <c r="AI246" s="185">
        <v>2.1561894439459099E-2</v>
      </c>
      <c r="AJ246" s="185">
        <v>3.4217685612748299E-3</v>
      </c>
    </row>
    <row r="247" spans="1:36">
      <c r="A247" s="9">
        <v>337</v>
      </c>
      <c r="B247" s="9">
        <v>9962</v>
      </c>
      <c r="C247" s="9" t="s">
        <v>1663</v>
      </c>
      <c r="D247" s="9" t="s">
        <v>1664</v>
      </c>
      <c r="E247" s="5" t="s">
        <v>1346</v>
      </c>
      <c r="F247" s="9" t="s">
        <v>2503</v>
      </c>
      <c r="G247" s="9" t="s">
        <v>2504</v>
      </c>
      <c r="H247" s="9" t="s">
        <v>76</v>
      </c>
      <c r="I247" s="9" t="s">
        <v>229</v>
      </c>
      <c r="J247" s="9" t="s">
        <v>53</v>
      </c>
      <c r="K247" s="9" t="s">
        <v>53</v>
      </c>
      <c r="L247" s="9" t="s">
        <v>803</v>
      </c>
      <c r="M247" s="9" t="s">
        <v>311</v>
      </c>
      <c r="N247" s="9" t="s">
        <v>256</v>
      </c>
      <c r="O247" s="9" t="s">
        <v>62</v>
      </c>
      <c r="P247" s="9" t="s">
        <v>1641</v>
      </c>
      <c r="Q247" s="9" t="s">
        <v>65</v>
      </c>
      <c r="R247" s="9" t="s">
        <v>57</v>
      </c>
      <c r="S247" s="9" t="s">
        <v>1259</v>
      </c>
      <c r="T247" s="170">
        <v>4.3920000000000003</v>
      </c>
      <c r="U247" s="9" t="s">
        <v>2505</v>
      </c>
      <c r="V247" s="199">
        <v>1E-3</v>
      </c>
      <c r="W247" s="185">
        <v>2.581E-2</v>
      </c>
      <c r="X247" s="5" t="s">
        <v>618</v>
      </c>
      <c r="Y247" s="5" t="s">
        <v>62</v>
      </c>
      <c r="Z247" s="170">
        <v>29000</v>
      </c>
      <c r="AA247" s="184">
        <v>1</v>
      </c>
      <c r="AB247" s="186">
        <v>102.6</v>
      </c>
      <c r="AC247" s="9"/>
      <c r="AD247" s="170">
        <v>29.754000000000001</v>
      </c>
      <c r="AE247" s="9"/>
      <c r="AF247" s="9"/>
      <c r="AG247" s="9" t="s">
        <v>17</v>
      </c>
      <c r="AH247" s="185">
        <v>6.9999999999999999E-6</v>
      </c>
      <c r="AI247" s="185">
        <v>4.4069216803568796E-3</v>
      </c>
      <c r="AJ247" s="185">
        <v>6.9935719703040702E-4</v>
      </c>
    </row>
    <row r="248" spans="1:36">
      <c r="A248" s="9">
        <v>337</v>
      </c>
      <c r="B248" s="9">
        <v>9962</v>
      </c>
      <c r="C248" s="9" t="s">
        <v>1663</v>
      </c>
      <c r="D248" s="9" t="s">
        <v>1664</v>
      </c>
      <c r="E248" s="5" t="s">
        <v>1346</v>
      </c>
      <c r="F248" s="9" t="s">
        <v>2506</v>
      </c>
      <c r="G248" s="9" t="s">
        <v>2507</v>
      </c>
      <c r="H248" s="9" t="s">
        <v>76</v>
      </c>
      <c r="I248" s="9" t="s">
        <v>229</v>
      </c>
      <c r="J248" s="9" t="s">
        <v>53</v>
      </c>
      <c r="K248" s="9" t="s">
        <v>53</v>
      </c>
      <c r="L248" s="9" t="s">
        <v>803</v>
      </c>
      <c r="M248" s="9" t="s">
        <v>311</v>
      </c>
      <c r="N248" s="9" t="s">
        <v>256</v>
      </c>
      <c r="O248" s="9" t="s">
        <v>62</v>
      </c>
      <c r="P248" s="9" t="s">
        <v>2239</v>
      </c>
      <c r="Q248" s="9" t="s">
        <v>65</v>
      </c>
      <c r="R248" s="9" t="s">
        <v>57</v>
      </c>
      <c r="S248" s="9" t="s">
        <v>1259</v>
      </c>
      <c r="T248" s="170">
        <v>2.6920000000000002</v>
      </c>
      <c r="U248" s="9" t="s">
        <v>2508</v>
      </c>
      <c r="V248" s="199">
        <v>1.4999999999999999E-2</v>
      </c>
      <c r="W248" s="185">
        <v>2.954E-2</v>
      </c>
      <c r="X248" s="5" t="s">
        <v>618</v>
      </c>
      <c r="Y248" s="5" t="s">
        <v>62</v>
      </c>
      <c r="Z248" s="170">
        <v>50000</v>
      </c>
      <c r="AA248" s="184">
        <v>1</v>
      </c>
      <c r="AB248" s="186">
        <v>109.15</v>
      </c>
      <c r="AC248" s="9"/>
      <c r="AD248" s="170">
        <v>54.575000000000003</v>
      </c>
      <c r="AE248" s="9"/>
      <c r="AF248" s="9"/>
      <c r="AG248" s="9" t="s">
        <v>17</v>
      </c>
      <c r="AH248" s="185">
        <v>3.6000000000000001E-5</v>
      </c>
      <c r="AI248" s="185">
        <v>8.0832073235691491E-3</v>
      </c>
      <c r="AJ248" s="185">
        <v>1.2827659819834099E-3</v>
      </c>
    </row>
    <row r="249" spans="1:36">
      <c r="A249" s="9">
        <v>337</v>
      </c>
      <c r="B249" s="9">
        <v>9962</v>
      </c>
      <c r="C249" s="9" t="s">
        <v>1663</v>
      </c>
      <c r="D249" s="9" t="s">
        <v>1664</v>
      </c>
      <c r="E249" s="5" t="s">
        <v>1346</v>
      </c>
      <c r="F249" s="9" t="s">
        <v>2509</v>
      </c>
      <c r="G249" s="9" t="s">
        <v>2510</v>
      </c>
      <c r="H249" s="9" t="s">
        <v>76</v>
      </c>
      <c r="I249" s="9" t="s">
        <v>229</v>
      </c>
      <c r="J249" s="9" t="s">
        <v>53</v>
      </c>
      <c r="K249" s="9" t="s">
        <v>53</v>
      </c>
      <c r="L249" s="9" t="s">
        <v>803</v>
      </c>
      <c r="M249" s="9" t="s">
        <v>1691</v>
      </c>
      <c r="N249" s="9" t="s">
        <v>256</v>
      </c>
      <c r="O249" s="9" t="s">
        <v>62</v>
      </c>
      <c r="P249" s="9" t="s">
        <v>2239</v>
      </c>
      <c r="Q249" s="9" t="s">
        <v>65</v>
      </c>
      <c r="R249" s="9" t="s">
        <v>57</v>
      </c>
      <c r="S249" s="9" t="s">
        <v>1259</v>
      </c>
      <c r="T249" s="170">
        <v>5.2320000000000002</v>
      </c>
      <c r="U249" s="9" t="s">
        <v>2511</v>
      </c>
      <c r="V249" s="199">
        <v>3.1E-2</v>
      </c>
      <c r="W249" s="185">
        <v>2.937E-2</v>
      </c>
      <c r="X249" s="5" t="s">
        <v>618</v>
      </c>
      <c r="Y249" s="5" t="s">
        <v>62</v>
      </c>
      <c r="Z249" s="170">
        <v>67000</v>
      </c>
      <c r="AA249" s="184">
        <v>1</v>
      </c>
      <c r="AB249" s="186">
        <v>103.76</v>
      </c>
      <c r="AC249" s="9"/>
      <c r="AD249" s="170">
        <v>69.519000000000005</v>
      </c>
      <c r="AE249" s="9"/>
      <c r="AF249" s="9"/>
      <c r="AG249" s="9" t="s">
        <v>17</v>
      </c>
      <c r="AH249" s="185">
        <v>4.3999999999999999E-5</v>
      </c>
      <c r="AI249" s="185">
        <v>1.0296621283896801E-2</v>
      </c>
      <c r="AJ249" s="185">
        <v>1.6340240926193501E-3</v>
      </c>
    </row>
    <row r="250" spans="1:36">
      <c r="A250" s="9">
        <v>337</v>
      </c>
      <c r="B250" s="9">
        <v>9962</v>
      </c>
      <c r="C250" s="9" t="s">
        <v>2826</v>
      </c>
      <c r="D250" s="9" t="s">
        <v>2827</v>
      </c>
      <c r="E250" s="5" t="s">
        <v>1346</v>
      </c>
      <c r="F250" s="9" t="s">
        <v>2828</v>
      </c>
      <c r="G250" s="9" t="s">
        <v>2829</v>
      </c>
      <c r="H250" s="9" t="s">
        <v>76</v>
      </c>
      <c r="I250" s="9" t="s">
        <v>229</v>
      </c>
      <c r="J250" s="9" t="s">
        <v>53</v>
      </c>
      <c r="K250" s="9" t="s">
        <v>53</v>
      </c>
      <c r="L250" s="9" t="s">
        <v>803</v>
      </c>
      <c r="M250" s="9" t="s">
        <v>311</v>
      </c>
      <c r="N250" s="9" t="s">
        <v>690</v>
      </c>
      <c r="O250" s="9" t="s">
        <v>62</v>
      </c>
      <c r="P250" s="9" t="s">
        <v>2225</v>
      </c>
      <c r="Q250" s="9" t="s">
        <v>70</v>
      </c>
      <c r="R250" s="9" t="s">
        <v>57</v>
      </c>
      <c r="S250" s="9" t="s">
        <v>1259</v>
      </c>
      <c r="T250" s="170">
        <v>2.44</v>
      </c>
      <c r="U250" s="9" t="s">
        <v>2830</v>
      </c>
      <c r="V250" s="199">
        <v>3.73E-2</v>
      </c>
      <c r="W250" s="185">
        <v>3.1789999999999999E-2</v>
      </c>
      <c r="X250" s="5" t="s">
        <v>618</v>
      </c>
      <c r="Y250" s="5" t="s">
        <v>62</v>
      </c>
      <c r="Z250" s="170">
        <v>25920</v>
      </c>
      <c r="AA250" s="184">
        <v>1</v>
      </c>
      <c r="AB250" s="186">
        <v>111.71</v>
      </c>
      <c r="AC250" s="9"/>
      <c r="AD250" s="170">
        <v>28.954999999999998</v>
      </c>
      <c r="AE250" s="9"/>
      <c r="AF250" s="9"/>
      <c r="AG250" s="9" t="s">
        <v>17</v>
      </c>
      <c r="AH250" s="185">
        <v>5.8999999999999998E-5</v>
      </c>
      <c r="AI250" s="185">
        <v>4.2886146286402896E-3</v>
      </c>
      <c r="AJ250" s="185">
        <v>6.8058243902954698E-4</v>
      </c>
    </row>
    <row r="251" spans="1:36">
      <c r="A251" s="9">
        <v>337</v>
      </c>
      <c r="B251" s="9">
        <v>9962</v>
      </c>
      <c r="C251" s="9" t="s">
        <v>2831</v>
      </c>
      <c r="D251" s="9" t="s">
        <v>2832</v>
      </c>
      <c r="E251" s="5" t="s">
        <v>1346</v>
      </c>
      <c r="F251" s="9" t="s">
        <v>2833</v>
      </c>
      <c r="G251" s="9" t="s">
        <v>2834</v>
      </c>
      <c r="H251" s="9" t="s">
        <v>76</v>
      </c>
      <c r="I251" s="9" t="s">
        <v>228</v>
      </c>
      <c r="J251" s="9" t="s">
        <v>53</v>
      </c>
      <c r="K251" s="9" t="s">
        <v>53</v>
      </c>
      <c r="L251" s="9" t="s">
        <v>803</v>
      </c>
      <c r="M251" s="9" t="s">
        <v>311</v>
      </c>
      <c r="N251" s="9" t="s">
        <v>140</v>
      </c>
      <c r="O251" s="9" t="s">
        <v>62</v>
      </c>
      <c r="P251" s="167" t="s">
        <v>298</v>
      </c>
      <c r="Q251" s="9" t="s">
        <v>298</v>
      </c>
      <c r="R251" s="9" t="s">
        <v>298</v>
      </c>
      <c r="S251" s="9" t="s">
        <v>1259</v>
      </c>
      <c r="T251" s="170">
        <v>3.8039999999999998</v>
      </c>
      <c r="U251" s="9" t="s">
        <v>2835</v>
      </c>
      <c r="V251" s="199">
        <v>6.7299999999999999E-2</v>
      </c>
      <c r="W251" s="185">
        <v>5.4149999999999997E-2</v>
      </c>
      <c r="X251" s="5" t="s">
        <v>618</v>
      </c>
      <c r="Y251" s="5" t="s">
        <v>62</v>
      </c>
      <c r="Z251" s="170">
        <v>28335</v>
      </c>
      <c r="AA251" s="184">
        <v>1</v>
      </c>
      <c r="AB251" s="186">
        <v>105.77</v>
      </c>
      <c r="AC251" s="9"/>
      <c r="AD251" s="170">
        <v>29.97</v>
      </c>
      <c r="AE251" s="9"/>
      <c r="AF251" s="9"/>
      <c r="AG251" s="9" t="s">
        <v>17</v>
      </c>
      <c r="AH251" s="185">
        <v>1.0900000000000001E-4</v>
      </c>
      <c r="AI251" s="185">
        <v>4.4389034103756502E-3</v>
      </c>
      <c r="AJ251" s="185">
        <v>7.0443254319818896E-4</v>
      </c>
    </row>
    <row r="252" spans="1:36">
      <c r="A252" s="9">
        <v>337</v>
      </c>
      <c r="B252" s="9">
        <v>9962</v>
      </c>
      <c r="C252" s="9" t="s">
        <v>2512</v>
      </c>
      <c r="D252" s="9" t="s">
        <v>2513</v>
      </c>
      <c r="E252" s="5" t="s">
        <v>1346</v>
      </c>
      <c r="F252" s="9" t="s">
        <v>2514</v>
      </c>
      <c r="G252" s="9" t="s">
        <v>2515</v>
      </c>
      <c r="H252" s="9" t="s">
        <v>76</v>
      </c>
      <c r="I252" s="9" t="s">
        <v>228</v>
      </c>
      <c r="J252" s="9" t="s">
        <v>53</v>
      </c>
      <c r="K252" s="9" t="s">
        <v>53</v>
      </c>
      <c r="L252" s="9" t="s">
        <v>803</v>
      </c>
      <c r="M252" s="9" t="s">
        <v>311</v>
      </c>
      <c r="N252" s="9" t="s">
        <v>140</v>
      </c>
      <c r="O252" s="9" t="s">
        <v>62</v>
      </c>
      <c r="P252" s="167" t="s">
        <v>298</v>
      </c>
      <c r="Q252" s="9" t="s">
        <v>298</v>
      </c>
      <c r="R252" s="9" t="s">
        <v>298</v>
      </c>
      <c r="S252" s="9" t="s">
        <v>1259</v>
      </c>
      <c r="T252" s="170">
        <v>2.8420000000000001</v>
      </c>
      <c r="U252" s="9" t="s">
        <v>2516</v>
      </c>
      <c r="V252" s="199">
        <v>8.1500000000000003E-2</v>
      </c>
      <c r="W252" s="185">
        <v>5.6730000000000003E-2</v>
      </c>
      <c r="X252" s="5" t="s">
        <v>618</v>
      </c>
      <c r="Y252" s="5" t="s">
        <v>62</v>
      </c>
      <c r="Z252" s="170">
        <v>28000</v>
      </c>
      <c r="AA252" s="184">
        <v>1</v>
      </c>
      <c r="AB252" s="186">
        <v>109.5</v>
      </c>
      <c r="AC252" s="9"/>
      <c r="AD252" s="170">
        <v>30.66</v>
      </c>
      <c r="AE252" s="9"/>
      <c r="AF252" s="9"/>
      <c r="AG252" s="9" t="s">
        <v>17</v>
      </c>
      <c r="AH252" s="185">
        <v>1.36E-4</v>
      </c>
      <c r="AI252" s="185">
        <v>4.5411110680830102E-3</v>
      </c>
      <c r="AJ252" s="185">
        <v>7.2065240508678802E-4</v>
      </c>
    </row>
    <row r="253" spans="1:36">
      <c r="A253" s="9">
        <v>337</v>
      </c>
      <c r="B253" s="9">
        <v>9962</v>
      </c>
      <c r="C253" s="9" t="s">
        <v>2517</v>
      </c>
      <c r="D253" s="9" t="s">
        <v>2518</v>
      </c>
      <c r="E253" s="5" t="s">
        <v>1346</v>
      </c>
      <c r="F253" s="9" t="s">
        <v>2519</v>
      </c>
      <c r="G253" s="9" t="s">
        <v>2520</v>
      </c>
      <c r="H253" s="9" t="s">
        <v>76</v>
      </c>
      <c r="I253" s="9" t="s">
        <v>228</v>
      </c>
      <c r="J253" s="9" t="s">
        <v>53</v>
      </c>
      <c r="K253" s="9" t="s">
        <v>314</v>
      </c>
      <c r="L253" s="9" t="s">
        <v>803</v>
      </c>
      <c r="M253" s="9" t="s">
        <v>311</v>
      </c>
      <c r="N253" s="9" t="s">
        <v>634</v>
      </c>
      <c r="O253" s="9" t="s">
        <v>62</v>
      </c>
      <c r="P253" s="9" t="s">
        <v>1607</v>
      </c>
      <c r="Q253" s="9" t="s">
        <v>65</v>
      </c>
      <c r="R253" s="9" t="s">
        <v>57</v>
      </c>
      <c r="S253" s="9" t="s">
        <v>1259</v>
      </c>
      <c r="T253" s="170">
        <v>0.41399999999999998</v>
      </c>
      <c r="U253" s="9" t="s">
        <v>2521</v>
      </c>
      <c r="V253" s="199">
        <v>3.95E-2</v>
      </c>
      <c r="W253" s="185">
        <v>5.1709999999999999E-2</v>
      </c>
      <c r="X253" s="5" t="s">
        <v>618</v>
      </c>
      <c r="Y253" s="5" t="s">
        <v>62</v>
      </c>
      <c r="Z253" s="170">
        <v>13000</v>
      </c>
      <c r="AA253" s="184">
        <v>1</v>
      </c>
      <c r="AB253" s="186">
        <v>99.87</v>
      </c>
      <c r="AC253" s="9"/>
      <c r="AD253" s="170">
        <v>12.983000000000001</v>
      </c>
      <c r="AE253" s="9"/>
      <c r="AF253" s="9"/>
      <c r="AG253" s="9" t="s">
        <v>17</v>
      </c>
      <c r="AH253" s="185">
        <v>4.1E-5</v>
      </c>
      <c r="AI253" s="185">
        <v>1.9229516995443101E-3</v>
      </c>
      <c r="AJ253" s="185">
        <v>3.0516315200529302E-4</v>
      </c>
    </row>
    <row r="254" spans="1:36">
      <c r="A254" s="9">
        <v>337</v>
      </c>
      <c r="B254" s="9">
        <v>9962</v>
      </c>
      <c r="C254" s="9" t="s">
        <v>1992</v>
      </c>
      <c r="D254" s="9" t="s">
        <v>1993</v>
      </c>
      <c r="E254" s="5" t="s">
        <v>1346</v>
      </c>
      <c r="F254" s="9" t="s">
        <v>2525</v>
      </c>
      <c r="G254" s="9" t="s">
        <v>2526</v>
      </c>
      <c r="H254" s="9" t="s">
        <v>76</v>
      </c>
      <c r="I254" s="9" t="s">
        <v>229</v>
      </c>
      <c r="J254" s="9" t="s">
        <v>53</v>
      </c>
      <c r="K254" s="9" t="s">
        <v>53</v>
      </c>
      <c r="L254" s="9" t="s">
        <v>803</v>
      </c>
      <c r="M254" s="9" t="s">
        <v>311</v>
      </c>
      <c r="N254" s="9" t="s">
        <v>633</v>
      </c>
      <c r="O254" s="9" t="s">
        <v>62</v>
      </c>
      <c r="P254" s="9" t="s">
        <v>2246</v>
      </c>
      <c r="Q254" s="9" t="s">
        <v>65</v>
      </c>
      <c r="R254" s="9" t="s">
        <v>57</v>
      </c>
      <c r="S254" s="9" t="s">
        <v>1259</v>
      </c>
      <c r="T254" s="170">
        <v>2.7789999999999999</v>
      </c>
      <c r="U254" s="9" t="s">
        <v>2527</v>
      </c>
      <c r="V254" s="199">
        <v>2.81E-2</v>
      </c>
      <c r="W254" s="185">
        <v>2.716E-2</v>
      </c>
      <c r="X254" s="5" t="s">
        <v>618</v>
      </c>
      <c r="Y254" s="5" t="s">
        <v>62</v>
      </c>
      <c r="Z254" s="170">
        <v>27187.5</v>
      </c>
      <c r="AA254" s="184">
        <v>1</v>
      </c>
      <c r="AB254" s="186">
        <v>118.81</v>
      </c>
      <c r="AC254" s="9"/>
      <c r="AD254" s="170">
        <v>32.301000000000002</v>
      </c>
      <c r="AE254" s="9"/>
      <c r="AF254" s="9"/>
      <c r="AG254" s="9" t="s">
        <v>17</v>
      </c>
      <c r="AH254" s="185">
        <v>2.0000000000000002E-5</v>
      </c>
      <c r="AI254" s="185">
        <v>4.7842321348976601E-3</v>
      </c>
      <c r="AJ254" s="185">
        <v>7.5923454476592401E-4</v>
      </c>
    </row>
    <row r="255" spans="1:36">
      <c r="A255" s="9">
        <v>337</v>
      </c>
      <c r="B255" s="9">
        <v>9962</v>
      </c>
      <c r="C255" s="9" t="s">
        <v>1992</v>
      </c>
      <c r="D255" s="9" t="s">
        <v>1993</v>
      </c>
      <c r="E255" s="5" t="s">
        <v>1346</v>
      </c>
      <c r="F255" s="9" t="s">
        <v>2836</v>
      </c>
      <c r="G255" s="9" t="s">
        <v>2837</v>
      </c>
      <c r="H255" s="9" t="s">
        <v>76</v>
      </c>
      <c r="I255" s="9" t="s">
        <v>229</v>
      </c>
      <c r="J255" s="9" t="s">
        <v>53</v>
      </c>
      <c r="K255" s="9" t="s">
        <v>53</v>
      </c>
      <c r="L255" s="9" t="s">
        <v>803</v>
      </c>
      <c r="M255" s="9" t="s">
        <v>311</v>
      </c>
      <c r="N255" s="9" t="s">
        <v>633</v>
      </c>
      <c r="O255" s="9" t="s">
        <v>62</v>
      </c>
      <c r="P255" s="9" t="s">
        <v>2246</v>
      </c>
      <c r="Q255" s="9" t="s">
        <v>65</v>
      </c>
      <c r="R255" s="9" t="s">
        <v>57</v>
      </c>
      <c r="S255" s="9" t="s">
        <v>1259</v>
      </c>
      <c r="T255" s="170">
        <v>1.9359999999999999</v>
      </c>
      <c r="U255" s="9" t="s">
        <v>2255</v>
      </c>
      <c r="V255" s="199">
        <v>3.6999999999999998E-2</v>
      </c>
      <c r="W255" s="185">
        <v>2.853E-2</v>
      </c>
      <c r="X255" s="5" t="s">
        <v>618</v>
      </c>
      <c r="Y255" s="5" t="s">
        <v>62</v>
      </c>
      <c r="Z255" s="170">
        <v>5263.13</v>
      </c>
      <c r="AA255" s="184">
        <v>1</v>
      </c>
      <c r="AB255" s="186">
        <v>119.11</v>
      </c>
      <c r="AC255" s="9"/>
      <c r="AD255" s="170">
        <v>6.2690000000000001</v>
      </c>
      <c r="AE255" s="9"/>
      <c r="AF255" s="9"/>
      <c r="AG255" s="9" t="s">
        <v>17</v>
      </c>
      <c r="AH255" s="185">
        <v>2.3E-5</v>
      </c>
      <c r="AI255" s="185">
        <v>9.28500828429204E-4</v>
      </c>
      <c r="AJ255" s="185">
        <v>1.4734859929665801E-4</v>
      </c>
    </row>
    <row r="256" spans="1:36">
      <c r="A256" s="9">
        <v>337</v>
      </c>
      <c r="B256" s="9">
        <v>9962</v>
      </c>
      <c r="C256" s="9" t="s">
        <v>2532</v>
      </c>
      <c r="D256" s="9" t="s">
        <v>2533</v>
      </c>
      <c r="E256" s="5" t="s">
        <v>1346</v>
      </c>
      <c r="F256" s="9" t="s">
        <v>2534</v>
      </c>
      <c r="G256" s="9" t="s">
        <v>2535</v>
      </c>
      <c r="H256" s="9" t="s">
        <v>76</v>
      </c>
      <c r="I256" s="9" t="s">
        <v>229</v>
      </c>
      <c r="J256" s="9" t="s">
        <v>53</v>
      </c>
      <c r="K256" s="9" t="s">
        <v>53</v>
      </c>
      <c r="L256" s="9" t="s">
        <v>803</v>
      </c>
      <c r="M256" s="9" t="s">
        <v>311</v>
      </c>
      <c r="N256" s="9" t="s">
        <v>633</v>
      </c>
      <c r="O256" s="9" t="s">
        <v>62</v>
      </c>
      <c r="P256" s="9" t="s">
        <v>1607</v>
      </c>
      <c r="Q256" s="9" t="s">
        <v>65</v>
      </c>
      <c r="R256" s="9" t="s">
        <v>57</v>
      </c>
      <c r="S256" s="9" t="s">
        <v>1259</v>
      </c>
      <c r="T256" s="170">
        <v>1.133</v>
      </c>
      <c r="U256" s="9" t="s">
        <v>2536</v>
      </c>
      <c r="V256" s="199">
        <v>2.0500000000000001E-2</v>
      </c>
      <c r="W256" s="185">
        <v>3.2419999999999997E-2</v>
      </c>
      <c r="X256" s="5" t="s">
        <v>618</v>
      </c>
      <c r="Y256" s="5" t="s">
        <v>62</v>
      </c>
      <c r="Z256" s="170">
        <v>40265.620000000003</v>
      </c>
      <c r="AA256" s="184">
        <v>1</v>
      </c>
      <c r="AB256" s="186">
        <v>117.83</v>
      </c>
      <c r="AC256" s="9"/>
      <c r="AD256" s="170">
        <v>47.445</v>
      </c>
      <c r="AE256" s="9"/>
      <c r="AF256" s="9"/>
      <c r="AG256" s="9" t="s">
        <v>17</v>
      </c>
      <c r="AH256" s="185">
        <v>5.3000000000000001E-5</v>
      </c>
      <c r="AI256" s="185">
        <v>7.02716647135904E-3</v>
      </c>
      <c r="AJ256" s="185">
        <v>1.1151773965898399E-3</v>
      </c>
    </row>
    <row r="257" spans="1:36">
      <c r="A257" s="9">
        <v>337</v>
      </c>
      <c r="B257" s="9">
        <v>9962</v>
      </c>
      <c r="C257" s="9" t="s">
        <v>2532</v>
      </c>
      <c r="D257" s="9" t="s">
        <v>2533</v>
      </c>
      <c r="E257" s="5" t="s">
        <v>1346</v>
      </c>
      <c r="F257" s="9" t="s">
        <v>2540</v>
      </c>
      <c r="G257" s="9" t="s">
        <v>2541</v>
      </c>
      <c r="H257" s="9" t="s">
        <v>76</v>
      </c>
      <c r="I257" s="9" t="s">
        <v>229</v>
      </c>
      <c r="J257" s="9" t="s">
        <v>53</v>
      </c>
      <c r="K257" s="9" t="s">
        <v>53</v>
      </c>
      <c r="L257" s="9" t="s">
        <v>803</v>
      </c>
      <c r="M257" s="9" t="s">
        <v>311</v>
      </c>
      <c r="N257" s="9" t="s">
        <v>633</v>
      </c>
      <c r="O257" s="9" t="s">
        <v>62</v>
      </c>
      <c r="P257" s="9" t="s">
        <v>1607</v>
      </c>
      <c r="Q257" s="9" t="s">
        <v>65</v>
      </c>
      <c r="R257" s="9" t="s">
        <v>57</v>
      </c>
      <c r="S257" s="9" t="s">
        <v>1259</v>
      </c>
      <c r="T257" s="170">
        <v>5.1100000000000003</v>
      </c>
      <c r="U257" s="9" t="s">
        <v>2542</v>
      </c>
      <c r="V257" s="199">
        <v>9.7000000000000003E-3</v>
      </c>
      <c r="W257" s="185">
        <v>3.2030000000000003E-2</v>
      </c>
      <c r="X257" s="5" t="s">
        <v>618</v>
      </c>
      <c r="Y257" s="5" t="s">
        <v>62</v>
      </c>
      <c r="Z257" s="170">
        <v>108001.24</v>
      </c>
      <c r="AA257" s="184">
        <v>1</v>
      </c>
      <c r="AB257" s="186">
        <v>103.36</v>
      </c>
      <c r="AC257" s="9"/>
      <c r="AD257" s="170">
        <v>111.63</v>
      </c>
      <c r="AE257" s="9"/>
      <c r="AF257" s="9"/>
      <c r="AG257" s="9" t="s">
        <v>17</v>
      </c>
      <c r="AH257" s="185">
        <v>1.7899999999999999E-4</v>
      </c>
      <c r="AI257" s="185">
        <v>1.6533744271865599E-2</v>
      </c>
      <c r="AJ257" s="185">
        <v>2.62382540219165E-3</v>
      </c>
    </row>
    <row r="258" spans="1:36">
      <c r="A258" s="9">
        <v>337</v>
      </c>
      <c r="B258" s="9">
        <v>9962</v>
      </c>
      <c r="C258" s="9" t="s">
        <v>2543</v>
      </c>
      <c r="D258" s="9" t="s">
        <v>2544</v>
      </c>
      <c r="E258" s="5" t="s">
        <v>1346</v>
      </c>
      <c r="F258" s="9" t="s">
        <v>2548</v>
      </c>
      <c r="G258" s="9" t="s">
        <v>2549</v>
      </c>
      <c r="H258" s="9" t="s">
        <v>76</v>
      </c>
      <c r="I258" s="9" t="s">
        <v>229</v>
      </c>
      <c r="J258" s="9" t="s">
        <v>53</v>
      </c>
      <c r="K258" s="9" t="s">
        <v>53</v>
      </c>
      <c r="L258" s="9" t="s">
        <v>803</v>
      </c>
      <c r="M258" s="9" t="s">
        <v>311</v>
      </c>
      <c r="N258" s="9" t="s">
        <v>256</v>
      </c>
      <c r="O258" s="9" t="s">
        <v>62</v>
      </c>
      <c r="P258" s="9" t="s">
        <v>1641</v>
      </c>
      <c r="Q258" s="9" t="s">
        <v>65</v>
      </c>
      <c r="R258" s="9" t="s">
        <v>57</v>
      </c>
      <c r="S258" s="9" t="s">
        <v>1259</v>
      </c>
      <c r="T258" s="170">
        <v>3.3029999999999999</v>
      </c>
      <c r="U258" s="9" t="s">
        <v>2550</v>
      </c>
      <c r="V258" s="199">
        <v>1E-3</v>
      </c>
      <c r="W258" s="185">
        <v>2.5829999999999999E-2</v>
      </c>
      <c r="X258" s="5" t="s">
        <v>618</v>
      </c>
      <c r="Y258" s="5" t="s">
        <v>62</v>
      </c>
      <c r="Z258" s="170">
        <v>58000</v>
      </c>
      <c r="AA258" s="184">
        <v>1</v>
      </c>
      <c r="AB258" s="186">
        <v>105.48</v>
      </c>
      <c r="AC258" s="9"/>
      <c r="AD258" s="170">
        <v>61.177999999999997</v>
      </c>
      <c r="AE258" s="9"/>
      <c r="AF258" s="9"/>
      <c r="AG258" s="9" t="s">
        <v>17</v>
      </c>
      <c r="AH258" s="185">
        <v>1.7E-5</v>
      </c>
      <c r="AI258" s="185">
        <v>9.0612494901372992E-3</v>
      </c>
      <c r="AJ258" s="185">
        <v>1.4379765524905901E-3</v>
      </c>
    </row>
    <row r="259" spans="1:36">
      <c r="A259" s="9">
        <v>337</v>
      </c>
      <c r="B259" s="9">
        <v>9962</v>
      </c>
      <c r="C259" s="9" t="s">
        <v>2543</v>
      </c>
      <c r="D259" s="9" t="s">
        <v>2544</v>
      </c>
      <c r="E259" s="5" t="s">
        <v>1346</v>
      </c>
      <c r="F259" s="9" t="s">
        <v>2557</v>
      </c>
      <c r="G259" s="9" t="s">
        <v>2558</v>
      </c>
      <c r="H259" s="9" t="s">
        <v>76</v>
      </c>
      <c r="I259" s="9" t="s">
        <v>229</v>
      </c>
      <c r="J259" s="9" t="s">
        <v>53</v>
      </c>
      <c r="K259" s="9" t="s">
        <v>53</v>
      </c>
      <c r="L259" s="9" t="s">
        <v>803</v>
      </c>
      <c r="M259" s="9" t="s">
        <v>311</v>
      </c>
      <c r="N259" s="9" t="s">
        <v>256</v>
      </c>
      <c r="O259" s="9" t="s">
        <v>62</v>
      </c>
      <c r="P259" s="9" t="s">
        <v>1641</v>
      </c>
      <c r="Q259" s="9" t="s">
        <v>65</v>
      </c>
      <c r="R259" s="9" t="s">
        <v>57</v>
      </c>
      <c r="S259" s="9" t="s">
        <v>1259</v>
      </c>
      <c r="T259" s="170">
        <v>4.9790000000000001</v>
      </c>
      <c r="U259" s="9" t="s">
        <v>2559</v>
      </c>
      <c r="V259" s="199">
        <v>2E-3</v>
      </c>
      <c r="W259" s="185">
        <v>2.6159999999999999E-2</v>
      </c>
      <c r="X259" s="5" t="s">
        <v>618</v>
      </c>
      <c r="Y259" s="5" t="s">
        <v>62</v>
      </c>
      <c r="Z259" s="170">
        <v>70000</v>
      </c>
      <c r="AA259" s="184">
        <v>1</v>
      </c>
      <c r="AB259" s="186">
        <v>104.05</v>
      </c>
      <c r="AC259" s="170">
        <v>0.16400000000000001</v>
      </c>
      <c r="AD259" s="170">
        <v>72.998999999999995</v>
      </c>
      <c r="AE259" s="9"/>
      <c r="AF259" s="9"/>
      <c r="AG259" s="9" t="s">
        <v>17</v>
      </c>
      <c r="AH259" s="185">
        <v>2.0000000000000002E-5</v>
      </c>
      <c r="AI259" s="185">
        <v>1.08120240600526E-2</v>
      </c>
      <c r="AJ259" s="185">
        <v>1.7158160251786901E-3</v>
      </c>
    </row>
    <row r="260" spans="1:36">
      <c r="A260" s="9">
        <v>337</v>
      </c>
      <c r="B260" s="9">
        <v>9962</v>
      </c>
      <c r="C260" s="9" t="s">
        <v>2562</v>
      </c>
      <c r="D260" s="9" t="s">
        <v>2563</v>
      </c>
      <c r="E260" s="5" t="s">
        <v>1346</v>
      </c>
      <c r="F260" s="9" t="s">
        <v>2564</v>
      </c>
      <c r="G260" s="9" t="s">
        <v>2565</v>
      </c>
      <c r="H260" s="9" t="s">
        <v>76</v>
      </c>
      <c r="I260" s="9" t="s">
        <v>229</v>
      </c>
      <c r="J260" s="9" t="s">
        <v>53</v>
      </c>
      <c r="K260" s="9" t="s">
        <v>53</v>
      </c>
      <c r="L260" s="9" t="s">
        <v>803</v>
      </c>
      <c r="M260" s="9" t="s">
        <v>311</v>
      </c>
      <c r="N260" s="9" t="s">
        <v>631</v>
      </c>
      <c r="O260" s="9" t="s">
        <v>62</v>
      </c>
      <c r="P260" s="9" t="s">
        <v>1621</v>
      </c>
      <c r="Q260" s="9" t="s">
        <v>70</v>
      </c>
      <c r="R260" s="9" t="s">
        <v>57</v>
      </c>
      <c r="S260" s="9" t="s">
        <v>1259</v>
      </c>
      <c r="T260" s="170">
        <v>2.782</v>
      </c>
      <c r="U260" s="9" t="s">
        <v>2566</v>
      </c>
      <c r="V260" s="199">
        <v>0.01</v>
      </c>
      <c r="W260" s="185">
        <v>3.107E-2</v>
      </c>
      <c r="X260" s="5" t="s">
        <v>618</v>
      </c>
      <c r="Y260" s="5" t="s">
        <v>62</v>
      </c>
      <c r="Z260" s="170">
        <v>83992.76</v>
      </c>
      <c r="AA260" s="184">
        <v>1</v>
      </c>
      <c r="AB260" s="186">
        <v>108.19</v>
      </c>
      <c r="AC260" s="9"/>
      <c r="AD260" s="170">
        <v>90.872</v>
      </c>
      <c r="AE260" s="9"/>
      <c r="AF260" s="9"/>
      <c r="AG260" s="9" t="s">
        <v>17</v>
      </c>
      <c r="AH260" s="185">
        <v>4.6999999999999997E-5</v>
      </c>
      <c r="AI260" s="185">
        <v>1.3459190707755E-2</v>
      </c>
      <c r="AJ260" s="185">
        <v>2.13590859343591E-3</v>
      </c>
    </row>
    <row r="261" spans="1:36">
      <c r="A261" s="9">
        <v>337</v>
      </c>
      <c r="B261" s="9">
        <v>9962</v>
      </c>
      <c r="C261" s="9" t="s">
        <v>2562</v>
      </c>
      <c r="D261" s="9" t="s">
        <v>2563</v>
      </c>
      <c r="E261" s="5" t="s">
        <v>1346</v>
      </c>
      <c r="F261" s="9" t="s">
        <v>2567</v>
      </c>
      <c r="G261" s="9" t="s">
        <v>2568</v>
      </c>
      <c r="H261" s="9" t="s">
        <v>76</v>
      </c>
      <c r="I261" s="9" t="s">
        <v>229</v>
      </c>
      <c r="J261" s="9" t="s">
        <v>53</v>
      </c>
      <c r="K261" s="9" t="s">
        <v>53</v>
      </c>
      <c r="L261" s="9" t="s">
        <v>803</v>
      </c>
      <c r="M261" s="9" t="s">
        <v>311</v>
      </c>
      <c r="N261" s="9" t="s">
        <v>631</v>
      </c>
      <c r="O261" s="9" t="s">
        <v>62</v>
      </c>
      <c r="P261" s="9" t="s">
        <v>1621</v>
      </c>
      <c r="Q261" s="9" t="s">
        <v>70</v>
      </c>
      <c r="R261" s="9" t="s">
        <v>57</v>
      </c>
      <c r="S261" s="9" t="s">
        <v>1259</v>
      </c>
      <c r="T261" s="170">
        <v>1.056</v>
      </c>
      <c r="U261" s="9" t="s">
        <v>2569</v>
      </c>
      <c r="V261" s="199">
        <v>3.5400000000000001E-2</v>
      </c>
      <c r="W261" s="185">
        <v>3.4250000000000003E-2</v>
      </c>
      <c r="X261" s="5" t="s">
        <v>618</v>
      </c>
      <c r="Y261" s="5" t="s">
        <v>62</v>
      </c>
      <c r="Z261" s="170">
        <v>34200</v>
      </c>
      <c r="AA261" s="184">
        <v>1</v>
      </c>
      <c r="AB261" s="186">
        <v>109.8</v>
      </c>
      <c r="AC261" s="9"/>
      <c r="AD261" s="170">
        <v>37.552</v>
      </c>
      <c r="AE261" s="9"/>
      <c r="AF261" s="9"/>
      <c r="AG261" s="9" t="s">
        <v>17</v>
      </c>
      <c r="AH261" s="185">
        <v>3.4E-5</v>
      </c>
      <c r="AI261" s="185">
        <v>5.5618390862435E-3</v>
      </c>
      <c r="AJ261" s="185">
        <v>8.8263701418320401E-4</v>
      </c>
    </row>
    <row r="262" spans="1:36">
      <c r="A262" s="9">
        <v>337</v>
      </c>
      <c r="B262" s="9">
        <v>9962</v>
      </c>
      <c r="C262" s="9" t="s">
        <v>2562</v>
      </c>
      <c r="D262" s="9" t="s">
        <v>2563</v>
      </c>
      <c r="E262" s="5" t="s">
        <v>1346</v>
      </c>
      <c r="F262" s="9" t="s">
        <v>2570</v>
      </c>
      <c r="G262" s="9" t="s">
        <v>2571</v>
      </c>
      <c r="H262" s="9" t="s">
        <v>76</v>
      </c>
      <c r="I262" s="9" t="s">
        <v>229</v>
      </c>
      <c r="J262" s="9" t="s">
        <v>53</v>
      </c>
      <c r="K262" s="9" t="s">
        <v>53</v>
      </c>
      <c r="L262" s="9" t="s">
        <v>803</v>
      </c>
      <c r="M262" s="9" t="s">
        <v>311</v>
      </c>
      <c r="N262" s="9" t="s">
        <v>631</v>
      </c>
      <c r="O262" s="9" t="s">
        <v>62</v>
      </c>
      <c r="P262" s="9" t="s">
        <v>1621</v>
      </c>
      <c r="Q262" s="9" t="s">
        <v>70</v>
      </c>
      <c r="R262" s="9" t="s">
        <v>57</v>
      </c>
      <c r="S262" s="9" t="s">
        <v>1259</v>
      </c>
      <c r="T262" s="170">
        <v>0.17899999999999999</v>
      </c>
      <c r="U262" s="9" t="s">
        <v>2572</v>
      </c>
      <c r="V262" s="199">
        <v>0.01</v>
      </c>
      <c r="W262" s="185">
        <v>3.569E-2</v>
      </c>
      <c r="X262" s="5" t="s">
        <v>618</v>
      </c>
      <c r="Y262" s="5" t="s">
        <v>62</v>
      </c>
      <c r="Z262" s="170">
        <v>14302.4</v>
      </c>
      <c r="AA262" s="184">
        <v>1</v>
      </c>
      <c r="AB262" s="186">
        <v>115.84</v>
      </c>
      <c r="AC262" s="9"/>
      <c r="AD262" s="170">
        <v>16.568000000000001</v>
      </c>
      <c r="AE262" s="9"/>
      <c r="AF262" s="9"/>
      <c r="AG262" s="9" t="s">
        <v>17</v>
      </c>
      <c r="AH262" s="185">
        <v>8.5000000000000006E-5</v>
      </c>
      <c r="AI262" s="185">
        <v>2.4539032873930298E-3</v>
      </c>
      <c r="AJ262" s="185">
        <v>3.89422605921128E-4</v>
      </c>
    </row>
    <row r="263" spans="1:36">
      <c r="A263" s="9">
        <v>337</v>
      </c>
      <c r="B263" s="9">
        <v>9962</v>
      </c>
      <c r="C263" s="9" t="s">
        <v>2004</v>
      </c>
      <c r="D263" s="9" t="s">
        <v>2005</v>
      </c>
      <c r="E263" s="5" t="s">
        <v>1346</v>
      </c>
      <c r="F263" s="9" t="s">
        <v>2573</v>
      </c>
      <c r="G263" s="9" t="s">
        <v>2574</v>
      </c>
      <c r="H263" s="9" t="s">
        <v>76</v>
      </c>
      <c r="I263" s="9" t="s">
        <v>229</v>
      </c>
      <c r="J263" s="9" t="s">
        <v>53</v>
      </c>
      <c r="K263" s="9" t="s">
        <v>53</v>
      </c>
      <c r="L263" s="9" t="s">
        <v>803</v>
      </c>
      <c r="M263" s="9" t="s">
        <v>311</v>
      </c>
      <c r="N263" s="9" t="s">
        <v>633</v>
      </c>
      <c r="O263" s="9" t="s">
        <v>62</v>
      </c>
      <c r="P263" s="9" t="s">
        <v>2246</v>
      </c>
      <c r="Q263" s="9" t="s">
        <v>65</v>
      </c>
      <c r="R263" s="9" t="s">
        <v>57</v>
      </c>
      <c r="S263" s="9" t="s">
        <v>1259</v>
      </c>
      <c r="T263" s="170">
        <v>3.7440000000000002</v>
      </c>
      <c r="U263" s="9" t="s">
        <v>2273</v>
      </c>
      <c r="V263" s="199">
        <v>1.43E-2</v>
      </c>
      <c r="W263" s="185">
        <v>2.81E-2</v>
      </c>
      <c r="X263" s="5" t="s">
        <v>618</v>
      </c>
      <c r="Y263" s="5" t="s">
        <v>62</v>
      </c>
      <c r="Z263" s="170">
        <v>122456.57</v>
      </c>
      <c r="AA263" s="184">
        <v>1</v>
      </c>
      <c r="AB263" s="186">
        <v>111.28</v>
      </c>
      <c r="AC263" s="170">
        <v>2.629</v>
      </c>
      <c r="AD263" s="170">
        <v>138.898</v>
      </c>
      <c r="AE263" s="9"/>
      <c r="AF263" s="9"/>
      <c r="AG263" s="9" t="s">
        <v>17</v>
      </c>
      <c r="AH263" s="185">
        <v>6.3999999999999997E-5</v>
      </c>
      <c r="AI263" s="185">
        <v>2.05724833652416E-2</v>
      </c>
      <c r="AJ263" s="185">
        <v>3.2647538000051199E-3</v>
      </c>
    </row>
    <row r="264" spans="1:36">
      <c r="A264" s="9">
        <v>337</v>
      </c>
      <c r="B264" s="9">
        <v>9962</v>
      </c>
      <c r="C264" s="9" t="s">
        <v>2004</v>
      </c>
      <c r="D264" s="9" t="s">
        <v>2005</v>
      </c>
      <c r="E264" s="5" t="s">
        <v>1346</v>
      </c>
      <c r="F264" s="9" t="s">
        <v>2575</v>
      </c>
      <c r="G264" s="9" t="s">
        <v>2576</v>
      </c>
      <c r="H264" s="9" t="s">
        <v>76</v>
      </c>
      <c r="I264" s="9" t="s">
        <v>229</v>
      </c>
      <c r="J264" s="9" t="s">
        <v>53</v>
      </c>
      <c r="K264" s="9" t="s">
        <v>53</v>
      </c>
      <c r="L264" s="9" t="s">
        <v>803</v>
      </c>
      <c r="M264" s="9" t="s">
        <v>311</v>
      </c>
      <c r="N264" s="9" t="s">
        <v>633</v>
      </c>
      <c r="O264" s="9" t="s">
        <v>62</v>
      </c>
      <c r="P264" s="9" t="s">
        <v>2246</v>
      </c>
      <c r="Q264" s="9" t="s">
        <v>65</v>
      </c>
      <c r="R264" s="9" t="s">
        <v>57</v>
      </c>
      <c r="S264" s="9" t="s">
        <v>1259</v>
      </c>
      <c r="T264" s="170">
        <v>5.5979999999999999</v>
      </c>
      <c r="U264" s="9" t="s">
        <v>2577</v>
      </c>
      <c r="V264" s="199">
        <v>3.61E-2</v>
      </c>
      <c r="W264" s="185">
        <v>2.928E-2</v>
      </c>
      <c r="X264" s="5" t="s">
        <v>618</v>
      </c>
      <c r="Y264" s="5" t="s">
        <v>62</v>
      </c>
      <c r="Z264" s="170">
        <v>66658.16</v>
      </c>
      <c r="AA264" s="184">
        <v>1</v>
      </c>
      <c r="AB264" s="186">
        <v>111.6</v>
      </c>
      <c r="AC264" s="170">
        <v>1.4790000000000001</v>
      </c>
      <c r="AD264" s="170">
        <v>75.87</v>
      </c>
      <c r="AE264" s="9"/>
      <c r="AF264" s="9"/>
      <c r="AG264" s="9" t="s">
        <v>17</v>
      </c>
      <c r="AH264" s="185">
        <v>4.3000000000000002E-5</v>
      </c>
      <c r="AI264" s="185">
        <v>1.1237190628493401E-2</v>
      </c>
      <c r="AJ264" s="185">
        <v>1.78328790717313E-3</v>
      </c>
    </row>
    <row r="265" spans="1:36">
      <c r="A265" s="9">
        <v>337</v>
      </c>
      <c r="B265" s="9">
        <v>9962</v>
      </c>
      <c r="C265" s="9" t="s">
        <v>2004</v>
      </c>
      <c r="D265" s="9" t="s">
        <v>2005</v>
      </c>
      <c r="E265" s="5" t="s">
        <v>1346</v>
      </c>
      <c r="F265" s="9" t="s">
        <v>2838</v>
      </c>
      <c r="G265" s="9" t="s">
        <v>2839</v>
      </c>
      <c r="H265" s="9" t="s">
        <v>76</v>
      </c>
      <c r="I265" s="9" t="s">
        <v>229</v>
      </c>
      <c r="J265" s="9" t="s">
        <v>53</v>
      </c>
      <c r="K265" s="9" t="s">
        <v>53</v>
      </c>
      <c r="L265" s="9" t="s">
        <v>803</v>
      </c>
      <c r="M265" s="9" t="s">
        <v>311</v>
      </c>
      <c r="N265" s="9" t="s">
        <v>633</v>
      </c>
      <c r="O265" s="9" t="s">
        <v>62</v>
      </c>
      <c r="P265" s="9" t="s">
        <v>2246</v>
      </c>
      <c r="Q265" s="9" t="s">
        <v>65</v>
      </c>
      <c r="R265" s="9" t="s">
        <v>57</v>
      </c>
      <c r="S265" s="9" t="s">
        <v>1259</v>
      </c>
      <c r="T265" s="170">
        <v>2.1999999999999999E-2</v>
      </c>
      <c r="U265" s="9" t="s">
        <v>2840</v>
      </c>
      <c r="V265" s="199">
        <v>2.3E-2</v>
      </c>
      <c r="W265" s="185">
        <v>4.793E-2</v>
      </c>
      <c r="X265" s="5" t="s">
        <v>618</v>
      </c>
      <c r="Y265" s="5" t="s">
        <v>62</v>
      </c>
      <c r="Z265" s="170">
        <v>34005.089999999997</v>
      </c>
      <c r="AA265" s="184">
        <v>1</v>
      </c>
      <c r="AB265" s="186">
        <v>120.17</v>
      </c>
      <c r="AC265" s="9"/>
      <c r="AD265" s="170">
        <v>40.863999999999997</v>
      </c>
      <c r="AE265" s="9"/>
      <c r="AF265" s="9"/>
      <c r="AG265" s="9" t="s">
        <v>17</v>
      </c>
      <c r="AH265" s="185">
        <v>4.3000000000000002E-5</v>
      </c>
      <c r="AI265" s="185">
        <v>6.0524326222491801E-3</v>
      </c>
      <c r="AJ265" s="185">
        <v>9.6049184009297105E-4</v>
      </c>
    </row>
    <row r="266" spans="1:36">
      <c r="A266" s="9">
        <v>337</v>
      </c>
      <c r="B266" s="9">
        <v>9962</v>
      </c>
      <c r="C266" s="9" t="s">
        <v>2004</v>
      </c>
      <c r="D266" s="9" t="s">
        <v>2005</v>
      </c>
      <c r="E266" s="5" t="s">
        <v>1346</v>
      </c>
      <c r="F266" s="9" t="s">
        <v>2581</v>
      </c>
      <c r="G266" s="9" t="s">
        <v>2582</v>
      </c>
      <c r="H266" s="9" t="s">
        <v>76</v>
      </c>
      <c r="I266" s="9" t="s">
        <v>229</v>
      </c>
      <c r="J266" s="9" t="s">
        <v>53</v>
      </c>
      <c r="K266" s="9" t="s">
        <v>53</v>
      </c>
      <c r="L266" s="9" t="s">
        <v>803</v>
      </c>
      <c r="M266" s="9" t="s">
        <v>311</v>
      </c>
      <c r="N266" s="9" t="s">
        <v>633</v>
      </c>
      <c r="O266" s="9" t="s">
        <v>62</v>
      </c>
      <c r="P266" s="9" t="s">
        <v>2246</v>
      </c>
      <c r="Q266" s="9" t="s">
        <v>65</v>
      </c>
      <c r="R266" s="9" t="s">
        <v>57</v>
      </c>
      <c r="S266" s="9" t="s">
        <v>1259</v>
      </c>
      <c r="T266" s="170">
        <v>4.6920000000000002</v>
      </c>
      <c r="U266" s="9" t="s">
        <v>2559</v>
      </c>
      <c r="V266" s="199">
        <v>2.5000000000000001E-3</v>
      </c>
      <c r="W266" s="185">
        <v>2.7019999999999999E-2</v>
      </c>
      <c r="X266" s="5" t="s">
        <v>618</v>
      </c>
      <c r="Y266" s="5" t="s">
        <v>62</v>
      </c>
      <c r="Z266" s="170">
        <v>27520</v>
      </c>
      <c r="AA266" s="184">
        <v>1</v>
      </c>
      <c r="AB266" s="186">
        <v>102.52</v>
      </c>
      <c r="AC266" s="170">
        <v>0.40699999999999997</v>
      </c>
      <c r="AD266" s="170">
        <v>28.620999999999999</v>
      </c>
      <c r="AE266" s="9"/>
      <c r="AF266" s="9"/>
      <c r="AG266" s="9" t="s">
        <v>17</v>
      </c>
      <c r="AH266" s="185">
        <v>2.0999999999999999E-5</v>
      </c>
      <c r="AI266" s="185">
        <v>4.2391114821933498E-3</v>
      </c>
      <c r="AJ266" s="185">
        <v>6.7272652865618297E-4</v>
      </c>
    </row>
    <row r="267" spans="1:36">
      <c r="A267" s="9">
        <v>337</v>
      </c>
      <c r="B267" s="9">
        <v>9962</v>
      </c>
      <c r="C267" s="9" t="s">
        <v>2583</v>
      </c>
      <c r="D267" s="9" t="s">
        <v>2584</v>
      </c>
      <c r="E267" s="5" t="s">
        <v>1346</v>
      </c>
      <c r="F267" s="9" t="s">
        <v>2585</v>
      </c>
      <c r="G267" s="9" t="s">
        <v>2586</v>
      </c>
      <c r="H267" s="9" t="s">
        <v>76</v>
      </c>
      <c r="I267" s="9" t="s">
        <v>228</v>
      </c>
      <c r="J267" s="9" t="s">
        <v>53</v>
      </c>
      <c r="K267" s="9" t="s">
        <v>53</v>
      </c>
      <c r="L267" s="9" t="s">
        <v>803</v>
      </c>
      <c r="M267" s="9" t="s">
        <v>311</v>
      </c>
      <c r="N267" s="9" t="s">
        <v>269</v>
      </c>
      <c r="O267" s="9" t="s">
        <v>62</v>
      </c>
      <c r="P267" s="9" t="s">
        <v>2587</v>
      </c>
      <c r="Q267" s="9" t="s">
        <v>70</v>
      </c>
      <c r="R267" s="9" t="s">
        <v>57</v>
      </c>
      <c r="S267" s="9" t="s">
        <v>1259</v>
      </c>
      <c r="T267" s="170">
        <v>6.0990000000000002</v>
      </c>
      <c r="U267" s="9" t="s">
        <v>2588</v>
      </c>
      <c r="V267" s="199">
        <v>5.0200000000000002E-2</v>
      </c>
      <c r="W267" s="185">
        <v>4.7890000000000002E-2</v>
      </c>
      <c r="X267" s="5" t="s">
        <v>618</v>
      </c>
      <c r="Y267" s="5" t="s">
        <v>62</v>
      </c>
      <c r="Z267" s="170">
        <v>56000</v>
      </c>
      <c r="AA267" s="184">
        <v>1</v>
      </c>
      <c r="AB267" s="186">
        <v>103.09</v>
      </c>
      <c r="AC267" s="9"/>
      <c r="AD267" s="170">
        <v>57.73</v>
      </c>
      <c r="AE267" s="9"/>
      <c r="AF267" s="9"/>
      <c r="AG267" s="9" t="s">
        <v>17</v>
      </c>
      <c r="AH267" s="185">
        <v>1.3999999999999999E-4</v>
      </c>
      <c r="AI267" s="185">
        <v>8.5505596348616798E-3</v>
      </c>
      <c r="AJ267" s="185">
        <v>1.3569325377241501E-3</v>
      </c>
    </row>
    <row r="268" spans="1:36">
      <c r="A268" s="9">
        <v>337</v>
      </c>
      <c r="B268" s="9">
        <v>9962</v>
      </c>
      <c r="C268" s="9" t="s">
        <v>2012</v>
      </c>
      <c r="D268" s="9" t="s">
        <v>2013</v>
      </c>
      <c r="E268" s="5" t="s">
        <v>1346</v>
      </c>
      <c r="F268" s="9" t="s">
        <v>2589</v>
      </c>
      <c r="G268" s="9" t="s">
        <v>2590</v>
      </c>
      <c r="H268" s="9" t="s">
        <v>76</v>
      </c>
      <c r="I268" s="9" t="s">
        <v>228</v>
      </c>
      <c r="J268" s="9" t="s">
        <v>53</v>
      </c>
      <c r="K268" s="9" t="s">
        <v>53</v>
      </c>
      <c r="L268" s="9" t="s">
        <v>803</v>
      </c>
      <c r="M268" s="9" t="s">
        <v>311</v>
      </c>
      <c r="N268" s="9" t="s">
        <v>631</v>
      </c>
      <c r="O268" s="9" t="s">
        <v>62</v>
      </c>
      <c r="P268" s="9" t="s">
        <v>2314</v>
      </c>
      <c r="Q268" s="9" t="s">
        <v>70</v>
      </c>
      <c r="R268" s="9" t="s">
        <v>57</v>
      </c>
      <c r="S268" s="9" t="s">
        <v>1259</v>
      </c>
      <c r="T268" s="170">
        <v>0.73099999999999998</v>
      </c>
      <c r="U268" s="9" t="s">
        <v>2591</v>
      </c>
      <c r="V268" s="199">
        <v>0.114</v>
      </c>
      <c r="W268" s="185">
        <v>5.91E-2</v>
      </c>
      <c r="X268" s="5" t="s">
        <v>618</v>
      </c>
      <c r="Y268" s="5" t="s">
        <v>62</v>
      </c>
      <c r="Z268" s="170">
        <v>24790</v>
      </c>
      <c r="AA268" s="184">
        <v>1</v>
      </c>
      <c r="AB268" s="186">
        <v>102.52</v>
      </c>
      <c r="AC268" s="9"/>
      <c r="AD268" s="170">
        <v>25.414999999999999</v>
      </c>
      <c r="AE268" s="9"/>
      <c r="AF268" s="9"/>
      <c r="AG268" s="9" t="s">
        <v>17</v>
      </c>
      <c r="AH268" s="185">
        <v>1.03E-4</v>
      </c>
      <c r="AI268" s="185">
        <v>3.7642208672830301E-3</v>
      </c>
      <c r="AJ268" s="185">
        <v>5.9736368052114904E-4</v>
      </c>
    </row>
    <row r="269" spans="1:36">
      <c r="A269" s="9">
        <v>337</v>
      </c>
      <c r="B269" s="9">
        <v>9962</v>
      </c>
      <c r="C269" s="9" t="s">
        <v>2012</v>
      </c>
      <c r="D269" s="9" t="s">
        <v>2013</v>
      </c>
      <c r="E269" s="5" t="s">
        <v>1346</v>
      </c>
      <c r="F269" s="9" t="s">
        <v>2592</v>
      </c>
      <c r="G269" s="9" t="s">
        <v>2593</v>
      </c>
      <c r="H269" s="9" t="s">
        <v>76</v>
      </c>
      <c r="I269" s="9" t="s">
        <v>228</v>
      </c>
      <c r="J269" s="9" t="s">
        <v>53</v>
      </c>
      <c r="K269" s="9" t="s">
        <v>53</v>
      </c>
      <c r="L269" s="9" t="s">
        <v>803</v>
      </c>
      <c r="M269" s="9" t="s">
        <v>1691</v>
      </c>
      <c r="N269" s="9" t="s">
        <v>631</v>
      </c>
      <c r="O269" s="9" t="s">
        <v>62</v>
      </c>
      <c r="P269" s="9" t="s">
        <v>2314</v>
      </c>
      <c r="Q269" s="9" t="s">
        <v>70</v>
      </c>
      <c r="R269" s="9" t="s">
        <v>57</v>
      </c>
      <c r="S269" s="9" t="s">
        <v>1259</v>
      </c>
      <c r="T269" s="170">
        <v>3.1070000000000002</v>
      </c>
      <c r="U269" s="9" t="s">
        <v>2594</v>
      </c>
      <c r="V269" s="199">
        <v>6.4000000000000001E-2</v>
      </c>
      <c r="W269" s="185">
        <v>5.5649999999999998E-2</v>
      </c>
      <c r="X269" s="5" t="s">
        <v>618</v>
      </c>
      <c r="Y269" s="5" t="s">
        <v>62</v>
      </c>
      <c r="Z269" s="170">
        <v>34000</v>
      </c>
      <c r="AA269" s="184">
        <v>1</v>
      </c>
      <c r="AB269" s="186">
        <v>103.33</v>
      </c>
      <c r="AC269" s="9"/>
      <c r="AD269" s="170">
        <v>35.131999999999998</v>
      </c>
      <c r="AE269" s="9"/>
      <c r="AF269" s="9"/>
      <c r="AG269" s="9" t="s">
        <v>17</v>
      </c>
      <c r="AH269" s="185">
        <v>9.7999999999999997E-5</v>
      </c>
      <c r="AI269" s="185">
        <v>5.2034971384900802E-3</v>
      </c>
      <c r="AJ269" s="185">
        <v>8.2576987690769898E-4</v>
      </c>
    </row>
    <row r="270" spans="1:36">
      <c r="A270" s="9">
        <v>337</v>
      </c>
      <c r="B270" s="9">
        <v>9962</v>
      </c>
      <c r="C270" s="9" t="s">
        <v>2595</v>
      </c>
      <c r="D270" s="9" t="s">
        <v>2596</v>
      </c>
      <c r="E270" s="5" t="s">
        <v>1346</v>
      </c>
      <c r="F270" s="9" t="s">
        <v>2597</v>
      </c>
      <c r="G270" s="9" t="s">
        <v>2598</v>
      </c>
      <c r="H270" s="9" t="s">
        <v>76</v>
      </c>
      <c r="I270" s="9" t="s">
        <v>229</v>
      </c>
      <c r="J270" s="9" t="s">
        <v>53</v>
      </c>
      <c r="K270" s="9" t="s">
        <v>53</v>
      </c>
      <c r="L270" s="9" t="s">
        <v>803</v>
      </c>
      <c r="M270" s="9" t="s">
        <v>311</v>
      </c>
      <c r="N270" s="9" t="s">
        <v>140</v>
      </c>
      <c r="O270" s="9" t="s">
        <v>62</v>
      </c>
      <c r="P270" s="9" t="s">
        <v>2599</v>
      </c>
      <c r="Q270" s="9" t="s">
        <v>70</v>
      </c>
      <c r="R270" s="9" t="s">
        <v>57</v>
      </c>
      <c r="S270" s="9" t="s">
        <v>1259</v>
      </c>
      <c r="T270" s="170">
        <v>3.5459999999999998</v>
      </c>
      <c r="U270" s="9" t="s">
        <v>2600</v>
      </c>
      <c r="V270" s="199">
        <v>2.07E-2</v>
      </c>
      <c r="W270" s="185">
        <v>3.721E-2</v>
      </c>
      <c r="X270" s="5" t="s">
        <v>618</v>
      </c>
      <c r="Y270" s="5" t="s">
        <v>62</v>
      </c>
      <c r="Z270" s="170">
        <v>68446.399999999994</v>
      </c>
      <c r="AA270" s="184">
        <v>1</v>
      </c>
      <c r="AB270" s="186">
        <v>107.9</v>
      </c>
      <c r="AC270" s="9"/>
      <c r="AD270" s="170">
        <v>73.853999999999999</v>
      </c>
      <c r="AE270" s="9"/>
      <c r="AF270" s="9"/>
      <c r="AG270" s="9" t="s">
        <v>17</v>
      </c>
      <c r="AH270" s="185">
        <v>1.64E-4</v>
      </c>
      <c r="AI270" s="185">
        <v>1.09386072496628E-2</v>
      </c>
      <c r="AJ270" s="185">
        <v>1.7359041663116599E-3</v>
      </c>
    </row>
    <row r="271" spans="1:36">
      <c r="A271" s="9">
        <v>337</v>
      </c>
      <c r="B271" s="9">
        <v>9962</v>
      </c>
      <c r="C271" s="9" t="s">
        <v>2841</v>
      </c>
      <c r="D271" s="9" t="s">
        <v>2842</v>
      </c>
      <c r="E271" s="5" t="s">
        <v>1346</v>
      </c>
      <c r="F271" s="9" t="s">
        <v>2843</v>
      </c>
      <c r="G271" s="9" t="s">
        <v>2844</v>
      </c>
      <c r="H271" s="9" t="s">
        <v>76</v>
      </c>
      <c r="I271" s="9" t="s">
        <v>229</v>
      </c>
      <c r="J271" s="9" t="s">
        <v>53</v>
      </c>
      <c r="K271" s="9" t="s">
        <v>53</v>
      </c>
      <c r="L271" s="9" t="s">
        <v>803</v>
      </c>
      <c r="M271" s="9" t="s">
        <v>311</v>
      </c>
      <c r="N271" s="9" t="s">
        <v>258</v>
      </c>
      <c r="O271" s="9" t="s">
        <v>62</v>
      </c>
      <c r="P271" s="9" t="s">
        <v>1641</v>
      </c>
      <c r="Q271" s="9" t="s">
        <v>65</v>
      </c>
      <c r="R271" s="9" t="s">
        <v>57</v>
      </c>
      <c r="S271" s="9" t="s">
        <v>1259</v>
      </c>
      <c r="T271" s="170">
        <v>11.726000000000001</v>
      </c>
      <c r="U271" s="9" t="s">
        <v>2845</v>
      </c>
      <c r="V271" s="199">
        <v>2.07E-2</v>
      </c>
      <c r="W271" s="185">
        <v>2.776E-2</v>
      </c>
      <c r="X271" s="5" t="s">
        <v>618</v>
      </c>
      <c r="Y271" s="5" t="s">
        <v>62</v>
      </c>
      <c r="Z271" s="170">
        <v>57813.1</v>
      </c>
      <c r="AA271" s="184">
        <v>1</v>
      </c>
      <c r="AB271" s="186">
        <v>106.32</v>
      </c>
      <c r="AC271" s="9"/>
      <c r="AD271" s="170">
        <v>61.466999999999999</v>
      </c>
      <c r="AE271" s="9"/>
      <c r="AF271" s="9"/>
      <c r="AG271" s="9" t="s">
        <v>17</v>
      </c>
      <c r="AH271" s="185">
        <v>1.1E-5</v>
      </c>
      <c r="AI271" s="185">
        <v>9.1039779861098995E-3</v>
      </c>
      <c r="AJ271" s="185">
        <v>1.44475735853712E-3</v>
      </c>
    </row>
    <row r="272" spans="1:36">
      <c r="A272" s="9">
        <v>337</v>
      </c>
      <c r="B272" s="9">
        <v>9962</v>
      </c>
      <c r="C272" s="9" t="s">
        <v>2016</v>
      </c>
      <c r="D272" s="9" t="s">
        <v>2017</v>
      </c>
      <c r="E272" s="5" t="s">
        <v>431</v>
      </c>
      <c r="F272" s="9" t="s">
        <v>2601</v>
      </c>
      <c r="G272" s="9" t="s">
        <v>2602</v>
      </c>
      <c r="H272" s="9" t="s">
        <v>76</v>
      </c>
      <c r="I272" s="9" t="s">
        <v>228</v>
      </c>
      <c r="J272" s="9" t="s">
        <v>53</v>
      </c>
      <c r="K272" s="9" t="s">
        <v>53</v>
      </c>
      <c r="L272" s="9" t="s">
        <v>803</v>
      </c>
      <c r="M272" s="9" t="s">
        <v>311</v>
      </c>
      <c r="N272" s="9" t="s">
        <v>267</v>
      </c>
      <c r="O272" s="9" t="s">
        <v>62</v>
      </c>
      <c r="P272" s="9" t="s">
        <v>2330</v>
      </c>
      <c r="Q272" s="9" t="s">
        <v>65</v>
      </c>
      <c r="R272" s="9" t="s">
        <v>57</v>
      </c>
      <c r="S272" s="9" t="s">
        <v>1259</v>
      </c>
      <c r="T272" s="170">
        <v>1.7090000000000001</v>
      </c>
      <c r="U272" s="9" t="s">
        <v>2603</v>
      </c>
      <c r="V272" s="199">
        <v>5.2499999999999998E-2</v>
      </c>
      <c r="W272" s="185">
        <v>5.1819999999999998E-2</v>
      </c>
      <c r="X272" s="5" t="s">
        <v>618</v>
      </c>
      <c r="Y272" s="5" t="s">
        <v>62</v>
      </c>
      <c r="Z272" s="170">
        <v>75000</v>
      </c>
      <c r="AA272" s="184">
        <v>1</v>
      </c>
      <c r="AB272" s="186">
        <v>102.65</v>
      </c>
      <c r="AC272" s="9"/>
      <c r="AD272" s="170">
        <v>76.986999999999995</v>
      </c>
      <c r="AE272" s="9"/>
      <c r="AF272" s="9"/>
      <c r="AG272" s="9" t="s">
        <v>17</v>
      </c>
      <c r="AH272" s="185">
        <v>2.2699999999999999E-4</v>
      </c>
      <c r="AI272" s="185">
        <v>1.14027654388141E-2</v>
      </c>
      <c r="AJ272" s="185">
        <v>1.80956383028764E-3</v>
      </c>
    </row>
    <row r="273" spans="1:36">
      <c r="A273" s="9">
        <v>337</v>
      </c>
      <c r="B273" s="9">
        <v>9962</v>
      </c>
      <c r="C273" s="9" t="s">
        <v>2016</v>
      </c>
      <c r="D273" s="9" t="s">
        <v>2017</v>
      </c>
      <c r="E273" s="5" t="s">
        <v>431</v>
      </c>
      <c r="F273" s="9" t="s">
        <v>2604</v>
      </c>
      <c r="G273" s="9" t="s">
        <v>2605</v>
      </c>
      <c r="H273" s="9" t="s">
        <v>76</v>
      </c>
      <c r="I273" s="9" t="s">
        <v>228</v>
      </c>
      <c r="J273" s="9" t="s">
        <v>53</v>
      </c>
      <c r="K273" s="9" t="s">
        <v>314</v>
      </c>
      <c r="L273" s="9" t="s">
        <v>803</v>
      </c>
      <c r="M273" s="9" t="s">
        <v>311</v>
      </c>
      <c r="N273" s="9" t="s">
        <v>267</v>
      </c>
      <c r="O273" s="9" t="s">
        <v>62</v>
      </c>
      <c r="P273" s="9" t="s">
        <v>2330</v>
      </c>
      <c r="Q273" s="9" t="s">
        <v>65</v>
      </c>
      <c r="R273" s="9" t="s">
        <v>57</v>
      </c>
      <c r="S273" s="9" t="s">
        <v>1259</v>
      </c>
      <c r="T273" s="170">
        <v>2.5539999999999998</v>
      </c>
      <c r="U273" s="9" t="s">
        <v>1608</v>
      </c>
      <c r="V273" s="199">
        <v>6.5000000000000002E-2</v>
      </c>
      <c r="W273" s="185">
        <v>5.2010000000000001E-2</v>
      </c>
      <c r="X273" s="5" t="s">
        <v>618</v>
      </c>
      <c r="Y273" s="5" t="s">
        <v>62</v>
      </c>
      <c r="Z273" s="170">
        <v>56000</v>
      </c>
      <c r="AA273" s="184">
        <v>1</v>
      </c>
      <c r="AB273" s="186">
        <v>103.44</v>
      </c>
      <c r="AC273" s="9"/>
      <c r="AD273" s="170">
        <v>57.926000000000002</v>
      </c>
      <c r="AE273" s="9"/>
      <c r="AF273" s="9"/>
      <c r="AG273" s="9" t="s">
        <v>17</v>
      </c>
      <c r="AH273" s="185">
        <v>1.12E-4</v>
      </c>
      <c r="AI273" s="185">
        <v>8.5795895686302508E-3</v>
      </c>
      <c r="AJ273" s="185">
        <v>1.3615394480763E-3</v>
      </c>
    </row>
    <row r="274" spans="1:36">
      <c r="A274" s="9">
        <v>337</v>
      </c>
      <c r="B274" s="9">
        <v>9962</v>
      </c>
      <c r="C274" s="9" t="s">
        <v>2016</v>
      </c>
      <c r="D274" s="9" t="s">
        <v>2017</v>
      </c>
      <c r="E274" s="5" t="s">
        <v>431</v>
      </c>
      <c r="F274" s="9" t="s">
        <v>2606</v>
      </c>
      <c r="G274" s="9" t="s">
        <v>2607</v>
      </c>
      <c r="H274" s="9" t="s">
        <v>76</v>
      </c>
      <c r="I274" s="9" t="s">
        <v>228</v>
      </c>
      <c r="J274" s="9" t="s">
        <v>53</v>
      </c>
      <c r="K274" s="9" t="s">
        <v>53</v>
      </c>
      <c r="L274" s="9" t="s">
        <v>803</v>
      </c>
      <c r="M274" s="9" t="s">
        <v>1691</v>
      </c>
      <c r="N274" s="9" t="s">
        <v>267</v>
      </c>
      <c r="O274" s="9" t="s">
        <v>62</v>
      </c>
      <c r="P274" s="9" t="s">
        <v>2330</v>
      </c>
      <c r="Q274" s="9" t="s">
        <v>65</v>
      </c>
      <c r="R274" s="9" t="s">
        <v>57</v>
      </c>
      <c r="S274" s="9" t="s">
        <v>1259</v>
      </c>
      <c r="T274" s="170">
        <v>3.129</v>
      </c>
      <c r="U274" s="9" t="s">
        <v>2268</v>
      </c>
      <c r="V274" s="199">
        <v>6.7000000000000004E-2</v>
      </c>
      <c r="W274" s="185">
        <v>5.1139999999999998E-2</v>
      </c>
      <c r="X274" s="5" t="s">
        <v>618</v>
      </c>
      <c r="Y274" s="5" t="s">
        <v>62</v>
      </c>
      <c r="Z274" s="170">
        <v>48000</v>
      </c>
      <c r="AA274" s="184">
        <v>1</v>
      </c>
      <c r="AB274" s="186">
        <v>106.88</v>
      </c>
      <c r="AC274" s="9"/>
      <c r="AD274" s="170">
        <v>51.302</v>
      </c>
      <c r="AE274" s="9"/>
      <c r="AF274" s="9"/>
      <c r="AG274" s="9" t="s">
        <v>17</v>
      </c>
      <c r="AH274" s="185">
        <v>5.3000000000000001E-5</v>
      </c>
      <c r="AI274" s="185">
        <v>7.5984962967782701E-3</v>
      </c>
      <c r="AJ274" s="185">
        <v>1.2058446818892499E-3</v>
      </c>
    </row>
    <row r="275" spans="1:36">
      <c r="A275" s="9">
        <v>337</v>
      </c>
      <c r="B275" s="9">
        <v>9962</v>
      </c>
      <c r="C275" s="9" t="s">
        <v>2024</v>
      </c>
      <c r="D275" s="9" t="s">
        <v>2025</v>
      </c>
      <c r="E275" s="5" t="s">
        <v>1346</v>
      </c>
      <c r="F275" s="9" t="s">
        <v>2608</v>
      </c>
      <c r="G275" s="9" t="s">
        <v>2609</v>
      </c>
      <c r="H275" s="9" t="s">
        <v>76</v>
      </c>
      <c r="I275" s="9" t="s">
        <v>229</v>
      </c>
      <c r="J275" s="9" t="s">
        <v>53</v>
      </c>
      <c r="K275" s="9" t="s">
        <v>53</v>
      </c>
      <c r="L275" s="9" t="s">
        <v>803</v>
      </c>
      <c r="M275" s="9" t="s">
        <v>311</v>
      </c>
      <c r="N275" s="9" t="s">
        <v>629</v>
      </c>
      <c r="O275" s="9" t="s">
        <v>62</v>
      </c>
      <c r="P275" s="9" t="s">
        <v>2314</v>
      </c>
      <c r="Q275" s="9" t="s">
        <v>70</v>
      </c>
      <c r="R275" s="9" t="s">
        <v>57</v>
      </c>
      <c r="S275" s="9" t="s">
        <v>1259</v>
      </c>
      <c r="T275" s="170">
        <v>2.1589999999999998</v>
      </c>
      <c r="U275" s="9" t="s">
        <v>2428</v>
      </c>
      <c r="V275" s="199">
        <v>1.4800000000000001E-2</v>
      </c>
      <c r="W275" s="185">
        <v>2.9860000000000001E-2</v>
      </c>
      <c r="X275" s="5" t="s">
        <v>618</v>
      </c>
      <c r="Y275" s="5" t="s">
        <v>62</v>
      </c>
      <c r="Z275" s="170">
        <v>36960</v>
      </c>
      <c r="AA275" s="184">
        <v>1</v>
      </c>
      <c r="AB275" s="186">
        <v>111.27</v>
      </c>
      <c r="AC275" s="9"/>
      <c r="AD275" s="170">
        <v>41.125</v>
      </c>
      <c r="AE275" s="9"/>
      <c r="AF275" s="9"/>
      <c r="AG275" s="9" t="s">
        <v>17</v>
      </c>
      <c r="AH275" s="185">
        <v>1.27E-4</v>
      </c>
      <c r="AI275" s="185">
        <v>6.0911602345222601E-3</v>
      </c>
      <c r="AJ275" s="185">
        <v>9.6663772520994603E-4</v>
      </c>
    </row>
    <row r="276" spans="1:36">
      <c r="A276" s="9">
        <v>337</v>
      </c>
      <c r="B276" s="9">
        <v>9962</v>
      </c>
      <c r="C276" s="9" t="s">
        <v>2036</v>
      </c>
      <c r="D276" s="9" t="s">
        <v>2037</v>
      </c>
      <c r="E276" s="5" t="s">
        <v>1346</v>
      </c>
      <c r="F276" s="9" t="s">
        <v>2612</v>
      </c>
      <c r="G276" s="9" t="s">
        <v>2613</v>
      </c>
      <c r="H276" s="9" t="s">
        <v>76</v>
      </c>
      <c r="I276" s="9" t="s">
        <v>229</v>
      </c>
      <c r="J276" s="9" t="s">
        <v>53</v>
      </c>
      <c r="K276" s="9" t="s">
        <v>53</v>
      </c>
      <c r="L276" s="9" t="s">
        <v>803</v>
      </c>
      <c r="M276" s="9" t="s">
        <v>311</v>
      </c>
      <c r="N276" s="9" t="s">
        <v>633</v>
      </c>
      <c r="O276" s="9" t="s">
        <v>62</v>
      </c>
      <c r="P276" s="9" t="s">
        <v>1614</v>
      </c>
      <c r="Q276" s="9" t="s">
        <v>65</v>
      </c>
      <c r="R276" s="9" t="s">
        <v>57</v>
      </c>
      <c r="S276" s="9" t="s">
        <v>1259</v>
      </c>
      <c r="T276" s="170">
        <v>3.5569999999999999</v>
      </c>
      <c r="U276" s="9" t="s">
        <v>2273</v>
      </c>
      <c r="V276" s="199">
        <v>3.6200000000000003E-2</v>
      </c>
      <c r="W276" s="185">
        <v>3.0020000000000002E-2</v>
      </c>
      <c r="X276" s="5" t="s">
        <v>618</v>
      </c>
      <c r="Y276" s="5" t="s">
        <v>62</v>
      </c>
      <c r="Z276" s="170">
        <v>19425</v>
      </c>
      <c r="AA276" s="184">
        <v>1</v>
      </c>
      <c r="AB276" s="186">
        <v>110.37</v>
      </c>
      <c r="AC276" s="9"/>
      <c r="AD276" s="170">
        <v>21.439</v>
      </c>
      <c r="AE276" s="9"/>
      <c r="AF276" s="9"/>
      <c r="AG276" s="9" t="s">
        <v>17</v>
      </c>
      <c r="AH276" s="185">
        <v>1.1E-5</v>
      </c>
      <c r="AI276" s="185">
        <v>3.1754263454828601E-3</v>
      </c>
      <c r="AJ276" s="185">
        <v>5.0392483221384698E-4</v>
      </c>
    </row>
    <row r="277" spans="1:36">
      <c r="A277" s="9">
        <v>337</v>
      </c>
      <c r="B277" s="9">
        <v>9962</v>
      </c>
      <c r="C277" s="9" t="s">
        <v>2614</v>
      </c>
      <c r="D277" s="9" t="s">
        <v>2615</v>
      </c>
      <c r="E277" s="5" t="s">
        <v>765</v>
      </c>
      <c r="F277" s="9" t="s">
        <v>2616</v>
      </c>
      <c r="G277" s="9" t="s">
        <v>2617</v>
      </c>
      <c r="H277" s="9" t="s">
        <v>76</v>
      </c>
      <c r="I277" s="9" t="s">
        <v>228</v>
      </c>
      <c r="J277" s="9" t="s">
        <v>53</v>
      </c>
      <c r="K277" s="9" t="s">
        <v>314</v>
      </c>
      <c r="L277" s="9" t="s">
        <v>803</v>
      </c>
      <c r="M277" s="9" t="s">
        <v>311</v>
      </c>
      <c r="N277" s="9" t="s">
        <v>634</v>
      </c>
      <c r="O277" s="9" t="s">
        <v>62</v>
      </c>
      <c r="P277" s="9" t="s">
        <v>2239</v>
      </c>
      <c r="Q277" s="9" t="s">
        <v>65</v>
      </c>
      <c r="R277" s="9" t="s">
        <v>57</v>
      </c>
      <c r="S277" s="9" t="s">
        <v>1259</v>
      </c>
      <c r="T277" s="170">
        <v>3.359</v>
      </c>
      <c r="U277" s="9" t="s">
        <v>2618</v>
      </c>
      <c r="V277" s="199">
        <v>4.4999999999999998E-2</v>
      </c>
      <c r="W277" s="185">
        <v>5.5239999999999997E-2</v>
      </c>
      <c r="X277" s="5" t="s">
        <v>618</v>
      </c>
      <c r="Y277" s="5" t="s">
        <v>62</v>
      </c>
      <c r="Z277" s="170">
        <v>51421.31</v>
      </c>
      <c r="AA277" s="184">
        <v>1</v>
      </c>
      <c r="AB277" s="186">
        <v>97.83</v>
      </c>
      <c r="AC277" s="9"/>
      <c r="AD277" s="170">
        <v>50.305</v>
      </c>
      <c r="AE277" s="9"/>
      <c r="AF277" s="9"/>
      <c r="AG277" s="9" t="s">
        <v>17</v>
      </c>
      <c r="AH277" s="185">
        <v>6.3999999999999997E-5</v>
      </c>
      <c r="AI277" s="185">
        <v>7.45083873388262E-3</v>
      </c>
      <c r="AJ277" s="185">
        <v>1.18241213944872E-3</v>
      </c>
    </row>
    <row r="278" spans="1:36">
      <c r="A278" s="9">
        <v>337</v>
      </c>
      <c r="B278" s="9">
        <v>9962</v>
      </c>
      <c r="C278" s="9" t="s">
        <v>2614</v>
      </c>
      <c r="D278" s="9" t="s">
        <v>2615</v>
      </c>
      <c r="E278" s="5" t="s">
        <v>765</v>
      </c>
      <c r="F278" s="9" t="s">
        <v>2619</v>
      </c>
      <c r="G278" s="9" t="s">
        <v>2620</v>
      </c>
      <c r="H278" s="9" t="s">
        <v>76</v>
      </c>
      <c r="I278" s="9" t="s">
        <v>228</v>
      </c>
      <c r="J278" s="9" t="s">
        <v>53</v>
      </c>
      <c r="K278" s="9" t="s">
        <v>53</v>
      </c>
      <c r="L278" s="9" t="s">
        <v>803</v>
      </c>
      <c r="M278" s="9" t="s">
        <v>311</v>
      </c>
      <c r="N278" s="9" t="s">
        <v>634</v>
      </c>
      <c r="O278" s="9" t="s">
        <v>62</v>
      </c>
      <c r="P278" s="9" t="s">
        <v>2246</v>
      </c>
      <c r="Q278" s="9" t="s">
        <v>65</v>
      </c>
      <c r="R278" s="9" t="s">
        <v>57</v>
      </c>
      <c r="S278" s="9" t="s">
        <v>1259</v>
      </c>
      <c r="T278" s="170">
        <v>1.877</v>
      </c>
      <c r="U278" s="9" t="s">
        <v>1615</v>
      </c>
      <c r="V278" s="199">
        <v>6.3500000000000001E-2</v>
      </c>
      <c r="W278" s="185">
        <v>5.33E-2</v>
      </c>
      <c r="X278" s="5" t="s">
        <v>618</v>
      </c>
      <c r="Y278" s="5" t="s">
        <v>62</v>
      </c>
      <c r="Z278" s="170">
        <v>24250</v>
      </c>
      <c r="AA278" s="184">
        <v>1</v>
      </c>
      <c r="AB278" s="186">
        <v>102.04</v>
      </c>
      <c r="AC278" s="9"/>
      <c r="AD278" s="170">
        <v>24.745000000000001</v>
      </c>
      <c r="AE278" s="9"/>
      <c r="AF278" s="9"/>
      <c r="AG278" s="9" t="s">
        <v>17</v>
      </c>
      <c r="AH278" s="185">
        <v>6.0999999999999999E-5</v>
      </c>
      <c r="AI278" s="185">
        <v>3.66498470470951E-3</v>
      </c>
      <c r="AJ278" s="185">
        <v>5.8161538056591803E-4</v>
      </c>
    </row>
    <row r="279" spans="1:36">
      <c r="A279" s="9">
        <v>337</v>
      </c>
      <c r="B279" s="9">
        <v>9962</v>
      </c>
      <c r="C279" s="9" t="s">
        <v>2614</v>
      </c>
      <c r="D279" s="9" t="s">
        <v>2615</v>
      </c>
      <c r="E279" s="5" t="s">
        <v>765</v>
      </c>
      <c r="F279" s="9" t="s">
        <v>2621</v>
      </c>
      <c r="G279" s="9" t="s">
        <v>2622</v>
      </c>
      <c r="H279" s="9" t="s">
        <v>76</v>
      </c>
      <c r="I279" s="9" t="s">
        <v>228</v>
      </c>
      <c r="J279" s="9" t="s">
        <v>53</v>
      </c>
      <c r="K279" s="9" t="s">
        <v>53</v>
      </c>
      <c r="L279" s="9" t="s">
        <v>803</v>
      </c>
      <c r="M279" s="9" t="s">
        <v>1691</v>
      </c>
      <c r="N279" s="9" t="s">
        <v>634</v>
      </c>
      <c r="O279" s="9" t="s">
        <v>62</v>
      </c>
      <c r="P279" s="9" t="s">
        <v>2246</v>
      </c>
      <c r="Q279" s="9" t="s">
        <v>65</v>
      </c>
      <c r="R279" s="9" t="s">
        <v>57</v>
      </c>
      <c r="S279" s="9" t="s">
        <v>1259</v>
      </c>
      <c r="T279" s="170">
        <v>3.3980000000000001</v>
      </c>
      <c r="U279" s="9" t="s">
        <v>2623</v>
      </c>
      <c r="V279" s="199">
        <v>6.25E-2</v>
      </c>
      <c r="W279" s="185">
        <v>5.2850000000000001E-2</v>
      </c>
      <c r="X279" s="5" t="s">
        <v>618</v>
      </c>
      <c r="Y279" s="5" t="s">
        <v>62</v>
      </c>
      <c r="Z279" s="170">
        <v>29000</v>
      </c>
      <c r="AA279" s="184">
        <v>1</v>
      </c>
      <c r="AB279" s="186">
        <v>104.82</v>
      </c>
      <c r="AC279" s="9"/>
      <c r="AD279" s="170">
        <v>30.398</v>
      </c>
      <c r="AE279" s="9"/>
      <c r="AF279" s="9"/>
      <c r="AG279" s="9" t="s">
        <v>17</v>
      </c>
      <c r="AH279" s="185">
        <v>5.3000000000000001E-5</v>
      </c>
      <c r="AI279" s="185">
        <v>4.5022761260721999E-3</v>
      </c>
      <c r="AJ279" s="185">
        <v>7.1448948725855003E-4</v>
      </c>
    </row>
    <row r="280" spans="1:36">
      <c r="A280" s="9">
        <v>337</v>
      </c>
      <c r="B280" s="9">
        <v>9962</v>
      </c>
      <c r="C280" s="9" t="s">
        <v>2043</v>
      </c>
      <c r="D280" s="9" t="s">
        <v>2044</v>
      </c>
      <c r="E280" s="5" t="s">
        <v>1346</v>
      </c>
      <c r="F280" s="9" t="s">
        <v>2624</v>
      </c>
      <c r="G280" s="9" t="s">
        <v>2625</v>
      </c>
      <c r="H280" s="9" t="s">
        <v>76</v>
      </c>
      <c r="I280" s="9" t="s">
        <v>229</v>
      </c>
      <c r="J280" s="9" t="s">
        <v>53</v>
      </c>
      <c r="K280" s="9" t="s">
        <v>53</v>
      </c>
      <c r="L280" s="9" t="s">
        <v>803</v>
      </c>
      <c r="M280" s="9" t="s">
        <v>311</v>
      </c>
      <c r="N280" s="9" t="s">
        <v>629</v>
      </c>
      <c r="O280" s="9" t="s">
        <v>62</v>
      </c>
      <c r="P280" s="167" t="s">
        <v>298</v>
      </c>
      <c r="Q280" s="9" t="s">
        <v>298</v>
      </c>
      <c r="R280" s="9" t="s">
        <v>298</v>
      </c>
      <c r="S280" s="9" t="s">
        <v>1259</v>
      </c>
      <c r="T280" s="170">
        <v>1.786</v>
      </c>
      <c r="U280" s="9" t="s">
        <v>2428</v>
      </c>
      <c r="V280" s="199">
        <v>2.3E-2</v>
      </c>
      <c r="W280" s="185">
        <v>4.0899999999999999E-2</v>
      </c>
      <c r="X280" s="5" t="s">
        <v>618</v>
      </c>
      <c r="Y280" s="5" t="s">
        <v>62</v>
      </c>
      <c r="Z280" s="170">
        <v>29250</v>
      </c>
      <c r="AA280" s="184">
        <v>1</v>
      </c>
      <c r="AB280" s="186">
        <v>110.5</v>
      </c>
      <c r="AC280" s="9"/>
      <c r="AD280" s="170">
        <v>32.320999999999998</v>
      </c>
      <c r="AE280" s="9"/>
      <c r="AF280" s="9"/>
      <c r="AG280" s="9" t="s">
        <v>17</v>
      </c>
      <c r="AH280" s="185">
        <v>3.5300000000000002E-4</v>
      </c>
      <c r="AI280" s="185">
        <v>4.7871619735576597E-3</v>
      </c>
      <c r="AJ280" s="185">
        <v>7.5969949601798197E-4</v>
      </c>
    </row>
    <row r="281" spans="1:36">
      <c r="A281" s="9">
        <v>337</v>
      </c>
      <c r="B281" s="9">
        <v>9962</v>
      </c>
      <c r="C281" s="9" t="s">
        <v>2846</v>
      </c>
      <c r="D281" s="9" t="s">
        <v>2847</v>
      </c>
      <c r="E281" s="5" t="s">
        <v>1346</v>
      </c>
      <c r="F281" s="9" t="s">
        <v>2848</v>
      </c>
      <c r="G281" s="9" t="s">
        <v>2849</v>
      </c>
      <c r="H281" s="9" t="s">
        <v>76</v>
      </c>
      <c r="I281" s="9" t="s">
        <v>229</v>
      </c>
      <c r="J281" s="9" t="s">
        <v>53</v>
      </c>
      <c r="K281" s="9" t="s">
        <v>53</v>
      </c>
      <c r="L281" s="9" t="s">
        <v>803</v>
      </c>
      <c r="M281" s="9" t="s">
        <v>311</v>
      </c>
      <c r="N281" s="9" t="s">
        <v>629</v>
      </c>
      <c r="O281" s="9" t="s">
        <v>62</v>
      </c>
      <c r="P281" s="167" t="s">
        <v>298</v>
      </c>
      <c r="Q281" s="9" t="s">
        <v>298</v>
      </c>
      <c r="R281" s="9" t="s">
        <v>298</v>
      </c>
      <c r="S281" s="9" t="s">
        <v>1259</v>
      </c>
      <c r="T281" s="170">
        <v>1.7689999999999999</v>
      </c>
      <c r="U281" s="9" t="s">
        <v>2428</v>
      </c>
      <c r="V281" s="199">
        <v>2.9499999999999998E-2</v>
      </c>
      <c r="W281" s="185">
        <v>2.8840000000000001E-2</v>
      </c>
      <c r="X281" s="5" t="s">
        <v>618</v>
      </c>
      <c r="Y281" s="5" t="s">
        <v>62</v>
      </c>
      <c r="Z281" s="170">
        <v>16000</v>
      </c>
      <c r="AA281" s="184">
        <v>1</v>
      </c>
      <c r="AB281" s="186">
        <v>112.49</v>
      </c>
      <c r="AC281" s="9"/>
      <c r="AD281" s="170">
        <v>17.998000000000001</v>
      </c>
      <c r="AE281" s="9"/>
      <c r="AF281" s="9"/>
      <c r="AG281" s="9" t="s">
        <v>17</v>
      </c>
      <c r="AH281" s="185">
        <v>6.6000000000000005E-5</v>
      </c>
      <c r="AI281" s="185">
        <v>2.6657773466335702E-3</v>
      </c>
      <c r="AJ281" s="185">
        <v>4.2304599633770498E-4</v>
      </c>
    </row>
    <row r="282" spans="1:36">
      <c r="A282" s="9">
        <v>337</v>
      </c>
      <c r="B282" s="9">
        <v>9962</v>
      </c>
      <c r="C282" s="9" t="s">
        <v>2626</v>
      </c>
      <c r="D282" s="9" t="s">
        <v>2627</v>
      </c>
      <c r="E282" s="5" t="s">
        <v>765</v>
      </c>
      <c r="F282" s="9" t="s">
        <v>2850</v>
      </c>
      <c r="G282" s="9" t="s">
        <v>2851</v>
      </c>
      <c r="H282" s="9" t="s">
        <v>76</v>
      </c>
      <c r="I282" s="9" t="s">
        <v>228</v>
      </c>
      <c r="J282" s="9" t="s">
        <v>53</v>
      </c>
      <c r="K282" s="9" t="s">
        <v>314</v>
      </c>
      <c r="L282" s="9" t="s">
        <v>803</v>
      </c>
      <c r="M282" s="9" t="s">
        <v>311</v>
      </c>
      <c r="N282" s="9" t="s">
        <v>634</v>
      </c>
      <c r="O282" s="9" t="s">
        <v>62</v>
      </c>
      <c r="P282" s="9" t="s">
        <v>1607</v>
      </c>
      <c r="Q282" s="9" t="s">
        <v>65</v>
      </c>
      <c r="R282" s="9" t="s">
        <v>57</v>
      </c>
      <c r="S282" s="9" t="s">
        <v>1259</v>
      </c>
      <c r="T282" s="170">
        <v>1.125</v>
      </c>
      <c r="U282" s="9" t="s">
        <v>2591</v>
      </c>
      <c r="V282" s="199">
        <v>9.0999999999999998E-2</v>
      </c>
      <c r="W282" s="185">
        <v>6.1109999999999998E-2</v>
      </c>
      <c r="X282" s="5" t="s">
        <v>618</v>
      </c>
      <c r="Y282" s="5" t="s">
        <v>62</v>
      </c>
      <c r="Z282" s="170">
        <v>47000</v>
      </c>
      <c r="AA282" s="184">
        <v>1</v>
      </c>
      <c r="AB282" s="186">
        <v>105.75</v>
      </c>
      <c r="AC282" s="9"/>
      <c r="AD282" s="170">
        <v>49.703000000000003</v>
      </c>
      <c r="AE282" s="9"/>
      <c r="AF282" s="9"/>
      <c r="AG282" s="9" t="s">
        <v>17</v>
      </c>
      <c r="AH282" s="185">
        <v>2.5000000000000001E-4</v>
      </c>
      <c r="AI282" s="185">
        <v>7.3615320567969903E-3</v>
      </c>
      <c r="AJ282" s="185">
        <v>1.16823960090757E-3</v>
      </c>
    </row>
    <row r="283" spans="1:36">
      <c r="A283" s="9">
        <v>337</v>
      </c>
      <c r="B283" s="9">
        <v>9962</v>
      </c>
      <c r="C283" s="9" t="s">
        <v>2631</v>
      </c>
      <c r="D283" s="9" t="s">
        <v>2632</v>
      </c>
      <c r="E283" s="5" t="s">
        <v>765</v>
      </c>
      <c r="F283" s="9" t="s">
        <v>2633</v>
      </c>
      <c r="G283" s="9" t="s">
        <v>2634</v>
      </c>
      <c r="H283" s="9" t="s">
        <v>76</v>
      </c>
      <c r="I283" s="9" t="s">
        <v>230</v>
      </c>
      <c r="J283" s="9" t="s">
        <v>53</v>
      </c>
      <c r="K283" s="9" t="s">
        <v>314</v>
      </c>
      <c r="L283" s="9" t="s">
        <v>803</v>
      </c>
      <c r="M283" s="9" t="s">
        <v>311</v>
      </c>
      <c r="N283" s="9" t="s">
        <v>631</v>
      </c>
      <c r="O283" s="9" t="s">
        <v>62</v>
      </c>
      <c r="P283" s="9" t="s">
        <v>1621</v>
      </c>
      <c r="Q283" s="9" t="s">
        <v>70</v>
      </c>
      <c r="R283" s="9" t="s">
        <v>57</v>
      </c>
      <c r="S283" s="9" t="s">
        <v>1259</v>
      </c>
      <c r="T283" s="170">
        <v>1.1160000000000001</v>
      </c>
      <c r="U283" s="9" t="s">
        <v>2635</v>
      </c>
      <c r="V283" s="199">
        <v>7.9135999999999998E-2</v>
      </c>
      <c r="W283" s="185">
        <v>5.5309999999999998E-2</v>
      </c>
      <c r="X283" s="5" t="s">
        <v>618</v>
      </c>
      <c r="Y283" s="5" t="s">
        <v>62</v>
      </c>
      <c r="Z283" s="170">
        <v>33000</v>
      </c>
      <c r="AA283" s="184">
        <v>1</v>
      </c>
      <c r="AB283" s="186">
        <v>95.62</v>
      </c>
      <c r="AC283" s="9"/>
      <c r="AD283" s="170">
        <v>31.555</v>
      </c>
      <c r="AE283" s="9"/>
      <c r="AF283" s="9"/>
      <c r="AG283" s="9" t="s">
        <v>17</v>
      </c>
      <c r="AH283" s="185">
        <v>7.7999999999999999E-5</v>
      </c>
      <c r="AI283" s="185">
        <v>4.6736119800695397E-3</v>
      </c>
      <c r="AJ283" s="185">
        <v>7.4167966019411495E-4</v>
      </c>
    </row>
    <row r="284" spans="1:36">
      <c r="A284" s="9">
        <v>337</v>
      </c>
      <c r="B284" s="9">
        <v>9962</v>
      </c>
      <c r="C284" s="9" t="s">
        <v>2636</v>
      </c>
      <c r="D284" s="9" t="s">
        <v>2637</v>
      </c>
      <c r="E284" s="5" t="s">
        <v>765</v>
      </c>
      <c r="F284" s="9" t="s">
        <v>2638</v>
      </c>
      <c r="G284" s="9" t="s">
        <v>2639</v>
      </c>
      <c r="H284" s="9" t="s">
        <v>76</v>
      </c>
      <c r="I284" s="9" t="s">
        <v>228</v>
      </c>
      <c r="J284" s="9" t="s">
        <v>53</v>
      </c>
      <c r="K284" s="9" t="s">
        <v>314</v>
      </c>
      <c r="L284" s="9" t="s">
        <v>803</v>
      </c>
      <c r="M284" s="9" t="s">
        <v>1691</v>
      </c>
      <c r="N284" s="9" t="s">
        <v>634</v>
      </c>
      <c r="O284" s="9" t="s">
        <v>62</v>
      </c>
      <c r="P284" s="9" t="s">
        <v>2246</v>
      </c>
      <c r="Q284" s="9" t="s">
        <v>65</v>
      </c>
      <c r="R284" s="9" t="s">
        <v>57</v>
      </c>
      <c r="S284" s="9" t="s">
        <v>1259</v>
      </c>
      <c r="T284" s="170">
        <v>3.96</v>
      </c>
      <c r="U284" s="9" t="s">
        <v>2640</v>
      </c>
      <c r="V284" s="199">
        <v>6.7400000000000002E-2</v>
      </c>
      <c r="W284" s="185">
        <v>5.6840000000000002E-2</v>
      </c>
      <c r="X284" s="5" t="s">
        <v>618</v>
      </c>
      <c r="Y284" s="5" t="s">
        <v>62</v>
      </c>
      <c r="Z284" s="170">
        <v>64000</v>
      </c>
      <c r="AA284" s="184">
        <v>1</v>
      </c>
      <c r="AB284" s="186">
        <v>104.44</v>
      </c>
      <c r="AC284" s="9"/>
      <c r="AD284" s="170">
        <v>66.841999999999999</v>
      </c>
      <c r="AE284" s="9"/>
      <c r="AF284" s="9"/>
      <c r="AG284" s="9" t="s">
        <v>17</v>
      </c>
      <c r="AH284" s="185">
        <v>2.2499999999999999E-4</v>
      </c>
      <c r="AI284" s="185">
        <v>9.9000368417605095E-3</v>
      </c>
      <c r="AJ284" s="185">
        <v>1.57108805609423E-3</v>
      </c>
    </row>
    <row r="285" spans="1:36">
      <c r="A285" s="9">
        <v>337</v>
      </c>
      <c r="B285" s="9">
        <v>9962</v>
      </c>
      <c r="C285" s="9" t="s">
        <v>2055</v>
      </c>
      <c r="D285" s="9" t="s">
        <v>2056</v>
      </c>
      <c r="E285" s="5" t="s">
        <v>1346</v>
      </c>
      <c r="F285" s="9" t="s">
        <v>2645</v>
      </c>
      <c r="G285" s="9" t="s">
        <v>2646</v>
      </c>
      <c r="H285" s="9" t="s">
        <v>76</v>
      </c>
      <c r="I285" s="9" t="s">
        <v>229</v>
      </c>
      <c r="J285" s="9" t="s">
        <v>53</v>
      </c>
      <c r="K285" s="9" t="s">
        <v>53</v>
      </c>
      <c r="L285" s="9" t="s">
        <v>803</v>
      </c>
      <c r="M285" s="9" t="s">
        <v>311</v>
      </c>
      <c r="N285" s="9" t="s">
        <v>633</v>
      </c>
      <c r="O285" s="9" t="s">
        <v>62</v>
      </c>
      <c r="P285" s="9" t="s">
        <v>1331</v>
      </c>
      <c r="Q285" s="9" t="s">
        <v>65</v>
      </c>
      <c r="R285" s="9" t="s">
        <v>57</v>
      </c>
      <c r="S285" s="9" t="s">
        <v>1259</v>
      </c>
      <c r="T285" s="170">
        <v>2.6779999999999999</v>
      </c>
      <c r="U285" s="9" t="s">
        <v>2647</v>
      </c>
      <c r="V285" s="199">
        <v>1.34E-2</v>
      </c>
      <c r="W285" s="185">
        <v>2.8029999999999999E-2</v>
      </c>
      <c r="X285" s="5" t="s">
        <v>618</v>
      </c>
      <c r="Y285" s="5" t="s">
        <v>62</v>
      </c>
      <c r="Z285" s="170">
        <v>50000</v>
      </c>
      <c r="AA285" s="184">
        <v>1</v>
      </c>
      <c r="AB285" s="186">
        <v>114.07</v>
      </c>
      <c r="AC285" s="170">
        <v>6.3650000000000002</v>
      </c>
      <c r="AD285" s="170">
        <v>63.4</v>
      </c>
      <c r="AE285" s="9"/>
      <c r="AF285" s="9"/>
      <c r="AG285" s="9" t="s">
        <v>17</v>
      </c>
      <c r="AH285" s="185">
        <v>2.3E-5</v>
      </c>
      <c r="AI285" s="185">
        <v>9.3903156383565601E-3</v>
      </c>
      <c r="AJ285" s="185">
        <v>1.49019776170382E-3</v>
      </c>
    </row>
    <row r="286" spans="1:36">
      <c r="A286" s="9">
        <v>337</v>
      </c>
      <c r="B286" s="9">
        <v>9962</v>
      </c>
      <c r="C286" s="9" t="s">
        <v>2055</v>
      </c>
      <c r="D286" s="9" t="s">
        <v>2056</v>
      </c>
      <c r="E286" s="5" t="s">
        <v>1346</v>
      </c>
      <c r="F286" s="9" t="s">
        <v>2648</v>
      </c>
      <c r="G286" s="9" t="s">
        <v>2649</v>
      </c>
      <c r="H286" s="9" t="s">
        <v>76</v>
      </c>
      <c r="I286" s="9" t="s">
        <v>229</v>
      </c>
      <c r="J286" s="9" t="s">
        <v>53</v>
      </c>
      <c r="K286" s="9" t="s">
        <v>53</v>
      </c>
      <c r="L286" s="9" t="s">
        <v>803</v>
      </c>
      <c r="M286" s="9" t="s">
        <v>311</v>
      </c>
      <c r="N286" s="9" t="s">
        <v>633</v>
      </c>
      <c r="O286" s="9" t="s">
        <v>62</v>
      </c>
      <c r="P286" s="9" t="s">
        <v>2650</v>
      </c>
      <c r="Q286" s="9" t="s">
        <v>70</v>
      </c>
      <c r="R286" s="9" t="s">
        <v>57</v>
      </c>
      <c r="S286" s="9" t="s">
        <v>1259</v>
      </c>
      <c r="T286" s="170">
        <v>1.9570000000000001</v>
      </c>
      <c r="U286" s="9" t="s">
        <v>2255</v>
      </c>
      <c r="V286" s="199">
        <v>1.77E-2</v>
      </c>
      <c r="W286" s="185">
        <v>2.8219999999999999E-2</v>
      </c>
      <c r="X286" s="5" t="s">
        <v>618</v>
      </c>
      <c r="Y286" s="5" t="s">
        <v>62</v>
      </c>
      <c r="Z286" s="170">
        <v>56756.76</v>
      </c>
      <c r="AA286" s="184">
        <v>1</v>
      </c>
      <c r="AB286" s="186">
        <v>114.73</v>
      </c>
      <c r="AC286" s="9"/>
      <c r="AD286" s="170">
        <v>65.117000000000004</v>
      </c>
      <c r="AE286" s="9"/>
      <c r="AF286" s="9"/>
      <c r="AG286" s="9" t="s">
        <v>17</v>
      </c>
      <c r="AH286" s="185">
        <v>2.3E-5</v>
      </c>
      <c r="AI286" s="185">
        <v>9.64460760112343E-3</v>
      </c>
      <c r="AJ286" s="185">
        <v>1.5305526686450301E-3</v>
      </c>
    </row>
    <row r="287" spans="1:36">
      <c r="A287" s="9">
        <v>337</v>
      </c>
      <c r="B287" s="9">
        <v>9962</v>
      </c>
      <c r="C287" s="9" t="s">
        <v>2055</v>
      </c>
      <c r="D287" s="9" t="s">
        <v>2056</v>
      </c>
      <c r="E287" s="5" t="s">
        <v>1346</v>
      </c>
      <c r="F287" s="9" t="s">
        <v>2651</v>
      </c>
      <c r="G287" s="9" t="s">
        <v>2652</v>
      </c>
      <c r="H287" s="9" t="s">
        <v>76</v>
      </c>
      <c r="I287" s="9" t="s">
        <v>229</v>
      </c>
      <c r="J287" s="9" t="s">
        <v>53</v>
      </c>
      <c r="K287" s="9" t="s">
        <v>53</v>
      </c>
      <c r="L287" s="9" t="s">
        <v>803</v>
      </c>
      <c r="M287" s="9" t="s">
        <v>311</v>
      </c>
      <c r="N287" s="9" t="s">
        <v>633</v>
      </c>
      <c r="O287" s="9" t="s">
        <v>62</v>
      </c>
      <c r="P287" s="9" t="s">
        <v>1331</v>
      </c>
      <c r="Q287" s="9" t="s">
        <v>65</v>
      </c>
      <c r="R287" s="9" t="s">
        <v>57</v>
      </c>
      <c r="S287" s="9" t="s">
        <v>1259</v>
      </c>
      <c r="T287" s="170">
        <v>6.4160000000000004</v>
      </c>
      <c r="U287" s="9" t="s">
        <v>2653</v>
      </c>
      <c r="V287" s="199">
        <v>8.9999999999999993E-3</v>
      </c>
      <c r="W287" s="185">
        <v>2.8410000000000001E-2</v>
      </c>
      <c r="X287" s="5" t="s">
        <v>618</v>
      </c>
      <c r="Y287" s="5" t="s">
        <v>62</v>
      </c>
      <c r="Z287" s="170">
        <v>77799.179999999993</v>
      </c>
      <c r="AA287" s="184">
        <v>1</v>
      </c>
      <c r="AB287" s="186">
        <v>101.93</v>
      </c>
      <c r="AC287" s="170">
        <v>2.2810000000000001</v>
      </c>
      <c r="AD287" s="170">
        <v>81.581999999999994</v>
      </c>
      <c r="AE287" s="9"/>
      <c r="AF287" s="9"/>
      <c r="AG287" s="9" t="s">
        <v>17</v>
      </c>
      <c r="AH287" s="185">
        <v>2.9E-5</v>
      </c>
      <c r="AI287" s="185">
        <v>1.20832247423303E-2</v>
      </c>
      <c r="AJ287" s="185">
        <v>1.9175494369576E-3</v>
      </c>
    </row>
    <row r="288" spans="1:36">
      <c r="A288" s="9">
        <v>337</v>
      </c>
      <c r="B288" s="9">
        <v>9962</v>
      </c>
      <c r="C288" s="9" t="s">
        <v>2055</v>
      </c>
      <c r="D288" s="9" t="s">
        <v>2056</v>
      </c>
      <c r="E288" s="5" t="s">
        <v>1346</v>
      </c>
      <c r="F288" s="9" t="s">
        <v>2852</v>
      </c>
      <c r="G288" s="9" t="s">
        <v>2853</v>
      </c>
      <c r="H288" s="9" t="s">
        <v>76</v>
      </c>
      <c r="I288" s="9" t="s">
        <v>229</v>
      </c>
      <c r="J288" s="9" t="s">
        <v>53</v>
      </c>
      <c r="K288" s="9" t="s">
        <v>53</v>
      </c>
      <c r="L288" s="9" t="s">
        <v>803</v>
      </c>
      <c r="M288" s="9" t="s">
        <v>1691</v>
      </c>
      <c r="N288" s="9" t="s">
        <v>633</v>
      </c>
      <c r="O288" s="9" t="s">
        <v>62</v>
      </c>
      <c r="P288" s="9" t="s">
        <v>2650</v>
      </c>
      <c r="Q288" s="9" t="s">
        <v>70</v>
      </c>
      <c r="R288" s="9" t="s">
        <v>57</v>
      </c>
      <c r="S288" s="9" t="s">
        <v>1259</v>
      </c>
      <c r="T288" s="170">
        <v>11.936</v>
      </c>
      <c r="U288" s="9" t="s">
        <v>2854</v>
      </c>
      <c r="V288" s="199">
        <v>3.6700000000000003E-2</v>
      </c>
      <c r="W288" s="185">
        <v>3.1620000000000002E-2</v>
      </c>
      <c r="X288" s="5" t="s">
        <v>618</v>
      </c>
      <c r="Y288" s="5" t="s">
        <v>62</v>
      </c>
      <c r="Z288" s="170">
        <v>35000</v>
      </c>
      <c r="AA288" s="184">
        <v>1</v>
      </c>
      <c r="AB288" s="186">
        <v>109.54</v>
      </c>
      <c r="AC288" s="170">
        <v>0.66100000000000003</v>
      </c>
      <c r="AD288" s="170">
        <v>39</v>
      </c>
      <c r="AE288" s="9"/>
      <c r="AF288" s="9"/>
      <c r="AG288" s="9" t="s">
        <v>17</v>
      </c>
      <c r="AH288" s="185">
        <v>1.1E-5</v>
      </c>
      <c r="AI288" s="185">
        <v>5.7764325037941502E-3</v>
      </c>
      <c r="AJ288" s="185">
        <v>9.1669195363636798E-4</v>
      </c>
    </row>
    <row r="289" spans="1:36">
      <c r="A289" s="9">
        <v>337</v>
      </c>
      <c r="B289" s="9">
        <v>9962</v>
      </c>
      <c r="C289" s="9" t="s">
        <v>2657</v>
      </c>
      <c r="D289" s="9" t="s">
        <v>2658</v>
      </c>
      <c r="E289" s="5" t="s">
        <v>1346</v>
      </c>
      <c r="F289" s="9" t="s">
        <v>2659</v>
      </c>
      <c r="G289" s="9" t="s">
        <v>2660</v>
      </c>
      <c r="H289" s="9" t="s">
        <v>76</v>
      </c>
      <c r="I289" s="9" t="s">
        <v>228</v>
      </c>
      <c r="J289" s="9" t="s">
        <v>53</v>
      </c>
      <c r="K289" s="9" t="s">
        <v>53</v>
      </c>
      <c r="L289" s="9" t="s">
        <v>803</v>
      </c>
      <c r="M289" s="9" t="s">
        <v>311</v>
      </c>
      <c r="N289" s="9" t="s">
        <v>140</v>
      </c>
      <c r="O289" s="9" t="s">
        <v>62</v>
      </c>
      <c r="P289" s="9" t="s">
        <v>2314</v>
      </c>
      <c r="Q289" s="9" t="s">
        <v>70</v>
      </c>
      <c r="R289" s="9" t="s">
        <v>57</v>
      </c>
      <c r="S289" s="9" t="s">
        <v>1259</v>
      </c>
      <c r="T289" s="170">
        <v>1.385</v>
      </c>
      <c r="U289" s="9" t="s">
        <v>2661</v>
      </c>
      <c r="V289" s="199">
        <v>0.06</v>
      </c>
      <c r="W289" s="185">
        <v>5.2359999999999997E-2</v>
      </c>
      <c r="X289" s="5" t="s">
        <v>618</v>
      </c>
      <c r="Y289" s="5" t="s">
        <v>62</v>
      </c>
      <c r="Z289" s="170">
        <v>17428.89</v>
      </c>
      <c r="AA289" s="184">
        <v>1</v>
      </c>
      <c r="AB289" s="186">
        <v>101.65</v>
      </c>
      <c r="AC289" s="9"/>
      <c r="AD289" s="170">
        <v>17.716000000000001</v>
      </c>
      <c r="AE289" s="9"/>
      <c r="AF289" s="9"/>
      <c r="AG289" s="9" t="s">
        <v>17</v>
      </c>
      <c r="AH289" s="185">
        <v>1.03E-4</v>
      </c>
      <c r="AI289" s="185">
        <v>2.6240196657070199E-3</v>
      </c>
      <c r="AJ289" s="185">
        <v>4.16419253952551E-4</v>
      </c>
    </row>
    <row r="290" spans="1:36">
      <c r="A290" s="9">
        <v>337</v>
      </c>
      <c r="B290" s="9">
        <v>9962</v>
      </c>
      <c r="C290" s="9" t="s">
        <v>2059</v>
      </c>
      <c r="D290" s="9" t="s">
        <v>2060</v>
      </c>
      <c r="E290" s="5" t="s">
        <v>1346</v>
      </c>
      <c r="F290" s="9" t="s">
        <v>2662</v>
      </c>
      <c r="G290" s="9" t="s">
        <v>2663</v>
      </c>
      <c r="H290" s="9" t="s">
        <v>76</v>
      </c>
      <c r="I290" s="9" t="s">
        <v>229</v>
      </c>
      <c r="J290" s="9" t="s">
        <v>53</v>
      </c>
      <c r="K290" s="9" t="s">
        <v>53</v>
      </c>
      <c r="L290" s="9" t="s">
        <v>803</v>
      </c>
      <c r="M290" s="9" t="s">
        <v>311</v>
      </c>
      <c r="N290" s="9" t="s">
        <v>256</v>
      </c>
      <c r="O290" s="9" t="s">
        <v>62</v>
      </c>
      <c r="P290" s="9" t="s">
        <v>1641</v>
      </c>
      <c r="Q290" s="9" t="s">
        <v>65</v>
      </c>
      <c r="R290" s="9" t="s">
        <v>57</v>
      </c>
      <c r="S290" s="9" t="s">
        <v>1259</v>
      </c>
      <c r="T290" s="170">
        <v>3.335</v>
      </c>
      <c r="U290" s="9" t="s">
        <v>2664</v>
      </c>
      <c r="V290" s="199">
        <v>1E-3</v>
      </c>
      <c r="W290" s="185">
        <v>2.5729999999999999E-2</v>
      </c>
      <c r="X290" s="5" t="s">
        <v>618</v>
      </c>
      <c r="Y290" s="5" t="s">
        <v>62</v>
      </c>
      <c r="Z290" s="170">
        <v>21709.8</v>
      </c>
      <c r="AA290" s="184">
        <v>1</v>
      </c>
      <c r="AB290" s="186">
        <v>105.19</v>
      </c>
      <c r="AC290" s="9"/>
      <c r="AD290" s="170">
        <v>22.837</v>
      </c>
      <c r="AE290" s="9"/>
      <c r="AF290" s="9"/>
      <c r="AG290" s="9" t="s">
        <v>17</v>
      </c>
      <c r="AH290" s="185">
        <v>2.1999999999999999E-5</v>
      </c>
      <c r="AI290" s="185">
        <v>3.38236328388738E-3</v>
      </c>
      <c r="AJ290" s="185">
        <v>5.3676472538683297E-4</v>
      </c>
    </row>
    <row r="291" spans="1:36">
      <c r="A291" s="9">
        <v>337</v>
      </c>
      <c r="B291" s="9">
        <v>9962</v>
      </c>
      <c r="C291" s="9" t="s">
        <v>2059</v>
      </c>
      <c r="D291" s="9" t="s">
        <v>2060</v>
      </c>
      <c r="E291" s="5" t="s">
        <v>1346</v>
      </c>
      <c r="F291" s="9" t="s">
        <v>2665</v>
      </c>
      <c r="G291" s="9" t="s">
        <v>2666</v>
      </c>
      <c r="H291" s="9" t="s">
        <v>76</v>
      </c>
      <c r="I291" s="9" t="s">
        <v>229</v>
      </c>
      <c r="J291" s="9" t="s">
        <v>53</v>
      </c>
      <c r="K291" s="9" t="s">
        <v>53</v>
      </c>
      <c r="L291" s="9" t="s">
        <v>803</v>
      </c>
      <c r="M291" s="9" t="s">
        <v>311</v>
      </c>
      <c r="N291" s="9" t="s">
        <v>256</v>
      </c>
      <c r="O291" s="9" t="s">
        <v>62</v>
      </c>
      <c r="P291" s="9" t="s">
        <v>1641</v>
      </c>
      <c r="Q291" s="9" t="s">
        <v>65</v>
      </c>
      <c r="R291" s="9" t="s">
        <v>57</v>
      </c>
      <c r="S291" s="9" t="s">
        <v>1259</v>
      </c>
      <c r="T291" s="170">
        <v>3.7149999999999999</v>
      </c>
      <c r="U291" s="9" t="s">
        <v>2667</v>
      </c>
      <c r="V291" s="199">
        <v>1.3899999999999999E-2</v>
      </c>
      <c r="W291" s="185">
        <v>2.511E-2</v>
      </c>
      <c r="X291" s="5" t="s">
        <v>618</v>
      </c>
      <c r="Y291" s="5" t="s">
        <v>62</v>
      </c>
      <c r="Z291" s="170">
        <v>34400</v>
      </c>
      <c r="AA291" s="184">
        <v>1</v>
      </c>
      <c r="AB291" s="186">
        <v>105.13</v>
      </c>
      <c r="AC291" s="9"/>
      <c r="AD291" s="170">
        <v>36.164999999999999</v>
      </c>
      <c r="AE291" s="9"/>
      <c r="AF291" s="9"/>
      <c r="AG291" s="9" t="s">
        <v>17</v>
      </c>
      <c r="AH291" s="185">
        <v>2.1999999999999999E-5</v>
      </c>
      <c r="AI291" s="185">
        <v>5.3564256446876398E-3</v>
      </c>
      <c r="AJ291" s="185">
        <v>8.5003889260568404E-4</v>
      </c>
    </row>
    <row r="292" spans="1:36">
      <c r="A292" s="9">
        <v>337</v>
      </c>
      <c r="B292" s="9">
        <v>9962</v>
      </c>
      <c r="C292" s="9" t="s">
        <v>2059</v>
      </c>
      <c r="D292" s="9" t="s">
        <v>2060</v>
      </c>
      <c r="E292" s="5" t="s">
        <v>1346</v>
      </c>
      <c r="F292" s="9" t="s">
        <v>2855</v>
      </c>
      <c r="G292" s="9" t="s">
        <v>2856</v>
      </c>
      <c r="H292" s="9" t="s">
        <v>76</v>
      </c>
      <c r="I292" s="9" t="s">
        <v>229</v>
      </c>
      <c r="J292" s="9" t="s">
        <v>53</v>
      </c>
      <c r="K292" s="9" t="s">
        <v>53</v>
      </c>
      <c r="L292" s="9" t="s">
        <v>803</v>
      </c>
      <c r="M292" s="9" t="s">
        <v>311</v>
      </c>
      <c r="N292" s="9" t="s">
        <v>256</v>
      </c>
      <c r="O292" s="9" t="s">
        <v>62</v>
      </c>
      <c r="P292" s="9" t="s">
        <v>1641</v>
      </c>
      <c r="Q292" s="9" t="s">
        <v>65</v>
      </c>
      <c r="R292" s="9" t="s">
        <v>57</v>
      </c>
      <c r="S292" s="9" t="s">
        <v>1259</v>
      </c>
      <c r="T292" s="170">
        <v>1.806</v>
      </c>
      <c r="U292" s="9" t="s">
        <v>2857</v>
      </c>
      <c r="V292" s="199">
        <v>6.0000000000000001E-3</v>
      </c>
      <c r="W292" s="185">
        <v>2.4760000000000001E-2</v>
      </c>
      <c r="X292" s="5" t="s">
        <v>618</v>
      </c>
      <c r="Y292" s="5" t="s">
        <v>62</v>
      </c>
      <c r="Z292" s="170">
        <v>27900</v>
      </c>
      <c r="AA292" s="184">
        <v>1</v>
      </c>
      <c r="AB292" s="186">
        <v>114.32</v>
      </c>
      <c r="AC292" s="9"/>
      <c r="AD292" s="170">
        <v>31.895</v>
      </c>
      <c r="AE292" s="9"/>
      <c r="AF292" s="9"/>
      <c r="AG292" s="9" t="s">
        <v>17</v>
      </c>
      <c r="AH292" s="185">
        <v>4.1999999999999998E-5</v>
      </c>
      <c r="AI292" s="185">
        <v>4.7240707445403299E-3</v>
      </c>
      <c r="AJ292" s="185">
        <v>7.4968722253478505E-4</v>
      </c>
    </row>
    <row r="293" spans="1:36">
      <c r="A293" s="9">
        <v>337</v>
      </c>
      <c r="B293" s="9">
        <v>9962</v>
      </c>
      <c r="C293" s="9" t="s">
        <v>2059</v>
      </c>
      <c r="D293" s="9" t="s">
        <v>2060</v>
      </c>
      <c r="E293" s="5" t="s">
        <v>1346</v>
      </c>
      <c r="F293" s="9" t="s">
        <v>2668</v>
      </c>
      <c r="G293" s="9" t="s">
        <v>2669</v>
      </c>
      <c r="H293" s="9" t="s">
        <v>76</v>
      </c>
      <c r="I293" s="9" t="s">
        <v>229</v>
      </c>
      <c r="J293" s="9" t="s">
        <v>53</v>
      </c>
      <c r="K293" s="9" t="s">
        <v>53</v>
      </c>
      <c r="L293" s="9" t="s">
        <v>803</v>
      </c>
      <c r="M293" s="9" t="s">
        <v>311</v>
      </c>
      <c r="N293" s="9" t="s">
        <v>256</v>
      </c>
      <c r="O293" s="9" t="s">
        <v>62</v>
      </c>
      <c r="P293" s="9" t="s">
        <v>1641</v>
      </c>
      <c r="Q293" s="9" t="s">
        <v>65</v>
      </c>
      <c r="R293" s="9" t="s">
        <v>57</v>
      </c>
      <c r="S293" s="9" t="s">
        <v>1259</v>
      </c>
      <c r="T293" s="170">
        <v>2.8039999999999998</v>
      </c>
      <c r="U293" s="9" t="s">
        <v>2670</v>
      </c>
      <c r="V293" s="199">
        <v>1.7500000000000002E-2</v>
      </c>
      <c r="W293" s="185">
        <v>2.4469999999999999E-2</v>
      </c>
      <c r="X293" s="5" t="s">
        <v>618</v>
      </c>
      <c r="Y293" s="5" t="s">
        <v>62</v>
      </c>
      <c r="Z293" s="170">
        <v>25724.18</v>
      </c>
      <c r="AA293" s="184">
        <v>1</v>
      </c>
      <c r="AB293" s="186">
        <v>115.29</v>
      </c>
      <c r="AC293" s="9"/>
      <c r="AD293" s="170">
        <v>29.657</v>
      </c>
      <c r="AE293" s="9"/>
      <c r="AF293" s="9"/>
      <c r="AG293" s="9" t="s">
        <v>17</v>
      </c>
      <c r="AH293" s="185">
        <v>1.2E-5</v>
      </c>
      <c r="AI293" s="185">
        <v>4.3926151249953698E-3</v>
      </c>
      <c r="AJ293" s="185">
        <v>6.9708681575692498E-4</v>
      </c>
    </row>
    <row r="294" spans="1:36">
      <c r="A294" s="9">
        <v>337</v>
      </c>
      <c r="B294" s="9">
        <v>9962</v>
      </c>
      <c r="C294" s="9" t="s">
        <v>2059</v>
      </c>
      <c r="D294" s="9" t="s">
        <v>2060</v>
      </c>
      <c r="E294" s="5" t="s">
        <v>1346</v>
      </c>
      <c r="F294" s="9" t="s">
        <v>2671</v>
      </c>
      <c r="G294" s="9" t="s">
        <v>2672</v>
      </c>
      <c r="H294" s="9" t="s">
        <v>76</v>
      </c>
      <c r="I294" s="9" t="s">
        <v>229</v>
      </c>
      <c r="J294" s="9" t="s">
        <v>53</v>
      </c>
      <c r="K294" s="9" t="s">
        <v>53</v>
      </c>
      <c r="L294" s="9" t="s">
        <v>803</v>
      </c>
      <c r="M294" s="9" t="s">
        <v>1691</v>
      </c>
      <c r="N294" s="9" t="s">
        <v>256</v>
      </c>
      <c r="O294" s="9" t="s">
        <v>62</v>
      </c>
      <c r="P294" s="9" t="s">
        <v>2239</v>
      </c>
      <c r="Q294" s="9" t="s">
        <v>65</v>
      </c>
      <c r="R294" s="9" t="s">
        <v>57</v>
      </c>
      <c r="S294" s="9" t="s">
        <v>1259</v>
      </c>
      <c r="T294" s="170">
        <v>6.56</v>
      </c>
      <c r="U294" s="9" t="s">
        <v>2673</v>
      </c>
      <c r="V294" s="199">
        <v>3.4500000000000003E-2</v>
      </c>
      <c r="W294" s="185">
        <v>2.903E-2</v>
      </c>
      <c r="X294" s="5" t="s">
        <v>618</v>
      </c>
      <c r="Y294" s="5" t="s">
        <v>62</v>
      </c>
      <c r="Z294" s="170">
        <v>67000</v>
      </c>
      <c r="AA294" s="184">
        <v>1</v>
      </c>
      <c r="AB294" s="186">
        <v>106.85</v>
      </c>
      <c r="AC294" s="9"/>
      <c r="AD294" s="170">
        <v>71.59</v>
      </c>
      <c r="AE294" s="9"/>
      <c r="AF294" s="9"/>
      <c r="AG294" s="9" t="s">
        <v>17</v>
      </c>
      <c r="AH294" s="185">
        <v>4.6E-5</v>
      </c>
      <c r="AI294" s="185">
        <v>1.06032573649226E-2</v>
      </c>
      <c r="AJ294" s="185">
        <v>1.6826857584461999E-3</v>
      </c>
    </row>
    <row r="295" spans="1:36">
      <c r="A295" s="9">
        <v>337</v>
      </c>
      <c r="B295" s="9">
        <v>9962</v>
      </c>
      <c r="C295" s="9" t="s">
        <v>2059</v>
      </c>
      <c r="D295" s="9" t="s">
        <v>2060</v>
      </c>
      <c r="E295" s="5" t="s">
        <v>1346</v>
      </c>
      <c r="F295" s="9" t="s">
        <v>2858</v>
      </c>
      <c r="G295" s="9" t="s">
        <v>2859</v>
      </c>
      <c r="H295" s="9" t="s">
        <v>76</v>
      </c>
      <c r="I295" s="9" t="s">
        <v>229</v>
      </c>
      <c r="J295" s="9" t="s">
        <v>53</v>
      </c>
      <c r="K295" s="9" t="s">
        <v>53</v>
      </c>
      <c r="L295" s="9" t="s">
        <v>803</v>
      </c>
      <c r="M295" s="9" t="s">
        <v>311</v>
      </c>
      <c r="N295" s="9" t="s">
        <v>256</v>
      </c>
      <c r="O295" s="9" t="s">
        <v>62</v>
      </c>
      <c r="P295" s="9" t="s">
        <v>2239</v>
      </c>
      <c r="Q295" s="9" t="s">
        <v>65</v>
      </c>
      <c r="R295" s="9" t="s">
        <v>57</v>
      </c>
      <c r="S295" s="9" t="s">
        <v>1259</v>
      </c>
      <c r="T295" s="170">
        <v>2.673</v>
      </c>
      <c r="U295" s="9" t="s">
        <v>2860</v>
      </c>
      <c r="V295" s="199">
        <v>8.3999999999999995E-3</v>
      </c>
      <c r="W295" s="185">
        <v>2.9729999999999999E-2</v>
      </c>
      <c r="X295" s="5" t="s">
        <v>618</v>
      </c>
      <c r="Y295" s="5" t="s">
        <v>62</v>
      </c>
      <c r="Z295" s="170">
        <v>50000</v>
      </c>
      <c r="AA295" s="184">
        <v>1</v>
      </c>
      <c r="AB295" s="186">
        <v>107.82</v>
      </c>
      <c r="AC295" s="9"/>
      <c r="AD295" s="170">
        <v>53.91</v>
      </c>
      <c r="AE295" s="9"/>
      <c r="AF295" s="9"/>
      <c r="AG295" s="9" t="s">
        <v>17</v>
      </c>
      <c r="AH295" s="185">
        <v>1.26E-4</v>
      </c>
      <c r="AI295" s="185">
        <v>7.9847129054258E-3</v>
      </c>
      <c r="AJ295" s="185">
        <v>1.26713539328861E-3</v>
      </c>
    </row>
    <row r="296" spans="1:36">
      <c r="A296" s="9">
        <v>337</v>
      </c>
      <c r="B296" s="9">
        <v>9962</v>
      </c>
      <c r="C296" s="9" t="s">
        <v>2067</v>
      </c>
      <c r="D296" s="9" t="s">
        <v>2068</v>
      </c>
      <c r="E296" s="5" t="s">
        <v>1346</v>
      </c>
      <c r="F296" s="9" t="s">
        <v>2674</v>
      </c>
      <c r="G296" s="9" t="s">
        <v>2675</v>
      </c>
      <c r="H296" s="9" t="s">
        <v>76</v>
      </c>
      <c r="I296" s="9" t="s">
        <v>228</v>
      </c>
      <c r="J296" s="9" t="s">
        <v>53</v>
      </c>
      <c r="K296" s="9" t="s">
        <v>53</v>
      </c>
      <c r="L296" s="9" t="s">
        <v>803</v>
      </c>
      <c r="M296" s="9" t="s">
        <v>311</v>
      </c>
      <c r="N296" s="9" t="s">
        <v>252</v>
      </c>
      <c r="O296" s="9" t="s">
        <v>62</v>
      </c>
      <c r="P296" s="9" t="s">
        <v>2239</v>
      </c>
      <c r="Q296" s="9" t="s">
        <v>65</v>
      </c>
      <c r="R296" s="9" t="s">
        <v>57</v>
      </c>
      <c r="S296" s="9" t="s">
        <v>1259</v>
      </c>
      <c r="T296" s="170">
        <v>0.90200000000000002</v>
      </c>
      <c r="U296" s="9" t="s">
        <v>2676</v>
      </c>
      <c r="V296" s="199">
        <v>2.29E-2</v>
      </c>
      <c r="W296" s="185">
        <v>4.7030000000000002E-2</v>
      </c>
      <c r="X296" s="5" t="s">
        <v>618</v>
      </c>
      <c r="Y296" s="5" t="s">
        <v>62</v>
      </c>
      <c r="Z296" s="170">
        <v>19038.46</v>
      </c>
      <c r="AA296" s="184">
        <v>1</v>
      </c>
      <c r="AB296" s="186">
        <v>98.11</v>
      </c>
      <c r="AC296" s="9"/>
      <c r="AD296" s="170">
        <v>18.678999999999998</v>
      </c>
      <c r="AE296" s="9"/>
      <c r="AF296" s="9"/>
      <c r="AG296" s="9" t="s">
        <v>17</v>
      </c>
      <c r="AH296" s="185">
        <v>5.7000000000000003E-5</v>
      </c>
      <c r="AI296" s="185">
        <v>2.7665279691558502E-3</v>
      </c>
      <c r="AJ296" s="185">
        <v>4.3903463377601402E-4</v>
      </c>
    </row>
    <row r="297" spans="1:36">
      <c r="A297" s="9">
        <v>337</v>
      </c>
      <c r="B297" s="9">
        <v>9962</v>
      </c>
      <c r="C297" s="9" t="s">
        <v>2677</v>
      </c>
      <c r="D297" s="9" t="s">
        <v>2678</v>
      </c>
      <c r="E297" s="5" t="s">
        <v>1346</v>
      </c>
      <c r="F297" s="9" t="s">
        <v>2679</v>
      </c>
      <c r="G297" s="9" t="s">
        <v>2680</v>
      </c>
      <c r="H297" s="9" t="s">
        <v>76</v>
      </c>
      <c r="I297" s="9" t="s">
        <v>228</v>
      </c>
      <c r="J297" s="9" t="s">
        <v>53</v>
      </c>
      <c r="K297" s="9" t="s">
        <v>53</v>
      </c>
      <c r="L297" s="9" t="s">
        <v>803</v>
      </c>
      <c r="M297" s="9" t="s">
        <v>1691</v>
      </c>
      <c r="N297" s="9" t="s">
        <v>269</v>
      </c>
      <c r="O297" s="9" t="s">
        <v>62</v>
      </c>
      <c r="P297" s="9" t="s">
        <v>2246</v>
      </c>
      <c r="Q297" s="9" t="s">
        <v>65</v>
      </c>
      <c r="R297" s="9" t="s">
        <v>57</v>
      </c>
      <c r="S297" s="9" t="s">
        <v>1259</v>
      </c>
      <c r="T297" s="170">
        <v>5.4450000000000003</v>
      </c>
      <c r="U297" s="9" t="s">
        <v>2681</v>
      </c>
      <c r="V297" s="199">
        <v>5.1499999999999997E-2</v>
      </c>
      <c r="W297" s="185">
        <v>4.768E-2</v>
      </c>
      <c r="X297" s="5" t="s">
        <v>618</v>
      </c>
      <c r="Y297" s="5" t="s">
        <v>62</v>
      </c>
      <c r="Z297" s="170">
        <v>55000</v>
      </c>
      <c r="AA297" s="184">
        <v>1</v>
      </c>
      <c r="AB297" s="186">
        <v>103.43</v>
      </c>
      <c r="AC297" s="9"/>
      <c r="AD297" s="170">
        <v>56.887</v>
      </c>
      <c r="AE297" s="9"/>
      <c r="AF297" s="9"/>
      <c r="AG297" s="9" t="s">
        <v>17</v>
      </c>
      <c r="AH297" s="185">
        <v>9.8999999999999994E-5</v>
      </c>
      <c r="AI297" s="185">
        <v>8.42556799655916E-3</v>
      </c>
      <c r="AJ297" s="185">
        <v>1.33709696810077E-3</v>
      </c>
    </row>
    <row r="298" spans="1:36">
      <c r="A298" s="9">
        <v>337</v>
      </c>
      <c r="B298" s="9">
        <v>9962</v>
      </c>
      <c r="C298" s="9" t="s">
        <v>2677</v>
      </c>
      <c r="D298" s="9" t="s">
        <v>2678</v>
      </c>
      <c r="E298" s="5" t="s">
        <v>1346</v>
      </c>
      <c r="F298" s="9" t="s">
        <v>2861</v>
      </c>
      <c r="G298" s="9" t="s">
        <v>2862</v>
      </c>
      <c r="H298" s="9" t="s">
        <v>76</v>
      </c>
      <c r="I298" s="9" t="s">
        <v>228</v>
      </c>
      <c r="J298" s="9" t="s">
        <v>53</v>
      </c>
      <c r="K298" s="9" t="s">
        <v>53</v>
      </c>
      <c r="L298" s="9" t="s">
        <v>803</v>
      </c>
      <c r="M298" s="9" t="s">
        <v>311</v>
      </c>
      <c r="N298" s="9" t="s">
        <v>269</v>
      </c>
      <c r="O298" s="9" t="s">
        <v>62</v>
      </c>
      <c r="P298" s="9" t="s">
        <v>2246</v>
      </c>
      <c r="Q298" s="9" t="s">
        <v>65</v>
      </c>
      <c r="R298" s="9" t="s">
        <v>57</v>
      </c>
      <c r="S298" s="9" t="s">
        <v>1259</v>
      </c>
      <c r="T298" s="170">
        <v>3.6459999999999999</v>
      </c>
      <c r="U298" s="9" t="s">
        <v>2377</v>
      </c>
      <c r="V298" s="199">
        <v>2.6200000000000001E-2</v>
      </c>
      <c r="W298" s="185">
        <v>4.5060000000000003E-2</v>
      </c>
      <c r="X298" s="5" t="s">
        <v>618</v>
      </c>
      <c r="Y298" s="5" t="s">
        <v>62</v>
      </c>
      <c r="Z298" s="170">
        <v>67090</v>
      </c>
      <c r="AA298" s="184">
        <v>1</v>
      </c>
      <c r="AB298" s="186">
        <v>94.04</v>
      </c>
      <c r="AC298" s="9"/>
      <c r="AD298" s="170">
        <v>63.091000000000001</v>
      </c>
      <c r="AE298" s="9"/>
      <c r="AF298" s="9"/>
      <c r="AG298" s="9" t="s">
        <v>17</v>
      </c>
      <c r="AH298" s="185">
        <v>5.1999999999999997E-5</v>
      </c>
      <c r="AI298" s="185">
        <v>9.3445929002234397E-3</v>
      </c>
      <c r="AJ298" s="185">
        <v>1.4829417838806E-3</v>
      </c>
    </row>
    <row r="299" spans="1:36">
      <c r="A299" s="9">
        <v>337</v>
      </c>
      <c r="B299" s="9">
        <v>9962</v>
      </c>
      <c r="C299" s="9" t="s">
        <v>2677</v>
      </c>
      <c r="D299" s="9" t="s">
        <v>2678</v>
      </c>
      <c r="E299" s="5" t="s">
        <v>1346</v>
      </c>
      <c r="F299" s="9" t="s">
        <v>2682</v>
      </c>
      <c r="G299" s="9" t="s">
        <v>2683</v>
      </c>
      <c r="H299" s="9" t="s">
        <v>76</v>
      </c>
      <c r="I299" s="9" t="s">
        <v>229</v>
      </c>
      <c r="J299" s="9" t="s">
        <v>53</v>
      </c>
      <c r="K299" s="9" t="s">
        <v>53</v>
      </c>
      <c r="L299" s="9" t="s">
        <v>803</v>
      </c>
      <c r="M299" s="9" t="s">
        <v>311</v>
      </c>
      <c r="N299" s="9" t="s">
        <v>269</v>
      </c>
      <c r="O299" s="9" t="s">
        <v>62</v>
      </c>
      <c r="P299" s="9" t="s">
        <v>2239</v>
      </c>
      <c r="Q299" s="9" t="s">
        <v>65</v>
      </c>
      <c r="R299" s="9" t="s">
        <v>57</v>
      </c>
      <c r="S299" s="9" t="s">
        <v>1259</v>
      </c>
      <c r="T299" s="170">
        <v>6.133</v>
      </c>
      <c r="U299" s="9" t="s">
        <v>2684</v>
      </c>
      <c r="V299" s="199">
        <v>2.0899999999999998E-2</v>
      </c>
      <c r="W299" s="185">
        <v>2.9159999999999998E-2</v>
      </c>
      <c r="X299" s="5" t="s">
        <v>618</v>
      </c>
      <c r="Y299" s="5" t="s">
        <v>62</v>
      </c>
      <c r="Z299" s="170">
        <v>100000</v>
      </c>
      <c r="AA299" s="184">
        <v>1</v>
      </c>
      <c r="AB299" s="186">
        <v>110.73</v>
      </c>
      <c r="AC299" s="9"/>
      <c r="AD299" s="170">
        <v>110.73</v>
      </c>
      <c r="AE299" s="9"/>
      <c r="AF299" s="9"/>
      <c r="AG299" s="9" t="s">
        <v>17</v>
      </c>
      <c r="AH299" s="185">
        <v>6.4999999999999994E-5</v>
      </c>
      <c r="AI299" s="185">
        <v>1.64004314601706E-2</v>
      </c>
      <c r="AJ299" s="185">
        <v>2.6026693025198999E-3</v>
      </c>
    </row>
    <row r="300" spans="1:36">
      <c r="A300" s="9">
        <v>337</v>
      </c>
      <c r="B300" s="9">
        <v>9962</v>
      </c>
      <c r="C300" s="9" t="s">
        <v>2685</v>
      </c>
      <c r="D300" s="9" t="s">
        <v>2686</v>
      </c>
      <c r="E300" s="5" t="s">
        <v>765</v>
      </c>
      <c r="F300" s="9" t="s">
        <v>2687</v>
      </c>
      <c r="G300" s="9" t="s">
        <v>2688</v>
      </c>
      <c r="H300" s="9" t="s">
        <v>76</v>
      </c>
      <c r="I300" s="9" t="s">
        <v>228</v>
      </c>
      <c r="J300" s="9" t="s">
        <v>53</v>
      </c>
      <c r="K300" s="9" t="s">
        <v>314</v>
      </c>
      <c r="L300" s="9" t="s">
        <v>803</v>
      </c>
      <c r="M300" s="9" t="s">
        <v>311</v>
      </c>
      <c r="N300" s="9" t="s">
        <v>634</v>
      </c>
      <c r="O300" s="9" t="s">
        <v>62</v>
      </c>
      <c r="P300" s="9" t="s">
        <v>1614</v>
      </c>
      <c r="Q300" s="9" t="s">
        <v>65</v>
      </c>
      <c r="R300" s="9" t="s">
        <v>57</v>
      </c>
      <c r="S300" s="9" t="s">
        <v>1259</v>
      </c>
      <c r="T300" s="170">
        <v>0.57399999999999995</v>
      </c>
      <c r="U300" s="9" t="s">
        <v>2572</v>
      </c>
      <c r="V300" s="199">
        <v>4.045E-2</v>
      </c>
      <c r="W300" s="185">
        <v>0.44588</v>
      </c>
      <c r="X300" s="5" t="s">
        <v>618</v>
      </c>
      <c r="Y300" s="5" t="s">
        <v>62</v>
      </c>
      <c r="Z300" s="170">
        <v>0.6</v>
      </c>
      <c r="AA300" s="184">
        <v>1</v>
      </c>
      <c r="AB300" s="186">
        <v>84.44</v>
      </c>
      <c r="AC300" s="9"/>
      <c r="AD300" s="170">
        <v>1E-3</v>
      </c>
      <c r="AE300" s="9"/>
      <c r="AF300" s="9"/>
      <c r="AG300" s="9" t="s">
        <v>17</v>
      </c>
      <c r="AH300" s="185">
        <v>0</v>
      </c>
      <c r="AI300" s="185">
        <v>7.5039416553606495E-8</v>
      </c>
      <c r="AJ300" s="185">
        <v>1.1908393167422399E-8</v>
      </c>
    </row>
    <row r="301" spans="1:36">
      <c r="A301" s="9">
        <v>337</v>
      </c>
      <c r="B301" s="9">
        <v>9962</v>
      </c>
      <c r="C301" s="9" t="s">
        <v>2685</v>
      </c>
      <c r="D301" s="9" t="s">
        <v>2686</v>
      </c>
      <c r="E301" s="5" t="s">
        <v>765</v>
      </c>
      <c r="F301" s="9" t="s">
        <v>2863</v>
      </c>
      <c r="G301" s="9" t="s">
        <v>2864</v>
      </c>
      <c r="H301" s="9" t="s">
        <v>76</v>
      </c>
      <c r="I301" s="9" t="s">
        <v>228</v>
      </c>
      <c r="J301" s="9" t="s">
        <v>53</v>
      </c>
      <c r="K301" s="9" t="s">
        <v>314</v>
      </c>
      <c r="L301" s="9" t="s">
        <v>803</v>
      </c>
      <c r="M301" s="9" t="s">
        <v>311</v>
      </c>
      <c r="N301" s="9" t="s">
        <v>634</v>
      </c>
      <c r="O301" s="9" t="s">
        <v>62</v>
      </c>
      <c r="P301" s="9" t="s">
        <v>2239</v>
      </c>
      <c r="Q301" s="9" t="s">
        <v>65</v>
      </c>
      <c r="R301" s="9" t="s">
        <v>57</v>
      </c>
      <c r="S301" s="9" t="s">
        <v>1259</v>
      </c>
      <c r="T301" s="170">
        <v>0.97299999999999998</v>
      </c>
      <c r="U301" s="9" t="s">
        <v>2395</v>
      </c>
      <c r="V301" s="199">
        <v>0.09</v>
      </c>
      <c r="W301" s="185">
        <v>0.10584</v>
      </c>
      <c r="X301" s="5" t="s">
        <v>618</v>
      </c>
      <c r="Y301" s="5" t="s">
        <v>62</v>
      </c>
      <c r="Z301" s="170">
        <v>0.89</v>
      </c>
      <c r="AA301" s="184">
        <v>1</v>
      </c>
      <c r="AB301" s="186">
        <v>98.83</v>
      </c>
      <c r="AC301" s="9"/>
      <c r="AD301" s="170">
        <v>1E-3</v>
      </c>
      <c r="AE301" s="9"/>
      <c r="AF301" s="9"/>
      <c r="AG301" s="9" t="s">
        <v>17</v>
      </c>
      <c r="AH301" s="185">
        <v>0</v>
      </c>
      <c r="AI301" s="185">
        <v>1.30277307927004E-7</v>
      </c>
      <c r="AJ301" s="185">
        <v>2.0674379877138701E-8</v>
      </c>
    </row>
    <row r="302" spans="1:36">
      <c r="A302" s="9">
        <v>337</v>
      </c>
      <c r="B302" s="9">
        <v>9962</v>
      </c>
      <c r="C302" s="9" t="s">
        <v>2689</v>
      </c>
      <c r="D302" s="9" t="s">
        <v>2690</v>
      </c>
      <c r="E302" s="5" t="s">
        <v>1346</v>
      </c>
      <c r="F302" s="9" t="s">
        <v>2691</v>
      </c>
      <c r="G302" s="9" t="s">
        <v>2692</v>
      </c>
      <c r="H302" s="9" t="s">
        <v>76</v>
      </c>
      <c r="I302" s="9" t="s">
        <v>228</v>
      </c>
      <c r="J302" s="9" t="s">
        <v>53</v>
      </c>
      <c r="K302" s="9" t="s">
        <v>53</v>
      </c>
      <c r="L302" s="9" t="s">
        <v>803</v>
      </c>
      <c r="M302" s="9" t="s">
        <v>311</v>
      </c>
      <c r="N302" s="9" t="s">
        <v>634</v>
      </c>
      <c r="O302" s="9" t="s">
        <v>62</v>
      </c>
      <c r="P302" s="9" t="s">
        <v>2225</v>
      </c>
      <c r="Q302" s="9" t="s">
        <v>70</v>
      </c>
      <c r="R302" s="9" t="s">
        <v>57</v>
      </c>
      <c r="S302" s="9" t="s">
        <v>1259</v>
      </c>
      <c r="T302" s="170">
        <v>5.6509999999999998</v>
      </c>
      <c r="U302" s="9" t="s">
        <v>2693</v>
      </c>
      <c r="V302" s="199">
        <v>5.5899999999999998E-2</v>
      </c>
      <c r="W302" s="185">
        <v>5.2449999999999997E-2</v>
      </c>
      <c r="X302" s="5" t="s">
        <v>618</v>
      </c>
      <c r="Y302" s="5" t="s">
        <v>62</v>
      </c>
      <c r="Z302" s="170">
        <v>48000</v>
      </c>
      <c r="AA302" s="184">
        <v>1</v>
      </c>
      <c r="AB302" s="186">
        <v>103.88</v>
      </c>
      <c r="AC302" s="9"/>
      <c r="AD302" s="170">
        <v>49.862000000000002</v>
      </c>
      <c r="AE302" s="9"/>
      <c r="AF302" s="9"/>
      <c r="AG302" s="9" t="s">
        <v>17</v>
      </c>
      <c r="AH302" s="185">
        <v>2.1499999999999999E-4</v>
      </c>
      <c r="AI302" s="185">
        <v>7.3852151507234898E-3</v>
      </c>
      <c r="AJ302" s="185">
        <v>1.1719979935877201E-3</v>
      </c>
    </row>
    <row r="303" spans="1:36">
      <c r="A303" s="9">
        <v>337</v>
      </c>
      <c r="B303" s="9">
        <v>9962</v>
      </c>
      <c r="C303" s="9" t="s">
        <v>2079</v>
      </c>
      <c r="D303" s="9" t="s">
        <v>2080</v>
      </c>
      <c r="E303" s="5" t="s">
        <v>1346</v>
      </c>
      <c r="F303" s="9" t="s">
        <v>2696</v>
      </c>
      <c r="G303" s="9" t="s">
        <v>2697</v>
      </c>
      <c r="H303" s="9" t="s">
        <v>76</v>
      </c>
      <c r="I303" s="9" t="s">
        <v>229</v>
      </c>
      <c r="J303" s="9" t="s">
        <v>53</v>
      </c>
      <c r="K303" s="9" t="s">
        <v>53</v>
      </c>
      <c r="L303" s="9" t="s">
        <v>803</v>
      </c>
      <c r="M303" s="9" t="s">
        <v>311</v>
      </c>
      <c r="N303" s="9" t="s">
        <v>259</v>
      </c>
      <c r="O303" s="9" t="s">
        <v>62</v>
      </c>
      <c r="P303" s="9" t="s">
        <v>2225</v>
      </c>
      <c r="Q303" s="9" t="s">
        <v>70</v>
      </c>
      <c r="R303" s="9" t="s">
        <v>57</v>
      </c>
      <c r="S303" s="9" t="s">
        <v>1259</v>
      </c>
      <c r="T303" s="170">
        <v>3.407</v>
      </c>
      <c r="U303" s="9" t="s">
        <v>2698</v>
      </c>
      <c r="V303" s="199">
        <v>3.2500000000000001E-2</v>
      </c>
      <c r="W303" s="185">
        <v>3.083E-2</v>
      </c>
      <c r="X303" s="5" t="s">
        <v>618</v>
      </c>
      <c r="Y303" s="5" t="s">
        <v>62</v>
      </c>
      <c r="Z303" s="170">
        <v>37920</v>
      </c>
      <c r="AA303" s="184">
        <v>1</v>
      </c>
      <c r="AB303" s="186">
        <v>111.12</v>
      </c>
      <c r="AC303" s="9"/>
      <c r="AD303" s="170">
        <v>42.137</v>
      </c>
      <c r="AE303" s="9"/>
      <c r="AF303" s="9"/>
      <c r="AG303" s="9" t="s">
        <v>17</v>
      </c>
      <c r="AH303" s="185">
        <v>1.0399999999999999E-4</v>
      </c>
      <c r="AI303" s="185">
        <v>6.24094758339653E-3</v>
      </c>
      <c r="AJ303" s="185">
        <v>9.9040825440411206E-4</v>
      </c>
    </row>
    <row r="304" spans="1:36">
      <c r="A304" s="9">
        <v>337</v>
      </c>
      <c r="B304" s="9">
        <v>9962</v>
      </c>
      <c r="C304" s="9" t="s">
        <v>2703</v>
      </c>
      <c r="D304" s="9" t="s">
        <v>2704</v>
      </c>
      <c r="E304" s="5" t="s">
        <v>1346</v>
      </c>
      <c r="F304" s="9" t="s">
        <v>2705</v>
      </c>
      <c r="G304" s="9" t="s">
        <v>2706</v>
      </c>
      <c r="H304" s="9" t="s">
        <v>76</v>
      </c>
      <c r="I304" s="9" t="s">
        <v>228</v>
      </c>
      <c r="J304" s="9" t="s">
        <v>53</v>
      </c>
      <c r="K304" s="9" t="s">
        <v>53</v>
      </c>
      <c r="L304" s="9" t="s">
        <v>803</v>
      </c>
      <c r="M304" s="9" t="s">
        <v>311</v>
      </c>
      <c r="N304" s="9" t="s">
        <v>140</v>
      </c>
      <c r="O304" s="9" t="s">
        <v>62</v>
      </c>
      <c r="P304" s="9" t="s">
        <v>1614</v>
      </c>
      <c r="Q304" s="9" t="s">
        <v>65</v>
      </c>
      <c r="R304" s="9" t="s">
        <v>57</v>
      </c>
      <c r="S304" s="9" t="s">
        <v>1259</v>
      </c>
      <c r="T304" s="170">
        <v>2.246</v>
      </c>
      <c r="U304" s="9" t="s">
        <v>2594</v>
      </c>
      <c r="V304" s="199">
        <v>5.3400000000000003E-2</v>
      </c>
      <c r="W304" s="185">
        <v>5.16E-2</v>
      </c>
      <c r="X304" s="5" t="s">
        <v>618</v>
      </c>
      <c r="Y304" s="5" t="s">
        <v>62</v>
      </c>
      <c r="Z304" s="170">
        <v>56000</v>
      </c>
      <c r="AA304" s="184">
        <v>1</v>
      </c>
      <c r="AB304" s="186">
        <v>100.99</v>
      </c>
      <c r="AC304" s="9"/>
      <c r="AD304" s="170">
        <v>56.554000000000002</v>
      </c>
      <c r="AE304" s="9"/>
      <c r="AF304" s="9"/>
      <c r="AG304" s="9" t="s">
        <v>17</v>
      </c>
      <c r="AH304" s="185">
        <v>8.0000000000000007E-5</v>
      </c>
      <c r="AI304" s="185">
        <v>8.3763800322502798E-3</v>
      </c>
      <c r="AJ304" s="185">
        <v>1.32929107561123E-3</v>
      </c>
    </row>
    <row r="305" spans="1:36">
      <c r="A305" s="9">
        <v>337</v>
      </c>
      <c r="B305" s="9">
        <v>9962</v>
      </c>
      <c r="C305" s="9" t="s">
        <v>2707</v>
      </c>
      <c r="D305" s="9" t="s">
        <v>2708</v>
      </c>
      <c r="E305" s="5" t="s">
        <v>1346</v>
      </c>
      <c r="F305" s="9" t="s">
        <v>2709</v>
      </c>
      <c r="G305" s="9" t="s">
        <v>2710</v>
      </c>
      <c r="H305" s="9" t="s">
        <v>76</v>
      </c>
      <c r="I305" s="9" t="s">
        <v>228</v>
      </c>
      <c r="J305" s="9" t="s">
        <v>53</v>
      </c>
      <c r="K305" s="9" t="s">
        <v>53</v>
      </c>
      <c r="L305" s="9" t="s">
        <v>803</v>
      </c>
      <c r="M305" s="9" t="s">
        <v>311</v>
      </c>
      <c r="N305" s="9" t="s">
        <v>140</v>
      </c>
      <c r="O305" s="9" t="s">
        <v>62</v>
      </c>
      <c r="P305" s="9" t="s">
        <v>2314</v>
      </c>
      <c r="Q305" s="9" t="s">
        <v>70</v>
      </c>
      <c r="R305" s="9" t="s">
        <v>57</v>
      </c>
      <c r="S305" s="9" t="s">
        <v>1259</v>
      </c>
      <c r="T305" s="170">
        <v>3.3000000000000002E-2</v>
      </c>
      <c r="U305" s="9" t="s">
        <v>2711</v>
      </c>
      <c r="V305" s="199">
        <v>4.3499999999999997E-2</v>
      </c>
      <c r="W305" s="185">
        <v>9.1929999999999998E-2</v>
      </c>
      <c r="X305" s="5" t="s">
        <v>618</v>
      </c>
      <c r="Y305" s="5" t="s">
        <v>62</v>
      </c>
      <c r="Z305" s="170">
        <v>12000</v>
      </c>
      <c r="AA305" s="184">
        <v>1</v>
      </c>
      <c r="AB305" s="186">
        <v>101.88</v>
      </c>
      <c r="AC305" s="9"/>
      <c r="AD305" s="170">
        <v>12.226000000000001</v>
      </c>
      <c r="AE305" s="9"/>
      <c r="AF305" s="9"/>
      <c r="AG305" s="9" t="s">
        <v>17</v>
      </c>
      <c r="AH305" s="185">
        <v>5.0000000000000001E-4</v>
      </c>
      <c r="AI305" s="185">
        <v>1.8107569300050801E-3</v>
      </c>
      <c r="AJ305" s="185">
        <v>2.8735838368000799E-4</v>
      </c>
    </row>
    <row r="306" spans="1:36">
      <c r="A306" s="9">
        <v>337</v>
      </c>
      <c r="B306" s="9">
        <v>9962</v>
      </c>
      <c r="C306" s="9" t="s">
        <v>2707</v>
      </c>
      <c r="D306" s="9" t="s">
        <v>2708</v>
      </c>
      <c r="E306" s="5" t="s">
        <v>1346</v>
      </c>
      <c r="F306" s="9" t="s">
        <v>2712</v>
      </c>
      <c r="G306" s="9" t="s">
        <v>2713</v>
      </c>
      <c r="H306" s="9" t="s">
        <v>76</v>
      </c>
      <c r="I306" s="9" t="s">
        <v>228</v>
      </c>
      <c r="J306" s="9" t="s">
        <v>53</v>
      </c>
      <c r="K306" s="9" t="s">
        <v>53</v>
      </c>
      <c r="L306" s="9" t="s">
        <v>803</v>
      </c>
      <c r="M306" s="9" t="s">
        <v>311</v>
      </c>
      <c r="N306" s="9" t="s">
        <v>140</v>
      </c>
      <c r="O306" s="9" t="s">
        <v>62</v>
      </c>
      <c r="P306" s="9" t="s">
        <v>2314</v>
      </c>
      <c r="Q306" s="9" t="s">
        <v>70</v>
      </c>
      <c r="R306" s="9" t="s">
        <v>57</v>
      </c>
      <c r="S306" s="9" t="s">
        <v>1259</v>
      </c>
      <c r="T306" s="170">
        <v>3.3000000000000002E-2</v>
      </c>
      <c r="U306" s="9" t="s">
        <v>2711</v>
      </c>
      <c r="V306" s="199">
        <v>0.06</v>
      </c>
      <c r="W306" s="185">
        <v>2.392E-2</v>
      </c>
      <c r="X306" s="5" t="s">
        <v>618</v>
      </c>
      <c r="Y306" s="5" t="s">
        <v>62</v>
      </c>
      <c r="Z306" s="170">
        <v>2667.2</v>
      </c>
      <c r="AA306" s="184">
        <v>1</v>
      </c>
      <c r="AB306" s="186">
        <v>102.92</v>
      </c>
      <c r="AC306" s="9"/>
      <c r="AD306" s="170">
        <v>2.7450000000000001</v>
      </c>
      <c r="AE306" s="9"/>
      <c r="AF306" s="9"/>
      <c r="AG306" s="9" t="s">
        <v>17</v>
      </c>
      <c r="AH306" s="185">
        <v>1.03E-4</v>
      </c>
      <c r="AI306" s="185">
        <v>4.0657936539015299E-4</v>
      </c>
      <c r="AJ306" s="185">
        <v>6.4522182596771894E-5</v>
      </c>
    </row>
    <row r="307" spans="1:36">
      <c r="A307" s="9">
        <v>337</v>
      </c>
      <c r="B307" s="9">
        <v>9962</v>
      </c>
      <c r="C307" s="9" t="s">
        <v>2091</v>
      </c>
      <c r="D307" s="9" t="s">
        <v>2092</v>
      </c>
      <c r="E307" s="5" t="s">
        <v>1346</v>
      </c>
      <c r="F307" s="9" t="s">
        <v>2714</v>
      </c>
      <c r="G307" s="9" t="s">
        <v>2715</v>
      </c>
      <c r="H307" s="9" t="s">
        <v>76</v>
      </c>
      <c r="I307" s="9" t="s">
        <v>229</v>
      </c>
      <c r="J307" s="9" t="s">
        <v>53</v>
      </c>
      <c r="K307" s="9" t="s">
        <v>53</v>
      </c>
      <c r="L307" s="9" t="s">
        <v>803</v>
      </c>
      <c r="M307" s="9" t="s">
        <v>311</v>
      </c>
      <c r="N307" s="9" t="s">
        <v>633</v>
      </c>
      <c r="O307" s="9" t="s">
        <v>62</v>
      </c>
      <c r="P307" s="9" t="s">
        <v>2246</v>
      </c>
      <c r="Q307" s="9" t="s">
        <v>65</v>
      </c>
      <c r="R307" s="9" t="s">
        <v>57</v>
      </c>
      <c r="S307" s="9" t="s">
        <v>1259</v>
      </c>
      <c r="T307" s="170">
        <v>6.0019999999999998</v>
      </c>
      <c r="U307" s="9" t="s">
        <v>2716</v>
      </c>
      <c r="V307" s="199">
        <v>2.5000000000000001E-2</v>
      </c>
      <c r="W307" s="185">
        <v>2.9499999999999998E-2</v>
      </c>
      <c r="X307" s="5" t="s">
        <v>618</v>
      </c>
      <c r="Y307" s="5" t="s">
        <v>62</v>
      </c>
      <c r="Z307" s="170">
        <v>75450</v>
      </c>
      <c r="AA307" s="184">
        <v>1</v>
      </c>
      <c r="AB307" s="186">
        <v>114.89</v>
      </c>
      <c r="AC307" s="9"/>
      <c r="AD307" s="170">
        <v>86.685000000000002</v>
      </c>
      <c r="AE307" s="9"/>
      <c r="AF307" s="9"/>
      <c r="AG307" s="9" t="s">
        <v>17</v>
      </c>
      <c r="AH307" s="185">
        <v>5.5999999999999999E-5</v>
      </c>
      <c r="AI307" s="185">
        <v>1.28390073413828E-2</v>
      </c>
      <c r="AJ307" s="185">
        <v>2.0374884870191698E-3</v>
      </c>
    </row>
    <row r="308" spans="1:36">
      <c r="A308" s="9">
        <v>337</v>
      </c>
      <c r="B308" s="9">
        <v>9962</v>
      </c>
      <c r="C308" s="9" t="s">
        <v>2717</v>
      </c>
      <c r="D308" s="9" t="s">
        <v>2718</v>
      </c>
      <c r="E308" s="5" t="s">
        <v>1346</v>
      </c>
      <c r="F308" s="9" t="s">
        <v>2719</v>
      </c>
      <c r="G308" s="9" t="s">
        <v>2720</v>
      </c>
      <c r="H308" s="9" t="s">
        <v>76</v>
      </c>
      <c r="I308" s="9" t="s">
        <v>228</v>
      </c>
      <c r="J308" s="9" t="s">
        <v>53</v>
      </c>
      <c r="K308" s="9" t="s">
        <v>53</v>
      </c>
      <c r="L308" s="9" t="s">
        <v>803</v>
      </c>
      <c r="M308" s="9" t="s">
        <v>1691</v>
      </c>
      <c r="N308" s="9" t="s">
        <v>140</v>
      </c>
      <c r="O308" s="9" t="s">
        <v>62</v>
      </c>
      <c r="P308" s="9" t="s">
        <v>2225</v>
      </c>
      <c r="Q308" s="9" t="s">
        <v>70</v>
      </c>
      <c r="R308" s="9" t="s">
        <v>57</v>
      </c>
      <c r="S308" s="9" t="s">
        <v>1259</v>
      </c>
      <c r="T308" s="170">
        <v>3.6869999999999998</v>
      </c>
      <c r="U308" s="9" t="s">
        <v>2721</v>
      </c>
      <c r="V308" s="199">
        <v>5.8200000000000002E-2</v>
      </c>
      <c r="W308" s="185">
        <v>4.8480000000000002E-2</v>
      </c>
      <c r="X308" s="5" t="s">
        <v>618</v>
      </c>
      <c r="Y308" s="5" t="s">
        <v>62</v>
      </c>
      <c r="Z308" s="170">
        <v>47000</v>
      </c>
      <c r="AA308" s="184">
        <v>1</v>
      </c>
      <c r="AB308" s="186">
        <v>104.76</v>
      </c>
      <c r="AC308" s="9"/>
      <c r="AD308" s="170">
        <v>49.237000000000002</v>
      </c>
      <c r="AE308" s="9"/>
      <c r="AF308" s="9"/>
      <c r="AG308" s="9" t="s">
        <v>17</v>
      </c>
      <c r="AH308" s="185">
        <v>2.6899999999999998E-4</v>
      </c>
      <c r="AI308" s="185">
        <v>7.2926155864780403E-3</v>
      </c>
      <c r="AJ308" s="185">
        <v>1.1573028897501399E-3</v>
      </c>
    </row>
    <row r="309" spans="1:36">
      <c r="A309" s="9">
        <v>337</v>
      </c>
      <c r="B309" s="9">
        <v>9962</v>
      </c>
      <c r="C309" s="9" t="s">
        <v>2865</v>
      </c>
      <c r="D309" s="9" t="s">
        <v>2866</v>
      </c>
      <c r="E309" s="5" t="s">
        <v>1346</v>
      </c>
      <c r="F309" s="9" t="s">
        <v>2867</v>
      </c>
      <c r="G309" s="9" t="s">
        <v>2868</v>
      </c>
      <c r="H309" s="9" t="s">
        <v>76</v>
      </c>
      <c r="I309" s="9" t="s">
        <v>229</v>
      </c>
      <c r="J309" s="9" t="s">
        <v>53</v>
      </c>
      <c r="K309" s="9" t="s">
        <v>53</v>
      </c>
      <c r="L309" s="9" t="s">
        <v>803</v>
      </c>
      <c r="M309" s="9" t="s">
        <v>311</v>
      </c>
      <c r="N309" s="9" t="s">
        <v>633</v>
      </c>
      <c r="O309" s="9" t="s">
        <v>62</v>
      </c>
      <c r="P309" s="9" t="s">
        <v>2330</v>
      </c>
      <c r="Q309" s="9" t="s">
        <v>65</v>
      </c>
      <c r="R309" s="9" t="s">
        <v>57</v>
      </c>
      <c r="S309" s="9" t="s">
        <v>1259</v>
      </c>
      <c r="T309" s="170">
        <v>2.4359999999999999</v>
      </c>
      <c r="U309" s="9" t="s">
        <v>2869</v>
      </c>
      <c r="V309" s="199">
        <v>1.0800000000000001E-2</v>
      </c>
      <c r="W309" s="185">
        <v>3.1669999999999997E-2</v>
      </c>
      <c r="X309" s="5" t="s">
        <v>618</v>
      </c>
      <c r="Y309" s="5" t="s">
        <v>62</v>
      </c>
      <c r="Z309" s="170">
        <v>0.49</v>
      </c>
      <c r="AA309" s="184">
        <v>1</v>
      </c>
      <c r="AB309" s="186">
        <v>111.57</v>
      </c>
      <c r="AC309" s="9"/>
      <c r="AD309" s="170">
        <v>1E-3</v>
      </c>
      <c r="AE309" s="9"/>
      <c r="AF309" s="9"/>
      <c r="AG309" s="9" t="s">
        <v>17</v>
      </c>
      <c r="AH309" s="185">
        <v>0</v>
      </c>
      <c r="AI309" s="185">
        <v>8.0971742763976003E-8</v>
      </c>
      <c r="AJ309" s="185">
        <v>1.28498246997427E-8</v>
      </c>
    </row>
    <row r="310" spans="1:36">
      <c r="A310" s="9">
        <v>337</v>
      </c>
      <c r="B310" s="9">
        <v>9962</v>
      </c>
      <c r="C310" s="9" t="s">
        <v>2722</v>
      </c>
      <c r="D310" s="9" t="s">
        <v>2723</v>
      </c>
      <c r="E310" s="5" t="s">
        <v>1346</v>
      </c>
      <c r="F310" s="9" t="s">
        <v>2724</v>
      </c>
      <c r="G310" s="9" t="s">
        <v>2725</v>
      </c>
      <c r="H310" s="9" t="s">
        <v>76</v>
      </c>
      <c r="I310" s="9" t="s">
        <v>228</v>
      </c>
      <c r="J310" s="9" t="s">
        <v>53</v>
      </c>
      <c r="K310" s="9" t="s">
        <v>53</v>
      </c>
      <c r="L310" s="9" t="s">
        <v>803</v>
      </c>
      <c r="M310" s="9" t="s">
        <v>311</v>
      </c>
      <c r="N310" s="9" t="s">
        <v>631</v>
      </c>
      <c r="O310" s="9" t="s">
        <v>62</v>
      </c>
      <c r="P310" s="9" t="s">
        <v>2726</v>
      </c>
      <c r="Q310" s="9" t="s">
        <v>70</v>
      </c>
      <c r="R310" s="9" t="s">
        <v>57</v>
      </c>
      <c r="S310" s="9" t="s">
        <v>1259</v>
      </c>
      <c r="T310" s="170">
        <v>0.499</v>
      </c>
      <c r="U310" s="9" t="s">
        <v>2727</v>
      </c>
      <c r="V310" s="199">
        <v>3.15E-2</v>
      </c>
      <c r="W310" s="185">
        <v>5.3269999999999998E-2</v>
      </c>
      <c r="X310" s="5" t="s">
        <v>618</v>
      </c>
      <c r="Y310" s="5" t="s">
        <v>62</v>
      </c>
      <c r="Z310" s="170">
        <v>15284.02</v>
      </c>
      <c r="AA310" s="184">
        <v>1</v>
      </c>
      <c r="AB310" s="186">
        <v>98.98</v>
      </c>
      <c r="AC310" s="9"/>
      <c r="AD310" s="170">
        <v>15.128</v>
      </c>
      <c r="AE310" s="9"/>
      <c r="AF310" s="9"/>
      <c r="AG310" s="9" t="s">
        <v>17</v>
      </c>
      <c r="AH310" s="185">
        <v>3.5399999999999999E-4</v>
      </c>
      <c r="AI310" s="185">
        <v>2.2406551460031499E-3</v>
      </c>
      <c r="AJ310" s="185">
        <v>3.5558115530059199E-4</v>
      </c>
    </row>
    <row r="311" spans="1:36">
      <c r="A311" s="9">
        <v>337</v>
      </c>
      <c r="B311" s="9">
        <v>9962</v>
      </c>
      <c r="C311" s="9" t="s">
        <v>2731</v>
      </c>
      <c r="D311" s="9" t="s">
        <v>2732</v>
      </c>
      <c r="E311" s="5" t="s">
        <v>1346</v>
      </c>
      <c r="F311" s="9" t="s">
        <v>2733</v>
      </c>
      <c r="G311" s="9" t="s">
        <v>2734</v>
      </c>
      <c r="H311" s="9" t="s">
        <v>76</v>
      </c>
      <c r="I311" s="9" t="s">
        <v>228</v>
      </c>
      <c r="J311" s="9" t="s">
        <v>53</v>
      </c>
      <c r="K311" s="9" t="s">
        <v>53</v>
      </c>
      <c r="L311" s="9" t="s">
        <v>803</v>
      </c>
      <c r="M311" s="9" t="s">
        <v>311</v>
      </c>
      <c r="N311" s="9" t="s">
        <v>633</v>
      </c>
      <c r="O311" s="9" t="s">
        <v>62</v>
      </c>
      <c r="P311" s="9" t="s">
        <v>2314</v>
      </c>
      <c r="Q311" s="9" t="s">
        <v>70</v>
      </c>
      <c r="R311" s="9" t="s">
        <v>57</v>
      </c>
      <c r="S311" s="9" t="s">
        <v>1259</v>
      </c>
      <c r="T311" s="170">
        <v>2.6080000000000001</v>
      </c>
      <c r="U311" s="9" t="s">
        <v>2735</v>
      </c>
      <c r="V311" s="199">
        <v>4.1000000000000002E-2</v>
      </c>
      <c r="W311" s="185">
        <v>5.0680000000000003E-2</v>
      </c>
      <c r="X311" s="5" t="s">
        <v>618</v>
      </c>
      <c r="Y311" s="5" t="s">
        <v>62</v>
      </c>
      <c r="Z311" s="170">
        <v>12666.67</v>
      </c>
      <c r="AA311" s="184">
        <v>1</v>
      </c>
      <c r="AB311" s="186">
        <v>98.37</v>
      </c>
      <c r="AC311" s="9"/>
      <c r="AD311" s="170">
        <v>12.46</v>
      </c>
      <c r="AE311" s="9"/>
      <c r="AF311" s="9"/>
      <c r="AG311" s="9" t="s">
        <v>17</v>
      </c>
      <c r="AH311" s="185">
        <v>2.8E-5</v>
      </c>
      <c r="AI311" s="185">
        <v>1.84550446904211E-3</v>
      </c>
      <c r="AJ311" s="185">
        <v>2.92872650387529E-4</v>
      </c>
    </row>
    <row r="312" spans="1:36">
      <c r="A312" s="9">
        <v>337</v>
      </c>
      <c r="B312" s="9">
        <v>9962</v>
      </c>
      <c r="C312" s="9" t="s">
        <v>2870</v>
      </c>
      <c r="D312" s="9" t="s">
        <v>2871</v>
      </c>
      <c r="E312" s="5" t="s">
        <v>1346</v>
      </c>
      <c r="F312" s="9" t="s">
        <v>2872</v>
      </c>
      <c r="G312" s="9" t="s">
        <v>2873</v>
      </c>
      <c r="H312" s="9" t="s">
        <v>76</v>
      </c>
      <c r="I312" s="9" t="s">
        <v>230</v>
      </c>
      <c r="J312" s="9" t="s">
        <v>53</v>
      </c>
      <c r="K312" s="9" t="s">
        <v>53</v>
      </c>
      <c r="L312" s="9" t="s">
        <v>803</v>
      </c>
      <c r="M312" s="9" t="s">
        <v>311</v>
      </c>
      <c r="N312" s="9" t="s">
        <v>267</v>
      </c>
      <c r="O312" s="9" t="s">
        <v>62</v>
      </c>
      <c r="P312" s="9" t="s">
        <v>1621</v>
      </c>
      <c r="Q312" s="9" t="s">
        <v>70</v>
      </c>
      <c r="R312" s="9" t="s">
        <v>57</v>
      </c>
      <c r="S312" s="9" t="s">
        <v>1259</v>
      </c>
      <c r="T312" s="170">
        <v>2.4249999999999998</v>
      </c>
      <c r="U312" s="9" t="s">
        <v>2874</v>
      </c>
      <c r="V312" s="199">
        <v>4.6899999999999997E-2</v>
      </c>
      <c r="W312" s="185">
        <v>6.2420000000000003E-2</v>
      </c>
      <c r="X312" s="5" t="s">
        <v>618</v>
      </c>
      <c r="Y312" s="5" t="s">
        <v>62</v>
      </c>
      <c r="Z312" s="170">
        <v>29065.37</v>
      </c>
      <c r="AA312" s="184">
        <v>1</v>
      </c>
      <c r="AB312" s="186">
        <v>94.12</v>
      </c>
      <c r="AC312" s="9"/>
      <c r="AD312" s="170">
        <v>27.356000000000002</v>
      </c>
      <c r="AE312" s="9"/>
      <c r="AF312" s="9"/>
      <c r="AG312" s="9" t="s">
        <v>17</v>
      </c>
      <c r="AH312" s="185">
        <v>2.1999999999999999E-5</v>
      </c>
      <c r="AI312" s="185">
        <v>4.0517976480338603E-3</v>
      </c>
      <c r="AJ312" s="185">
        <v>6.4300072739978495E-4</v>
      </c>
    </row>
    <row r="313" spans="1:36">
      <c r="A313" s="9">
        <v>337</v>
      </c>
      <c r="B313" s="9">
        <v>9962</v>
      </c>
      <c r="C313" s="9" t="s">
        <v>2740</v>
      </c>
      <c r="D313" s="9" t="s">
        <v>2741</v>
      </c>
      <c r="E313" s="5" t="s">
        <v>1346</v>
      </c>
      <c r="F313" s="9" t="s">
        <v>2742</v>
      </c>
      <c r="G313" s="9" t="s">
        <v>2743</v>
      </c>
      <c r="H313" s="9" t="s">
        <v>76</v>
      </c>
      <c r="I313" s="9" t="s">
        <v>229</v>
      </c>
      <c r="J313" s="9" t="s">
        <v>53</v>
      </c>
      <c r="K313" s="9" t="s">
        <v>53</v>
      </c>
      <c r="L313" s="9" t="s">
        <v>803</v>
      </c>
      <c r="M313" s="9" t="s">
        <v>311</v>
      </c>
      <c r="N313" s="9" t="s">
        <v>633</v>
      </c>
      <c r="O313" s="9" t="s">
        <v>62</v>
      </c>
      <c r="P313" s="167" t="s">
        <v>298</v>
      </c>
      <c r="Q313" s="9" t="s">
        <v>298</v>
      </c>
      <c r="R313" s="9" t="s">
        <v>298</v>
      </c>
      <c r="S313" s="9" t="s">
        <v>1259</v>
      </c>
      <c r="T313" s="170">
        <v>1.448</v>
      </c>
      <c r="U313" s="9" t="s">
        <v>2744</v>
      </c>
      <c r="V313" s="199">
        <v>3.5180000000000003E-2</v>
      </c>
      <c r="W313" s="185">
        <v>3.9109999999999999E-2</v>
      </c>
      <c r="X313" s="5" t="s">
        <v>618</v>
      </c>
      <c r="Y313" s="5" t="s">
        <v>62</v>
      </c>
      <c r="Z313" s="170">
        <v>80000</v>
      </c>
      <c r="AA313" s="184">
        <v>1</v>
      </c>
      <c r="AB313" s="186">
        <v>108.93</v>
      </c>
      <c r="AC313" s="9"/>
      <c r="AD313" s="170">
        <v>87.144000000000005</v>
      </c>
      <c r="AE313" s="9"/>
      <c r="AF313" s="9"/>
      <c r="AG313" s="9" t="s">
        <v>17</v>
      </c>
      <c r="AH313" s="185">
        <v>1.15E-4</v>
      </c>
      <c r="AI313" s="185">
        <v>1.29070640220817E-2</v>
      </c>
      <c r="AJ313" s="185">
        <v>2.0482887537143801E-3</v>
      </c>
    </row>
    <row r="314" spans="1:36">
      <c r="A314" s="9">
        <v>337</v>
      </c>
      <c r="B314" s="9">
        <v>9962</v>
      </c>
      <c r="C314" s="9" t="s">
        <v>1866</v>
      </c>
      <c r="D314" s="9" t="s">
        <v>1867</v>
      </c>
      <c r="E314" s="5" t="s">
        <v>429</v>
      </c>
      <c r="F314" s="9" t="s">
        <v>2745</v>
      </c>
      <c r="G314" s="9" t="s">
        <v>2746</v>
      </c>
      <c r="H314" s="9" t="s">
        <v>76</v>
      </c>
      <c r="I314" s="9" t="s">
        <v>230</v>
      </c>
      <c r="J314" s="9" t="s">
        <v>61</v>
      </c>
      <c r="K314" s="9" t="s">
        <v>317</v>
      </c>
      <c r="L314" s="9" t="s">
        <v>803</v>
      </c>
      <c r="M314" s="9" t="s">
        <v>102</v>
      </c>
      <c r="N314" s="9" t="s">
        <v>267</v>
      </c>
      <c r="O314" s="9" t="s">
        <v>62</v>
      </c>
      <c r="P314" s="9" t="s">
        <v>2220</v>
      </c>
      <c r="Q314" s="9" t="s">
        <v>96</v>
      </c>
      <c r="R314" s="9" t="s">
        <v>57</v>
      </c>
      <c r="S314" s="9" t="s">
        <v>1215</v>
      </c>
      <c r="T314" s="170">
        <v>2.5489999999999999</v>
      </c>
      <c r="U314" s="9" t="s">
        <v>2747</v>
      </c>
      <c r="V314" s="199">
        <v>5.3749999999999999E-2</v>
      </c>
      <c r="W314" s="185">
        <v>7.4149999999999994E-2</v>
      </c>
      <c r="X314" s="5" t="s">
        <v>618</v>
      </c>
      <c r="Y314" s="5" t="s">
        <v>62</v>
      </c>
      <c r="Z314" s="170">
        <v>7000</v>
      </c>
      <c r="AA314" s="184">
        <v>3.3719999999999999</v>
      </c>
      <c r="AB314" s="186">
        <v>96.94</v>
      </c>
      <c r="AC314" s="9"/>
      <c r="AD314" s="170">
        <v>22.882000000000001</v>
      </c>
      <c r="AE314" s="9"/>
      <c r="AF314" s="9"/>
      <c r="AG314" s="9" t="s">
        <v>17</v>
      </c>
      <c r="AH314" s="185">
        <v>1.1E-5</v>
      </c>
      <c r="AI314" s="185">
        <v>3.3890443406703399E-3</v>
      </c>
      <c r="AJ314" s="185">
        <v>5.3782497684665902E-4</v>
      </c>
    </row>
    <row r="315" spans="1:36">
      <c r="A315" s="9">
        <v>337</v>
      </c>
      <c r="B315" s="9">
        <v>9962</v>
      </c>
      <c r="C315" s="9" t="s">
        <v>1866</v>
      </c>
      <c r="D315" s="9" t="s">
        <v>1867</v>
      </c>
      <c r="E315" s="5" t="s">
        <v>429</v>
      </c>
      <c r="F315" s="9" t="s">
        <v>2748</v>
      </c>
      <c r="G315" s="9" t="s">
        <v>2749</v>
      </c>
      <c r="H315" s="9" t="s">
        <v>76</v>
      </c>
      <c r="I315" s="9" t="s">
        <v>230</v>
      </c>
      <c r="J315" s="9" t="s">
        <v>61</v>
      </c>
      <c r="K315" s="9" t="s">
        <v>317</v>
      </c>
      <c r="L315" s="9" t="s">
        <v>803</v>
      </c>
      <c r="M315" s="9" t="s">
        <v>102</v>
      </c>
      <c r="N315" s="9" t="s">
        <v>267</v>
      </c>
      <c r="O315" s="9" t="s">
        <v>62</v>
      </c>
      <c r="P315" s="9" t="s">
        <v>2220</v>
      </c>
      <c r="Q315" s="9" t="s">
        <v>96</v>
      </c>
      <c r="R315" s="9" t="s">
        <v>57</v>
      </c>
      <c r="S315" s="9" t="s">
        <v>1215</v>
      </c>
      <c r="T315" s="170">
        <v>4.8440000000000003</v>
      </c>
      <c r="U315" s="9" t="s">
        <v>2750</v>
      </c>
      <c r="V315" s="199">
        <v>5.8749999999999997E-2</v>
      </c>
      <c r="W315" s="185">
        <v>7.6170000000000002E-2</v>
      </c>
      <c r="X315" s="5" t="s">
        <v>618</v>
      </c>
      <c r="Y315" s="5" t="s">
        <v>62</v>
      </c>
      <c r="Z315" s="170">
        <v>5000</v>
      </c>
      <c r="AA315" s="184">
        <v>3.3719999999999999</v>
      </c>
      <c r="AB315" s="186">
        <v>94.051000000000002</v>
      </c>
      <c r="AC315" s="9"/>
      <c r="AD315" s="170">
        <v>15.856999999999999</v>
      </c>
      <c r="AE315" s="9"/>
      <c r="AF315" s="9"/>
      <c r="AG315" s="9" t="s">
        <v>17</v>
      </c>
      <c r="AH315" s="185">
        <v>7.9999999999999996E-6</v>
      </c>
      <c r="AI315" s="185">
        <v>2.3486127988313599E-3</v>
      </c>
      <c r="AJ315" s="185">
        <v>3.72713513657775E-4</v>
      </c>
    </row>
    <row r="316" spans="1:36">
      <c r="A316" s="9">
        <v>337</v>
      </c>
      <c r="B316" s="9">
        <v>9962</v>
      </c>
      <c r="C316" s="9" t="s">
        <v>1663</v>
      </c>
      <c r="D316" s="9" t="s">
        <v>1664</v>
      </c>
      <c r="E316" s="5" t="s">
        <v>1346</v>
      </c>
      <c r="F316" s="9" t="s">
        <v>2751</v>
      </c>
      <c r="G316" s="9" t="s">
        <v>2752</v>
      </c>
      <c r="H316" s="9" t="s">
        <v>76</v>
      </c>
      <c r="I316" s="9" t="s">
        <v>230</v>
      </c>
      <c r="J316" s="9" t="s">
        <v>61</v>
      </c>
      <c r="K316" s="9" t="s">
        <v>53</v>
      </c>
      <c r="L316" s="9" t="s">
        <v>803</v>
      </c>
      <c r="M316" s="9" t="s">
        <v>102</v>
      </c>
      <c r="N316" s="9" t="s">
        <v>256</v>
      </c>
      <c r="O316" s="9" t="s">
        <v>62</v>
      </c>
      <c r="P316" s="9" t="s">
        <v>2753</v>
      </c>
      <c r="Q316" s="9" t="s">
        <v>96</v>
      </c>
      <c r="R316" s="9" t="s">
        <v>57</v>
      </c>
      <c r="S316" s="9" t="s">
        <v>1215</v>
      </c>
      <c r="T316" s="170">
        <v>4.8479999999999999</v>
      </c>
      <c r="U316" s="9" t="s">
        <v>2754</v>
      </c>
      <c r="V316" s="199">
        <v>3.2750000000000001E-2</v>
      </c>
      <c r="W316" s="185">
        <v>5.8430000000000003E-2</v>
      </c>
      <c r="X316" s="5" t="s">
        <v>618</v>
      </c>
      <c r="Y316" s="5" t="s">
        <v>62</v>
      </c>
      <c r="Z316" s="170">
        <v>7000</v>
      </c>
      <c r="AA316" s="184">
        <v>3.3719999999999999</v>
      </c>
      <c r="AB316" s="186">
        <v>99.753</v>
      </c>
      <c r="AC316" s="9"/>
      <c r="AD316" s="170">
        <v>23.545999999999999</v>
      </c>
      <c r="AE316" s="9"/>
      <c r="AF316" s="9"/>
      <c r="AG316" s="9" t="s">
        <v>17</v>
      </c>
      <c r="AH316" s="185">
        <v>9.0000000000000002E-6</v>
      </c>
      <c r="AI316" s="185">
        <v>3.4873947537536702E-3</v>
      </c>
      <c r="AJ316" s="185">
        <v>5.5343271263359696E-4</v>
      </c>
    </row>
    <row r="317" spans="1:36">
      <c r="A317" s="9">
        <v>337</v>
      </c>
      <c r="B317" s="9">
        <v>9962</v>
      </c>
      <c r="C317" s="9" t="s">
        <v>2216</v>
      </c>
      <c r="D317" s="9" t="s">
        <v>2217</v>
      </c>
      <c r="E317" s="5" t="s">
        <v>1346</v>
      </c>
      <c r="F317" s="9" t="s">
        <v>2755</v>
      </c>
      <c r="G317" s="9" t="s">
        <v>2756</v>
      </c>
      <c r="H317" s="9" t="s">
        <v>76</v>
      </c>
      <c r="I317" s="9" t="s">
        <v>230</v>
      </c>
      <c r="J317" s="9" t="s">
        <v>61</v>
      </c>
      <c r="K317" s="9" t="s">
        <v>53</v>
      </c>
      <c r="L317" s="9" t="s">
        <v>803</v>
      </c>
      <c r="M317" s="9" t="s">
        <v>102</v>
      </c>
      <c r="N317" s="9" t="s">
        <v>267</v>
      </c>
      <c r="O317" s="9" t="s">
        <v>62</v>
      </c>
      <c r="P317" s="9" t="s">
        <v>2220</v>
      </c>
      <c r="Q317" s="9" t="s">
        <v>96</v>
      </c>
      <c r="R317" s="9" t="s">
        <v>57</v>
      </c>
      <c r="S317" s="9" t="s">
        <v>1215</v>
      </c>
      <c r="T317" s="170">
        <v>1.9019999999999999</v>
      </c>
      <c r="U317" s="9" t="s">
        <v>1615</v>
      </c>
      <c r="V317" s="199">
        <v>6.5000000000000002E-2</v>
      </c>
      <c r="W317" s="185">
        <v>7.0449999999999999E-2</v>
      </c>
      <c r="X317" s="5" t="s">
        <v>618</v>
      </c>
      <c r="Y317" s="5" t="s">
        <v>62</v>
      </c>
      <c r="Z317" s="170">
        <v>4000</v>
      </c>
      <c r="AA317" s="184">
        <v>3.3719999999999999</v>
      </c>
      <c r="AB317" s="186">
        <v>99.572999999999993</v>
      </c>
      <c r="AC317" s="9"/>
      <c r="AD317" s="170">
        <v>13.43</v>
      </c>
      <c r="AE317" s="9"/>
      <c r="AF317" s="9"/>
      <c r="AG317" s="9" t="s">
        <v>17</v>
      </c>
      <c r="AH317" s="185">
        <v>6.9999999999999999E-6</v>
      </c>
      <c r="AI317" s="185">
        <v>1.9892050774892801E-3</v>
      </c>
      <c r="AJ317" s="185">
        <v>3.1567724325858601E-4</v>
      </c>
    </row>
    <row r="318" spans="1:36">
      <c r="A318" s="9">
        <v>337</v>
      </c>
      <c r="B318" s="9">
        <v>9962</v>
      </c>
      <c r="C318" s="9" t="s">
        <v>1996</v>
      </c>
      <c r="D318" s="9" t="s">
        <v>1997</v>
      </c>
      <c r="E318" s="5" t="s">
        <v>1346</v>
      </c>
      <c r="F318" s="9" t="s">
        <v>2757</v>
      </c>
      <c r="G318" s="9" t="s">
        <v>2758</v>
      </c>
      <c r="H318" s="9" t="s">
        <v>76</v>
      </c>
      <c r="I318" s="9" t="s">
        <v>230</v>
      </c>
      <c r="J318" s="9" t="s">
        <v>61</v>
      </c>
      <c r="K318" s="9" t="s">
        <v>53</v>
      </c>
      <c r="L318" s="9" t="s">
        <v>803</v>
      </c>
      <c r="M318" s="9" t="s">
        <v>102</v>
      </c>
      <c r="N318" s="9" t="s">
        <v>256</v>
      </c>
      <c r="O318" s="9" t="s">
        <v>62</v>
      </c>
      <c r="P318" s="9" t="s">
        <v>2753</v>
      </c>
      <c r="Q318" s="9" t="s">
        <v>96</v>
      </c>
      <c r="R318" s="9" t="s">
        <v>57</v>
      </c>
      <c r="S318" s="9" t="s">
        <v>1215</v>
      </c>
      <c r="T318" s="170">
        <v>5.0060000000000002</v>
      </c>
      <c r="U318" s="9" t="s">
        <v>2759</v>
      </c>
      <c r="V318" s="199">
        <v>3.0769999999999999E-2</v>
      </c>
      <c r="W318" s="185">
        <v>6.2969999999999998E-2</v>
      </c>
      <c r="X318" s="5" t="s">
        <v>618</v>
      </c>
      <c r="Y318" s="5" t="s">
        <v>62</v>
      </c>
      <c r="Z318" s="170">
        <v>7000</v>
      </c>
      <c r="AA318" s="184">
        <v>3.3719999999999999</v>
      </c>
      <c r="AB318" s="186">
        <v>98.424999999999997</v>
      </c>
      <c r="AC318" s="9"/>
      <c r="AD318" s="170">
        <v>23.231999999999999</v>
      </c>
      <c r="AE318" s="9"/>
      <c r="AF318" s="9"/>
      <c r="AG318" s="9" t="s">
        <v>17</v>
      </c>
      <c r="AH318" s="185">
        <v>1.2E-5</v>
      </c>
      <c r="AI318" s="185">
        <v>3.4409709255390601E-3</v>
      </c>
      <c r="AJ318" s="185">
        <v>5.4606547519883404E-4</v>
      </c>
    </row>
    <row r="319" spans="1:36">
      <c r="A319" s="9">
        <v>337</v>
      </c>
      <c r="B319" s="9">
        <v>9962</v>
      </c>
      <c r="C319" s="9" t="s">
        <v>1966</v>
      </c>
      <c r="D319" s="9" t="s">
        <v>1967</v>
      </c>
      <c r="E319" s="5" t="s">
        <v>1346</v>
      </c>
      <c r="F319" s="9" t="s">
        <v>2760</v>
      </c>
      <c r="G319" s="9" t="s">
        <v>2761</v>
      </c>
      <c r="H319" s="9" t="s">
        <v>76</v>
      </c>
      <c r="I319" s="9" t="s">
        <v>230</v>
      </c>
      <c r="J319" s="9" t="s">
        <v>61</v>
      </c>
      <c r="K319" s="9" t="s">
        <v>314</v>
      </c>
      <c r="L319" s="9" t="s">
        <v>803</v>
      </c>
      <c r="M319" s="9" t="s">
        <v>102</v>
      </c>
      <c r="N319" s="9" t="s">
        <v>85</v>
      </c>
      <c r="O319" s="9" t="s">
        <v>62</v>
      </c>
      <c r="P319" s="9" t="s">
        <v>2220</v>
      </c>
      <c r="Q319" s="9" t="s">
        <v>96</v>
      </c>
      <c r="R319" s="9" t="s">
        <v>57</v>
      </c>
      <c r="S319" s="9" t="s">
        <v>1239</v>
      </c>
      <c r="T319" s="170">
        <v>4.2009999999999996</v>
      </c>
      <c r="U319" s="9" t="s">
        <v>2762</v>
      </c>
      <c r="V319" s="199">
        <v>4.3749999999999997E-2</v>
      </c>
      <c r="W319" s="185">
        <v>4.0820000000000002E-2</v>
      </c>
      <c r="X319" s="5" t="s">
        <v>618</v>
      </c>
      <c r="Y319" s="5" t="s">
        <v>62</v>
      </c>
      <c r="Z319" s="170">
        <v>13000</v>
      </c>
      <c r="AA319" s="184">
        <v>3.9552</v>
      </c>
      <c r="AB319" s="186">
        <v>102.464</v>
      </c>
      <c r="AC319" s="9"/>
      <c r="AD319" s="170">
        <v>52.685000000000002</v>
      </c>
      <c r="AE319" s="9"/>
      <c r="AF319" s="9"/>
      <c r="AG319" s="9" t="s">
        <v>17</v>
      </c>
      <c r="AH319" s="185">
        <v>9.0000000000000002E-6</v>
      </c>
      <c r="AI319" s="185">
        <v>7.8032137725691604E-3</v>
      </c>
      <c r="AJ319" s="185">
        <v>1.2383323570595199E-3</v>
      </c>
    </row>
    <row r="320" spans="1:36">
      <c r="A320" s="9">
        <v>337</v>
      </c>
      <c r="B320" s="9">
        <v>9962</v>
      </c>
      <c r="C320" s="9" t="s">
        <v>1966</v>
      </c>
      <c r="D320" s="9" t="s">
        <v>1967</v>
      </c>
      <c r="E320" s="5" t="s">
        <v>1346</v>
      </c>
      <c r="F320" s="9" t="s">
        <v>2763</v>
      </c>
      <c r="G320" s="9" t="s">
        <v>2764</v>
      </c>
      <c r="H320" s="9" t="s">
        <v>76</v>
      </c>
      <c r="I320" s="9" t="s">
        <v>230</v>
      </c>
      <c r="J320" s="9" t="s">
        <v>61</v>
      </c>
      <c r="K320" s="9" t="s">
        <v>314</v>
      </c>
      <c r="L320" s="9" t="s">
        <v>803</v>
      </c>
      <c r="M320" s="9" t="s">
        <v>102</v>
      </c>
      <c r="N320" s="9" t="s">
        <v>85</v>
      </c>
      <c r="O320" s="9" t="s">
        <v>62</v>
      </c>
      <c r="P320" s="9" t="s">
        <v>2220</v>
      </c>
      <c r="Q320" s="9" t="s">
        <v>96</v>
      </c>
      <c r="R320" s="9" t="s">
        <v>57</v>
      </c>
      <c r="S320" s="9" t="s">
        <v>1215</v>
      </c>
      <c r="T320" s="170">
        <v>3.3149999999999999</v>
      </c>
      <c r="U320" s="9" t="s">
        <v>2765</v>
      </c>
      <c r="V320" s="199">
        <v>5.1249999999999997E-2</v>
      </c>
      <c r="W320" s="185">
        <v>5.0509999999999999E-2</v>
      </c>
      <c r="X320" s="5" t="s">
        <v>618</v>
      </c>
      <c r="Y320" s="5" t="s">
        <v>62</v>
      </c>
      <c r="Z320" s="170">
        <v>8000</v>
      </c>
      <c r="AA320" s="184">
        <v>3.3719999999999999</v>
      </c>
      <c r="AB320" s="186">
        <v>102.14700000000001</v>
      </c>
      <c r="AC320" s="9"/>
      <c r="AD320" s="170">
        <v>27.555</v>
      </c>
      <c r="AE320" s="9"/>
      <c r="AF320" s="9"/>
      <c r="AG320" s="9" t="s">
        <v>17</v>
      </c>
      <c r="AH320" s="185">
        <v>7.9999999999999996E-6</v>
      </c>
      <c r="AI320" s="185">
        <v>4.08126310954524E-3</v>
      </c>
      <c r="AJ320" s="185">
        <v>6.4767675390228904E-4</v>
      </c>
    </row>
    <row r="321" spans="1:36">
      <c r="A321" s="9">
        <v>337</v>
      </c>
      <c r="B321" s="9">
        <v>9963</v>
      </c>
      <c r="C321" s="9" t="s">
        <v>2216</v>
      </c>
      <c r="D321" s="9" t="s">
        <v>2217</v>
      </c>
      <c r="E321" s="5" t="s">
        <v>1346</v>
      </c>
      <c r="F321" s="9" t="s">
        <v>2218</v>
      </c>
      <c r="G321" s="9" t="s">
        <v>2219</v>
      </c>
      <c r="H321" s="9" t="s">
        <v>76</v>
      </c>
      <c r="I321" s="9" t="s">
        <v>230</v>
      </c>
      <c r="J321" s="9" t="s">
        <v>61</v>
      </c>
      <c r="K321" s="9" t="s">
        <v>53</v>
      </c>
      <c r="L321" s="9" t="s">
        <v>803</v>
      </c>
      <c r="M321" s="9" t="s">
        <v>102</v>
      </c>
      <c r="N321" s="9" t="s">
        <v>267</v>
      </c>
      <c r="O321" s="9" t="s">
        <v>62</v>
      </c>
      <c r="P321" s="9" t="s">
        <v>2220</v>
      </c>
      <c r="Q321" s="9" t="s">
        <v>96</v>
      </c>
      <c r="R321" s="9" t="s">
        <v>57</v>
      </c>
      <c r="S321" s="9" t="s">
        <v>1215</v>
      </c>
      <c r="T321" s="170">
        <v>0.13300000000000001</v>
      </c>
      <c r="U321" s="9" t="s">
        <v>1319</v>
      </c>
      <c r="V321" s="199">
        <v>6.1249999999999999E-2</v>
      </c>
      <c r="W321" s="185">
        <v>0.23773</v>
      </c>
      <c r="X321" s="5" t="s">
        <v>618</v>
      </c>
      <c r="Y321" s="5" t="s">
        <v>62</v>
      </c>
      <c r="Z321" s="170">
        <v>0</v>
      </c>
      <c r="AA321" s="184">
        <v>3.3719999999999999</v>
      </c>
      <c r="AB321" s="186">
        <v>0</v>
      </c>
      <c r="AC321" s="170">
        <v>8.9120000000000008</v>
      </c>
      <c r="AD321" s="170">
        <v>30.050999999999998</v>
      </c>
      <c r="AE321" s="9"/>
      <c r="AF321" s="9"/>
      <c r="AG321" s="9" t="s">
        <v>17</v>
      </c>
      <c r="AH321" s="185">
        <v>0</v>
      </c>
      <c r="AI321" s="185">
        <v>1.59563524337131E-4</v>
      </c>
      <c r="AJ321" s="185">
        <v>2.7009211973280198E-5</v>
      </c>
    </row>
    <row r="322" spans="1:36">
      <c r="A322" s="9">
        <v>337</v>
      </c>
      <c r="B322" s="9">
        <v>9963</v>
      </c>
      <c r="C322" s="9" t="s">
        <v>2221</v>
      </c>
      <c r="D322" s="9" t="s">
        <v>2222</v>
      </c>
      <c r="E322" s="5" t="s">
        <v>1346</v>
      </c>
      <c r="F322" s="9" t="s">
        <v>2223</v>
      </c>
      <c r="G322" s="9" t="s">
        <v>2224</v>
      </c>
      <c r="H322" s="9" t="s">
        <v>76</v>
      </c>
      <c r="I322" s="9" t="s">
        <v>228</v>
      </c>
      <c r="J322" s="9" t="s">
        <v>53</v>
      </c>
      <c r="K322" s="9" t="s">
        <v>53</v>
      </c>
      <c r="L322" s="9" t="s">
        <v>803</v>
      </c>
      <c r="M322" s="9" t="s">
        <v>311</v>
      </c>
      <c r="N322" s="9" t="s">
        <v>140</v>
      </c>
      <c r="O322" s="9" t="s">
        <v>62</v>
      </c>
      <c r="P322" s="9" t="s">
        <v>2225</v>
      </c>
      <c r="Q322" s="9" t="s">
        <v>70</v>
      </c>
      <c r="R322" s="9" t="s">
        <v>57</v>
      </c>
      <c r="S322" s="9" t="s">
        <v>1259</v>
      </c>
      <c r="T322" s="170">
        <v>1.2070000000000001</v>
      </c>
      <c r="U322" s="9" t="s">
        <v>2226</v>
      </c>
      <c r="V322" s="199">
        <v>3.5000000000000003E-2</v>
      </c>
      <c r="W322" s="185">
        <v>4.8849999999999998E-2</v>
      </c>
      <c r="X322" s="5" t="s">
        <v>618</v>
      </c>
      <c r="Y322" s="5" t="s">
        <v>62</v>
      </c>
      <c r="Z322" s="170">
        <v>439038.46</v>
      </c>
      <c r="AA322" s="184">
        <v>1</v>
      </c>
      <c r="AB322" s="186">
        <v>99.31</v>
      </c>
      <c r="AC322" s="9"/>
      <c r="AD322" s="170">
        <v>436.00900000000001</v>
      </c>
      <c r="AE322" s="9"/>
      <c r="AF322" s="9"/>
      <c r="AG322" s="9" t="s">
        <v>17</v>
      </c>
      <c r="AH322" s="185">
        <v>3.1589999999999999E-3</v>
      </c>
      <c r="AI322" s="185">
        <v>2.31511601760989E-3</v>
      </c>
      <c r="AJ322" s="185">
        <v>3.91878153369487E-4</v>
      </c>
    </row>
    <row r="323" spans="1:36">
      <c r="A323" s="9">
        <v>337</v>
      </c>
      <c r="B323" s="9">
        <v>9963</v>
      </c>
      <c r="C323" s="9" t="s">
        <v>2221</v>
      </c>
      <c r="D323" s="9" t="s">
        <v>2222</v>
      </c>
      <c r="E323" s="5" t="s">
        <v>1346</v>
      </c>
      <c r="F323" s="9" t="s">
        <v>2227</v>
      </c>
      <c r="G323" s="9" t="s">
        <v>2228</v>
      </c>
      <c r="H323" s="9" t="s">
        <v>76</v>
      </c>
      <c r="I323" s="9" t="s">
        <v>229</v>
      </c>
      <c r="J323" s="9" t="s">
        <v>53</v>
      </c>
      <c r="K323" s="9" t="s">
        <v>53</v>
      </c>
      <c r="L323" s="9" t="s">
        <v>803</v>
      </c>
      <c r="M323" s="9" t="s">
        <v>311</v>
      </c>
      <c r="N323" s="9" t="s">
        <v>140</v>
      </c>
      <c r="O323" s="9" t="s">
        <v>62</v>
      </c>
      <c r="P323" s="9" t="s">
        <v>2225</v>
      </c>
      <c r="Q323" s="9" t="s">
        <v>70</v>
      </c>
      <c r="R323" s="9" t="s">
        <v>57</v>
      </c>
      <c r="S323" s="9" t="s">
        <v>1259</v>
      </c>
      <c r="T323" s="170">
        <v>2.1160000000000001</v>
      </c>
      <c r="U323" s="9" t="s">
        <v>2229</v>
      </c>
      <c r="V323" s="199">
        <v>3.85E-2</v>
      </c>
      <c r="W323" s="185">
        <v>3.2370000000000003E-2</v>
      </c>
      <c r="X323" s="5" t="s">
        <v>618</v>
      </c>
      <c r="Y323" s="5" t="s">
        <v>62</v>
      </c>
      <c r="Z323" s="170">
        <v>438772</v>
      </c>
      <c r="AA323" s="184">
        <v>1</v>
      </c>
      <c r="AB323" s="186">
        <v>111.11</v>
      </c>
      <c r="AC323" s="9"/>
      <c r="AD323" s="170">
        <v>487.52</v>
      </c>
      <c r="AE323" s="9"/>
      <c r="AF323" s="9"/>
      <c r="AG323" s="9" t="s">
        <v>17</v>
      </c>
      <c r="AH323" s="185">
        <v>1.4630000000000001E-3</v>
      </c>
      <c r="AI323" s="185">
        <v>2.5886257361703402E-3</v>
      </c>
      <c r="AJ323" s="185">
        <v>4.38174962092158E-4</v>
      </c>
    </row>
    <row r="324" spans="1:36">
      <c r="A324" s="9">
        <v>337</v>
      </c>
      <c r="B324" s="9">
        <v>9963</v>
      </c>
      <c r="C324" s="9" t="s">
        <v>2230</v>
      </c>
      <c r="D324" s="9" t="s">
        <v>2231</v>
      </c>
      <c r="E324" s="5" t="s">
        <v>1346</v>
      </c>
      <c r="F324" s="9" t="s">
        <v>2875</v>
      </c>
      <c r="G324" s="9" t="s">
        <v>2876</v>
      </c>
      <c r="H324" s="9" t="s">
        <v>76</v>
      </c>
      <c r="I324" s="9" t="s">
        <v>229</v>
      </c>
      <c r="J324" s="9" t="s">
        <v>53</v>
      </c>
      <c r="K324" s="9" t="s">
        <v>317</v>
      </c>
      <c r="L324" s="9" t="s">
        <v>803</v>
      </c>
      <c r="M324" s="9" t="s">
        <v>311</v>
      </c>
      <c r="N324" s="9" t="s">
        <v>634</v>
      </c>
      <c r="O324" s="9" t="s">
        <v>62</v>
      </c>
      <c r="P324" s="9" t="s">
        <v>2225</v>
      </c>
      <c r="Q324" s="9" t="s">
        <v>70</v>
      </c>
      <c r="R324" s="9" t="s">
        <v>57</v>
      </c>
      <c r="S324" s="9" t="s">
        <v>1259</v>
      </c>
      <c r="T324" s="170">
        <v>1.1359999999999999</v>
      </c>
      <c r="U324" s="9" t="s">
        <v>2877</v>
      </c>
      <c r="V324" s="199">
        <v>2.8500000000000001E-2</v>
      </c>
      <c r="W324" s="185">
        <v>3.0040000000000001E-2</v>
      </c>
      <c r="X324" s="5" t="s">
        <v>618</v>
      </c>
      <c r="Y324" s="5" t="s">
        <v>62</v>
      </c>
      <c r="Z324" s="170">
        <v>15846.75</v>
      </c>
      <c r="AA324" s="184">
        <v>1</v>
      </c>
      <c r="AB324" s="186">
        <v>119.39</v>
      </c>
      <c r="AC324" s="9"/>
      <c r="AD324" s="170">
        <v>18.919</v>
      </c>
      <c r="AE324" s="9"/>
      <c r="AF324" s="9"/>
      <c r="AG324" s="9" t="s">
        <v>17</v>
      </c>
      <c r="AH324" s="185">
        <v>3.8999999999999999E-5</v>
      </c>
      <c r="AI324" s="185">
        <v>1.00458194903148E-4</v>
      </c>
      <c r="AJ324" s="185">
        <v>1.7004492047063899E-5</v>
      </c>
    </row>
    <row r="325" spans="1:36">
      <c r="A325" s="9">
        <v>337</v>
      </c>
      <c r="B325" s="9">
        <v>9963</v>
      </c>
      <c r="C325" s="9" t="s">
        <v>2235</v>
      </c>
      <c r="D325" s="9" t="s">
        <v>2236</v>
      </c>
      <c r="E325" s="5" t="s">
        <v>1346</v>
      </c>
      <c r="F325" s="9" t="s">
        <v>2237</v>
      </c>
      <c r="G325" s="9" t="s">
        <v>2238</v>
      </c>
      <c r="H325" s="9" t="s">
        <v>76</v>
      </c>
      <c r="I325" s="9" t="s">
        <v>229</v>
      </c>
      <c r="J325" s="9" t="s">
        <v>53</v>
      </c>
      <c r="K325" s="9" t="s">
        <v>53</v>
      </c>
      <c r="L325" s="9" t="s">
        <v>803</v>
      </c>
      <c r="M325" s="9" t="s">
        <v>311</v>
      </c>
      <c r="N325" s="9" t="s">
        <v>265</v>
      </c>
      <c r="O325" s="9" t="s">
        <v>62</v>
      </c>
      <c r="P325" s="9" t="s">
        <v>2239</v>
      </c>
      <c r="Q325" s="9" t="s">
        <v>65</v>
      </c>
      <c r="R325" s="9" t="s">
        <v>57</v>
      </c>
      <c r="S325" s="9" t="s">
        <v>1259</v>
      </c>
      <c r="T325" s="170">
        <v>5.0369999999999999</v>
      </c>
      <c r="U325" s="9" t="s">
        <v>2240</v>
      </c>
      <c r="V325" s="199">
        <v>5.1499999999999997E-2</v>
      </c>
      <c r="W325" s="185">
        <v>4.1759999999999999E-2</v>
      </c>
      <c r="X325" s="5" t="s">
        <v>618</v>
      </c>
      <c r="Y325" s="5" t="s">
        <v>62</v>
      </c>
      <c r="Z325" s="170">
        <v>0.28000000000000003</v>
      </c>
      <c r="AA325" s="184">
        <v>1</v>
      </c>
      <c r="AB325" s="186">
        <v>148.91</v>
      </c>
      <c r="AC325" s="9"/>
      <c r="AD325" s="170">
        <v>0</v>
      </c>
      <c r="AE325" s="9"/>
      <c r="AF325" s="9"/>
      <c r="AG325" s="9" t="s">
        <v>17</v>
      </c>
      <c r="AH325" s="185">
        <v>0</v>
      </c>
      <c r="AI325" s="185">
        <v>2.2139056391436301E-9</v>
      </c>
      <c r="AJ325" s="185">
        <v>3.7474633970939502E-10</v>
      </c>
    </row>
    <row r="326" spans="1:36">
      <c r="A326" s="9">
        <v>337</v>
      </c>
      <c r="B326" s="9">
        <v>9963</v>
      </c>
      <c r="C326" s="9" t="s">
        <v>1822</v>
      </c>
      <c r="D326" s="9" t="s">
        <v>1823</v>
      </c>
      <c r="E326" s="5" t="s">
        <v>1346</v>
      </c>
      <c r="F326" s="9" t="s">
        <v>2241</v>
      </c>
      <c r="G326" s="9" t="s">
        <v>2242</v>
      </c>
      <c r="H326" s="9" t="s">
        <v>76</v>
      </c>
      <c r="I326" s="9" t="s">
        <v>229</v>
      </c>
      <c r="J326" s="9" t="s">
        <v>53</v>
      </c>
      <c r="K326" s="9" t="s">
        <v>53</v>
      </c>
      <c r="L326" s="9" t="s">
        <v>803</v>
      </c>
      <c r="M326" s="9" t="s">
        <v>311</v>
      </c>
      <c r="N326" s="9" t="s">
        <v>156</v>
      </c>
      <c r="O326" s="9" t="s">
        <v>62</v>
      </c>
      <c r="P326" s="9" t="s">
        <v>1607</v>
      </c>
      <c r="Q326" s="9" t="s">
        <v>65</v>
      </c>
      <c r="R326" s="9" t="s">
        <v>57</v>
      </c>
      <c r="S326" s="9" t="s">
        <v>1259</v>
      </c>
      <c r="T326" s="170">
        <v>2.472</v>
      </c>
      <c r="U326" s="9" t="s">
        <v>2243</v>
      </c>
      <c r="V326" s="199">
        <v>2.75E-2</v>
      </c>
      <c r="W326" s="185">
        <v>3.0839999999999999E-2</v>
      </c>
      <c r="X326" s="5" t="s">
        <v>618</v>
      </c>
      <c r="Y326" s="5" t="s">
        <v>62</v>
      </c>
      <c r="Z326" s="170">
        <v>171528.42</v>
      </c>
      <c r="AA326" s="184">
        <v>1</v>
      </c>
      <c r="AB326" s="186">
        <v>116.37</v>
      </c>
      <c r="AC326" s="9"/>
      <c r="AD326" s="170">
        <v>199.608</v>
      </c>
      <c r="AE326" s="9"/>
      <c r="AF326" s="9"/>
      <c r="AG326" s="9" t="s">
        <v>17</v>
      </c>
      <c r="AH326" s="185">
        <v>2.3000000000000001E-4</v>
      </c>
      <c r="AI326" s="185">
        <v>1.0598742307088001E-3</v>
      </c>
      <c r="AJ326" s="185">
        <v>1.79404208331151E-4</v>
      </c>
    </row>
    <row r="327" spans="1:36">
      <c r="A327" s="9">
        <v>337</v>
      </c>
      <c r="B327" s="9">
        <v>9963</v>
      </c>
      <c r="C327" s="9" t="s">
        <v>1834</v>
      </c>
      <c r="D327" s="9" t="s">
        <v>1835</v>
      </c>
      <c r="E327" s="5" t="s">
        <v>1346</v>
      </c>
      <c r="F327" s="9" t="s">
        <v>2244</v>
      </c>
      <c r="G327" s="9" t="s">
        <v>2245</v>
      </c>
      <c r="H327" s="9" t="s">
        <v>76</v>
      </c>
      <c r="I327" s="9" t="s">
        <v>228</v>
      </c>
      <c r="J327" s="9" t="s">
        <v>53</v>
      </c>
      <c r="K327" s="9" t="s">
        <v>53</v>
      </c>
      <c r="L327" s="9" t="s">
        <v>803</v>
      </c>
      <c r="M327" s="9" t="s">
        <v>311</v>
      </c>
      <c r="N327" s="9" t="s">
        <v>265</v>
      </c>
      <c r="O327" s="9" t="s">
        <v>62</v>
      </c>
      <c r="P327" s="9" t="s">
        <v>2246</v>
      </c>
      <c r="Q327" s="9" t="s">
        <v>65</v>
      </c>
      <c r="R327" s="9" t="s">
        <v>57</v>
      </c>
      <c r="S327" s="9" t="s">
        <v>1259</v>
      </c>
      <c r="T327" s="170">
        <v>7.3310000000000004</v>
      </c>
      <c r="U327" s="9" t="s">
        <v>2247</v>
      </c>
      <c r="V327" s="199">
        <v>2.4E-2</v>
      </c>
      <c r="W327" s="185">
        <v>4.6940000000000003E-2</v>
      </c>
      <c r="X327" s="5" t="s">
        <v>618</v>
      </c>
      <c r="Y327" s="5" t="s">
        <v>62</v>
      </c>
      <c r="Z327" s="170">
        <v>2000000</v>
      </c>
      <c r="AA327" s="184">
        <v>1</v>
      </c>
      <c r="AB327" s="186">
        <v>84.92</v>
      </c>
      <c r="AC327" s="9"/>
      <c r="AD327" s="170">
        <v>1698.4</v>
      </c>
      <c r="AE327" s="9"/>
      <c r="AF327" s="9"/>
      <c r="AG327" s="9" t="s">
        <v>17</v>
      </c>
      <c r="AH327" s="185">
        <v>1.274E-3</v>
      </c>
      <c r="AI327" s="185">
        <v>9.0181445588455606E-3</v>
      </c>
      <c r="AJ327" s="185">
        <v>1.5264953504092499E-3</v>
      </c>
    </row>
    <row r="328" spans="1:36">
      <c r="A328" s="9">
        <v>337</v>
      </c>
      <c r="B328" s="9">
        <v>9963</v>
      </c>
      <c r="C328" s="9" t="s">
        <v>2248</v>
      </c>
      <c r="D328" s="9" t="s">
        <v>2249</v>
      </c>
      <c r="E328" s="5" t="s">
        <v>1346</v>
      </c>
      <c r="F328" s="9" t="s">
        <v>2250</v>
      </c>
      <c r="G328" s="9" t="s">
        <v>2251</v>
      </c>
      <c r="H328" s="9" t="s">
        <v>76</v>
      </c>
      <c r="I328" s="9" t="s">
        <v>229</v>
      </c>
      <c r="J328" s="9" t="s">
        <v>53</v>
      </c>
      <c r="K328" s="9" t="s">
        <v>53</v>
      </c>
      <c r="L328" s="9" t="s">
        <v>803</v>
      </c>
      <c r="M328" s="9" t="s">
        <v>311</v>
      </c>
      <c r="N328" s="9" t="s">
        <v>633</v>
      </c>
      <c r="O328" s="9" t="s">
        <v>62</v>
      </c>
      <c r="P328" s="9" t="s">
        <v>2246</v>
      </c>
      <c r="Q328" s="9" t="s">
        <v>65</v>
      </c>
      <c r="R328" s="9" t="s">
        <v>57</v>
      </c>
      <c r="S328" s="9" t="s">
        <v>1259</v>
      </c>
      <c r="T328" s="170">
        <v>2.0139999999999998</v>
      </c>
      <c r="U328" s="9" t="s">
        <v>2252</v>
      </c>
      <c r="V328" s="199">
        <v>2.3400000000000001E-2</v>
      </c>
      <c r="W328" s="185">
        <v>2.8719999999999999E-2</v>
      </c>
      <c r="X328" s="5" t="s">
        <v>618</v>
      </c>
      <c r="Y328" s="5" t="s">
        <v>62</v>
      </c>
      <c r="Z328" s="170">
        <v>1893141.37</v>
      </c>
      <c r="AA328" s="184">
        <v>1</v>
      </c>
      <c r="AB328" s="186">
        <v>116.49</v>
      </c>
      <c r="AC328" s="9"/>
      <c r="AD328" s="170">
        <v>2205.3200000000002</v>
      </c>
      <c r="AE328" s="9"/>
      <c r="AF328" s="9"/>
      <c r="AG328" s="9" t="s">
        <v>17</v>
      </c>
      <c r="AH328" s="185">
        <v>1.1609999999999999E-3</v>
      </c>
      <c r="AI328" s="185">
        <v>1.17097845046278E-2</v>
      </c>
      <c r="AJ328" s="185">
        <v>1.9821074594635799E-3</v>
      </c>
    </row>
    <row r="329" spans="1:36">
      <c r="A329" s="9">
        <v>337</v>
      </c>
      <c r="B329" s="9">
        <v>9963</v>
      </c>
      <c r="C329" s="9" t="s">
        <v>1842</v>
      </c>
      <c r="D329" s="9" t="s">
        <v>1843</v>
      </c>
      <c r="E329" s="5" t="s">
        <v>1346</v>
      </c>
      <c r="F329" s="9" t="s">
        <v>2253</v>
      </c>
      <c r="G329" s="9" t="s">
        <v>2254</v>
      </c>
      <c r="H329" s="9" t="s">
        <v>76</v>
      </c>
      <c r="I329" s="9" t="s">
        <v>605</v>
      </c>
      <c r="J329" s="9" t="s">
        <v>53</v>
      </c>
      <c r="K329" s="9" t="s">
        <v>53</v>
      </c>
      <c r="L329" s="9" t="s">
        <v>803</v>
      </c>
      <c r="M329" s="9" t="s">
        <v>311</v>
      </c>
      <c r="N329" s="9" t="s">
        <v>259</v>
      </c>
      <c r="O329" s="9" t="s">
        <v>62</v>
      </c>
      <c r="P329" s="167" t="s">
        <v>298</v>
      </c>
      <c r="Q329" s="9" t="s">
        <v>298</v>
      </c>
      <c r="R329" s="9" t="s">
        <v>298</v>
      </c>
      <c r="S329" s="9" t="s">
        <v>1259</v>
      </c>
      <c r="T329" s="170">
        <v>2.839</v>
      </c>
      <c r="U329" s="9" t="s">
        <v>2255</v>
      </c>
      <c r="V329" s="199">
        <v>4.8500000000000001E-2</v>
      </c>
      <c r="W329" s="185">
        <v>1E-4</v>
      </c>
      <c r="X329" s="5" t="s">
        <v>618</v>
      </c>
      <c r="Y329" s="5" t="s">
        <v>62</v>
      </c>
      <c r="Z329" s="170">
        <v>898612</v>
      </c>
      <c r="AA329" s="184">
        <v>1</v>
      </c>
      <c r="AB329" s="186">
        <v>115</v>
      </c>
      <c r="AC329" s="9"/>
      <c r="AD329" s="170">
        <v>1033.404</v>
      </c>
      <c r="AE329" s="9"/>
      <c r="AF329" s="9"/>
      <c r="AG329" s="9" t="s">
        <v>17</v>
      </c>
      <c r="AH329" s="185">
        <v>2.9949999999999998E-3</v>
      </c>
      <c r="AI329" s="185">
        <v>5.4871554734222299E-3</v>
      </c>
      <c r="AJ329" s="185">
        <v>9.2880716897977703E-4</v>
      </c>
    </row>
    <row r="330" spans="1:36">
      <c r="A330" s="9">
        <v>337</v>
      </c>
      <c r="B330" s="9">
        <v>9963</v>
      </c>
      <c r="C330" s="9" t="s">
        <v>2256</v>
      </c>
      <c r="D330" s="9" t="s">
        <v>2257</v>
      </c>
      <c r="E330" s="5" t="s">
        <v>1346</v>
      </c>
      <c r="F330" s="9" t="s">
        <v>2258</v>
      </c>
      <c r="G330" s="9" t="s">
        <v>2259</v>
      </c>
      <c r="H330" s="9" t="s">
        <v>76</v>
      </c>
      <c r="I330" s="9" t="s">
        <v>229</v>
      </c>
      <c r="J330" s="9" t="s">
        <v>53</v>
      </c>
      <c r="K330" s="9" t="s">
        <v>53</v>
      </c>
      <c r="L330" s="9" t="s">
        <v>803</v>
      </c>
      <c r="M330" s="9" t="s">
        <v>311</v>
      </c>
      <c r="N330" s="9" t="s">
        <v>258</v>
      </c>
      <c r="O330" s="9" t="s">
        <v>62</v>
      </c>
      <c r="P330" s="9" t="s">
        <v>1607</v>
      </c>
      <c r="Q330" s="9" t="s">
        <v>65</v>
      </c>
      <c r="R330" s="9" t="s">
        <v>57</v>
      </c>
      <c r="S330" s="9" t="s">
        <v>1259</v>
      </c>
      <c r="T330" s="170">
        <v>1.4510000000000001</v>
      </c>
      <c r="U330" s="9" t="s">
        <v>2260</v>
      </c>
      <c r="V330" s="199">
        <v>3.2000000000000001E-2</v>
      </c>
      <c r="W330" s="185">
        <v>3.2230000000000002E-2</v>
      </c>
      <c r="X330" s="5" t="s">
        <v>618</v>
      </c>
      <c r="Y330" s="5" t="s">
        <v>62</v>
      </c>
      <c r="Z330" s="170">
        <v>119401.98</v>
      </c>
      <c r="AA330" s="184">
        <v>1</v>
      </c>
      <c r="AB330" s="186">
        <v>109.13</v>
      </c>
      <c r="AC330" s="9"/>
      <c r="AD330" s="170">
        <v>130.303</v>
      </c>
      <c r="AE330" s="9"/>
      <c r="AF330" s="9"/>
      <c r="AG330" s="9" t="s">
        <v>17</v>
      </c>
      <c r="AH330" s="185">
        <v>1.8100000000000001E-4</v>
      </c>
      <c r="AI330" s="185">
        <v>6.9188337513320099E-4</v>
      </c>
      <c r="AJ330" s="185">
        <v>1.17114640187304E-4</v>
      </c>
    </row>
    <row r="331" spans="1:36">
      <c r="A331" s="9">
        <v>337</v>
      </c>
      <c r="B331" s="9">
        <v>9963</v>
      </c>
      <c r="C331" s="9" t="s">
        <v>2256</v>
      </c>
      <c r="D331" s="9" t="s">
        <v>2257</v>
      </c>
      <c r="E331" s="5" t="s">
        <v>1346</v>
      </c>
      <c r="F331" s="9" t="s">
        <v>2261</v>
      </c>
      <c r="G331" s="9" t="s">
        <v>2262</v>
      </c>
      <c r="H331" s="9" t="s">
        <v>76</v>
      </c>
      <c r="I331" s="9" t="s">
        <v>228</v>
      </c>
      <c r="J331" s="9" t="s">
        <v>53</v>
      </c>
      <c r="K331" s="9" t="s">
        <v>53</v>
      </c>
      <c r="L331" s="9" t="s">
        <v>803</v>
      </c>
      <c r="M331" s="9" t="s">
        <v>311</v>
      </c>
      <c r="N331" s="9" t="s">
        <v>258</v>
      </c>
      <c r="O331" s="9" t="s">
        <v>62</v>
      </c>
      <c r="P331" s="9" t="s">
        <v>1607</v>
      </c>
      <c r="Q331" s="9" t="s">
        <v>65</v>
      </c>
      <c r="R331" s="9" t="s">
        <v>57</v>
      </c>
      <c r="S331" s="9" t="s">
        <v>1259</v>
      </c>
      <c r="T331" s="170">
        <v>1.518</v>
      </c>
      <c r="U331" s="9" t="s">
        <v>2263</v>
      </c>
      <c r="V331" s="199">
        <v>5.7000000000000002E-2</v>
      </c>
      <c r="W331" s="185">
        <v>5.1889999999999999E-2</v>
      </c>
      <c r="X331" s="5" t="s">
        <v>618</v>
      </c>
      <c r="Y331" s="5" t="s">
        <v>62</v>
      </c>
      <c r="Z331" s="170">
        <v>466667.11</v>
      </c>
      <c r="AA331" s="184">
        <v>1</v>
      </c>
      <c r="AB331" s="186">
        <v>101.09</v>
      </c>
      <c r="AC331" s="9"/>
      <c r="AD331" s="170">
        <v>471.75400000000002</v>
      </c>
      <c r="AE331" s="9"/>
      <c r="AF331" s="9"/>
      <c r="AG331" s="9" t="s">
        <v>17</v>
      </c>
      <c r="AH331" s="185">
        <v>5.9199999999999997E-4</v>
      </c>
      <c r="AI331" s="185">
        <v>2.50491274007302E-3</v>
      </c>
      <c r="AJ331" s="185">
        <v>4.2400491874482199E-4</v>
      </c>
    </row>
    <row r="332" spans="1:36">
      <c r="A332" s="9">
        <v>337</v>
      </c>
      <c r="B332" s="9">
        <v>9963</v>
      </c>
      <c r="C332" s="9" t="s">
        <v>2264</v>
      </c>
      <c r="D332" s="9" t="s">
        <v>2265</v>
      </c>
      <c r="E332" s="5" t="s">
        <v>1346</v>
      </c>
      <c r="F332" s="9" t="s">
        <v>2266</v>
      </c>
      <c r="G332" s="9" t="s">
        <v>2267</v>
      </c>
      <c r="H332" s="9" t="s">
        <v>76</v>
      </c>
      <c r="I332" s="9" t="s">
        <v>229</v>
      </c>
      <c r="J332" s="9" t="s">
        <v>53</v>
      </c>
      <c r="K332" s="9" t="s">
        <v>53</v>
      </c>
      <c r="L332" s="9" t="s">
        <v>803</v>
      </c>
      <c r="M332" s="9" t="s">
        <v>311</v>
      </c>
      <c r="N332" s="9" t="s">
        <v>258</v>
      </c>
      <c r="O332" s="9" t="s">
        <v>62</v>
      </c>
      <c r="P332" s="9" t="s">
        <v>1607</v>
      </c>
      <c r="Q332" s="9" t="s">
        <v>65</v>
      </c>
      <c r="R332" s="9" t="s">
        <v>57</v>
      </c>
      <c r="S332" s="9" t="s">
        <v>1259</v>
      </c>
      <c r="T332" s="170">
        <v>2.1680000000000001</v>
      </c>
      <c r="U332" s="9" t="s">
        <v>2268</v>
      </c>
      <c r="V332" s="199">
        <v>3.2300000000000002E-2</v>
      </c>
      <c r="W332" s="185">
        <v>2.972E-2</v>
      </c>
      <c r="X332" s="5" t="s">
        <v>618</v>
      </c>
      <c r="Y332" s="5" t="s">
        <v>62</v>
      </c>
      <c r="Z332" s="170">
        <v>520070.25</v>
      </c>
      <c r="AA332" s="184">
        <v>1</v>
      </c>
      <c r="AB332" s="186">
        <v>110.07</v>
      </c>
      <c r="AC332" s="9"/>
      <c r="AD332" s="170">
        <v>572.44100000000003</v>
      </c>
      <c r="AE332" s="9"/>
      <c r="AF332" s="9"/>
      <c r="AG332" s="9" t="s">
        <v>17</v>
      </c>
      <c r="AH332" s="185">
        <v>1.008E-3</v>
      </c>
      <c r="AI332" s="185">
        <v>3.0395422826584601E-3</v>
      </c>
      <c r="AJ332" s="185">
        <v>5.1450130695669595E-4</v>
      </c>
    </row>
    <row r="333" spans="1:36">
      <c r="A333" s="9">
        <v>337</v>
      </c>
      <c r="B333" s="9">
        <v>9963</v>
      </c>
      <c r="C333" s="9" t="s">
        <v>2269</v>
      </c>
      <c r="D333" s="9" t="s">
        <v>2270</v>
      </c>
      <c r="E333" s="5" t="s">
        <v>1346</v>
      </c>
      <c r="F333" s="9" t="s">
        <v>2271</v>
      </c>
      <c r="G333" s="9" t="s">
        <v>2272</v>
      </c>
      <c r="H333" s="9" t="s">
        <v>76</v>
      </c>
      <c r="I333" s="9" t="s">
        <v>229</v>
      </c>
      <c r="J333" s="9" t="s">
        <v>53</v>
      </c>
      <c r="K333" s="9" t="s">
        <v>53</v>
      </c>
      <c r="L333" s="9" t="s">
        <v>803</v>
      </c>
      <c r="M333" s="9" t="s">
        <v>311</v>
      </c>
      <c r="N333" s="9" t="s">
        <v>633</v>
      </c>
      <c r="O333" s="9" t="s">
        <v>62</v>
      </c>
      <c r="P333" s="9" t="s">
        <v>1614</v>
      </c>
      <c r="Q333" s="9" t="s">
        <v>65</v>
      </c>
      <c r="R333" s="9" t="s">
        <v>57</v>
      </c>
      <c r="S333" s="9" t="s">
        <v>1259</v>
      </c>
      <c r="T333" s="170">
        <v>2.1760000000000002</v>
      </c>
      <c r="U333" s="9" t="s">
        <v>2273</v>
      </c>
      <c r="V333" s="199">
        <v>2.4899999999999999E-2</v>
      </c>
      <c r="W333" s="185">
        <v>3.1350000000000003E-2</v>
      </c>
      <c r="X333" s="5" t="s">
        <v>618</v>
      </c>
      <c r="Y333" s="5" t="s">
        <v>62</v>
      </c>
      <c r="Z333" s="170">
        <v>319751.11</v>
      </c>
      <c r="AA333" s="184">
        <v>1</v>
      </c>
      <c r="AB333" s="186">
        <v>108.03</v>
      </c>
      <c r="AC333" s="9"/>
      <c r="AD333" s="170">
        <v>345.42700000000002</v>
      </c>
      <c r="AE333" s="9"/>
      <c r="AF333" s="9"/>
      <c r="AG333" s="9" t="s">
        <v>17</v>
      </c>
      <c r="AH333" s="185">
        <v>1.7149999999999999E-3</v>
      </c>
      <c r="AI333" s="185">
        <v>1.8341449246218099E-3</v>
      </c>
      <c r="AJ333" s="185">
        <v>3.1046449534518603E-4</v>
      </c>
    </row>
    <row r="334" spans="1:36">
      <c r="A334" s="9">
        <v>337</v>
      </c>
      <c r="B334" s="9">
        <v>9963</v>
      </c>
      <c r="C334" s="9" t="s">
        <v>2277</v>
      </c>
      <c r="D334" s="9" t="s">
        <v>2278</v>
      </c>
      <c r="E334" s="5" t="s">
        <v>1346</v>
      </c>
      <c r="F334" s="9" t="s">
        <v>2878</v>
      </c>
      <c r="G334" s="9" t="s">
        <v>2879</v>
      </c>
      <c r="H334" s="9" t="s">
        <v>76</v>
      </c>
      <c r="I334" s="9" t="s">
        <v>228</v>
      </c>
      <c r="J334" s="9" t="s">
        <v>53</v>
      </c>
      <c r="K334" s="9" t="s">
        <v>53</v>
      </c>
      <c r="L334" s="9" t="s">
        <v>803</v>
      </c>
      <c r="M334" s="9" t="s">
        <v>311</v>
      </c>
      <c r="N334" s="9" t="s">
        <v>690</v>
      </c>
      <c r="O334" s="9" t="s">
        <v>62</v>
      </c>
      <c r="P334" s="9" t="s">
        <v>2239</v>
      </c>
      <c r="Q334" s="9" t="s">
        <v>65</v>
      </c>
      <c r="R334" s="9" t="s">
        <v>57</v>
      </c>
      <c r="S334" s="9" t="s">
        <v>1259</v>
      </c>
      <c r="T334" s="170">
        <v>3.8010000000000002</v>
      </c>
      <c r="U334" s="9" t="s">
        <v>2880</v>
      </c>
      <c r="V334" s="199">
        <v>2.9899999999999999E-2</v>
      </c>
      <c r="W334" s="185">
        <v>4.6850000000000003E-2</v>
      </c>
      <c r="X334" s="5" t="s">
        <v>618</v>
      </c>
      <c r="Y334" s="5" t="s">
        <v>62</v>
      </c>
      <c r="Z334" s="170">
        <v>2500000</v>
      </c>
      <c r="AA334" s="184">
        <v>1</v>
      </c>
      <c r="AB334" s="186">
        <v>105.62</v>
      </c>
      <c r="AC334" s="9"/>
      <c r="AD334" s="170">
        <v>2640.5</v>
      </c>
      <c r="AE334" s="9"/>
      <c r="AF334" s="9"/>
      <c r="AG334" s="9" t="s">
        <v>17</v>
      </c>
      <c r="AH334" s="185">
        <v>1.2500000000000001E-2</v>
      </c>
      <c r="AI334" s="185">
        <v>1.4020496177362E-2</v>
      </c>
      <c r="AJ334" s="185">
        <v>2.3732400922960601E-3</v>
      </c>
    </row>
    <row r="335" spans="1:36">
      <c r="A335" s="9">
        <v>337</v>
      </c>
      <c r="B335" s="9">
        <v>9963</v>
      </c>
      <c r="C335" s="9" t="s">
        <v>2282</v>
      </c>
      <c r="D335" s="9" t="s">
        <v>2283</v>
      </c>
      <c r="E335" s="5" t="s">
        <v>1346</v>
      </c>
      <c r="F335" s="9" t="s">
        <v>2284</v>
      </c>
      <c r="G335" s="9" t="s">
        <v>2285</v>
      </c>
      <c r="H335" s="9" t="s">
        <v>76</v>
      </c>
      <c r="I335" s="9" t="s">
        <v>228</v>
      </c>
      <c r="J335" s="9" t="s">
        <v>53</v>
      </c>
      <c r="K335" s="9" t="s">
        <v>53</v>
      </c>
      <c r="L335" s="9" t="s">
        <v>803</v>
      </c>
      <c r="M335" s="9" t="s">
        <v>311</v>
      </c>
      <c r="N335" s="9" t="s">
        <v>690</v>
      </c>
      <c r="O335" s="9" t="s">
        <v>62</v>
      </c>
      <c r="P335" s="9" t="s">
        <v>1607</v>
      </c>
      <c r="Q335" s="9" t="s">
        <v>65</v>
      </c>
      <c r="R335" s="9" t="s">
        <v>57</v>
      </c>
      <c r="S335" s="9" t="s">
        <v>1259</v>
      </c>
      <c r="T335" s="170">
        <v>2.7559999999999998</v>
      </c>
      <c r="U335" s="9" t="s">
        <v>2286</v>
      </c>
      <c r="V335" s="199">
        <v>0.04</v>
      </c>
      <c r="W335" s="185">
        <v>4.7919999999999997E-2</v>
      </c>
      <c r="X335" s="5" t="s">
        <v>618</v>
      </c>
      <c r="Y335" s="5" t="s">
        <v>62</v>
      </c>
      <c r="Z335" s="170">
        <v>600000.25</v>
      </c>
      <c r="AA335" s="184">
        <v>1</v>
      </c>
      <c r="AB335" s="186">
        <v>99.88</v>
      </c>
      <c r="AC335" s="9"/>
      <c r="AD335" s="170">
        <v>599.28</v>
      </c>
      <c r="AE335" s="9"/>
      <c r="AF335" s="9"/>
      <c r="AG335" s="9" t="s">
        <v>17</v>
      </c>
      <c r="AH335" s="185">
        <v>1.0330000000000001E-3</v>
      </c>
      <c r="AI335" s="185">
        <v>3.18205129713593E-3</v>
      </c>
      <c r="AJ335" s="185">
        <v>5.3862371335324205E-4</v>
      </c>
    </row>
    <row r="336" spans="1:36">
      <c r="A336" s="9">
        <v>337</v>
      </c>
      <c r="B336" s="9">
        <v>9963</v>
      </c>
      <c r="C336" s="9" t="s">
        <v>2282</v>
      </c>
      <c r="D336" s="9" t="s">
        <v>2283</v>
      </c>
      <c r="E336" s="5" t="s">
        <v>1346</v>
      </c>
      <c r="F336" s="9" t="s">
        <v>2287</v>
      </c>
      <c r="G336" s="9" t="s">
        <v>2288</v>
      </c>
      <c r="H336" s="9" t="s">
        <v>76</v>
      </c>
      <c r="I336" s="9" t="s">
        <v>228</v>
      </c>
      <c r="J336" s="9" t="s">
        <v>53</v>
      </c>
      <c r="K336" s="9" t="s">
        <v>53</v>
      </c>
      <c r="L336" s="9" t="s">
        <v>803</v>
      </c>
      <c r="M336" s="9" t="s">
        <v>311</v>
      </c>
      <c r="N336" s="9" t="s">
        <v>690</v>
      </c>
      <c r="O336" s="9" t="s">
        <v>62</v>
      </c>
      <c r="P336" s="9" t="s">
        <v>1607</v>
      </c>
      <c r="Q336" s="9" t="s">
        <v>65</v>
      </c>
      <c r="R336" s="9" t="s">
        <v>57</v>
      </c>
      <c r="S336" s="9" t="s">
        <v>1259</v>
      </c>
      <c r="T336" s="170">
        <v>4.7830000000000004</v>
      </c>
      <c r="U336" s="9" t="s">
        <v>2289</v>
      </c>
      <c r="V336" s="199">
        <v>2.07E-2</v>
      </c>
      <c r="W336" s="185">
        <v>4.8390000000000002E-2</v>
      </c>
      <c r="X336" s="5" t="s">
        <v>618</v>
      </c>
      <c r="Y336" s="5" t="s">
        <v>62</v>
      </c>
      <c r="Z336" s="170">
        <v>2000000</v>
      </c>
      <c r="AA336" s="184">
        <v>1</v>
      </c>
      <c r="AB336" s="186">
        <v>87.83</v>
      </c>
      <c r="AC336" s="9"/>
      <c r="AD336" s="170">
        <v>1756.6</v>
      </c>
      <c r="AE336" s="9"/>
      <c r="AF336" s="9"/>
      <c r="AG336" s="9" t="s">
        <v>17</v>
      </c>
      <c r="AH336" s="185">
        <v>2.7539999999999999E-3</v>
      </c>
      <c r="AI336" s="185">
        <v>9.32717424167929E-3</v>
      </c>
      <c r="AJ336" s="185">
        <v>1.5788045999345799E-3</v>
      </c>
    </row>
    <row r="337" spans="1:36">
      <c r="A337" s="9">
        <v>337</v>
      </c>
      <c r="B337" s="9">
        <v>9963</v>
      </c>
      <c r="C337" s="9" t="s">
        <v>1858</v>
      </c>
      <c r="D337" s="9" t="s">
        <v>1859</v>
      </c>
      <c r="E337" s="5" t="s">
        <v>1346</v>
      </c>
      <c r="F337" s="9" t="s">
        <v>2290</v>
      </c>
      <c r="G337" s="9" t="s">
        <v>2291</v>
      </c>
      <c r="H337" s="9" t="s">
        <v>76</v>
      </c>
      <c r="I337" s="9" t="s">
        <v>229</v>
      </c>
      <c r="J337" s="9" t="s">
        <v>53</v>
      </c>
      <c r="K337" s="9" t="s">
        <v>53</v>
      </c>
      <c r="L337" s="9" t="s">
        <v>803</v>
      </c>
      <c r="M337" s="9" t="s">
        <v>311</v>
      </c>
      <c r="N337" s="9" t="s">
        <v>633</v>
      </c>
      <c r="O337" s="9" t="s">
        <v>62</v>
      </c>
      <c r="P337" s="9" t="s">
        <v>2246</v>
      </c>
      <c r="Q337" s="9" t="s">
        <v>65</v>
      </c>
      <c r="R337" s="9" t="s">
        <v>57</v>
      </c>
      <c r="S337" s="9" t="s">
        <v>1259</v>
      </c>
      <c r="T337" s="170">
        <v>2.5790000000000002</v>
      </c>
      <c r="U337" s="9" t="s">
        <v>2292</v>
      </c>
      <c r="V337" s="199">
        <v>1.14E-2</v>
      </c>
      <c r="W337" s="185">
        <v>2.819E-2</v>
      </c>
      <c r="X337" s="5" t="s">
        <v>618</v>
      </c>
      <c r="Y337" s="5" t="s">
        <v>62</v>
      </c>
      <c r="Z337" s="170">
        <v>4000000</v>
      </c>
      <c r="AA337" s="184">
        <v>1</v>
      </c>
      <c r="AB337" s="186">
        <v>111.43</v>
      </c>
      <c r="AC337" s="9"/>
      <c r="AD337" s="170">
        <v>4457.2</v>
      </c>
      <c r="AE337" s="9"/>
      <c r="AF337" s="9"/>
      <c r="AG337" s="9" t="s">
        <v>17</v>
      </c>
      <c r="AH337" s="185">
        <v>1.6930000000000001E-3</v>
      </c>
      <c r="AI337" s="185">
        <v>2.36667886997683E-2</v>
      </c>
      <c r="AJ337" s="185">
        <v>4.0060616320325704E-3</v>
      </c>
    </row>
    <row r="338" spans="1:36">
      <c r="A338" s="9">
        <v>337</v>
      </c>
      <c r="B338" s="9">
        <v>9963</v>
      </c>
      <c r="C338" s="9" t="s">
        <v>1858</v>
      </c>
      <c r="D338" s="9" t="s">
        <v>1859</v>
      </c>
      <c r="E338" s="5" t="s">
        <v>1346</v>
      </c>
      <c r="F338" s="9" t="s">
        <v>2881</v>
      </c>
      <c r="G338" s="9" t="s">
        <v>2882</v>
      </c>
      <c r="H338" s="9" t="s">
        <v>76</v>
      </c>
      <c r="I338" s="9" t="s">
        <v>229</v>
      </c>
      <c r="J338" s="9" t="s">
        <v>53</v>
      </c>
      <c r="K338" s="9" t="s">
        <v>53</v>
      </c>
      <c r="L338" s="9" t="s">
        <v>803</v>
      </c>
      <c r="M338" s="9" t="s">
        <v>311</v>
      </c>
      <c r="N338" s="9" t="s">
        <v>633</v>
      </c>
      <c r="O338" s="9" t="s">
        <v>62</v>
      </c>
      <c r="P338" s="9" t="s">
        <v>2246</v>
      </c>
      <c r="Q338" s="9" t="s">
        <v>65</v>
      </c>
      <c r="R338" s="9" t="s">
        <v>57</v>
      </c>
      <c r="S338" s="9" t="s">
        <v>1259</v>
      </c>
      <c r="T338" s="170">
        <v>4.8689999999999998</v>
      </c>
      <c r="U338" s="9" t="s">
        <v>2775</v>
      </c>
      <c r="V338" s="199">
        <v>9.1999999999999998E-3</v>
      </c>
      <c r="W338" s="185">
        <v>2.8469999999999999E-2</v>
      </c>
      <c r="X338" s="5" t="s">
        <v>618</v>
      </c>
      <c r="Y338" s="5" t="s">
        <v>62</v>
      </c>
      <c r="Z338" s="170">
        <v>2000000</v>
      </c>
      <c r="AA338" s="184">
        <v>1</v>
      </c>
      <c r="AB338" s="186">
        <v>107.4</v>
      </c>
      <c r="AC338" s="9"/>
      <c r="AD338" s="170">
        <v>2148</v>
      </c>
      <c r="AE338" s="9"/>
      <c r="AF338" s="9"/>
      <c r="AG338" s="9" t="s">
        <v>17</v>
      </c>
      <c r="AH338" s="185">
        <v>7.7300000000000003E-4</v>
      </c>
      <c r="AI338" s="185">
        <v>1.1405425407677999E-2</v>
      </c>
      <c r="AJ338" s="185">
        <v>1.9305887969142E-3</v>
      </c>
    </row>
    <row r="339" spans="1:36">
      <c r="A339" s="9">
        <v>337</v>
      </c>
      <c r="B339" s="9">
        <v>9963</v>
      </c>
      <c r="C339" s="9" t="s">
        <v>2293</v>
      </c>
      <c r="D339" s="9" t="s">
        <v>2294</v>
      </c>
      <c r="E339" s="5" t="s">
        <v>1346</v>
      </c>
      <c r="F339" s="9" t="s">
        <v>2295</v>
      </c>
      <c r="G339" s="9" t="s">
        <v>2296</v>
      </c>
      <c r="H339" s="9" t="s">
        <v>76</v>
      </c>
      <c r="I339" s="9" t="s">
        <v>228</v>
      </c>
      <c r="J339" s="9" t="s">
        <v>53</v>
      </c>
      <c r="K339" s="9" t="s">
        <v>53</v>
      </c>
      <c r="L339" s="9" t="s">
        <v>803</v>
      </c>
      <c r="M339" s="9" t="s">
        <v>311</v>
      </c>
      <c r="N339" s="9" t="s">
        <v>633</v>
      </c>
      <c r="O339" s="9" t="s">
        <v>62</v>
      </c>
      <c r="P339" s="167" t="s">
        <v>298</v>
      </c>
      <c r="Q339" s="9" t="s">
        <v>298</v>
      </c>
      <c r="R339" s="9" t="s">
        <v>298</v>
      </c>
      <c r="S339" s="9" t="s">
        <v>1259</v>
      </c>
      <c r="T339" s="170">
        <v>0.45500000000000002</v>
      </c>
      <c r="U339" s="9" t="s">
        <v>2297</v>
      </c>
      <c r="V339" s="199">
        <v>6.5000000000000002E-2</v>
      </c>
      <c r="W339" s="185">
        <v>7.2859999999999994E-2</v>
      </c>
      <c r="X339" s="5" t="s">
        <v>618</v>
      </c>
      <c r="Y339" s="5" t="s">
        <v>62</v>
      </c>
      <c r="Z339" s="170">
        <v>520603</v>
      </c>
      <c r="AA339" s="184">
        <v>1</v>
      </c>
      <c r="AB339" s="186">
        <v>100</v>
      </c>
      <c r="AC339" s="9"/>
      <c r="AD339" s="170">
        <v>520.60299999999995</v>
      </c>
      <c r="AE339" s="9"/>
      <c r="AF339" s="9"/>
      <c r="AG339" s="9" t="s">
        <v>17</v>
      </c>
      <c r="AH339" s="185">
        <v>9.4739999999999998E-3</v>
      </c>
      <c r="AI339" s="185">
        <v>2.7642917521012002E-3</v>
      </c>
      <c r="AJ339" s="185">
        <v>4.6790983214149099E-4</v>
      </c>
    </row>
    <row r="340" spans="1:36">
      <c r="A340" s="9">
        <v>337</v>
      </c>
      <c r="B340" s="9">
        <v>9963</v>
      </c>
      <c r="C340" s="9" t="s">
        <v>1862</v>
      </c>
      <c r="D340" s="9" t="s">
        <v>1863</v>
      </c>
      <c r="E340" s="5" t="s">
        <v>1346</v>
      </c>
      <c r="F340" s="9" t="s">
        <v>2298</v>
      </c>
      <c r="G340" s="9" t="s">
        <v>2299</v>
      </c>
      <c r="H340" s="9" t="s">
        <v>76</v>
      </c>
      <c r="I340" s="9" t="s">
        <v>228</v>
      </c>
      <c r="J340" s="9" t="s">
        <v>53</v>
      </c>
      <c r="K340" s="9" t="s">
        <v>314</v>
      </c>
      <c r="L340" s="9" t="s">
        <v>803</v>
      </c>
      <c r="M340" s="9" t="s">
        <v>311</v>
      </c>
      <c r="N340" s="9" t="s">
        <v>629</v>
      </c>
      <c r="O340" s="9" t="s">
        <v>62</v>
      </c>
      <c r="P340" s="9" t="s">
        <v>2225</v>
      </c>
      <c r="Q340" s="9" t="s">
        <v>70</v>
      </c>
      <c r="R340" s="9" t="s">
        <v>57</v>
      </c>
      <c r="S340" s="9" t="s">
        <v>1259</v>
      </c>
      <c r="T340" s="170">
        <v>1.01</v>
      </c>
      <c r="U340" s="9" t="s">
        <v>2300</v>
      </c>
      <c r="V340" s="199">
        <v>3.4500000000000003E-2</v>
      </c>
      <c r="W340" s="185">
        <v>4.7660000000000001E-2</v>
      </c>
      <c r="X340" s="5" t="s">
        <v>618</v>
      </c>
      <c r="Y340" s="5" t="s">
        <v>62</v>
      </c>
      <c r="Z340" s="170">
        <v>954265.2</v>
      </c>
      <c r="AA340" s="184">
        <v>1</v>
      </c>
      <c r="AB340" s="186">
        <v>99.89</v>
      </c>
      <c r="AC340" s="9"/>
      <c r="AD340" s="170">
        <v>953.21600000000001</v>
      </c>
      <c r="AE340" s="9"/>
      <c r="AF340" s="9"/>
      <c r="AG340" s="9" t="s">
        <v>17</v>
      </c>
      <c r="AH340" s="185">
        <v>1.485E-3</v>
      </c>
      <c r="AI340" s="185">
        <v>5.0613726150509197E-3</v>
      </c>
      <c r="AJ340" s="185">
        <v>8.5673518683903195E-4</v>
      </c>
    </row>
    <row r="341" spans="1:36">
      <c r="A341" s="9">
        <v>337</v>
      </c>
      <c r="B341" s="9">
        <v>9963</v>
      </c>
      <c r="C341" s="9" t="s">
        <v>1862</v>
      </c>
      <c r="D341" s="9" t="s">
        <v>1863</v>
      </c>
      <c r="E341" s="5" t="s">
        <v>1346</v>
      </c>
      <c r="F341" s="9" t="s">
        <v>2301</v>
      </c>
      <c r="G341" s="9" t="s">
        <v>2302</v>
      </c>
      <c r="H341" s="9" t="s">
        <v>76</v>
      </c>
      <c r="I341" s="9" t="s">
        <v>228</v>
      </c>
      <c r="J341" s="9" t="s">
        <v>53</v>
      </c>
      <c r="K341" s="9" t="s">
        <v>314</v>
      </c>
      <c r="L341" s="9" t="s">
        <v>803</v>
      </c>
      <c r="M341" s="9" t="s">
        <v>311</v>
      </c>
      <c r="N341" s="9" t="s">
        <v>629</v>
      </c>
      <c r="O341" s="9" t="s">
        <v>62</v>
      </c>
      <c r="P341" s="9" t="s">
        <v>2225</v>
      </c>
      <c r="Q341" s="9" t="s">
        <v>70</v>
      </c>
      <c r="R341" s="9" t="s">
        <v>57</v>
      </c>
      <c r="S341" s="9" t="s">
        <v>1259</v>
      </c>
      <c r="T341" s="170">
        <v>3.0470000000000002</v>
      </c>
      <c r="U341" s="9" t="s">
        <v>2303</v>
      </c>
      <c r="V341" s="199">
        <v>1.4999999999999999E-2</v>
      </c>
      <c r="W341" s="185">
        <v>5.0639999999999998E-2</v>
      </c>
      <c r="X341" s="5" t="s">
        <v>618</v>
      </c>
      <c r="Y341" s="5" t="s">
        <v>62</v>
      </c>
      <c r="Z341" s="170">
        <v>700000</v>
      </c>
      <c r="AA341" s="184">
        <v>1</v>
      </c>
      <c r="AB341" s="186">
        <v>90.42</v>
      </c>
      <c r="AC341" s="9"/>
      <c r="AD341" s="170">
        <v>632.94000000000005</v>
      </c>
      <c r="AE341" s="9"/>
      <c r="AF341" s="9"/>
      <c r="AG341" s="9" t="s">
        <v>17</v>
      </c>
      <c r="AH341" s="185">
        <v>5.9500000000000004E-4</v>
      </c>
      <c r="AI341" s="185">
        <v>3.3607774476423101E-3</v>
      </c>
      <c r="AJ341" s="185">
        <v>5.68876570353292E-4</v>
      </c>
    </row>
    <row r="342" spans="1:36">
      <c r="A342" s="9">
        <v>337</v>
      </c>
      <c r="B342" s="9">
        <v>9963</v>
      </c>
      <c r="C342" s="9" t="s">
        <v>1870</v>
      </c>
      <c r="D342" s="9" t="s">
        <v>1871</v>
      </c>
      <c r="E342" s="5" t="s">
        <v>1346</v>
      </c>
      <c r="F342" s="9" t="s">
        <v>2304</v>
      </c>
      <c r="G342" s="9" t="s">
        <v>2305</v>
      </c>
      <c r="H342" s="9" t="s">
        <v>76</v>
      </c>
      <c r="I342" s="9" t="s">
        <v>228</v>
      </c>
      <c r="J342" s="9" t="s">
        <v>53</v>
      </c>
      <c r="K342" s="9" t="s">
        <v>53</v>
      </c>
      <c r="L342" s="9" t="s">
        <v>803</v>
      </c>
      <c r="M342" s="9" t="s">
        <v>311</v>
      </c>
      <c r="N342" s="9" t="s">
        <v>629</v>
      </c>
      <c r="O342" s="9" t="s">
        <v>62</v>
      </c>
      <c r="P342" s="9" t="s">
        <v>1614</v>
      </c>
      <c r="Q342" s="9" t="s">
        <v>65</v>
      </c>
      <c r="R342" s="9" t="s">
        <v>57</v>
      </c>
      <c r="S342" s="9" t="s">
        <v>1259</v>
      </c>
      <c r="T342" s="170">
        <v>2.415</v>
      </c>
      <c r="U342" s="9" t="s">
        <v>2306</v>
      </c>
      <c r="V342" s="199">
        <v>2.0500000000000001E-2</v>
      </c>
      <c r="W342" s="185">
        <v>5.0180000000000002E-2</v>
      </c>
      <c r="X342" s="5" t="s">
        <v>618</v>
      </c>
      <c r="Y342" s="5" t="s">
        <v>62</v>
      </c>
      <c r="Z342" s="170">
        <v>1500000</v>
      </c>
      <c r="AA342" s="184">
        <v>1</v>
      </c>
      <c r="AB342" s="186">
        <v>94.03</v>
      </c>
      <c r="AC342" s="9"/>
      <c r="AD342" s="170">
        <v>1410.45</v>
      </c>
      <c r="AE342" s="9"/>
      <c r="AF342" s="9"/>
      <c r="AG342" s="9" t="s">
        <v>17</v>
      </c>
      <c r="AH342" s="185">
        <v>1.5640000000000001E-3</v>
      </c>
      <c r="AI342" s="185">
        <v>7.4891909991896596E-3</v>
      </c>
      <c r="AJ342" s="185">
        <v>1.26769039506873E-3</v>
      </c>
    </row>
    <row r="343" spans="1:36">
      <c r="A343" s="9">
        <v>337</v>
      </c>
      <c r="B343" s="9">
        <v>9963</v>
      </c>
      <c r="C343" s="9" t="s">
        <v>1870</v>
      </c>
      <c r="D343" s="9" t="s">
        <v>1871</v>
      </c>
      <c r="E343" s="5" t="s">
        <v>1346</v>
      </c>
      <c r="F343" s="9" t="s">
        <v>2307</v>
      </c>
      <c r="G343" s="9" t="s">
        <v>2308</v>
      </c>
      <c r="H343" s="9" t="s">
        <v>76</v>
      </c>
      <c r="I343" s="9" t="s">
        <v>605</v>
      </c>
      <c r="J343" s="9" t="s">
        <v>53</v>
      </c>
      <c r="K343" s="9" t="s">
        <v>53</v>
      </c>
      <c r="L343" s="9" t="s">
        <v>803</v>
      </c>
      <c r="M343" s="9" t="s">
        <v>311</v>
      </c>
      <c r="N343" s="9" t="s">
        <v>629</v>
      </c>
      <c r="O343" s="9" t="s">
        <v>62</v>
      </c>
      <c r="P343" s="9" t="s">
        <v>1614</v>
      </c>
      <c r="Q343" s="9" t="s">
        <v>65</v>
      </c>
      <c r="R343" s="9" t="s">
        <v>57</v>
      </c>
      <c r="S343" s="9" t="s">
        <v>1259</v>
      </c>
      <c r="T343" s="170">
        <v>2.0760000000000001</v>
      </c>
      <c r="U343" s="9" t="s">
        <v>2309</v>
      </c>
      <c r="V343" s="199">
        <v>1.25E-3</v>
      </c>
      <c r="W343" s="185">
        <v>4.8520000000000001E-2</v>
      </c>
      <c r="X343" s="5" t="s">
        <v>618</v>
      </c>
      <c r="Y343" s="5" t="s">
        <v>62</v>
      </c>
      <c r="Z343" s="170">
        <v>528000</v>
      </c>
      <c r="AA343" s="184">
        <v>1</v>
      </c>
      <c r="AB343" s="186">
        <v>91.2</v>
      </c>
      <c r="AC343" s="9"/>
      <c r="AD343" s="170">
        <v>481.536</v>
      </c>
      <c r="AE343" s="9"/>
      <c r="AF343" s="9"/>
      <c r="AG343" s="9" t="s">
        <v>17</v>
      </c>
      <c r="AH343" s="185">
        <v>9.3199999999999999E-4</v>
      </c>
      <c r="AI343" s="185">
        <v>2.5568542500519599E-3</v>
      </c>
      <c r="AJ343" s="185">
        <v>4.3279702370152502E-4</v>
      </c>
    </row>
    <row r="344" spans="1:36">
      <c r="A344" s="9">
        <v>337</v>
      </c>
      <c r="B344" s="9">
        <v>9963</v>
      </c>
      <c r="C344" s="9" t="s">
        <v>2310</v>
      </c>
      <c r="D344" s="9" t="s">
        <v>2311</v>
      </c>
      <c r="E344" s="5" t="s">
        <v>1346</v>
      </c>
      <c r="F344" s="9" t="s">
        <v>2312</v>
      </c>
      <c r="G344" s="9" t="s">
        <v>2313</v>
      </c>
      <c r="H344" s="9" t="s">
        <v>76</v>
      </c>
      <c r="I344" s="9" t="s">
        <v>229</v>
      </c>
      <c r="J344" s="9" t="s">
        <v>53</v>
      </c>
      <c r="K344" s="9" t="s">
        <v>53</v>
      </c>
      <c r="L344" s="9" t="s">
        <v>803</v>
      </c>
      <c r="M344" s="9" t="s">
        <v>311</v>
      </c>
      <c r="N344" s="9" t="s">
        <v>631</v>
      </c>
      <c r="O344" s="9" t="s">
        <v>62</v>
      </c>
      <c r="P344" s="9" t="s">
        <v>2314</v>
      </c>
      <c r="Q344" s="9" t="s">
        <v>70</v>
      </c>
      <c r="R344" s="9" t="s">
        <v>57</v>
      </c>
      <c r="S344" s="9" t="s">
        <v>1259</v>
      </c>
      <c r="T344" s="170">
        <v>1.2310000000000001</v>
      </c>
      <c r="U344" s="9" t="s">
        <v>1615</v>
      </c>
      <c r="V344" s="199">
        <v>1.2500000000000001E-2</v>
      </c>
      <c r="W344" s="185">
        <v>3.8019999999999998E-2</v>
      </c>
      <c r="X344" s="5" t="s">
        <v>618</v>
      </c>
      <c r="Y344" s="5" t="s">
        <v>62</v>
      </c>
      <c r="Z344" s="170">
        <v>0.62</v>
      </c>
      <c r="AA344" s="184">
        <v>1</v>
      </c>
      <c r="AB344" s="186">
        <v>107.48</v>
      </c>
      <c r="AC344" s="9"/>
      <c r="AD344" s="170">
        <v>1E-3</v>
      </c>
      <c r="AE344" s="9"/>
      <c r="AF344" s="9"/>
      <c r="AG344" s="9" t="s">
        <v>17</v>
      </c>
      <c r="AH344" s="185">
        <v>0</v>
      </c>
      <c r="AI344" s="185">
        <v>3.5383155314091303E-9</v>
      </c>
      <c r="AJ344" s="185">
        <v>5.9892832408403003E-10</v>
      </c>
    </row>
    <row r="345" spans="1:36">
      <c r="A345" s="9">
        <v>337</v>
      </c>
      <c r="B345" s="9">
        <v>9963</v>
      </c>
      <c r="C345" s="9" t="s">
        <v>2315</v>
      </c>
      <c r="D345" s="9" t="s">
        <v>2316</v>
      </c>
      <c r="E345" s="5" t="s">
        <v>1346</v>
      </c>
      <c r="F345" s="9" t="s">
        <v>2317</v>
      </c>
      <c r="G345" s="9" t="s">
        <v>2318</v>
      </c>
      <c r="H345" s="9" t="s">
        <v>76</v>
      </c>
      <c r="I345" s="9" t="s">
        <v>229</v>
      </c>
      <c r="J345" s="9" t="s">
        <v>53</v>
      </c>
      <c r="K345" s="9" t="s">
        <v>53</v>
      </c>
      <c r="L345" s="9" t="s">
        <v>803</v>
      </c>
      <c r="M345" s="9" t="s">
        <v>311</v>
      </c>
      <c r="N345" s="9" t="s">
        <v>634</v>
      </c>
      <c r="O345" s="9" t="s">
        <v>62</v>
      </c>
      <c r="P345" s="9" t="s">
        <v>1607</v>
      </c>
      <c r="Q345" s="9" t="s">
        <v>65</v>
      </c>
      <c r="R345" s="9" t="s">
        <v>57</v>
      </c>
      <c r="S345" s="9" t="s">
        <v>1259</v>
      </c>
      <c r="T345" s="170">
        <v>3.4340000000000002</v>
      </c>
      <c r="U345" s="9" t="s">
        <v>2273</v>
      </c>
      <c r="V345" s="199">
        <v>1.09E-2</v>
      </c>
      <c r="W345" s="185">
        <v>3.0700000000000002E-2</v>
      </c>
      <c r="X345" s="5" t="s">
        <v>618</v>
      </c>
      <c r="Y345" s="5" t="s">
        <v>62</v>
      </c>
      <c r="Z345" s="170">
        <v>1018000</v>
      </c>
      <c r="AA345" s="184">
        <v>1</v>
      </c>
      <c r="AB345" s="186">
        <v>107.99</v>
      </c>
      <c r="AC345" s="9"/>
      <c r="AD345" s="170">
        <v>1099.338</v>
      </c>
      <c r="AE345" s="9"/>
      <c r="AF345" s="9"/>
      <c r="AG345" s="9" t="s">
        <v>17</v>
      </c>
      <c r="AH345" s="185">
        <v>1.4300000000000001E-3</v>
      </c>
      <c r="AI345" s="185">
        <v>5.8372531833849901E-3</v>
      </c>
      <c r="AJ345" s="185">
        <v>9.8806797622896596E-4</v>
      </c>
    </row>
    <row r="346" spans="1:36">
      <c r="A346" s="9">
        <v>337</v>
      </c>
      <c r="B346" s="9">
        <v>9963</v>
      </c>
      <c r="C346" s="9" t="s">
        <v>2315</v>
      </c>
      <c r="D346" s="9" t="s">
        <v>2316</v>
      </c>
      <c r="E346" s="5" t="s">
        <v>1346</v>
      </c>
      <c r="F346" s="9" t="s">
        <v>2319</v>
      </c>
      <c r="G346" s="9" t="s">
        <v>2320</v>
      </c>
      <c r="H346" s="9" t="s">
        <v>76</v>
      </c>
      <c r="I346" s="9" t="s">
        <v>229</v>
      </c>
      <c r="J346" s="9" t="s">
        <v>53</v>
      </c>
      <c r="K346" s="9" t="s">
        <v>53</v>
      </c>
      <c r="L346" s="9" t="s">
        <v>803</v>
      </c>
      <c r="M346" s="9" t="s">
        <v>1691</v>
      </c>
      <c r="N346" s="9" t="s">
        <v>634</v>
      </c>
      <c r="O346" s="9" t="s">
        <v>62</v>
      </c>
      <c r="P346" s="9" t="s">
        <v>1607</v>
      </c>
      <c r="Q346" s="9" t="s">
        <v>65</v>
      </c>
      <c r="R346" s="9" t="s">
        <v>57</v>
      </c>
      <c r="S346" s="9" t="s">
        <v>1259</v>
      </c>
      <c r="T346" s="170">
        <v>6.5960000000000001</v>
      </c>
      <c r="U346" s="9" t="s">
        <v>2321</v>
      </c>
      <c r="V346" s="199">
        <v>4.02E-2</v>
      </c>
      <c r="W346" s="185">
        <v>3.245E-2</v>
      </c>
      <c r="X346" s="5" t="s">
        <v>618</v>
      </c>
      <c r="Y346" s="5" t="s">
        <v>62</v>
      </c>
      <c r="Z346" s="170">
        <v>1493000</v>
      </c>
      <c r="AA346" s="184">
        <v>1</v>
      </c>
      <c r="AB346" s="186">
        <v>108.93</v>
      </c>
      <c r="AC346" s="9"/>
      <c r="AD346" s="170">
        <v>1626.325</v>
      </c>
      <c r="AE346" s="9"/>
      <c r="AF346" s="9"/>
      <c r="AG346" s="9" t="s">
        <v>17</v>
      </c>
      <c r="AH346" s="185">
        <v>1.851E-3</v>
      </c>
      <c r="AI346" s="185">
        <v>8.6354410314708197E-3</v>
      </c>
      <c r="AJ346" s="185">
        <v>1.4617153780645299E-3</v>
      </c>
    </row>
    <row r="347" spans="1:36">
      <c r="A347" s="9">
        <v>337</v>
      </c>
      <c r="B347" s="9">
        <v>9963</v>
      </c>
      <c r="C347" s="9" t="s">
        <v>2322</v>
      </c>
      <c r="D347" s="9" t="s">
        <v>2323</v>
      </c>
      <c r="E347" s="5" t="s">
        <v>1346</v>
      </c>
      <c r="F347" s="9" t="s">
        <v>2324</v>
      </c>
      <c r="G347" s="9" t="s">
        <v>2325</v>
      </c>
      <c r="H347" s="9" t="s">
        <v>76</v>
      </c>
      <c r="I347" s="9" t="s">
        <v>228</v>
      </c>
      <c r="J347" s="9" t="s">
        <v>53</v>
      </c>
      <c r="K347" s="9" t="s">
        <v>53</v>
      </c>
      <c r="L347" s="9" t="s">
        <v>803</v>
      </c>
      <c r="M347" s="9" t="s">
        <v>311</v>
      </c>
      <c r="N347" s="9" t="s">
        <v>140</v>
      </c>
      <c r="O347" s="9" t="s">
        <v>62</v>
      </c>
      <c r="P347" s="167" t="s">
        <v>298</v>
      </c>
      <c r="Q347" s="9" t="s">
        <v>298</v>
      </c>
      <c r="R347" s="9" t="s">
        <v>298</v>
      </c>
      <c r="S347" s="9" t="s">
        <v>1259</v>
      </c>
      <c r="T347" s="170">
        <v>1.4359999999999999</v>
      </c>
      <c r="U347" s="9" t="s">
        <v>1615</v>
      </c>
      <c r="V347" s="199">
        <v>8.5000000000000006E-2</v>
      </c>
      <c r="W347" s="185">
        <v>5.4870000000000002E-2</v>
      </c>
      <c r="X347" s="5" t="s">
        <v>618</v>
      </c>
      <c r="Y347" s="5" t="s">
        <v>62</v>
      </c>
      <c r="Z347" s="170">
        <v>627000</v>
      </c>
      <c r="AA347" s="184">
        <v>1</v>
      </c>
      <c r="AB347" s="186">
        <v>104.4</v>
      </c>
      <c r="AC347" s="9"/>
      <c r="AD347" s="170">
        <v>654.58799999999997</v>
      </c>
      <c r="AE347" s="9"/>
      <c r="AF347" s="9"/>
      <c r="AG347" s="9" t="s">
        <v>17</v>
      </c>
      <c r="AH347" s="185">
        <v>4.823E-3</v>
      </c>
      <c r="AI347" s="185">
        <v>3.4757237461643898E-3</v>
      </c>
      <c r="AJ347" s="185">
        <v>5.8833345409426004E-4</v>
      </c>
    </row>
    <row r="348" spans="1:36">
      <c r="A348" s="9">
        <v>337</v>
      </c>
      <c r="B348" s="9">
        <v>9963</v>
      </c>
      <c r="C348" s="9" t="s">
        <v>2326</v>
      </c>
      <c r="D348" s="9" t="s">
        <v>2327</v>
      </c>
      <c r="E348" s="5" t="s">
        <v>1346</v>
      </c>
      <c r="F348" s="9" t="s">
        <v>2328</v>
      </c>
      <c r="G348" s="9" t="s">
        <v>2329</v>
      </c>
      <c r="H348" s="9" t="s">
        <v>76</v>
      </c>
      <c r="I348" s="9" t="s">
        <v>229</v>
      </c>
      <c r="J348" s="9" t="s">
        <v>53</v>
      </c>
      <c r="K348" s="9" t="s">
        <v>53</v>
      </c>
      <c r="L348" s="9" t="s">
        <v>803</v>
      </c>
      <c r="M348" s="9" t="s">
        <v>311</v>
      </c>
      <c r="N348" s="9" t="s">
        <v>690</v>
      </c>
      <c r="O348" s="9" t="s">
        <v>62</v>
      </c>
      <c r="P348" s="9" t="s">
        <v>2330</v>
      </c>
      <c r="Q348" s="9" t="s">
        <v>65</v>
      </c>
      <c r="R348" s="9" t="s">
        <v>57</v>
      </c>
      <c r="S348" s="9" t="s">
        <v>1259</v>
      </c>
      <c r="T348" s="170">
        <v>2.2010000000000001</v>
      </c>
      <c r="U348" s="9" t="s">
        <v>2331</v>
      </c>
      <c r="V348" s="199">
        <v>2.8799999999999999E-2</v>
      </c>
      <c r="W348" s="185">
        <v>3.0429999999999999E-2</v>
      </c>
      <c r="X348" s="5" t="s">
        <v>618</v>
      </c>
      <c r="Y348" s="5" t="s">
        <v>62</v>
      </c>
      <c r="Z348" s="170">
        <v>37311.56</v>
      </c>
      <c r="AA348" s="184">
        <v>1</v>
      </c>
      <c r="AB348" s="186">
        <v>117.53</v>
      </c>
      <c r="AC348" s="9"/>
      <c r="AD348" s="170">
        <v>43.851999999999997</v>
      </c>
      <c r="AE348" s="9"/>
      <c r="AF348" s="9"/>
      <c r="AG348" s="9" t="s">
        <v>17</v>
      </c>
      <c r="AH348" s="185">
        <v>1.64E-4</v>
      </c>
      <c r="AI348" s="185">
        <v>2.3284630736156701E-4</v>
      </c>
      <c r="AJ348" s="185">
        <v>3.9413740069043202E-5</v>
      </c>
    </row>
    <row r="349" spans="1:36">
      <c r="A349" s="9">
        <v>337</v>
      </c>
      <c r="B349" s="9">
        <v>9963</v>
      </c>
      <c r="C349" s="9" t="s">
        <v>2332</v>
      </c>
      <c r="D349" s="9" t="s">
        <v>2333</v>
      </c>
      <c r="E349" s="5" t="s">
        <v>1346</v>
      </c>
      <c r="F349" s="9" t="s">
        <v>2334</v>
      </c>
      <c r="G349" s="9" t="s">
        <v>2335</v>
      </c>
      <c r="H349" s="9" t="s">
        <v>76</v>
      </c>
      <c r="I349" s="9" t="s">
        <v>228</v>
      </c>
      <c r="J349" s="9" t="s">
        <v>53</v>
      </c>
      <c r="K349" s="9" t="s">
        <v>53</v>
      </c>
      <c r="L349" s="9" t="s">
        <v>803</v>
      </c>
      <c r="M349" s="9" t="s">
        <v>311</v>
      </c>
      <c r="N349" s="9" t="s">
        <v>690</v>
      </c>
      <c r="O349" s="9" t="s">
        <v>62</v>
      </c>
      <c r="P349" s="9" t="s">
        <v>2246</v>
      </c>
      <c r="Q349" s="9" t="s">
        <v>65</v>
      </c>
      <c r="R349" s="9" t="s">
        <v>57</v>
      </c>
      <c r="S349" s="9" t="s">
        <v>1259</v>
      </c>
      <c r="T349" s="170">
        <v>5.8239999999999998</v>
      </c>
      <c r="U349" s="9" t="s">
        <v>2336</v>
      </c>
      <c r="V349" s="199">
        <v>5.3100000000000001E-2</v>
      </c>
      <c r="W349" s="185">
        <v>4.8070000000000002E-2</v>
      </c>
      <c r="X349" s="5" t="s">
        <v>618</v>
      </c>
      <c r="Y349" s="5" t="s">
        <v>62</v>
      </c>
      <c r="Z349" s="170">
        <v>622000</v>
      </c>
      <c r="AA349" s="184">
        <v>1</v>
      </c>
      <c r="AB349" s="186">
        <v>105.58</v>
      </c>
      <c r="AC349" s="9"/>
      <c r="AD349" s="170">
        <v>656.70799999999997</v>
      </c>
      <c r="AE349" s="9"/>
      <c r="AF349" s="9"/>
      <c r="AG349" s="9" t="s">
        <v>17</v>
      </c>
      <c r="AH349" s="185">
        <v>1.9550000000000001E-3</v>
      </c>
      <c r="AI349" s="185">
        <v>3.4869783735825E-3</v>
      </c>
      <c r="AJ349" s="185">
        <v>5.9023851741546104E-4</v>
      </c>
    </row>
    <row r="350" spans="1:36">
      <c r="A350" s="9">
        <v>337</v>
      </c>
      <c r="B350" s="9">
        <v>9963</v>
      </c>
      <c r="C350" s="9" t="s">
        <v>2248</v>
      </c>
      <c r="D350" s="9" t="s">
        <v>2249</v>
      </c>
      <c r="E350" s="5" t="s">
        <v>1346</v>
      </c>
      <c r="F350" s="9" t="s">
        <v>2347</v>
      </c>
      <c r="G350" s="9" t="s">
        <v>2348</v>
      </c>
      <c r="H350" s="9" t="s">
        <v>76</v>
      </c>
      <c r="I350" s="9" t="s">
        <v>229</v>
      </c>
      <c r="J350" s="9" t="s">
        <v>53</v>
      </c>
      <c r="K350" s="9" t="s">
        <v>53</v>
      </c>
      <c r="L350" s="9" t="s">
        <v>803</v>
      </c>
      <c r="M350" s="9" t="s">
        <v>311</v>
      </c>
      <c r="N350" s="9" t="s">
        <v>633</v>
      </c>
      <c r="O350" s="9" t="s">
        <v>62</v>
      </c>
      <c r="P350" s="9" t="s">
        <v>2246</v>
      </c>
      <c r="Q350" s="9" t="s">
        <v>65</v>
      </c>
      <c r="R350" s="9" t="s">
        <v>57</v>
      </c>
      <c r="S350" s="9" t="s">
        <v>1259</v>
      </c>
      <c r="T350" s="170">
        <v>4.6710000000000003</v>
      </c>
      <c r="U350" s="9" t="s">
        <v>2349</v>
      </c>
      <c r="V350" s="199">
        <v>6.4999999999999997E-3</v>
      </c>
      <c r="W350" s="185">
        <v>2.8320000000000001E-2</v>
      </c>
      <c r="X350" s="5" t="s">
        <v>618</v>
      </c>
      <c r="Y350" s="5" t="s">
        <v>62</v>
      </c>
      <c r="Z350" s="170">
        <v>1493143.18</v>
      </c>
      <c r="AA350" s="184">
        <v>1</v>
      </c>
      <c r="AB350" s="186">
        <v>105.26</v>
      </c>
      <c r="AC350" s="9"/>
      <c r="AD350" s="170">
        <v>1571.683</v>
      </c>
      <c r="AE350" s="9"/>
      <c r="AF350" s="9"/>
      <c r="AG350" s="9" t="s">
        <v>17</v>
      </c>
      <c r="AH350" s="185">
        <v>6.6100000000000002E-4</v>
      </c>
      <c r="AI350" s="185">
        <v>8.3453015115545395E-3</v>
      </c>
      <c r="AJ350" s="185">
        <v>1.41260365389198E-3</v>
      </c>
    </row>
    <row r="351" spans="1:36">
      <c r="A351" s="9">
        <v>337</v>
      </c>
      <c r="B351" s="9">
        <v>9963</v>
      </c>
      <c r="C351" s="9" t="s">
        <v>2248</v>
      </c>
      <c r="D351" s="9" t="s">
        <v>2249</v>
      </c>
      <c r="E351" s="5" t="s">
        <v>1346</v>
      </c>
      <c r="F351" s="9" t="s">
        <v>2350</v>
      </c>
      <c r="G351" s="9" t="s">
        <v>2351</v>
      </c>
      <c r="H351" s="9" t="s">
        <v>76</v>
      </c>
      <c r="I351" s="9" t="s">
        <v>229</v>
      </c>
      <c r="J351" s="9" t="s">
        <v>53</v>
      </c>
      <c r="K351" s="9" t="s">
        <v>53</v>
      </c>
      <c r="L351" s="9" t="s">
        <v>803</v>
      </c>
      <c r="M351" s="9" t="s">
        <v>1691</v>
      </c>
      <c r="N351" s="9" t="s">
        <v>633</v>
      </c>
      <c r="O351" s="9" t="s">
        <v>62</v>
      </c>
      <c r="P351" s="9" t="s">
        <v>2246</v>
      </c>
      <c r="Q351" s="9" t="s">
        <v>65</v>
      </c>
      <c r="R351" s="9" t="s">
        <v>57</v>
      </c>
      <c r="S351" s="9" t="s">
        <v>1259</v>
      </c>
      <c r="T351" s="170">
        <v>7.21</v>
      </c>
      <c r="U351" s="9" t="s">
        <v>2352</v>
      </c>
      <c r="V351" s="199">
        <v>3.5999999999999997E-2</v>
      </c>
      <c r="W351" s="185">
        <v>3.048E-2</v>
      </c>
      <c r="X351" s="5" t="s">
        <v>618</v>
      </c>
      <c r="Y351" s="5" t="s">
        <v>62</v>
      </c>
      <c r="Z351" s="170">
        <v>2000000</v>
      </c>
      <c r="AA351" s="184">
        <v>1</v>
      </c>
      <c r="AB351" s="186">
        <v>106.32</v>
      </c>
      <c r="AC351" s="9"/>
      <c r="AD351" s="170">
        <v>2126.4</v>
      </c>
      <c r="AE351" s="9"/>
      <c r="AF351" s="9"/>
      <c r="AG351" s="9" t="s">
        <v>17</v>
      </c>
      <c r="AH351" s="185">
        <v>2.7369999999999998E-3</v>
      </c>
      <c r="AI351" s="185">
        <v>1.1290733978997399E-2</v>
      </c>
      <c r="AJ351" s="185">
        <v>1.9111750548223201E-3</v>
      </c>
    </row>
    <row r="352" spans="1:36">
      <c r="A352" s="9">
        <v>337</v>
      </c>
      <c r="B352" s="9">
        <v>9963</v>
      </c>
      <c r="C352" s="9" t="s">
        <v>2353</v>
      </c>
      <c r="D352" s="9" t="s">
        <v>2354</v>
      </c>
      <c r="E352" s="5" t="s">
        <v>1346</v>
      </c>
      <c r="F352" s="9" t="s">
        <v>2355</v>
      </c>
      <c r="G352" s="9" t="s">
        <v>2356</v>
      </c>
      <c r="H352" s="9" t="s">
        <v>76</v>
      </c>
      <c r="I352" s="9" t="s">
        <v>229</v>
      </c>
      <c r="J352" s="9" t="s">
        <v>53</v>
      </c>
      <c r="K352" s="9" t="s">
        <v>53</v>
      </c>
      <c r="L352" s="9" t="s">
        <v>803</v>
      </c>
      <c r="M352" s="9" t="s">
        <v>311</v>
      </c>
      <c r="N352" s="9" t="s">
        <v>633</v>
      </c>
      <c r="O352" s="9" t="s">
        <v>62</v>
      </c>
      <c r="P352" s="9" t="s">
        <v>1614</v>
      </c>
      <c r="Q352" s="9" t="s">
        <v>65</v>
      </c>
      <c r="R352" s="9" t="s">
        <v>57</v>
      </c>
      <c r="S352" s="9" t="s">
        <v>1259</v>
      </c>
      <c r="T352" s="170">
        <v>5.5640000000000001</v>
      </c>
      <c r="U352" s="9" t="s">
        <v>2357</v>
      </c>
      <c r="V352" s="199">
        <v>3.6799999999999999E-2</v>
      </c>
      <c r="W352" s="185">
        <v>3.3189999999999997E-2</v>
      </c>
      <c r="X352" s="5" t="s">
        <v>618</v>
      </c>
      <c r="Y352" s="5" t="s">
        <v>62</v>
      </c>
      <c r="Z352" s="170">
        <v>2000000</v>
      </c>
      <c r="AA352" s="184">
        <v>1</v>
      </c>
      <c r="AB352" s="186">
        <v>107.29</v>
      </c>
      <c r="AC352" s="9"/>
      <c r="AD352" s="170">
        <v>2145.8000000000002</v>
      </c>
      <c r="AE352" s="9"/>
      <c r="AF352" s="9"/>
      <c r="AG352" s="9" t="s">
        <v>17</v>
      </c>
      <c r="AH352" s="185">
        <v>4.5079999999999999E-3</v>
      </c>
      <c r="AI352" s="185">
        <v>1.1393743873275301E-2</v>
      </c>
      <c r="AJ352" s="185">
        <v>1.92861147133077E-3</v>
      </c>
    </row>
    <row r="353" spans="1:36">
      <c r="A353" s="9">
        <v>337</v>
      </c>
      <c r="B353" s="9">
        <v>9963</v>
      </c>
      <c r="C353" s="9" t="s">
        <v>1885</v>
      </c>
      <c r="D353" s="9" t="s">
        <v>1886</v>
      </c>
      <c r="E353" s="5" t="s">
        <v>1346</v>
      </c>
      <c r="F353" s="9" t="s">
        <v>2361</v>
      </c>
      <c r="G353" s="9" t="s">
        <v>2362</v>
      </c>
      <c r="H353" s="9" t="s">
        <v>76</v>
      </c>
      <c r="I353" s="9" t="s">
        <v>228</v>
      </c>
      <c r="J353" s="9" t="s">
        <v>53</v>
      </c>
      <c r="K353" s="9" t="s">
        <v>53</v>
      </c>
      <c r="L353" s="9" t="s">
        <v>803</v>
      </c>
      <c r="M353" s="9" t="s">
        <v>311</v>
      </c>
      <c r="N353" s="9" t="s">
        <v>260</v>
      </c>
      <c r="O353" s="9" t="s">
        <v>62</v>
      </c>
      <c r="P353" s="9" t="s">
        <v>2246</v>
      </c>
      <c r="Q353" s="9" t="s">
        <v>65</v>
      </c>
      <c r="R353" s="9" t="s">
        <v>57</v>
      </c>
      <c r="S353" s="9" t="s">
        <v>1259</v>
      </c>
      <c r="T353" s="170">
        <v>7.4169999999999998</v>
      </c>
      <c r="U353" s="9" t="s">
        <v>2363</v>
      </c>
      <c r="V353" s="199">
        <v>2.7900000000000001E-2</v>
      </c>
      <c r="W353" s="185">
        <v>4.7230000000000001E-2</v>
      </c>
      <c r="X353" s="5" t="s">
        <v>618</v>
      </c>
      <c r="Y353" s="5" t="s">
        <v>62</v>
      </c>
      <c r="Z353" s="170">
        <v>2000000</v>
      </c>
      <c r="AA353" s="184">
        <v>1</v>
      </c>
      <c r="AB353" s="186">
        <v>87.32</v>
      </c>
      <c r="AC353" s="9"/>
      <c r="AD353" s="170">
        <v>1746.4</v>
      </c>
      <c r="AE353" s="9"/>
      <c r="AF353" s="9"/>
      <c r="AG353" s="9" t="s">
        <v>17</v>
      </c>
      <c r="AH353" s="185">
        <v>1.426E-3</v>
      </c>
      <c r="AI353" s="185">
        <v>9.2730144003579096E-3</v>
      </c>
      <c r="AJ353" s="185">
        <v>1.56963699950231E-3</v>
      </c>
    </row>
    <row r="354" spans="1:36">
      <c r="A354" s="9">
        <v>337</v>
      </c>
      <c r="B354" s="9">
        <v>9963</v>
      </c>
      <c r="C354" s="9" t="s">
        <v>1687</v>
      </c>
      <c r="D354" s="9" t="s">
        <v>1688</v>
      </c>
      <c r="E354" s="5" t="s">
        <v>1346</v>
      </c>
      <c r="F354" s="9" t="s">
        <v>2364</v>
      </c>
      <c r="G354" s="9" t="s">
        <v>2365</v>
      </c>
      <c r="H354" s="9" t="s">
        <v>76</v>
      </c>
      <c r="I354" s="9" t="s">
        <v>229</v>
      </c>
      <c r="J354" s="9" t="s">
        <v>53</v>
      </c>
      <c r="K354" s="9" t="s">
        <v>53</v>
      </c>
      <c r="L354" s="9" t="s">
        <v>803</v>
      </c>
      <c r="M354" s="9" t="s">
        <v>311</v>
      </c>
      <c r="N354" s="9" t="s">
        <v>633</v>
      </c>
      <c r="O354" s="9" t="s">
        <v>62</v>
      </c>
      <c r="P354" s="9" t="s">
        <v>2239</v>
      </c>
      <c r="Q354" s="9" t="s">
        <v>65</v>
      </c>
      <c r="R354" s="9" t="s">
        <v>57</v>
      </c>
      <c r="S354" s="9" t="s">
        <v>1259</v>
      </c>
      <c r="T354" s="170">
        <v>4.93</v>
      </c>
      <c r="U354" s="9" t="s">
        <v>2366</v>
      </c>
      <c r="V354" s="199">
        <v>1.8700000000000001E-2</v>
      </c>
      <c r="W354" s="185">
        <v>2.9700000000000001E-2</v>
      </c>
      <c r="X354" s="5" t="s">
        <v>618</v>
      </c>
      <c r="Y354" s="5" t="s">
        <v>62</v>
      </c>
      <c r="Z354" s="170">
        <v>5145000</v>
      </c>
      <c r="AA354" s="184">
        <v>1</v>
      </c>
      <c r="AB354" s="186">
        <v>106.87</v>
      </c>
      <c r="AC354" s="9"/>
      <c r="AD354" s="170">
        <v>5498.4620000000004</v>
      </c>
      <c r="AE354" s="9"/>
      <c r="AF354" s="9"/>
      <c r="AG354" s="9" t="s">
        <v>17</v>
      </c>
      <c r="AH354" s="185">
        <v>5.2659999999999998E-3</v>
      </c>
      <c r="AI354" s="185">
        <v>2.9195666897224901E-2</v>
      </c>
      <c r="AJ354" s="185">
        <v>4.9419311788473199E-3</v>
      </c>
    </row>
    <row r="355" spans="1:36">
      <c r="A355" s="9">
        <v>337</v>
      </c>
      <c r="B355" s="9">
        <v>9963</v>
      </c>
      <c r="C355" s="9" t="s">
        <v>2367</v>
      </c>
      <c r="D355" s="9" t="s">
        <v>2368</v>
      </c>
      <c r="E355" s="5" t="s">
        <v>1346</v>
      </c>
      <c r="F355" s="9" t="s">
        <v>2369</v>
      </c>
      <c r="G355" s="9" t="s">
        <v>2370</v>
      </c>
      <c r="H355" s="9" t="s">
        <v>76</v>
      </c>
      <c r="I355" s="9" t="s">
        <v>229</v>
      </c>
      <c r="J355" s="9" t="s">
        <v>53</v>
      </c>
      <c r="K355" s="9" t="s">
        <v>53</v>
      </c>
      <c r="L355" s="9" t="s">
        <v>803</v>
      </c>
      <c r="M355" s="9" t="s">
        <v>311</v>
      </c>
      <c r="N355" s="9" t="s">
        <v>256</v>
      </c>
      <c r="O355" s="9" t="s">
        <v>62</v>
      </c>
      <c r="P355" s="9" t="s">
        <v>2239</v>
      </c>
      <c r="Q355" s="9" t="s">
        <v>65</v>
      </c>
      <c r="R355" s="9" t="s">
        <v>57</v>
      </c>
      <c r="S355" s="9" t="s">
        <v>1259</v>
      </c>
      <c r="T355" s="170">
        <v>2.7149999999999999</v>
      </c>
      <c r="U355" s="9" t="s">
        <v>2371</v>
      </c>
      <c r="V355" s="199">
        <v>1.09E-2</v>
      </c>
      <c r="W355" s="185">
        <v>2.8570000000000002E-2</v>
      </c>
      <c r="X355" s="5" t="s">
        <v>618</v>
      </c>
      <c r="Y355" s="5" t="s">
        <v>62</v>
      </c>
      <c r="Z355" s="170">
        <v>1850000</v>
      </c>
      <c r="AA355" s="184">
        <v>1</v>
      </c>
      <c r="AB355" s="186">
        <v>108.07</v>
      </c>
      <c r="AC355" s="9"/>
      <c r="AD355" s="170">
        <v>1999.2950000000001</v>
      </c>
      <c r="AE355" s="9"/>
      <c r="AF355" s="9"/>
      <c r="AG355" s="9" t="s">
        <v>17</v>
      </c>
      <c r="AH355" s="185">
        <v>2.0379999999999999E-3</v>
      </c>
      <c r="AI355" s="185">
        <v>1.06158333288843E-2</v>
      </c>
      <c r="AJ355" s="185">
        <v>1.79693506923956E-3</v>
      </c>
    </row>
    <row r="356" spans="1:36">
      <c r="A356" s="9">
        <v>337</v>
      </c>
      <c r="B356" s="9">
        <v>9963</v>
      </c>
      <c r="C356" s="9" t="s">
        <v>2071</v>
      </c>
      <c r="D356" s="9" t="s">
        <v>2072</v>
      </c>
      <c r="E356" s="5" t="s">
        <v>1346</v>
      </c>
      <c r="F356" s="9" t="s">
        <v>2375</v>
      </c>
      <c r="G356" s="9" t="s">
        <v>2376</v>
      </c>
      <c r="H356" s="9" t="s">
        <v>76</v>
      </c>
      <c r="I356" s="9" t="s">
        <v>228</v>
      </c>
      <c r="J356" s="9" t="s">
        <v>53</v>
      </c>
      <c r="K356" s="9" t="s">
        <v>53</v>
      </c>
      <c r="L356" s="9" t="s">
        <v>803</v>
      </c>
      <c r="M356" s="9" t="s">
        <v>311</v>
      </c>
      <c r="N356" s="9" t="s">
        <v>156</v>
      </c>
      <c r="O356" s="9" t="s">
        <v>62</v>
      </c>
      <c r="P356" s="9" t="s">
        <v>2314</v>
      </c>
      <c r="Q356" s="9" t="s">
        <v>70</v>
      </c>
      <c r="R356" s="9" t="s">
        <v>57</v>
      </c>
      <c r="S356" s="9" t="s">
        <v>1259</v>
      </c>
      <c r="T356" s="170">
        <v>2.7770000000000001</v>
      </c>
      <c r="U356" s="9" t="s">
        <v>2377</v>
      </c>
      <c r="V356" s="199">
        <v>7.2499999999999995E-2</v>
      </c>
      <c r="W356" s="185">
        <v>5.3060000000000003E-2</v>
      </c>
      <c r="X356" s="5" t="s">
        <v>618</v>
      </c>
      <c r="Y356" s="5" t="s">
        <v>62</v>
      </c>
      <c r="Z356" s="170">
        <v>1991932.44</v>
      </c>
      <c r="AA356" s="184">
        <v>1</v>
      </c>
      <c r="AB356" s="186">
        <v>106.83</v>
      </c>
      <c r="AC356" s="9"/>
      <c r="AD356" s="170">
        <v>2127.9810000000002</v>
      </c>
      <c r="AE356" s="9"/>
      <c r="AF356" s="9"/>
      <c r="AG356" s="9" t="s">
        <v>17</v>
      </c>
      <c r="AH356" s="185">
        <v>3.1120000000000002E-3</v>
      </c>
      <c r="AI356" s="185">
        <v>1.1299131014524301E-2</v>
      </c>
      <c r="AJ356" s="185">
        <v>1.91259641545868E-3</v>
      </c>
    </row>
    <row r="357" spans="1:36">
      <c r="A357" s="9">
        <v>337</v>
      </c>
      <c r="B357" s="9">
        <v>9963</v>
      </c>
      <c r="C357" s="9" t="s">
        <v>1902</v>
      </c>
      <c r="D357" s="9" t="s">
        <v>1903</v>
      </c>
      <c r="E357" s="5" t="s">
        <v>1346</v>
      </c>
      <c r="F357" s="9" t="s">
        <v>2386</v>
      </c>
      <c r="G357" s="9" t="s">
        <v>2387</v>
      </c>
      <c r="H357" s="9" t="s">
        <v>76</v>
      </c>
      <c r="I357" s="9" t="s">
        <v>229</v>
      </c>
      <c r="J357" s="9" t="s">
        <v>53</v>
      </c>
      <c r="K357" s="9" t="s">
        <v>53</v>
      </c>
      <c r="L357" s="9" t="s">
        <v>803</v>
      </c>
      <c r="M357" s="9" t="s">
        <v>311</v>
      </c>
      <c r="N357" s="9" t="s">
        <v>633</v>
      </c>
      <c r="O357" s="9" t="s">
        <v>62</v>
      </c>
      <c r="P357" s="9" t="s">
        <v>2246</v>
      </c>
      <c r="Q357" s="9" t="s">
        <v>65</v>
      </c>
      <c r="R357" s="9" t="s">
        <v>57</v>
      </c>
      <c r="S357" s="9" t="s">
        <v>1259</v>
      </c>
      <c r="T357" s="170">
        <v>3.992</v>
      </c>
      <c r="U357" s="9" t="s">
        <v>2388</v>
      </c>
      <c r="V357" s="199">
        <v>5.0000000000000001E-3</v>
      </c>
      <c r="W357" s="185">
        <v>2.8850000000000001E-2</v>
      </c>
      <c r="X357" s="5" t="s">
        <v>618</v>
      </c>
      <c r="Y357" s="5" t="s">
        <v>62</v>
      </c>
      <c r="Z357" s="170">
        <v>2490566.75</v>
      </c>
      <c r="AA357" s="184">
        <v>1</v>
      </c>
      <c r="AB357" s="186">
        <v>106.2</v>
      </c>
      <c r="AC357" s="9"/>
      <c r="AD357" s="170">
        <v>2644.982</v>
      </c>
      <c r="AE357" s="9"/>
      <c r="AF357" s="9"/>
      <c r="AG357" s="9" t="s">
        <v>17</v>
      </c>
      <c r="AH357" s="185">
        <v>1.864E-3</v>
      </c>
      <c r="AI357" s="185">
        <v>1.40442940567719E-2</v>
      </c>
      <c r="AJ357" s="185">
        <v>2.3772683435656699E-3</v>
      </c>
    </row>
    <row r="358" spans="1:36">
      <c r="A358" s="9">
        <v>337</v>
      </c>
      <c r="B358" s="9">
        <v>9963</v>
      </c>
      <c r="C358" s="9" t="s">
        <v>1902</v>
      </c>
      <c r="D358" s="9" t="s">
        <v>1903</v>
      </c>
      <c r="E358" s="5" t="s">
        <v>1346</v>
      </c>
      <c r="F358" s="9" t="s">
        <v>2883</v>
      </c>
      <c r="G358" s="9" t="s">
        <v>2884</v>
      </c>
      <c r="H358" s="9" t="s">
        <v>76</v>
      </c>
      <c r="I358" s="9" t="s">
        <v>229</v>
      </c>
      <c r="J358" s="9" t="s">
        <v>53</v>
      </c>
      <c r="K358" s="9" t="s">
        <v>53</v>
      </c>
      <c r="L358" s="9" t="s">
        <v>803</v>
      </c>
      <c r="M358" s="9" t="s">
        <v>311</v>
      </c>
      <c r="N358" s="9" t="s">
        <v>633</v>
      </c>
      <c r="O358" s="9" t="s">
        <v>62</v>
      </c>
      <c r="P358" s="9" t="s">
        <v>2246</v>
      </c>
      <c r="Q358" s="9" t="s">
        <v>65</v>
      </c>
      <c r="R358" s="9" t="s">
        <v>57</v>
      </c>
      <c r="S358" s="9" t="s">
        <v>1259</v>
      </c>
      <c r="T358" s="170">
        <v>4.45</v>
      </c>
      <c r="U358" s="9" t="s">
        <v>2885</v>
      </c>
      <c r="V358" s="199">
        <v>5.8999999999999999E-3</v>
      </c>
      <c r="W358" s="185">
        <v>2.8729999999999999E-2</v>
      </c>
      <c r="X358" s="5" t="s">
        <v>618</v>
      </c>
      <c r="Y358" s="5" t="s">
        <v>62</v>
      </c>
      <c r="Z358" s="170">
        <v>30856</v>
      </c>
      <c r="AA358" s="184">
        <v>1</v>
      </c>
      <c r="AB358" s="186">
        <v>102.74</v>
      </c>
      <c r="AC358" s="9"/>
      <c r="AD358" s="170">
        <v>31.701000000000001</v>
      </c>
      <c r="AE358" s="9"/>
      <c r="AF358" s="9"/>
      <c r="AG358" s="9" t="s">
        <v>17</v>
      </c>
      <c r="AH358" s="185">
        <v>2.1999999999999999E-5</v>
      </c>
      <c r="AI358" s="185">
        <v>1.6832801372164999E-4</v>
      </c>
      <c r="AJ358" s="185">
        <v>2.8492771280505701E-5</v>
      </c>
    </row>
    <row r="359" spans="1:36">
      <c r="A359" s="9">
        <v>337</v>
      </c>
      <c r="B359" s="9">
        <v>9963</v>
      </c>
      <c r="C359" s="9" t="s">
        <v>1902</v>
      </c>
      <c r="D359" s="9" t="s">
        <v>1903</v>
      </c>
      <c r="E359" s="5" t="s">
        <v>1346</v>
      </c>
      <c r="F359" s="9" t="s">
        <v>2389</v>
      </c>
      <c r="G359" s="9" t="s">
        <v>2390</v>
      </c>
      <c r="H359" s="9" t="s">
        <v>76</v>
      </c>
      <c r="I359" s="9" t="s">
        <v>229</v>
      </c>
      <c r="J359" s="9" t="s">
        <v>53</v>
      </c>
      <c r="K359" s="9" t="s">
        <v>53</v>
      </c>
      <c r="L359" s="9" t="s">
        <v>803</v>
      </c>
      <c r="M359" s="9" t="s">
        <v>1691</v>
      </c>
      <c r="N359" s="9" t="s">
        <v>633</v>
      </c>
      <c r="O359" s="9" t="s">
        <v>62</v>
      </c>
      <c r="P359" s="9" t="s">
        <v>2246</v>
      </c>
      <c r="Q359" s="9" t="s">
        <v>65</v>
      </c>
      <c r="R359" s="9" t="s">
        <v>57</v>
      </c>
      <c r="S359" s="9" t="s">
        <v>1259</v>
      </c>
      <c r="T359" s="170">
        <v>3.0670000000000002</v>
      </c>
      <c r="U359" s="9" t="s">
        <v>2234</v>
      </c>
      <c r="V359" s="199">
        <v>3.3399999999999999E-2</v>
      </c>
      <c r="W359" s="185">
        <v>2.9409999999999999E-2</v>
      </c>
      <c r="X359" s="5" t="s">
        <v>618</v>
      </c>
      <c r="Y359" s="5" t="s">
        <v>62</v>
      </c>
      <c r="Z359" s="170">
        <v>3200000</v>
      </c>
      <c r="AA359" s="184">
        <v>1</v>
      </c>
      <c r="AB359" s="186">
        <v>105.28</v>
      </c>
      <c r="AC359" s="9"/>
      <c r="AD359" s="170">
        <v>3368.96</v>
      </c>
      <c r="AE359" s="9"/>
      <c r="AF359" s="9"/>
      <c r="AG359" s="9" t="s">
        <v>17</v>
      </c>
      <c r="AH359" s="185">
        <v>2.9740000000000001E-3</v>
      </c>
      <c r="AI359" s="185">
        <v>1.7888464609613901E-2</v>
      </c>
      <c r="AJ359" s="185">
        <v>3.0279685443445302E-3</v>
      </c>
    </row>
    <row r="360" spans="1:36">
      <c r="A360" s="9">
        <v>337</v>
      </c>
      <c r="B360" s="9">
        <v>9963</v>
      </c>
      <c r="C360" s="9" t="s">
        <v>2391</v>
      </c>
      <c r="D360" s="9" t="s">
        <v>2392</v>
      </c>
      <c r="E360" s="5" t="s">
        <v>1346</v>
      </c>
      <c r="F360" s="9" t="s">
        <v>2393</v>
      </c>
      <c r="G360" s="9" t="s">
        <v>2394</v>
      </c>
      <c r="H360" s="9" t="s">
        <v>76</v>
      </c>
      <c r="I360" s="9" t="s">
        <v>228</v>
      </c>
      <c r="J360" s="9" t="s">
        <v>53</v>
      </c>
      <c r="K360" s="9" t="s">
        <v>53</v>
      </c>
      <c r="L360" s="9" t="s">
        <v>803</v>
      </c>
      <c r="M360" s="9" t="s">
        <v>311</v>
      </c>
      <c r="N360" s="9" t="s">
        <v>140</v>
      </c>
      <c r="O360" s="9" t="s">
        <v>62</v>
      </c>
      <c r="P360" s="167" t="s">
        <v>298</v>
      </c>
      <c r="Q360" s="9" t="s">
        <v>298</v>
      </c>
      <c r="R360" s="9" t="s">
        <v>298</v>
      </c>
      <c r="S360" s="9" t="s">
        <v>1259</v>
      </c>
      <c r="T360" s="170">
        <v>0.98499999999999999</v>
      </c>
      <c r="U360" s="9" t="s">
        <v>2395</v>
      </c>
      <c r="V360" s="199">
        <v>3.8699999999999998E-2</v>
      </c>
      <c r="W360" s="185">
        <v>4.9630000000000001E-2</v>
      </c>
      <c r="X360" s="5" t="s">
        <v>618</v>
      </c>
      <c r="Y360" s="5" t="s">
        <v>62</v>
      </c>
      <c r="Z360" s="170">
        <v>0.28999999999999998</v>
      </c>
      <c r="AA360" s="184">
        <v>1</v>
      </c>
      <c r="AB360" s="186">
        <v>99.03</v>
      </c>
      <c r="AC360" s="9"/>
      <c r="AD360" s="170">
        <v>0</v>
      </c>
      <c r="AE360" s="9"/>
      <c r="AF360" s="9"/>
      <c r="AG360" s="9" t="s">
        <v>17</v>
      </c>
      <c r="AH360" s="185">
        <v>0</v>
      </c>
      <c r="AI360" s="185">
        <v>1.5249021911335201E-9</v>
      </c>
      <c r="AJ360" s="185">
        <v>2.5811918287681501E-10</v>
      </c>
    </row>
    <row r="361" spans="1:36">
      <c r="A361" s="9">
        <v>337</v>
      </c>
      <c r="B361" s="9">
        <v>9963</v>
      </c>
      <c r="C361" s="9" t="s">
        <v>2391</v>
      </c>
      <c r="D361" s="9" t="s">
        <v>2392</v>
      </c>
      <c r="E361" s="5" t="s">
        <v>1346</v>
      </c>
      <c r="F361" s="9" t="s">
        <v>2396</v>
      </c>
      <c r="G361" s="9" t="s">
        <v>2397</v>
      </c>
      <c r="H361" s="9" t="s">
        <v>76</v>
      </c>
      <c r="I361" s="9" t="s">
        <v>228</v>
      </c>
      <c r="J361" s="9" t="s">
        <v>53</v>
      </c>
      <c r="K361" s="9" t="s">
        <v>53</v>
      </c>
      <c r="L361" s="9" t="s">
        <v>803</v>
      </c>
      <c r="M361" s="9" t="s">
        <v>311</v>
      </c>
      <c r="N361" s="9" t="s">
        <v>140</v>
      </c>
      <c r="O361" s="9" t="s">
        <v>62</v>
      </c>
      <c r="P361" s="167" t="s">
        <v>298</v>
      </c>
      <c r="Q361" s="9" t="s">
        <v>298</v>
      </c>
      <c r="R361" s="9" t="s">
        <v>298</v>
      </c>
      <c r="S361" s="9" t="s">
        <v>1259</v>
      </c>
      <c r="T361" s="170">
        <v>1.4470000000000001</v>
      </c>
      <c r="U361" s="9" t="s">
        <v>1615</v>
      </c>
      <c r="V361" s="199">
        <v>6.25E-2</v>
      </c>
      <c r="W361" s="185">
        <v>4.6330000000000003E-2</v>
      </c>
      <c r="X361" s="5" t="s">
        <v>618</v>
      </c>
      <c r="Y361" s="5" t="s">
        <v>62</v>
      </c>
      <c r="Z361" s="170">
        <v>0.17</v>
      </c>
      <c r="AA361" s="184">
        <v>1</v>
      </c>
      <c r="AB361" s="186">
        <v>102.41</v>
      </c>
      <c r="AC361" s="9"/>
      <c r="AD361" s="170">
        <v>0</v>
      </c>
      <c r="AE361" s="9"/>
      <c r="AF361" s="9"/>
      <c r="AG361" s="9" t="s">
        <v>17</v>
      </c>
      <c r="AH361" s="185">
        <v>0</v>
      </c>
      <c r="AI361" s="185">
        <v>9.2441822495368301E-10</v>
      </c>
      <c r="AJ361" s="185">
        <v>1.5647566004486601E-10</v>
      </c>
    </row>
    <row r="362" spans="1:36">
      <c r="A362" s="9">
        <v>337</v>
      </c>
      <c r="B362" s="9">
        <v>9963</v>
      </c>
      <c r="C362" s="9" t="s">
        <v>2886</v>
      </c>
      <c r="D362" s="9" t="s">
        <v>2887</v>
      </c>
      <c r="E362" s="5" t="s">
        <v>1346</v>
      </c>
      <c r="F362" s="9" t="s">
        <v>2888</v>
      </c>
      <c r="G362" s="9" t="s">
        <v>2889</v>
      </c>
      <c r="H362" s="9" t="s">
        <v>76</v>
      </c>
      <c r="I362" s="9" t="s">
        <v>229</v>
      </c>
      <c r="J362" s="9" t="s">
        <v>53</v>
      </c>
      <c r="K362" s="9" t="s">
        <v>53</v>
      </c>
      <c r="L362" s="9" t="s">
        <v>803</v>
      </c>
      <c r="M362" s="9" t="s">
        <v>311</v>
      </c>
      <c r="N362" s="9" t="s">
        <v>633</v>
      </c>
      <c r="O362" s="9" t="s">
        <v>62</v>
      </c>
      <c r="P362" s="9" t="s">
        <v>1621</v>
      </c>
      <c r="Q362" s="9" t="s">
        <v>70</v>
      </c>
      <c r="R362" s="9" t="s">
        <v>57</v>
      </c>
      <c r="S362" s="9" t="s">
        <v>1259</v>
      </c>
      <c r="T362" s="170">
        <v>0.499</v>
      </c>
      <c r="U362" s="9" t="s">
        <v>2727</v>
      </c>
      <c r="V362" s="199">
        <v>2.5000000000000001E-2</v>
      </c>
      <c r="W362" s="185">
        <v>3.3689999999999998E-2</v>
      </c>
      <c r="X362" s="5" t="s">
        <v>618</v>
      </c>
      <c r="Y362" s="5" t="s">
        <v>62</v>
      </c>
      <c r="Z362" s="170">
        <v>738725.11</v>
      </c>
      <c r="AA362" s="184">
        <v>1</v>
      </c>
      <c r="AB362" s="186">
        <v>117.96</v>
      </c>
      <c r="AC362" s="9"/>
      <c r="AD362" s="170">
        <v>871.4</v>
      </c>
      <c r="AE362" s="9"/>
      <c r="AF362" s="9"/>
      <c r="AG362" s="9" t="s">
        <v>17</v>
      </c>
      <c r="AH362" s="185">
        <v>2.4229999999999998E-3</v>
      </c>
      <c r="AI362" s="185">
        <v>4.6269503231970302E-3</v>
      </c>
      <c r="AJ362" s="185">
        <v>7.8320081352066995E-4</v>
      </c>
    </row>
    <row r="363" spans="1:36">
      <c r="A363" s="9">
        <v>337</v>
      </c>
      <c r="B363" s="9">
        <v>9963</v>
      </c>
      <c r="C363" s="9" t="s">
        <v>2398</v>
      </c>
      <c r="D363" s="9" t="s">
        <v>2399</v>
      </c>
      <c r="E363" s="5" t="s">
        <v>1346</v>
      </c>
      <c r="F363" s="9" t="s">
        <v>2400</v>
      </c>
      <c r="G363" s="9" t="s">
        <v>2401</v>
      </c>
      <c r="H363" s="9" t="s">
        <v>76</v>
      </c>
      <c r="I363" s="9" t="s">
        <v>605</v>
      </c>
      <c r="J363" s="9" t="s">
        <v>53</v>
      </c>
      <c r="K363" s="9" t="s">
        <v>53</v>
      </c>
      <c r="L363" s="9" t="s">
        <v>803</v>
      </c>
      <c r="M363" s="9" t="s">
        <v>311</v>
      </c>
      <c r="N363" s="9" t="s">
        <v>140</v>
      </c>
      <c r="O363" s="9" t="s">
        <v>62</v>
      </c>
      <c r="P363" s="167" t="s">
        <v>298</v>
      </c>
      <c r="Q363" s="9" t="s">
        <v>298</v>
      </c>
      <c r="R363" s="9" t="s">
        <v>298</v>
      </c>
      <c r="S363" s="9" t="s">
        <v>1259</v>
      </c>
      <c r="T363" s="170">
        <v>2.9780000000000002</v>
      </c>
      <c r="U363" s="9" t="s">
        <v>2243</v>
      </c>
      <c r="V363" s="199">
        <v>7.0000000000000007E-2</v>
      </c>
      <c r="W363" s="185">
        <v>-4.1079999999999998E-2</v>
      </c>
      <c r="X363" s="5" t="s">
        <v>618</v>
      </c>
      <c r="Y363" s="5" t="s">
        <v>62</v>
      </c>
      <c r="Z363" s="170">
        <v>417609</v>
      </c>
      <c r="AA363" s="184">
        <v>1</v>
      </c>
      <c r="AB363" s="186">
        <v>141</v>
      </c>
      <c r="AC363" s="9"/>
      <c r="AD363" s="170">
        <v>588.82899999999995</v>
      </c>
      <c r="AE363" s="9"/>
      <c r="AF363" s="9"/>
      <c r="AG363" s="9" t="s">
        <v>17</v>
      </c>
      <c r="AH363" s="185">
        <v>8.3580000000000008E-3</v>
      </c>
      <c r="AI363" s="185">
        <v>3.1265557270464301E-3</v>
      </c>
      <c r="AJ363" s="185">
        <v>5.2923001499798105E-4</v>
      </c>
    </row>
    <row r="364" spans="1:36">
      <c r="A364" s="9">
        <v>337</v>
      </c>
      <c r="B364" s="9">
        <v>9963</v>
      </c>
      <c r="C364" s="9" t="s">
        <v>2783</v>
      </c>
      <c r="D364" s="9" t="s">
        <v>2784</v>
      </c>
      <c r="E364" s="5" t="s">
        <v>78</v>
      </c>
      <c r="F364" s="9" t="s">
        <v>2787</v>
      </c>
      <c r="G364" s="9" t="s">
        <v>2788</v>
      </c>
      <c r="H364" s="9" t="s">
        <v>76</v>
      </c>
      <c r="I364" s="9" t="s">
        <v>228</v>
      </c>
      <c r="J364" s="9" t="s">
        <v>53</v>
      </c>
      <c r="K364" s="9" t="s">
        <v>314</v>
      </c>
      <c r="L364" s="9" t="s">
        <v>803</v>
      </c>
      <c r="M364" s="9" t="s">
        <v>311</v>
      </c>
      <c r="N364" s="9" t="s">
        <v>634</v>
      </c>
      <c r="O364" s="9" t="s">
        <v>62</v>
      </c>
      <c r="P364" s="9" t="s">
        <v>1614</v>
      </c>
      <c r="Q364" s="9" t="s">
        <v>65</v>
      </c>
      <c r="R364" s="9" t="s">
        <v>57</v>
      </c>
      <c r="S364" s="9" t="s">
        <v>1259</v>
      </c>
      <c r="T364" s="170">
        <v>1.4279999999999999</v>
      </c>
      <c r="U364" s="9" t="s">
        <v>2744</v>
      </c>
      <c r="V364" s="199">
        <v>6.8000000000000005E-2</v>
      </c>
      <c r="W364" s="185">
        <v>5.6610000000000001E-2</v>
      </c>
      <c r="X364" s="5" t="s">
        <v>618</v>
      </c>
      <c r="Y364" s="5" t="s">
        <v>62</v>
      </c>
      <c r="Z364" s="170">
        <v>399061.99</v>
      </c>
      <c r="AA364" s="184">
        <v>1</v>
      </c>
      <c r="AB364" s="186">
        <v>101.71</v>
      </c>
      <c r="AC364" s="9"/>
      <c r="AD364" s="170">
        <v>405.88600000000002</v>
      </c>
      <c r="AE364" s="9"/>
      <c r="AF364" s="9"/>
      <c r="AG364" s="9" t="s">
        <v>17</v>
      </c>
      <c r="AH364" s="185">
        <v>1.165E-3</v>
      </c>
      <c r="AI364" s="185">
        <v>2.15516849491632E-3</v>
      </c>
      <c r="AJ364" s="185">
        <v>3.6480394224900503E-4</v>
      </c>
    </row>
    <row r="365" spans="1:36">
      <c r="A365" s="9">
        <v>337</v>
      </c>
      <c r="B365" s="9">
        <v>9963</v>
      </c>
      <c r="C365" s="9" t="s">
        <v>2402</v>
      </c>
      <c r="D365" s="9" t="s">
        <v>2403</v>
      </c>
      <c r="E365" s="5" t="s">
        <v>1346</v>
      </c>
      <c r="F365" s="9" t="s">
        <v>2404</v>
      </c>
      <c r="G365" s="9" t="s">
        <v>2405</v>
      </c>
      <c r="H365" s="9" t="s">
        <v>76</v>
      </c>
      <c r="I365" s="9" t="s">
        <v>229</v>
      </c>
      <c r="J365" s="9" t="s">
        <v>53</v>
      </c>
      <c r="K365" s="9" t="s">
        <v>53</v>
      </c>
      <c r="L365" s="9" t="s">
        <v>803</v>
      </c>
      <c r="M365" s="9" t="s">
        <v>311</v>
      </c>
      <c r="N365" s="9" t="s">
        <v>256</v>
      </c>
      <c r="O365" s="9" t="s">
        <v>62</v>
      </c>
      <c r="P365" s="9" t="s">
        <v>1641</v>
      </c>
      <c r="Q365" s="9" t="s">
        <v>65</v>
      </c>
      <c r="R365" s="9" t="s">
        <v>57</v>
      </c>
      <c r="S365" s="9" t="s">
        <v>1259</v>
      </c>
      <c r="T365" s="170">
        <v>3.4950000000000001</v>
      </c>
      <c r="U365" s="9" t="s">
        <v>2406</v>
      </c>
      <c r="V365" s="199">
        <v>2E-3</v>
      </c>
      <c r="W365" s="185">
        <v>2.6020000000000001E-2</v>
      </c>
      <c r="X365" s="5" t="s">
        <v>618</v>
      </c>
      <c r="Y365" s="5" t="s">
        <v>62</v>
      </c>
      <c r="Z365" s="170">
        <v>2647059.09</v>
      </c>
      <c r="AA365" s="184">
        <v>1</v>
      </c>
      <c r="AB365" s="186">
        <v>105.05</v>
      </c>
      <c r="AC365" s="9"/>
      <c r="AD365" s="170">
        <v>2780.7359999999999</v>
      </c>
      <c r="AE365" s="9"/>
      <c r="AF365" s="9"/>
      <c r="AG365" s="9" t="s">
        <v>17</v>
      </c>
      <c r="AH365" s="185">
        <v>7.7700000000000002E-4</v>
      </c>
      <c r="AI365" s="185">
        <v>1.47651173967629E-2</v>
      </c>
      <c r="AJ365" s="185">
        <v>2.4992816324171498E-3</v>
      </c>
    </row>
    <row r="366" spans="1:36">
      <c r="A366" s="9">
        <v>337</v>
      </c>
      <c r="B366" s="9">
        <v>9963</v>
      </c>
      <c r="C366" s="9" t="s">
        <v>2402</v>
      </c>
      <c r="D366" s="9" t="s">
        <v>2403</v>
      </c>
      <c r="E366" s="5" t="s">
        <v>1346</v>
      </c>
      <c r="F366" s="9" t="s">
        <v>2407</v>
      </c>
      <c r="G366" s="9" t="s">
        <v>2408</v>
      </c>
      <c r="H366" s="9" t="s">
        <v>76</v>
      </c>
      <c r="I366" s="9" t="s">
        <v>229</v>
      </c>
      <c r="J366" s="9" t="s">
        <v>53</v>
      </c>
      <c r="K366" s="9" t="s">
        <v>53</v>
      </c>
      <c r="L366" s="9" t="s">
        <v>803</v>
      </c>
      <c r="M366" s="9" t="s">
        <v>1691</v>
      </c>
      <c r="N366" s="9" t="s">
        <v>256</v>
      </c>
      <c r="O366" s="9" t="s">
        <v>62</v>
      </c>
      <c r="P366" s="9" t="s">
        <v>1641</v>
      </c>
      <c r="Q366" s="9" t="s">
        <v>65</v>
      </c>
      <c r="R366" s="9" t="s">
        <v>57</v>
      </c>
      <c r="S366" s="9" t="s">
        <v>1259</v>
      </c>
      <c r="T366" s="170">
        <v>4.8159999999999998</v>
      </c>
      <c r="U366" s="9" t="s">
        <v>2409</v>
      </c>
      <c r="V366" s="199">
        <v>2.4E-2</v>
      </c>
      <c r="W366" s="185">
        <v>2.605E-2</v>
      </c>
      <c r="X366" s="5" t="s">
        <v>618</v>
      </c>
      <c r="Y366" s="5" t="s">
        <v>62</v>
      </c>
      <c r="Z366" s="170">
        <v>1500000</v>
      </c>
      <c r="AA366" s="184">
        <v>1</v>
      </c>
      <c r="AB366" s="186">
        <v>101.7</v>
      </c>
      <c r="AC366" s="9"/>
      <c r="AD366" s="170">
        <v>1525.5</v>
      </c>
      <c r="AE366" s="9"/>
      <c r="AF366" s="9"/>
      <c r="AG366" s="9" t="s">
        <v>17</v>
      </c>
      <c r="AH366" s="185">
        <v>6.8099999999999996E-4</v>
      </c>
      <c r="AI366" s="185">
        <v>8.1000821505645901E-3</v>
      </c>
      <c r="AJ366" s="185">
        <v>1.37109553523864E-3</v>
      </c>
    </row>
    <row r="367" spans="1:36">
      <c r="A367" s="9">
        <v>337</v>
      </c>
      <c r="B367" s="9">
        <v>9963</v>
      </c>
      <c r="C367" s="9" t="s">
        <v>2402</v>
      </c>
      <c r="D367" s="9" t="s">
        <v>2403</v>
      </c>
      <c r="E367" s="5" t="s">
        <v>1346</v>
      </c>
      <c r="F367" s="9" t="s">
        <v>2789</v>
      </c>
      <c r="G367" s="9" t="s">
        <v>2790</v>
      </c>
      <c r="H367" s="9" t="s">
        <v>76</v>
      </c>
      <c r="I367" s="9" t="s">
        <v>229</v>
      </c>
      <c r="J367" s="9" t="s">
        <v>53</v>
      </c>
      <c r="K367" s="9" t="s">
        <v>53</v>
      </c>
      <c r="L367" s="9" t="s">
        <v>803</v>
      </c>
      <c r="M367" s="9" t="s">
        <v>311</v>
      </c>
      <c r="N367" s="9" t="s">
        <v>256</v>
      </c>
      <c r="O367" s="9" t="s">
        <v>62</v>
      </c>
      <c r="P367" s="9" t="s">
        <v>2239</v>
      </c>
      <c r="Q367" s="9" t="s">
        <v>65</v>
      </c>
      <c r="R367" s="9" t="s">
        <v>57</v>
      </c>
      <c r="S367" s="9" t="s">
        <v>1259</v>
      </c>
      <c r="T367" s="170">
        <v>2.3279999999999998</v>
      </c>
      <c r="U367" s="9" t="s">
        <v>2791</v>
      </c>
      <c r="V367" s="199">
        <v>2E-3</v>
      </c>
      <c r="W367" s="185">
        <v>2.8879999999999999E-2</v>
      </c>
      <c r="X367" s="5" t="s">
        <v>618</v>
      </c>
      <c r="Y367" s="5" t="s">
        <v>62</v>
      </c>
      <c r="Z367" s="170">
        <v>1428791</v>
      </c>
      <c r="AA367" s="184">
        <v>1</v>
      </c>
      <c r="AB367" s="186">
        <v>107.5</v>
      </c>
      <c r="AC367" s="9"/>
      <c r="AD367" s="170">
        <v>1535.95</v>
      </c>
      <c r="AE367" s="9"/>
      <c r="AF367" s="9"/>
      <c r="AG367" s="9" t="s">
        <v>17</v>
      </c>
      <c r="AH367" s="185">
        <v>2.493E-3</v>
      </c>
      <c r="AI367" s="185">
        <v>8.1555711646583897E-3</v>
      </c>
      <c r="AJ367" s="185">
        <v>1.38048812386486E-3</v>
      </c>
    </row>
    <row r="368" spans="1:36">
      <c r="A368" s="9">
        <v>337</v>
      </c>
      <c r="B368" s="9">
        <v>9963</v>
      </c>
      <c r="C368" s="9" t="s">
        <v>2413</v>
      </c>
      <c r="D368" s="9" t="s">
        <v>2414</v>
      </c>
      <c r="E368" s="5" t="s">
        <v>1346</v>
      </c>
      <c r="F368" s="9" t="s">
        <v>2415</v>
      </c>
      <c r="G368" s="9" t="s">
        <v>2416</v>
      </c>
      <c r="H368" s="9" t="s">
        <v>76</v>
      </c>
      <c r="I368" s="9" t="s">
        <v>229</v>
      </c>
      <c r="J368" s="9" t="s">
        <v>53</v>
      </c>
      <c r="K368" s="9" t="s">
        <v>53</v>
      </c>
      <c r="L368" s="9" t="s">
        <v>803</v>
      </c>
      <c r="M368" s="9" t="s">
        <v>311</v>
      </c>
      <c r="N368" s="9" t="s">
        <v>156</v>
      </c>
      <c r="O368" s="9" t="s">
        <v>62</v>
      </c>
      <c r="P368" s="9" t="s">
        <v>2314</v>
      </c>
      <c r="Q368" s="9" t="s">
        <v>70</v>
      </c>
      <c r="R368" s="9" t="s">
        <v>57</v>
      </c>
      <c r="S368" s="9" t="s">
        <v>1259</v>
      </c>
      <c r="T368" s="170">
        <v>3.21</v>
      </c>
      <c r="U368" s="9" t="s">
        <v>2417</v>
      </c>
      <c r="V368" s="199">
        <v>1.7999999999999999E-2</v>
      </c>
      <c r="W368" s="185">
        <v>3.0980000000000001E-2</v>
      </c>
      <c r="X368" s="5" t="s">
        <v>618</v>
      </c>
      <c r="Y368" s="5" t="s">
        <v>62</v>
      </c>
      <c r="Z368" s="170">
        <v>441285.46</v>
      </c>
      <c r="AA368" s="184">
        <v>1</v>
      </c>
      <c r="AB368" s="186">
        <v>112.88</v>
      </c>
      <c r="AC368" s="9"/>
      <c r="AD368" s="170">
        <v>498.12299999999999</v>
      </c>
      <c r="AE368" s="9"/>
      <c r="AF368" s="9"/>
      <c r="AG368" s="9" t="s">
        <v>17</v>
      </c>
      <c r="AH368" s="185">
        <v>5.0100000000000003E-4</v>
      </c>
      <c r="AI368" s="185">
        <v>2.6449278543406898E-3</v>
      </c>
      <c r="AJ368" s="185">
        <v>4.4770518430632E-4</v>
      </c>
    </row>
    <row r="369" spans="1:36">
      <c r="A369" s="9">
        <v>337</v>
      </c>
      <c r="B369" s="9">
        <v>9963</v>
      </c>
      <c r="C369" s="9" t="s">
        <v>2418</v>
      </c>
      <c r="D369" s="9" t="s">
        <v>2419</v>
      </c>
      <c r="E369" s="5" t="s">
        <v>1346</v>
      </c>
      <c r="F369" s="9" t="s">
        <v>2422</v>
      </c>
      <c r="G369" s="9" t="s">
        <v>2423</v>
      </c>
      <c r="H369" s="9" t="s">
        <v>76</v>
      </c>
      <c r="I369" s="9" t="s">
        <v>228</v>
      </c>
      <c r="J369" s="9" t="s">
        <v>53</v>
      </c>
      <c r="K369" s="9" t="s">
        <v>53</v>
      </c>
      <c r="L369" s="9" t="s">
        <v>803</v>
      </c>
      <c r="M369" s="9" t="s">
        <v>1691</v>
      </c>
      <c r="N369" s="9" t="s">
        <v>267</v>
      </c>
      <c r="O369" s="9" t="s">
        <v>62</v>
      </c>
      <c r="P369" s="9" t="s">
        <v>2330</v>
      </c>
      <c r="Q369" s="9" t="s">
        <v>65</v>
      </c>
      <c r="R369" s="9" t="s">
        <v>57</v>
      </c>
      <c r="S369" s="9" t="s">
        <v>1259</v>
      </c>
      <c r="T369" s="170">
        <v>5.5919999999999996</v>
      </c>
      <c r="U369" s="9" t="s">
        <v>2388</v>
      </c>
      <c r="V369" s="199">
        <v>5.6899999999999999E-2</v>
      </c>
      <c r="W369" s="185">
        <v>5.5149999999999998E-2</v>
      </c>
      <c r="X369" s="5" t="s">
        <v>618</v>
      </c>
      <c r="Y369" s="5" t="s">
        <v>62</v>
      </c>
      <c r="Z369" s="170">
        <v>1496000</v>
      </c>
      <c r="AA369" s="184">
        <v>1</v>
      </c>
      <c r="AB369" s="186">
        <v>101.37</v>
      </c>
      <c r="AC369" s="9"/>
      <c r="AD369" s="170">
        <v>1516.4949999999999</v>
      </c>
      <c r="AE369" s="9"/>
      <c r="AF369" s="9"/>
      <c r="AG369" s="9" t="s">
        <v>17</v>
      </c>
      <c r="AH369" s="185">
        <v>9.5699999999999995E-4</v>
      </c>
      <c r="AI369" s="185">
        <v>8.0522685682968692E-3</v>
      </c>
      <c r="AJ369" s="185">
        <v>1.3630021618687899E-3</v>
      </c>
    </row>
    <row r="370" spans="1:36">
      <c r="A370" s="9">
        <v>337</v>
      </c>
      <c r="B370" s="9">
        <v>9963</v>
      </c>
      <c r="C370" s="9" t="s">
        <v>2429</v>
      </c>
      <c r="D370" s="9" t="s">
        <v>2430</v>
      </c>
      <c r="E370" s="5" t="s">
        <v>1346</v>
      </c>
      <c r="F370" s="9" t="s">
        <v>2433</v>
      </c>
      <c r="G370" s="9" t="s">
        <v>2434</v>
      </c>
      <c r="H370" s="9" t="s">
        <v>76</v>
      </c>
      <c r="I370" s="9" t="s">
        <v>228</v>
      </c>
      <c r="J370" s="9" t="s">
        <v>53</v>
      </c>
      <c r="K370" s="9" t="s">
        <v>53</v>
      </c>
      <c r="L370" s="9" t="s">
        <v>803</v>
      </c>
      <c r="M370" s="9" t="s">
        <v>311</v>
      </c>
      <c r="N370" s="9" t="s">
        <v>269</v>
      </c>
      <c r="O370" s="9" t="s">
        <v>62</v>
      </c>
      <c r="P370" s="9" t="s">
        <v>1607</v>
      </c>
      <c r="Q370" s="9" t="s">
        <v>65</v>
      </c>
      <c r="R370" s="9" t="s">
        <v>57</v>
      </c>
      <c r="S370" s="9" t="s">
        <v>1259</v>
      </c>
      <c r="T370" s="170">
        <v>7.6970000000000001</v>
      </c>
      <c r="U370" s="9" t="s">
        <v>2435</v>
      </c>
      <c r="V370" s="199">
        <v>5.8500000000000003E-2</v>
      </c>
      <c r="W370" s="185">
        <v>5.3460000000000001E-2</v>
      </c>
      <c r="X370" s="5" t="s">
        <v>618</v>
      </c>
      <c r="Y370" s="5" t="s">
        <v>62</v>
      </c>
      <c r="Z370" s="170">
        <v>1995000</v>
      </c>
      <c r="AA370" s="184">
        <v>1</v>
      </c>
      <c r="AB370" s="186">
        <v>105.43</v>
      </c>
      <c r="AC370" s="9"/>
      <c r="AD370" s="170">
        <v>2103.3290000000002</v>
      </c>
      <c r="AE370" s="9"/>
      <c r="AF370" s="9"/>
      <c r="AG370" s="9" t="s">
        <v>17</v>
      </c>
      <c r="AH370" s="185">
        <v>1.9949999999999998E-3</v>
      </c>
      <c r="AI370" s="185">
        <v>1.1168229196737999E-2</v>
      </c>
      <c r="AJ370" s="185">
        <v>1.8904387515504401E-3</v>
      </c>
    </row>
    <row r="371" spans="1:36">
      <c r="A371" s="9">
        <v>337</v>
      </c>
      <c r="B371" s="9">
        <v>9963</v>
      </c>
      <c r="C371" s="9" t="s">
        <v>2436</v>
      </c>
      <c r="D371" s="9" t="s">
        <v>2437</v>
      </c>
      <c r="E371" s="5" t="s">
        <v>1346</v>
      </c>
      <c r="F371" s="9" t="s">
        <v>2438</v>
      </c>
      <c r="G371" s="9" t="s">
        <v>2439</v>
      </c>
      <c r="H371" s="9" t="s">
        <v>76</v>
      </c>
      <c r="I371" s="9" t="s">
        <v>229</v>
      </c>
      <c r="J371" s="9" t="s">
        <v>53</v>
      </c>
      <c r="K371" s="9" t="s">
        <v>53</v>
      </c>
      <c r="L371" s="9" t="s">
        <v>803</v>
      </c>
      <c r="M371" s="9" t="s">
        <v>311</v>
      </c>
      <c r="N371" s="9" t="s">
        <v>633</v>
      </c>
      <c r="O371" s="9" t="s">
        <v>62</v>
      </c>
      <c r="P371" s="9" t="s">
        <v>2225</v>
      </c>
      <c r="Q371" s="9" t="s">
        <v>70</v>
      </c>
      <c r="R371" s="9" t="s">
        <v>57</v>
      </c>
      <c r="S371" s="9" t="s">
        <v>1259</v>
      </c>
      <c r="T371" s="170">
        <v>5.1120000000000001</v>
      </c>
      <c r="U371" s="9" t="s">
        <v>2440</v>
      </c>
      <c r="V371" s="199">
        <v>3.1800000000000002E-2</v>
      </c>
      <c r="W371" s="185">
        <v>3.049E-2</v>
      </c>
      <c r="X371" s="5" t="s">
        <v>618</v>
      </c>
      <c r="Y371" s="5" t="s">
        <v>62</v>
      </c>
      <c r="Z371" s="170">
        <v>2000000</v>
      </c>
      <c r="AA371" s="184">
        <v>1</v>
      </c>
      <c r="AB371" s="186">
        <v>102.65</v>
      </c>
      <c r="AC371" s="9"/>
      <c r="AD371" s="170">
        <v>2053</v>
      </c>
      <c r="AE371" s="9"/>
      <c r="AF371" s="9"/>
      <c r="AG371" s="9" t="s">
        <v>17</v>
      </c>
      <c r="AH371" s="185">
        <v>8.9619999999999995E-3</v>
      </c>
      <c r="AI371" s="185">
        <v>1.09009955130181E-2</v>
      </c>
      <c r="AJ371" s="185">
        <v>1.84520428308419E-3</v>
      </c>
    </row>
    <row r="372" spans="1:36">
      <c r="A372" s="9">
        <v>337</v>
      </c>
      <c r="B372" s="9">
        <v>9963</v>
      </c>
      <c r="C372" s="9" t="s">
        <v>2441</v>
      </c>
      <c r="D372" s="9" t="s">
        <v>2442</v>
      </c>
      <c r="E372" s="5" t="s">
        <v>1346</v>
      </c>
      <c r="F372" s="9" t="s">
        <v>2443</v>
      </c>
      <c r="G372" s="9" t="s">
        <v>2444</v>
      </c>
      <c r="H372" s="9" t="s">
        <v>76</v>
      </c>
      <c r="I372" s="9" t="s">
        <v>229</v>
      </c>
      <c r="J372" s="9" t="s">
        <v>53</v>
      </c>
      <c r="K372" s="9" t="s">
        <v>53</v>
      </c>
      <c r="L372" s="9" t="s">
        <v>803</v>
      </c>
      <c r="M372" s="9" t="s">
        <v>311</v>
      </c>
      <c r="N372" s="9" t="s">
        <v>156</v>
      </c>
      <c r="O372" s="9" t="s">
        <v>62</v>
      </c>
      <c r="P372" s="9" t="s">
        <v>1641</v>
      </c>
      <c r="Q372" s="9" t="s">
        <v>65</v>
      </c>
      <c r="R372" s="9" t="s">
        <v>57</v>
      </c>
      <c r="S372" s="9" t="s">
        <v>1259</v>
      </c>
      <c r="T372" s="170">
        <v>10.058999999999999</v>
      </c>
      <c r="U372" s="9" t="s">
        <v>2445</v>
      </c>
      <c r="V372" s="199">
        <v>3.2000000000000001E-2</v>
      </c>
      <c r="W372" s="185">
        <v>2.7959999999999999E-2</v>
      </c>
      <c r="X372" s="5" t="s">
        <v>618</v>
      </c>
      <c r="Y372" s="5" t="s">
        <v>62</v>
      </c>
      <c r="Z372" s="170">
        <v>2500000</v>
      </c>
      <c r="AA372" s="184">
        <v>1</v>
      </c>
      <c r="AB372" s="186">
        <v>110.87</v>
      </c>
      <c r="AC372" s="9"/>
      <c r="AD372" s="170">
        <v>2771.75</v>
      </c>
      <c r="AE372" s="9"/>
      <c r="AF372" s="9"/>
      <c r="AG372" s="9" t="s">
        <v>17</v>
      </c>
      <c r="AH372" s="185">
        <v>5.0799999999999999E-4</v>
      </c>
      <c r="AI372" s="185">
        <v>1.47174059002474E-2</v>
      </c>
      <c r="AJ372" s="185">
        <v>2.4912055390348799E-3</v>
      </c>
    </row>
    <row r="373" spans="1:36">
      <c r="A373" s="9">
        <v>337</v>
      </c>
      <c r="B373" s="9">
        <v>9963</v>
      </c>
      <c r="C373" s="9" t="s">
        <v>2441</v>
      </c>
      <c r="D373" s="9" t="s">
        <v>2442</v>
      </c>
      <c r="E373" s="5" t="s">
        <v>1346</v>
      </c>
      <c r="F373" s="9" t="s">
        <v>2446</v>
      </c>
      <c r="G373" s="9" t="s">
        <v>2447</v>
      </c>
      <c r="H373" s="9" t="s">
        <v>76</v>
      </c>
      <c r="I373" s="9" t="s">
        <v>229</v>
      </c>
      <c r="J373" s="9" t="s">
        <v>53</v>
      </c>
      <c r="K373" s="9" t="s">
        <v>53</v>
      </c>
      <c r="L373" s="9" t="s">
        <v>803</v>
      </c>
      <c r="M373" s="9" t="s">
        <v>1691</v>
      </c>
      <c r="N373" s="9" t="s">
        <v>156</v>
      </c>
      <c r="O373" s="9" t="s">
        <v>62</v>
      </c>
      <c r="P373" s="9" t="s">
        <v>1641</v>
      </c>
      <c r="Q373" s="9" t="s">
        <v>65</v>
      </c>
      <c r="R373" s="9" t="s">
        <v>57</v>
      </c>
      <c r="S373" s="9" t="s">
        <v>1259</v>
      </c>
      <c r="T373" s="170">
        <v>7.8319999999999999</v>
      </c>
      <c r="U373" s="9" t="s">
        <v>2448</v>
      </c>
      <c r="V373" s="199">
        <v>2.9899999999999999E-2</v>
      </c>
      <c r="W373" s="185">
        <v>2.759E-2</v>
      </c>
      <c r="X373" s="5" t="s">
        <v>618</v>
      </c>
      <c r="Y373" s="5" t="s">
        <v>62</v>
      </c>
      <c r="Z373" s="170">
        <v>278000</v>
      </c>
      <c r="AA373" s="184">
        <v>1</v>
      </c>
      <c r="AB373" s="186">
        <v>103.17</v>
      </c>
      <c r="AC373" s="9"/>
      <c r="AD373" s="170">
        <v>286.81299999999999</v>
      </c>
      <c r="AE373" s="9"/>
      <c r="AF373" s="9"/>
      <c r="AG373" s="9" t="s">
        <v>17</v>
      </c>
      <c r="AH373" s="185">
        <v>7.18E-4</v>
      </c>
      <c r="AI373" s="185">
        <v>1.5229142063697299E-3</v>
      </c>
      <c r="AJ373" s="185">
        <v>2.5778267801388898E-4</v>
      </c>
    </row>
    <row r="374" spans="1:36">
      <c r="A374" s="9">
        <v>337</v>
      </c>
      <c r="B374" s="9">
        <v>9963</v>
      </c>
      <c r="C374" s="9" t="s">
        <v>2449</v>
      </c>
      <c r="D374" s="9" t="s">
        <v>2450</v>
      </c>
      <c r="E374" s="5" t="s">
        <v>765</v>
      </c>
      <c r="F374" s="9" t="s">
        <v>2451</v>
      </c>
      <c r="G374" s="9" t="s">
        <v>2452</v>
      </c>
      <c r="H374" s="9" t="s">
        <v>76</v>
      </c>
      <c r="I374" s="9" t="s">
        <v>230</v>
      </c>
      <c r="J374" s="9" t="s">
        <v>53</v>
      </c>
      <c r="K374" s="9" t="s">
        <v>314</v>
      </c>
      <c r="L374" s="9" t="s">
        <v>803</v>
      </c>
      <c r="M374" s="9" t="s">
        <v>311</v>
      </c>
      <c r="N374" s="9" t="s">
        <v>634</v>
      </c>
      <c r="O374" s="9" t="s">
        <v>62</v>
      </c>
      <c r="P374" s="9" t="s">
        <v>2239</v>
      </c>
      <c r="Q374" s="9" t="s">
        <v>65</v>
      </c>
      <c r="R374" s="9" t="s">
        <v>57</v>
      </c>
      <c r="S374" s="9" t="s">
        <v>1215</v>
      </c>
      <c r="T374" s="170">
        <v>1.5920000000000001</v>
      </c>
      <c r="U374" s="9" t="s">
        <v>2453</v>
      </c>
      <c r="V374" s="199">
        <v>4.7199999999999999E-2</v>
      </c>
      <c r="W374" s="185">
        <v>5.8950000000000002E-2</v>
      </c>
      <c r="X374" s="5" t="s">
        <v>618</v>
      </c>
      <c r="Y374" s="5" t="s">
        <v>62</v>
      </c>
      <c r="Z374" s="170">
        <v>1576000</v>
      </c>
      <c r="AA374" s="184">
        <v>3.3719999999999999</v>
      </c>
      <c r="AB374" s="186">
        <v>31.234000000000002</v>
      </c>
      <c r="AC374" s="9"/>
      <c r="AD374" s="170">
        <v>1659.8430000000001</v>
      </c>
      <c r="AE374" s="9"/>
      <c r="AF374" s="9"/>
      <c r="AG374" s="9" t="s">
        <v>17</v>
      </c>
      <c r="AH374" s="185">
        <v>4.7910000000000001E-3</v>
      </c>
      <c r="AI374" s="185">
        <v>8.8134161108200607E-3</v>
      </c>
      <c r="AJ374" s="185">
        <v>1.49184110174777E-3</v>
      </c>
    </row>
    <row r="375" spans="1:36">
      <c r="A375" s="9">
        <v>337</v>
      </c>
      <c r="B375" s="9">
        <v>9963</v>
      </c>
      <c r="C375" s="9" t="s">
        <v>2890</v>
      </c>
      <c r="D375" s="9" t="s">
        <v>2891</v>
      </c>
      <c r="E375" s="5" t="s">
        <v>1346</v>
      </c>
      <c r="F375" s="9" t="s">
        <v>2892</v>
      </c>
      <c r="G375" s="9" t="s">
        <v>2893</v>
      </c>
      <c r="H375" s="9" t="s">
        <v>76</v>
      </c>
      <c r="I375" s="9" t="s">
        <v>228</v>
      </c>
      <c r="J375" s="9" t="s">
        <v>53</v>
      </c>
      <c r="K375" s="9" t="s">
        <v>53</v>
      </c>
      <c r="L375" s="9" t="s">
        <v>803</v>
      </c>
      <c r="M375" s="9" t="s">
        <v>311</v>
      </c>
      <c r="N375" s="9" t="s">
        <v>75</v>
      </c>
      <c r="O375" s="9" t="s">
        <v>62</v>
      </c>
      <c r="P375" s="9" t="s">
        <v>2239</v>
      </c>
      <c r="Q375" s="9" t="s">
        <v>65</v>
      </c>
      <c r="R375" s="9" t="s">
        <v>57</v>
      </c>
      <c r="S375" s="9" t="s">
        <v>1259</v>
      </c>
      <c r="T375" s="170">
        <v>2.6160000000000001</v>
      </c>
      <c r="U375" s="9" t="s">
        <v>2894</v>
      </c>
      <c r="V375" s="199">
        <v>4.6800000000000001E-2</v>
      </c>
      <c r="W375" s="185">
        <v>4.9119999999999997E-2</v>
      </c>
      <c r="X375" s="5" t="s">
        <v>618</v>
      </c>
      <c r="Y375" s="5" t="s">
        <v>62</v>
      </c>
      <c r="Z375" s="170">
        <v>350900.77</v>
      </c>
      <c r="AA375" s="184">
        <v>1</v>
      </c>
      <c r="AB375" s="186">
        <v>100.28</v>
      </c>
      <c r="AC375" s="9"/>
      <c r="AD375" s="170">
        <v>351.88299999999998</v>
      </c>
      <c r="AE375" s="9"/>
      <c r="AF375" s="9"/>
      <c r="AG375" s="9" t="s">
        <v>17</v>
      </c>
      <c r="AH375" s="185">
        <v>9.4399999999999996E-4</v>
      </c>
      <c r="AI375" s="185">
        <v>1.8684258104717901E-3</v>
      </c>
      <c r="AJ375" s="185">
        <v>3.16267198164646E-4</v>
      </c>
    </row>
    <row r="376" spans="1:36">
      <c r="A376" s="9">
        <v>337</v>
      </c>
      <c r="B376" s="9">
        <v>9963</v>
      </c>
      <c r="C376" s="9" t="s">
        <v>2462</v>
      </c>
      <c r="D376" s="9" t="s">
        <v>2463</v>
      </c>
      <c r="E376" s="5" t="s">
        <v>1346</v>
      </c>
      <c r="F376" s="9" t="s">
        <v>2464</v>
      </c>
      <c r="G376" s="9" t="s">
        <v>2465</v>
      </c>
      <c r="H376" s="9" t="s">
        <v>76</v>
      </c>
      <c r="I376" s="9" t="s">
        <v>229</v>
      </c>
      <c r="J376" s="9" t="s">
        <v>53</v>
      </c>
      <c r="K376" s="9" t="s">
        <v>53</v>
      </c>
      <c r="L376" s="9" t="s">
        <v>803</v>
      </c>
      <c r="M376" s="9" t="s">
        <v>311</v>
      </c>
      <c r="N376" s="9" t="s">
        <v>256</v>
      </c>
      <c r="O376" s="9" t="s">
        <v>62</v>
      </c>
      <c r="P376" s="9" t="s">
        <v>2239</v>
      </c>
      <c r="Q376" s="9" t="s">
        <v>65</v>
      </c>
      <c r="R376" s="9" t="s">
        <v>57</v>
      </c>
      <c r="S376" s="9" t="s">
        <v>1259</v>
      </c>
      <c r="T376" s="170">
        <v>3.8740000000000001</v>
      </c>
      <c r="U376" s="9" t="s">
        <v>2466</v>
      </c>
      <c r="V376" s="199">
        <v>2.5899999999999999E-2</v>
      </c>
      <c r="W376" s="185">
        <v>2.7470000000000001E-2</v>
      </c>
      <c r="X376" s="5" t="s">
        <v>618</v>
      </c>
      <c r="Y376" s="5" t="s">
        <v>62</v>
      </c>
      <c r="Z376" s="170">
        <v>922000</v>
      </c>
      <c r="AA376" s="184">
        <v>1</v>
      </c>
      <c r="AB376" s="186">
        <v>105.24</v>
      </c>
      <c r="AC376" s="9"/>
      <c r="AD376" s="170">
        <v>970.31299999999999</v>
      </c>
      <c r="AE376" s="9"/>
      <c r="AF376" s="9"/>
      <c r="AG376" s="9" t="s">
        <v>17</v>
      </c>
      <c r="AH376" s="185">
        <v>1.3500000000000001E-3</v>
      </c>
      <c r="AI376" s="185">
        <v>5.1521556156960604E-3</v>
      </c>
      <c r="AJ376" s="185">
        <v>8.7210196516873705E-4</v>
      </c>
    </row>
    <row r="377" spans="1:36">
      <c r="A377" s="9">
        <v>337</v>
      </c>
      <c r="B377" s="9">
        <v>9963</v>
      </c>
      <c r="C377" s="9" t="s">
        <v>2467</v>
      </c>
      <c r="D377" s="9" t="s">
        <v>2468</v>
      </c>
      <c r="E377" s="5" t="s">
        <v>1346</v>
      </c>
      <c r="F377" s="9" t="s">
        <v>2469</v>
      </c>
      <c r="G377" s="9" t="s">
        <v>2470</v>
      </c>
      <c r="H377" s="9" t="s">
        <v>76</v>
      </c>
      <c r="I377" s="9" t="s">
        <v>229</v>
      </c>
      <c r="J377" s="9" t="s">
        <v>53</v>
      </c>
      <c r="K377" s="9" t="s">
        <v>53</v>
      </c>
      <c r="L377" s="9" t="s">
        <v>803</v>
      </c>
      <c r="M377" s="9" t="s">
        <v>311</v>
      </c>
      <c r="N377" s="9" t="s">
        <v>633</v>
      </c>
      <c r="O377" s="9" t="s">
        <v>62</v>
      </c>
      <c r="P377" s="167" t="s">
        <v>298</v>
      </c>
      <c r="Q377" s="9" t="s">
        <v>298</v>
      </c>
      <c r="R377" s="9" t="s">
        <v>298</v>
      </c>
      <c r="S377" s="9" t="s">
        <v>1259</v>
      </c>
      <c r="T377" s="170">
        <v>2.3610000000000002</v>
      </c>
      <c r="U377" s="9" t="s">
        <v>2428</v>
      </c>
      <c r="V377" s="199">
        <v>4.4999999999999998E-2</v>
      </c>
      <c r="W377" s="185">
        <v>3.3390000000000003E-2</v>
      </c>
      <c r="X377" s="5" t="s">
        <v>618</v>
      </c>
      <c r="Y377" s="5" t="s">
        <v>62</v>
      </c>
      <c r="Z377" s="170">
        <v>1430124</v>
      </c>
      <c r="AA377" s="184">
        <v>1</v>
      </c>
      <c r="AB377" s="186">
        <v>108.49</v>
      </c>
      <c r="AC377" s="9"/>
      <c r="AD377" s="170">
        <v>1551.5419999999999</v>
      </c>
      <c r="AE377" s="9"/>
      <c r="AF377" s="9"/>
      <c r="AG377" s="9" t="s">
        <v>17</v>
      </c>
      <c r="AH377" s="185">
        <v>1.4599999999999999E-3</v>
      </c>
      <c r="AI377" s="185">
        <v>8.2383571508177506E-3</v>
      </c>
      <c r="AJ377" s="185">
        <v>1.3945012528546099E-3</v>
      </c>
    </row>
    <row r="378" spans="1:36">
      <c r="A378" s="9">
        <v>337</v>
      </c>
      <c r="B378" s="9">
        <v>9963</v>
      </c>
      <c r="C378" s="9" t="s">
        <v>2478</v>
      </c>
      <c r="D378" s="9" t="s">
        <v>2479</v>
      </c>
      <c r="E378" s="5" t="s">
        <v>1346</v>
      </c>
      <c r="F378" s="9" t="s">
        <v>2480</v>
      </c>
      <c r="G378" s="9" t="s">
        <v>2481</v>
      </c>
      <c r="H378" s="9" t="s">
        <v>76</v>
      </c>
      <c r="I378" s="9" t="s">
        <v>229</v>
      </c>
      <c r="J378" s="9" t="s">
        <v>53</v>
      </c>
      <c r="K378" s="9" t="s">
        <v>53</v>
      </c>
      <c r="L378" s="9" t="s">
        <v>803</v>
      </c>
      <c r="M378" s="9" t="s">
        <v>311</v>
      </c>
      <c r="N378" s="9" t="s">
        <v>633</v>
      </c>
      <c r="O378" s="9" t="s">
        <v>62</v>
      </c>
      <c r="P378" s="9" t="s">
        <v>2246</v>
      </c>
      <c r="Q378" s="9" t="s">
        <v>65</v>
      </c>
      <c r="R378" s="9" t="s">
        <v>57</v>
      </c>
      <c r="S378" s="9" t="s">
        <v>1259</v>
      </c>
      <c r="T378" s="170">
        <v>1.7569999999999999</v>
      </c>
      <c r="U378" s="9" t="s">
        <v>2482</v>
      </c>
      <c r="V378" s="199">
        <v>1.5800000000000002E-2</v>
      </c>
      <c r="W378" s="185">
        <v>2.7789999999999999E-2</v>
      </c>
      <c r="X378" s="5" t="s">
        <v>618</v>
      </c>
      <c r="Y378" s="5" t="s">
        <v>62</v>
      </c>
      <c r="Z378" s="170">
        <v>737332.37</v>
      </c>
      <c r="AA378" s="184">
        <v>1</v>
      </c>
      <c r="AB378" s="186">
        <v>116.04</v>
      </c>
      <c r="AC378" s="9"/>
      <c r="AD378" s="170">
        <v>855.6</v>
      </c>
      <c r="AE378" s="9"/>
      <c r="AF378" s="9"/>
      <c r="AG378" s="9" t="s">
        <v>17</v>
      </c>
      <c r="AH378" s="185">
        <v>1.8730000000000001E-3</v>
      </c>
      <c r="AI378" s="185">
        <v>4.5430574850615999E-3</v>
      </c>
      <c r="AJ378" s="185">
        <v>7.6900032843078001E-4</v>
      </c>
    </row>
    <row r="379" spans="1:36">
      <c r="A379" s="9">
        <v>337</v>
      </c>
      <c r="B379" s="9">
        <v>9963</v>
      </c>
      <c r="C379" s="9" t="s">
        <v>2478</v>
      </c>
      <c r="D379" s="9" t="s">
        <v>2479</v>
      </c>
      <c r="E379" s="5" t="s">
        <v>1346</v>
      </c>
      <c r="F379" s="9" t="s">
        <v>2486</v>
      </c>
      <c r="G379" s="9" t="s">
        <v>2487</v>
      </c>
      <c r="H379" s="9" t="s">
        <v>76</v>
      </c>
      <c r="I379" s="9" t="s">
        <v>229</v>
      </c>
      <c r="J379" s="9" t="s">
        <v>53</v>
      </c>
      <c r="K379" s="9" t="s">
        <v>53</v>
      </c>
      <c r="L379" s="9" t="s">
        <v>803</v>
      </c>
      <c r="M379" s="9" t="s">
        <v>311</v>
      </c>
      <c r="N379" s="9" t="s">
        <v>633</v>
      </c>
      <c r="O379" s="9" t="s">
        <v>62</v>
      </c>
      <c r="P379" s="9" t="s">
        <v>2246</v>
      </c>
      <c r="Q379" s="9" t="s">
        <v>65</v>
      </c>
      <c r="R379" s="9" t="s">
        <v>57</v>
      </c>
      <c r="S379" s="9" t="s">
        <v>1259</v>
      </c>
      <c r="T379" s="170">
        <v>4.2240000000000002</v>
      </c>
      <c r="U379" s="9" t="s">
        <v>2488</v>
      </c>
      <c r="V379" s="199">
        <v>8.3999999999999995E-3</v>
      </c>
      <c r="W379" s="185">
        <v>2.7869999999999999E-2</v>
      </c>
      <c r="X379" s="5" t="s">
        <v>618</v>
      </c>
      <c r="Y379" s="5" t="s">
        <v>62</v>
      </c>
      <c r="Z379" s="170">
        <v>1586973.15</v>
      </c>
      <c r="AA379" s="184">
        <v>1</v>
      </c>
      <c r="AB379" s="186">
        <v>107.28</v>
      </c>
      <c r="AC379" s="9"/>
      <c r="AD379" s="170">
        <v>1702.5050000000001</v>
      </c>
      <c r="AE379" s="9"/>
      <c r="AF379" s="9"/>
      <c r="AG379" s="9" t="s">
        <v>17</v>
      </c>
      <c r="AH379" s="185">
        <v>2.0699999999999998E-3</v>
      </c>
      <c r="AI379" s="185">
        <v>9.0399401532757408E-3</v>
      </c>
      <c r="AJ379" s="185">
        <v>1.5301846762278801E-3</v>
      </c>
    </row>
    <row r="380" spans="1:36">
      <c r="A380" s="9">
        <v>337</v>
      </c>
      <c r="B380" s="9">
        <v>9963</v>
      </c>
      <c r="C380" s="9" t="s">
        <v>1982</v>
      </c>
      <c r="D380" s="9" t="s">
        <v>1983</v>
      </c>
      <c r="E380" s="5" t="s">
        <v>1346</v>
      </c>
      <c r="F380" s="9" t="s">
        <v>2489</v>
      </c>
      <c r="G380" s="9" t="s">
        <v>2490</v>
      </c>
      <c r="H380" s="9" t="s">
        <v>76</v>
      </c>
      <c r="I380" s="9" t="s">
        <v>228</v>
      </c>
      <c r="J380" s="9" t="s">
        <v>53</v>
      </c>
      <c r="K380" s="9" t="s">
        <v>53</v>
      </c>
      <c r="L380" s="9" t="s">
        <v>803</v>
      </c>
      <c r="M380" s="9" t="s">
        <v>311</v>
      </c>
      <c r="N380" s="9" t="s">
        <v>269</v>
      </c>
      <c r="O380" s="9" t="s">
        <v>62</v>
      </c>
      <c r="P380" s="9" t="s">
        <v>2239</v>
      </c>
      <c r="Q380" s="9" t="s">
        <v>65</v>
      </c>
      <c r="R380" s="9" t="s">
        <v>57</v>
      </c>
      <c r="S380" s="9" t="s">
        <v>1259</v>
      </c>
      <c r="T380" s="170">
        <v>4.694</v>
      </c>
      <c r="U380" s="9" t="s">
        <v>2491</v>
      </c>
      <c r="V380" s="199">
        <v>5.2499999999999998E-2</v>
      </c>
      <c r="W380" s="185">
        <v>4.6530000000000002E-2</v>
      </c>
      <c r="X380" s="5" t="s">
        <v>618</v>
      </c>
      <c r="Y380" s="5" t="s">
        <v>62</v>
      </c>
      <c r="Z380" s="170">
        <v>1393000</v>
      </c>
      <c r="AA380" s="184">
        <v>1</v>
      </c>
      <c r="AB380" s="186">
        <v>103.89</v>
      </c>
      <c r="AC380" s="9"/>
      <c r="AD380" s="170">
        <v>1447.1880000000001</v>
      </c>
      <c r="AE380" s="9"/>
      <c r="AF380" s="9"/>
      <c r="AG380" s="9" t="s">
        <v>17</v>
      </c>
      <c r="AH380" s="185">
        <v>2.7859999999999998E-3</v>
      </c>
      <c r="AI380" s="185">
        <v>7.6842604112006699E-3</v>
      </c>
      <c r="AJ380" s="185">
        <v>1.30070966510802E-3</v>
      </c>
    </row>
    <row r="381" spans="1:36">
      <c r="A381" s="9">
        <v>337</v>
      </c>
      <c r="B381" s="9">
        <v>9963</v>
      </c>
      <c r="C381" s="9" t="s">
        <v>2492</v>
      </c>
      <c r="D381" s="9" t="s">
        <v>2493</v>
      </c>
      <c r="E381" s="5" t="s">
        <v>1346</v>
      </c>
      <c r="F381" s="9" t="s">
        <v>2494</v>
      </c>
      <c r="G381" s="9" t="s">
        <v>2495</v>
      </c>
      <c r="H381" s="9" t="s">
        <v>76</v>
      </c>
      <c r="I381" s="9" t="s">
        <v>228</v>
      </c>
      <c r="J381" s="9" t="s">
        <v>53</v>
      </c>
      <c r="K381" s="9" t="s">
        <v>53</v>
      </c>
      <c r="L381" s="9" t="s">
        <v>803</v>
      </c>
      <c r="M381" s="9" t="s">
        <v>1691</v>
      </c>
      <c r="N381" s="9" t="s">
        <v>269</v>
      </c>
      <c r="O381" s="9" t="s">
        <v>62</v>
      </c>
      <c r="P381" s="9" t="s">
        <v>2239</v>
      </c>
      <c r="Q381" s="9" t="s">
        <v>65</v>
      </c>
      <c r="R381" s="9" t="s">
        <v>57</v>
      </c>
      <c r="S381" s="9" t="s">
        <v>1259</v>
      </c>
      <c r="T381" s="170">
        <v>8.5109999999999992</v>
      </c>
      <c r="U381" s="9" t="s">
        <v>2496</v>
      </c>
      <c r="V381" s="199">
        <v>5.5100000000000003E-2</v>
      </c>
      <c r="W381" s="185">
        <v>5.1450000000000003E-2</v>
      </c>
      <c r="X381" s="5" t="s">
        <v>618</v>
      </c>
      <c r="Y381" s="5" t="s">
        <v>62</v>
      </c>
      <c r="Z381" s="170">
        <v>1995000</v>
      </c>
      <c r="AA381" s="184">
        <v>1</v>
      </c>
      <c r="AB381" s="186">
        <v>104.59</v>
      </c>
      <c r="AC381" s="9"/>
      <c r="AD381" s="170">
        <v>2086.5700000000002</v>
      </c>
      <c r="AE381" s="9"/>
      <c r="AF381" s="9"/>
      <c r="AG381" s="9" t="s">
        <v>17</v>
      </c>
      <c r="AH381" s="185">
        <v>3.9899999999999996E-3</v>
      </c>
      <c r="AI381" s="185">
        <v>1.107924776332E-2</v>
      </c>
      <c r="AJ381" s="185">
        <v>1.8753769233108299E-3</v>
      </c>
    </row>
    <row r="382" spans="1:36">
      <c r="A382" s="9">
        <v>337</v>
      </c>
      <c r="B382" s="9">
        <v>9963</v>
      </c>
      <c r="C382" s="9" t="s">
        <v>1663</v>
      </c>
      <c r="D382" s="9" t="s">
        <v>1664</v>
      </c>
      <c r="E382" s="5" t="s">
        <v>1346</v>
      </c>
      <c r="F382" s="9" t="s">
        <v>2497</v>
      </c>
      <c r="G382" s="9" t="s">
        <v>2498</v>
      </c>
      <c r="H382" s="9" t="s">
        <v>76</v>
      </c>
      <c r="I382" s="9" t="s">
        <v>229</v>
      </c>
      <c r="J382" s="9" t="s">
        <v>53</v>
      </c>
      <c r="K382" s="9" t="s">
        <v>53</v>
      </c>
      <c r="L382" s="9" t="s">
        <v>803</v>
      </c>
      <c r="M382" s="9" t="s">
        <v>311</v>
      </c>
      <c r="N382" s="9" t="s">
        <v>256</v>
      </c>
      <c r="O382" s="9" t="s">
        <v>62</v>
      </c>
      <c r="P382" s="9" t="s">
        <v>1641</v>
      </c>
      <c r="Q382" s="9" t="s">
        <v>65</v>
      </c>
      <c r="R382" s="9" t="s">
        <v>57</v>
      </c>
      <c r="S382" s="9" t="s">
        <v>1259</v>
      </c>
      <c r="T382" s="170">
        <v>2.0920000000000001</v>
      </c>
      <c r="U382" s="9" t="s">
        <v>2499</v>
      </c>
      <c r="V382" s="199">
        <v>1.8599999999999998E-2</v>
      </c>
      <c r="W382" s="185">
        <v>2.5680000000000001E-2</v>
      </c>
      <c r="X382" s="5" t="s">
        <v>618</v>
      </c>
      <c r="Y382" s="5" t="s">
        <v>62</v>
      </c>
      <c r="Z382" s="170">
        <v>1347300</v>
      </c>
      <c r="AA382" s="184">
        <v>1</v>
      </c>
      <c r="AB382" s="186">
        <v>104.2</v>
      </c>
      <c r="AC382" s="9"/>
      <c r="AD382" s="170">
        <v>1403.8869999999999</v>
      </c>
      <c r="AE382" s="9"/>
      <c r="AF382" s="9"/>
      <c r="AG382" s="9" t="s">
        <v>17</v>
      </c>
      <c r="AH382" s="185">
        <v>4.6900000000000002E-4</v>
      </c>
      <c r="AI382" s="185">
        <v>7.4543407342358599E-3</v>
      </c>
      <c r="AJ382" s="185">
        <v>1.26179131382587E-3</v>
      </c>
    </row>
    <row r="383" spans="1:36">
      <c r="A383" s="9">
        <v>337</v>
      </c>
      <c r="B383" s="9">
        <v>9963</v>
      </c>
      <c r="C383" s="9" t="s">
        <v>1663</v>
      </c>
      <c r="D383" s="9" t="s">
        <v>1664</v>
      </c>
      <c r="E383" s="5" t="s">
        <v>1346</v>
      </c>
      <c r="F383" s="9" t="s">
        <v>2500</v>
      </c>
      <c r="G383" s="9" t="s">
        <v>2501</v>
      </c>
      <c r="H383" s="9" t="s">
        <v>76</v>
      </c>
      <c r="I383" s="9" t="s">
        <v>229</v>
      </c>
      <c r="J383" s="9" t="s">
        <v>53</v>
      </c>
      <c r="K383" s="9" t="s">
        <v>53</v>
      </c>
      <c r="L383" s="9" t="s">
        <v>803</v>
      </c>
      <c r="M383" s="9" t="s">
        <v>311</v>
      </c>
      <c r="N383" s="9" t="s">
        <v>256</v>
      </c>
      <c r="O383" s="9" t="s">
        <v>62</v>
      </c>
      <c r="P383" s="9" t="s">
        <v>1641</v>
      </c>
      <c r="Q383" s="9" t="s">
        <v>65</v>
      </c>
      <c r="R383" s="9" t="s">
        <v>57</v>
      </c>
      <c r="S383" s="9" t="s">
        <v>1259</v>
      </c>
      <c r="T383" s="170">
        <v>4.3879999999999999</v>
      </c>
      <c r="U383" s="9" t="s">
        <v>2502</v>
      </c>
      <c r="V383" s="199">
        <v>2.0199999999999999E-2</v>
      </c>
      <c r="W383" s="185">
        <v>2.6360000000000001E-2</v>
      </c>
      <c r="X383" s="5" t="s">
        <v>618</v>
      </c>
      <c r="Y383" s="5" t="s">
        <v>62</v>
      </c>
      <c r="Z383" s="170">
        <v>3497000</v>
      </c>
      <c r="AA383" s="184">
        <v>1</v>
      </c>
      <c r="AB383" s="186">
        <v>102.52</v>
      </c>
      <c r="AC383" s="9"/>
      <c r="AD383" s="170">
        <v>3585.1239999999998</v>
      </c>
      <c r="AE383" s="9"/>
      <c r="AF383" s="9"/>
      <c r="AG383" s="9" t="s">
        <v>17</v>
      </c>
      <c r="AH383" s="185">
        <v>9.7999999999999997E-4</v>
      </c>
      <c r="AI383" s="185">
        <v>1.90362518256267E-2</v>
      </c>
      <c r="AJ383" s="185">
        <v>3.2222537254114202E-3</v>
      </c>
    </row>
    <row r="384" spans="1:36">
      <c r="A384" s="9">
        <v>337</v>
      </c>
      <c r="B384" s="9">
        <v>9963</v>
      </c>
      <c r="C384" s="9" t="s">
        <v>1663</v>
      </c>
      <c r="D384" s="9" t="s">
        <v>1664</v>
      </c>
      <c r="E384" s="5" t="s">
        <v>1346</v>
      </c>
      <c r="F384" s="9" t="s">
        <v>2503</v>
      </c>
      <c r="G384" s="9" t="s">
        <v>2504</v>
      </c>
      <c r="H384" s="9" t="s">
        <v>76</v>
      </c>
      <c r="I384" s="9" t="s">
        <v>229</v>
      </c>
      <c r="J384" s="9" t="s">
        <v>53</v>
      </c>
      <c r="K384" s="9" t="s">
        <v>53</v>
      </c>
      <c r="L384" s="9" t="s">
        <v>803</v>
      </c>
      <c r="M384" s="9" t="s">
        <v>311</v>
      </c>
      <c r="N384" s="9" t="s">
        <v>256</v>
      </c>
      <c r="O384" s="9" t="s">
        <v>62</v>
      </c>
      <c r="P384" s="9" t="s">
        <v>1641</v>
      </c>
      <c r="Q384" s="9" t="s">
        <v>65</v>
      </c>
      <c r="R384" s="9" t="s">
        <v>57</v>
      </c>
      <c r="S384" s="9" t="s">
        <v>1259</v>
      </c>
      <c r="T384" s="170">
        <v>4.3920000000000003</v>
      </c>
      <c r="U384" s="9" t="s">
        <v>2505</v>
      </c>
      <c r="V384" s="199">
        <v>1E-3</v>
      </c>
      <c r="W384" s="185">
        <v>2.581E-2</v>
      </c>
      <c r="X384" s="5" t="s">
        <v>618</v>
      </c>
      <c r="Y384" s="5" t="s">
        <v>62</v>
      </c>
      <c r="Z384" s="170">
        <v>604000</v>
      </c>
      <c r="AA384" s="184">
        <v>1</v>
      </c>
      <c r="AB384" s="186">
        <v>102.6</v>
      </c>
      <c r="AC384" s="9"/>
      <c r="AD384" s="170">
        <v>619.70399999999995</v>
      </c>
      <c r="AE384" s="9"/>
      <c r="AF384" s="9"/>
      <c r="AG384" s="9" t="s">
        <v>17</v>
      </c>
      <c r="AH384" s="185">
        <v>1.4100000000000001E-4</v>
      </c>
      <c r="AI384" s="185">
        <v>3.29049708884528E-3</v>
      </c>
      <c r="AJ384" s="185">
        <v>5.5698026061588304E-4</v>
      </c>
    </row>
    <row r="385" spans="1:36">
      <c r="A385" s="9">
        <v>337</v>
      </c>
      <c r="B385" s="9">
        <v>9963</v>
      </c>
      <c r="C385" s="9" t="s">
        <v>1663</v>
      </c>
      <c r="D385" s="9" t="s">
        <v>1664</v>
      </c>
      <c r="E385" s="5" t="s">
        <v>1346</v>
      </c>
      <c r="F385" s="9" t="s">
        <v>2506</v>
      </c>
      <c r="G385" s="9" t="s">
        <v>2507</v>
      </c>
      <c r="H385" s="9" t="s">
        <v>76</v>
      </c>
      <c r="I385" s="9" t="s">
        <v>229</v>
      </c>
      <c r="J385" s="9" t="s">
        <v>53</v>
      </c>
      <c r="K385" s="9" t="s">
        <v>53</v>
      </c>
      <c r="L385" s="9" t="s">
        <v>803</v>
      </c>
      <c r="M385" s="9" t="s">
        <v>311</v>
      </c>
      <c r="N385" s="9" t="s">
        <v>256</v>
      </c>
      <c r="O385" s="9" t="s">
        <v>62</v>
      </c>
      <c r="P385" s="9" t="s">
        <v>2239</v>
      </c>
      <c r="Q385" s="9" t="s">
        <v>65</v>
      </c>
      <c r="R385" s="9" t="s">
        <v>57</v>
      </c>
      <c r="S385" s="9" t="s">
        <v>1259</v>
      </c>
      <c r="T385" s="170">
        <v>2.6920000000000002</v>
      </c>
      <c r="U385" s="9" t="s">
        <v>2508</v>
      </c>
      <c r="V385" s="199">
        <v>1.4999999999999999E-2</v>
      </c>
      <c r="W385" s="185">
        <v>2.954E-2</v>
      </c>
      <c r="X385" s="5" t="s">
        <v>618</v>
      </c>
      <c r="Y385" s="5" t="s">
        <v>62</v>
      </c>
      <c r="Z385" s="170">
        <v>2000000</v>
      </c>
      <c r="AA385" s="184">
        <v>1</v>
      </c>
      <c r="AB385" s="186">
        <v>109.15</v>
      </c>
      <c r="AC385" s="9"/>
      <c r="AD385" s="170">
        <v>2183</v>
      </c>
      <c r="AE385" s="9"/>
      <c r="AF385" s="9"/>
      <c r="AG385" s="9" t="s">
        <v>17</v>
      </c>
      <c r="AH385" s="185">
        <v>1.4250000000000001E-3</v>
      </c>
      <c r="AI385" s="185">
        <v>1.1591268000447401E-2</v>
      </c>
      <c r="AJ385" s="185">
        <v>1.9620462493778802E-3</v>
      </c>
    </row>
    <row r="386" spans="1:36">
      <c r="A386" s="9">
        <v>337</v>
      </c>
      <c r="B386" s="9">
        <v>9963</v>
      </c>
      <c r="C386" s="9" t="s">
        <v>1663</v>
      </c>
      <c r="D386" s="9" t="s">
        <v>1664</v>
      </c>
      <c r="E386" s="5" t="s">
        <v>1346</v>
      </c>
      <c r="F386" s="9" t="s">
        <v>2509</v>
      </c>
      <c r="G386" s="9" t="s">
        <v>2510</v>
      </c>
      <c r="H386" s="9" t="s">
        <v>76</v>
      </c>
      <c r="I386" s="9" t="s">
        <v>229</v>
      </c>
      <c r="J386" s="9" t="s">
        <v>53</v>
      </c>
      <c r="K386" s="9" t="s">
        <v>53</v>
      </c>
      <c r="L386" s="9" t="s">
        <v>803</v>
      </c>
      <c r="M386" s="9" t="s">
        <v>1691</v>
      </c>
      <c r="N386" s="9" t="s">
        <v>256</v>
      </c>
      <c r="O386" s="9" t="s">
        <v>62</v>
      </c>
      <c r="P386" s="9" t="s">
        <v>2239</v>
      </c>
      <c r="Q386" s="9" t="s">
        <v>65</v>
      </c>
      <c r="R386" s="9" t="s">
        <v>57</v>
      </c>
      <c r="S386" s="9" t="s">
        <v>1259</v>
      </c>
      <c r="T386" s="170">
        <v>5.2320000000000002</v>
      </c>
      <c r="U386" s="9" t="s">
        <v>2511</v>
      </c>
      <c r="V386" s="199">
        <v>3.1E-2</v>
      </c>
      <c r="W386" s="185">
        <v>2.937E-2</v>
      </c>
      <c r="X386" s="5" t="s">
        <v>618</v>
      </c>
      <c r="Y386" s="5" t="s">
        <v>62</v>
      </c>
      <c r="Z386" s="170">
        <v>2000000</v>
      </c>
      <c r="AA386" s="184">
        <v>1</v>
      </c>
      <c r="AB386" s="186">
        <v>103.76</v>
      </c>
      <c r="AC386" s="9"/>
      <c r="AD386" s="170">
        <v>2075.1999999999998</v>
      </c>
      <c r="AE386" s="9"/>
      <c r="AF386" s="9"/>
      <c r="AG386" s="9" t="s">
        <v>17</v>
      </c>
      <c r="AH386" s="185">
        <v>1.3029999999999999E-3</v>
      </c>
      <c r="AI386" s="185">
        <v>1.10188728147176E-2</v>
      </c>
      <c r="AJ386" s="185">
        <v>1.86515729578973E-3</v>
      </c>
    </row>
    <row r="387" spans="1:36">
      <c r="A387" s="9">
        <v>337</v>
      </c>
      <c r="B387" s="9">
        <v>9963</v>
      </c>
      <c r="C387" s="9" t="s">
        <v>2512</v>
      </c>
      <c r="D387" s="9" t="s">
        <v>2513</v>
      </c>
      <c r="E387" s="5" t="s">
        <v>1346</v>
      </c>
      <c r="F387" s="9" t="s">
        <v>2514</v>
      </c>
      <c r="G387" s="9" t="s">
        <v>2515</v>
      </c>
      <c r="H387" s="9" t="s">
        <v>76</v>
      </c>
      <c r="I387" s="9" t="s">
        <v>228</v>
      </c>
      <c r="J387" s="9" t="s">
        <v>53</v>
      </c>
      <c r="K387" s="9" t="s">
        <v>53</v>
      </c>
      <c r="L387" s="9" t="s">
        <v>803</v>
      </c>
      <c r="M387" s="9" t="s">
        <v>311</v>
      </c>
      <c r="N387" s="9" t="s">
        <v>140</v>
      </c>
      <c r="O387" s="9" t="s">
        <v>62</v>
      </c>
      <c r="P387" s="167" t="s">
        <v>298</v>
      </c>
      <c r="Q387" s="9" t="s">
        <v>298</v>
      </c>
      <c r="R387" s="9" t="s">
        <v>298</v>
      </c>
      <c r="S387" s="9" t="s">
        <v>1259</v>
      </c>
      <c r="T387" s="170">
        <v>2.8420000000000001</v>
      </c>
      <c r="U387" s="9" t="s">
        <v>2516</v>
      </c>
      <c r="V387" s="199">
        <v>8.1500000000000003E-2</v>
      </c>
      <c r="W387" s="185">
        <v>5.6730000000000003E-2</v>
      </c>
      <c r="X387" s="5" t="s">
        <v>618</v>
      </c>
      <c r="Y387" s="5" t="s">
        <v>62</v>
      </c>
      <c r="Z387" s="170">
        <v>1000000</v>
      </c>
      <c r="AA387" s="184">
        <v>1</v>
      </c>
      <c r="AB387" s="186">
        <v>109.5</v>
      </c>
      <c r="AC387" s="9"/>
      <c r="AD387" s="170">
        <v>1095</v>
      </c>
      <c r="AE387" s="9"/>
      <c r="AF387" s="9"/>
      <c r="AG387" s="9" t="s">
        <v>17</v>
      </c>
      <c r="AH387" s="185">
        <v>4.8479999999999999E-3</v>
      </c>
      <c r="AI387" s="185">
        <v>5.8142182595006401E-3</v>
      </c>
      <c r="AJ387" s="185">
        <v>9.8416886993531009E-4</v>
      </c>
    </row>
    <row r="388" spans="1:36">
      <c r="A388" s="9">
        <v>337</v>
      </c>
      <c r="B388" s="9">
        <v>9963</v>
      </c>
      <c r="C388" s="9" t="s">
        <v>1992</v>
      </c>
      <c r="D388" s="9" t="s">
        <v>1993</v>
      </c>
      <c r="E388" s="5" t="s">
        <v>1346</v>
      </c>
      <c r="F388" s="9" t="s">
        <v>2525</v>
      </c>
      <c r="G388" s="9" t="s">
        <v>2526</v>
      </c>
      <c r="H388" s="9" t="s">
        <v>76</v>
      </c>
      <c r="I388" s="9" t="s">
        <v>229</v>
      </c>
      <c r="J388" s="9" t="s">
        <v>53</v>
      </c>
      <c r="K388" s="9" t="s">
        <v>53</v>
      </c>
      <c r="L388" s="9" t="s">
        <v>803</v>
      </c>
      <c r="M388" s="9" t="s">
        <v>311</v>
      </c>
      <c r="N388" s="9" t="s">
        <v>633</v>
      </c>
      <c r="O388" s="9" t="s">
        <v>62</v>
      </c>
      <c r="P388" s="9" t="s">
        <v>2246</v>
      </c>
      <c r="Q388" s="9" t="s">
        <v>65</v>
      </c>
      <c r="R388" s="9" t="s">
        <v>57</v>
      </c>
      <c r="S388" s="9" t="s">
        <v>1259</v>
      </c>
      <c r="T388" s="170">
        <v>2.7789999999999999</v>
      </c>
      <c r="U388" s="9" t="s">
        <v>2527</v>
      </c>
      <c r="V388" s="199">
        <v>2.81E-2</v>
      </c>
      <c r="W388" s="185">
        <v>2.716E-2</v>
      </c>
      <c r="X388" s="5" t="s">
        <v>618</v>
      </c>
      <c r="Y388" s="5" t="s">
        <v>62</v>
      </c>
      <c r="Z388" s="170">
        <v>2700000</v>
      </c>
      <c r="AA388" s="184">
        <v>1</v>
      </c>
      <c r="AB388" s="186">
        <v>118.81</v>
      </c>
      <c r="AC388" s="9"/>
      <c r="AD388" s="170">
        <v>3207.87</v>
      </c>
      <c r="AE388" s="9"/>
      <c r="AF388" s="9"/>
      <c r="AG388" s="9" t="s">
        <v>17</v>
      </c>
      <c r="AH388" s="185">
        <v>1.9610000000000001E-3</v>
      </c>
      <c r="AI388" s="185">
        <v>1.70331108019217E-2</v>
      </c>
      <c r="AJ388" s="185">
        <v>2.8831833724195302E-3</v>
      </c>
    </row>
    <row r="389" spans="1:36">
      <c r="A389" s="9">
        <v>337</v>
      </c>
      <c r="B389" s="9">
        <v>9963</v>
      </c>
      <c r="C389" s="9" t="s">
        <v>1992</v>
      </c>
      <c r="D389" s="9" t="s">
        <v>1993</v>
      </c>
      <c r="E389" s="5" t="s">
        <v>1346</v>
      </c>
      <c r="F389" s="9" t="s">
        <v>2836</v>
      </c>
      <c r="G389" s="9" t="s">
        <v>2837</v>
      </c>
      <c r="H389" s="9" t="s">
        <v>76</v>
      </c>
      <c r="I389" s="9" t="s">
        <v>229</v>
      </c>
      <c r="J389" s="9" t="s">
        <v>53</v>
      </c>
      <c r="K389" s="9" t="s">
        <v>53</v>
      </c>
      <c r="L389" s="9" t="s">
        <v>803</v>
      </c>
      <c r="M389" s="9" t="s">
        <v>311</v>
      </c>
      <c r="N389" s="9" t="s">
        <v>633</v>
      </c>
      <c r="O389" s="9" t="s">
        <v>62</v>
      </c>
      <c r="P389" s="9" t="s">
        <v>2246</v>
      </c>
      <c r="Q389" s="9" t="s">
        <v>65</v>
      </c>
      <c r="R389" s="9" t="s">
        <v>57</v>
      </c>
      <c r="S389" s="9" t="s">
        <v>1259</v>
      </c>
      <c r="T389" s="170">
        <v>1.9359999999999999</v>
      </c>
      <c r="U389" s="9" t="s">
        <v>2255</v>
      </c>
      <c r="V389" s="199">
        <v>3.6999999999999998E-2</v>
      </c>
      <c r="W389" s="185">
        <v>2.853E-2</v>
      </c>
      <c r="X389" s="5" t="s">
        <v>618</v>
      </c>
      <c r="Y389" s="5" t="s">
        <v>62</v>
      </c>
      <c r="Z389" s="170">
        <v>360000.55</v>
      </c>
      <c r="AA389" s="184">
        <v>1</v>
      </c>
      <c r="AB389" s="186">
        <v>119.11</v>
      </c>
      <c r="AC389" s="9"/>
      <c r="AD389" s="170">
        <v>428.79700000000003</v>
      </c>
      <c r="AE389" s="9"/>
      <c r="AF389" s="9"/>
      <c r="AG389" s="9" t="s">
        <v>17</v>
      </c>
      <c r="AH389" s="185">
        <v>1.596E-3</v>
      </c>
      <c r="AI389" s="185">
        <v>2.27681949015917E-3</v>
      </c>
      <c r="AJ389" s="185">
        <v>3.8539572555865598E-4</v>
      </c>
    </row>
    <row r="390" spans="1:36">
      <c r="A390" s="9">
        <v>337</v>
      </c>
      <c r="B390" s="9">
        <v>9963</v>
      </c>
      <c r="C390" s="9" t="s">
        <v>2532</v>
      </c>
      <c r="D390" s="9" t="s">
        <v>2533</v>
      </c>
      <c r="E390" s="5" t="s">
        <v>1346</v>
      </c>
      <c r="F390" s="9" t="s">
        <v>2895</v>
      </c>
      <c r="G390" s="9" t="s">
        <v>2896</v>
      </c>
      <c r="H390" s="9" t="s">
        <v>76</v>
      </c>
      <c r="I390" s="9" t="s">
        <v>229</v>
      </c>
      <c r="J390" s="9" t="s">
        <v>53</v>
      </c>
      <c r="K390" s="9" t="s">
        <v>53</v>
      </c>
      <c r="L390" s="9" t="s">
        <v>803</v>
      </c>
      <c r="M390" s="9" t="s">
        <v>311</v>
      </c>
      <c r="N390" s="9" t="s">
        <v>633</v>
      </c>
      <c r="O390" s="9" t="s">
        <v>62</v>
      </c>
      <c r="P390" s="9" t="s">
        <v>2239</v>
      </c>
      <c r="Q390" s="9" t="s">
        <v>65</v>
      </c>
      <c r="R390" s="9" t="s">
        <v>57</v>
      </c>
      <c r="S390" s="9" t="s">
        <v>1259</v>
      </c>
      <c r="T390" s="170">
        <v>1.3939999999999999</v>
      </c>
      <c r="U390" s="9" t="s">
        <v>2569</v>
      </c>
      <c r="V390" s="199">
        <v>1.4E-2</v>
      </c>
      <c r="W390" s="185">
        <v>2.8840000000000001E-2</v>
      </c>
      <c r="X390" s="5" t="s">
        <v>618</v>
      </c>
      <c r="Y390" s="5" t="s">
        <v>62</v>
      </c>
      <c r="Z390" s="170">
        <v>528133.80000000005</v>
      </c>
      <c r="AA390" s="184">
        <v>1</v>
      </c>
      <c r="AB390" s="186">
        <v>115.68</v>
      </c>
      <c r="AC390" s="9"/>
      <c r="AD390" s="170">
        <v>610.94500000000005</v>
      </c>
      <c r="AE390" s="9"/>
      <c r="AF390" s="9"/>
      <c r="AG390" s="9" t="s">
        <v>17</v>
      </c>
      <c r="AH390" s="185">
        <v>8.7299999999999997E-4</v>
      </c>
      <c r="AI390" s="185">
        <v>3.2439896074699802E-3</v>
      </c>
      <c r="AJ390" s="185">
        <v>5.4910797007813497E-4</v>
      </c>
    </row>
    <row r="391" spans="1:36">
      <c r="A391" s="9">
        <v>337</v>
      </c>
      <c r="B391" s="9">
        <v>9963</v>
      </c>
      <c r="C391" s="9" t="s">
        <v>2532</v>
      </c>
      <c r="D391" s="9" t="s">
        <v>2533</v>
      </c>
      <c r="E391" s="5" t="s">
        <v>1346</v>
      </c>
      <c r="F391" s="9" t="s">
        <v>2534</v>
      </c>
      <c r="G391" s="9" t="s">
        <v>2535</v>
      </c>
      <c r="H391" s="9" t="s">
        <v>76</v>
      </c>
      <c r="I391" s="9" t="s">
        <v>229</v>
      </c>
      <c r="J391" s="9" t="s">
        <v>53</v>
      </c>
      <c r="K391" s="9" t="s">
        <v>53</v>
      </c>
      <c r="L391" s="9" t="s">
        <v>803</v>
      </c>
      <c r="M391" s="9" t="s">
        <v>311</v>
      </c>
      <c r="N391" s="9" t="s">
        <v>633</v>
      </c>
      <c r="O391" s="9" t="s">
        <v>62</v>
      </c>
      <c r="P391" s="9" t="s">
        <v>1607</v>
      </c>
      <c r="Q391" s="9" t="s">
        <v>65</v>
      </c>
      <c r="R391" s="9" t="s">
        <v>57</v>
      </c>
      <c r="S391" s="9" t="s">
        <v>1259</v>
      </c>
      <c r="T391" s="170">
        <v>1.133</v>
      </c>
      <c r="U391" s="9" t="s">
        <v>2536</v>
      </c>
      <c r="V391" s="199">
        <v>2.0500000000000001E-2</v>
      </c>
      <c r="W391" s="185">
        <v>3.2419999999999997E-2</v>
      </c>
      <c r="X391" s="5" t="s">
        <v>618</v>
      </c>
      <c r="Y391" s="5" t="s">
        <v>62</v>
      </c>
      <c r="Z391" s="170">
        <v>1582325.81</v>
      </c>
      <c r="AA391" s="184">
        <v>1</v>
      </c>
      <c r="AB391" s="186">
        <v>117.83</v>
      </c>
      <c r="AC391" s="9"/>
      <c r="AD391" s="170">
        <v>1864.4549999999999</v>
      </c>
      <c r="AE391" s="9"/>
      <c r="AF391" s="9"/>
      <c r="AG391" s="9" t="s">
        <v>17</v>
      </c>
      <c r="AH391" s="185">
        <v>2.0950000000000001E-3</v>
      </c>
      <c r="AI391" s="185">
        <v>9.8998588210857299E-3</v>
      </c>
      <c r="AJ391" s="185">
        <v>1.6757425389984999E-3</v>
      </c>
    </row>
    <row r="392" spans="1:36">
      <c r="A392" s="9">
        <v>337</v>
      </c>
      <c r="B392" s="9">
        <v>9963</v>
      </c>
      <c r="C392" s="9" t="s">
        <v>2532</v>
      </c>
      <c r="D392" s="9" t="s">
        <v>2533</v>
      </c>
      <c r="E392" s="5" t="s">
        <v>1346</v>
      </c>
      <c r="F392" s="9" t="s">
        <v>2540</v>
      </c>
      <c r="G392" s="9" t="s">
        <v>2541</v>
      </c>
      <c r="H392" s="9" t="s">
        <v>76</v>
      </c>
      <c r="I392" s="9" t="s">
        <v>229</v>
      </c>
      <c r="J392" s="9" t="s">
        <v>53</v>
      </c>
      <c r="K392" s="9" t="s">
        <v>53</v>
      </c>
      <c r="L392" s="9" t="s">
        <v>803</v>
      </c>
      <c r="M392" s="9" t="s">
        <v>311</v>
      </c>
      <c r="N392" s="9" t="s">
        <v>633</v>
      </c>
      <c r="O392" s="9" t="s">
        <v>62</v>
      </c>
      <c r="P392" s="9" t="s">
        <v>1607</v>
      </c>
      <c r="Q392" s="9" t="s">
        <v>65</v>
      </c>
      <c r="R392" s="9" t="s">
        <v>57</v>
      </c>
      <c r="S392" s="9" t="s">
        <v>1259</v>
      </c>
      <c r="T392" s="170">
        <v>5.1100000000000003</v>
      </c>
      <c r="U392" s="9" t="s">
        <v>2542</v>
      </c>
      <c r="V392" s="199">
        <v>9.7000000000000003E-3</v>
      </c>
      <c r="W392" s="185">
        <v>3.2030000000000003E-2</v>
      </c>
      <c r="X392" s="5" t="s">
        <v>618</v>
      </c>
      <c r="Y392" s="5" t="s">
        <v>62</v>
      </c>
      <c r="Z392" s="170">
        <v>1455882.35</v>
      </c>
      <c r="AA392" s="184">
        <v>1</v>
      </c>
      <c r="AB392" s="186">
        <v>103.36</v>
      </c>
      <c r="AC392" s="9"/>
      <c r="AD392" s="170">
        <v>1504.8</v>
      </c>
      <c r="AE392" s="9"/>
      <c r="AF392" s="9"/>
      <c r="AG392" s="9" t="s">
        <v>17</v>
      </c>
      <c r="AH392" s="185">
        <v>2.4190000000000001E-3</v>
      </c>
      <c r="AI392" s="185">
        <v>7.9901695152706301E-3</v>
      </c>
      <c r="AJ392" s="185">
        <v>1.35249069633496E-3</v>
      </c>
    </row>
    <row r="393" spans="1:36">
      <c r="A393" s="9">
        <v>337</v>
      </c>
      <c r="B393" s="9">
        <v>9963</v>
      </c>
      <c r="C393" s="9" t="s">
        <v>2543</v>
      </c>
      <c r="D393" s="9" t="s">
        <v>2544</v>
      </c>
      <c r="E393" s="5" t="s">
        <v>1346</v>
      </c>
      <c r="F393" s="9" t="s">
        <v>2548</v>
      </c>
      <c r="G393" s="9" t="s">
        <v>2549</v>
      </c>
      <c r="H393" s="9" t="s">
        <v>76</v>
      </c>
      <c r="I393" s="9" t="s">
        <v>229</v>
      </c>
      <c r="J393" s="9" t="s">
        <v>53</v>
      </c>
      <c r="K393" s="9" t="s">
        <v>53</v>
      </c>
      <c r="L393" s="9" t="s">
        <v>803</v>
      </c>
      <c r="M393" s="9" t="s">
        <v>311</v>
      </c>
      <c r="N393" s="9" t="s">
        <v>256</v>
      </c>
      <c r="O393" s="9" t="s">
        <v>62</v>
      </c>
      <c r="P393" s="9" t="s">
        <v>1641</v>
      </c>
      <c r="Q393" s="9" t="s">
        <v>65</v>
      </c>
      <c r="R393" s="9" t="s">
        <v>57</v>
      </c>
      <c r="S393" s="9" t="s">
        <v>1259</v>
      </c>
      <c r="T393" s="170">
        <v>3.3029999999999999</v>
      </c>
      <c r="U393" s="9" t="s">
        <v>2550</v>
      </c>
      <c r="V393" s="199">
        <v>1E-3</v>
      </c>
      <c r="W393" s="185">
        <v>2.5829999999999999E-2</v>
      </c>
      <c r="X393" s="5" t="s">
        <v>618</v>
      </c>
      <c r="Y393" s="5" t="s">
        <v>62</v>
      </c>
      <c r="Z393" s="170">
        <v>2108000</v>
      </c>
      <c r="AA393" s="184">
        <v>1</v>
      </c>
      <c r="AB393" s="186">
        <v>105.48</v>
      </c>
      <c r="AC393" s="9"/>
      <c r="AD393" s="170">
        <v>2223.518</v>
      </c>
      <c r="AE393" s="9"/>
      <c r="AF393" s="9"/>
      <c r="AG393" s="9" t="s">
        <v>17</v>
      </c>
      <c r="AH393" s="185">
        <v>6.2399999999999999E-4</v>
      </c>
      <c r="AI393" s="185">
        <v>1.18064121293294E-2</v>
      </c>
      <c r="AJ393" s="185">
        <v>1.9984635534322998E-3</v>
      </c>
    </row>
    <row r="394" spans="1:36">
      <c r="A394" s="9">
        <v>337</v>
      </c>
      <c r="B394" s="9">
        <v>9963</v>
      </c>
      <c r="C394" s="9" t="s">
        <v>2543</v>
      </c>
      <c r="D394" s="9" t="s">
        <v>2544</v>
      </c>
      <c r="E394" s="5" t="s">
        <v>1346</v>
      </c>
      <c r="F394" s="9" t="s">
        <v>2557</v>
      </c>
      <c r="G394" s="9" t="s">
        <v>2558</v>
      </c>
      <c r="H394" s="9" t="s">
        <v>76</v>
      </c>
      <c r="I394" s="9" t="s">
        <v>229</v>
      </c>
      <c r="J394" s="9" t="s">
        <v>53</v>
      </c>
      <c r="K394" s="9" t="s">
        <v>53</v>
      </c>
      <c r="L394" s="9" t="s">
        <v>803</v>
      </c>
      <c r="M394" s="9" t="s">
        <v>311</v>
      </c>
      <c r="N394" s="9" t="s">
        <v>256</v>
      </c>
      <c r="O394" s="9" t="s">
        <v>62</v>
      </c>
      <c r="P394" s="9" t="s">
        <v>1641</v>
      </c>
      <c r="Q394" s="9" t="s">
        <v>65</v>
      </c>
      <c r="R394" s="9" t="s">
        <v>57</v>
      </c>
      <c r="S394" s="9" t="s">
        <v>1259</v>
      </c>
      <c r="T394" s="170">
        <v>4.9790000000000001</v>
      </c>
      <c r="U394" s="9" t="s">
        <v>2559</v>
      </c>
      <c r="V394" s="199">
        <v>2E-3</v>
      </c>
      <c r="W394" s="185">
        <v>2.6159999999999999E-2</v>
      </c>
      <c r="X394" s="5" t="s">
        <v>618</v>
      </c>
      <c r="Y394" s="5" t="s">
        <v>62</v>
      </c>
      <c r="Z394" s="170">
        <v>2000000</v>
      </c>
      <c r="AA394" s="184">
        <v>1</v>
      </c>
      <c r="AB394" s="186">
        <v>104.05</v>
      </c>
      <c r="AC394" s="170">
        <v>4.6859999999999999</v>
      </c>
      <c r="AD394" s="170">
        <v>2085.6860000000001</v>
      </c>
      <c r="AE394" s="9"/>
      <c r="AF394" s="9"/>
      <c r="AG394" s="9" t="s">
        <v>17</v>
      </c>
      <c r="AH394" s="185">
        <v>5.7799999999999995E-4</v>
      </c>
      <c r="AI394" s="185">
        <v>1.1074552264371099E-2</v>
      </c>
      <c r="AJ394" s="185">
        <v>1.87458211931688E-3</v>
      </c>
    </row>
    <row r="395" spans="1:36">
      <c r="A395" s="9">
        <v>337</v>
      </c>
      <c r="B395" s="9">
        <v>9963</v>
      </c>
      <c r="C395" s="9" t="s">
        <v>2543</v>
      </c>
      <c r="D395" s="9" t="s">
        <v>2544</v>
      </c>
      <c r="E395" s="5" t="s">
        <v>1346</v>
      </c>
      <c r="F395" s="9" t="s">
        <v>2897</v>
      </c>
      <c r="G395" s="9" t="s">
        <v>2898</v>
      </c>
      <c r="H395" s="9" t="s">
        <v>76</v>
      </c>
      <c r="I395" s="9" t="s">
        <v>229</v>
      </c>
      <c r="J395" s="9" t="s">
        <v>53</v>
      </c>
      <c r="K395" s="9" t="s">
        <v>53</v>
      </c>
      <c r="L395" s="9" t="s">
        <v>803</v>
      </c>
      <c r="M395" s="9" t="s">
        <v>311</v>
      </c>
      <c r="N395" s="9" t="s">
        <v>256</v>
      </c>
      <c r="O395" s="9" t="s">
        <v>62</v>
      </c>
      <c r="P395" s="9" t="s">
        <v>2239</v>
      </c>
      <c r="Q395" s="9" t="s">
        <v>65</v>
      </c>
      <c r="R395" s="9" t="s">
        <v>57</v>
      </c>
      <c r="S395" s="9" t="s">
        <v>1259</v>
      </c>
      <c r="T395" s="170">
        <v>3.7949999999999999</v>
      </c>
      <c r="U395" s="9" t="s">
        <v>2899</v>
      </c>
      <c r="V395" s="199">
        <v>3.3599999999999998E-2</v>
      </c>
      <c r="W395" s="185">
        <v>2.733E-2</v>
      </c>
      <c r="X395" s="5" t="s">
        <v>618</v>
      </c>
      <c r="Y395" s="5" t="s">
        <v>62</v>
      </c>
      <c r="Z395" s="170">
        <v>2000000</v>
      </c>
      <c r="AA395" s="184">
        <v>1</v>
      </c>
      <c r="AB395" s="186">
        <v>107.56</v>
      </c>
      <c r="AC395" s="9"/>
      <c r="AD395" s="170">
        <v>2151.1999999999998</v>
      </c>
      <c r="AE395" s="9"/>
      <c r="AF395" s="9"/>
      <c r="AG395" s="9" t="s">
        <v>17</v>
      </c>
      <c r="AH395" s="185">
        <v>1.7129999999999999E-3</v>
      </c>
      <c r="AI395" s="185">
        <v>1.14224167304455E-2</v>
      </c>
      <c r="AJ395" s="185">
        <v>1.9334649068537301E-3</v>
      </c>
    </row>
    <row r="396" spans="1:36">
      <c r="A396" s="9">
        <v>337</v>
      </c>
      <c r="B396" s="9">
        <v>9963</v>
      </c>
      <c r="C396" s="9" t="s">
        <v>2562</v>
      </c>
      <c r="D396" s="9" t="s">
        <v>2563</v>
      </c>
      <c r="E396" s="5" t="s">
        <v>1346</v>
      </c>
      <c r="F396" s="9" t="s">
        <v>2564</v>
      </c>
      <c r="G396" s="9" t="s">
        <v>2565</v>
      </c>
      <c r="H396" s="9" t="s">
        <v>76</v>
      </c>
      <c r="I396" s="9" t="s">
        <v>229</v>
      </c>
      <c r="J396" s="9" t="s">
        <v>53</v>
      </c>
      <c r="K396" s="9" t="s">
        <v>53</v>
      </c>
      <c r="L396" s="9" t="s">
        <v>803</v>
      </c>
      <c r="M396" s="9" t="s">
        <v>311</v>
      </c>
      <c r="N396" s="9" t="s">
        <v>631</v>
      </c>
      <c r="O396" s="9" t="s">
        <v>62</v>
      </c>
      <c r="P396" s="9" t="s">
        <v>1621</v>
      </c>
      <c r="Q396" s="9" t="s">
        <v>70</v>
      </c>
      <c r="R396" s="9" t="s">
        <v>57</v>
      </c>
      <c r="S396" s="9" t="s">
        <v>1259</v>
      </c>
      <c r="T396" s="170">
        <v>2.782</v>
      </c>
      <c r="U396" s="9" t="s">
        <v>2566</v>
      </c>
      <c r="V396" s="199">
        <v>0.01</v>
      </c>
      <c r="W396" s="185">
        <v>3.107E-2</v>
      </c>
      <c r="X396" s="5" t="s">
        <v>618</v>
      </c>
      <c r="Y396" s="5" t="s">
        <v>62</v>
      </c>
      <c r="Z396" s="170">
        <v>2076040</v>
      </c>
      <c r="AA396" s="184">
        <v>1</v>
      </c>
      <c r="AB396" s="186">
        <v>108.19</v>
      </c>
      <c r="AC396" s="9"/>
      <c r="AD396" s="170">
        <v>2246.0680000000002</v>
      </c>
      <c r="AE396" s="9"/>
      <c r="AF396" s="9"/>
      <c r="AG396" s="9" t="s">
        <v>17</v>
      </c>
      <c r="AH396" s="185">
        <v>1.1529999999999999E-3</v>
      </c>
      <c r="AI396" s="185">
        <v>1.19261440126697E-2</v>
      </c>
      <c r="AJ396" s="185">
        <v>2.0187304899426002E-3</v>
      </c>
    </row>
    <row r="397" spans="1:36">
      <c r="A397" s="9">
        <v>337</v>
      </c>
      <c r="B397" s="9">
        <v>9963</v>
      </c>
      <c r="C397" s="9" t="s">
        <v>2562</v>
      </c>
      <c r="D397" s="9" t="s">
        <v>2563</v>
      </c>
      <c r="E397" s="5" t="s">
        <v>1346</v>
      </c>
      <c r="F397" s="9" t="s">
        <v>2567</v>
      </c>
      <c r="G397" s="9" t="s">
        <v>2568</v>
      </c>
      <c r="H397" s="9" t="s">
        <v>76</v>
      </c>
      <c r="I397" s="9" t="s">
        <v>229</v>
      </c>
      <c r="J397" s="9" t="s">
        <v>53</v>
      </c>
      <c r="K397" s="9" t="s">
        <v>53</v>
      </c>
      <c r="L397" s="9" t="s">
        <v>803</v>
      </c>
      <c r="M397" s="9" t="s">
        <v>311</v>
      </c>
      <c r="N397" s="9" t="s">
        <v>631</v>
      </c>
      <c r="O397" s="9" t="s">
        <v>62</v>
      </c>
      <c r="P397" s="9" t="s">
        <v>1621</v>
      </c>
      <c r="Q397" s="9" t="s">
        <v>70</v>
      </c>
      <c r="R397" s="9" t="s">
        <v>57</v>
      </c>
      <c r="S397" s="9" t="s">
        <v>1259</v>
      </c>
      <c r="T397" s="170">
        <v>1.056</v>
      </c>
      <c r="U397" s="9" t="s">
        <v>2569</v>
      </c>
      <c r="V397" s="199">
        <v>3.5400000000000001E-2</v>
      </c>
      <c r="W397" s="185">
        <v>3.4250000000000003E-2</v>
      </c>
      <c r="X397" s="5" t="s">
        <v>618</v>
      </c>
      <c r="Y397" s="5" t="s">
        <v>62</v>
      </c>
      <c r="Z397" s="170">
        <v>360000</v>
      </c>
      <c r="AA397" s="184">
        <v>1</v>
      </c>
      <c r="AB397" s="186">
        <v>109.8</v>
      </c>
      <c r="AC397" s="9"/>
      <c r="AD397" s="170">
        <v>395.28</v>
      </c>
      <c r="AE397" s="9"/>
      <c r="AF397" s="9"/>
      <c r="AG397" s="9" t="s">
        <v>17</v>
      </c>
      <c r="AH397" s="185">
        <v>3.5799999999999997E-4</v>
      </c>
      <c r="AI397" s="185">
        <v>2.09885314485426E-3</v>
      </c>
      <c r="AJ397" s="185">
        <v>3.5527148028130501E-4</v>
      </c>
    </row>
    <row r="398" spans="1:36">
      <c r="A398" s="9">
        <v>337</v>
      </c>
      <c r="B398" s="9">
        <v>9963</v>
      </c>
      <c r="C398" s="9" t="s">
        <v>2004</v>
      </c>
      <c r="D398" s="9" t="s">
        <v>2005</v>
      </c>
      <c r="E398" s="5" t="s">
        <v>1346</v>
      </c>
      <c r="F398" s="9" t="s">
        <v>2573</v>
      </c>
      <c r="G398" s="9" t="s">
        <v>2574</v>
      </c>
      <c r="H398" s="9" t="s">
        <v>76</v>
      </c>
      <c r="I398" s="9" t="s">
        <v>229</v>
      </c>
      <c r="J398" s="9" t="s">
        <v>53</v>
      </c>
      <c r="K398" s="9" t="s">
        <v>53</v>
      </c>
      <c r="L398" s="9" t="s">
        <v>803</v>
      </c>
      <c r="M398" s="9" t="s">
        <v>311</v>
      </c>
      <c r="N398" s="9" t="s">
        <v>633</v>
      </c>
      <c r="O398" s="9" t="s">
        <v>62</v>
      </c>
      <c r="P398" s="9" t="s">
        <v>2246</v>
      </c>
      <c r="Q398" s="9" t="s">
        <v>65</v>
      </c>
      <c r="R398" s="9" t="s">
        <v>57</v>
      </c>
      <c r="S398" s="9" t="s">
        <v>1259</v>
      </c>
      <c r="T398" s="170">
        <v>3.7440000000000002</v>
      </c>
      <c r="U398" s="9" t="s">
        <v>2273</v>
      </c>
      <c r="V398" s="199">
        <v>1.43E-2</v>
      </c>
      <c r="W398" s="185">
        <v>2.81E-2</v>
      </c>
      <c r="X398" s="5" t="s">
        <v>618</v>
      </c>
      <c r="Y398" s="5" t="s">
        <v>62</v>
      </c>
      <c r="Z398" s="170">
        <v>4595126.3099999996</v>
      </c>
      <c r="AA398" s="184">
        <v>1</v>
      </c>
      <c r="AB398" s="186">
        <v>111.28</v>
      </c>
      <c r="AC398" s="170">
        <v>98.635999999999996</v>
      </c>
      <c r="AD398" s="170">
        <v>5212.0929999999998</v>
      </c>
      <c r="AE398" s="9"/>
      <c r="AF398" s="9"/>
      <c r="AG398" s="9" t="s">
        <v>17</v>
      </c>
      <c r="AH398" s="185">
        <v>2.3830000000000001E-3</v>
      </c>
      <c r="AI398" s="185">
        <v>2.7675109640960999E-2</v>
      </c>
      <c r="AJ398" s="185">
        <v>4.6845474602151696E-3</v>
      </c>
    </row>
    <row r="399" spans="1:36">
      <c r="A399" s="9">
        <v>337</v>
      </c>
      <c r="B399" s="9">
        <v>9963</v>
      </c>
      <c r="C399" s="9" t="s">
        <v>2004</v>
      </c>
      <c r="D399" s="9" t="s">
        <v>2005</v>
      </c>
      <c r="E399" s="5" t="s">
        <v>1346</v>
      </c>
      <c r="F399" s="9" t="s">
        <v>2575</v>
      </c>
      <c r="G399" s="9" t="s">
        <v>2576</v>
      </c>
      <c r="H399" s="9" t="s">
        <v>76</v>
      </c>
      <c r="I399" s="9" t="s">
        <v>229</v>
      </c>
      <c r="J399" s="9" t="s">
        <v>53</v>
      </c>
      <c r="K399" s="9" t="s">
        <v>53</v>
      </c>
      <c r="L399" s="9" t="s">
        <v>803</v>
      </c>
      <c r="M399" s="9" t="s">
        <v>311</v>
      </c>
      <c r="N399" s="9" t="s">
        <v>633</v>
      </c>
      <c r="O399" s="9" t="s">
        <v>62</v>
      </c>
      <c r="P399" s="9" t="s">
        <v>2246</v>
      </c>
      <c r="Q399" s="9" t="s">
        <v>65</v>
      </c>
      <c r="R399" s="9" t="s">
        <v>57</v>
      </c>
      <c r="S399" s="9" t="s">
        <v>1259</v>
      </c>
      <c r="T399" s="170">
        <v>5.5979999999999999</v>
      </c>
      <c r="U399" s="9" t="s">
        <v>2577</v>
      </c>
      <c r="V399" s="199">
        <v>3.61E-2</v>
      </c>
      <c r="W399" s="185">
        <v>2.928E-2</v>
      </c>
      <c r="X399" s="5" t="s">
        <v>618</v>
      </c>
      <c r="Y399" s="5" t="s">
        <v>62</v>
      </c>
      <c r="Z399" s="170">
        <v>1989795.92</v>
      </c>
      <c r="AA399" s="184">
        <v>1</v>
      </c>
      <c r="AB399" s="186">
        <v>111.6</v>
      </c>
      <c r="AC399" s="170">
        <v>44.152000000000001</v>
      </c>
      <c r="AD399" s="170">
        <v>2264.7640000000001</v>
      </c>
      <c r="AE399" s="9"/>
      <c r="AF399" s="9"/>
      <c r="AG399" s="9" t="s">
        <v>17</v>
      </c>
      <c r="AH399" s="185">
        <v>1.2689999999999999E-3</v>
      </c>
      <c r="AI399" s="185">
        <v>1.20254193242222E-2</v>
      </c>
      <c r="AJ399" s="185">
        <v>2.03553475610915E-3</v>
      </c>
    </row>
    <row r="400" spans="1:36">
      <c r="A400" s="9">
        <v>337</v>
      </c>
      <c r="B400" s="9">
        <v>9963</v>
      </c>
      <c r="C400" s="9" t="s">
        <v>2004</v>
      </c>
      <c r="D400" s="9" t="s">
        <v>2005</v>
      </c>
      <c r="E400" s="5" t="s">
        <v>1346</v>
      </c>
      <c r="F400" s="9" t="s">
        <v>2581</v>
      </c>
      <c r="G400" s="9" t="s">
        <v>2582</v>
      </c>
      <c r="H400" s="9" t="s">
        <v>76</v>
      </c>
      <c r="I400" s="9" t="s">
        <v>229</v>
      </c>
      <c r="J400" s="9" t="s">
        <v>53</v>
      </c>
      <c r="K400" s="9" t="s">
        <v>53</v>
      </c>
      <c r="L400" s="9" t="s">
        <v>803</v>
      </c>
      <c r="M400" s="9" t="s">
        <v>311</v>
      </c>
      <c r="N400" s="9" t="s">
        <v>633</v>
      </c>
      <c r="O400" s="9" t="s">
        <v>62</v>
      </c>
      <c r="P400" s="9" t="s">
        <v>2246</v>
      </c>
      <c r="Q400" s="9" t="s">
        <v>65</v>
      </c>
      <c r="R400" s="9" t="s">
        <v>57</v>
      </c>
      <c r="S400" s="9" t="s">
        <v>1259</v>
      </c>
      <c r="T400" s="170">
        <v>4.6920000000000002</v>
      </c>
      <c r="U400" s="9" t="s">
        <v>2559</v>
      </c>
      <c r="V400" s="199">
        <v>2.5000000000000001E-3</v>
      </c>
      <c r="W400" s="185">
        <v>2.7019999999999999E-2</v>
      </c>
      <c r="X400" s="5" t="s">
        <v>618</v>
      </c>
      <c r="Y400" s="5" t="s">
        <v>62</v>
      </c>
      <c r="Z400" s="170">
        <v>1678720</v>
      </c>
      <c r="AA400" s="184">
        <v>1</v>
      </c>
      <c r="AB400" s="186">
        <v>102.52</v>
      </c>
      <c r="AC400" s="170">
        <v>24.858000000000001</v>
      </c>
      <c r="AD400" s="170">
        <v>1745.8810000000001</v>
      </c>
      <c r="AE400" s="9"/>
      <c r="AF400" s="9"/>
      <c r="AG400" s="9" t="s">
        <v>17</v>
      </c>
      <c r="AH400" s="185">
        <v>1.256E-3</v>
      </c>
      <c r="AI400" s="185">
        <v>9.2702603936658801E-3</v>
      </c>
      <c r="AJ400" s="185">
        <v>1.56917083061546E-3</v>
      </c>
    </row>
    <row r="401" spans="1:36">
      <c r="A401" s="9">
        <v>337</v>
      </c>
      <c r="B401" s="9">
        <v>9963</v>
      </c>
      <c r="C401" s="9" t="s">
        <v>2583</v>
      </c>
      <c r="D401" s="9" t="s">
        <v>2584</v>
      </c>
      <c r="E401" s="5" t="s">
        <v>1346</v>
      </c>
      <c r="F401" s="9" t="s">
        <v>2585</v>
      </c>
      <c r="G401" s="9" t="s">
        <v>2586</v>
      </c>
      <c r="H401" s="9" t="s">
        <v>76</v>
      </c>
      <c r="I401" s="9" t="s">
        <v>228</v>
      </c>
      <c r="J401" s="9" t="s">
        <v>53</v>
      </c>
      <c r="K401" s="9" t="s">
        <v>53</v>
      </c>
      <c r="L401" s="9" t="s">
        <v>803</v>
      </c>
      <c r="M401" s="9" t="s">
        <v>311</v>
      </c>
      <c r="N401" s="9" t="s">
        <v>269</v>
      </c>
      <c r="O401" s="9" t="s">
        <v>62</v>
      </c>
      <c r="P401" s="9" t="s">
        <v>2587</v>
      </c>
      <c r="Q401" s="9" t="s">
        <v>70</v>
      </c>
      <c r="R401" s="9" t="s">
        <v>57</v>
      </c>
      <c r="S401" s="9" t="s">
        <v>1259</v>
      </c>
      <c r="T401" s="170">
        <v>6.0990000000000002</v>
      </c>
      <c r="U401" s="9" t="s">
        <v>2588</v>
      </c>
      <c r="V401" s="199">
        <v>5.0200000000000002E-2</v>
      </c>
      <c r="W401" s="185">
        <v>4.7890000000000002E-2</v>
      </c>
      <c r="X401" s="5" t="s">
        <v>618</v>
      </c>
      <c r="Y401" s="5" t="s">
        <v>62</v>
      </c>
      <c r="Z401" s="170">
        <v>1500000</v>
      </c>
      <c r="AA401" s="184">
        <v>1</v>
      </c>
      <c r="AB401" s="186">
        <v>103.09</v>
      </c>
      <c r="AC401" s="9"/>
      <c r="AD401" s="170">
        <v>1546.35</v>
      </c>
      <c r="AE401" s="9"/>
      <c r="AF401" s="9"/>
      <c r="AG401" s="9" t="s">
        <v>17</v>
      </c>
      <c r="AH401" s="185">
        <v>3.7499999999999999E-3</v>
      </c>
      <c r="AI401" s="185">
        <v>8.2107912379715195E-3</v>
      </c>
      <c r="AJ401" s="185">
        <v>1.3898351890634401E-3</v>
      </c>
    </row>
    <row r="402" spans="1:36">
      <c r="A402" s="9">
        <v>337</v>
      </c>
      <c r="B402" s="9">
        <v>9963</v>
      </c>
      <c r="C402" s="9" t="s">
        <v>2012</v>
      </c>
      <c r="D402" s="9" t="s">
        <v>2013</v>
      </c>
      <c r="E402" s="5" t="s">
        <v>1346</v>
      </c>
      <c r="F402" s="9" t="s">
        <v>2589</v>
      </c>
      <c r="G402" s="9" t="s">
        <v>2590</v>
      </c>
      <c r="H402" s="9" t="s">
        <v>76</v>
      </c>
      <c r="I402" s="9" t="s">
        <v>228</v>
      </c>
      <c r="J402" s="9" t="s">
        <v>53</v>
      </c>
      <c r="K402" s="9" t="s">
        <v>53</v>
      </c>
      <c r="L402" s="9" t="s">
        <v>803</v>
      </c>
      <c r="M402" s="9" t="s">
        <v>311</v>
      </c>
      <c r="N402" s="9" t="s">
        <v>631</v>
      </c>
      <c r="O402" s="9" t="s">
        <v>62</v>
      </c>
      <c r="P402" s="9" t="s">
        <v>2314</v>
      </c>
      <c r="Q402" s="9" t="s">
        <v>70</v>
      </c>
      <c r="R402" s="9" t="s">
        <v>57</v>
      </c>
      <c r="S402" s="9" t="s">
        <v>1259</v>
      </c>
      <c r="T402" s="170">
        <v>0.73099999999999998</v>
      </c>
      <c r="U402" s="9" t="s">
        <v>2591</v>
      </c>
      <c r="V402" s="199">
        <v>0.114</v>
      </c>
      <c r="W402" s="185">
        <v>5.91E-2</v>
      </c>
      <c r="X402" s="5" t="s">
        <v>618</v>
      </c>
      <c r="Y402" s="5" t="s">
        <v>62</v>
      </c>
      <c r="Z402" s="170">
        <v>1337320</v>
      </c>
      <c r="AA402" s="184">
        <v>1</v>
      </c>
      <c r="AB402" s="186">
        <v>102.52</v>
      </c>
      <c r="AC402" s="9"/>
      <c r="AD402" s="170">
        <v>1371.02</v>
      </c>
      <c r="AE402" s="9"/>
      <c r="AF402" s="9"/>
      <c r="AG402" s="9" t="s">
        <v>17</v>
      </c>
      <c r="AH402" s="185">
        <v>5.5319999999999996E-3</v>
      </c>
      <c r="AI402" s="185">
        <v>7.2798285077057901E-3</v>
      </c>
      <c r="AJ402" s="185">
        <v>1.23225174494344E-3</v>
      </c>
    </row>
    <row r="403" spans="1:36">
      <c r="A403" s="9">
        <v>337</v>
      </c>
      <c r="B403" s="9">
        <v>9963</v>
      </c>
      <c r="C403" s="9" t="s">
        <v>2012</v>
      </c>
      <c r="D403" s="9" t="s">
        <v>2013</v>
      </c>
      <c r="E403" s="5" t="s">
        <v>1346</v>
      </c>
      <c r="F403" s="9" t="s">
        <v>2592</v>
      </c>
      <c r="G403" s="9" t="s">
        <v>2593</v>
      </c>
      <c r="H403" s="9" t="s">
        <v>76</v>
      </c>
      <c r="I403" s="9" t="s">
        <v>228</v>
      </c>
      <c r="J403" s="9" t="s">
        <v>53</v>
      </c>
      <c r="K403" s="9" t="s">
        <v>53</v>
      </c>
      <c r="L403" s="9" t="s">
        <v>803</v>
      </c>
      <c r="M403" s="9" t="s">
        <v>1691</v>
      </c>
      <c r="N403" s="9" t="s">
        <v>631</v>
      </c>
      <c r="O403" s="9" t="s">
        <v>62</v>
      </c>
      <c r="P403" s="9" t="s">
        <v>2314</v>
      </c>
      <c r="Q403" s="9" t="s">
        <v>70</v>
      </c>
      <c r="R403" s="9" t="s">
        <v>57</v>
      </c>
      <c r="S403" s="9" t="s">
        <v>1259</v>
      </c>
      <c r="T403" s="170">
        <v>3.1070000000000002</v>
      </c>
      <c r="U403" s="9" t="s">
        <v>2594</v>
      </c>
      <c r="V403" s="199">
        <v>6.4000000000000001E-2</v>
      </c>
      <c r="W403" s="185">
        <v>5.5649999999999998E-2</v>
      </c>
      <c r="X403" s="5" t="s">
        <v>618</v>
      </c>
      <c r="Y403" s="5" t="s">
        <v>62</v>
      </c>
      <c r="Z403" s="170">
        <v>975000</v>
      </c>
      <c r="AA403" s="184">
        <v>1</v>
      </c>
      <c r="AB403" s="186">
        <v>103.33</v>
      </c>
      <c r="AC403" s="9"/>
      <c r="AD403" s="170">
        <v>1007.467</v>
      </c>
      <c r="AE403" s="9"/>
      <c r="AF403" s="9"/>
      <c r="AG403" s="9" t="s">
        <v>17</v>
      </c>
      <c r="AH403" s="185">
        <v>2.8149999999999998E-3</v>
      </c>
      <c r="AI403" s="185">
        <v>5.3494392094552102E-3</v>
      </c>
      <c r="AJ403" s="185">
        <v>9.0549602828452196E-4</v>
      </c>
    </row>
    <row r="404" spans="1:36">
      <c r="A404" s="9">
        <v>337</v>
      </c>
      <c r="B404" s="9">
        <v>9963</v>
      </c>
      <c r="C404" s="9" t="s">
        <v>2595</v>
      </c>
      <c r="D404" s="9" t="s">
        <v>2596</v>
      </c>
      <c r="E404" s="5" t="s">
        <v>1346</v>
      </c>
      <c r="F404" s="9" t="s">
        <v>2597</v>
      </c>
      <c r="G404" s="9" t="s">
        <v>2598</v>
      </c>
      <c r="H404" s="9" t="s">
        <v>76</v>
      </c>
      <c r="I404" s="9" t="s">
        <v>229</v>
      </c>
      <c r="J404" s="9" t="s">
        <v>53</v>
      </c>
      <c r="K404" s="9" t="s">
        <v>53</v>
      </c>
      <c r="L404" s="9" t="s">
        <v>803</v>
      </c>
      <c r="M404" s="9" t="s">
        <v>311</v>
      </c>
      <c r="N404" s="9" t="s">
        <v>140</v>
      </c>
      <c r="O404" s="9" t="s">
        <v>62</v>
      </c>
      <c r="P404" s="9" t="s">
        <v>2599</v>
      </c>
      <c r="Q404" s="9" t="s">
        <v>70</v>
      </c>
      <c r="R404" s="9" t="s">
        <v>57</v>
      </c>
      <c r="S404" s="9" t="s">
        <v>1259</v>
      </c>
      <c r="T404" s="170">
        <v>3.5459999999999998</v>
      </c>
      <c r="U404" s="9" t="s">
        <v>2600</v>
      </c>
      <c r="V404" s="199">
        <v>2.07E-2</v>
      </c>
      <c r="W404" s="185">
        <v>3.721E-2</v>
      </c>
      <c r="X404" s="5" t="s">
        <v>618</v>
      </c>
      <c r="Y404" s="5" t="s">
        <v>62</v>
      </c>
      <c r="Z404" s="170">
        <v>1939014.27</v>
      </c>
      <c r="AA404" s="184">
        <v>1</v>
      </c>
      <c r="AB404" s="186">
        <v>107.9</v>
      </c>
      <c r="AC404" s="9"/>
      <c r="AD404" s="170">
        <v>2092.1959999999999</v>
      </c>
      <c r="AE404" s="9"/>
      <c r="AF404" s="9"/>
      <c r="AG404" s="9" t="s">
        <v>17</v>
      </c>
      <c r="AH404" s="185">
        <v>4.646E-3</v>
      </c>
      <c r="AI404" s="185">
        <v>1.1109120087504599E-2</v>
      </c>
      <c r="AJ404" s="185">
        <v>1.88043339182009E-3</v>
      </c>
    </row>
    <row r="405" spans="1:36">
      <c r="A405" s="9">
        <v>337</v>
      </c>
      <c r="B405" s="9">
        <v>9963</v>
      </c>
      <c r="C405" s="9" t="s">
        <v>2900</v>
      </c>
      <c r="D405" s="9" t="s">
        <v>2901</v>
      </c>
      <c r="E405" s="5" t="s">
        <v>1346</v>
      </c>
      <c r="F405" s="9" t="s">
        <v>2902</v>
      </c>
      <c r="G405" s="9" t="s">
        <v>2903</v>
      </c>
      <c r="H405" s="9" t="s">
        <v>76</v>
      </c>
      <c r="I405" s="9" t="s">
        <v>228</v>
      </c>
      <c r="J405" s="9" t="s">
        <v>53</v>
      </c>
      <c r="K405" s="9" t="s">
        <v>53</v>
      </c>
      <c r="L405" s="9" t="s">
        <v>803</v>
      </c>
      <c r="M405" s="9" t="s">
        <v>311</v>
      </c>
      <c r="N405" s="9" t="s">
        <v>631</v>
      </c>
      <c r="O405" s="9" t="s">
        <v>62</v>
      </c>
      <c r="P405" s="9" t="s">
        <v>1614</v>
      </c>
      <c r="Q405" s="9" t="s">
        <v>65</v>
      </c>
      <c r="R405" s="9" t="s">
        <v>57</v>
      </c>
      <c r="S405" s="9" t="s">
        <v>1259</v>
      </c>
      <c r="T405" s="170">
        <v>0.41</v>
      </c>
      <c r="U405" s="9" t="s">
        <v>2811</v>
      </c>
      <c r="V405" s="199">
        <v>1.55E-2</v>
      </c>
      <c r="W405" s="185">
        <v>5.4399999999999997E-2</v>
      </c>
      <c r="X405" s="5" t="s">
        <v>618</v>
      </c>
      <c r="Y405" s="5" t="s">
        <v>62</v>
      </c>
      <c r="Z405" s="170">
        <v>0.06</v>
      </c>
      <c r="AA405" s="184">
        <v>1</v>
      </c>
      <c r="AB405" s="186">
        <v>98.94</v>
      </c>
      <c r="AC405" s="9"/>
      <c r="AD405" s="170">
        <v>0</v>
      </c>
      <c r="AE405" s="9"/>
      <c r="AF405" s="9"/>
      <c r="AG405" s="9" t="s">
        <v>17</v>
      </c>
      <c r="AH405" s="185">
        <v>0</v>
      </c>
      <c r="AI405" s="185">
        <v>3.1521027649040702E-10</v>
      </c>
      <c r="AJ405" s="185">
        <v>5.3355434515835392E-11</v>
      </c>
    </row>
    <row r="406" spans="1:36">
      <c r="A406" s="9">
        <v>337</v>
      </c>
      <c r="B406" s="9">
        <v>9963</v>
      </c>
      <c r="C406" s="9" t="s">
        <v>2016</v>
      </c>
      <c r="D406" s="9" t="s">
        <v>2017</v>
      </c>
      <c r="E406" s="5" t="s">
        <v>431</v>
      </c>
      <c r="F406" s="9" t="s">
        <v>2601</v>
      </c>
      <c r="G406" s="9" t="s">
        <v>2602</v>
      </c>
      <c r="H406" s="9" t="s">
        <v>76</v>
      </c>
      <c r="I406" s="9" t="s">
        <v>228</v>
      </c>
      <c r="J406" s="9" t="s">
        <v>53</v>
      </c>
      <c r="K406" s="9" t="s">
        <v>53</v>
      </c>
      <c r="L406" s="9" t="s">
        <v>803</v>
      </c>
      <c r="M406" s="9" t="s">
        <v>311</v>
      </c>
      <c r="N406" s="9" t="s">
        <v>267</v>
      </c>
      <c r="O406" s="9" t="s">
        <v>62</v>
      </c>
      <c r="P406" s="9" t="s">
        <v>2330</v>
      </c>
      <c r="Q406" s="9" t="s">
        <v>65</v>
      </c>
      <c r="R406" s="9" t="s">
        <v>57</v>
      </c>
      <c r="S406" s="9" t="s">
        <v>1259</v>
      </c>
      <c r="T406" s="170">
        <v>1.7090000000000001</v>
      </c>
      <c r="U406" s="9" t="s">
        <v>2603</v>
      </c>
      <c r="V406" s="199">
        <v>5.2499999999999998E-2</v>
      </c>
      <c r="W406" s="185">
        <v>5.1819999999999998E-2</v>
      </c>
      <c r="X406" s="5" t="s">
        <v>618</v>
      </c>
      <c r="Y406" s="5" t="s">
        <v>62</v>
      </c>
      <c r="Z406" s="170">
        <v>2719000</v>
      </c>
      <c r="AA406" s="184">
        <v>1</v>
      </c>
      <c r="AB406" s="186">
        <v>102.65</v>
      </c>
      <c r="AC406" s="9"/>
      <c r="AD406" s="170">
        <v>2791.0529999999999</v>
      </c>
      <c r="AE406" s="9"/>
      <c r="AF406" s="9"/>
      <c r="AG406" s="9" t="s">
        <v>17</v>
      </c>
      <c r="AH406" s="185">
        <v>8.2389999999999998E-3</v>
      </c>
      <c r="AI406" s="185">
        <v>1.48199033999481E-2</v>
      </c>
      <c r="AJ406" s="185">
        <v>2.50855522285296E-3</v>
      </c>
    </row>
    <row r="407" spans="1:36">
      <c r="A407" s="9">
        <v>337</v>
      </c>
      <c r="B407" s="9">
        <v>9963</v>
      </c>
      <c r="C407" s="9" t="s">
        <v>2016</v>
      </c>
      <c r="D407" s="9" t="s">
        <v>2017</v>
      </c>
      <c r="E407" s="5" t="s">
        <v>431</v>
      </c>
      <c r="F407" s="9" t="s">
        <v>2604</v>
      </c>
      <c r="G407" s="9" t="s">
        <v>2605</v>
      </c>
      <c r="H407" s="9" t="s">
        <v>76</v>
      </c>
      <c r="I407" s="9" t="s">
        <v>228</v>
      </c>
      <c r="J407" s="9" t="s">
        <v>53</v>
      </c>
      <c r="K407" s="9" t="s">
        <v>314</v>
      </c>
      <c r="L407" s="9" t="s">
        <v>803</v>
      </c>
      <c r="M407" s="9" t="s">
        <v>311</v>
      </c>
      <c r="N407" s="9" t="s">
        <v>267</v>
      </c>
      <c r="O407" s="9" t="s">
        <v>62</v>
      </c>
      <c r="P407" s="9" t="s">
        <v>2330</v>
      </c>
      <c r="Q407" s="9" t="s">
        <v>65</v>
      </c>
      <c r="R407" s="9" t="s">
        <v>57</v>
      </c>
      <c r="S407" s="9" t="s">
        <v>1259</v>
      </c>
      <c r="T407" s="170">
        <v>2.5539999999999998</v>
      </c>
      <c r="U407" s="9" t="s">
        <v>1608</v>
      </c>
      <c r="V407" s="199">
        <v>6.5000000000000002E-2</v>
      </c>
      <c r="W407" s="185">
        <v>5.2010000000000001E-2</v>
      </c>
      <c r="X407" s="5" t="s">
        <v>618</v>
      </c>
      <c r="Y407" s="5" t="s">
        <v>62</v>
      </c>
      <c r="Z407" s="170">
        <v>2000000</v>
      </c>
      <c r="AA407" s="184">
        <v>1</v>
      </c>
      <c r="AB407" s="186">
        <v>103.44</v>
      </c>
      <c r="AC407" s="9"/>
      <c r="AD407" s="170">
        <v>2068.8000000000002</v>
      </c>
      <c r="AE407" s="9"/>
      <c r="AF407" s="9"/>
      <c r="AG407" s="9" t="s">
        <v>17</v>
      </c>
      <c r="AH407" s="185">
        <v>4.0000000000000001E-3</v>
      </c>
      <c r="AI407" s="185">
        <v>1.0984890169182601E-2</v>
      </c>
      <c r="AJ407" s="185">
        <v>1.8594050759106601E-3</v>
      </c>
    </row>
    <row r="408" spans="1:36">
      <c r="A408" s="9">
        <v>337</v>
      </c>
      <c r="B408" s="9">
        <v>9963</v>
      </c>
      <c r="C408" s="9" t="s">
        <v>2016</v>
      </c>
      <c r="D408" s="9" t="s">
        <v>2017</v>
      </c>
      <c r="E408" s="5" t="s">
        <v>431</v>
      </c>
      <c r="F408" s="9" t="s">
        <v>2606</v>
      </c>
      <c r="G408" s="9" t="s">
        <v>2607</v>
      </c>
      <c r="H408" s="9" t="s">
        <v>76</v>
      </c>
      <c r="I408" s="9" t="s">
        <v>228</v>
      </c>
      <c r="J408" s="9" t="s">
        <v>53</v>
      </c>
      <c r="K408" s="9" t="s">
        <v>53</v>
      </c>
      <c r="L408" s="9" t="s">
        <v>803</v>
      </c>
      <c r="M408" s="9" t="s">
        <v>1691</v>
      </c>
      <c r="N408" s="9" t="s">
        <v>267</v>
      </c>
      <c r="O408" s="9" t="s">
        <v>62</v>
      </c>
      <c r="P408" s="9" t="s">
        <v>2330</v>
      </c>
      <c r="Q408" s="9" t="s">
        <v>65</v>
      </c>
      <c r="R408" s="9" t="s">
        <v>57</v>
      </c>
      <c r="S408" s="9" t="s">
        <v>1259</v>
      </c>
      <c r="T408" s="170">
        <v>3.129</v>
      </c>
      <c r="U408" s="9" t="s">
        <v>2268</v>
      </c>
      <c r="V408" s="199">
        <v>6.7000000000000004E-2</v>
      </c>
      <c r="W408" s="185">
        <v>5.1139999999999998E-2</v>
      </c>
      <c r="X408" s="5" t="s">
        <v>618</v>
      </c>
      <c r="Y408" s="5" t="s">
        <v>62</v>
      </c>
      <c r="Z408" s="170">
        <v>1668000</v>
      </c>
      <c r="AA408" s="184">
        <v>1</v>
      </c>
      <c r="AB408" s="186">
        <v>106.88</v>
      </c>
      <c r="AC408" s="9"/>
      <c r="AD408" s="170">
        <v>1782.758</v>
      </c>
      <c r="AE408" s="9"/>
      <c r="AF408" s="9"/>
      <c r="AG408" s="9" t="s">
        <v>17</v>
      </c>
      <c r="AH408" s="185">
        <v>1.833E-3</v>
      </c>
      <c r="AI408" s="185">
        <v>9.4660698096421404E-3</v>
      </c>
      <c r="AJ408" s="185">
        <v>1.60231536063533E-3</v>
      </c>
    </row>
    <row r="409" spans="1:36">
      <c r="A409" s="9">
        <v>337</v>
      </c>
      <c r="B409" s="9">
        <v>9963</v>
      </c>
      <c r="C409" s="9" t="s">
        <v>2024</v>
      </c>
      <c r="D409" s="9" t="s">
        <v>2025</v>
      </c>
      <c r="E409" s="5" t="s">
        <v>1346</v>
      </c>
      <c r="F409" s="9" t="s">
        <v>2608</v>
      </c>
      <c r="G409" s="9" t="s">
        <v>2609</v>
      </c>
      <c r="H409" s="9" t="s">
        <v>76</v>
      </c>
      <c r="I409" s="9" t="s">
        <v>229</v>
      </c>
      <c r="J409" s="9" t="s">
        <v>53</v>
      </c>
      <c r="K409" s="9" t="s">
        <v>53</v>
      </c>
      <c r="L409" s="9" t="s">
        <v>803</v>
      </c>
      <c r="M409" s="9" t="s">
        <v>311</v>
      </c>
      <c r="N409" s="9" t="s">
        <v>629</v>
      </c>
      <c r="O409" s="9" t="s">
        <v>62</v>
      </c>
      <c r="P409" s="9" t="s">
        <v>2314</v>
      </c>
      <c r="Q409" s="9" t="s">
        <v>70</v>
      </c>
      <c r="R409" s="9" t="s">
        <v>57</v>
      </c>
      <c r="S409" s="9" t="s">
        <v>1259</v>
      </c>
      <c r="T409" s="170">
        <v>2.1589999999999998</v>
      </c>
      <c r="U409" s="9" t="s">
        <v>2428</v>
      </c>
      <c r="V409" s="199">
        <v>1.4800000000000001E-2</v>
      </c>
      <c r="W409" s="185">
        <v>2.9860000000000001E-2</v>
      </c>
      <c r="X409" s="5" t="s">
        <v>618</v>
      </c>
      <c r="Y409" s="5" t="s">
        <v>62</v>
      </c>
      <c r="Z409" s="170">
        <v>1257476</v>
      </c>
      <c r="AA409" s="184">
        <v>1</v>
      </c>
      <c r="AB409" s="186">
        <v>111.27</v>
      </c>
      <c r="AC409" s="9"/>
      <c r="AD409" s="170">
        <v>1399.194</v>
      </c>
      <c r="AE409" s="9"/>
      <c r="AF409" s="9"/>
      <c r="AG409" s="9" t="s">
        <v>17</v>
      </c>
      <c r="AH409" s="185">
        <v>4.3229999999999996E-3</v>
      </c>
      <c r="AI409" s="185">
        <v>7.4294216064632601E-3</v>
      </c>
      <c r="AJ409" s="185">
        <v>1.25757326958928E-3</v>
      </c>
    </row>
    <row r="410" spans="1:36">
      <c r="A410" s="9">
        <v>337</v>
      </c>
      <c r="B410" s="9">
        <v>9963</v>
      </c>
      <c r="C410" s="9" t="s">
        <v>2036</v>
      </c>
      <c r="D410" s="9" t="s">
        <v>2037</v>
      </c>
      <c r="E410" s="5" t="s">
        <v>1346</v>
      </c>
      <c r="F410" s="9" t="s">
        <v>2768</v>
      </c>
      <c r="G410" s="9" t="s">
        <v>2769</v>
      </c>
      <c r="H410" s="9" t="s">
        <v>76</v>
      </c>
      <c r="I410" s="9" t="s">
        <v>229</v>
      </c>
      <c r="J410" s="9" t="s">
        <v>53</v>
      </c>
      <c r="K410" s="9" t="s">
        <v>53</v>
      </c>
      <c r="L410" s="9" t="s">
        <v>803</v>
      </c>
      <c r="M410" s="9" t="s">
        <v>311</v>
      </c>
      <c r="N410" s="9" t="s">
        <v>633</v>
      </c>
      <c r="O410" s="9" t="s">
        <v>62</v>
      </c>
      <c r="P410" s="9" t="s">
        <v>1614</v>
      </c>
      <c r="Q410" s="9" t="s">
        <v>65</v>
      </c>
      <c r="R410" s="9" t="s">
        <v>57</v>
      </c>
      <c r="S410" s="9" t="s">
        <v>1259</v>
      </c>
      <c r="T410" s="170">
        <v>0.499</v>
      </c>
      <c r="U410" s="9" t="s">
        <v>2727</v>
      </c>
      <c r="V410" s="199">
        <v>4.9500000000000002E-2</v>
      </c>
      <c r="W410" s="185">
        <v>3.091E-2</v>
      </c>
      <c r="X410" s="5" t="s">
        <v>618</v>
      </c>
      <c r="Y410" s="5" t="s">
        <v>62</v>
      </c>
      <c r="Z410" s="170">
        <v>421212.01</v>
      </c>
      <c r="AA410" s="184">
        <v>1</v>
      </c>
      <c r="AB410" s="186">
        <v>142.71</v>
      </c>
      <c r="AC410" s="9"/>
      <c r="AD410" s="170">
        <v>601.11199999999997</v>
      </c>
      <c r="AE410" s="9"/>
      <c r="AF410" s="9"/>
      <c r="AG410" s="9" t="s">
        <v>17</v>
      </c>
      <c r="AH410" s="185">
        <v>1.918E-3</v>
      </c>
      <c r="AI410" s="185">
        <v>3.1917756954292398E-3</v>
      </c>
      <c r="AJ410" s="185">
        <v>5.40269755805035E-4</v>
      </c>
    </row>
    <row r="411" spans="1:36">
      <c r="A411" s="9">
        <v>337</v>
      </c>
      <c r="B411" s="9">
        <v>9963</v>
      </c>
      <c r="C411" s="9" t="s">
        <v>2614</v>
      </c>
      <c r="D411" s="9" t="s">
        <v>2615</v>
      </c>
      <c r="E411" s="5" t="s">
        <v>765</v>
      </c>
      <c r="F411" s="9" t="s">
        <v>2616</v>
      </c>
      <c r="G411" s="9" t="s">
        <v>2617</v>
      </c>
      <c r="H411" s="9" t="s">
        <v>76</v>
      </c>
      <c r="I411" s="9" t="s">
        <v>228</v>
      </c>
      <c r="J411" s="9" t="s">
        <v>53</v>
      </c>
      <c r="K411" s="9" t="s">
        <v>314</v>
      </c>
      <c r="L411" s="9" t="s">
        <v>803</v>
      </c>
      <c r="M411" s="9" t="s">
        <v>311</v>
      </c>
      <c r="N411" s="9" t="s">
        <v>634</v>
      </c>
      <c r="O411" s="9" t="s">
        <v>62</v>
      </c>
      <c r="P411" s="9" t="s">
        <v>2239</v>
      </c>
      <c r="Q411" s="9" t="s">
        <v>65</v>
      </c>
      <c r="R411" s="9" t="s">
        <v>57</v>
      </c>
      <c r="S411" s="9" t="s">
        <v>1259</v>
      </c>
      <c r="T411" s="170">
        <v>3.359</v>
      </c>
      <c r="U411" s="9" t="s">
        <v>2618</v>
      </c>
      <c r="V411" s="199">
        <v>4.4999999999999998E-2</v>
      </c>
      <c r="W411" s="185">
        <v>5.5239999999999997E-2</v>
      </c>
      <c r="X411" s="5" t="s">
        <v>618</v>
      </c>
      <c r="Y411" s="5" t="s">
        <v>62</v>
      </c>
      <c r="Z411" s="170">
        <v>1759188.61</v>
      </c>
      <c r="AA411" s="184">
        <v>1</v>
      </c>
      <c r="AB411" s="186">
        <v>97.83</v>
      </c>
      <c r="AC411" s="9"/>
      <c r="AD411" s="170">
        <v>1721.0139999999999</v>
      </c>
      <c r="AE411" s="9"/>
      <c r="AF411" s="9"/>
      <c r="AG411" s="9" t="s">
        <v>17</v>
      </c>
      <c r="AH411" s="185">
        <v>2.173E-3</v>
      </c>
      <c r="AI411" s="185">
        <v>9.1382212660176404E-3</v>
      </c>
      <c r="AJ411" s="185">
        <v>1.5468206550209201E-3</v>
      </c>
    </row>
    <row r="412" spans="1:36">
      <c r="A412" s="9">
        <v>337</v>
      </c>
      <c r="B412" s="9">
        <v>9963</v>
      </c>
      <c r="C412" s="9" t="s">
        <v>2614</v>
      </c>
      <c r="D412" s="9" t="s">
        <v>2615</v>
      </c>
      <c r="E412" s="5" t="s">
        <v>765</v>
      </c>
      <c r="F412" s="9" t="s">
        <v>2619</v>
      </c>
      <c r="G412" s="9" t="s">
        <v>2620</v>
      </c>
      <c r="H412" s="9" t="s">
        <v>76</v>
      </c>
      <c r="I412" s="9" t="s">
        <v>228</v>
      </c>
      <c r="J412" s="9" t="s">
        <v>53</v>
      </c>
      <c r="K412" s="9" t="s">
        <v>53</v>
      </c>
      <c r="L412" s="9" t="s">
        <v>803</v>
      </c>
      <c r="M412" s="9" t="s">
        <v>311</v>
      </c>
      <c r="N412" s="9" t="s">
        <v>634</v>
      </c>
      <c r="O412" s="9" t="s">
        <v>62</v>
      </c>
      <c r="P412" s="9" t="s">
        <v>2246</v>
      </c>
      <c r="Q412" s="9" t="s">
        <v>65</v>
      </c>
      <c r="R412" s="9" t="s">
        <v>57</v>
      </c>
      <c r="S412" s="9" t="s">
        <v>1259</v>
      </c>
      <c r="T412" s="170">
        <v>1.877</v>
      </c>
      <c r="U412" s="9" t="s">
        <v>1615</v>
      </c>
      <c r="V412" s="199">
        <v>6.3500000000000001E-2</v>
      </c>
      <c r="W412" s="185">
        <v>5.33E-2</v>
      </c>
      <c r="X412" s="5" t="s">
        <v>618</v>
      </c>
      <c r="Y412" s="5" t="s">
        <v>62</v>
      </c>
      <c r="Z412" s="170">
        <v>961270</v>
      </c>
      <c r="AA412" s="184">
        <v>1</v>
      </c>
      <c r="AB412" s="186">
        <v>102.04</v>
      </c>
      <c r="AC412" s="9"/>
      <c r="AD412" s="170">
        <v>980.88</v>
      </c>
      <c r="AE412" s="9"/>
      <c r="AF412" s="9"/>
      <c r="AG412" s="9" t="s">
        <v>17</v>
      </c>
      <c r="AH412" s="185">
        <v>2.4169999999999999E-3</v>
      </c>
      <c r="AI412" s="185">
        <v>5.2082647228044801E-3</v>
      </c>
      <c r="AJ412" s="185">
        <v>8.81599516528412E-4</v>
      </c>
    </row>
    <row r="413" spans="1:36">
      <c r="A413" s="9">
        <v>337</v>
      </c>
      <c r="B413" s="9">
        <v>9963</v>
      </c>
      <c r="C413" s="9" t="s">
        <v>2614</v>
      </c>
      <c r="D413" s="9" t="s">
        <v>2615</v>
      </c>
      <c r="E413" s="5" t="s">
        <v>765</v>
      </c>
      <c r="F413" s="9" t="s">
        <v>2621</v>
      </c>
      <c r="G413" s="9" t="s">
        <v>2622</v>
      </c>
      <c r="H413" s="9" t="s">
        <v>76</v>
      </c>
      <c r="I413" s="9" t="s">
        <v>228</v>
      </c>
      <c r="J413" s="9" t="s">
        <v>53</v>
      </c>
      <c r="K413" s="9" t="s">
        <v>53</v>
      </c>
      <c r="L413" s="9" t="s">
        <v>803</v>
      </c>
      <c r="M413" s="9" t="s">
        <v>1691</v>
      </c>
      <c r="N413" s="9" t="s">
        <v>634</v>
      </c>
      <c r="O413" s="9" t="s">
        <v>62</v>
      </c>
      <c r="P413" s="9" t="s">
        <v>2246</v>
      </c>
      <c r="Q413" s="9" t="s">
        <v>65</v>
      </c>
      <c r="R413" s="9" t="s">
        <v>57</v>
      </c>
      <c r="S413" s="9" t="s">
        <v>1259</v>
      </c>
      <c r="T413" s="170">
        <v>3.3980000000000001</v>
      </c>
      <c r="U413" s="9" t="s">
        <v>2623</v>
      </c>
      <c r="V413" s="199">
        <v>6.25E-2</v>
      </c>
      <c r="W413" s="185">
        <v>5.2850000000000001E-2</v>
      </c>
      <c r="X413" s="5" t="s">
        <v>618</v>
      </c>
      <c r="Y413" s="5" t="s">
        <v>62</v>
      </c>
      <c r="Z413" s="170">
        <v>968000</v>
      </c>
      <c r="AA413" s="184">
        <v>1</v>
      </c>
      <c r="AB413" s="186">
        <v>104.82</v>
      </c>
      <c r="AC413" s="9"/>
      <c r="AD413" s="170">
        <v>1014.658</v>
      </c>
      <c r="AE413" s="9"/>
      <c r="AF413" s="9"/>
      <c r="AG413" s="9" t="s">
        <v>17</v>
      </c>
      <c r="AH413" s="185">
        <v>1.7600000000000001E-3</v>
      </c>
      <c r="AI413" s="185">
        <v>5.3876171187772597E-3</v>
      </c>
      <c r="AJ413" s="185">
        <v>9.1195837768335501E-4</v>
      </c>
    </row>
    <row r="414" spans="1:36">
      <c r="A414" s="9">
        <v>337</v>
      </c>
      <c r="B414" s="9">
        <v>9963</v>
      </c>
      <c r="C414" s="9" t="s">
        <v>2043</v>
      </c>
      <c r="D414" s="9" t="s">
        <v>2044</v>
      </c>
      <c r="E414" s="5" t="s">
        <v>1346</v>
      </c>
      <c r="F414" s="9" t="s">
        <v>2624</v>
      </c>
      <c r="G414" s="9" t="s">
        <v>2625</v>
      </c>
      <c r="H414" s="9" t="s">
        <v>76</v>
      </c>
      <c r="I414" s="9" t="s">
        <v>229</v>
      </c>
      <c r="J414" s="9" t="s">
        <v>53</v>
      </c>
      <c r="K414" s="9" t="s">
        <v>53</v>
      </c>
      <c r="L414" s="9" t="s">
        <v>803</v>
      </c>
      <c r="M414" s="9" t="s">
        <v>311</v>
      </c>
      <c r="N414" s="9" t="s">
        <v>629</v>
      </c>
      <c r="O414" s="9" t="s">
        <v>62</v>
      </c>
      <c r="P414" s="167" t="s">
        <v>298</v>
      </c>
      <c r="Q414" s="9" t="s">
        <v>298</v>
      </c>
      <c r="R414" s="9" t="s">
        <v>298</v>
      </c>
      <c r="S414" s="9" t="s">
        <v>1259</v>
      </c>
      <c r="T414" s="170">
        <v>1.786</v>
      </c>
      <c r="U414" s="9" t="s">
        <v>2428</v>
      </c>
      <c r="V414" s="199">
        <v>2.3E-2</v>
      </c>
      <c r="W414" s="185">
        <v>4.0899999999999999E-2</v>
      </c>
      <c r="X414" s="5" t="s">
        <v>618</v>
      </c>
      <c r="Y414" s="5" t="s">
        <v>62</v>
      </c>
      <c r="Z414" s="170">
        <v>0.33</v>
      </c>
      <c r="AA414" s="184">
        <v>1</v>
      </c>
      <c r="AB414" s="186">
        <v>110.5</v>
      </c>
      <c r="AC414" s="9"/>
      <c r="AD414" s="170">
        <v>0</v>
      </c>
      <c r="AE414" s="9"/>
      <c r="AF414" s="9"/>
      <c r="AG414" s="9" t="s">
        <v>17</v>
      </c>
      <c r="AH414" s="185">
        <v>0</v>
      </c>
      <c r="AI414" s="185">
        <v>1.9362143272391903E-9</v>
      </c>
      <c r="AJ414" s="185">
        <v>3.2774171545380001E-10</v>
      </c>
    </row>
    <row r="415" spans="1:36">
      <c r="A415" s="9">
        <v>337</v>
      </c>
      <c r="B415" s="9">
        <v>9963</v>
      </c>
      <c r="C415" s="9" t="s">
        <v>2846</v>
      </c>
      <c r="D415" s="9" t="s">
        <v>2847</v>
      </c>
      <c r="E415" s="5" t="s">
        <v>1346</v>
      </c>
      <c r="F415" s="9" t="s">
        <v>2848</v>
      </c>
      <c r="G415" s="9" t="s">
        <v>2849</v>
      </c>
      <c r="H415" s="9" t="s">
        <v>76</v>
      </c>
      <c r="I415" s="9" t="s">
        <v>229</v>
      </c>
      <c r="J415" s="9" t="s">
        <v>53</v>
      </c>
      <c r="K415" s="9" t="s">
        <v>53</v>
      </c>
      <c r="L415" s="9" t="s">
        <v>803</v>
      </c>
      <c r="M415" s="9" t="s">
        <v>311</v>
      </c>
      <c r="N415" s="9" t="s">
        <v>629</v>
      </c>
      <c r="O415" s="9" t="s">
        <v>62</v>
      </c>
      <c r="P415" s="167" t="s">
        <v>298</v>
      </c>
      <c r="Q415" s="9" t="s">
        <v>298</v>
      </c>
      <c r="R415" s="9" t="s">
        <v>298</v>
      </c>
      <c r="S415" s="9" t="s">
        <v>1259</v>
      </c>
      <c r="T415" s="170">
        <v>1.7689999999999999</v>
      </c>
      <c r="U415" s="9" t="s">
        <v>2428</v>
      </c>
      <c r="V415" s="199">
        <v>2.9499999999999998E-2</v>
      </c>
      <c r="W415" s="185">
        <v>2.8840000000000001E-2</v>
      </c>
      <c r="X415" s="5" t="s">
        <v>618</v>
      </c>
      <c r="Y415" s="5" t="s">
        <v>62</v>
      </c>
      <c r="Z415" s="170">
        <v>552284.88</v>
      </c>
      <c r="AA415" s="184">
        <v>1</v>
      </c>
      <c r="AB415" s="186">
        <v>112.49</v>
      </c>
      <c r="AC415" s="9"/>
      <c r="AD415" s="170">
        <v>621.26499999999999</v>
      </c>
      <c r="AE415" s="9"/>
      <c r="AF415" s="9"/>
      <c r="AG415" s="9" t="s">
        <v>17</v>
      </c>
      <c r="AH415" s="185">
        <v>2.2659999999999998E-3</v>
      </c>
      <c r="AI415" s="185">
        <v>3.2987870570561702E-3</v>
      </c>
      <c r="AJ415" s="185">
        <v>5.5838349803865803E-4</v>
      </c>
    </row>
    <row r="416" spans="1:36">
      <c r="A416" s="9">
        <v>337</v>
      </c>
      <c r="B416" s="9">
        <v>9963</v>
      </c>
      <c r="C416" s="9" t="s">
        <v>2631</v>
      </c>
      <c r="D416" s="9" t="s">
        <v>2632</v>
      </c>
      <c r="E416" s="5" t="s">
        <v>765</v>
      </c>
      <c r="F416" s="9" t="s">
        <v>2633</v>
      </c>
      <c r="G416" s="9" t="s">
        <v>2634</v>
      </c>
      <c r="H416" s="9" t="s">
        <v>76</v>
      </c>
      <c r="I416" s="9" t="s">
        <v>230</v>
      </c>
      <c r="J416" s="9" t="s">
        <v>53</v>
      </c>
      <c r="K416" s="9" t="s">
        <v>314</v>
      </c>
      <c r="L416" s="9" t="s">
        <v>803</v>
      </c>
      <c r="M416" s="9" t="s">
        <v>311</v>
      </c>
      <c r="N416" s="9" t="s">
        <v>631</v>
      </c>
      <c r="O416" s="9" t="s">
        <v>62</v>
      </c>
      <c r="P416" s="9" t="s">
        <v>1621</v>
      </c>
      <c r="Q416" s="9" t="s">
        <v>70</v>
      </c>
      <c r="R416" s="9" t="s">
        <v>57</v>
      </c>
      <c r="S416" s="9" t="s">
        <v>1259</v>
      </c>
      <c r="T416" s="170">
        <v>1.1160000000000001</v>
      </c>
      <c r="U416" s="9" t="s">
        <v>2635</v>
      </c>
      <c r="V416" s="199">
        <v>7.9135999999999998E-2</v>
      </c>
      <c r="W416" s="185">
        <v>5.5309999999999998E-2</v>
      </c>
      <c r="X416" s="5" t="s">
        <v>618</v>
      </c>
      <c r="Y416" s="5" t="s">
        <v>62</v>
      </c>
      <c r="Z416" s="170">
        <v>1463000</v>
      </c>
      <c r="AA416" s="184">
        <v>1</v>
      </c>
      <c r="AB416" s="186">
        <v>95.62</v>
      </c>
      <c r="AC416" s="9"/>
      <c r="AD416" s="170">
        <v>1398.921</v>
      </c>
      <c r="AE416" s="9"/>
      <c r="AF416" s="9"/>
      <c r="AG416" s="9" t="s">
        <v>17</v>
      </c>
      <c r="AH416" s="185">
        <v>3.4749999999999998E-3</v>
      </c>
      <c r="AI416" s="185">
        <v>7.4279723252160604E-3</v>
      </c>
      <c r="AJ416" s="185">
        <v>1.2573279507134499E-3</v>
      </c>
    </row>
    <row r="417" spans="1:36">
      <c r="A417" s="9">
        <v>337</v>
      </c>
      <c r="B417" s="9">
        <v>9963</v>
      </c>
      <c r="C417" s="9" t="s">
        <v>2636</v>
      </c>
      <c r="D417" s="9" t="s">
        <v>2637</v>
      </c>
      <c r="E417" s="5" t="s">
        <v>765</v>
      </c>
      <c r="F417" s="9" t="s">
        <v>2638</v>
      </c>
      <c r="G417" s="9" t="s">
        <v>2639</v>
      </c>
      <c r="H417" s="9" t="s">
        <v>76</v>
      </c>
      <c r="I417" s="9" t="s">
        <v>228</v>
      </c>
      <c r="J417" s="9" t="s">
        <v>53</v>
      </c>
      <c r="K417" s="9" t="s">
        <v>314</v>
      </c>
      <c r="L417" s="9" t="s">
        <v>803</v>
      </c>
      <c r="M417" s="9" t="s">
        <v>1691</v>
      </c>
      <c r="N417" s="9" t="s">
        <v>634</v>
      </c>
      <c r="O417" s="9" t="s">
        <v>62</v>
      </c>
      <c r="P417" s="9" t="s">
        <v>2246</v>
      </c>
      <c r="Q417" s="9" t="s">
        <v>65</v>
      </c>
      <c r="R417" s="9" t="s">
        <v>57</v>
      </c>
      <c r="S417" s="9" t="s">
        <v>1259</v>
      </c>
      <c r="T417" s="170">
        <v>3.96</v>
      </c>
      <c r="U417" s="9" t="s">
        <v>2640</v>
      </c>
      <c r="V417" s="199">
        <v>6.7400000000000002E-2</v>
      </c>
      <c r="W417" s="185">
        <v>5.6840000000000002E-2</v>
      </c>
      <c r="X417" s="5" t="s">
        <v>618</v>
      </c>
      <c r="Y417" s="5" t="s">
        <v>62</v>
      </c>
      <c r="Z417" s="170">
        <v>1907000</v>
      </c>
      <c r="AA417" s="184">
        <v>1</v>
      </c>
      <c r="AB417" s="186">
        <v>104.44</v>
      </c>
      <c r="AC417" s="9"/>
      <c r="AD417" s="170">
        <v>1991.671</v>
      </c>
      <c r="AE417" s="9"/>
      <c r="AF417" s="9"/>
      <c r="AG417" s="9" t="s">
        <v>17</v>
      </c>
      <c r="AH417" s="185">
        <v>6.6909999999999999E-3</v>
      </c>
      <c r="AI417" s="185">
        <v>1.05753504404331E-2</v>
      </c>
      <c r="AJ417" s="185">
        <v>1.7900825575517399E-3</v>
      </c>
    </row>
    <row r="418" spans="1:36">
      <c r="A418" s="9">
        <v>337</v>
      </c>
      <c r="B418" s="9">
        <v>9963</v>
      </c>
      <c r="C418" s="9" t="s">
        <v>2055</v>
      </c>
      <c r="D418" s="9" t="s">
        <v>2056</v>
      </c>
      <c r="E418" s="5" t="s">
        <v>1346</v>
      </c>
      <c r="F418" s="9" t="s">
        <v>2645</v>
      </c>
      <c r="G418" s="9" t="s">
        <v>2646</v>
      </c>
      <c r="H418" s="9" t="s">
        <v>76</v>
      </c>
      <c r="I418" s="9" t="s">
        <v>229</v>
      </c>
      <c r="J418" s="9" t="s">
        <v>53</v>
      </c>
      <c r="K418" s="9" t="s">
        <v>53</v>
      </c>
      <c r="L418" s="9" t="s">
        <v>803</v>
      </c>
      <c r="M418" s="9" t="s">
        <v>311</v>
      </c>
      <c r="N418" s="9" t="s">
        <v>633</v>
      </c>
      <c r="O418" s="9" t="s">
        <v>62</v>
      </c>
      <c r="P418" s="9" t="s">
        <v>1331</v>
      </c>
      <c r="Q418" s="9" t="s">
        <v>65</v>
      </c>
      <c r="R418" s="9" t="s">
        <v>57</v>
      </c>
      <c r="S418" s="9" t="s">
        <v>1259</v>
      </c>
      <c r="T418" s="170">
        <v>2.6779999999999999</v>
      </c>
      <c r="U418" s="9" t="s">
        <v>2647</v>
      </c>
      <c r="V418" s="199">
        <v>1.34E-2</v>
      </c>
      <c r="W418" s="185">
        <v>2.8029999999999999E-2</v>
      </c>
      <c r="X418" s="5" t="s">
        <v>618</v>
      </c>
      <c r="Y418" s="5" t="s">
        <v>62</v>
      </c>
      <c r="Z418" s="170">
        <v>2063608.17</v>
      </c>
      <c r="AA418" s="184">
        <v>1</v>
      </c>
      <c r="AB418" s="186">
        <v>114.07</v>
      </c>
      <c r="AC418" s="170">
        <v>262.70299999999997</v>
      </c>
      <c r="AD418" s="170">
        <v>2616.6610000000001</v>
      </c>
      <c r="AE418" s="9"/>
      <c r="AF418" s="9"/>
      <c r="AG418" s="9" t="s">
        <v>17</v>
      </c>
      <c r="AH418" s="185">
        <v>9.3400000000000004E-4</v>
      </c>
      <c r="AI418" s="185">
        <v>1.38939157582934E-2</v>
      </c>
      <c r="AJ418" s="185">
        <v>2.3518139086836499E-3</v>
      </c>
    </row>
    <row r="419" spans="1:36">
      <c r="A419" s="9">
        <v>337</v>
      </c>
      <c r="B419" s="9">
        <v>9963</v>
      </c>
      <c r="C419" s="9" t="s">
        <v>2055</v>
      </c>
      <c r="D419" s="9" t="s">
        <v>2056</v>
      </c>
      <c r="E419" s="5" t="s">
        <v>1346</v>
      </c>
      <c r="F419" s="9" t="s">
        <v>2648</v>
      </c>
      <c r="G419" s="9" t="s">
        <v>2649</v>
      </c>
      <c r="H419" s="9" t="s">
        <v>76</v>
      </c>
      <c r="I419" s="9" t="s">
        <v>229</v>
      </c>
      <c r="J419" s="9" t="s">
        <v>53</v>
      </c>
      <c r="K419" s="9" t="s">
        <v>53</v>
      </c>
      <c r="L419" s="9" t="s">
        <v>803</v>
      </c>
      <c r="M419" s="9" t="s">
        <v>311</v>
      </c>
      <c r="N419" s="9" t="s">
        <v>633</v>
      </c>
      <c r="O419" s="9" t="s">
        <v>62</v>
      </c>
      <c r="P419" s="9" t="s">
        <v>2650</v>
      </c>
      <c r="Q419" s="9" t="s">
        <v>70</v>
      </c>
      <c r="R419" s="9" t="s">
        <v>57</v>
      </c>
      <c r="S419" s="9" t="s">
        <v>1259</v>
      </c>
      <c r="T419" s="170">
        <v>1.9570000000000001</v>
      </c>
      <c r="U419" s="9" t="s">
        <v>2255</v>
      </c>
      <c r="V419" s="199">
        <v>1.77E-2</v>
      </c>
      <c r="W419" s="185">
        <v>2.8219999999999999E-2</v>
      </c>
      <c r="X419" s="5" t="s">
        <v>618</v>
      </c>
      <c r="Y419" s="5" t="s">
        <v>62</v>
      </c>
      <c r="Z419" s="170">
        <v>1537035</v>
      </c>
      <c r="AA419" s="184">
        <v>1</v>
      </c>
      <c r="AB419" s="186">
        <v>114.73</v>
      </c>
      <c r="AC419" s="9"/>
      <c r="AD419" s="170">
        <v>1763.44</v>
      </c>
      <c r="AE419" s="9"/>
      <c r="AF419" s="9"/>
      <c r="AG419" s="9" t="s">
        <v>17</v>
      </c>
      <c r="AH419" s="185">
        <v>6.3199999999999997E-4</v>
      </c>
      <c r="AI419" s="185">
        <v>9.3634945507457303E-3</v>
      </c>
      <c r="AJ419" s="185">
        <v>1.58495251456974E-3</v>
      </c>
    </row>
    <row r="420" spans="1:36">
      <c r="A420" s="9">
        <v>337</v>
      </c>
      <c r="B420" s="9">
        <v>9963</v>
      </c>
      <c r="C420" s="9" t="s">
        <v>2055</v>
      </c>
      <c r="D420" s="9" t="s">
        <v>2056</v>
      </c>
      <c r="E420" s="5" t="s">
        <v>1346</v>
      </c>
      <c r="F420" s="9" t="s">
        <v>2651</v>
      </c>
      <c r="G420" s="9" t="s">
        <v>2652</v>
      </c>
      <c r="H420" s="9" t="s">
        <v>76</v>
      </c>
      <c r="I420" s="9" t="s">
        <v>229</v>
      </c>
      <c r="J420" s="9" t="s">
        <v>53</v>
      </c>
      <c r="K420" s="9" t="s">
        <v>53</v>
      </c>
      <c r="L420" s="9" t="s">
        <v>803</v>
      </c>
      <c r="M420" s="9" t="s">
        <v>311</v>
      </c>
      <c r="N420" s="9" t="s">
        <v>633</v>
      </c>
      <c r="O420" s="9" t="s">
        <v>62</v>
      </c>
      <c r="P420" s="9" t="s">
        <v>1331</v>
      </c>
      <c r="Q420" s="9" t="s">
        <v>65</v>
      </c>
      <c r="R420" s="9" t="s">
        <v>57</v>
      </c>
      <c r="S420" s="9" t="s">
        <v>1259</v>
      </c>
      <c r="T420" s="170">
        <v>6.4160000000000004</v>
      </c>
      <c r="U420" s="9" t="s">
        <v>2653</v>
      </c>
      <c r="V420" s="199">
        <v>8.9999999999999993E-3</v>
      </c>
      <c r="W420" s="185">
        <v>2.8410000000000001E-2</v>
      </c>
      <c r="X420" s="5" t="s">
        <v>618</v>
      </c>
      <c r="Y420" s="5" t="s">
        <v>62</v>
      </c>
      <c r="Z420" s="170">
        <v>2624326.5299999998</v>
      </c>
      <c r="AA420" s="184">
        <v>1</v>
      </c>
      <c r="AB420" s="186">
        <v>101.93</v>
      </c>
      <c r="AC420" s="170">
        <v>76.942999999999998</v>
      </c>
      <c r="AD420" s="170">
        <v>2751.9189999999999</v>
      </c>
      <c r="AE420" s="9"/>
      <c r="AF420" s="9"/>
      <c r="AG420" s="9" t="s">
        <v>17</v>
      </c>
      <c r="AH420" s="185">
        <v>9.7400000000000004E-4</v>
      </c>
      <c r="AI420" s="185">
        <v>1.4612108347523901E-2</v>
      </c>
      <c r="AJ420" s="185">
        <v>2.47338189209809E-3</v>
      </c>
    </row>
    <row r="421" spans="1:36">
      <c r="A421" s="9">
        <v>337</v>
      </c>
      <c r="B421" s="9">
        <v>9963</v>
      </c>
      <c r="C421" s="9" t="s">
        <v>2055</v>
      </c>
      <c r="D421" s="9" t="s">
        <v>2056</v>
      </c>
      <c r="E421" s="5" t="s">
        <v>1346</v>
      </c>
      <c r="F421" s="9" t="s">
        <v>2852</v>
      </c>
      <c r="G421" s="9" t="s">
        <v>2853</v>
      </c>
      <c r="H421" s="9" t="s">
        <v>76</v>
      </c>
      <c r="I421" s="9" t="s">
        <v>229</v>
      </c>
      <c r="J421" s="9" t="s">
        <v>53</v>
      </c>
      <c r="K421" s="9" t="s">
        <v>53</v>
      </c>
      <c r="L421" s="9" t="s">
        <v>803</v>
      </c>
      <c r="M421" s="9" t="s">
        <v>1691</v>
      </c>
      <c r="N421" s="9" t="s">
        <v>633</v>
      </c>
      <c r="O421" s="9" t="s">
        <v>62</v>
      </c>
      <c r="P421" s="9" t="s">
        <v>2650</v>
      </c>
      <c r="Q421" s="9" t="s">
        <v>70</v>
      </c>
      <c r="R421" s="9" t="s">
        <v>57</v>
      </c>
      <c r="S421" s="9" t="s">
        <v>1259</v>
      </c>
      <c r="T421" s="170">
        <v>11.936</v>
      </c>
      <c r="U421" s="9" t="s">
        <v>2854</v>
      </c>
      <c r="V421" s="199">
        <v>3.6700000000000003E-2</v>
      </c>
      <c r="W421" s="185">
        <v>3.1620000000000002E-2</v>
      </c>
      <c r="X421" s="5" t="s">
        <v>618</v>
      </c>
      <c r="Y421" s="5" t="s">
        <v>62</v>
      </c>
      <c r="Z421" s="170">
        <v>1000000</v>
      </c>
      <c r="AA421" s="184">
        <v>1</v>
      </c>
      <c r="AB421" s="186">
        <v>109.54</v>
      </c>
      <c r="AC421" s="170">
        <v>18.899000000000001</v>
      </c>
      <c r="AD421" s="170">
        <v>1114.299</v>
      </c>
      <c r="AE421" s="9"/>
      <c r="AF421" s="9"/>
      <c r="AG421" s="9" t="s">
        <v>17</v>
      </c>
      <c r="AH421" s="185">
        <v>3.0499999999999999E-4</v>
      </c>
      <c r="AI421" s="185">
        <v>5.9166918120558201E-3</v>
      </c>
      <c r="AJ421" s="185">
        <v>1.0015145002359399E-3</v>
      </c>
    </row>
    <row r="422" spans="1:36">
      <c r="A422" s="9">
        <v>337</v>
      </c>
      <c r="B422" s="9">
        <v>9963</v>
      </c>
      <c r="C422" s="9" t="s">
        <v>2657</v>
      </c>
      <c r="D422" s="9" t="s">
        <v>2658</v>
      </c>
      <c r="E422" s="5" t="s">
        <v>1346</v>
      </c>
      <c r="F422" s="9" t="s">
        <v>2659</v>
      </c>
      <c r="G422" s="9" t="s">
        <v>2660</v>
      </c>
      <c r="H422" s="9" t="s">
        <v>76</v>
      </c>
      <c r="I422" s="9" t="s">
        <v>228</v>
      </c>
      <c r="J422" s="9" t="s">
        <v>53</v>
      </c>
      <c r="K422" s="9" t="s">
        <v>53</v>
      </c>
      <c r="L422" s="9" t="s">
        <v>803</v>
      </c>
      <c r="M422" s="9" t="s">
        <v>311</v>
      </c>
      <c r="N422" s="9" t="s">
        <v>140</v>
      </c>
      <c r="O422" s="9" t="s">
        <v>62</v>
      </c>
      <c r="P422" s="9" t="s">
        <v>2314</v>
      </c>
      <c r="Q422" s="9" t="s">
        <v>70</v>
      </c>
      <c r="R422" s="9" t="s">
        <v>57</v>
      </c>
      <c r="S422" s="9" t="s">
        <v>1259</v>
      </c>
      <c r="T422" s="170">
        <v>1.385</v>
      </c>
      <c r="U422" s="9" t="s">
        <v>2661</v>
      </c>
      <c r="V422" s="199">
        <v>0.06</v>
      </c>
      <c r="W422" s="185">
        <v>5.2359999999999997E-2</v>
      </c>
      <c r="X422" s="5" t="s">
        <v>618</v>
      </c>
      <c r="Y422" s="5" t="s">
        <v>62</v>
      </c>
      <c r="Z422" s="170">
        <v>7.0000000000000007E-2</v>
      </c>
      <c r="AA422" s="184">
        <v>1</v>
      </c>
      <c r="AB422" s="186">
        <v>101.65</v>
      </c>
      <c r="AC422" s="9"/>
      <c r="AD422" s="170">
        <v>0</v>
      </c>
      <c r="AE422" s="9"/>
      <c r="AF422" s="9"/>
      <c r="AG422" s="9" t="s">
        <v>17</v>
      </c>
      <c r="AH422" s="185">
        <v>0</v>
      </c>
      <c r="AI422" s="185">
        <v>3.7781799110024501E-10</v>
      </c>
      <c r="AJ422" s="185">
        <v>6.3953000858673094E-11</v>
      </c>
    </row>
    <row r="423" spans="1:36">
      <c r="A423" s="9">
        <v>337</v>
      </c>
      <c r="B423" s="9">
        <v>9963</v>
      </c>
      <c r="C423" s="9" t="s">
        <v>2059</v>
      </c>
      <c r="D423" s="9" t="s">
        <v>2060</v>
      </c>
      <c r="E423" s="5" t="s">
        <v>1346</v>
      </c>
      <c r="F423" s="9" t="s">
        <v>2662</v>
      </c>
      <c r="G423" s="9" t="s">
        <v>2663</v>
      </c>
      <c r="H423" s="9" t="s">
        <v>76</v>
      </c>
      <c r="I423" s="9" t="s">
        <v>229</v>
      </c>
      <c r="J423" s="9" t="s">
        <v>53</v>
      </c>
      <c r="K423" s="9" t="s">
        <v>53</v>
      </c>
      <c r="L423" s="9" t="s">
        <v>803</v>
      </c>
      <c r="M423" s="9" t="s">
        <v>311</v>
      </c>
      <c r="N423" s="9" t="s">
        <v>256</v>
      </c>
      <c r="O423" s="9" t="s">
        <v>62</v>
      </c>
      <c r="P423" s="9" t="s">
        <v>1641</v>
      </c>
      <c r="Q423" s="9" t="s">
        <v>65</v>
      </c>
      <c r="R423" s="9" t="s">
        <v>57</v>
      </c>
      <c r="S423" s="9" t="s">
        <v>1259</v>
      </c>
      <c r="T423" s="170">
        <v>3.335</v>
      </c>
      <c r="U423" s="9" t="s">
        <v>2664</v>
      </c>
      <c r="V423" s="199">
        <v>1E-3</v>
      </c>
      <c r="W423" s="185">
        <v>2.5729999999999999E-2</v>
      </c>
      <c r="X423" s="5" t="s">
        <v>618</v>
      </c>
      <c r="Y423" s="5" t="s">
        <v>62</v>
      </c>
      <c r="Z423" s="170">
        <v>553608.5</v>
      </c>
      <c r="AA423" s="184">
        <v>1</v>
      </c>
      <c r="AB423" s="186">
        <v>105.19</v>
      </c>
      <c r="AC423" s="9"/>
      <c r="AD423" s="170">
        <v>582.34100000000001</v>
      </c>
      <c r="AE423" s="9"/>
      <c r="AF423" s="9"/>
      <c r="AG423" s="9" t="s">
        <v>17</v>
      </c>
      <c r="AH423" s="185">
        <v>5.6300000000000002E-4</v>
      </c>
      <c r="AI423" s="185">
        <v>3.0921063041225499E-3</v>
      </c>
      <c r="AJ423" s="185">
        <v>5.2339878401976405E-4</v>
      </c>
    </row>
    <row r="424" spans="1:36">
      <c r="A424" s="9">
        <v>337</v>
      </c>
      <c r="B424" s="9">
        <v>9963</v>
      </c>
      <c r="C424" s="9" t="s">
        <v>2059</v>
      </c>
      <c r="D424" s="9" t="s">
        <v>2060</v>
      </c>
      <c r="E424" s="5" t="s">
        <v>1346</v>
      </c>
      <c r="F424" s="9" t="s">
        <v>2665</v>
      </c>
      <c r="G424" s="9" t="s">
        <v>2666</v>
      </c>
      <c r="H424" s="9" t="s">
        <v>76</v>
      </c>
      <c r="I424" s="9" t="s">
        <v>229</v>
      </c>
      <c r="J424" s="9" t="s">
        <v>53</v>
      </c>
      <c r="K424" s="9" t="s">
        <v>53</v>
      </c>
      <c r="L424" s="9" t="s">
        <v>803</v>
      </c>
      <c r="M424" s="9" t="s">
        <v>311</v>
      </c>
      <c r="N424" s="9" t="s">
        <v>256</v>
      </c>
      <c r="O424" s="9" t="s">
        <v>62</v>
      </c>
      <c r="P424" s="9" t="s">
        <v>1641</v>
      </c>
      <c r="Q424" s="9" t="s">
        <v>65</v>
      </c>
      <c r="R424" s="9" t="s">
        <v>57</v>
      </c>
      <c r="S424" s="9" t="s">
        <v>1259</v>
      </c>
      <c r="T424" s="170">
        <v>3.7149999999999999</v>
      </c>
      <c r="U424" s="9" t="s">
        <v>2667</v>
      </c>
      <c r="V424" s="199">
        <v>1.3899999999999999E-2</v>
      </c>
      <c r="W424" s="185">
        <v>2.511E-2</v>
      </c>
      <c r="X424" s="5" t="s">
        <v>618</v>
      </c>
      <c r="Y424" s="5" t="s">
        <v>62</v>
      </c>
      <c r="Z424" s="170">
        <v>1584800</v>
      </c>
      <c r="AA424" s="184">
        <v>1</v>
      </c>
      <c r="AB424" s="186">
        <v>105.13</v>
      </c>
      <c r="AC424" s="9"/>
      <c r="AD424" s="170">
        <v>1666.1</v>
      </c>
      <c r="AE424" s="9"/>
      <c r="AF424" s="9"/>
      <c r="AG424" s="9" t="s">
        <v>17</v>
      </c>
      <c r="AH424" s="185">
        <v>9.9099999999999991E-4</v>
      </c>
      <c r="AI424" s="185">
        <v>8.8466396690104095E-3</v>
      </c>
      <c r="AJ424" s="185">
        <v>1.4974648314153001E-3</v>
      </c>
    </row>
    <row r="425" spans="1:36">
      <c r="A425" s="9">
        <v>337</v>
      </c>
      <c r="B425" s="9">
        <v>9963</v>
      </c>
      <c r="C425" s="9" t="s">
        <v>2059</v>
      </c>
      <c r="D425" s="9" t="s">
        <v>2060</v>
      </c>
      <c r="E425" s="5" t="s">
        <v>1346</v>
      </c>
      <c r="F425" s="9" t="s">
        <v>2855</v>
      </c>
      <c r="G425" s="9" t="s">
        <v>2856</v>
      </c>
      <c r="H425" s="9" t="s">
        <v>76</v>
      </c>
      <c r="I425" s="9" t="s">
        <v>229</v>
      </c>
      <c r="J425" s="9" t="s">
        <v>53</v>
      </c>
      <c r="K425" s="9" t="s">
        <v>53</v>
      </c>
      <c r="L425" s="9" t="s">
        <v>803</v>
      </c>
      <c r="M425" s="9" t="s">
        <v>311</v>
      </c>
      <c r="N425" s="9" t="s">
        <v>256</v>
      </c>
      <c r="O425" s="9" t="s">
        <v>62</v>
      </c>
      <c r="P425" s="9" t="s">
        <v>1641</v>
      </c>
      <c r="Q425" s="9" t="s">
        <v>65</v>
      </c>
      <c r="R425" s="9" t="s">
        <v>57</v>
      </c>
      <c r="S425" s="9" t="s">
        <v>1259</v>
      </c>
      <c r="T425" s="170">
        <v>1.806</v>
      </c>
      <c r="U425" s="9" t="s">
        <v>2857</v>
      </c>
      <c r="V425" s="199">
        <v>6.0000000000000001E-3</v>
      </c>
      <c r="W425" s="185">
        <v>2.4760000000000001E-2</v>
      </c>
      <c r="X425" s="5" t="s">
        <v>618</v>
      </c>
      <c r="Y425" s="5" t="s">
        <v>62</v>
      </c>
      <c r="Z425" s="170">
        <v>150000</v>
      </c>
      <c r="AA425" s="184">
        <v>1</v>
      </c>
      <c r="AB425" s="186">
        <v>114.32</v>
      </c>
      <c r="AC425" s="9"/>
      <c r="AD425" s="170">
        <v>171.48</v>
      </c>
      <c r="AE425" s="9"/>
      <c r="AF425" s="9"/>
      <c r="AG425" s="9" t="s">
        <v>17</v>
      </c>
      <c r="AH425" s="185">
        <v>2.2499999999999999E-4</v>
      </c>
      <c r="AI425" s="185">
        <v>9.10522508802894E-4</v>
      </c>
      <c r="AJ425" s="185">
        <v>1.5412354138493801E-4</v>
      </c>
    </row>
    <row r="426" spans="1:36">
      <c r="A426" s="9">
        <v>337</v>
      </c>
      <c r="B426" s="9">
        <v>9963</v>
      </c>
      <c r="C426" s="9" t="s">
        <v>2059</v>
      </c>
      <c r="D426" s="9" t="s">
        <v>2060</v>
      </c>
      <c r="E426" s="5" t="s">
        <v>1346</v>
      </c>
      <c r="F426" s="9" t="s">
        <v>2671</v>
      </c>
      <c r="G426" s="9" t="s">
        <v>2672</v>
      </c>
      <c r="H426" s="9" t="s">
        <v>76</v>
      </c>
      <c r="I426" s="9" t="s">
        <v>229</v>
      </c>
      <c r="J426" s="9" t="s">
        <v>53</v>
      </c>
      <c r="K426" s="9" t="s">
        <v>53</v>
      </c>
      <c r="L426" s="9" t="s">
        <v>803</v>
      </c>
      <c r="M426" s="9" t="s">
        <v>1691</v>
      </c>
      <c r="N426" s="9" t="s">
        <v>256</v>
      </c>
      <c r="O426" s="9" t="s">
        <v>62</v>
      </c>
      <c r="P426" s="9" t="s">
        <v>2239</v>
      </c>
      <c r="Q426" s="9" t="s">
        <v>65</v>
      </c>
      <c r="R426" s="9" t="s">
        <v>57</v>
      </c>
      <c r="S426" s="9" t="s">
        <v>1259</v>
      </c>
      <c r="T426" s="170">
        <v>6.56</v>
      </c>
      <c r="U426" s="9" t="s">
        <v>2673</v>
      </c>
      <c r="V426" s="199">
        <v>3.4500000000000003E-2</v>
      </c>
      <c r="W426" s="185">
        <v>2.903E-2</v>
      </c>
      <c r="X426" s="5" t="s">
        <v>618</v>
      </c>
      <c r="Y426" s="5" t="s">
        <v>62</v>
      </c>
      <c r="Z426" s="170">
        <v>2000000</v>
      </c>
      <c r="AA426" s="184">
        <v>1</v>
      </c>
      <c r="AB426" s="186">
        <v>106.85</v>
      </c>
      <c r="AC426" s="9"/>
      <c r="AD426" s="170">
        <v>2137</v>
      </c>
      <c r="AE426" s="9"/>
      <c r="AF426" s="9"/>
      <c r="AG426" s="9" t="s">
        <v>17</v>
      </c>
      <c r="AH426" s="185">
        <v>1.359E-3</v>
      </c>
      <c r="AI426" s="185">
        <v>1.13470177356647E-2</v>
      </c>
      <c r="AJ426" s="185">
        <v>1.9207021689970399E-3</v>
      </c>
    </row>
    <row r="427" spans="1:36">
      <c r="A427" s="9">
        <v>337</v>
      </c>
      <c r="B427" s="9">
        <v>9963</v>
      </c>
      <c r="C427" s="9" t="s">
        <v>2059</v>
      </c>
      <c r="D427" s="9" t="s">
        <v>2060</v>
      </c>
      <c r="E427" s="5" t="s">
        <v>1346</v>
      </c>
      <c r="F427" s="9" t="s">
        <v>2858</v>
      </c>
      <c r="G427" s="9" t="s">
        <v>2859</v>
      </c>
      <c r="H427" s="9" t="s">
        <v>76</v>
      </c>
      <c r="I427" s="9" t="s">
        <v>229</v>
      </c>
      <c r="J427" s="9" t="s">
        <v>53</v>
      </c>
      <c r="K427" s="9" t="s">
        <v>53</v>
      </c>
      <c r="L427" s="9" t="s">
        <v>803</v>
      </c>
      <c r="M427" s="9" t="s">
        <v>311</v>
      </c>
      <c r="N427" s="9" t="s">
        <v>256</v>
      </c>
      <c r="O427" s="9" t="s">
        <v>62</v>
      </c>
      <c r="P427" s="9" t="s">
        <v>2239</v>
      </c>
      <c r="Q427" s="9" t="s">
        <v>65</v>
      </c>
      <c r="R427" s="9" t="s">
        <v>57</v>
      </c>
      <c r="S427" s="9" t="s">
        <v>1259</v>
      </c>
      <c r="T427" s="170">
        <v>2.673</v>
      </c>
      <c r="U427" s="9" t="s">
        <v>2860</v>
      </c>
      <c r="V427" s="199">
        <v>8.3999999999999995E-3</v>
      </c>
      <c r="W427" s="185">
        <v>2.9729999999999999E-2</v>
      </c>
      <c r="X427" s="5" t="s">
        <v>618</v>
      </c>
      <c r="Y427" s="5" t="s">
        <v>62</v>
      </c>
      <c r="Z427" s="170">
        <v>2100000</v>
      </c>
      <c r="AA427" s="184">
        <v>1</v>
      </c>
      <c r="AB427" s="186">
        <v>107.82</v>
      </c>
      <c r="AC427" s="9"/>
      <c r="AD427" s="170">
        <v>2264.2199999999998</v>
      </c>
      <c r="AE427" s="9"/>
      <c r="AF427" s="9"/>
      <c r="AG427" s="9" t="s">
        <v>17</v>
      </c>
      <c r="AH427" s="185">
        <v>5.2810000000000001E-3</v>
      </c>
      <c r="AI427" s="185">
        <v>1.2022529011439799E-2</v>
      </c>
      <c r="AJ427" s="185">
        <v>2.0350455147807602E-3</v>
      </c>
    </row>
    <row r="428" spans="1:36">
      <c r="A428" s="9">
        <v>337</v>
      </c>
      <c r="B428" s="9">
        <v>9963</v>
      </c>
      <c r="C428" s="9" t="s">
        <v>2067</v>
      </c>
      <c r="D428" s="9" t="s">
        <v>2068</v>
      </c>
      <c r="E428" s="5" t="s">
        <v>1346</v>
      </c>
      <c r="F428" s="9" t="s">
        <v>2674</v>
      </c>
      <c r="G428" s="9" t="s">
        <v>2675</v>
      </c>
      <c r="H428" s="9" t="s">
        <v>76</v>
      </c>
      <c r="I428" s="9" t="s">
        <v>228</v>
      </c>
      <c r="J428" s="9" t="s">
        <v>53</v>
      </c>
      <c r="K428" s="9" t="s">
        <v>53</v>
      </c>
      <c r="L428" s="9" t="s">
        <v>803</v>
      </c>
      <c r="M428" s="9" t="s">
        <v>311</v>
      </c>
      <c r="N428" s="9" t="s">
        <v>252</v>
      </c>
      <c r="O428" s="9" t="s">
        <v>62</v>
      </c>
      <c r="P428" s="9" t="s">
        <v>2239</v>
      </c>
      <c r="Q428" s="9" t="s">
        <v>65</v>
      </c>
      <c r="R428" s="9" t="s">
        <v>57</v>
      </c>
      <c r="S428" s="9" t="s">
        <v>1259</v>
      </c>
      <c r="T428" s="170">
        <v>0.90200000000000002</v>
      </c>
      <c r="U428" s="9" t="s">
        <v>2676</v>
      </c>
      <c r="V428" s="199">
        <v>2.29E-2</v>
      </c>
      <c r="W428" s="185">
        <v>4.7030000000000002E-2</v>
      </c>
      <c r="X428" s="5" t="s">
        <v>618</v>
      </c>
      <c r="Y428" s="5" t="s">
        <v>62</v>
      </c>
      <c r="Z428" s="170">
        <v>966346.15</v>
      </c>
      <c r="AA428" s="184">
        <v>1</v>
      </c>
      <c r="AB428" s="186">
        <v>98.11</v>
      </c>
      <c r="AC428" s="9"/>
      <c r="AD428" s="170">
        <v>948.08199999999999</v>
      </c>
      <c r="AE428" s="9"/>
      <c r="AF428" s="9"/>
      <c r="AG428" s="9" t="s">
        <v>17</v>
      </c>
      <c r="AH428" s="185">
        <v>2.9169999999999999E-3</v>
      </c>
      <c r="AI428" s="185">
        <v>5.0341158757031398E-3</v>
      </c>
      <c r="AJ428" s="185">
        <v>8.5212145664096295E-4</v>
      </c>
    </row>
    <row r="429" spans="1:36">
      <c r="A429" s="9">
        <v>337</v>
      </c>
      <c r="B429" s="9">
        <v>9963</v>
      </c>
      <c r="C429" s="9" t="s">
        <v>2677</v>
      </c>
      <c r="D429" s="9" t="s">
        <v>2678</v>
      </c>
      <c r="E429" s="5" t="s">
        <v>1346</v>
      </c>
      <c r="F429" s="9" t="s">
        <v>2679</v>
      </c>
      <c r="G429" s="9" t="s">
        <v>2680</v>
      </c>
      <c r="H429" s="9" t="s">
        <v>76</v>
      </c>
      <c r="I429" s="9" t="s">
        <v>228</v>
      </c>
      <c r="J429" s="9" t="s">
        <v>53</v>
      </c>
      <c r="K429" s="9" t="s">
        <v>53</v>
      </c>
      <c r="L429" s="9" t="s">
        <v>803</v>
      </c>
      <c r="M429" s="9" t="s">
        <v>1691</v>
      </c>
      <c r="N429" s="9" t="s">
        <v>269</v>
      </c>
      <c r="O429" s="9" t="s">
        <v>62</v>
      </c>
      <c r="P429" s="9" t="s">
        <v>2246</v>
      </c>
      <c r="Q429" s="9" t="s">
        <v>65</v>
      </c>
      <c r="R429" s="9" t="s">
        <v>57</v>
      </c>
      <c r="S429" s="9" t="s">
        <v>1259</v>
      </c>
      <c r="T429" s="170">
        <v>5.4450000000000003</v>
      </c>
      <c r="U429" s="9" t="s">
        <v>2681</v>
      </c>
      <c r="V429" s="199">
        <v>5.1499999999999997E-2</v>
      </c>
      <c r="W429" s="185">
        <v>4.768E-2</v>
      </c>
      <c r="X429" s="5" t="s">
        <v>618</v>
      </c>
      <c r="Y429" s="5" t="s">
        <v>62</v>
      </c>
      <c r="Z429" s="170">
        <v>1500000</v>
      </c>
      <c r="AA429" s="184">
        <v>1</v>
      </c>
      <c r="AB429" s="186">
        <v>103.43</v>
      </c>
      <c r="AC429" s="9"/>
      <c r="AD429" s="170">
        <v>1551.45</v>
      </c>
      <c r="AE429" s="9"/>
      <c r="AF429" s="9"/>
      <c r="AG429" s="9" t="s">
        <v>17</v>
      </c>
      <c r="AH429" s="185">
        <v>2.6970000000000002E-3</v>
      </c>
      <c r="AI429" s="185">
        <v>8.2378711586322002E-3</v>
      </c>
      <c r="AJ429" s="185">
        <v>1.39441898927958E-3</v>
      </c>
    </row>
    <row r="430" spans="1:36">
      <c r="A430" s="9">
        <v>337</v>
      </c>
      <c r="B430" s="9">
        <v>9963</v>
      </c>
      <c r="C430" s="9" t="s">
        <v>2677</v>
      </c>
      <c r="D430" s="9" t="s">
        <v>2678</v>
      </c>
      <c r="E430" s="5" t="s">
        <v>1346</v>
      </c>
      <c r="F430" s="9" t="s">
        <v>2682</v>
      </c>
      <c r="G430" s="9" t="s">
        <v>2683</v>
      </c>
      <c r="H430" s="9" t="s">
        <v>76</v>
      </c>
      <c r="I430" s="9" t="s">
        <v>229</v>
      </c>
      <c r="J430" s="9" t="s">
        <v>53</v>
      </c>
      <c r="K430" s="9" t="s">
        <v>53</v>
      </c>
      <c r="L430" s="9" t="s">
        <v>803</v>
      </c>
      <c r="M430" s="9" t="s">
        <v>311</v>
      </c>
      <c r="N430" s="9" t="s">
        <v>269</v>
      </c>
      <c r="O430" s="9" t="s">
        <v>62</v>
      </c>
      <c r="P430" s="9" t="s">
        <v>2239</v>
      </c>
      <c r="Q430" s="9" t="s">
        <v>65</v>
      </c>
      <c r="R430" s="9" t="s">
        <v>57</v>
      </c>
      <c r="S430" s="9" t="s">
        <v>1259</v>
      </c>
      <c r="T430" s="170">
        <v>6.133</v>
      </c>
      <c r="U430" s="9" t="s">
        <v>2684</v>
      </c>
      <c r="V430" s="199">
        <v>2.0899999999999998E-2</v>
      </c>
      <c r="W430" s="185">
        <v>2.9159999999999998E-2</v>
      </c>
      <c r="X430" s="5" t="s">
        <v>618</v>
      </c>
      <c r="Y430" s="5" t="s">
        <v>62</v>
      </c>
      <c r="Z430" s="170">
        <v>4100000</v>
      </c>
      <c r="AA430" s="184">
        <v>1</v>
      </c>
      <c r="AB430" s="186">
        <v>110.73</v>
      </c>
      <c r="AC430" s="9"/>
      <c r="AD430" s="170">
        <v>4539.93</v>
      </c>
      <c r="AE430" s="9"/>
      <c r="AF430" s="9"/>
      <c r="AG430" s="9" t="s">
        <v>17</v>
      </c>
      <c r="AH430" s="185">
        <v>2.6559999999999999E-3</v>
      </c>
      <c r="AI430" s="185">
        <v>2.4106067491191499E-2</v>
      </c>
      <c r="AJ430" s="185">
        <v>4.0804180618131602E-3</v>
      </c>
    </row>
    <row r="431" spans="1:36">
      <c r="A431" s="9">
        <v>337</v>
      </c>
      <c r="B431" s="9">
        <v>9963</v>
      </c>
      <c r="C431" s="9" t="s">
        <v>2685</v>
      </c>
      <c r="D431" s="9" t="s">
        <v>2686</v>
      </c>
      <c r="E431" s="5" t="s">
        <v>765</v>
      </c>
      <c r="F431" s="9" t="s">
        <v>2687</v>
      </c>
      <c r="G431" s="9" t="s">
        <v>2688</v>
      </c>
      <c r="H431" s="9" t="s">
        <v>76</v>
      </c>
      <c r="I431" s="9" t="s">
        <v>228</v>
      </c>
      <c r="J431" s="9" t="s">
        <v>53</v>
      </c>
      <c r="K431" s="9" t="s">
        <v>314</v>
      </c>
      <c r="L431" s="9" t="s">
        <v>803</v>
      </c>
      <c r="M431" s="9" t="s">
        <v>311</v>
      </c>
      <c r="N431" s="9" t="s">
        <v>634</v>
      </c>
      <c r="O431" s="9" t="s">
        <v>62</v>
      </c>
      <c r="P431" s="9" t="s">
        <v>1614</v>
      </c>
      <c r="Q431" s="9" t="s">
        <v>65</v>
      </c>
      <c r="R431" s="9" t="s">
        <v>57</v>
      </c>
      <c r="S431" s="9" t="s">
        <v>1259</v>
      </c>
      <c r="T431" s="170">
        <v>0.57399999999999995</v>
      </c>
      <c r="U431" s="9" t="s">
        <v>2572</v>
      </c>
      <c r="V431" s="199">
        <v>4.045E-2</v>
      </c>
      <c r="W431" s="185">
        <v>0.44588</v>
      </c>
      <c r="X431" s="5" t="s">
        <v>618</v>
      </c>
      <c r="Y431" s="5" t="s">
        <v>62</v>
      </c>
      <c r="Z431" s="170">
        <v>7.0000000000000007E-2</v>
      </c>
      <c r="AA431" s="184">
        <v>1</v>
      </c>
      <c r="AB431" s="186">
        <v>84.44</v>
      </c>
      <c r="AC431" s="9"/>
      <c r="AD431" s="170">
        <v>0</v>
      </c>
      <c r="AE431" s="9"/>
      <c r="AF431" s="9"/>
      <c r="AG431" s="9" t="s">
        <v>17</v>
      </c>
      <c r="AH431" s="185">
        <v>0</v>
      </c>
      <c r="AI431" s="185">
        <v>3.13850970669008E-10</v>
      </c>
      <c r="AJ431" s="185">
        <v>5.3125345720672394E-11</v>
      </c>
    </row>
    <row r="432" spans="1:36">
      <c r="A432" s="9">
        <v>337</v>
      </c>
      <c r="B432" s="9">
        <v>9963</v>
      </c>
      <c r="C432" s="9" t="s">
        <v>2685</v>
      </c>
      <c r="D432" s="9" t="s">
        <v>2686</v>
      </c>
      <c r="E432" s="5" t="s">
        <v>765</v>
      </c>
      <c r="F432" s="9" t="s">
        <v>2863</v>
      </c>
      <c r="G432" s="9" t="s">
        <v>2864</v>
      </c>
      <c r="H432" s="9" t="s">
        <v>76</v>
      </c>
      <c r="I432" s="9" t="s">
        <v>228</v>
      </c>
      <c r="J432" s="9" t="s">
        <v>53</v>
      </c>
      <c r="K432" s="9" t="s">
        <v>314</v>
      </c>
      <c r="L432" s="9" t="s">
        <v>803</v>
      </c>
      <c r="M432" s="9" t="s">
        <v>311</v>
      </c>
      <c r="N432" s="9" t="s">
        <v>634</v>
      </c>
      <c r="O432" s="9" t="s">
        <v>62</v>
      </c>
      <c r="P432" s="9" t="s">
        <v>2239</v>
      </c>
      <c r="Q432" s="9" t="s">
        <v>65</v>
      </c>
      <c r="R432" s="9" t="s">
        <v>57</v>
      </c>
      <c r="S432" s="9" t="s">
        <v>1259</v>
      </c>
      <c r="T432" s="170">
        <v>0.97299999999999998</v>
      </c>
      <c r="U432" s="9" t="s">
        <v>2395</v>
      </c>
      <c r="V432" s="199">
        <v>0.09</v>
      </c>
      <c r="W432" s="185">
        <v>0.10584</v>
      </c>
      <c r="X432" s="5" t="s">
        <v>618</v>
      </c>
      <c r="Y432" s="5" t="s">
        <v>62</v>
      </c>
      <c r="Z432" s="170">
        <v>0.01</v>
      </c>
      <c r="AA432" s="184">
        <v>1</v>
      </c>
      <c r="AB432" s="186">
        <v>98.83</v>
      </c>
      <c r="AC432" s="9"/>
      <c r="AD432" s="170">
        <v>0</v>
      </c>
      <c r="AE432" s="9"/>
      <c r="AF432" s="9"/>
      <c r="AG432" s="9" t="s">
        <v>17</v>
      </c>
      <c r="AH432" s="185">
        <v>0</v>
      </c>
      <c r="AI432" s="185">
        <v>5.2476638409721292E-11</v>
      </c>
      <c r="AJ432" s="185">
        <v>8.88268579138874E-12</v>
      </c>
    </row>
    <row r="433" spans="1:36">
      <c r="A433" s="9">
        <v>337</v>
      </c>
      <c r="B433" s="9">
        <v>9963</v>
      </c>
      <c r="C433" s="9" t="s">
        <v>2689</v>
      </c>
      <c r="D433" s="9" t="s">
        <v>2690</v>
      </c>
      <c r="E433" s="5" t="s">
        <v>1346</v>
      </c>
      <c r="F433" s="9" t="s">
        <v>2691</v>
      </c>
      <c r="G433" s="9" t="s">
        <v>2692</v>
      </c>
      <c r="H433" s="9" t="s">
        <v>76</v>
      </c>
      <c r="I433" s="9" t="s">
        <v>228</v>
      </c>
      <c r="J433" s="9" t="s">
        <v>53</v>
      </c>
      <c r="K433" s="9" t="s">
        <v>53</v>
      </c>
      <c r="L433" s="9" t="s">
        <v>803</v>
      </c>
      <c r="M433" s="9" t="s">
        <v>311</v>
      </c>
      <c r="N433" s="9" t="s">
        <v>634</v>
      </c>
      <c r="O433" s="9" t="s">
        <v>62</v>
      </c>
      <c r="P433" s="9" t="s">
        <v>2225</v>
      </c>
      <c r="Q433" s="9" t="s">
        <v>70</v>
      </c>
      <c r="R433" s="9" t="s">
        <v>57</v>
      </c>
      <c r="S433" s="9" t="s">
        <v>1259</v>
      </c>
      <c r="T433" s="170">
        <v>5.6509999999999998</v>
      </c>
      <c r="U433" s="9" t="s">
        <v>2693</v>
      </c>
      <c r="V433" s="199">
        <v>5.5899999999999998E-2</v>
      </c>
      <c r="W433" s="185">
        <v>5.2449999999999997E-2</v>
      </c>
      <c r="X433" s="5" t="s">
        <v>618</v>
      </c>
      <c r="Y433" s="5" t="s">
        <v>62</v>
      </c>
      <c r="Z433" s="170">
        <v>1304000</v>
      </c>
      <c r="AA433" s="184">
        <v>1</v>
      </c>
      <c r="AB433" s="186">
        <v>103.88</v>
      </c>
      <c r="AC433" s="9"/>
      <c r="AD433" s="170">
        <v>1354.595</v>
      </c>
      <c r="AE433" s="9"/>
      <c r="AF433" s="9"/>
      <c r="AG433" s="9" t="s">
        <v>17</v>
      </c>
      <c r="AH433" s="185">
        <v>5.8300000000000001E-3</v>
      </c>
      <c r="AI433" s="185">
        <v>7.19261383202915E-3</v>
      </c>
      <c r="AJ433" s="185">
        <v>1.2174889746153399E-3</v>
      </c>
    </row>
    <row r="434" spans="1:36">
      <c r="A434" s="9">
        <v>337</v>
      </c>
      <c r="B434" s="9">
        <v>9963</v>
      </c>
      <c r="C434" s="9" t="s">
        <v>2079</v>
      </c>
      <c r="D434" s="9" t="s">
        <v>2080</v>
      </c>
      <c r="E434" s="5" t="s">
        <v>1346</v>
      </c>
      <c r="F434" s="9" t="s">
        <v>2696</v>
      </c>
      <c r="G434" s="9" t="s">
        <v>2697</v>
      </c>
      <c r="H434" s="9" t="s">
        <v>76</v>
      </c>
      <c r="I434" s="9" t="s">
        <v>229</v>
      </c>
      <c r="J434" s="9" t="s">
        <v>53</v>
      </c>
      <c r="K434" s="9" t="s">
        <v>53</v>
      </c>
      <c r="L434" s="9" t="s">
        <v>803</v>
      </c>
      <c r="M434" s="9" t="s">
        <v>311</v>
      </c>
      <c r="N434" s="9" t="s">
        <v>259</v>
      </c>
      <c r="O434" s="9" t="s">
        <v>62</v>
      </c>
      <c r="P434" s="9" t="s">
        <v>2225</v>
      </c>
      <c r="Q434" s="9" t="s">
        <v>70</v>
      </c>
      <c r="R434" s="9" t="s">
        <v>57</v>
      </c>
      <c r="S434" s="9" t="s">
        <v>1259</v>
      </c>
      <c r="T434" s="170">
        <v>3.407</v>
      </c>
      <c r="U434" s="9" t="s">
        <v>2698</v>
      </c>
      <c r="V434" s="199">
        <v>3.2500000000000001E-2</v>
      </c>
      <c r="W434" s="185">
        <v>3.083E-2</v>
      </c>
      <c r="X434" s="5" t="s">
        <v>618</v>
      </c>
      <c r="Y434" s="5" t="s">
        <v>62</v>
      </c>
      <c r="Z434" s="170">
        <v>628856.99</v>
      </c>
      <c r="AA434" s="184">
        <v>1</v>
      </c>
      <c r="AB434" s="186">
        <v>111.12</v>
      </c>
      <c r="AC434" s="9"/>
      <c r="AD434" s="170">
        <v>698.78599999999994</v>
      </c>
      <c r="AE434" s="9"/>
      <c r="AF434" s="9"/>
      <c r="AG434" s="9" t="s">
        <v>17</v>
      </c>
      <c r="AH434" s="185">
        <v>1.73E-3</v>
      </c>
      <c r="AI434" s="185">
        <v>3.7104051738367501E-3</v>
      </c>
      <c r="AJ434" s="185">
        <v>6.2805782376162001E-4</v>
      </c>
    </row>
    <row r="435" spans="1:36">
      <c r="A435" s="9">
        <v>337</v>
      </c>
      <c r="B435" s="9">
        <v>9963</v>
      </c>
      <c r="C435" s="9" t="s">
        <v>2087</v>
      </c>
      <c r="D435" s="9" t="s">
        <v>2088</v>
      </c>
      <c r="E435" s="5" t="s">
        <v>1346</v>
      </c>
      <c r="F435" s="9" t="s">
        <v>2904</v>
      </c>
      <c r="G435" s="9" t="s">
        <v>2905</v>
      </c>
      <c r="H435" s="9" t="s">
        <v>76</v>
      </c>
      <c r="I435" s="9" t="s">
        <v>228</v>
      </c>
      <c r="J435" s="9" t="s">
        <v>53</v>
      </c>
      <c r="K435" s="9" t="s">
        <v>53</v>
      </c>
      <c r="L435" s="9" t="s">
        <v>803</v>
      </c>
      <c r="M435" s="9" t="s">
        <v>311</v>
      </c>
      <c r="N435" s="9" t="s">
        <v>75</v>
      </c>
      <c r="O435" s="9" t="s">
        <v>62</v>
      </c>
      <c r="P435" s="9" t="s">
        <v>2239</v>
      </c>
      <c r="Q435" s="9" t="s">
        <v>65</v>
      </c>
      <c r="R435" s="9" t="s">
        <v>57</v>
      </c>
      <c r="S435" s="9" t="s">
        <v>1259</v>
      </c>
      <c r="T435" s="170">
        <v>1.694</v>
      </c>
      <c r="U435" s="9" t="s">
        <v>2243</v>
      </c>
      <c r="V435" s="199">
        <v>2.1499999999999998E-2</v>
      </c>
      <c r="W435" s="185">
        <v>4.9500000000000002E-2</v>
      </c>
      <c r="X435" s="5" t="s">
        <v>618</v>
      </c>
      <c r="Y435" s="5" t="s">
        <v>62</v>
      </c>
      <c r="Z435" s="170">
        <v>1053305.75</v>
      </c>
      <c r="AA435" s="184">
        <v>1</v>
      </c>
      <c r="AB435" s="186">
        <v>95.52</v>
      </c>
      <c r="AC435" s="170">
        <v>86.933000000000007</v>
      </c>
      <c r="AD435" s="170">
        <v>1093.05</v>
      </c>
      <c r="AE435" s="9"/>
      <c r="AF435" s="9"/>
      <c r="AG435" s="9" t="s">
        <v>17</v>
      </c>
      <c r="AH435" s="185">
        <v>1.493E-3</v>
      </c>
      <c r="AI435" s="185">
        <v>5.8038665743374504E-3</v>
      </c>
      <c r="AJ435" s="185">
        <v>9.8241664705094696E-4</v>
      </c>
    </row>
    <row r="436" spans="1:36">
      <c r="A436" s="9">
        <v>337</v>
      </c>
      <c r="B436" s="9">
        <v>9963</v>
      </c>
      <c r="C436" s="9" t="s">
        <v>2703</v>
      </c>
      <c r="D436" s="9" t="s">
        <v>2704</v>
      </c>
      <c r="E436" s="5" t="s">
        <v>1346</v>
      </c>
      <c r="F436" s="9" t="s">
        <v>2705</v>
      </c>
      <c r="G436" s="9" t="s">
        <v>2706</v>
      </c>
      <c r="H436" s="9" t="s">
        <v>76</v>
      </c>
      <c r="I436" s="9" t="s">
        <v>228</v>
      </c>
      <c r="J436" s="9" t="s">
        <v>53</v>
      </c>
      <c r="K436" s="9" t="s">
        <v>53</v>
      </c>
      <c r="L436" s="9" t="s">
        <v>803</v>
      </c>
      <c r="M436" s="9" t="s">
        <v>311</v>
      </c>
      <c r="N436" s="9" t="s">
        <v>140</v>
      </c>
      <c r="O436" s="9" t="s">
        <v>62</v>
      </c>
      <c r="P436" s="9" t="s">
        <v>1614</v>
      </c>
      <c r="Q436" s="9" t="s">
        <v>65</v>
      </c>
      <c r="R436" s="9" t="s">
        <v>57</v>
      </c>
      <c r="S436" s="9" t="s">
        <v>1259</v>
      </c>
      <c r="T436" s="170">
        <v>2.246</v>
      </c>
      <c r="U436" s="9" t="s">
        <v>2594</v>
      </c>
      <c r="V436" s="199">
        <v>5.3400000000000003E-2</v>
      </c>
      <c r="W436" s="185">
        <v>5.16E-2</v>
      </c>
      <c r="X436" s="5" t="s">
        <v>618</v>
      </c>
      <c r="Y436" s="5" t="s">
        <v>62</v>
      </c>
      <c r="Z436" s="170">
        <v>2000000</v>
      </c>
      <c r="AA436" s="184">
        <v>1</v>
      </c>
      <c r="AB436" s="186">
        <v>100.99</v>
      </c>
      <c r="AC436" s="9"/>
      <c r="AD436" s="170">
        <v>2019.8</v>
      </c>
      <c r="AE436" s="9"/>
      <c r="AF436" s="9"/>
      <c r="AG436" s="9" t="s">
        <v>17</v>
      </c>
      <c r="AH436" s="185">
        <v>2.8709999999999999E-3</v>
      </c>
      <c r="AI436" s="185">
        <v>1.0724710539305401E-2</v>
      </c>
      <c r="AJ436" s="185">
        <v>1.8153646424615001E-3</v>
      </c>
    </row>
    <row r="437" spans="1:36">
      <c r="A437" s="9">
        <v>337</v>
      </c>
      <c r="B437" s="9">
        <v>9963</v>
      </c>
      <c r="C437" s="9" t="s">
        <v>2707</v>
      </c>
      <c r="D437" s="9" t="s">
        <v>2708</v>
      </c>
      <c r="E437" s="5" t="s">
        <v>1346</v>
      </c>
      <c r="F437" s="9" t="s">
        <v>2712</v>
      </c>
      <c r="G437" s="9" t="s">
        <v>2713</v>
      </c>
      <c r="H437" s="9" t="s">
        <v>76</v>
      </c>
      <c r="I437" s="9" t="s">
        <v>228</v>
      </c>
      <c r="J437" s="9" t="s">
        <v>53</v>
      </c>
      <c r="K437" s="9" t="s">
        <v>53</v>
      </c>
      <c r="L437" s="9" t="s">
        <v>803</v>
      </c>
      <c r="M437" s="9" t="s">
        <v>311</v>
      </c>
      <c r="N437" s="9" t="s">
        <v>140</v>
      </c>
      <c r="O437" s="9" t="s">
        <v>62</v>
      </c>
      <c r="P437" s="9" t="s">
        <v>2314</v>
      </c>
      <c r="Q437" s="9" t="s">
        <v>70</v>
      </c>
      <c r="R437" s="9" t="s">
        <v>57</v>
      </c>
      <c r="S437" s="9" t="s">
        <v>1259</v>
      </c>
      <c r="T437" s="170">
        <v>3.3000000000000002E-2</v>
      </c>
      <c r="U437" s="9" t="s">
        <v>2711</v>
      </c>
      <c r="V437" s="199">
        <v>0.06</v>
      </c>
      <c r="W437" s="185">
        <v>2.392E-2</v>
      </c>
      <c r="X437" s="5" t="s">
        <v>618</v>
      </c>
      <c r="Y437" s="5" t="s">
        <v>62</v>
      </c>
      <c r="Z437" s="170">
        <v>106354.6</v>
      </c>
      <c r="AA437" s="184">
        <v>1</v>
      </c>
      <c r="AB437" s="186">
        <v>102.92</v>
      </c>
      <c r="AC437" s="9"/>
      <c r="AD437" s="170">
        <v>109.46</v>
      </c>
      <c r="AE437" s="9"/>
      <c r="AF437" s="9"/>
      <c r="AG437" s="9" t="s">
        <v>17</v>
      </c>
      <c r="AH437" s="185">
        <v>4.0899999999999999E-3</v>
      </c>
      <c r="AI437" s="185">
        <v>5.8121025382201102E-4</v>
      </c>
      <c r="AJ437" s="185">
        <v>9.8381074319688606E-5</v>
      </c>
    </row>
    <row r="438" spans="1:36">
      <c r="A438" s="9">
        <v>337</v>
      </c>
      <c r="B438" s="9">
        <v>9963</v>
      </c>
      <c r="C438" s="9" t="s">
        <v>2091</v>
      </c>
      <c r="D438" s="9" t="s">
        <v>2092</v>
      </c>
      <c r="E438" s="5" t="s">
        <v>1346</v>
      </c>
      <c r="F438" s="9" t="s">
        <v>2714</v>
      </c>
      <c r="G438" s="9" t="s">
        <v>2715</v>
      </c>
      <c r="H438" s="9" t="s">
        <v>76</v>
      </c>
      <c r="I438" s="9" t="s">
        <v>229</v>
      </c>
      <c r="J438" s="9" t="s">
        <v>53</v>
      </c>
      <c r="K438" s="9" t="s">
        <v>53</v>
      </c>
      <c r="L438" s="9" t="s">
        <v>803</v>
      </c>
      <c r="M438" s="9" t="s">
        <v>311</v>
      </c>
      <c r="N438" s="9" t="s">
        <v>633</v>
      </c>
      <c r="O438" s="9" t="s">
        <v>62</v>
      </c>
      <c r="P438" s="9" t="s">
        <v>2246</v>
      </c>
      <c r="Q438" s="9" t="s">
        <v>65</v>
      </c>
      <c r="R438" s="9" t="s">
        <v>57</v>
      </c>
      <c r="S438" s="9" t="s">
        <v>1259</v>
      </c>
      <c r="T438" s="170">
        <v>6.0019999999999998</v>
      </c>
      <c r="U438" s="9" t="s">
        <v>2716</v>
      </c>
      <c r="V438" s="199">
        <v>2.5000000000000001E-2</v>
      </c>
      <c r="W438" s="185">
        <v>2.9499999999999998E-2</v>
      </c>
      <c r="X438" s="5" t="s">
        <v>618</v>
      </c>
      <c r="Y438" s="5" t="s">
        <v>62</v>
      </c>
      <c r="Z438" s="170">
        <v>2329050</v>
      </c>
      <c r="AA438" s="184">
        <v>1</v>
      </c>
      <c r="AB438" s="186">
        <v>114.89</v>
      </c>
      <c r="AC438" s="9"/>
      <c r="AD438" s="170">
        <v>2675.846</v>
      </c>
      <c r="AE438" s="9"/>
      <c r="AF438" s="9"/>
      <c r="AG438" s="9" t="s">
        <v>17</v>
      </c>
      <c r="AH438" s="185">
        <v>1.7260000000000001E-3</v>
      </c>
      <c r="AI438" s="185">
        <v>1.4208173540951999E-2</v>
      </c>
      <c r="AJ438" s="185">
        <v>2.4050081152000801E-3</v>
      </c>
    </row>
    <row r="439" spans="1:36">
      <c r="A439" s="9">
        <v>337</v>
      </c>
      <c r="B439" s="9">
        <v>9963</v>
      </c>
      <c r="C439" s="9" t="s">
        <v>2717</v>
      </c>
      <c r="D439" s="9" t="s">
        <v>2718</v>
      </c>
      <c r="E439" s="5" t="s">
        <v>1346</v>
      </c>
      <c r="F439" s="9" t="s">
        <v>2719</v>
      </c>
      <c r="G439" s="9" t="s">
        <v>2720</v>
      </c>
      <c r="H439" s="9" t="s">
        <v>76</v>
      </c>
      <c r="I439" s="9" t="s">
        <v>228</v>
      </c>
      <c r="J439" s="9" t="s">
        <v>53</v>
      </c>
      <c r="K439" s="9" t="s">
        <v>53</v>
      </c>
      <c r="L439" s="9" t="s">
        <v>803</v>
      </c>
      <c r="M439" s="9" t="s">
        <v>1691</v>
      </c>
      <c r="N439" s="9" t="s">
        <v>140</v>
      </c>
      <c r="O439" s="9" t="s">
        <v>62</v>
      </c>
      <c r="P439" s="9" t="s">
        <v>2225</v>
      </c>
      <c r="Q439" s="9" t="s">
        <v>70</v>
      </c>
      <c r="R439" s="9" t="s">
        <v>57</v>
      </c>
      <c r="S439" s="9" t="s">
        <v>1259</v>
      </c>
      <c r="T439" s="170">
        <v>3.6869999999999998</v>
      </c>
      <c r="U439" s="9" t="s">
        <v>2721</v>
      </c>
      <c r="V439" s="199">
        <v>5.8200000000000002E-2</v>
      </c>
      <c r="W439" s="185">
        <v>4.8480000000000002E-2</v>
      </c>
      <c r="X439" s="5" t="s">
        <v>618</v>
      </c>
      <c r="Y439" s="5" t="s">
        <v>62</v>
      </c>
      <c r="Z439" s="170">
        <v>1345148</v>
      </c>
      <c r="AA439" s="184">
        <v>1</v>
      </c>
      <c r="AB439" s="186">
        <v>104.76</v>
      </c>
      <c r="AC439" s="9"/>
      <c r="AD439" s="170">
        <v>1409.1769999999999</v>
      </c>
      <c r="AE439" s="9"/>
      <c r="AF439" s="9"/>
      <c r="AG439" s="9" t="s">
        <v>17</v>
      </c>
      <c r="AH439" s="185">
        <v>7.6870000000000003E-3</v>
      </c>
      <c r="AI439" s="185">
        <v>7.4824318764797398E-3</v>
      </c>
      <c r="AJ439" s="185">
        <v>1.2665462828489499E-3</v>
      </c>
    </row>
    <row r="440" spans="1:36">
      <c r="A440" s="9">
        <v>337</v>
      </c>
      <c r="B440" s="9">
        <v>9963</v>
      </c>
      <c r="C440" s="9" t="s">
        <v>2865</v>
      </c>
      <c r="D440" s="9" t="s">
        <v>2866</v>
      </c>
      <c r="E440" s="5" t="s">
        <v>1346</v>
      </c>
      <c r="F440" s="9" t="s">
        <v>2867</v>
      </c>
      <c r="G440" s="9" t="s">
        <v>2868</v>
      </c>
      <c r="H440" s="9" t="s">
        <v>76</v>
      </c>
      <c r="I440" s="9" t="s">
        <v>229</v>
      </c>
      <c r="J440" s="9" t="s">
        <v>53</v>
      </c>
      <c r="K440" s="9" t="s">
        <v>53</v>
      </c>
      <c r="L440" s="9" t="s">
        <v>803</v>
      </c>
      <c r="M440" s="9" t="s">
        <v>311</v>
      </c>
      <c r="N440" s="9" t="s">
        <v>633</v>
      </c>
      <c r="O440" s="9" t="s">
        <v>62</v>
      </c>
      <c r="P440" s="9" t="s">
        <v>2330</v>
      </c>
      <c r="Q440" s="9" t="s">
        <v>65</v>
      </c>
      <c r="R440" s="9" t="s">
        <v>57</v>
      </c>
      <c r="S440" s="9" t="s">
        <v>1259</v>
      </c>
      <c r="T440" s="170">
        <v>2.4359999999999999</v>
      </c>
      <c r="U440" s="9" t="s">
        <v>2869</v>
      </c>
      <c r="V440" s="199">
        <v>1.0800000000000001E-2</v>
      </c>
      <c r="W440" s="185">
        <v>3.1669999999999997E-2</v>
      </c>
      <c r="X440" s="5" t="s">
        <v>618</v>
      </c>
      <c r="Y440" s="5" t="s">
        <v>62</v>
      </c>
      <c r="Z440" s="170">
        <v>0.02</v>
      </c>
      <c r="AA440" s="184">
        <v>1</v>
      </c>
      <c r="AB440" s="186">
        <v>111.57</v>
      </c>
      <c r="AC440" s="9"/>
      <c r="AD440" s="170">
        <v>0</v>
      </c>
      <c r="AE440" s="9"/>
      <c r="AF440" s="9"/>
      <c r="AG440" s="9" t="s">
        <v>17</v>
      </c>
      <c r="AH440" s="185">
        <v>0</v>
      </c>
      <c r="AI440" s="185">
        <v>1.18482617573057E-10</v>
      </c>
      <c r="AJ440" s="185">
        <v>2.0055474122133797E-11</v>
      </c>
    </row>
    <row r="441" spans="1:36">
      <c r="A441" s="9">
        <v>337</v>
      </c>
      <c r="B441" s="9">
        <v>9963</v>
      </c>
      <c r="C441" s="9" t="s">
        <v>2865</v>
      </c>
      <c r="D441" s="9" t="s">
        <v>2866</v>
      </c>
      <c r="E441" s="5" t="s">
        <v>1346</v>
      </c>
      <c r="F441" s="9" t="s">
        <v>2906</v>
      </c>
      <c r="G441" s="9" t="s">
        <v>2907</v>
      </c>
      <c r="H441" s="9" t="s">
        <v>76</v>
      </c>
      <c r="I441" s="9" t="s">
        <v>229</v>
      </c>
      <c r="J441" s="9" t="s">
        <v>53</v>
      </c>
      <c r="K441" s="9" t="s">
        <v>53</v>
      </c>
      <c r="L441" s="9" t="s">
        <v>803</v>
      </c>
      <c r="M441" s="9" t="s">
        <v>311</v>
      </c>
      <c r="N441" s="9" t="s">
        <v>633</v>
      </c>
      <c r="O441" s="9" t="s">
        <v>62</v>
      </c>
      <c r="P441" s="9" t="s">
        <v>2782</v>
      </c>
      <c r="Q441" s="9" t="s">
        <v>65</v>
      </c>
      <c r="R441" s="9" t="s">
        <v>57</v>
      </c>
      <c r="S441" s="9" t="s">
        <v>1259</v>
      </c>
      <c r="T441" s="170">
        <v>3.0920000000000001</v>
      </c>
      <c r="U441" s="9" t="s">
        <v>2273</v>
      </c>
      <c r="V441" s="199">
        <v>9.4000000000000004E-3</v>
      </c>
      <c r="W441" s="185">
        <v>3.7310000000000003E-2</v>
      </c>
      <c r="X441" s="5" t="s">
        <v>618</v>
      </c>
      <c r="Y441" s="5" t="s">
        <v>62</v>
      </c>
      <c r="Z441" s="170">
        <v>0.81</v>
      </c>
      <c r="AA441" s="184">
        <v>1</v>
      </c>
      <c r="AB441" s="186">
        <v>105</v>
      </c>
      <c r="AC441" s="170">
        <v>0</v>
      </c>
      <c r="AD441" s="170">
        <v>1E-3</v>
      </c>
      <c r="AE441" s="9"/>
      <c r="AF441" s="9"/>
      <c r="AG441" s="9" t="s">
        <v>17</v>
      </c>
      <c r="AH441" s="185">
        <v>0</v>
      </c>
      <c r="AI441" s="185">
        <v>4.6752686552422903E-9</v>
      </c>
      <c r="AJ441" s="185">
        <v>7.9137962555072206E-10</v>
      </c>
    </row>
    <row r="442" spans="1:36">
      <c r="A442" s="9">
        <v>337</v>
      </c>
      <c r="B442" s="9">
        <v>9963</v>
      </c>
      <c r="C442" s="9" t="s">
        <v>2722</v>
      </c>
      <c r="D442" s="9" t="s">
        <v>2723</v>
      </c>
      <c r="E442" s="5" t="s">
        <v>1346</v>
      </c>
      <c r="F442" s="9" t="s">
        <v>2724</v>
      </c>
      <c r="G442" s="9" t="s">
        <v>2725</v>
      </c>
      <c r="H442" s="9" t="s">
        <v>76</v>
      </c>
      <c r="I442" s="9" t="s">
        <v>228</v>
      </c>
      <c r="J442" s="9" t="s">
        <v>53</v>
      </c>
      <c r="K442" s="9" t="s">
        <v>53</v>
      </c>
      <c r="L442" s="9" t="s">
        <v>803</v>
      </c>
      <c r="M442" s="9" t="s">
        <v>311</v>
      </c>
      <c r="N442" s="9" t="s">
        <v>631</v>
      </c>
      <c r="O442" s="9" t="s">
        <v>62</v>
      </c>
      <c r="P442" s="9" t="s">
        <v>2726</v>
      </c>
      <c r="Q442" s="9" t="s">
        <v>70</v>
      </c>
      <c r="R442" s="9" t="s">
        <v>57</v>
      </c>
      <c r="S442" s="9" t="s">
        <v>1259</v>
      </c>
      <c r="T442" s="170">
        <v>0.499</v>
      </c>
      <c r="U442" s="9" t="s">
        <v>2727</v>
      </c>
      <c r="V442" s="199">
        <v>3.15E-2</v>
      </c>
      <c r="W442" s="185">
        <v>5.3269999999999998E-2</v>
      </c>
      <c r="X442" s="5" t="s">
        <v>618</v>
      </c>
      <c r="Y442" s="5" t="s">
        <v>62</v>
      </c>
      <c r="Z442" s="170">
        <v>342497.21</v>
      </c>
      <c r="AA442" s="184">
        <v>1</v>
      </c>
      <c r="AB442" s="186">
        <v>98.98</v>
      </c>
      <c r="AC442" s="9"/>
      <c r="AD442" s="170">
        <v>339.00400000000002</v>
      </c>
      <c r="AE442" s="9"/>
      <c r="AF442" s="9"/>
      <c r="AG442" s="9" t="s">
        <v>17</v>
      </c>
      <c r="AH442" s="185">
        <v>7.9389999999999999E-3</v>
      </c>
      <c r="AI442" s="185">
        <v>1.80003810610181E-3</v>
      </c>
      <c r="AJ442" s="185">
        <v>3.0469125678726501E-4</v>
      </c>
    </row>
    <row r="443" spans="1:36">
      <c r="A443" s="9">
        <v>337</v>
      </c>
      <c r="B443" s="9">
        <v>9963</v>
      </c>
      <c r="C443" s="9" t="s">
        <v>2731</v>
      </c>
      <c r="D443" s="9" t="s">
        <v>2732</v>
      </c>
      <c r="E443" s="5" t="s">
        <v>1346</v>
      </c>
      <c r="F443" s="9" t="s">
        <v>2733</v>
      </c>
      <c r="G443" s="9" t="s">
        <v>2734</v>
      </c>
      <c r="H443" s="9" t="s">
        <v>76</v>
      </c>
      <c r="I443" s="9" t="s">
        <v>228</v>
      </c>
      <c r="J443" s="9" t="s">
        <v>53</v>
      </c>
      <c r="K443" s="9" t="s">
        <v>53</v>
      </c>
      <c r="L443" s="9" t="s">
        <v>803</v>
      </c>
      <c r="M443" s="9" t="s">
        <v>311</v>
      </c>
      <c r="N443" s="9" t="s">
        <v>633</v>
      </c>
      <c r="O443" s="9" t="s">
        <v>62</v>
      </c>
      <c r="P443" s="9" t="s">
        <v>2314</v>
      </c>
      <c r="Q443" s="9" t="s">
        <v>70</v>
      </c>
      <c r="R443" s="9" t="s">
        <v>57</v>
      </c>
      <c r="S443" s="9" t="s">
        <v>1259</v>
      </c>
      <c r="T443" s="170">
        <v>2.6080000000000001</v>
      </c>
      <c r="U443" s="9" t="s">
        <v>2735</v>
      </c>
      <c r="V443" s="199">
        <v>4.1000000000000002E-2</v>
      </c>
      <c r="W443" s="185">
        <v>5.0680000000000003E-2</v>
      </c>
      <c r="X443" s="5" t="s">
        <v>618</v>
      </c>
      <c r="Y443" s="5" t="s">
        <v>62</v>
      </c>
      <c r="Z443" s="170">
        <v>0.1</v>
      </c>
      <c r="AA443" s="184">
        <v>1</v>
      </c>
      <c r="AB443" s="186">
        <v>98.37</v>
      </c>
      <c r="AC443" s="9"/>
      <c r="AD443" s="170">
        <v>0</v>
      </c>
      <c r="AE443" s="9"/>
      <c r="AF443" s="9"/>
      <c r="AG443" s="9" t="s">
        <v>17</v>
      </c>
      <c r="AH443" s="185">
        <v>0</v>
      </c>
      <c r="AI443" s="185">
        <v>5.22323881449386E-10</v>
      </c>
      <c r="AJ443" s="185">
        <v>8.8413417110078995E-11</v>
      </c>
    </row>
    <row r="444" spans="1:36">
      <c r="A444" s="9">
        <v>337</v>
      </c>
      <c r="B444" s="9">
        <v>9963</v>
      </c>
      <c r="C444" s="9" t="s">
        <v>2870</v>
      </c>
      <c r="D444" s="9" t="s">
        <v>2871</v>
      </c>
      <c r="E444" s="5" t="s">
        <v>1346</v>
      </c>
      <c r="F444" s="9" t="s">
        <v>2872</v>
      </c>
      <c r="G444" s="9" t="s">
        <v>2873</v>
      </c>
      <c r="H444" s="9" t="s">
        <v>76</v>
      </c>
      <c r="I444" s="9" t="s">
        <v>230</v>
      </c>
      <c r="J444" s="9" t="s">
        <v>53</v>
      </c>
      <c r="K444" s="9" t="s">
        <v>53</v>
      </c>
      <c r="L444" s="9" t="s">
        <v>803</v>
      </c>
      <c r="M444" s="9" t="s">
        <v>311</v>
      </c>
      <c r="N444" s="9" t="s">
        <v>267</v>
      </c>
      <c r="O444" s="9" t="s">
        <v>62</v>
      </c>
      <c r="P444" s="9" t="s">
        <v>1621</v>
      </c>
      <c r="Q444" s="9" t="s">
        <v>70</v>
      </c>
      <c r="R444" s="9" t="s">
        <v>57</v>
      </c>
      <c r="S444" s="9" t="s">
        <v>1259</v>
      </c>
      <c r="T444" s="170">
        <v>2.4249999999999998</v>
      </c>
      <c r="U444" s="9" t="s">
        <v>2874</v>
      </c>
      <c r="V444" s="199">
        <v>4.6899999999999997E-2</v>
      </c>
      <c r="W444" s="185">
        <v>6.2420000000000003E-2</v>
      </c>
      <c r="X444" s="5" t="s">
        <v>618</v>
      </c>
      <c r="Y444" s="5" t="s">
        <v>62</v>
      </c>
      <c r="Z444" s="170">
        <v>3120485.44</v>
      </c>
      <c r="AA444" s="184">
        <v>1</v>
      </c>
      <c r="AB444" s="186">
        <v>94.12</v>
      </c>
      <c r="AC444" s="9"/>
      <c r="AD444" s="170">
        <v>2937.0010000000002</v>
      </c>
      <c r="AE444" s="9"/>
      <c r="AF444" s="9"/>
      <c r="AG444" s="9" t="s">
        <v>17</v>
      </c>
      <c r="AH444" s="185">
        <v>2.3089999999999999E-3</v>
      </c>
      <c r="AI444" s="185">
        <v>1.55948531857874E-2</v>
      </c>
      <c r="AJ444" s="185">
        <v>2.63973045930711E-3</v>
      </c>
    </row>
    <row r="445" spans="1:36">
      <c r="A445" s="9">
        <v>337</v>
      </c>
      <c r="B445" s="9">
        <v>9963</v>
      </c>
      <c r="C445" s="9" t="s">
        <v>2441</v>
      </c>
      <c r="D445" s="9" t="s">
        <v>2442</v>
      </c>
      <c r="E445" s="5" t="s">
        <v>1346</v>
      </c>
      <c r="F445" s="9" t="s">
        <v>2908</v>
      </c>
      <c r="G445" s="9" t="s">
        <v>2909</v>
      </c>
      <c r="H445" s="9" t="s">
        <v>76</v>
      </c>
      <c r="I445" s="9" t="s">
        <v>230</v>
      </c>
      <c r="J445" s="9" t="s">
        <v>61</v>
      </c>
      <c r="K445" s="9" t="s">
        <v>53</v>
      </c>
      <c r="L445" s="9" t="s">
        <v>803</v>
      </c>
      <c r="M445" s="9" t="s">
        <v>102</v>
      </c>
      <c r="N445" s="9" t="s">
        <v>156</v>
      </c>
      <c r="O445" s="9" t="s">
        <v>62</v>
      </c>
      <c r="P445" s="9" t="s">
        <v>2910</v>
      </c>
      <c r="Q445" s="9" t="s">
        <v>96</v>
      </c>
      <c r="R445" s="9" t="s">
        <v>57</v>
      </c>
      <c r="S445" s="9" t="s">
        <v>1215</v>
      </c>
      <c r="T445" s="170">
        <v>16.472999999999999</v>
      </c>
      <c r="U445" s="9" t="s">
        <v>2911</v>
      </c>
      <c r="V445" s="199">
        <v>8.1000000000000003E-2</v>
      </c>
      <c r="W445" s="185">
        <v>6.1039999999999997E-2</v>
      </c>
      <c r="X445" s="5" t="s">
        <v>618</v>
      </c>
      <c r="Y445" s="5" t="s">
        <v>62</v>
      </c>
      <c r="Z445" s="170">
        <v>700000</v>
      </c>
      <c r="AA445" s="184">
        <v>3.3719999999999999</v>
      </c>
      <c r="AB445" s="186">
        <v>132.428</v>
      </c>
      <c r="AC445" s="9"/>
      <c r="AD445" s="170">
        <v>3125.8310000000001</v>
      </c>
      <c r="AE445" s="9"/>
      <c r="AF445" s="9"/>
      <c r="AG445" s="9" t="s">
        <v>17</v>
      </c>
      <c r="AH445" s="185">
        <v>5.5999999999999999E-3</v>
      </c>
      <c r="AI445" s="185">
        <v>1.6597498483081799E-2</v>
      </c>
      <c r="AJ445" s="185">
        <v>2.80944756402224E-3</v>
      </c>
    </row>
    <row r="446" spans="1:36">
      <c r="A446" s="9">
        <v>337</v>
      </c>
      <c r="B446" s="9">
        <v>9963</v>
      </c>
      <c r="C446" s="9" t="s">
        <v>1866</v>
      </c>
      <c r="D446" s="9" t="s">
        <v>1867</v>
      </c>
      <c r="E446" s="5" t="s">
        <v>429</v>
      </c>
      <c r="F446" s="9" t="s">
        <v>2912</v>
      </c>
      <c r="G446" s="9" t="s">
        <v>2913</v>
      </c>
      <c r="H446" s="9" t="s">
        <v>76</v>
      </c>
      <c r="I446" s="9" t="s">
        <v>230</v>
      </c>
      <c r="J446" s="9" t="s">
        <v>61</v>
      </c>
      <c r="K446" s="9" t="s">
        <v>317</v>
      </c>
      <c r="L446" s="9" t="s">
        <v>803</v>
      </c>
      <c r="M446" s="9" t="s">
        <v>102</v>
      </c>
      <c r="N446" s="9" t="s">
        <v>860</v>
      </c>
      <c r="O446" s="9" t="s">
        <v>62</v>
      </c>
      <c r="P446" s="9" t="s">
        <v>2914</v>
      </c>
      <c r="Q446" s="9" t="s">
        <v>96</v>
      </c>
      <c r="R446" s="9" t="s">
        <v>57</v>
      </c>
      <c r="S446" s="9" t="s">
        <v>1215</v>
      </c>
      <c r="T446" s="170">
        <v>1.7370000000000001</v>
      </c>
      <c r="U446" s="9" t="s">
        <v>2915</v>
      </c>
      <c r="V446" s="199">
        <v>6.5000000000000002E-2</v>
      </c>
      <c r="W446" s="185">
        <v>7.8329999999999997E-2</v>
      </c>
      <c r="X446" s="5" t="s">
        <v>618</v>
      </c>
      <c r="Y446" s="5" t="s">
        <v>62</v>
      </c>
      <c r="Z446" s="170">
        <v>800000</v>
      </c>
      <c r="AA446" s="184">
        <v>3.3719999999999999</v>
      </c>
      <c r="AB446" s="186">
        <v>99.369</v>
      </c>
      <c r="AC446" s="9"/>
      <c r="AD446" s="170">
        <v>2680.5889999999999</v>
      </c>
      <c r="AE446" s="9"/>
      <c r="AF446" s="9"/>
      <c r="AG446" s="9" t="s">
        <v>17</v>
      </c>
      <c r="AH446" s="185">
        <v>1.7780000000000001E-3</v>
      </c>
      <c r="AI446" s="185">
        <v>1.4233359934798E-2</v>
      </c>
      <c r="AJ446" s="185">
        <v>2.4092713993877101E-3</v>
      </c>
    </row>
    <row r="447" spans="1:36">
      <c r="A447" s="9">
        <v>337</v>
      </c>
      <c r="B447" s="9">
        <v>9963</v>
      </c>
      <c r="C447" s="9" t="s">
        <v>1866</v>
      </c>
      <c r="D447" s="9" t="s">
        <v>1867</v>
      </c>
      <c r="E447" s="5" t="s">
        <v>429</v>
      </c>
      <c r="F447" s="9" t="s">
        <v>2745</v>
      </c>
      <c r="G447" s="9" t="s">
        <v>2746</v>
      </c>
      <c r="H447" s="9" t="s">
        <v>76</v>
      </c>
      <c r="I447" s="9" t="s">
        <v>230</v>
      </c>
      <c r="J447" s="9" t="s">
        <v>61</v>
      </c>
      <c r="K447" s="9" t="s">
        <v>317</v>
      </c>
      <c r="L447" s="9" t="s">
        <v>803</v>
      </c>
      <c r="M447" s="9" t="s">
        <v>102</v>
      </c>
      <c r="N447" s="9" t="s">
        <v>267</v>
      </c>
      <c r="O447" s="9" t="s">
        <v>62</v>
      </c>
      <c r="P447" s="9" t="s">
        <v>2220</v>
      </c>
      <c r="Q447" s="9" t="s">
        <v>96</v>
      </c>
      <c r="R447" s="9" t="s">
        <v>57</v>
      </c>
      <c r="S447" s="9" t="s">
        <v>1215</v>
      </c>
      <c r="T447" s="170">
        <v>2.5489999999999999</v>
      </c>
      <c r="U447" s="9" t="s">
        <v>2747</v>
      </c>
      <c r="V447" s="199">
        <v>5.3749999999999999E-2</v>
      </c>
      <c r="W447" s="185">
        <v>7.4149999999999994E-2</v>
      </c>
      <c r="X447" s="5" t="s">
        <v>618</v>
      </c>
      <c r="Y447" s="5" t="s">
        <v>62</v>
      </c>
      <c r="Z447" s="170">
        <v>400000</v>
      </c>
      <c r="AA447" s="184">
        <v>3.3719999999999999</v>
      </c>
      <c r="AB447" s="186">
        <v>96.94</v>
      </c>
      <c r="AC447" s="9"/>
      <c r="AD447" s="170">
        <v>1307.5229999999999</v>
      </c>
      <c r="AE447" s="9"/>
      <c r="AF447" s="9"/>
      <c r="AG447" s="9" t="s">
        <v>17</v>
      </c>
      <c r="AH447" s="185">
        <v>6.4000000000000005E-4</v>
      </c>
      <c r="AI447" s="185">
        <v>6.9426686790467701E-3</v>
      </c>
      <c r="AJ447" s="185">
        <v>1.1751809242846599E-3</v>
      </c>
    </row>
    <row r="448" spans="1:36">
      <c r="A448" s="9">
        <v>337</v>
      </c>
      <c r="B448" s="9">
        <v>9963</v>
      </c>
      <c r="C448" s="9" t="s">
        <v>1866</v>
      </c>
      <c r="D448" s="9" t="s">
        <v>1867</v>
      </c>
      <c r="E448" s="5" t="s">
        <v>429</v>
      </c>
      <c r="F448" s="9" t="s">
        <v>2748</v>
      </c>
      <c r="G448" s="9" t="s">
        <v>2749</v>
      </c>
      <c r="H448" s="9" t="s">
        <v>76</v>
      </c>
      <c r="I448" s="9" t="s">
        <v>230</v>
      </c>
      <c r="J448" s="9" t="s">
        <v>61</v>
      </c>
      <c r="K448" s="9" t="s">
        <v>317</v>
      </c>
      <c r="L448" s="9" t="s">
        <v>803</v>
      </c>
      <c r="M448" s="9" t="s">
        <v>102</v>
      </c>
      <c r="N448" s="9" t="s">
        <v>267</v>
      </c>
      <c r="O448" s="9" t="s">
        <v>62</v>
      </c>
      <c r="P448" s="9" t="s">
        <v>2220</v>
      </c>
      <c r="Q448" s="9" t="s">
        <v>96</v>
      </c>
      <c r="R448" s="9" t="s">
        <v>57</v>
      </c>
      <c r="S448" s="9" t="s">
        <v>1215</v>
      </c>
      <c r="T448" s="170">
        <v>4.8440000000000003</v>
      </c>
      <c r="U448" s="9" t="s">
        <v>2750</v>
      </c>
      <c r="V448" s="199">
        <v>5.8749999999999997E-2</v>
      </c>
      <c r="W448" s="185">
        <v>7.6170000000000002E-2</v>
      </c>
      <c r="X448" s="5" t="s">
        <v>618</v>
      </c>
      <c r="Y448" s="5" t="s">
        <v>62</v>
      </c>
      <c r="Z448" s="170">
        <v>656000</v>
      </c>
      <c r="AA448" s="184">
        <v>3.3719999999999999</v>
      </c>
      <c r="AB448" s="186">
        <v>94.051000000000002</v>
      </c>
      <c r="AC448" s="9"/>
      <c r="AD448" s="170">
        <v>2080.44</v>
      </c>
      <c r="AE448" s="9"/>
      <c r="AF448" s="9"/>
      <c r="AG448" s="9" t="s">
        <v>17</v>
      </c>
      <c r="AH448" s="185">
        <v>1.0499999999999999E-3</v>
      </c>
      <c r="AI448" s="185">
        <v>1.10466983802078E-2</v>
      </c>
      <c r="AJ448" s="185">
        <v>1.8698673108118E-3</v>
      </c>
    </row>
    <row r="449" spans="1:36">
      <c r="A449" s="9">
        <v>337</v>
      </c>
      <c r="B449" s="9">
        <v>9963</v>
      </c>
      <c r="C449" s="9" t="s">
        <v>1663</v>
      </c>
      <c r="D449" s="9" t="s">
        <v>1664</v>
      </c>
      <c r="E449" s="5" t="s">
        <v>1346</v>
      </c>
      <c r="F449" s="9" t="s">
        <v>2751</v>
      </c>
      <c r="G449" s="9" t="s">
        <v>2752</v>
      </c>
      <c r="H449" s="9" t="s">
        <v>76</v>
      </c>
      <c r="I449" s="9" t="s">
        <v>230</v>
      </c>
      <c r="J449" s="9" t="s">
        <v>61</v>
      </c>
      <c r="K449" s="9" t="s">
        <v>53</v>
      </c>
      <c r="L449" s="9" t="s">
        <v>803</v>
      </c>
      <c r="M449" s="9" t="s">
        <v>102</v>
      </c>
      <c r="N449" s="9" t="s">
        <v>256</v>
      </c>
      <c r="O449" s="9" t="s">
        <v>62</v>
      </c>
      <c r="P449" s="9" t="s">
        <v>2753</v>
      </c>
      <c r="Q449" s="9" t="s">
        <v>96</v>
      </c>
      <c r="R449" s="9" t="s">
        <v>57</v>
      </c>
      <c r="S449" s="9" t="s">
        <v>1215</v>
      </c>
      <c r="T449" s="170">
        <v>4.8479999999999999</v>
      </c>
      <c r="U449" s="9" t="s">
        <v>2754</v>
      </c>
      <c r="V449" s="199">
        <v>3.2750000000000001E-2</v>
      </c>
      <c r="W449" s="185">
        <v>5.8430000000000003E-2</v>
      </c>
      <c r="X449" s="5" t="s">
        <v>618</v>
      </c>
      <c r="Y449" s="5" t="s">
        <v>62</v>
      </c>
      <c r="Z449" s="170">
        <v>243000</v>
      </c>
      <c r="AA449" s="184">
        <v>3.3719999999999999</v>
      </c>
      <c r="AB449" s="186">
        <v>99.753</v>
      </c>
      <c r="AC449" s="9"/>
      <c r="AD449" s="170">
        <v>817.37099999999998</v>
      </c>
      <c r="AE449" s="9"/>
      <c r="AF449" s="9"/>
      <c r="AG449" s="9" t="s">
        <v>17</v>
      </c>
      <c r="AH449" s="185">
        <v>3.2400000000000001E-4</v>
      </c>
      <c r="AI449" s="185">
        <v>4.34006847239063E-3</v>
      </c>
      <c r="AJ449" s="185">
        <v>7.3464051283850696E-4</v>
      </c>
    </row>
    <row r="450" spans="1:36">
      <c r="A450" s="9">
        <v>337</v>
      </c>
      <c r="B450" s="9">
        <v>9963</v>
      </c>
      <c r="C450" s="9" t="s">
        <v>2216</v>
      </c>
      <c r="D450" s="9" t="s">
        <v>2217</v>
      </c>
      <c r="E450" s="5" t="s">
        <v>1346</v>
      </c>
      <c r="F450" s="9" t="s">
        <v>2755</v>
      </c>
      <c r="G450" s="9" t="s">
        <v>2756</v>
      </c>
      <c r="H450" s="9" t="s">
        <v>76</v>
      </c>
      <c r="I450" s="9" t="s">
        <v>230</v>
      </c>
      <c r="J450" s="9" t="s">
        <v>61</v>
      </c>
      <c r="K450" s="9" t="s">
        <v>53</v>
      </c>
      <c r="L450" s="9" t="s">
        <v>803</v>
      </c>
      <c r="M450" s="9" t="s">
        <v>102</v>
      </c>
      <c r="N450" s="9" t="s">
        <v>267</v>
      </c>
      <c r="O450" s="9" t="s">
        <v>62</v>
      </c>
      <c r="P450" s="9" t="s">
        <v>2220</v>
      </c>
      <c r="Q450" s="9" t="s">
        <v>96</v>
      </c>
      <c r="R450" s="9" t="s">
        <v>57</v>
      </c>
      <c r="S450" s="9" t="s">
        <v>1215</v>
      </c>
      <c r="T450" s="170">
        <v>1.9019999999999999</v>
      </c>
      <c r="U450" s="9" t="s">
        <v>1615</v>
      </c>
      <c r="V450" s="199">
        <v>6.5000000000000002E-2</v>
      </c>
      <c r="W450" s="185">
        <v>7.0449999999999999E-2</v>
      </c>
      <c r="X450" s="5" t="s">
        <v>618</v>
      </c>
      <c r="Y450" s="5" t="s">
        <v>62</v>
      </c>
      <c r="Z450" s="170">
        <v>162000</v>
      </c>
      <c r="AA450" s="184">
        <v>3.3719999999999999</v>
      </c>
      <c r="AB450" s="186">
        <v>99.572999999999993</v>
      </c>
      <c r="AC450" s="9"/>
      <c r="AD450" s="170">
        <v>543.93200000000002</v>
      </c>
      <c r="AE450" s="9"/>
      <c r="AF450" s="9"/>
      <c r="AG450" s="9" t="s">
        <v>17</v>
      </c>
      <c r="AH450" s="185">
        <v>2.7E-4</v>
      </c>
      <c r="AI450" s="185">
        <v>2.8881637994698198E-3</v>
      </c>
      <c r="AJ450" s="185">
        <v>4.8887757147190601E-4</v>
      </c>
    </row>
    <row r="451" spans="1:36">
      <c r="A451" s="9">
        <v>337</v>
      </c>
      <c r="B451" s="9">
        <v>9963</v>
      </c>
      <c r="C451" s="9" t="s">
        <v>1996</v>
      </c>
      <c r="D451" s="9" t="s">
        <v>1997</v>
      </c>
      <c r="E451" s="5" t="s">
        <v>1346</v>
      </c>
      <c r="F451" s="9" t="s">
        <v>2757</v>
      </c>
      <c r="G451" s="9" t="s">
        <v>2758</v>
      </c>
      <c r="H451" s="9" t="s">
        <v>76</v>
      </c>
      <c r="I451" s="9" t="s">
        <v>230</v>
      </c>
      <c r="J451" s="9" t="s">
        <v>61</v>
      </c>
      <c r="K451" s="9" t="s">
        <v>53</v>
      </c>
      <c r="L451" s="9" t="s">
        <v>803</v>
      </c>
      <c r="M451" s="9" t="s">
        <v>102</v>
      </c>
      <c r="N451" s="9" t="s">
        <v>256</v>
      </c>
      <c r="O451" s="9" t="s">
        <v>62</v>
      </c>
      <c r="P451" s="9" t="s">
        <v>2753</v>
      </c>
      <c r="Q451" s="9" t="s">
        <v>96</v>
      </c>
      <c r="R451" s="9" t="s">
        <v>57</v>
      </c>
      <c r="S451" s="9" t="s">
        <v>1215</v>
      </c>
      <c r="T451" s="170">
        <v>5.0060000000000002</v>
      </c>
      <c r="U451" s="9" t="s">
        <v>2759</v>
      </c>
      <c r="V451" s="199">
        <v>3.0769999999999999E-2</v>
      </c>
      <c r="W451" s="185">
        <v>6.2969999999999998E-2</v>
      </c>
      <c r="X451" s="5" t="s">
        <v>618</v>
      </c>
      <c r="Y451" s="5" t="s">
        <v>62</v>
      </c>
      <c r="Z451" s="170">
        <v>243000</v>
      </c>
      <c r="AA451" s="184">
        <v>3.3719999999999999</v>
      </c>
      <c r="AB451" s="186">
        <v>98.424999999999997</v>
      </c>
      <c r="AC451" s="9"/>
      <c r="AD451" s="170">
        <v>806.49099999999999</v>
      </c>
      <c r="AE451" s="9"/>
      <c r="AF451" s="9"/>
      <c r="AG451" s="9" t="s">
        <v>17</v>
      </c>
      <c r="AH451" s="185">
        <v>4.0499999999999998E-4</v>
      </c>
      <c r="AI451" s="185">
        <v>4.2822939422818597E-3</v>
      </c>
      <c r="AJ451" s="185">
        <v>7.24861056431743E-4</v>
      </c>
    </row>
    <row r="452" spans="1:36">
      <c r="A452" s="9">
        <v>337</v>
      </c>
      <c r="B452" s="9">
        <v>9963</v>
      </c>
      <c r="C452" s="9" t="s">
        <v>1966</v>
      </c>
      <c r="D452" s="9" t="s">
        <v>1967</v>
      </c>
      <c r="E452" s="5" t="s">
        <v>1346</v>
      </c>
      <c r="F452" s="9" t="s">
        <v>2760</v>
      </c>
      <c r="G452" s="9" t="s">
        <v>2761</v>
      </c>
      <c r="H452" s="9" t="s">
        <v>76</v>
      </c>
      <c r="I452" s="9" t="s">
        <v>230</v>
      </c>
      <c r="J452" s="9" t="s">
        <v>61</v>
      </c>
      <c r="K452" s="9" t="s">
        <v>314</v>
      </c>
      <c r="L452" s="9" t="s">
        <v>803</v>
      </c>
      <c r="M452" s="9" t="s">
        <v>102</v>
      </c>
      <c r="N452" s="9" t="s">
        <v>85</v>
      </c>
      <c r="O452" s="9" t="s">
        <v>62</v>
      </c>
      <c r="P452" s="9" t="s">
        <v>2220</v>
      </c>
      <c r="Q452" s="9" t="s">
        <v>96</v>
      </c>
      <c r="R452" s="9" t="s">
        <v>57</v>
      </c>
      <c r="S452" s="9" t="s">
        <v>1239</v>
      </c>
      <c r="T452" s="170">
        <v>4.2009999999999996</v>
      </c>
      <c r="U452" s="9" t="s">
        <v>2762</v>
      </c>
      <c r="V452" s="199">
        <v>4.3749999999999997E-2</v>
      </c>
      <c r="W452" s="185">
        <v>4.0820000000000002E-2</v>
      </c>
      <c r="X452" s="5" t="s">
        <v>618</v>
      </c>
      <c r="Y452" s="5" t="s">
        <v>62</v>
      </c>
      <c r="Z452" s="170">
        <v>709000</v>
      </c>
      <c r="AA452" s="184">
        <v>3.9552</v>
      </c>
      <c r="AB452" s="186">
        <v>102.464</v>
      </c>
      <c r="AC452" s="9"/>
      <c r="AD452" s="170">
        <v>2873.3359999999998</v>
      </c>
      <c r="AE452" s="9"/>
      <c r="AF452" s="9"/>
      <c r="AG452" s="9" t="s">
        <v>17</v>
      </c>
      <c r="AH452" s="185">
        <v>4.73E-4</v>
      </c>
      <c r="AI452" s="185">
        <v>1.52568060557088E-2</v>
      </c>
      <c r="AJ452" s="185">
        <v>2.5825094457253501E-3</v>
      </c>
    </row>
    <row r="453" spans="1:36">
      <c r="A453" s="9">
        <v>337</v>
      </c>
      <c r="B453" s="9">
        <v>9963</v>
      </c>
      <c r="C453" s="9" t="s">
        <v>1966</v>
      </c>
      <c r="D453" s="9" t="s">
        <v>1967</v>
      </c>
      <c r="E453" s="5" t="s">
        <v>1346</v>
      </c>
      <c r="F453" s="9" t="s">
        <v>2763</v>
      </c>
      <c r="G453" s="9" t="s">
        <v>2764</v>
      </c>
      <c r="H453" s="9" t="s">
        <v>76</v>
      </c>
      <c r="I453" s="9" t="s">
        <v>230</v>
      </c>
      <c r="J453" s="9" t="s">
        <v>61</v>
      </c>
      <c r="K453" s="9" t="s">
        <v>314</v>
      </c>
      <c r="L453" s="9" t="s">
        <v>803</v>
      </c>
      <c r="M453" s="9" t="s">
        <v>102</v>
      </c>
      <c r="N453" s="9" t="s">
        <v>85</v>
      </c>
      <c r="O453" s="9" t="s">
        <v>62</v>
      </c>
      <c r="P453" s="9" t="s">
        <v>2220</v>
      </c>
      <c r="Q453" s="9" t="s">
        <v>96</v>
      </c>
      <c r="R453" s="9" t="s">
        <v>57</v>
      </c>
      <c r="S453" s="9" t="s">
        <v>1215</v>
      </c>
      <c r="T453" s="170">
        <v>3.3149999999999999</v>
      </c>
      <c r="U453" s="9" t="s">
        <v>2765</v>
      </c>
      <c r="V453" s="199">
        <v>5.1249999999999997E-2</v>
      </c>
      <c r="W453" s="185">
        <v>5.0509999999999999E-2</v>
      </c>
      <c r="X453" s="5" t="s">
        <v>618</v>
      </c>
      <c r="Y453" s="5" t="s">
        <v>62</v>
      </c>
      <c r="Z453" s="170">
        <v>559000</v>
      </c>
      <c r="AA453" s="184">
        <v>3.3719999999999999</v>
      </c>
      <c r="AB453" s="186">
        <v>102.14700000000001</v>
      </c>
      <c r="AC453" s="9"/>
      <c r="AD453" s="170">
        <v>1925.424</v>
      </c>
      <c r="AE453" s="9"/>
      <c r="AF453" s="9"/>
      <c r="AG453" s="9" t="s">
        <v>17</v>
      </c>
      <c r="AH453" s="185">
        <v>5.5900000000000004E-4</v>
      </c>
      <c r="AI453" s="185">
        <v>1.02235954061015E-2</v>
      </c>
      <c r="AJ453" s="185">
        <v>1.7305412161054501E-3</v>
      </c>
    </row>
    <row r="454" spans="1:36">
      <c r="A454" s="9">
        <v>337</v>
      </c>
      <c r="B454" s="9">
        <v>9964</v>
      </c>
      <c r="C454" s="9" t="s">
        <v>2216</v>
      </c>
      <c r="D454" s="9" t="s">
        <v>2217</v>
      </c>
      <c r="E454" s="5" t="s">
        <v>1346</v>
      </c>
      <c r="F454" s="9" t="s">
        <v>2218</v>
      </c>
      <c r="G454" s="9" t="s">
        <v>2219</v>
      </c>
      <c r="H454" s="9" t="s">
        <v>76</v>
      </c>
      <c r="I454" s="9" t="s">
        <v>230</v>
      </c>
      <c r="J454" s="9" t="s">
        <v>61</v>
      </c>
      <c r="K454" s="9" t="s">
        <v>53</v>
      </c>
      <c r="L454" s="9" t="s">
        <v>803</v>
      </c>
      <c r="M454" s="9" t="s">
        <v>102</v>
      </c>
      <c r="N454" s="9" t="s">
        <v>267</v>
      </c>
      <c r="O454" s="9" t="s">
        <v>62</v>
      </c>
      <c r="P454" s="9" t="s">
        <v>2220</v>
      </c>
      <c r="Q454" s="9" t="s">
        <v>96</v>
      </c>
      <c r="R454" s="9" t="s">
        <v>57</v>
      </c>
      <c r="S454" s="9" t="s">
        <v>1215</v>
      </c>
      <c r="T454" s="170">
        <v>0.13300000000000001</v>
      </c>
      <c r="U454" s="9" t="s">
        <v>1319</v>
      </c>
      <c r="V454" s="199">
        <v>6.1249999999999999E-2</v>
      </c>
      <c r="W454" s="185">
        <v>0.23773</v>
      </c>
      <c r="X454" s="5" t="s">
        <v>618</v>
      </c>
      <c r="Y454" s="5" t="s">
        <v>62</v>
      </c>
      <c r="Z454" s="170">
        <v>0</v>
      </c>
      <c r="AA454" s="184">
        <v>3.3719999999999999</v>
      </c>
      <c r="AB454" s="186">
        <v>0</v>
      </c>
      <c r="AC454" s="170">
        <v>0.17399999999999999</v>
      </c>
      <c r="AD454" s="170">
        <v>0.58499999999999996</v>
      </c>
      <c r="AE454" s="9"/>
      <c r="AF454" s="9"/>
      <c r="AG454" s="9" t="s">
        <v>17</v>
      </c>
      <c r="AH454" s="185">
        <v>0</v>
      </c>
      <c r="AI454" s="185">
        <v>7.2593137644173404E-5</v>
      </c>
      <c r="AJ454" s="185">
        <v>1.50693789849144E-5</v>
      </c>
    </row>
    <row r="455" spans="1:36">
      <c r="A455" s="9">
        <v>337</v>
      </c>
      <c r="B455" s="9">
        <v>9964</v>
      </c>
      <c r="C455" s="9" t="s">
        <v>2221</v>
      </c>
      <c r="D455" s="9" t="s">
        <v>2222</v>
      </c>
      <c r="E455" s="5" t="s">
        <v>1346</v>
      </c>
      <c r="F455" s="9" t="s">
        <v>2223</v>
      </c>
      <c r="G455" s="9" t="s">
        <v>2224</v>
      </c>
      <c r="H455" s="9" t="s">
        <v>76</v>
      </c>
      <c r="I455" s="9" t="s">
        <v>228</v>
      </c>
      <c r="J455" s="9" t="s">
        <v>53</v>
      </c>
      <c r="K455" s="9" t="s">
        <v>53</v>
      </c>
      <c r="L455" s="9" t="s">
        <v>803</v>
      </c>
      <c r="M455" s="9" t="s">
        <v>311</v>
      </c>
      <c r="N455" s="9" t="s">
        <v>140</v>
      </c>
      <c r="O455" s="9" t="s">
        <v>62</v>
      </c>
      <c r="P455" s="9" t="s">
        <v>2225</v>
      </c>
      <c r="Q455" s="9" t="s">
        <v>70</v>
      </c>
      <c r="R455" s="9" t="s">
        <v>57</v>
      </c>
      <c r="S455" s="9" t="s">
        <v>1259</v>
      </c>
      <c r="T455" s="170">
        <v>1.2070000000000001</v>
      </c>
      <c r="U455" s="9" t="s">
        <v>2226</v>
      </c>
      <c r="V455" s="199">
        <v>3.5000000000000003E-2</v>
      </c>
      <c r="W455" s="185">
        <v>4.8849999999999998E-2</v>
      </c>
      <c r="X455" s="5" t="s">
        <v>618</v>
      </c>
      <c r="Y455" s="5" t="s">
        <v>62</v>
      </c>
      <c r="Z455" s="170">
        <v>33916</v>
      </c>
      <c r="AA455" s="184">
        <v>1</v>
      </c>
      <c r="AB455" s="186">
        <v>99.31</v>
      </c>
      <c r="AC455" s="9"/>
      <c r="AD455" s="170">
        <v>33.682000000000002</v>
      </c>
      <c r="AE455" s="9"/>
      <c r="AF455" s="9"/>
      <c r="AG455" s="9" t="s">
        <v>17</v>
      </c>
      <c r="AH455" s="185">
        <v>2.4399999999999999E-4</v>
      </c>
      <c r="AI455" s="185">
        <v>4.1788431600608602E-3</v>
      </c>
      <c r="AJ455" s="185">
        <v>8.6747278518452405E-4</v>
      </c>
    </row>
    <row r="456" spans="1:36">
      <c r="A456" s="9">
        <v>337</v>
      </c>
      <c r="B456" s="9">
        <v>9964</v>
      </c>
      <c r="C456" s="9" t="s">
        <v>2221</v>
      </c>
      <c r="D456" s="9" t="s">
        <v>2222</v>
      </c>
      <c r="E456" s="5" t="s">
        <v>1346</v>
      </c>
      <c r="F456" s="9" t="s">
        <v>2227</v>
      </c>
      <c r="G456" s="9" t="s">
        <v>2228</v>
      </c>
      <c r="H456" s="9" t="s">
        <v>76</v>
      </c>
      <c r="I456" s="9" t="s">
        <v>229</v>
      </c>
      <c r="J456" s="9" t="s">
        <v>53</v>
      </c>
      <c r="K456" s="9" t="s">
        <v>53</v>
      </c>
      <c r="L456" s="9" t="s">
        <v>803</v>
      </c>
      <c r="M456" s="9" t="s">
        <v>311</v>
      </c>
      <c r="N456" s="9" t="s">
        <v>140</v>
      </c>
      <c r="O456" s="9" t="s">
        <v>62</v>
      </c>
      <c r="P456" s="9" t="s">
        <v>2225</v>
      </c>
      <c r="Q456" s="9" t="s">
        <v>70</v>
      </c>
      <c r="R456" s="9" t="s">
        <v>57</v>
      </c>
      <c r="S456" s="9" t="s">
        <v>1259</v>
      </c>
      <c r="T456" s="170">
        <v>2.1160000000000001</v>
      </c>
      <c r="U456" s="9" t="s">
        <v>2229</v>
      </c>
      <c r="V456" s="199">
        <v>3.85E-2</v>
      </c>
      <c r="W456" s="185">
        <v>3.2370000000000003E-2</v>
      </c>
      <c r="X456" s="5" t="s">
        <v>618</v>
      </c>
      <c r="Y456" s="5" t="s">
        <v>62</v>
      </c>
      <c r="Z456" s="170">
        <v>54000</v>
      </c>
      <c r="AA456" s="184">
        <v>1</v>
      </c>
      <c r="AB456" s="186">
        <v>111.11</v>
      </c>
      <c r="AC456" s="9"/>
      <c r="AD456" s="170">
        <v>59.999000000000002</v>
      </c>
      <c r="AE456" s="9"/>
      <c r="AF456" s="9"/>
      <c r="AG456" s="9" t="s">
        <v>17</v>
      </c>
      <c r="AH456" s="185">
        <v>1.8000000000000001E-4</v>
      </c>
      <c r="AI456" s="185">
        <v>7.4439829628587398E-3</v>
      </c>
      <c r="AJ456" s="185">
        <v>1.5452727911337001E-3</v>
      </c>
    </row>
    <row r="457" spans="1:36">
      <c r="A457" s="9">
        <v>337</v>
      </c>
      <c r="B457" s="9">
        <v>9964</v>
      </c>
      <c r="C457" s="9" t="s">
        <v>2230</v>
      </c>
      <c r="D457" s="9" t="s">
        <v>2231</v>
      </c>
      <c r="E457" s="5" t="s">
        <v>1346</v>
      </c>
      <c r="F457" s="9" t="s">
        <v>2875</v>
      </c>
      <c r="G457" s="9" t="s">
        <v>2876</v>
      </c>
      <c r="H457" s="9" t="s">
        <v>76</v>
      </c>
      <c r="I457" s="9" t="s">
        <v>229</v>
      </c>
      <c r="J457" s="9" t="s">
        <v>53</v>
      </c>
      <c r="K457" s="9" t="s">
        <v>317</v>
      </c>
      <c r="L457" s="9" t="s">
        <v>803</v>
      </c>
      <c r="M457" s="9" t="s">
        <v>311</v>
      </c>
      <c r="N457" s="9" t="s">
        <v>634</v>
      </c>
      <c r="O457" s="9" t="s">
        <v>62</v>
      </c>
      <c r="P457" s="9" t="s">
        <v>2225</v>
      </c>
      <c r="Q457" s="9" t="s">
        <v>70</v>
      </c>
      <c r="R457" s="9" t="s">
        <v>57</v>
      </c>
      <c r="S457" s="9" t="s">
        <v>1259</v>
      </c>
      <c r="T457" s="170">
        <v>1.1359999999999999</v>
      </c>
      <c r="U457" s="9" t="s">
        <v>2877</v>
      </c>
      <c r="V457" s="199">
        <v>2.8500000000000001E-2</v>
      </c>
      <c r="W457" s="185">
        <v>3.0040000000000001E-2</v>
      </c>
      <c r="X457" s="5" t="s">
        <v>618</v>
      </c>
      <c r="Y457" s="5" t="s">
        <v>62</v>
      </c>
      <c r="Z457" s="170">
        <v>12000</v>
      </c>
      <c r="AA457" s="184">
        <v>1</v>
      </c>
      <c r="AB457" s="186">
        <v>119.39</v>
      </c>
      <c r="AC457" s="9"/>
      <c r="AD457" s="170">
        <v>14.327</v>
      </c>
      <c r="AE457" s="9"/>
      <c r="AF457" s="9"/>
      <c r="AG457" s="9" t="s">
        <v>17</v>
      </c>
      <c r="AH457" s="185">
        <v>2.9E-5</v>
      </c>
      <c r="AI457" s="185">
        <v>1.7774920267916801E-3</v>
      </c>
      <c r="AJ457" s="185">
        <v>3.6898392690617402E-4</v>
      </c>
    </row>
    <row r="458" spans="1:36">
      <c r="A458" s="9">
        <v>337</v>
      </c>
      <c r="B458" s="9">
        <v>9964</v>
      </c>
      <c r="C458" s="9" t="s">
        <v>2230</v>
      </c>
      <c r="D458" s="9" t="s">
        <v>2231</v>
      </c>
      <c r="E458" s="5" t="s">
        <v>1346</v>
      </c>
      <c r="F458" s="9" t="s">
        <v>2232</v>
      </c>
      <c r="G458" s="9" t="s">
        <v>2233</v>
      </c>
      <c r="H458" s="9" t="s">
        <v>76</v>
      </c>
      <c r="I458" s="9" t="s">
        <v>229</v>
      </c>
      <c r="J458" s="9" t="s">
        <v>53</v>
      </c>
      <c r="K458" s="9" t="s">
        <v>317</v>
      </c>
      <c r="L458" s="9" t="s">
        <v>803</v>
      </c>
      <c r="M458" s="9" t="s">
        <v>311</v>
      </c>
      <c r="N458" s="9" t="s">
        <v>634</v>
      </c>
      <c r="O458" s="9" t="s">
        <v>62</v>
      </c>
      <c r="P458" s="9" t="s">
        <v>2225</v>
      </c>
      <c r="Q458" s="9" t="s">
        <v>70</v>
      </c>
      <c r="R458" s="9" t="s">
        <v>57</v>
      </c>
      <c r="S458" s="9" t="s">
        <v>1259</v>
      </c>
      <c r="T458" s="170">
        <v>2.6240000000000001</v>
      </c>
      <c r="U458" s="9" t="s">
        <v>2234</v>
      </c>
      <c r="V458" s="199">
        <v>2.4500000000000001E-2</v>
      </c>
      <c r="W458" s="185">
        <v>3.057E-2</v>
      </c>
      <c r="X458" s="5" t="s">
        <v>618</v>
      </c>
      <c r="Y458" s="5" t="s">
        <v>62</v>
      </c>
      <c r="Z458" s="170">
        <v>13695.66</v>
      </c>
      <c r="AA458" s="184">
        <v>1</v>
      </c>
      <c r="AB458" s="186">
        <v>115.76</v>
      </c>
      <c r="AC458" s="9"/>
      <c r="AD458" s="170">
        <v>15.853999999999999</v>
      </c>
      <c r="AE458" s="9"/>
      <c r="AF458" s="9"/>
      <c r="AG458" s="9" t="s">
        <v>17</v>
      </c>
      <c r="AH458" s="185">
        <v>2.9E-5</v>
      </c>
      <c r="AI458" s="185">
        <v>1.9669800137106499E-3</v>
      </c>
      <c r="AJ458" s="185">
        <v>4.0831913655046498E-4</v>
      </c>
    </row>
    <row r="459" spans="1:36">
      <c r="A459" s="9">
        <v>337</v>
      </c>
      <c r="B459" s="9">
        <v>9964</v>
      </c>
      <c r="C459" s="9" t="s">
        <v>2235</v>
      </c>
      <c r="D459" s="9" t="s">
        <v>2236</v>
      </c>
      <c r="E459" s="5" t="s">
        <v>1346</v>
      </c>
      <c r="F459" s="9" t="s">
        <v>2237</v>
      </c>
      <c r="G459" s="9" t="s">
        <v>2238</v>
      </c>
      <c r="H459" s="9" t="s">
        <v>76</v>
      </c>
      <c r="I459" s="9" t="s">
        <v>229</v>
      </c>
      <c r="J459" s="9" t="s">
        <v>53</v>
      </c>
      <c r="K459" s="9" t="s">
        <v>53</v>
      </c>
      <c r="L459" s="9" t="s">
        <v>803</v>
      </c>
      <c r="M459" s="9" t="s">
        <v>311</v>
      </c>
      <c r="N459" s="9" t="s">
        <v>265</v>
      </c>
      <c r="O459" s="9" t="s">
        <v>62</v>
      </c>
      <c r="P459" s="9" t="s">
        <v>2239</v>
      </c>
      <c r="Q459" s="9" t="s">
        <v>65</v>
      </c>
      <c r="R459" s="9" t="s">
        <v>57</v>
      </c>
      <c r="S459" s="9" t="s">
        <v>1259</v>
      </c>
      <c r="T459" s="170">
        <v>5.0369999999999999</v>
      </c>
      <c r="U459" s="9" t="s">
        <v>2240</v>
      </c>
      <c r="V459" s="199">
        <v>5.1499999999999997E-2</v>
      </c>
      <c r="W459" s="185">
        <v>4.1759999999999999E-2</v>
      </c>
      <c r="X459" s="5" t="s">
        <v>618</v>
      </c>
      <c r="Y459" s="5" t="s">
        <v>62</v>
      </c>
      <c r="Z459" s="170">
        <v>0.7</v>
      </c>
      <c r="AA459" s="184">
        <v>1</v>
      </c>
      <c r="AB459" s="186">
        <v>148.91</v>
      </c>
      <c r="AC459" s="9"/>
      <c r="AD459" s="170">
        <v>1E-3</v>
      </c>
      <c r="AE459" s="9"/>
      <c r="AF459" s="9"/>
      <c r="AG459" s="9" t="s">
        <v>17</v>
      </c>
      <c r="AH459" s="185">
        <v>0</v>
      </c>
      <c r="AI459" s="185">
        <v>1.2932436859360401E-7</v>
      </c>
      <c r="AJ459" s="185">
        <v>2.6846035115251699E-8</v>
      </c>
    </row>
    <row r="460" spans="1:36">
      <c r="A460" s="9">
        <v>337</v>
      </c>
      <c r="B460" s="9">
        <v>9964</v>
      </c>
      <c r="C460" s="9" t="s">
        <v>1822</v>
      </c>
      <c r="D460" s="9" t="s">
        <v>1823</v>
      </c>
      <c r="E460" s="5" t="s">
        <v>1346</v>
      </c>
      <c r="F460" s="9" t="s">
        <v>2241</v>
      </c>
      <c r="G460" s="9" t="s">
        <v>2242</v>
      </c>
      <c r="H460" s="9" t="s">
        <v>76</v>
      </c>
      <c r="I460" s="9" t="s">
        <v>229</v>
      </c>
      <c r="J460" s="9" t="s">
        <v>53</v>
      </c>
      <c r="K460" s="9" t="s">
        <v>53</v>
      </c>
      <c r="L460" s="9" t="s">
        <v>803</v>
      </c>
      <c r="M460" s="9" t="s">
        <v>311</v>
      </c>
      <c r="N460" s="9" t="s">
        <v>156</v>
      </c>
      <c r="O460" s="9" t="s">
        <v>62</v>
      </c>
      <c r="P460" s="9" t="s">
        <v>1607</v>
      </c>
      <c r="Q460" s="9" t="s">
        <v>65</v>
      </c>
      <c r="R460" s="9" t="s">
        <v>57</v>
      </c>
      <c r="S460" s="9" t="s">
        <v>1259</v>
      </c>
      <c r="T460" s="170">
        <v>2.472</v>
      </c>
      <c r="U460" s="9" t="s">
        <v>2243</v>
      </c>
      <c r="V460" s="199">
        <v>2.75E-2</v>
      </c>
      <c r="W460" s="185">
        <v>3.0839999999999999E-2</v>
      </c>
      <c r="X460" s="5" t="s">
        <v>618</v>
      </c>
      <c r="Y460" s="5" t="s">
        <v>62</v>
      </c>
      <c r="Z460" s="170">
        <v>118066.27</v>
      </c>
      <c r="AA460" s="184">
        <v>1</v>
      </c>
      <c r="AB460" s="186">
        <v>116.37</v>
      </c>
      <c r="AC460" s="9"/>
      <c r="AD460" s="170">
        <v>137.39400000000001</v>
      </c>
      <c r="AE460" s="9"/>
      <c r="AF460" s="9"/>
      <c r="AG460" s="9" t="s">
        <v>17</v>
      </c>
      <c r="AH460" s="185">
        <v>1.5799999999999999E-4</v>
      </c>
      <c r="AI460" s="185">
        <v>1.7046112110553902E-2</v>
      </c>
      <c r="AJ460" s="185">
        <v>3.53854829739398E-3</v>
      </c>
    </row>
    <row r="461" spans="1:36">
      <c r="A461" s="9">
        <v>337</v>
      </c>
      <c r="B461" s="9">
        <v>9964</v>
      </c>
      <c r="C461" s="9" t="s">
        <v>1834</v>
      </c>
      <c r="D461" s="9" t="s">
        <v>1835</v>
      </c>
      <c r="E461" s="5" t="s">
        <v>1346</v>
      </c>
      <c r="F461" s="9" t="s">
        <v>2244</v>
      </c>
      <c r="G461" s="9" t="s">
        <v>2245</v>
      </c>
      <c r="H461" s="9" t="s">
        <v>76</v>
      </c>
      <c r="I461" s="9" t="s">
        <v>228</v>
      </c>
      <c r="J461" s="9" t="s">
        <v>53</v>
      </c>
      <c r="K461" s="9" t="s">
        <v>53</v>
      </c>
      <c r="L461" s="9" t="s">
        <v>803</v>
      </c>
      <c r="M461" s="9" t="s">
        <v>311</v>
      </c>
      <c r="N461" s="9" t="s">
        <v>265</v>
      </c>
      <c r="O461" s="9" t="s">
        <v>62</v>
      </c>
      <c r="P461" s="9" t="s">
        <v>2246</v>
      </c>
      <c r="Q461" s="9" t="s">
        <v>65</v>
      </c>
      <c r="R461" s="9" t="s">
        <v>57</v>
      </c>
      <c r="S461" s="9" t="s">
        <v>1259</v>
      </c>
      <c r="T461" s="170">
        <v>7.3310000000000004</v>
      </c>
      <c r="U461" s="9" t="s">
        <v>2247</v>
      </c>
      <c r="V461" s="199">
        <v>2.4E-2</v>
      </c>
      <c r="W461" s="185">
        <v>4.6940000000000003E-2</v>
      </c>
      <c r="X461" s="5" t="s">
        <v>618</v>
      </c>
      <c r="Y461" s="5" t="s">
        <v>62</v>
      </c>
      <c r="Z461" s="170">
        <v>75000</v>
      </c>
      <c r="AA461" s="184">
        <v>1</v>
      </c>
      <c r="AB461" s="186">
        <v>84.92</v>
      </c>
      <c r="AC461" s="9"/>
      <c r="AD461" s="170">
        <v>63.69</v>
      </c>
      <c r="AE461" s="9"/>
      <c r="AF461" s="9"/>
      <c r="AG461" s="9" t="s">
        <v>17</v>
      </c>
      <c r="AH461" s="185">
        <v>4.8000000000000001E-5</v>
      </c>
      <c r="AI461" s="185">
        <v>7.9018669337438899E-3</v>
      </c>
      <c r="AJ461" s="185">
        <v>1.64032347102313E-3</v>
      </c>
    </row>
    <row r="462" spans="1:36">
      <c r="A462" s="9">
        <v>337</v>
      </c>
      <c r="B462" s="9">
        <v>9964</v>
      </c>
      <c r="C462" s="9" t="s">
        <v>2248</v>
      </c>
      <c r="D462" s="9" t="s">
        <v>2249</v>
      </c>
      <c r="E462" s="5" t="s">
        <v>1346</v>
      </c>
      <c r="F462" s="9" t="s">
        <v>2250</v>
      </c>
      <c r="G462" s="9" t="s">
        <v>2251</v>
      </c>
      <c r="H462" s="9" t="s">
        <v>76</v>
      </c>
      <c r="I462" s="9" t="s">
        <v>229</v>
      </c>
      <c r="J462" s="9" t="s">
        <v>53</v>
      </c>
      <c r="K462" s="9" t="s">
        <v>53</v>
      </c>
      <c r="L462" s="9" t="s">
        <v>803</v>
      </c>
      <c r="M462" s="9" t="s">
        <v>311</v>
      </c>
      <c r="N462" s="9" t="s">
        <v>633</v>
      </c>
      <c r="O462" s="9" t="s">
        <v>62</v>
      </c>
      <c r="P462" s="9" t="s">
        <v>2246</v>
      </c>
      <c r="Q462" s="9" t="s">
        <v>65</v>
      </c>
      <c r="R462" s="9" t="s">
        <v>57</v>
      </c>
      <c r="S462" s="9" t="s">
        <v>1259</v>
      </c>
      <c r="T462" s="170">
        <v>2.0139999999999998</v>
      </c>
      <c r="U462" s="9" t="s">
        <v>2252</v>
      </c>
      <c r="V462" s="199">
        <v>2.3400000000000001E-2</v>
      </c>
      <c r="W462" s="185">
        <v>2.8719999999999999E-2</v>
      </c>
      <c r="X462" s="5" t="s">
        <v>618</v>
      </c>
      <c r="Y462" s="5" t="s">
        <v>62</v>
      </c>
      <c r="Z462" s="170">
        <v>75478.17</v>
      </c>
      <c r="AA462" s="184">
        <v>1</v>
      </c>
      <c r="AB462" s="186">
        <v>116.49</v>
      </c>
      <c r="AC462" s="9"/>
      <c r="AD462" s="170">
        <v>87.924999999999997</v>
      </c>
      <c r="AE462" s="9"/>
      <c r="AF462" s="9"/>
      <c r="AG462" s="9" t="s">
        <v>17</v>
      </c>
      <c r="AH462" s="185">
        <v>4.6E-5</v>
      </c>
      <c r="AI462" s="185">
        <v>1.0908586263062301E-2</v>
      </c>
      <c r="AJ462" s="185">
        <v>2.26447879128023E-3</v>
      </c>
    </row>
    <row r="463" spans="1:36">
      <c r="A463" s="9">
        <v>337</v>
      </c>
      <c r="B463" s="9">
        <v>9964</v>
      </c>
      <c r="C463" s="9" t="s">
        <v>2256</v>
      </c>
      <c r="D463" s="9" t="s">
        <v>2257</v>
      </c>
      <c r="E463" s="5" t="s">
        <v>1346</v>
      </c>
      <c r="F463" s="9" t="s">
        <v>2258</v>
      </c>
      <c r="G463" s="9" t="s">
        <v>2259</v>
      </c>
      <c r="H463" s="9" t="s">
        <v>76</v>
      </c>
      <c r="I463" s="9" t="s">
        <v>229</v>
      </c>
      <c r="J463" s="9" t="s">
        <v>53</v>
      </c>
      <c r="K463" s="9" t="s">
        <v>53</v>
      </c>
      <c r="L463" s="9" t="s">
        <v>803</v>
      </c>
      <c r="M463" s="9" t="s">
        <v>311</v>
      </c>
      <c r="N463" s="9" t="s">
        <v>258</v>
      </c>
      <c r="O463" s="9" t="s">
        <v>62</v>
      </c>
      <c r="P463" s="9" t="s">
        <v>1607</v>
      </c>
      <c r="Q463" s="9" t="s">
        <v>65</v>
      </c>
      <c r="R463" s="9" t="s">
        <v>57</v>
      </c>
      <c r="S463" s="9" t="s">
        <v>1259</v>
      </c>
      <c r="T463" s="170">
        <v>1.4510000000000001</v>
      </c>
      <c r="U463" s="9" t="s">
        <v>2260</v>
      </c>
      <c r="V463" s="199">
        <v>3.2000000000000001E-2</v>
      </c>
      <c r="W463" s="185">
        <v>3.2230000000000002E-2</v>
      </c>
      <c r="X463" s="5" t="s">
        <v>618</v>
      </c>
      <c r="Y463" s="5" t="s">
        <v>62</v>
      </c>
      <c r="Z463" s="170">
        <v>18600</v>
      </c>
      <c r="AA463" s="184">
        <v>1</v>
      </c>
      <c r="AB463" s="186">
        <v>109.13</v>
      </c>
      <c r="AC463" s="9"/>
      <c r="AD463" s="170">
        <v>20.297999999999998</v>
      </c>
      <c r="AE463" s="9"/>
      <c r="AF463" s="9"/>
      <c r="AG463" s="9" t="s">
        <v>17</v>
      </c>
      <c r="AH463" s="185">
        <v>2.8E-5</v>
      </c>
      <c r="AI463" s="185">
        <v>2.51834695175352E-3</v>
      </c>
      <c r="AJ463" s="185">
        <v>5.2277564881539199E-4</v>
      </c>
    </row>
    <row r="464" spans="1:36">
      <c r="A464" s="9">
        <v>337</v>
      </c>
      <c r="B464" s="9">
        <v>9964</v>
      </c>
      <c r="C464" s="9" t="s">
        <v>2256</v>
      </c>
      <c r="D464" s="9" t="s">
        <v>2257</v>
      </c>
      <c r="E464" s="5" t="s">
        <v>1346</v>
      </c>
      <c r="F464" s="9" t="s">
        <v>2261</v>
      </c>
      <c r="G464" s="9" t="s">
        <v>2262</v>
      </c>
      <c r="H464" s="9" t="s">
        <v>76</v>
      </c>
      <c r="I464" s="9" t="s">
        <v>228</v>
      </c>
      <c r="J464" s="9" t="s">
        <v>53</v>
      </c>
      <c r="K464" s="9" t="s">
        <v>53</v>
      </c>
      <c r="L464" s="9" t="s">
        <v>803</v>
      </c>
      <c r="M464" s="9" t="s">
        <v>311</v>
      </c>
      <c r="N464" s="9" t="s">
        <v>258</v>
      </c>
      <c r="O464" s="9" t="s">
        <v>62</v>
      </c>
      <c r="P464" s="9" t="s">
        <v>1607</v>
      </c>
      <c r="Q464" s="9" t="s">
        <v>65</v>
      </c>
      <c r="R464" s="9" t="s">
        <v>57</v>
      </c>
      <c r="S464" s="9" t="s">
        <v>1259</v>
      </c>
      <c r="T464" s="170">
        <v>1.518</v>
      </c>
      <c r="U464" s="9" t="s">
        <v>2263</v>
      </c>
      <c r="V464" s="199">
        <v>5.7000000000000002E-2</v>
      </c>
      <c r="W464" s="185">
        <v>5.1889999999999999E-2</v>
      </c>
      <c r="X464" s="5" t="s">
        <v>618</v>
      </c>
      <c r="Y464" s="5" t="s">
        <v>62</v>
      </c>
      <c r="Z464" s="170">
        <v>18000</v>
      </c>
      <c r="AA464" s="184">
        <v>1</v>
      </c>
      <c r="AB464" s="186">
        <v>101.09</v>
      </c>
      <c r="AC464" s="9"/>
      <c r="AD464" s="170">
        <v>18.196000000000002</v>
      </c>
      <c r="AE464" s="9"/>
      <c r="AF464" s="9"/>
      <c r="AG464" s="9" t="s">
        <v>17</v>
      </c>
      <c r="AH464" s="185">
        <v>2.3E-5</v>
      </c>
      <c r="AI464" s="185">
        <v>2.2575592887390601E-3</v>
      </c>
      <c r="AJ464" s="185">
        <v>4.6863956576277498E-4</v>
      </c>
    </row>
    <row r="465" spans="1:36">
      <c r="A465" s="9">
        <v>337</v>
      </c>
      <c r="B465" s="9">
        <v>9964</v>
      </c>
      <c r="C465" s="9" t="s">
        <v>2264</v>
      </c>
      <c r="D465" s="9" t="s">
        <v>2265</v>
      </c>
      <c r="E465" s="5" t="s">
        <v>1346</v>
      </c>
      <c r="F465" s="9" t="s">
        <v>2266</v>
      </c>
      <c r="G465" s="9" t="s">
        <v>2267</v>
      </c>
      <c r="H465" s="9" t="s">
        <v>76</v>
      </c>
      <c r="I465" s="9" t="s">
        <v>229</v>
      </c>
      <c r="J465" s="9" t="s">
        <v>53</v>
      </c>
      <c r="K465" s="9" t="s">
        <v>53</v>
      </c>
      <c r="L465" s="9" t="s">
        <v>803</v>
      </c>
      <c r="M465" s="9" t="s">
        <v>311</v>
      </c>
      <c r="N465" s="9" t="s">
        <v>258</v>
      </c>
      <c r="O465" s="9" t="s">
        <v>62</v>
      </c>
      <c r="P465" s="9" t="s">
        <v>1607</v>
      </c>
      <c r="Q465" s="9" t="s">
        <v>65</v>
      </c>
      <c r="R465" s="9" t="s">
        <v>57</v>
      </c>
      <c r="S465" s="9" t="s">
        <v>1259</v>
      </c>
      <c r="T465" s="170">
        <v>2.1680000000000001</v>
      </c>
      <c r="U465" s="9" t="s">
        <v>2268</v>
      </c>
      <c r="V465" s="199">
        <v>3.2300000000000002E-2</v>
      </c>
      <c r="W465" s="185">
        <v>2.972E-2</v>
      </c>
      <c r="X465" s="5" t="s">
        <v>618</v>
      </c>
      <c r="Y465" s="5" t="s">
        <v>62</v>
      </c>
      <c r="Z465" s="170">
        <v>26040</v>
      </c>
      <c r="AA465" s="184">
        <v>1</v>
      </c>
      <c r="AB465" s="186">
        <v>110.07</v>
      </c>
      <c r="AC465" s="9"/>
      <c r="AD465" s="170">
        <v>28.661999999999999</v>
      </c>
      <c r="AE465" s="9"/>
      <c r="AF465" s="9"/>
      <c r="AG465" s="9" t="s">
        <v>17</v>
      </c>
      <c r="AH465" s="185">
        <v>5.0000000000000002E-5</v>
      </c>
      <c r="AI465" s="185">
        <v>3.5560545090379701E-3</v>
      </c>
      <c r="AJ465" s="185">
        <v>7.3819006626183695E-4</v>
      </c>
    </row>
    <row r="466" spans="1:36">
      <c r="A466" s="9">
        <v>337</v>
      </c>
      <c r="B466" s="9">
        <v>9964</v>
      </c>
      <c r="C466" s="9" t="s">
        <v>2269</v>
      </c>
      <c r="D466" s="9" t="s">
        <v>2270</v>
      </c>
      <c r="E466" s="5" t="s">
        <v>1346</v>
      </c>
      <c r="F466" s="9" t="s">
        <v>2271</v>
      </c>
      <c r="G466" s="9" t="s">
        <v>2272</v>
      </c>
      <c r="H466" s="9" t="s">
        <v>76</v>
      </c>
      <c r="I466" s="9" t="s">
        <v>229</v>
      </c>
      <c r="J466" s="9" t="s">
        <v>53</v>
      </c>
      <c r="K466" s="9" t="s">
        <v>53</v>
      </c>
      <c r="L466" s="9" t="s">
        <v>803</v>
      </c>
      <c r="M466" s="9" t="s">
        <v>311</v>
      </c>
      <c r="N466" s="9" t="s">
        <v>633</v>
      </c>
      <c r="O466" s="9" t="s">
        <v>62</v>
      </c>
      <c r="P466" s="9" t="s">
        <v>1614</v>
      </c>
      <c r="Q466" s="9" t="s">
        <v>65</v>
      </c>
      <c r="R466" s="9" t="s">
        <v>57</v>
      </c>
      <c r="S466" s="9" t="s">
        <v>1259</v>
      </c>
      <c r="T466" s="170">
        <v>2.1760000000000002</v>
      </c>
      <c r="U466" s="9" t="s">
        <v>2273</v>
      </c>
      <c r="V466" s="199">
        <v>2.4899999999999999E-2</v>
      </c>
      <c r="W466" s="185">
        <v>3.1350000000000003E-2</v>
      </c>
      <c r="X466" s="5" t="s">
        <v>618</v>
      </c>
      <c r="Y466" s="5" t="s">
        <v>62</v>
      </c>
      <c r="Z466" s="170">
        <v>49600</v>
      </c>
      <c r="AA466" s="184">
        <v>1</v>
      </c>
      <c r="AB466" s="186">
        <v>108.03</v>
      </c>
      <c r="AC466" s="9"/>
      <c r="AD466" s="170">
        <v>53.582999999999998</v>
      </c>
      <c r="AE466" s="9"/>
      <c r="AF466" s="9"/>
      <c r="AG466" s="9" t="s">
        <v>17</v>
      </c>
      <c r="AH466" s="185">
        <v>2.6600000000000001E-4</v>
      </c>
      <c r="AI466" s="185">
        <v>6.64790057602083E-3</v>
      </c>
      <c r="AJ466" s="185">
        <v>1.38001657574212E-3</v>
      </c>
    </row>
    <row r="467" spans="1:36">
      <c r="A467" s="9">
        <v>337</v>
      </c>
      <c r="B467" s="9">
        <v>9964</v>
      </c>
      <c r="C467" s="9" t="s">
        <v>1850</v>
      </c>
      <c r="D467" s="9" t="s">
        <v>1851</v>
      </c>
      <c r="E467" s="5" t="s">
        <v>1346</v>
      </c>
      <c r="F467" s="9" t="s">
        <v>2770</v>
      </c>
      <c r="G467" s="9" t="s">
        <v>2771</v>
      </c>
      <c r="H467" s="9" t="s">
        <v>76</v>
      </c>
      <c r="I467" s="9" t="s">
        <v>228</v>
      </c>
      <c r="J467" s="9" t="s">
        <v>53</v>
      </c>
      <c r="K467" s="9" t="s">
        <v>53</v>
      </c>
      <c r="L467" s="9" t="s">
        <v>803</v>
      </c>
      <c r="M467" s="9" t="s">
        <v>311</v>
      </c>
      <c r="N467" s="9" t="s">
        <v>633</v>
      </c>
      <c r="O467" s="9" t="s">
        <v>62</v>
      </c>
      <c r="P467" s="9" t="s">
        <v>2239</v>
      </c>
      <c r="Q467" s="9" t="s">
        <v>65</v>
      </c>
      <c r="R467" s="9" t="s">
        <v>57</v>
      </c>
      <c r="S467" s="9" t="s">
        <v>1259</v>
      </c>
      <c r="T467" s="170">
        <v>5.9409999999999998</v>
      </c>
      <c r="U467" s="9" t="s">
        <v>2772</v>
      </c>
      <c r="V467" s="199">
        <v>4.9399999999999999E-2</v>
      </c>
      <c r="W467" s="185">
        <v>5.2420000000000001E-2</v>
      </c>
      <c r="X467" s="5" t="s">
        <v>618</v>
      </c>
      <c r="Y467" s="5" t="s">
        <v>62</v>
      </c>
      <c r="Z467" s="170">
        <v>62318</v>
      </c>
      <c r="AA467" s="184">
        <v>1</v>
      </c>
      <c r="AB467" s="186">
        <v>99.91</v>
      </c>
      <c r="AC467" s="9"/>
      <c r="AD467" s="170">
        <v>62.262</v>
      </c>
      <c r="AE467" s="9"/>
      <c r="AF467" s="9"/>
      <c r="AG467" s="9" t="s">
        <v>17</v>
      </c>
      <c r="AH467" s="185">
        <v>3.3000000000000003E-5</v>
      </c>
      <c r="AI467" s="185">
        <v>7.72468767291305E-3</v>
      </c>
      <c r="AJ467" s="185">
        <v>1.6035433907514399E-3</v>
      </c>
    </row>
    <row r="468" spans="1:36">
      <c r="A468" s="9">
        <v>337</v>
      </c>
      <c r="B468" s="9">
        <v>9964</v>
      </c>
      <c r="C468" s="9" t="s">
        <v>2277</v>
      </c>
      <c r="D468" s="9" t="s">
        <v>2278</v>
      </c>
      <c r="E468" s="5" t="s">
        <v>1346</v>
      </c>
      <c r="F468" s="9" t="s">
        <v>2878</v>
      </c>
      <c r="G468" s="9" t="s">
        <v>2879</v>
      </c>
      <c r="H468" s="9" t="s">
        <v>76</v>
      </c>
      <c r="I468" s="9" t="s">
        <v>228</v>
      </c>
      <c r="J468" s="9" t="s">
        <v>53</v>
      </c>
      <c r="K468" s="9" t="s">
        <v>53</v>
      </c>
      <c r="L468" s="9" t="s">
        <v>803</v>
      </c>
      <c r="M468" s="9" t="s">
        <v>311</v>
      </c>
      <c r="N468" s="9" t="s">
        <v>690</v>
      </c>
      <c r="O468" s="9" t="s">
        <v>62</v>
      </c>
      <c r="P468" s="9" t="s">
        <v>2239</v>
      </c>
      <c r="Q468" s="9" t="s">
        <v>65</v>
      </c>
      <c r="R468" s="9" t="s">
        <v>57</v>
      </c>
      <c r="S468" s="9" t="s">
        <v>1259</v>
      </c>
      <c r="T468" s="170">
        <v>3.8010000000000002</v>
      </c>
      <c r="U468" s="9" t="s">
        <v>2880</v>
      </c>
      <c r="V468" s="199">
        <v>2.9899999999999999E-2</v>
      </c>
      <c r="W468" s="185">
        <v>4.6850000000000003E-2</v>
      </c>
      <c r="X468" s="5" t="s">
        <v>618</v>
      </c>
      <c r="Y468" s="5" t="s">
        <v>62</v>
      </c>
      <c r="Z468" s="170">
        <v>90000</v>
      </c>
      <c r="AA468" s="184">
        <v>1</v>
      </c>
      <c r="AB468" s="186">
        <v>105.62</v>
      </c>
      <c r="AC468" s="9"/>
      <c r="AD468" s="170">
        <v>95.058000000000007</v>
      </c>
      <c r="AE468" s="9"/>
      <c r="AF468" s="9"/>
      <c r="AG468" s="9" t="s">
        <v>17</v>
      </c>
      <c r="AH468" s="185">
        <v>4.4999999999999999E-4</v>
      </c>
      <c r="AI468" s="185">
        <v>1.17936201442585E-2</v>
      </c>
      <c r="AJ468" s="185">
        <v>2.4482001649947698E-3</v>
      </c>
    </row>
    <row r="469" spans="1:36">
      <c r="A469" s="9">
        <v>337</v>
      </c>
      <c r="B469" s="9">
        <v>9964</v>
      </c>
      <c r="C469" s="9" t="s">
        <v>2277</v>
      </c>
      <c r="D469" s="9" t="s">
        <v>2278</v>
      </c>
      <c r="E469" s="5" t="s">
        <v>1346</v>
      </c>
      <c r="F469" s="9" t="s">
        <v>2279</v>
      </c>
      <c r="G469" s="9" t="s">
        <v>2280</v>
      </c>
      <c r="H469" s="9" t="s">
        <v>76</v>
      </c>
      <c r="I469" s="9" t="s">
        <v>228</v>
      </c>
      <c r="J469" s="9" t="s">
        <v>53</v>
      </c>
      <c r="K469" s="9" t="s">
        <v>53</v>
      </c>
      <c r="L469" s="9" t="s">
        <v>803</v>
      </c>
      <c r="M469" s="9" t="s">
        <v>311</v>
      </c>
      <c r="N469" s="9" t="s">
        <v>690</v>
      </c>
      <c r="O469" s="9" t="s">
        <v>62</v>
      </c>
      <c r="P469" s="9" t="s">
        <v>2239</v>
      </c>
      <c r="Q469" s="9" t="s">
        <v>65</v>
      </c>
      <c r="R469" s="9" t="s">
        <v>57</v>
      </c>
      <c r="S469" s="9" t="s">
        <v>1259</v>
      </c>
      <c r="T469" s="170">
        <v>2.0840000000000001</v>
      </c>
      <c r="U469" s="9" t="s">
        <v>2281</v>
      </c>
      <c r="V469" s="199">
        <v>2.0400000000000001E-2</v>
      </c>
      <c r="W469" s="185">
        <v>4.8349999999999997E-2</v>
      </c>
      <c r="X469" s="5" t="s">
        <v>618</v>
      </c>
      <c r="Y469" s="5" t="s">
        <v>62</v>
      </c>
      <c r="Z469" s="170">
        <v>45000</v>
      </c>
      <c r="AA469" s="184">
        <v>1</v>
      </c>
      <c r="AB469" s="186">
        <v>95.04</v>
      </c>
      <c r="AC469" s="9"/>
      <c r="AD469" s="170">
        <v>42.768000000000001</v>
      </c>
      <c r="AE469" s="9"/>
      <c r="AF469" s="9"/>
      <c r="AG469" s="9" t="s">
        <v>17</v>
      </c>
      <c r="AH469" s="185">
        <v>1.2E-4</v>
      </c>
      <c r="AI469" s="185">
        <v>5.3061241171668801E-3</v>
      </c>
      <c r="AJ469" s="185">
        <v>1.1014814603346999E-3</v>
      </c>
    </row>
    <row r="470" spans="1:36">
      <c r="A470" s="9">
        <v>337</v>
      </c>
      <c r="B470" s="9">
        <v>9964</v>
      </c>
      <c r="C470" s="9" t="s">
        <v>2282</v>
      </c>
      <c r="D470" s="9" t="s">
        <v>2283</v>
      </c>
      <c r="E470" s="5" t="s">
        <v>1346</v>
      </c>
      <c r="F470" s="9" t="s">
        <v>2284</v>
      </c>
      <c r="G470" s="9" t="s">
        <v>2285</v>
      </c>
      <c r="H470" s="9" t="s">
        <v>76</v>
      </c>
      <c r="I470" s="9" t="s">
        <v>228</v>
      </c>
      <c r="J470" s="9" t="s">
        <v>53</v>
      </c>
      <c r="K470" s="9" t="s">
        <v>53</v>
      </c>
      <c r="L470" s="9" t="s">
        <v>803</v>
      </c>
      <c r="M470" s="9" t="s">
        <v>311</v>
      </c>
      <c r="N470" s="9" t="s">
        <v>690</v>
      </c>
      <c r="O470" s="9" t="s">
        <v>62</v>
      </c>
      <c r="P470" s="9" t="s">
        <v>1607</v>
      </c>
      <c r="Q470" s="9" t="s">
        <v>65</v>
      </c>
      <c r="R470" s="9" t="s">
        <v>57</v>
      </c>
      <c r="S470" s="9" t="s">
        <v>1259</v>
      </c>
      <c r="T470" s="170">
        <v>2.7559999999999998</v>
      </c>
      <c r="U470" s="9" t="s">
        <v>2286</v>
      </c>
      <c r="V470" s="199">
        <v>0.04</v>
      </c>
      <c r="W470" s="185">
        <v>4.7919999999999997E-2</v>
      </c>
      <c r="X470" s="5" t="s">
        <v>618</v>
      </c>
      <c r="Y470" s="5" t="s">
        <v>62</v>
      </c>
      <c r="Z470" s="170">
        <v>24000.01</v>
      </c>
      <c r="AA470" s="184">
        <v>1</v>
      </c>
      <c r="AB470" s="186">
        <v>99.88</v>
      </c>
      <c r="AC470" s="9"/>
      <c r="AD470" s="170">
        <v>23.971</v>
      </c>
      <c r="AE470" s="9"/>
      <c r="AF470" s="9"/>
      <c r="AG470" s="9" t="s">
        <v>17</v>
      </c>
      <c r="AH470" s="185">
        <v>4.1E-5</v>
      </c>
      <c r="AI470" s="185">
        <v>2.9740510530068798E-3</v>
      </c>
      <c r="AJ470" s="185">
        <v>6.1737381648831104E-4</v>
      </c>
    </row>
    <row r="471" spans="1:36">
      <c r="A471" s="9">
        <v>337</v>
      </c>
      <c r="B471" s="9">
        <v>9964</v>
      </c>
      <c r="C471" s="9" t="s">
        <v>2282</v>
      </c>
      <c r="D471" s="9" t="s">
        <v>2283</v>
      </c>
      <c r="E471" s="5" t="s">
        <v>1346</v>
      </c>
      <c r="F471" s="9" t="s">
        <v>2287</v>
      </c>
      <c r="G471" s="9" t="s">
        <v>2288</v>
      </c>
      <c r="H471" s="9" t="s">
        <v>76</v>
      </c>
      <c r="I471" s="9" t="s">
        <v>228</v>
      </c>
      <c r="J471" s="9" t="s">
        <v>53</v>
      </c>
      <c r="K471" s="9" t="s">
        <v>53</v>
      </c>
      <c r="L471" s="9" t="s">
        <v>803</v>
      </c>
      <c r="M471" s="9" t="s">
        <v>311</v>
      </c>
      <c r="N471" s="9" t="s">
        <v>690</v>
      </c>
      <c r="O471" s="9" t="s">
        <v>62</v>
      </c>
      <c r="P471" s="9" t="s">
        <v>1607</v>
      </c>
      <c r="Q471" s="9" t="s">
        <v>65</v>
      </c>
      <c r="R471" s="9" t="s">
        <v>57</v>
      </c>
      <c r="S471" s="9" t="s">
        <v>1259</v>
      </c>
      <c r="T471" s="170">
        <v>4.7830000000000004</v>
      </c>
      <c r="U471" s="9" t="s">
        <v>2289</v>
      </c>
      <c r="V471" s="199">
        <v>2.07E-2</v>
      </c>
      <c r="W471" s="185">
        <v>4.8390000000000002E-2</v>
      </c>
      <c r="X471" s="5" t="s">
        <v>618</v>
      </c>
      <c r="Y471" s="5" t="s">
        <v>62</v>
      </c>
      <c r="Z471" s="170">
        <v>70000</v>
      </c>
      <c r="AA471" s="184">
        <v>1</v>
      </c>
      <c r="AB471" s="186">
        <v>87.83</v>
      </c>
      <c r="AC471" s="9"/>
      <c r="AD471" s="170">
        <v>61.481000000000002</v>
      </c>
      <c r="AE471" s="9"/>
      <c r="AF471" s="9"/>
      <c r="AG471" s="9" t="s">
        <v>17</v>
      </c>
      <c r="AH471" s="185">
        <v>9.6000000000000002E-5</v>
      </c>
      <c r="AI471" s="185">
        <v>7.6278015536741699E-3</v>
      </c>
      <c r="AJ471" s="185">
        <v>1.58343110883927E-3</v>
      </c>
    </row>
    <row r="472" spans="1:36">
      <c r="A472" s="9">
        <v>337</v>
      </c>
      <c r="B472" s="9">
        <v>9964</v>
      </c>
      <c r="C472" s="9" t="s">
        <v>1858</v>
      </c>
      <c r="D472" s="9" t="s">
        <v>1859</v>
      </c>
      <c r="E472" s="5" t="s">
        <v>1346</v>
      </c>
      <c r="F472" s="9" t="s">
        <v>2290</v>
      </c>
      <c r="G472" s="9" t="s">
        <v>2291</v>
      </c>
      <c r="H472" s="9" t="s">
        <v>76</v>
      </c>
      <c r="I472" s="9" t="s">
        <v>229</v>
      </c>
      <c r="J472" s="9" t="s">
        <v>53</v>
      </c>
      <c r="K472" s="9" t="s">
        <v>53</v>
      </c>
      <c r="L472" s="9" t="s">
        <v>803</v>
      </c>
      <c r="M472" s="9" t="s">
        <v>311</v>
      </c>
      <c r="N472" s="9" t="s">
        <v>633</v>
      </c>
      <c r="O472" s="9" t="s">
        <v>62</v>
      </c>
      <c r="P472" s="9" t="s">
        <v>2246</v>
      </c>
      <c r="Q472" s="9" t="s">
        <v>65</v>
      </c>
      <c r="R472" s="9" t="s">
        <v>57</v>
      </c>
      <c r="S472" s="9" t="s">
        <v>1259</v>
      </c>
      <c r="T472" s="170">
        <v>2.5790000000000002</v>
      </c>
      <c r="U472" s="9" t="s">
        <v>2292</v>
      </c>
      <c r="V472" s="199">
        <v>1.14E-2</v>
      </c>
      <c r="W472" s="185">
        <v>2.819E-2</v>
      </c>
      <c r="X472" s="5" t="s">
        <v>618</v>
      </c>
      <c r="Y472" s="5" t="s">
        <v>62</v>
      </c>
      <c r="Z472" s="170">
        <v>100000</v>
      </c>
      <c r="AA472" s="184">
        <v>1</v>
      </c>
      <c r="AB472" s="186">
        <v>111.43</v>
      </c>
      <c r="AC472" s="9"/>
      <c r="AD472" s="170">
        <v>111.43</v>
      </c>
      <c r="AE472" s="9"/>
      <c r="AF472" s="9"/>
      <c r="AG472" s="9" t="s">
        <v>17</v>
      </c>
      <c r="AH472" s="185">
        <v>4.1999999999999998E-5</v>
      </c>
      <c r="AI472" s="185">
        <v>1.38248552744086E-2</v>
      </c>
      <c r="AJ472" s="185">
        <v>2.8698578171786398E-3</v>
      </c>
    </row>
    <row r="473" spans="1:36">
      <c r="A473" s="9">
        <v>337</v>
      </c>
      <c r="B473" s="9">
        <v>9964</v>
      </c>
      <c r="C473" s="9" t="s">
        <v>1858</v>
      </c>
      <c r="D473" s="9" t="s">
        <v>1859</v>
      </c>
      <c r="E473" s="5" t="s">
        <v>1346</v>
      </c>
      <c r="F473" s="9" t="s">
        <v>2773</v>
      </c>
      <c r="G473" s="9" t="s">
        <v>2774</v>
      </c>
      <c r="H473" s="9" t="s">
        <v>76</v>
      </c>
      <c r="I473" s="9" t="s">
        <v>228</v>
      </c>
      <c r="J473" s="9" t="s">
        <v>53</v>
      </c>
      <c r="K473" s="9" t="s">
        <v>53</v>
      </c>
      <c r="L473" s="9" t="s">
        <v>803</v>
      </c>
      <c r="M473" s="9" t="s">
        <v>311</v>
      </c>
      <c r="N473" s="9" t="s">
        <v>633</v>
      </c>
      <c r="O473" s="9" t="s">
        <v>62</v>
      </c>
      <c r="P473" s="9" t="s">
        <v>2246</v>
      </c>
      <c r="Q473" s="9" t="s">
        <v>65</v>
      </c>
      <c r="R473" s="9" t="s">
        <v>57</v>
      </c>
      <c r="S473" s="9" t="s">
        <v>1259</v>
      </c>
      <c r="T473" s="170">
        <v>4.6719999999999997</v>
      </c>
      <c r="U473" s="9" t="s">
        <v>2775</v>
      </c>
      <c r="V473" s="199">
        <v>2.4400000000000002E-2</v>
      </c>
      <c r="W473" s="185">
        <v>4.7059999999999998E-2</v>
      </c>
      <c r="X473" s="5" t="s">
        <v>618</v>
      </c>
      <c r="Y473" s="5" t="s">
        <v>62</v>
      </c>
      <c r="Z473" s="170">
        <v>69388</v>
      </c>
      <c r="AA473" s="184">
        <v>1</v>
      </c>
      <c r="AB473" s="186">
        <v>91.3</v>
      </c>
      <c r="AC473" s="9"/>
      <c r="AD473" s="170">
        <v>63.350999999999999</v>
      </c>
      <c r="AE473" s="9"/>
      <c r="AF473" s="9"/>
      <c r="AG473" s="9" t="s">
        <v>17</v>
      </c>
      <c r="AH473" s="185">
        <v>5.7000000000000003E-5</v>
      </c>
      <c r="AI473" s="185">
        <v>7.8598382819146002E-3</v>
      </c>
      <c r="AJ473" s="185">
        <v>1.6315988766166299E-3</v>
      </c>
    </row>
    <row r="474" spans="1:36">
      <c r="A474" s="9">
        <v>337</v>
      </c>
      <c r="B474" s="9">
        <v>9964</v>
      </c>
      <c r="C474" s="9" t="s">
        <v>2293</v>
      </c>
      <c r="D474" s="9" t="s">
        <v>2294</v>
      </c>
      <c r="E474" s="5" t="s">
        <v>1346</v>
      </c>
      <c r="F474" s="9" t="s">
        <v>2295</v>
      </c>
      <c r="G474" s="9" t="s">
        <v>2296</v>
      </c>
      <c r="H474" s="9" t="s">
        <v>76</v>
      </c>
      <c r="I474" s="9" t="s">
        <v>228</v>
      </c>
      <c r="J474" s="9" t="s">
        <v>53</v>
      </c>
      <c r="K474" s="9" t="s">
        <v>53</v>
      </c>
      <c r="L474" s="9" t="s">
        <v>803</v>
      </c>
      <c r="M474" s="9" t="s">
        <v>311</v>
      </c>
      <c r="N474" s="9" t="s">
        <v>633</v>
      </c>
      <c r="O474" s="9" t="s">
        <v>62</v>
      </c>
      <c r="P474" s="167" t="s">
        <v>298</v>
      </c>
      <c r="Q474" s="9" t="s">
        <v>298</v>
      </c>
      <c r="R474" s="9" t="s">
        <v>298</v>
      </c>
      <c r="S474" s="9" t="s">
        <v>1259</v>
      </c>
      <c r="T474" s="170">
        <v>0.45500000000000002</v>
      </c>
      <c r="U474" s="9" t="s">
        <v>2297</v>
      </c>
      <c r="V474" s="199">
        <v>6.5000000000000002E-2</v>
      </c>
      <c r="W474" s="185">
        <v>7.2859999999999994E-2</v>
      </c>
      <c r="X474" s="5" t="s">
        <v>618</v>
      </c>
      <c r="Y474" s="5" t="s">
        <v>62</v>
      </c>
      <c r="Z474" s="170">
        <v>34296</v>
      </c>
      <c r="AA474" s="184">
        <v>1</v>
      </c>
      <c r="AB474" s="186">
        <v>100</v>
      </c>
      <c r="AC474" s="9"/>
      <c r="AD474" s="170">
        <v>34.295999999999999</v>
      </c>
      <c r="AE474" s="9"/>
      <c r="AF474" s="9"/>
      <c r="AG474" s="9" t="s">
        <v>17</v>
      </c>
      <c r="AH474" s="185">
        <v>6.2399999999999999E-4</v>
      </c>
      <c r="AI474" s="185">
        <v>4.2550232118021697E-3</v>
      </c>
      <c r="AJ474" s="185">
        <v>8.8328676027962501E-4</v>
      </c>
    </row>
    <row r="475" spans="1:36">
      <c r="A475" s="9">
        <v>337</v>
      </c>
      <c r="B475" s="9">
        <v>9964</v>
      </c>
      <c r="C475" s="9" t="s">
        <v>1862</v>
      </c>
      <c r="D475" s="9" t="s">
        <v>1863</v>
      </c>
      <c r="E475" s="5" t="s">
        <v>1346</v>
      </c>
      <c r="F475" s="9" t="s">
        <v>2298</v>
      </c>
      <c r="G475" s="9" t="s">
        <v>2299</v>
      </c>
      <c r="H475" s="9" t="s">
        <v>76</v>
      </c>
      <c r="I475" s="9" t="s">
        <v>228</v>
      </c>
      <c r="J475" s="9" t="s">
        <v>53</v>
      </c>
      <c r="K475" s="9" t="s">
        <v>314</v>
      </c>
      <c r="L475" s="9" t="s">
        <v>803</v>
      </c>
      <c r="M475" s="9" t="s">
        <v>311</v>
      </c>
      <c r="N475" s="9" t="s">
        <v>629</v>
      </c>
      <c r="O475" s="9" t="s">
        <v>62</v>
      </c>
      <c r="P475" s="9" t="s">
        <v>2225</v>
      </c>
      <c r="Q475" s="9" t="s">
        <v>70</v>
      </c>
      <c r="R475" s="9" t="s">
        <v>57</v>
      </c>
      <c r="S475" s="9" t="s">
        <v>1259</v>
      </c>
      <c r="T475" s="170">
        <v>1.01</v>
      </c>
      <c r="U475" s="9" t="s">
        <v>2300</v>
      </c>
      <c r="V475" s="199">
        <v>3.4500000000000003E-2</v>
      </c>
      <c r="W475" s="185">
        <v>4.7660000000000001E-2</v>
      </c>
      <c r="X475" s="5" t="s">
        <v>618</v>
      </c>
      <c r="Y475" s="5" t="s">
        <v>62</v>
      </c>
      <c r="Z475" s="170">
        <v>55434.79</v>
      </c>
      <c r="AA475" s="184">
        <v>1</v>
      </c>
      <c r="AB475" s="186">
        <v>99.89</v>
      </c>
      <c r="AC475" s="9"/>
      <c r="AD475" s="170">
        <v>55.374000000000002</v>
      </c>
      <c r="AE475" s="9"/>
      <c r="AF475" s="9"/>
      <c r="AG475" s="9" t="s">
        <v>17</v>
      </c>
      <c r="AH475" s="185">
        <v>8.6000000000000003E-5</v>
      </c>
      <c r="AI475" s="185">
        <v>6.8700972195407202E-3</v>
      </c>
      <c r="AJ475" s="185">
        <v>1.42614167157129E-3</v>
      </c>
    </row>
    <row r="476" spans="1:36">
      <c r="A476" s="9">
        <v>337</v>
      </c>
      <c r="B476" s="9">
        <v>9964</v>
      </c>
      <c r="C476" s="9" t="s">
        <v>1862</v>
      </c>
      <c r="D476" s="9" t="s">
        <v>1863</v>
      </c>
      <c r="E476" s="5" t="s">
        <v>1346</v>
      </c>
      <c r="F476" s="9" t="s">
        <v>2301</v>
      </c>
      <c r="G476" s="9" t="s">
        <v>2302</v>
      </c>
      <c r="H476" s="9" t="s">
        <v>76</v>
      </c>
      <c r="I476" s="9" t="s">
        <v>228</v>
      </c>
      <c r="J476" s="9" t="s">
        <v>53</v>
      </c>
      <c r="K476" s="9" t="s">
        <v>314</v>
      </c>
      <c r="L476" s="9" t="s">
        <v>803</v>
      </c>
      <c r="M476" s="9" t="s">
        <v>311</v>
      </c>
      <c r="N476" s="9" t="s">
        <v>629</v>
      </c>
      <c r="O476" s="9" t="s">
        <v>62</v>
      </c>
      <c r="P476" s="9" t="s">
        <v>2225</v>
      </c>
      <c r="Q476" s="9" t="s">
        <v>70</v>
      </c>
      <c r="R476" s="9" t="s">
        <v>57</v>
      </c>
      <c r="S476" s="9" t="s">
        <v>1259</v>
      </c>
      <c r="T476" s="170">
        <v>3.0470000000000002</v>
      </c>
      <c r="U476" s="9" t="s">
        <v>2303</v>
      </c>
      <c r="V476" s="199">
        <v>1.4999999999999999E-2</v>
      </c>
      <c r="W476" s="185">
        <v>5.0639999999999998E-2</v>
      </c>
      <c r="X476" s="5" t="s">
        <v>618</v>
      </c>
      <c r="Y476" s="5" t="s">
        <v>62</v>
      </c>
      <c r="Z476" s="170">
        <v>150000</v>
      </c>
      <c r="AA476" s="184">
        <v>1</v>
      </c>
      <c r="AB476" s="186">
        <v>90.42</v>
      </c>
      <c r="AC476" s="9"/>
      <c r="AD476" s="170">
        <v>135.63</v>
      </c>
      <c r="AE476" s="9"/>
      <c r="AF476" s="9"/>
      <c r="AG476" s="9" t="s">
        <v>17</v>
      </c>
      <c r="AH476" s="185">
        <v>1.27E-4</v>
      </c>
      <c r="AI476" s="185">
        <v>1.68272917604598E-2</v>
      </c>
      <c r="AJ476" s="185">
        <v>3.49312407559848E-3</v>
      </c>
    </row>
    <row r="477" spans="1:36">
      <c r="A477" s="9">
        <v>337</v>
      </c>
      <c r="B477" s="9">
        <v>9964</v>
      </c>
      <c r="C477" s="9" t="s">
        <v>1870</v>
      </c>
      <c r="D477" s="9" t="s">
        <v>1871</v>
      </c>
      <c r="E477" s="5" t="s">
        <v>1346</v>
      </c>
      <c r="F477" s="9" t="s">
        <v>2304</v>
      </c>
      <c r="G477" s="9" t="s">
        <v>2305</v>
      </c>
      <c r="H477" s="9" t="s">
        <v>76</v>
      </c>
      <c r="I477" s="9" t="s">
        <v>228</v>
      </c>
      <c r="J477" s="9" t="s">
        <v>53</v>
      </c>
      <c r="K477" s="9" t="s">
        <v>53</v>
      </c>
      <c r="L477" s="9" t="s">
        <v>803</v>
      </c>
      <c r="M477" s="9" t="s">
        <v>311</v>
      </c>
      <c r="N477" s="9" t="s">
        <v>629</v>
      </c>
      <c r="O477" s="9" t="s">
        <v>62</v>
      </c>
      <c r="P477" s="9" t="s">
        <v>1614</v>
      </c>
      <c r="Q477" s="9" t="s">
        <v>65</v>
      </c>
      <c r="R477" s="9" t="s">
        <v>57</v>
      </c>
      <c r="S477" s="9" t="s">
        <v>1259</v>
      </c>
      <c r="T477" s="170">
        <v>2.415</v>
      </c>
      <c r="U477" s="9" t="s">
        <v>2306</v>
      </c>
      <c r="V477" s="199">
        <v>2.0500000000000001E-2</v>
      </c>
      <c r="W477" s="185">
        <v>5.0180000000000002E-2</v>
      </c>
      <c r="X477" s="5" t="s">
        <v>618</v>
      </c>
      <c r="Y477" s="5" t="s">
        <v>62</v>
      </c>
      <c r="Z477" s="170">
        <v>53000</v>
      </c>
      <c r="AA477" s="184">
        <v>1</v>
      </c>
      <c r="AB477" s="186">
        <v>94.03</v>
      </c>
      <c r="AC477" s="9"/>
      <c r="AD477" s="170">
        <v>49.835999999999999</v>
      </c>
      <c r="AE477" s="9"/>
      <c r="AF477" s="9"/>
      <c r="AG477" s="9" t="s">
        <v>17</v>
      </c>
      <c r="AH477" s="185">
        <v>5.5000000000000002E-5</v>
      </c>
      <c r="AI477" s="185">
        <v>6.1830216725289201E-3</v>
      </c>
      <c r="AJ477" s="185">
        <v>1.2835138399993999E-3</v>
      </c>
    </row>
    <row r="478" spans="1:36">
      <c r="A478" s="9">
        <v>337</v>
      </c>
      <c r="B478" s="9">
        <v>9964</v>
      </c>
      <c r="C478" s="9" t="s">
        <v>1870</v>
      </c>
      <c r="D478" s="9" t="s">
        <v>1871</v>
      </c>
      <c r="E478" s="5" t="s">
        <v>1346</v>
      </c>
      <c r="F478" s="9" t="s">
        <v>2307</v>
      </c>
      <c r="G478" s="9" t="s">
        <v>2308</v>
      </c>
      <c r="H478" s="9" t="s">
        <v>76</v>
      </c>
      <c r="I478" s="9" t="s">
        <v>605</v>
      </c>
      <c r="J478" s="9" t="s">
        <v>53</v>
      </c>
      <c r="K478" s="9" t="s">
        <v>53</v>
      </c>
      <c r="L478" s="9" t="s">
        <v>803</v>
      </c>
      <c r="M478" s="9" t="s">
        <v>311</v>
      </c>
      <c r="N478" s="9" t="s">
        <v>629</v>
      </c>
      <c r="O478" s="9" t="s">
        <v>62</v>
      </c>
      <c r="P478" s="9" t="s">
        <v>1614</v>
      </c>
      <c r="Q478" s="9" t="s">
        <v>65</v>
      </c>
      <c r="R478" s="9" t="s">
        <v>57</v>
      </c>
      <c r="S478" s="9" t="s">
        <v>1259</v>
      </c>
      <c r="T478" s="170">
        <v>2.0760000000000001</v>
      </c>
      <c r="U478" s="9" t="s">
        <v>2309</v>
      </c>
      <c r="V478" s="199">
        <v>1.25E-3</v>
      </c>
      <c r="W478" s="185">
        <v>4.8520000000000001E-2</v>
      </c>
      <c r="X478" s="5" t="s">
        <v>618</v>
      </c>
      <c r="Y478" s="5" t="s">
        <v>62</v>
      </c>
      <c r="Z478" s="170">
        <v>16000</v>
      </c>
      <c r="AA478" s="184">
        <v>1</v>
      </c>
      <c r="AB478" s="186">
        <v>91.2</v>
      </c>
      <c r="AC478" s="9"/>
      <c r="AD478" s="170">
        <v>14.592000000000001</v>
      </c>
      <c r="AE478" s="9"/>
      <c r="AF478" s="9"/>
      <c r="AG478" s="9" t="s">
        <v>17</v>
      </c>
      <c r="AH478" s="185">
        <v>2.8E-5</v>
      </c>
      <c r="AI478" s="185">
        <v>1.81039476051485E-3</v>
      </c>
      <c r="AJ478" s="185">
        <v>3.7581410094472499E-4</v>
      </c>
    </row>
    <row r="479" spans="1:36">
      <c r="A479" s="9">
        <v>337</v>
      </c>
      <c r="B479" s="9">
        <v>9964</v>
      </c>
      <c r="C479" s="9" t="s">
        <v>2310</v>
      </c>
      <c r="D479" s="9" t="s">
        <v>2311</v>
      </c>
      <c r="E479" s="5" t="s">
        <v>1346</v>
      </c>
      <c r="F479" s="9" t="s">
        <v>2312</v>
      </c>
      <c r="G479" s="9" t="s">
        <v>2313</v>
      </c>
      <c r="H479" s="9" t="s">
        <v>76</v>
      </c>
      <c r="I479" s="9" t="s">
        <v>229</v>
      </c>
      <c r="J479" s="9" t="s">
        <v>53</v>
      </c>
      <c r="K479" s="9" t="s">
        <v>53</v>
      </c>
      <c r="L479" s="9" t="s">
        <v>803</v>
      </c>
      <c r="M479" s="9" t="s">
        <v>311</v>
      </c>
      <c r="N479" s="9" t="s">
        <v>631</v>
      </c>
      <c r="O479" s="9" t="s">
        <v>62</v>
      </c>
      <c r="P479" s="9" t="s">
        <v>2314</v>
      </c>
      <c r="Q479" s="9" t="s">
        <v>70</v>
      </c>
      <c r="R479" s="9" t="s">
        <v>57</v>
      </c>
      <c r="S479" s="9" t="s">
        <v>1259</v>
      </c>
      <c r="T479" s="170">
        <v>1.2310000000000001</v>
      </c>
      <c r="U479" s="9" t="s">
        <v>1615</v>
      </c>
      <c r="V479" s="199">
        <v>1.2500000000000001E-2</v>
      </c>
      <c r="W479" s="185">
        <v>3.8019999999999998E-2</v>
      </c>
      <c r="X479" s="5" t="s">
        <v>618</v>
      </c>
      <c r="Y479" s="5" t="s">
        <v>62</v>
      </c>
      <c r="Z479" s="170">
        <v>0.66</v>
      </c>
      <c r="AA479" s="184">
        <v>1</v>
      </c>
      <c r="AB479" s="186">
        <v>107.48</v>
      </c>
      <c r="AC479" s="9"/>
      <c r="AD479" s="170">
        <v>1E-3</v>
      </c>
      <c r="AE479" s="9"/>
      <c r="AF479" s="9"/>
      <c r="AG479" s="9" t="s">
        <v>17</v>
      </c>
      <c r="AH479" s="185">
        <v>0</v>
      </c>
      <c r="AI479" s="185">
        <v>8.8009601869305004E-8</v>
      </c>
      <c r="AJ479" s="185">
        <v>1.8269633851353999E-8</v>
      </c>
    </row>
    <row r="480" spans="1:36">
      <c r="A480" s="9">
        <v>337</v>
      </c>
      <c r="B480" s="9">
        <v>9964</v>
      </c>
      <c r="C480" s="9" t="s">
        <v>2315</v>
      </c>
      <c r="D480" s="9" t="s">
        <v>2316</v>
      </c>
      <c r="E480" s="5" t="s">
        <v>1346</v>
      </c>
      <c r="F480" s="9" t="s">
        <v>2317</v>
      </c>
      <c r="G480" s="9" t="s">
        <v>2318</v>
      </c>
      <c r="H480" s="9" t="s">
        <v>76</v>
      </c>
      <c r="I480" s="9" t="s">
        <v>229</v>
      </c>
      <c r="J480" s="9" t="s">
        <v>53</v>
      </c>
      <c r="K480" s="9" t="s">
        <v>53</v>
      </c>
      <c r="L480" s="9" t="s">
        <v>803</v>
      </c>
      <c r="M480" s="9" t="s">
        <v>311</v>
      </c>
      <c r="N480" s="9" t="s">
        <v>634</v>
      </c>
      <c r="O480" s="9" t="s">
        <v>62</v>
      </c>
      <c r="P480" s="9" t="s">
        <v>1607</v>
      </c>
      <c r="Q480" s="9" t="s">
        <v>65</v>
      </c>
      <c r="R480" s="9" t="s">
        <v>57</v>
      </c>
      <c r="S480" s="9" t="s">
        <v>1259</v>
      </c>
      <c r="T480" s="170">
        <v>3.4340000000000002</v>
      </c>
      <c r="U480" s="9" t="s">
        <v>2273</v>
      </c>
      <c r="V480" s="199">
        <v>1.09E-2</v>
      </c>
      <c r="W480" s="185">
        <v>3.0700000000000002E-2</v>
      </c>
      <c r="X480" s="5" t="s">
        <v>618</v>
      </c>
      <c r="Y480" s="5" t="s">
        <v>62</v>
      </c>
      <c r="Z480" s="170">
        <v>34000</v>
      </c>
      <c r="AA480" s="184">
        <v>1</v>
      </c>
      <c r="AB480" s="186">
        <v>107.99</v>
      </c>
      <c r="AC480" s="9"/>
      <c r="AD480" s="170">
        <v>36.716999999999999</v>
      </c>
      <c r="AE480" s="9"/>
      <c r="AF480" s="9"/>
      <c r="AG480" s="9" t="s">
        <v>17</v>
      </c>
      <c r="AH480" s="185">
        <v>4.8000000000000001E-5</v>
      </c>
      <c r="AI480" s="185">
        <v>4.5553413009813302E-3</v>
      </c>
      <c r="AJ480" s="185">
        <v>9.4562883900405005E-4</v>
      </c>
    </row>
    <row r="481" spans="1:36">
      <c r="A481" s="9">
        <v>337</v>
      </c>
      <c r="B481" s="9">
        <v>9964</v>
      </c>
      <c r="C481" s="9" t="s">
        <v>2315</v>
      </c>
      <c r="D481" s="9" t="s">
        <v>2316</v>
      </c>
      <c r="E481" s="5" t="s">
        <v>1346</v>
      </c>
      <c r="F481" s="9" t="s">
        <v>2319</v>
      </c>
      <c r="G481" s="9" t="s">
        <v>2320</v>
      </c>
      <c r="H481" s="9" t="s">
        <v>76</v>
      </c>
      <c r="I481" s="9" t="s">
        <v>229</v>
      </c>
      <c r="J481" s="9" t="s">
        <v>53</v>
      </c>
      <c r="K481" s="9" t="s">
        <v>53</v>
      </c>
      <c r="L481" s="9" t="s">
        <v>803</v>
      </c>
      <c r="M481" s="9" t="s">
        <v>1691</v>
      </c>
      <c r="N481" s="9" t="s">
        <v>634</v>
      </c>
      <c r="O481" s="9" t="s">
        <v>62</v>
      </c>
      <c r="P481" s="9" t="s">
        <v>1607</v>
      </c>
      <c r="Q481" s="9" t="s">
        <v>65</v>
      </c>
      <c r="R481" s="9" t="s">
        <v>57</v>
      </c>
      <c r="S481" s="9" t="s">
        <v>1259</v>
      </c>
      <c r="T481" s="170">
        <v>6.5960000000000001</v>
      </c>
      <c r="U481" s="9" t="s">
        <v>2321</v>
      </c>
      <c r="V481" s="199">
        <v>4.02E-2</v>
      </c>
      <c r="W481" s="185">
        <v>3.245E-2</v>
      </c>
      <c r="X481" s="5" t="s">
        <v>618</v>
      </c>
      <c r="Y481" s="5" t="s">
        <v>62</v>
      </c>
      <c r="Z481" s="170">
        <v>53000</v>
      </c>
      <c r="AA481" s="184">
        <v>1</v>
      </c>
      <c r="AB481" s="186">
        <v>108.93</v>
      </c>
      <c r="AC481" s="9"/>
      <c r="AD481" s="170">
        <v>57.732999999999997</v>
      </c>
      <c r="AE481" s="9"/>
      <c r="AF481" s="9"/>
      <c r="AG481" s="9" t="s">
        <v>17</v>
      </c>
      <c r="AH481" s="185">
        <v>6.6000000000000005E-5</v>
      </c>
      <c r="AI481" s="185">
        <v>7.1627836944440698E-3</v>
      </c>
      <c r="AJ481" s="185">
        <v>1.4868995277159899E-3</v>
      </c>
    </row>
    <row r="482" spans="1:36">
      <c r="A482" s="9">
        <v>337</v>
      </c>
      <c r="B482" s="9">
        <v>9964</v>
      </c>
      <c r="C482" s="9" t="s">
        <v>2322</v>
      </c>
      <c r="D482" s="9" t="s">
        <v>2323</v>
      </c>
      <c r="E482" s="5" t="s">
        <v>1346</v>
      </c>
      <c r="F482" s="9" t="s">
        <v>2324</v>
      </c>
      <c r="G482" s="9" t="s">
        <v>2325</v>
      </c>
      <c r="H482" s="9" t="s">
        <v>76</v>
      </c>
      <c r="I482" s="9" t="s">
        <v>228</v>
      </c>
      <c r="J482" s="9" t="s">
        <v>53</v>
      </c>
      <c r="K482" s="9" t="s">
        <v>53</v>
      </c>
      <c r="L482" s="9" t="s">
        <v>803</v>
      </c>
      <c r="M482" s="9" t="s">
        <v>311</v>
      </c>
      <c r="N482" s="9" t="s">
        <v>140</v>
      </c>
      <c r="O482" s="9" t="s">
        <v>62</v>
      </c>
      <c r="P482" s="167" t="s">
        <v>298</v>
      </c>
      <c r="Q482" s="9" t="s">
        <v>298</v>
      </c>
      <c r="R482" s="9" t="s">
        <v>298</v>
      </c>
      <c r="S482" s="9" t="s">
        <v>1259</v>
      </c>
      <c r="T482" s="170">
        <v>1.4359999999999999</v>
      </c>
      <c r="U482" s="9" t="s">
        <v>1615</v>
      </c>
      <c r="V482" s="199">
        <v>8.5000000000000006E-2</v>
      </c>
      <c r="W482" s="185">
        <v>5.4870000000000002E-2</v>
      </c>
      <c r="X482" s="5" t="s">
        <v>618</v>
      </c>
      <c r="Y482" s="5" t="s">
        <v>62</v>
      </c>
      <c r="Z482" s="170">
        <v>29000</v>
      </c>
      <c r="AA482" s="184">
        <v>1</v>
      </c>
      <c r="AB482" s="186">
        <v>104.4</v>
      </c>
      <c r="AC482" s="9"/>
      <c r="AD482" s="170">
        <v>30.276</v>
      </c>
      <c r="AE482" s="9"/>
      <c r="AF482" s="9"/>
      <c r="AG482" s="9" t="s">
        <v>17</v>
      </c>
      <c r="AH482" s="185">
        <v>2.23E-4</v>
      </c>
      <c r="AI482" s="185">
        <v>3.7562713657721802E-3</v>
      </c>
      <c r="AJ482" s="185">
        <v>7.7975244793054399E-4</v>
      </c>
    </row>
    <row r="483" spans="1:36">
      <c r="A483" s="9">
        <v>337</v>
      </c>
      <c r="B483" s="9">
        <v>9964</v>
      </c>
      <c r="C483" s="9" t="s">
        <v>2326</v>
      </c>
      <c r="D483" s="9" t="s">
        <v>2327</v>
      </c>
      <c r="E483" s="5" t="s">
        <v>1346</v>
      </c>
      <c r="F483" s="9" t="s">
        <v>2328</v>
      </c>
      <c r="G483" s="9" t="s">
        <v>2329</v>
      </c>
      <c r="H483" s="9" t="s">
        <v>76</v>
      </c>
      <c r="I483" s="9" t="s">
        <v>229</v>
      </c>
      <c r="J483" s="9" t="s">
        <v>53</v>
      </c>
      <c r="K483" s="9" t="s">
        <v>53</v>
      </c>
      <c r="L483" s="9" t="s">
        <v>803</v>
      </c>
      <c r="M483" s="9" t="s">
        <v>311</v>
      </c>
      <c r="N483" s="9" t="s">
        <v>690</v>
      </c>
      <c r="O483" s="9" t="s">
        <v>62</v>
      </c>
      <c r="P483" s="9" t="s">
        <v>2330</v>
      </c>
      <c r="Q483" s="9" t="s">
        <v>65</v>
      </c>
      <c r="R483" s="9" t="s">
        <v>57</v>
      </c>
      <c r="S483" s="9" t="s">
        <v>1259</v>
      </c>
      <c r="T483" s="170">
        <v>2.2010000000000001</v>
      </c>
      <c r="U483" s="9" t="s">
        <v>2331</v>
      </c>
      <c r="V483" s="199">
        <v>2.8799999999999999E-2</v>
      </c>
      <c r="W483" s="185">
        <v>3.0429999999999999E-2</v>
      </c>
      <c r="X483" s="5" t="s">
        <v>618</v>
      </c>
      <c r="Y483" s="5" t="s">
        <v>62</v>
      </c>
      <c r="Z483" s="170">
        <v>45111.11</v>
      </c>
      <c r="AA483" s="184">
        <v>1</v>
      </c>
      <c r="AB483" s="186">
        <v>117.53</v>
      </c>
      <c r="AC483" s="9"/>
      <c r="AD483" s="170">
        <v>53.018999999999998</v>
      </c>
      <c r="AE483" s="9"/>
      <c r="AF483" s="9"/>
      <c r="AG483" s="9" t="s">
        <v>17</v>
      </c>
      <c r="AH483" s="185">
        <v>1.9900000000000001E-4</v>
      </c>
      <c r="AI483" s="185">
        <v>6.5779521907580298E-3</v>
      </c>
      <c r="AJ483" s="185">
        <v>1.3654962125078699E-3</v>
      </c>
    </row>
    <row r="484" spans="1:36">
      <c r="A484" s="9">
        <v>337</v>
      </c>
      <c r="B484" s="9">
        <v>9964</v>
      </c>
      <c r="C484" s="9" t="s">
        <v>2332</v>
      </c>
      <c r="D484" s="9" t="s">
        <v>2333</v>
      </c>
      <c r="E484" s="5" t="s">
        <v>1346</v>
      </c>
      <c r="F484" s="9" t="s">
        <v>2334</v>
      </c>
      <c r="G484" s="9" t="s">
        <v>2335</v>
      </c>
      <c r="H484" s="9" t="s">
        <v>76</v>
      </c>
      <c r="I484" s="9" t="s">
        <v>228</v>
      </c>
      <c r="J484" s="9" t="s">
        <v>53</v>
      </c>
      <c r="K484" s="9" t="s">
        <v>53</v>
      </c>
      <c r="L484" s="9" t="s">
        <v>803</v>
      </c>
      <c r="M484" s="9" t="s">
        <v>311</v>
      </c>
      <c r="N484" s="9" t="s">
        <v>690</v>
      </c>
      <c r="O484" s="9" t="s">
        <v>62</v>
      </c>
      <c r="P484" s="9" t="s">
        <v>2246</v>
      </c>
      <c r="Q484" s="9" t="s">
        <v>65</v>
      </c>
      <c r="R484" s="9" t="s">
        <v>57</v>
      </c>
      <c r="S484" s="9" t="s">
        <v>1259</v>
      </c>
      <c r="T484" s="170">
        <v>5.8239999999999998</v>
      </c>
      <c r="U484" s="9" t="s">
        <v>2336</v>
      </c>
      <c r="V484" s="199">
        <v>5.3100000000000001E-2</v>
      </c>
      <c r="W484" s="185">
        <v>4.8070000000000002E-2</v>
      </c>
      <c r="X484" s="5" t="s">
        <v>618</v>
      </c>
      <c r="Y484" s="5" t="s">
        <v>62</v>
      </c>
      <c r="Z484" s="170">
        <v>17000</v>
      </c>
      <c r="AA484" s="184">
        <v>1</v>
      </c>
      <c r="AB484" s="186">
        <v>105.58</v>
      </c>
      <c r="AC484" s="9"/>
      <c r="AD484" s="170">
        <v>17.949000000000002</v>
      </c>
      <c r="AE484" s="9"/>
      <c r="AF484" s="9"/>
      <c r="AG484" s="9" t="s">
        <v>17</v>
      </c>
      <c r="AH484" s="185">
        <v>5.3000000000000001E-5</v>
      </c>
      <c r="AI484" s="185">
        <v>2.2268401451875598E-3</v>
      </c>
      <c r="AJ484" s="185">
        <v>4.62262676275801E-4</v>
      </c>
    </row>
    <row r="485" spans="1:36">
      <c r="A485" s="9">
        <v>337</v>
      </c>
      <c r="B485" s="9">
        <v>9964</v>
      </c>
      <c r="C485" s="9" t="s">
        <v>2337</v>
      </c>
      <c r="D485" s="9" t="s">
        <v>2338</v>
      </c>
      <c r="E485" s="5" t="s">
        <v>765</v>
      </c>
      <c r="F485" s="9" t="s">
        <v>2339</v>
      </c>
      <c r="G485" s="9" t="s">
        <v>2340</v>
      </c>
      <c r="H485" s="9" t="s">
        <v>76</v>
      </c>
      <c r="I485" s="9" t="s">
        <v>228</v>
      </c>
      <c r="J485" s="9" t="s">
        <v>53</v>
      </c>
      <c r="K485" s="9" t="s">
        <v>53</v>
      </c>
      <c r="L485" s="9" t="s">
        <v>803</v>
      </c>
      <c r="M485" s="9" t="s">
        <v>311</v>
      </c>
      <c r="N485" s="9" t="s">
        <v>634</v>
      </c>
      <c r="O485" s="9" t="s">
        <v>62</v>
      </c>
      <c r="P485" s="9" t="s">
        <v>2314</v>
      </c>
      <c r="Q485" s="9" t="s">
        <v>70</v>
      </c>
      <c r="R485" s="9" t="s">
        <v>57</v>
      </c>
      <c r="S485" s="9" t="s">
        <v>1259</v>
      </c>
      <c r="T485" s="170">
        <v>0.72799999999999998</v>
      </c>
      <c r="U485" s="9" t="s">
        <v>2341</v>
      </c>
      <c r="V485" s="199">
        <v>7.0000000000000007E-2</v>
      </c>
      <c r="W485" s="185">
        <v>5.9749999999999998E-2</v>
      </c>
      <c r="X485" s="5" t="s">
        <v>618</v>
      </c>
      <c r="Y485" s="5" t="s">
        <v>62</v>
      </c>
      <c r="Z485" s="170">
        <v>0.17</v>
      </c>
      <c r="AA485" s="184">
        <v>1</v>
      </c>
      <c r="AB485" s="186">
        <v>102.57</v>
      </c>
      <c r="AC485" s="9"/>
      <c r="AD485" s="170">
        <v>0</v>
      </c>
      <c r="AE485" s="9"/>
      <c r="AF485" s="9"/>
      <c r="AG485" s="9" t="s">
        <v>17</v>
      </c>
      <c r="AH485" s="185">
        <v>0</v>
      </c>
      <c r="AI485" s="185">
        <v>2.1633547422986199E-8</v>
      </c>
      <c r="AJ485" s="185">
        <v>4.4908394303475001E-9</v>
      </c>
    </row>
    <row r="486" spans="1:36">
      <c r="A486" s="9">
        <v>337</v>
      </c>
      <c r="B486" s="9">
        <v>9964</v>
      </c>
      <c r="C486" s="9" t="s">
        <v>2248</v>
      </c>
      <c r="D486" s="9" t="s">
        <v>2249</v>
      </c>
      <c r="E486" s="5" t="s">
        <v>1346</v>
      </c>
      <c r="F486" s="9" t="s">
        <v>2347</v>
      </c>
      <c r="G486" s="9" t="s">
        <v>2348</v>
      </c>
      <c r="H486" s="9" t="s">
        <v>76</v>
      </c>
      <c r="I486" s="9" t="s">
        <v>229</v>
      </c>
      <c r="J486" s="9" t="s">
        <v>53</v>
      </c>
      <c r="K486" s="9" t="s">
        <v>53</v>
      </c>
      <c r="L486" s="9" t="s">
        <v>803</v>
      </c>
      <c r="M486" s="9" t="s">
        <v>311</v>
      </c>
      <c r="N486" s="9" t="s">
        <v>633</v>
      </c>
      <c r="O486" s="9" t="s">
        <v>62</v>
      </c>
      <c r="P486" s="9" t="s">
        <v>2246</v>
      </c>
      <c r="Q486" s="9" t="s">
        <v>65</v>
      </c>
      <c r="R486" s="9" t="s">
        <v>57</v>
      </c>
      <c r="S486" s="9" t="s">
        <v>1259</v>
      </c>
      <c r="T486" s="170">
        <v>4.6710000000000003</v>
      </c>
      <c r="U486" s="9" t="s">
        <v>2349</v>
      </c>
      <c r="V486" s="199">
        <v>6.4999999999999997E-3</v>
      </c>
      <c r="W486" s="185">
        <v>2.8320000000000001E-2</v>
      </c>
      <c r="X486" s="5" t="s">
        <v>618</v>
      </c>
      <c r="Y486" s="5" t="s">
        <v>62</v>
      </c>
      <c r="Z486" s="170">
        <v>92716.88</v>
      </c>
      <c r="AA486" s="184">
        <v>1</v>
      </c>
      <c r="AB486" s="186">
        <v>105.26</v>
      </c>
      <c r="AC486" s="9"/>
      <c r="AD486" s="170">
        <v>97.593999999999994</v>
      </c>
      <c r="AE486" s="9"/>
      <c r="AF486" s="9"/>
      <c r="AG486" s="9" t="s">
        <v>17</v>
      </c>
      <c r="AH486" s="185">
        <v>4.1E-5</v>
      </c>
      <c r="AI486" s="185">
        <v>1.2108229320945201E-2</v>
      </c>
      <c r="AJ486" s="185">
        <v>2.5135088852055198E-3</v>
      </c>
    </row>
    <row r="487" spans="1:36">
      <c r="A487" s="9">
        <v>337</v>
      </c>
      <c r="B487" s="9">
        <v>9964</v>
      </c>
      <c r="C487" s="9" t="s">
        <v>2248</v>
      </c>
      <c r="D487" s="9" t="s">
        <v>2249</v>
      </c>
      <c r="E487" s="5" t="s">
        <v>1346</v>
      </c>
      <c r="F487" s="9" t="s">
        <v>2350</v>
      </c>
      <c r="G487" s="9" t="s">
        <v>2351</v>
      </c>
      <c r="H487" s="9" t="s">
        <v>76</v>
      </c>
      <c r="I487" s="9" t="s">
        <v>229</v>
      </c>
      <c r="J487" s="9" t="s">
        <v>53</v>
      </c>
      <c r="K487" s="9" t="s">
        <v>53</v>
      </c>
      <c r="L487" s="9" t="s">
        <v>803</v>
      </c>
      <c r="M487" s="9" t="s">
        <v>1691</v>
      </c>
      <c r="N487" s="9" t="s">
        <v>633</v>
      </c>
      <c r="O487" s="9" t="s">
        <v>62</v>
      </c>
      <c r="P487" s="9" t="s">
        <v>2246</v>
      </c>
      <c r="Q487" s="9" t="s">
        <v>65</v>
      </c>
      <c r="R487" s="9" t="s">
        <v>57</v>
      </c>
      <c r="S487" s="9" t="s">
        <v>1259</v>
      </c>
      <c r="T487" s="170">
        <v>7.21</v>
      </c>
      <c r="U487" s="9" t="s">
        <v>2352</v>
      </c>
      <c r="V487" s="199">
        <v>3.5999999999999997E-2</v>
      </c>
      <c r="W487" s="185">
        <v>3.048E-2</v>
      </c>
      <c r="X487" s="5" t="s">
        <v>618</v>
      </c>
      <c r="Y487" s="5" t="s">
        <v>62</v>
      </c>
      <c r="Z487" s="170">
        <v>70000</v>
      </c>
      <c r="AA487" s="184">
        <v>1</v>
      </c>
      <c r="AB487" s="186">
        <v>106.32</v>
      </c>
      <c r="AC487" s="9"/>
      <c r="AD487" s="170">
        <v>74.424000000000007</v>
      </c>
      <c r="AE487" s="9"/>
      <c r="AF487" s="9"/>
      <c r="AG487" s="9" t="s">
        <v>17</v>
      </c>
      <c r="AH487" s="185">
        <v>9.6000000000000002E-5</v>
      </c>
      <c r="AI487" s="185">
        <v>9.2336088032180103E-3</v>
      </c>
      <c r="AJ487" s="185">
        <v>1.91677553787762E-3</v>
      </c>
    </row>
    <row r="488" spans="1:36">
      <c r="A488" s="9">
        <v>337</v>
      </c>
      <c r="B488" s="9">
        <v>9964</v>
      </c>
      <c r="C488" s="9" t="s">
        <v>2353</v>
      </c>
      <c r="D488" s="9" t="s">
        <v>2354</v>
      </c>
      <c r="E488" s="5" t="s">
        <v>1346</v>
      </c>
      <c r="F488" s="9" t="s">
        <v>2355</v>
      </c>
      <c r="G488" s="9" t="s">
        <v>2356</v>
      </c>
      <c r="H488" s="9" t="s">
        <v>76</v>
      </c>
      <c r="I488" s="9" t="s">
        <v>229</v>
      </c>
      <c r="J488" s="9" t="s">
        <v>53</v>
      </c>
      <c r="K488" s="9" t="s">
        <v>53</v>
      </c>
      <c r="L488" s="9" t="s">
        <v>803</v>
      </c>
      <c r="M488" s="9" t="s">
        <v>311</v>
      </c>
      <c r="N488" s="9" t="s">
        <v>633</v>
      </c>
      <c r="O488" s="9" t="s">
        <v>62</v>
      </c>
      <c r="P488" s="9" t="s">
        <v>1614</v>
      </c>
      <c r="Q488" s="9" t="s">
        <v>65</v>
      </c>
      <c r="R488" s="9" t="s">
        <v>57</v>
      </c>
      <c r="S488" s="9" t="s">
        <v>1259</v>
      </c>
      <c r="T488" s="170">
        <v>5.5640000000000001</v>
      </c>
      <c r="U488" s="9" t="s">
        <v>2357</v>
      </c>
      <c r="V488" s="199">
        <v>3.6799999999999999E-2</v>
      </c>
      <c r="W488" s="185">
        <v>3.3189999999999997E-2</v>
      </c>
      <c r="X488" s="5" t="s">
        <v>618</v>
      </c>
      <c r="Y488" s="5" t="s">
        <v>62</v>
      </c>
      <c r="Z488" s="170">
        <v>70000</v>
      </c>
      <c r="AA488" s="184">
        <v>1</v>
      </c>
      <c r="AB488" s="186">
        <v>107.29</v>
      </c>
      <c r="AC488" s="9"/>
      <c r="AD488" s="170">
        <v>75.102999999999994</v>
      </c>
      <c r="AE488" s="9"/>
      <c r="AF488" s="9"/>
      <c r="AG488" s="9" t="s">
        <v>17</v>
      </c>
      <c r="AH488" s="185">
        <v>1.5799999999999999E-4</v>
      </c>
      <c r="AI488" s="185">
        <v>9.3178507195001894E-3</v>
      </c>
      <c r="AJ488" s="185">
        <v>1.93426304983907E-3</v>
      </c>
    </row>
    <row r="489" spans="1:36">
      <c r="A489" s="9">
        <v>337</v>
      </c>
      <c r="B489" s="9">
        <v>9964</v>
      </c>
      <c r="C489" s="9" t="s">
        <v>1885</v>
      </c>
      <c r="D489" s="9" t="s">
        <v>1886</v>
      </c>
      <c r="E489" s="5" t="s">
        <v>1346</v>
      </c>
      <c r="F489" s="9" t="s">
        <v>2361</v>
      </c>
      <c r="G489" s="9" t="s">
        <v>2362</v>
      </c>
      <c r="H489" s="9" t="s">
        <v>76</v>
      </c>
      <c r="I489" s="9" t="s">
        <v>228</v>
      </c>
      <c r="J489" s="9" t="s">
        <v>53</v>
      </c>
      <c r="K489" s="9" t="s">
        <v>53</v>
      </c>
      <c r="L489" s="9" t="s">
        <v>803</v>
      </c>
      <c r="M489" s="9" t="s">
        <v>311</v>
      </c>
      <c r="N489" s="9" t="s">
        <v>260</v>
      </c>
      <c r="O489" s="9" t="s">
        <v>62</v>
      </c>
      <c r="P489" s="9" t="s">
        <v>2246</v>
      </c>
      <c r="Q489" s="9" t="s">
        <v>65</v>
      </c>
      <c r="R489" s="9" t="s">
        <v>57</v>
      </c>
      <c r="S489" s="9" t="s">
        <v>1259</v>
      </c>
      <c r="T489" s="170">
        <v>7.4169999999999998</v>
      </c>
      <c r="U489" s="9" t="s">
        <v>2363</v>
      </c>
      <c r="V489" s="199">
        <v>2.7900000000000001E-2</v>
      </c>
      <c r="W489" s="185">
        <v>4.7230000000000001E-2</v>
      </c>
      <c r="X489" s="5" t="s">
        <v>618</v>
      </c>
      <c r="Y489" s="5" t="s">
        <v>62</v>
      </c>
      <c r="Z489" s="170">
        <v>70000</v>
      </c>
      <c r="AA489" s="184">
        <v>1</v>
      </c>
      <c r="AB489" s="186">
        <v>87.32</v>
      </c>
      <c r="AC489" s="9"/>
      <c r="AD489" s="170">
        <v>61.124000000000002</v>
      </c>
      <c r="AE489" s="9"/>
      <c r="AF489" s="9"/>
      <c r="AG489" s="9" t="s">
        <v>17</v>
      </c>
      <c r="AH489" s="185">
        <v>5.0000000000000002E-5</v>
      </c>
      <c r="AI489" s="185">
        <v>7.5835094121237496E-3</v>
      </c>
      <c r="AJ489" s="185">
        <v>1.5742366437873699E-3</v>
      </c>
    </row>
    <row r="490" spans="1:36">
      <c r="A490" s="9">
        <v>337</v>
      </c>
      <c r="B490" s="9">
        <v>9964</v>
      </c>
      <c r="C490" s="9" t="s">
        <v>1687</v>
      </c>
      <c r="D490" s="9" t="s">
        <v>1688</v>
      </c>
      <c r="E490" s="5" t="s">
        <v>1346</v>
      </c>
      <c r="F490" s="9" t="s">
        <v>2364</v>
      </c>
      <c r="G490" s="9" t="s">
        <v>2365</v>
      </c>
      <c r="H490" s="9" t="s">
        <v>76</v>
      </c>
      <c r="I490" s="9" t="s">
        <v>229</v>
      </c>
      <c r="J490" s="9" t="s">
        <v>53</v>
      </c>
      <c r="K490" s="9" t="s">
        <v>53</v>
      </c>
      <c r="L490" s="9" t="s">
        <v>803</v>
      </c>
      <c r="M490" s="9" t="s">
        <v>311</v>
      </c>
      <c r="N490" s="9" t="s">
        <v>633</v>
      </c>
      <c r="O490" s="9" t="s">
        <v>62</v>
      </c>
      <c r="P490" s="9" t="s">
        <v>2239</v>
      </c>
      <c r="Q490" s="9" t="s">
        <v>65</v>
      </c>
      <c r="R490" s="9" t="s">
        <v>57</v>
      </c>
      <c r="S490" s="9" t="s">
        <v>1259</v>
      </c>
      <c r="T490" s="170">
        <v>4.93</v>
      </c>
      <c r="U490" s="9" t="s">
        <v>2366</v>
      </c>
      <c r="V490" s="199">
        <v>1.8700000000000001E-2</v>
      </c>
      <c r="W490" s="185">
        <v>2.9700000000000001E-2</v>
      </c>
      <c r="X490" s="5" t="s">
        <v>618</v>
      </c>
      <c r="Y490" s="5" t="s">
        <v>62</v>
      </c>
      <c r="Z490" s="170">
        <v>143181.82</v>
      </c>
      <c r="AA490" s="184">
        <v>1</v>
      </c>
      <c r="AB490" s="186">
        <v>106.87</v>
      </c>
      <c r="AC490" s="9"/>
      <c r="AD490" s="170">
        <v>153.018</v>
      </c>
      <c r="AE490" s="9"/>
      <c r="AF490" s="9"/>
      <c r="AG490" s="9" t="s">
        <v>17</v>
      </c>
      <c r="AH490" s="185">
        <v>1.47E-4</v>
      </c>
      <c r="AI490" s="185">
        <v>1.8984630591986101E-2</v>
      </c>
      <c r="AJ490" s="185">
        <v>3.9409591948145004E-3</v>
      </c>
    </row>
    <row r="491" spans="1:36">
      <c r="A491" s="9">
        <v>337</v>
      </c>
      <c r="B491" s="9">
        <v>9964</v>
      </c>
      <c r="C491" s="9" t="s">
        <v>2367</v>
      </c>
      <c r="D491" s="9" t="s">
        <v>2368</v>
      </c>
      <c r="E491" s="5" t="s">
        <v>1346</v>
      </c>
      <c r="F491" s="9" t="s">
        <v>2369</v>
      </c>
      <c r="G491" s="9" t="s">
        <v>2370</v>
      </c>
      <c r="H491" s="9" t="s">
        <v>76</v>
      </c>
      <c r="I491" s="9" t="s">
        <v>229</v>
      </c>
      <c r="J491" s="9" t="s">
        <v>53</v>
      </c>
      <c r="K491" s="9" t="s">
        <v>53</v>
      </c>
      <c r="L491" s="9" t="s">
        <v>803</v>
      </c>
      <c r="M491" s="9" t="s">
        <v>311</v>
      </c>
      <c r="N491" s="9" t="s">
        <v>256</v>
      </c>
      <c r="O491" s="9" t="s">
        <v>62</v>
      </c>
      <c r="P491" s="9" t="s">
        <v>2239</v>
      </c>
      <c r="Q491" s="9" t="s">
        <v>65</v>
      </c>
      <c r="R491" s="9" t="s">
        <v>57</v>
      </c>
      <c r="S491" s="9" t="s">
        <v>1259</v>
      </c>
      <c r="T491" s="170">
        <v>2.7149999999999999</v>
      </c>
      <c r="U491" s="9" t="s">
        <v>2371</v>
      </c>
      <c r="V491" s="199">
        <v>1.09E-2</v>
      </c>
      <c r="W491" s="185">
        <v>2.8570000000000002E-2</v>
      </c>
      <c r="X491" s="5" t="s">
        <v>618</v>
      </c>
      <c r="Y491" s="5" t="s">
        <v>62</v>
      </c>
      <c r="Z491" s="170">
        <v>50000</v>
      </c>
      <c r="AA491" s="184">
        <v>1</v>
      </c>
      <c r="AB491" s="186">
        <v>108.07</v>
      </c>
      <c r="AC491" s="9"/>
      <c r="AD491" s="170">
        <v>54.034999999999997</v>
      </c>
      <c r="AE491" s="9"/>
      <c r="AF491" s="9"/>
      <c r="AG491" s="9" t="s">
        <v>17</v>
      </c>
      <c r="AH491" s="185">
        <v>5.5000000000000002E-5</v>
      </c>
      <c r="AI491" s="185">
        <v>6.7039940299081701E-3</v>
      </c>
      <c r="AJ491" s="185">
        <v>1.39166083775687E-3</v>
      </c>
    </row>
    <row r="492" spans="1:36">
      <c r="A492" s="9">
        <v>337</v>
      </c>
      <c r="B492" s="9">
        <v>9964</v>
      </c>
      <c r="C492" s="9" t="s">
        <v>2367</v>
      </c>
      <c r="D492" s="9" t="s">
        <v>2368</v>
      </c>
      <c r="E492" s="5" t="s">
        <v>1346</v>
      </c>
      <c r="F492" s="9" t="s">
        <v>2372</v>
      </c>
      <c r="G492" s="9" t="s">
        <v>2373</v>
      </c>
      <c r="H492" s="9" t="s">
        <v>76</v>
      </c>
      <c r="I492" s="9" t="s">
        <v>229</v>
      </c>
      <c r="J492" s="9" t="s">
        <v>53</v>
      </c>
      <c r="K492" s="9" t="s">
        <v>53</v>
      </c>
      <c r="L492" s="9" t="s">
        <v>803</v>
      </c>
      <c r="M492" s="9" t="s">
        <v>311</v>
      </c>
      <c r="N492" s="9" t="s">
        <v>256</v>
      </c>
      <c r="O492" s="9" t="s">
        <v>62</v>
      </c>
      <c r="P492" s="9" t="s">
        <v>2239</v>
      </c>
      <c r="Q492" s="9" t="s">
        <v>65</v>
      </c>
      <c r="R492" s="9" t="s">
        <v>57</v>
      </c>
      <c r="S492" s="9" t="s">
        <v>1259</v>
      </c>
      <c r="T492" s="170">
        <v>3.528</v>
      </c>
      <c r="U492" s="9" t="s">
        <v>2374</v>
      </c>
      <c r="V492" s="199">
        <v>2.9899999999999999E-2</v>
      </c>
      <c r="W492" s="185">
        <v>2.819E-2</v>
      </c>
      <c r="X492" s="5" t="s">
        <v>618</v>
      </c>
      <c r="Y492" s="5" t="s">
        <v>62</v>
      </c>
      <c r="Z492" s="170">
        <v>33183</v>
      </c>
      <c r="AA492" s="184">
        <v>1</v>
      </c>
      <c r="AB492" s="186">
        <v>110.79</v>
      </c>
      <c r="AC492" s="9"/>
      <c r="AD492" s="170">
        <v>36.762999999999998</v>
      </c>
      <c r="AE492" s="9"/>
      <c r="AF492" s="9"/>
      <c r="AG492" s="9" t="s">
        <v>17</v>
      </c>
      <c r="AH492" s="185">
        <v>4.1E-5</v>
      </c>
      <c r="AI492" s="185">
        <v>4.5611533356463996E-3</v>
      </c>
      <c r="AJ492" s="185">
        <v>9.4683534082892805E-4</v>
      </c>
    </row>
    <row r="493" spans="1:36">
      <c r="A493" s="9">
        <v>337</v>
      </c>
      <c r="B493" s="9">
        <v>9964</v>
      </c>
      <c r="C493" s="9" t="s">
        <v>2071</v>
      </c>
      <c r="D493" s="9" t="s">
        <v>2072</v>
      </c>
      <c r="E493" s="5" t="s">
        <v>1346</v>
      </c>
      <c r="F493" s="9" t="s">
        <v>2375</v>
      </c>
      <c r="G493" s="9" t="s">
        <v>2376</v>
      </c>
      <c r="H493" s="9" t="s">
        <v>76</v>
      </c>
      <c r="I493" s="9" t="s">
        <v>228</v>
      </c>
      <c r="J493" s="9" t="s">
        <v>53</v>
      </c>
      <c r="K493" s="9" t="s">
        <v>53</v>
      </c>
      <c r="L493" s="9" t="s">
        <v>803</v>
      </c>
      <c r="M493" s="9" t="s">
        <v>311</v>
      </c>
      <c r="N493" s="9" t="s">
        <v>156</v>
      </c>
      <c r="O493" s="9" t="s">
        <v>62</v>
      </c>
      <c r="P493" s="9" t="s">
        <v>2314</v>
      </c>
      <c r="Q493" s="9" t="s">
        <v>70</v>
      </c>
      <c r="R493" s="9" t="s">
        <v>57</v>
      </c>
      <c r="S493" s="9" t="s">
        <v>1259</v>
      </c>
      <c r="T493" s="170">
        <v>2.7770000000000001</v>
      </c>
      <c r="U493" s="9" t="s">
        <v>2377</v>
      </c>
      <c r="V493" s="199">
        <v>7.2499999999999995E-2</v>
      </c>
      <c r="W493" s="185">
        <v>5.3060000000000003E-2</v>
      </c>
      <c r="X493" s="5" t="s">
        <v>618</v>
      </c>
      <c r="Y493" s="5" t="s">
        <v>62</v>
      </c>
      <c r="Z493" s="170">
        <v>123200</v>
      </c>
      <c r="AA493" s="184">
        <v>1</v>
      </c>
      <c r="AB493" s="186">
        <v>106.83</v>
      </c>
      <c r="AC493" s="9"/>
      <c r="AD493" s="170">
        <v>131.61500000000001</v>
      </c>
      <c r="AE493" s="9"/>
      <c r="AF493" s="9"/>
      <c r="AG493" s="9" t="s">
        <v>17</v>
      </c>
      <c r="AH493" s="185">
        <v>1.92E-4</v>
      </c>
      <c r="AI493" s="185">
        <v>1.6329105662792501E-2</v>
      </c>
      <c r="AJ493" s="185">
        <v>3.38970720515595E-3</v>
      </c>
    </row>
    <row r="494" spans="1:36">
      <c r="A494" s="9">
        <v>337</v>
      </c>
      <c r="B494" s="9">
        <v>9964</v>
      </c>
      <c r="C494" s="9" t="s">
        <v>1902</v>
      </c>
      <c r="D494" s="9" t="s">
        <v>1903</v>
      </c>
      <c r="E494" s="5" t="s">
        <v>1346</v>
      </c>
      <c r="F494" s="9" t="s">
        <v>2386</v>
      </c>
      <c r="G494" s="9" t="s">
        <v>2387</v>
      </c>
      <c r="H494" s="9" t="s">
        <v>76</v>
      </c>
      <c r="I494" s="9" t="s">
        <v>229</v>
      </c>
      <c r="J494" s="9" t="s">
        <v>53</v>
      </c>
      <c r="K494" s="9" t="s">
        <v>53</v>
      </c>
      <c r="L494" s="9" t="s">
        <v>803</v>
      </c>
      <c r="M494" s="9" t="s">
        <v>311</v>
      </c>
      <c r="N494" s="9" t="s">
        <v>633</v>
      </c>
      <c r="O494" s="9" t="s">
        <v>62</v>
      </c>
      <c r="P494" s="9" t="s">
        <v>2246</v>
      </c>
      <c r="Q494" s="9" t="s">
        <v>65</v>
      </c>
      <c r="R494" s="9" t="s">
        <v>57</v>
      </c>
      <c r="S494" s="9" t="s">
        <v>1259</v>
      </c>
      <c r="T494" s="170">
        <v>3.992</v>
      </c>
      <c r="U494" s="9" t="s">
        <v>2388</v>
      </c>
      <c r="V494" s="199">
        <v>5.0000000000000001E-3</v>
      </c>
      <c r="W494" s="185">
        <v>2.8850000000000001E-2</v>
      </c>
      <c r="X494" s="5" t="s">
        <v>618</v>
      </c>
      <c r="Y494" s="5" t="s">
        <v>62</v>
      </c>
      <c r="Z494" s="170">
        <v>87170.38</v>
      </c>
      <c r="AA494" s="184">
        <v>1</v>
      </c>
      <c r="AB494" s="186">
        <v>106.2</v>
      </c>
      <c r="AC494" s="9"/>
      <c r="AD494" s="170">
        <v>92.575000000000003</v>
      </c>
      <c r="AE494" s="9"/>
      <c r="AF494" s="9"/>
      <c r="AG494" s="9" t="s">
        <v>17</v>
      </c>
      <c r="AH494" s="185">
        <v>6.4999999999999994E-5</v>
      </c>
      <c r="AI494" s="185">
        <v>1.1485553233003201E-2</v>
      </c>
      <c r="AJ494" s="185">
        <v>2.3842495328954298E-3</v>
      </c>
    </row>
    <row r="495" spans="1:36">
      <c r="A495" s="9">
        <v>337</v>
      </c>
      <c r="B495" s="9">
        <v>9964</v>
      </c>
      <c r="C495" s="9" t="s">
        <v>1902</v>
      </c>
      <c r="D495" s="9" t="s">
        <v>1903</v>
      </c>
      <c r="E495" s="5" t="s">
        <v>1346</v>
      </c>
      <c r="F495" s="9" t="s">
        <v>2883</v>
      </c>
      <c r="G495" s="9" t="s">
        <v>2884</v>
      </c>
      <c r="H495" s="9" t="s">
        <v>76</v>
      </c>
      <c r="I495" s="9" t="s">
        <v>229</v>
      </c>
      <c r="J495" s="9" t="s">
        <v>53</v>
      </c>
      <c r="K495" s="9" t="s">
        <v>53</v>
      </c>
      <c r="L495" s="9" t="s">
        <v>803</v>
      </c>
      <c r="M495" s="9" t="s">
        <v>311</v>
      </c>
      <c r="N495" s="9" t="s">
        <v>633</v>
      </c>
      <c r="O495" s="9" t="s">
        <v>62</v>
      </c>
      <c r="P495" s="9" t="s">
        <v>2246</v>
      </c>
      <c r="Q495" s="9" t="s">
        <v>65</v>
      </c>
      <c r="R495" s="9" t="s">
        <v>57</v>
      </c>
      <c r="S495" s="9" t="s">
        <v>1259</v>
      </c>
      <c r="T495" s="170">
        <v>4.45</v>
      </c>
      <c r="U495" s="9" t="s">
        <v>2885</v>
      </c>
      <c r="V495" s="199">
        <v>5.8999999999999999E-3</v>
      </c>
      <c r="W495" s="185">
        <v>2.8729999999999999E-2</v>
      </c>
      <c r="X495" s="5" t="s">
        <v>618</v>
      </c>
      <c r="Y495" s="5" t="s">
        <v>62</v>
      </c>
      <c r="Z495" s="170">
        <v>121847</v>
      </c>
      <c r="AA495" s="184">
        <v>1</v>
      </c>
      <c r="AB495" s="186">
        <v>102.74</v>
      </c>
      <c r="AC495" s="9"/>
      <c r="AD495" s="170">
        <v>125.18600000000001</v>
      </c>
      <c r="AE495" s="9"/>
      <c r="AF495" s="9"/>
      <c r="AG495" s="9" t="s">
        <v>17</v>
      </c>
      <c r="AH495" s="185">
        <v>8.7000000000000001E-5</v>
      </c>
      <c r="AI495" s="185">
        <v>1.5531480842447E-2</v>
      </c>
      <c r="AJ495" s="185">
        <v>3.2241308008892498E-3</v>
      </c>
    </row>
    <row r="496" spans="1:36">
      <c r="A496" s="9">
        <v>337</v>
      </c>
      <c r="B496" s="9">
        <v>9964</v>
      </c>
      <c r="C496" s="9" t="s">
        <v>2391</v>
      </c>
      <c r="D496" s="9" t="s">
        <v>2392</v>
      </c>
      <c r="E496" s="5" t="s">
        <v>1346</v>
      </c>
      <c r="F496" s="9" t="s">
        <v>2393</v>
      </c>
      <c r="G496" s="9" t="s">
        <v>2394</v>
      </c>
      <c r="H496" s="9" t="s">
        <v>76</v>
      </c>
      <c r="I496" s="9" t="s">
        <v>228</v>
      </c>
      <c r="J496" s="9" t="s">
        <v>53</v>
      </c>
      <c r="K496" s="9" t="s">
        <v>53</v>
      </c>
      <c r="L496" s="9" t="s">
        <v>803</v>
      </c>
      <c r="M496" s="9" t="s">
        <v>311</v>
      </c>
      <c r="N496" s="9" t="s">
        <v>140</v>
      </c>
      <c r="O496" s="9" t="s">
        <v>62</v>
      </c>
      <c r="P496" s="167" t="s">
        <v>298</v>
      </c>
      <c r="Q496" s="9" t="s">
        <v>298</v>
      </c>
      <c r="R496" s="9" t="s">
        <v>298</v>
      </c>
      <c r="S496" s="9" t="s">
        <v>1259</v>
      </c>
      <c r="T496" s="170">
        <v>0.98499999999999999</v>
      </c>
      <c r="U496" s="9" t="s">
        <v>2395</v>
      </c>
      <c r="V496" s="199">
        <v>3.8699999999999998E-2</v>
      </c>
      <c r="W496" s="185">
        <v>4.9630000000000001E-2</v>
      </c>
      <c r="X496" s="5" t="s">
        <v>618</v>
      </c>
      <c r="Y496" s="5" t="s">
        <v>62</v>
      </c>
      <c r="Z496" s="170">
        <v>0.81</v>
      </c>
      <c r="AA496" s="184">
        <v>1</v>
      </c>
      <c r="AB496" s="186">
        <v>99.03</v>
      </c>
      <c r="AC496" s="9"/>
      <c r="AD496" s="170">
        <v>1E-3</v>
      </c>
      <c r="AE496" s="9"/>
      <c r="AF496" s="9"/>
      <c r="AG496" s="9" t="s">
        <v>17</v>
      </c>
      <c r="AH496" s="185">
        <v>0</v>
      </c>
      <c r="AI496" s="185">
        <v>9.9519975629362906E-8</v>
      </c>
      <c r="AJ496" s="185">
        <v>2.0659035798663999E-8</v>
      </c>
    </row>
    <row r="497" spans="1:36">
      <c r="A497" s="9">
        <v>337</v>
      </c>
      <c r="B497" s="9">
        <v>9964</v>
      </c>
      <c r="C497" s="9" t="s">
        <v>2391</v>
      </c>
      <c r="D497" s="9" t="s">
        <v>2392</v>
      </c>
      <c r="E497" s="5" t="s">
        <v>1346</v>
      </c>
      <c r="F497" s="9" t="s">
        <v>2396</v>
      </c>
      <c r="G497" s="9" t="s">
        <v>2397</v>
      </c>
      <c r="H497" s="9" t="s">
        <v>76</v>
      </c>
      <c r="I497" s="9" t="s">
        <v>228</v>
      </c>
      <c r="J497" s="9" t="s">
        <v>53</v>
      </c>
      <c r="K497" s="9" t="s">
        <v>53</v>
      </c>
      <c r="L497" s="9" t="s">
        <v>803</v>
      </c>
      <c r="M497" s="9" t="s">
        <v>311</v>
      </c>
      <c r="N497" s="9" t="s">
        <v>140</v>
      </c>
      <c r="O497" s="9" t="s">
        <v>62</v>
      </c>
      <c r="P497" s="167" t="s">
        <v>298</v>
      </c>
      <c r="Q497" s="9" t="s">
        <v>298</v>
      </c>
      <c r="R497" s="9" t="s">
        <v>298</v>
      </c>
      <c r="S497" s="9" t="s">
        <v>1259</v>
      </c>
      <c r="T497" s="170">
        <v>1.4470000000000001</v>
      </c>
      <c r="U497" s="9" t="s">
        <v>1615</v>
      </c>
      <c r="V497" s="199">
        <v>6.25E-2</v>
      </c>
      <c r="W497" s="185">
        <v>4.6330000000000003E-2</v>
      </c>
      <c r="X497" s="5" t="s">
        <v>618</v>
      </c>
      <c r="Y497" s="5" t="s">
        <v>62</v>
      </c>
      <c r="Z497" s="170">
        <v>0.33</v>
      </c>
      <c r="AA497" s="184">
        <v>1</v>
      </c>
      <c r="AB497" s="186">
        <v>102.41</v>
      </c>
      <c r="AC497" s="9"/>
      <c r="AD497" s="170">
        <v>0</v>
      </c>
      <c r="AE497" s="9"/>
      <c r="AF497" s="9"/>
      <c r="AG497" s="9" t="s">
        <v>17</v>
      </c>
      <c r="AH497" s="185">
        <v>0</v>
      </c>
      <c r="AI497" s="185">
        <v>4.1929025527705301E-8</v>
      </c>
      <c r="AJ497" s="185">
        <v>8.7039132988330998E-9</v>
      </c>
    </row>
    <row r="498" spans="1:36">
      <c r="A498" s="9">
        <v>337</v>
      </c>
      <c r="B498" s="9">
        <v>9964</v>
      </c>
      <c r="C498" s="9" t="s">
        <v>2398</v>
      </c>
      <c r="D498" s="9" t="s">
        <v>2399</v>
      </c>
      <c r="E498" s="5" t="s">
        <v>1346</v>
      </c>
      <c r="F498" s="9" t="s">
        <v>2400</v>
      </c>
      <c r="G498" s="9" t="s">
        <v>2401</v>
      </c>
      <c r="H498" s="9" t="s">
        <v>76</v>
      </c>
      <c r="I498" s="9" t="s">
        <v>605</v>
      </c>
      <c r="J498" s="9" t="s">
        <v>53</v>
      </c>
      <c r="K498" s="9" t="s">
        <v>53</v>
      </c>
      <c r="L498" s="9" t="s">
        <v>803</v>
      </c>
      <c r="M498" s="9" t="s">
        <v>311</v>
      </c>
      <c r="N498" s="9" t="s">
        <v>140</v>
      </c>
      <c r="O498" s="9" t="s">
        <v>62</v>
      </c>
      <c r="P498" s="167" t="s">
        <v>298</v>
      </c>
      <c r="Q498" s="9" t="s">
        <v>298</v>
      </c>
      <c r="R498" s="9" t="s">
        <v>298</v>
      </c>
      <c r="S498" s="9" t="s">
        <v>1259</v>
      </c>
      <c r="T498" s="170">
        <v>2.9780000000000002</v>
      </c>
      <c r="U498" s="9" t="s">
        <v>2243</v>
      </c>
      <c r="V498" s="199">
        <v>7.0000000000000007E-2</v>
      </c>
      <c r="W498" s="185">
        <v>-4.1079999999999998E-2</v>
      </c>
      <c r="X498" s="5" t="s">
        <v>618</v>
      </c>
      <c r="Y498" s="5" t="s">
        <v>62</v>
      </c>
      <c r="Z498" s="170">
        <v>13000</v>
      </c>
      <c r="AA498" s="184">
        <v>1</v>
      </c>
      <c r="AB498" s="186">
        <v>141</v>
      </c>
      <c r="AC498" s="9"/>
      <c r="AD498" s="170">
        <v>18.329999999999998</v>
      </c>
      <c r="AE498" s="9"/>
      <c r="AF498" s="9"/>
      <c r="AG498" s="9" t="s">
        <v>17</v>
      </c>
      <c r="AH498" s="185">
        <v>2.5999999999999998E-4</v>
      </c>
      <c r="AI498" s="185">
        <v>2.2741595367487101E-3</v>
      </c>
      <c r="AJ498" s="185">
        <v>4.7208555854693002E-4</v>
      </c>
    </row>
    <row r="499" spans="1:36">
      <c r="A499" s="9">
        <v>337</v>
      </c>
      <c r="B499" s="9">
        <v>9964</v>
      </c>
      <c r="C499" s="9" t="s">
        <v>2783</v>
      </c>
      <c r="D499" s="9" t="s">
        <v>2784</v>
      </c>
      <c r="E499" s="5" t="s">
        <v>78</v>
      </c>
      <c r="F499" s="9" t="s">
        <v>2787</v>
      </c>
      <c r="G499" s="9" t="s">
        <v>2788</v>
      </c>
      <c r="H499" s="9" t="s">
        <v>76</v>
      </c>
      <c r="I499" s="9" t="s">
        <v>228</v>
      </c>
      <c r="J499" s="9" t="s">
        <v>53</v>
      </c>
      <c r="K499" s="9" t="s">
        <v>314</v>
      </c>
      <c r="L499" s="9" t="s">
        <v>803</v>
      </c>
      <c r="M499" s="9" t="s">
        <v>311</v>
      </c>
      <c r="N499" s="9" t="s">
        <v>634</v>
      </c>
      <c r="O499" s="9" t="s">
        <v>62</v>
      </c>
      <c r="P499" s="9" t="s">
        <v>1614</v>
      </c>
      <c r="Q499" s="9" t="s">
        <v>65</v>
      </c>
      <c r="R499" s="9" t="s">
        <v>57</v>
      </c>
      <c r="S499" s="9" t="s">
        <v>1259</v>
      </c>
      <c r="T499" s="170">
        <v>1.4279999999999999</v>
      </c>
      <c r="U499" s="9" t="s">
        <v>2744</v>
      </c>
      <c r="V499" s="199">
        <v>6.8000000000000005E-2</v>
      </c>
      <c r="W499" s="185">
        <v>5.6610000000000001E-2</v>
      </c>
      <c r="X499" s="5" t="s">
        <v>618</v>
      </c>
      <c r="Y499" s="5" t="s">
        <v>62</v>
      </c>
      <c r="Z499" s="170">
        <v>42300</v>
      </c>
      <c r="AA499" s="184">
        <v>1</v>
      </c>
      <c r="AB499" s="186">
        <v>101.71</v>
      </c>
      <c r="AC499" s="9"/>
      <c r="AD499" s="170">
        <v>43.023000000000003</v>
      </c>
      <c r="AE499" s="9"/>
      <c r="AF499" s="9"/>
      <c r="AG499" s="9" t="s">
        <v>17</v>
      </c>
      <c r="AH499" s="185">
        <v>1.2400000000000001E-4</v>
      </c>
      <c r="AI499" s="185">
        <v>5.3378023034471901E-3</v>
      </c>
      <c r="AJ499" s="185">
        <v>1.10805743445711E-3</v>
      </c>
    </row>
    <row r="500" spans="1:36">
      <c r="A500" s="9">
        <v>337</v>
      </c>
      <c r="B500" s="9">
        <v>9964</v>
      </c>
      <c r="C500" s="9" t="s">
        <v>2402</v>
      </c>
      <c r="D500" s="9" t="s">
        <v>2403</v>
      </c>
      <c r="E500" s="5" t="s">
        <v>1346</v>
      </c>
      <c r="F500" s="9" t="s">
        <v>2404</v>
      </c>
      <c r="G500" s="9" t="s">
        <v>2405</v>
      </c>
      <c r="H500" s="9" t="s">
        <v>76</v>
      </c>
      <c r="I500" s="9" t="s">
        <v>229</v>
      </c>
      <c r="J500" s="9" t="s">
        <v>53</v>
      </c>
      <c r="K500" s="9" t="s">
        <v>53</v>
      </c>
      <c r="L500" s="9" t="s">
        <v>803</v>
      </c>
      <c r="M500" s="9" t="s">
        <v>311</v>
      </c>
      <c r="N500" s="9" t="s">
        <v>256</v>
      </c>
      <c r="O500" s="9" t="s">
        <v>62</v>
      </c>
      <c r="P500" s="9" t="s">
        <v>1641</v>
      </c>
      <c r="Q500" s="9" t="s">
        <v>65</v>
      </c>
      <c r="R500" s="9" t="s">
        <v>57</v>
      </c>
      <c r="S500" s="9" t="s">
        <v>1259</v>
      </c>
      <c r="T500" s="170">
        <v>3.4950000000000001</v>
      </c>
      <c r="U500" s="9" t="s">
        <v>2406</v>
      </c>
      <c r="V500" s="199">
        <v>2E-3</v>
      </c>
      <c r="W500" s="185">
        <v>2.6020000000000001E-2</v>
      </c>
      <c r="X500" s="5" t="s">
        <v>618</v>
      </c>
      <c r="Y500" s="5" t="s">
        <v>62</v>
      </c>
      <c r="Z500" s="170">
        <v>123529.43</v>
      </c>
      <c r="AA500" s="184">
        <v>1</v>
      </c>
      <c r="AB500" s="186">
        <v>105.05</v>
      </c>
      <c r="AC500" s="9"/>
      <c r="AD500" s="170">
        <v>129.768</v>
      </c>
      <c r="AE500" s="9"/>
      <c r="AF500" s="9"/>
      <c r="AG500" s="9" t="s">
        <v>17</v>
      </c>
      <c r="AH500" s="185">
        <v>3.6000000000000001E-5</v>
      </c>
      <c r="AI500" s="185">
        <v>1.6099965940232702E-2</v>
      </c>
      <c r="AJ500" s="185">
        <v>3.3421408175908301E-3</v>
      </c>
    </row>
    <row r="501" spans="1:36">
      <c r="A501" s="9">
        <v>337</v>
      </c>
      <c r="B501" s="9">
        <v>9964</v>
      </c>
      <c r="C501" s="9" t="s">
        <v>2402</v>
      </c>
      <c r="D501" s="9" t="s">
        <v>2403</v>
      </c>
      <c r="E501" s="5" t="s">
        <v>1346</v>
      </c>
      <c r="F501" s="9" t="s">
        <v>2407</v>
      </c>
      <c r="G501" s="9" t="s">
        <v>2408</v>
      </c>
      <c r="H501" s="9" t="s">
        <v>76</v>
      </c>
      <c r="I501" s="9" t="s">
        <v>229</v>
      </c>
      <c r="J501" s="9" t="s">
        <v>53</v>
      </c>
      <c r="K501" s="9" t="s">
        <v>53</v>
      </c>
      <c r="L501" s="9" t="s">
        <v>803</v>
      </c>
      <c r="M501" s="9" t="s">
        <v>1691</v>
      </c>
      <c r="N501" s="9" t="s">
        <v>256</v>
      </c>
      <c r="O501" s="9" t="s">
        <v>62</v>
      </c>
      <c r="P501" s="9" t="s">
        <v>1641</v>
      </c>
      <c r="Q501" s="9" t="s">
        <v>65</v>
      </c>
      <c r="R501" s="9" t="s">
        <v>57</v>
      </c>
      <c r="S501" s="9" t="s">
        <v>1259</v>
      </c>
      <c r="T501" s="170">
        <v>4.8159999999999998</v>
      </c>
      <c r="U501" s="9" t="s">
        <v>2409</v>
      </c>
      <c r="V501" s="199">
        <v>2.4E-2</v>
      </c>
      <c r="W501" s="185">
        <v>2.605E-2</v>
      </c>
      <c r="X501" s="5" t="s">
        <v>618</v>
      </c>
      <c r="Y501" s="5" t="s">
        <v>62</v>
      </c>
      <c r="Z501" s="170">
        <v>56000</v>
      </c>
      <c r="AA501" s="184">
        <v>1</v>
      </c>
      <c r="AB501" s="186">
        <v>101.7</v>
      </c>
      <c r="AC501" s="9"/>
      <c r="AD501" s="170">
        <v>56.951999999999998</v>
      </c>
      <c r="AE501" s="9"/>
      <c r="AF501" s="9"/>
      <c r="AG501" s="9" t="s">
        <v>17</v>
      </c>
      <c r="AH501" s="185">
        <v>2.5000000000000001E-5</v>
      </c>
      <c r="AI501" s="185">
        <v>7.0658992873383897E-3</v>
      </c>
      <c r="AJ501" s="185">
        <v>1.4667876012201199E-3</v>
      </c>
    </row>
    <row r="502" spans="1:36">
      <c r="A502" s="9">
        <v>337</v>
      </c>
      <c r="B502" s="9">
        <v>9964</v>
      </c>
      <c r="C502" s="9" t="s">
        <v>2402</v>
      </c>
      <c r="D502" s="9" t="s">
        <v>2403</v>
      </c>
      <c r="E502" s="5" t="s">
        <v>1346</v>
      </c>
      <c r="F502" s="9" t="s">
        <v>2789</v>
      </c>
      <c r="G502" s="9" t="s">
        <v>2790</v>
      </c>
      <c r="H502" s="9" t="s">
        <v>76</v>
      </c>
      <c r="I502" s="9" t="s">
        <v>229</v>
      </c>
      <c r="J502" s="9" t="s">
        <v>53</v>
      </c>
      <c r="K502" s="9" t="s">
        <v>53</v>
      </c>
      <c r="L502" s="9" t="s">
        <v>803</v>
      </c>
      <c r="M502" s="9" t="s">
        <v>311</v>
      </c>
      <c r="N502" s="9" t="s">
        <v>256</v>
      </c>
      <c r="O502" s="9" t="s">
        <v>62</v>
      </c>
      <c r="P502" s="9" t="s">
        <v>2239</v>
      </c>
      <c r="Q502" s="9" t="s">
        <v>65</v>
      </c>
      <c r="R502" s="9" t="s">
        <v>57</v>
      </c>
      <c r="S502" s="9" t="s">
        <v>1259</v>
      </c>
      <c r="T502" s="170">
        <v>2.3279999999999998</v>
      </c>
      <c r="U502" s="9" t="s">
        <v>2791</v>
      </c>
      <c r="V502" s="199">
        <v>2E-3</v>
      </c>
      <c r="W502" s="185">
        <v>2.8879999999999999E-2</v>
      </c>
      <c r="X502" s="5" t="s">
        <v>618</v>
      </c>
      <c r="Y502" s="5" t="s">
        <v>62</v>
      </c>
      <c r="Z502" s="170">
        <v>50000</v>
      </c>
      <c r="AA502" s="184">
        <v>1</v>
      </c>
      <c r="AB502" s="186">
        <v>107.5</v>
      </c>
      <c r="AC502" s="9"/>
      <c r="AD502" s="170">
        <v>53.75</v>
      </c>
      <c r="AE502" s="9"/>
      <c r="AF502" s="9"/>
      <c r="AG502" s="9" t="s">
        <v>17</v>
      </c>
      <c r="AH502" s="185">
        <v>8.7000000000000001E-5</v>
      </c>
      <c r="AI502" s="185">
        <v>6.66863475724186E-3</v>
      </c>
      <c r="AJ502" s="185">
        <v>1.3843207185977901E-3</v>
      </c>
    </row>
    <row r="503" spans="1:36">
      <c r="A503" s="9">
        <v>337</v>
      </c>
      <c r="B503" s="9">
        <v>9964</v>
      </c>
      <c r="C503" s="9" t="s">
        <v>2413</v>
      </c>
      <c r="D503" s="9" t="s">
        <v>2414</v>
      </c>
      <c r="E503" s="5" t="s">
        <v>1346</v>
      </c>
      <c r="F503" s="9" t="s">
        <v>2415</v>
      </c>
      <c r="G503" s="9" t="s">
        <v>2416</v>
      </c>
      <c r="H503" s="9" t="s">
        <v>76</v>
      </c>
      <c r="I503" s="9" t="s">
        <v>229</v>
      </c>
      <c r="J503" s="9" t="s">
        <v>53</v>
      </c>
      <c r="K503" s="9" t="s">
        <v>53</v>
      </c>
      <c r="L503" s="9" t="s">
        <v>803</v>
      </c>
      <c r="M503" s="9" t="s">
        <v>311</v>
      </c>
      <c r="N503" s="9" t="s">
        <v>156</v>
      </c>
      <c r="O503" s="9" t="s">
        <v>62</v>
      </c>
      <c r="P503" s="9" t="s">
        <v>2314</v>
      </c>
      <c r="Q503" s="9" t="s">
        <v>70</v>
      </c>
      <c r="R503" s="9" t="s">
        <v>57</v>
      </c>
      <c r="S503" s="9" t="s">
        <v>1259</v>
      </c>
      <c r="T503" s="170">
        <v>3.21</v>
      </c>
      <c r="U503" s="9" t="s">
        <v>2417</v>
      </c>
      <c r="V503" s="199">
        <v>1.7999999999999999E-2</v>
      </c>
      <c r="W503" s="185">
        <v>3.0980000000000001E-2</v>
      </c>
      <c r="X503" s="5" t="s">
        <v>618</v>
      </c>
      <c r="Y503" s="5" t="s">
        <v>62</v>
      </c>
      <c r="Z503" s="170">
        <v>37749.56</v>
      </c>
      <c r="AA503" s="184">
        <v>1</v>
      </c>
      <c r="AB503" s="186">
        <v>112.88</v>
      </c>
      <c r="AC503" s="9"/>
      <c r="AD503" s="170">
        <v>42.612000000000002</v>
      </c>
      <c r="AE503" s="9"/>
      <c r="AF503" s="9"/>
      <c r="AG503" s="9" t="s">
        <v>17</v>
      </c>
      <c r="AH503" s="185">
        <v>4.3000000000000002E-5</v>
      </c>
      <c r="AI503" s="185">
        <v>5.2867327605279901E-3</v>
      </c>
      <c r="AJ503" s="185">
        <v>1.0974560701710299E-3</v>
      </c>
    </row>
    <row r="504" spans="1:36">
      <c r="A504" s="9">
        <v>337</v>
      </c>
      <c r="B504" s="9">
        <v>9964</v>
      </c>
      <c r="C504" s="9" t="s">
        <v>2418</v>
      </c>
      <c r="D504" s="9" t="s">
        <v>2419</v>
      </c>
      <c r="E504" s="5" t="s">
        <v>1346</v>
      </c>
      <c r="F504" s="9" t="s">
        <v>2422</v>
      </c>
      <c r="G504" s="9" t="s">
        <v>2423</v>
      </c>
      <c r="H504" s="9" t="s">
        <v>76</v>
      </c>
      <c r="I504" s="9" t="s">
        <v>228</v>
      </c>
      <c r="J504" s="9" t="s">
        <v>53</v>
      </c>
      <c r="K504" s="9" t="s">
        <v>53</v>
      </c>
      <c r="L504" s="9" t="s">
        <v>803</v>
      </c>
      <c r="M504" s="9" t="s">
        <v>1691</v>
      </c>
      <c r="N504" s="9" t="s">
        <v>267</v>
      </c>
      <c r="O504" s="9" t="s">
        <v>62</v>
      </c>
      <c r="P504" s="9" t="s">
        <v>2330</v>
      </c>
      <c r="Q504" s="9" t="s">
        <v>65</v>
      </c>
      <c r="R504" s="9" t="s">
        <v>57</v>
      </c>
      <c r="S504" s="9" t="s">
        <v>1259</v>
      </c>
      <c r="T504" s="170">
        <v>5.5919999999999996</v>
      </c>
      <c r="U504" s="9" t="s">
        <v>2388</v>
      </c>
      <c r="V504" s="199">
        <v>5.6899999999999999E-2</v>
      </c>
      <c r="W504" s="185">
        <v>5.5149999999999998E-2</v>
      </c>
      <c r="X504" s="5" t="s">
        <v>618</v>
      </c>
      <c r="Y504" s="5" t="s">
        <v>62</v>
      </c>
      <c r="Z504" s="170">
        <v>53000</v>
      </c>
      <c r="AA504" s="184">
        <v>1</v>
      </c>
      <c r="AB504" s="186">
        <v>101.37</v>
      </c>
      <c r="AC504" s="9"/>
      <c r="AD504" s="170">
        <v>53.725999999999999</v>
      </c>
      <c r="AE504" s="9"/>
      <c r="AF504" s="9"/>
      <c r="AG504" s="9" t="s">
        <v>17</v>
      </c>
      <c r="AH504" s="185">
        <v>3.4E-5</v>
      </c>
      <c r="AI504" s="185">
        <v>6.6656695410428303E-3</v>
      </c>
      <c r="AJ504" s="185">
        <v>1.38370517878059E-3</v>
      </c>
    </row>
    <row r="505" spans="1:36">
      <c r="A505" s="9">
        <v>337</v>
      </c>
      <c r="B505" s="9">
        <v>9964</v>
      </c>
      <c r="C505" s="9" t="s">
        <v>2418</v>
      </c>
      <c r="D505" s="9" t="s">
        <v>2419</v>
      </c>
      <c r="E505" s="5" t="s">
        <v>1346</v>
      </c>
      <c r="F505" s="9" t="s">
        <v>2792</v>
      </c>
      <c r="G505" s="9" t="s">
        <v>2793</v>
      </c>
      <c r="H505" s="9" t="s">
        <v>76</v>
      </c>
      <c r="I505" s="9" t="s">
        <v>228</v>
      </c>
      <c r="J505" s="9" t="s">
        <v>53</v>
      </c>
      <c r="K505" s="9" t="s">
        <v>53</v>
      </c>
      <c r="L505" s="9" t="s">
        <v>803</v>
      </c>
      <c r="M505" s="9" t="s">
        <v>1691</v>
      </c>
      <c r="N505" s="9" t="s">
        <v>267</v>
      </c>
      <c r="O505" s="9" t="s">
        <v>62</v>
      </c>
      <c r="P505" s="9" t="s">
        <v>2330</v>
      </c>
      <c r="Q505" s="9" t="s">
        <v>65</v>
      </c>
      <c r="R505" s="9" t="s">
        <v>57</v>
      </c>
      <c r="S505" s="9" t="s">
        <v>1259</v>
      </c>
      <c r="T505" s="170">
        <v>4.9580000000000002</v>
      </c>
      <c r="U505" s="9" t="s">
        <v>2698</v>
      </c>
      <c r="V505" s="199">
        <v>6.3799999999999996E-2</v>
      </c>
      <c r="W505" s="185">
        <v>5.1869999999999999E-2</v>
      </c>
      <c r="X505" s="5" t="s">
        <v>618</v>
      </c>
      <c r="Y505" s="5" t="s">
        <v>62</v>
      </c>
      <c r="Z505" s="170">
        <v>58485</v>
      </c>
      <c r="AA505" s="184">
        <v>1</v>
      </c>
      <c r="AB505" s="186">
        <v>106.21</v>
      </c>
      <c r="AC505" s="9"/>
      <c r="AD505" s="170">
        <v>62.116999999999997</v>
      </c>
      <c r="AE505" s="9"/>
      <c r="AF505" s="9"/>
      <c r="AG505" s="9" t="s">
        <v>17</v>
      </c>
      <c r="AH505" s="185">
        <v>5.8E-5</v>
      </c>
      <c r="AI505" s="185">
        <v>7.7066984506392504E-3</v>
      </c>
      <c r="AJ505" s="185">
        <v>1.59980906520931E-3</v>
      </c>
    </row>
    <row r="506" spans="1:36">
      <c r="A506" s="9">
        <v>337</v>
      </c>
      <c r="B506" s="9">
        <v>9964</v>
      </c>
      <c r="C506" s="9" t="s">
        <v>2424</v>
      </c>
      <c r="D506" s="9" t="s">
        <v>2425</v>
      </c>
      <c r="E506" s="5" t="s">
        <v>1346</v>
      </c>
      <c r="F506" s="9" t="s">
        <v>2426</v>
      </c>
      <c r="G506" s="9" t="s">
        <v>2427</v>
      </c>
      <c r="H506" s="9" t="s">
        <v>76</v>
      </c>
      <c r="I506" s="9" t="s">
        <v>229</v>
      </c>
      <c r="J506" s="9" t="s">
        <v>53</v>
      </c>
      <c r="K506" s="9" t="s">
        <v>53</v>
      </c>
      <c r="L506" s="9" t="s">
        <v>803</v>
      </c>
      <c r="M506" s="9" t="s">
        <v>311</v>
      </c>
      <c r="N506" s="9" t="s">
        <v>633</v>
      </c>
      <c r="O506" s="9" t="s">
        <v>62</v>
      </c>
      <c r="P506" s="9" t="s">
        <v>1614</v>
      </c>
      <c r="Q506" s="9" t="s">
        <v>65</v>
      </c>
      <c r="R506" s="9" t="s">
        <v>57</v>
      </c>
      <c r="S506" s="9" t="s">
        <v>1259</v>
      </c>
      <c r="T506" s="170">
        <v>2.2509999999999999</v>
      </c>
      <c r="U506" s="9" t="s">
        <v>2428</v>
      </c>
      <c r="V506" s="199">
        <v>1.7999999999999999E-2</v>
      </c>
      <c r="W506" s="185">
        <v>2.801E-2</v>
      </c>
      <c r="X506" s="5" t="s">
        <v>618</v>
      </c>
      <c r="Y506" s="5" t="s">
        <v>62</v>
      </c>
      <c r="Z506" s="170">
        <v>118421.04</v>
      </c>
      <c r="AA506" s="184">
        <v>1</v>
      </c>
      <c r="AB506" s="186">
        <v>115.55</v>
      </c>
      <c r="AC506" s="9"/>
      <c r="AD506" s="170">
        <v>136.83600000000001</v>
      </c>
      <c r="AE506" s="9"/>
      <c r="AF506" s="9"/>
      <c r="AG506" s="9" t="s">
        <v>17</v>
      </c>
      <c r="AH506" s="185">
        <v>1.6000000000000001E-4</v>
      </c>
      <c r="AI506" s="185">
        <v>1.6976856734529599E-2</v>
      </c>
      <c r="AJ506" s="185">
        <v>3.5241717937474801E-3</v>
      </c>
    </row>
    <row r="507" spans="1:36">
      <c r="A507" s="9">
        <v>337</v>
      </c>
      <c r="B507" s="9">
        <v>9964</v>
      </c>
      <c r="C507" s="9" t="s">
        <v>2429</v>
      </c>
      <c r="D507" s="9" t="s">
        <v>2430</v>
      </c>
      <c r="E507" s="5" t="s">
        <v>1346</v>
      </c>
      <c r="F507" s="9" t="s">
        <v>2433</v>
      </c>
      <c r="G507" s="9" t="s">
        <v>2434</v>
      </c>
      <c r="H507" s="9" t="s">
        <v>76</v>
      </c>
      <c r="I507" s="9" t="s">
        <v>228</v>
      </c>
      <c r="J507" s="9" t="s">
        <v>53</v>
      </c>
      <c r="K507" s="9" t="s">
        <v>53</v>
      </c>
      <c r="L507" s="9" t="s">
        <v>803</v>
      </c>
      <c r="M507" s="9" t="s">
        <v>311</v>
      </c>
      <c r="N507" s="9" t="s">
        <v>269</v>
      </c>
      <c r="O507" s="9" t="s">
        <v>62</v>
      </c>
      <c r="P507" s="9" t="s">
        <v>1607</v>
      </c>
      <c r="Q507" s="9" t="s">
        <v>65</v>
      </c>
      <c r="R507" s="9" t="s">
        <v>57</v>
      </c>
      <c r="S507" s="9" t="s">
        <v>1259</v>
      </c>
      <c r="T507" s="170">
        <v>7.6970000000000001</v>
      </c>
      <c r="U507" s="9" t="s">
        <v>2435</v>
      </c>
      <c r="V507" s="199">
        <v>5.8500000000000003E-2</v>
      </c>
      <c r="W507" s="185">
        <v>5.3460000000000001E-2</v>
      </c>
      <c r="X507" s="5" t="s">
        <v>618</v>
      </c>
      <c r="Y507" s="5" t="s">
        <v>62</v>
      </c>
      <c r="Z507" s="170">
        <v>70000</v>
      </c>
      <c r="AA507" s="184">
        <v>1</v>
      </c>
      <c r="AB507" s="186">
        <v>105.43</v>
      </c>
      <c r="AC507" s="9"/>
      <c r="AD507" s="170">
        <v>73.801000000000002</v>
      </c>
      <c r="AE507" s="9"/>
      <c r="AF507" s="9"/>
      <c r="AG507" s="9" t="s">
        <v>17</v>
      </c>
      <c r="AH507" s="185">
        <v>6.9999999999999994E-5</v>
      </c>
      <c r="AI507" s="185">
        <v>9.1563146738457002E-3</v>
      </c>
      <c r="AJ507" s="185">
        <v>1.90073029494392E-3</v>
      </c>
    </row>
    <row r="508" spans="1:36">
      <c r="A508" s="9">
        <v>337</v>
      </c>
      <c r="B508" s="9">
        <v>9964</v>
      </c>
      <c r="C508" s="9" t="s">
        <v>2436</v>
      </c>
      <c r="D508" s="9" t="s">
        <v>2437</v>
      </c>
      <c r="E508" s="5" t="s">
        <v>1346</v>
      </c>
      <c r="F508" s="9" t="s">
        <v>2438</v>
      </c>
      <c r="G508" s="9" t="s">
        <v>2439</v>
      </c>
      <c r="H508" s="9" t="s">
        <v>76</v>
      </c>
      <c r="I508" s="9" t="s">
        <v>229</v>
      </c>
      <c r="J508" s="9" t="s">
        <v>53</v>
      </c>
      <c r="K508" s="9" t="s">
        <v>53</v>
      </c>
      <c r="L508" s="9" t="s">
        <v>803</v>
      </c>
      <c r="M508" s="9" t="s">
        <v>311</v>
      </c>
      <c r="N508" s="9" t="s">
        <v>633</v>
      </c>
      <c r="O508" s="9" t="s">
        <v>62</v>
      </c>
      <c r="P508" s="9" t="s">
        <v>2225</v>
      </c>
      <c r="Q508" s="9" t="s">
        <v>70</v>
      </c>
      <c r="R508" s="9" t="s">
        <v>57</v>
      </c>
      <c r="S508" s="9" t="s">
        <v>1259</v>
      </c>
      <c r="T508" s="170">
        <v>5.1120000000000001</v>
      </c>
      <c r="U508" s="9" t="s">
        <v>2440</v>
      </c>
      <c r="V508" s="199">
        <v>3.1800000000000002E-2</v>
      </c>
      <c r="W508" s="185">
        <v>3.049E-2</v>
      </c>
      <c r="X508" s="5" t="s">
        <v>618</v>
      </c>
      <c r="Y508" s="5" t="s">
        <v>62</v>
      </c>
      <c r="Z508" s="170">
        <v>70000</v>
      </c>
      <c r="AA508" s="184">
        <v>1</v>
      </c>
      <c r="AB508" s="186">
        <v>102.65</v>
      </c>
      <c r="AC508" s="9"/>
      <c r="AD508" s="170">
        <v>71.855000000000004</v>
      </c>
      <c r="AE508" s="9"/>
      <c r="AF508" s="9"/>
      <c r="AG508" s="9" t="s">
        <v>17</v>
      </c>
      <c r="AH508" s="185">
        <v>3.1399999999999999E-4</v>
      </c>
      <c r="AI508" s="185">
        <v>8.9148790787277003E-3</v>
      </c>
      <c r="AJ508" s="185">
        <v>1.85061144622966E-3</v>
      </c>
    </row>
    <row r="509" spans="1:36">
      <c r="A509" s="9">
        <v>337</v>
      </c>
      <c r="B509" s="9">
        <v>9964</v>
      </c>
      <c r="C509" s="9" t="s">
        <v>1950</v>
      </c>
      <c r="D509" s="9" t="s">
        <v>1951</v>
      </c>
      <c r="E509" s="5" t="s">
        <v>1346</v>
      </c>
      <c r="F509" s="9" t="s">
        <v>2799</v>
      </c>
      <c r="G509" s="9" t="s">
        <v>2800</v>
      </c>
      <c r="H509" s="9" t="s">
        <v>76</v>
      </c>
      <c r="I509" s="9" t="s">
        <v>229</v>
      </c>
      <c r="J509" s="9" t="s">
        <v>53</v>
      </c>
      <c r="K509" s="9" t="s">
        <v>53</v>
      </c>
      <c r="L509" s="9" t="s">
        <v>803</v>
      </c>
      <c r="M509" s="9" t="s">
        <v>311</v>
      </c>
      <c r="N509" s="9" t="s">
        <v>140</v>
      </c>
      <c r="O509" s="9" t="s">
        <v>62</v>
      </c>
      <c r="P509" s="167" t="s">
        <v>298</v>
      </c>
      <c r="Q509" s="9" t="s">
        <v>298</v>
      </c>
      <c r="R509" s="9" t="s">
        <v>298</v>
      </c>
      <c r="S509" s="9" t="s">
        <v>1259</v>
      </c>
      <c r="T509" s="170">
        <v>1.107</v>
      </c>
      <c r="U509" s="9" t="s">
        <v>2744</v>
      </c>
      <c r="V509" s="199">
        <v>3.5000000000000003E-2</v>
      </c>
      <c r="W509" s="185">
        <v>3.8109999999999998E-2</v>
      </c>
      <c r="X509" s="5" t="s">
        <v>618</v>
      </c>
      <c r="Y509" s="5" t="s">
        <v>62</v>
      </c>
      <c r="Z509" s="170">
        <v>31200</v>
      </c>
      <c r="AA509" s="184">
        <v>1</v>
      </c>
      <c r="AB509" s="186">
        <v>110.5</v>
      </c>
      <c r="AC509" s="9"/>
      <c r="AD509" s="170">
        <v>34.475999999999999</v>
      </c>
      <c r="AE509" s="9"/>
      <c r="AF509" s="9"/>
      <c r="AG509" s="9" t="s">
        <v>17</v>
      </c>
      <c r="AH509" s="185">
        <v>2.05E-4</v>
      </c>
      <c r="AI509" s="185">
        <v>4.2773553840124703E-3</v>
      </c>
      <c r="AJ509" s="185">
        <v>8.8792262501167401E-4</v>
      </c>
    </row>
    <row r="510" spans="1:36">
      <c r="A510" s="9">
        <v>337</v>
      </c>
      <c r="B510" s="9">
        <v>9964</v>
      </c>
      <c r="C510" s="9" t="s">
        <v>2441</v>
      </c>
      <c r="D510" s="9" t="s">
        <v>2442</v>
      </c>
      <c r="E510" s="5" t="s">
        <v>1346</v>
      </c>
      <c r="F510" s="9" t="s">
        <v>2809</v>
      </c>
      <c r="G510" s="9" t="s">
        <v>2810</v>
      </c>
      <c r="H510" s="9" t="s">
        <v>76</v>
      </c>
      <c r="I510" s="9" t="s">
        <v>229</v>
      </c>
      <c r="J510" s="9" t="s">
        <v>53</v>
      </c>
      <c r="K510" s="9" t="s">
        <v>53</v>
      </c>
      <c r="L510" s="9" t="s">
        <v>803</v>
      </c>
      <c r="M510" s="9" t="s">
        <v>311</v>
      </c>
      <c r="N510" s="9" t="s">
        <v>156</v>
      </c>
      <c r="O510" s="9" t="s">
        <v>62</v>
      </c>
      <c r="P510" s="9" t="s">
        <v>1641</v>
      </c>
      <c r="Q510" s="9" t="s">
        <v>65</v>
      </c>
      <c r="R510" s="9" t="s">
        <v>57</v>
      </c>
      <c r="S510" s="9" t="s">
        <v>1259</v>
      </c>
      <c r="T510" s="170">
        <v>0.65200000000000002</v>
      </c>
      <c r="U510" s="9" t="s">
        <v>2811</v>
      </c>
      <c r="V510" s="199">
        <v>4.4999999999999998E-2</v>
      </c>
      <c r="W510" s="185">
        <v>2.9680000000000002E-2</v>
      </c>
      <c r="X510" s="5" t="s">
        <v>618</v>
      </c>
      <c r="Y510" s="5" t="s">
        <v>62</v>
      </c>
      <c r="Z510" s="170">
        <v>75000</v>
      </c>
      <c r="AA510" s="184">
        <v>1</v>
      </c>
      <c r="AB510" s="186">
        <v>121.68</v>
      </c>
      <c r="AC510" s="9"/>
      <c r="AD510" s="170">
        <v>91.26</v>
      </c>
      <c r="AE510" s="9"/>
      <c r="AF510" s="9"/>
      <c r="AG510" s="9" t="s">
        <v>17</v>
      </c>
      <c r="AH510" s="185">
        <v>5.1E-5</v>
      </c>
      <c r="AI510" s="185">
        <v>1.13224113106212E-2</v>
      </c>
      <c r="AJ510" s="185">
        <v>2.3503834191485498E-3</v>
      </c>
    </row>
    <row r="511" spans="1:36">
      <c r="A511" s="9">
        <v>337</v>
      </c>
      <c r="B511" s="9">
        <v>9964</v>
      </c>
      <c r="C511" s="9" t="s">
        <v>2441</v>
      </c>
      <c r="D511" s="9" t="s">
        <v>2442</v>
      </c>
      <c r="E511" s="5" t="s">
        <v>1346</v>
      </c>
      <c r="F511" s="9" t="s">
        <v>2443</v>
      </c>
      <c r="G511" s="9" t="s">
        <v>2444</v>
      </c>
      <c r="H511" s="9" t="s">
        <v>76</v>
      </c>
      <c r="I511" s="9" t="s">
        <v>229</v>
      </c>
      <c r="J511" s="9" t="s">
        <v>53</v>
      </c>
      <c r="K511" s="9" t="s">
        <v>53</v>
      </c>
      <c r="L511" s="9" t="s">
        <v>803</v>
      </c>
      <c r="M511" s="9" t="s">
        <v>311</v>
      </c>
      <c r="N511" s="9" t="s">
        <v>156</v>
      </c>
      <c r="O511" s="9" t="s">
        <v>62</v>
      </c>
      <c r="P511" s="9" t="s">
        <v>1641</v>
      </c>
      <c r="Q511" s="9" t="s">
        <v>65</v>
      </c>
      <c r="R511" s="9" t="s">
        <v>57</v>
      </c>
      <c r="S511" s="9" t="s">
        <v>1259</v>
      </c>
      <c r="T511" s="170">
        <v>10.058999999999999</v>
      </c>
      <c r="U511" s="9" t="s">
        <v>2445</v>
      </c>
      <c r="V511" s="199">
        <v>3.2000000000000001E-2</v>
      </c>
      <c r="W511" s="185">
        <v>2.7959999999999999E-2</v>
      </c>
      <c r="X511" s="5" t="s">
        <v>618</v>
      </c>
      <c r="Y511" s="5" t="s">
        <v>62</v>
      </c>
      <c r="Z511" s="170">
        <v>85000</v>
      </c>
      <c r="AA511" s="184">
        <v>1</v>
      </c>
      <c r="AB511" s="186">
        <v>110.87</v>
      </c>
      <c r="AC511" s="9"/>
      <c r="AD511" s="170">
        <v>94.24</v>
      </c>
      <c r="AE511" s="9"/>
      <c r="AF511" s="9"/>
      <c r="AG511" s="9" t="s">
        <v>17</v>
      </c>
      <c r="AH511" s="185">
        <v>1.7E-5</v>
      </c>
      <c r="AI511" s="185">
        <v>1.16920707945134E-2</v>
      </c>
      <c r="AJ511" s="185">
        <v>2.4271198578659798E-3</v>
      </c>
    </row>
    <row r="512" spans="1:36">
      <c r="A512" s="9">
        <v>337</v>
      </c>
      <c r="B512" s="9">
        <v>9964</v>
      </c>
      <c r="C512" s="9" t="s">
        <v>2441</v>
      </c>
      <c r="D512" s="9" t="s">
        <v>2442</v>
      </c>
      <c r="E512" s="5" t="s">
        <v>1346</v>
      </c>
      <c r="F512" s="9" t="s">
        <v>2446</v>
      </c>
      <c r="G512" s="9" t="s">
        <v>2447</v>
      </c>
      <c r="H512" s="9" t="s">
        <v>76</v>
      </c>
      <c r="I512" s="9" t="s">
        <v>229</v>
      </c>
      <c r="J512" s="9" t="s">
        <v>53</v>
      </c>
      <c r="K512" s="9" t="s">
        <v>53</v>
      </c>
      <c r="L512" s="9" t="s">
        <v>803</v>
      </c>
      <c r="M512" s="9" t="s">
        <v>1691</v>
      </c>
      <c r="N512" s="9" t="s">
        <v>156</v>
      </c>
      <c r="O512" s="9" t="s">
        <v>62</v>
      </c>
      <c r="P512" s="9" t="s">
        <v>1641</v>
      </c>
      <c r="Q512" s="9" t="s">
        <v>65</v>
      </c>
      <c r="R512" s="9" t="s">
        <v>57</v>
      </c>
      <c r="S512" s="9" t="s">
        <v>1259</v>
      </c>
      <c r="T512" s="170">
        <v>7.8319999999999999</v>
      </c>
      <c r="U512" s="9" t="s">
        <v>2448</v>
      </c>
      <c r="V512" s="199">
        <v>2.9899999999999999E-2</v>
      </c>
      <c r="W512" s="185">
        <v>2.759E-2</v>
      </c>
      <c r="X512" s="5" t="s">
        <v>618</v>
      </c>
      <c r="Y512" s="5" t="s">
        <v>62</v>
      </c>
      <c r="Z512" s="170">
        <v>10000</v>
      </c>
      <c r="AA512" s="184">
        <v>1</v>
      </c>
      <c r="AB512" s="186">
        <v>103.17</v>
      </c>
      <c r="AC512" s="9"/>
      <c r="AD512" s="170">
        <v>10.317</v>
      </c>
      <c r="AE512" s="9"/>
      <c r="AF512" s="9"/>
      <c r="AG512" s="9" t="s">
        <v>17</v>
      </c>
      <c r="AH512" s="185">
        <v>2.5999999999999998E-5</v>
      </c>
      <c r="AI512" s="185">
        <v>1.28000567052027E-3</v>
      </c>
      <c r="AJ512" s="185">
        <v>2.6571231355857503E-4</v>
      </c>
    </row>
    <row r="513" spans="1:36">
      <c r="A513" s="9">
        <v>337</v>
      </c>
      <c r="B513" s="9">
        <v>9964</v>
      </c>
      <c r="C513" s="9" t="s">
        <v>2449</v>
      </c>
      <c r="D513" s="9" t="s">
        <v>2450</v>
      </c>
      <c r="E513" s="5" t="s">
        <v>765</v>
      </c>
      <c r="F513" s="9" t="s">
        <v>2451</v>
      </c>
      <c r="G513" s="9" t="s">
        <v>2452</v>
      </c>
      <c r="H513" s="9" t="s">
        <v>76</v>
      </c>
      <c r="I513" s="9" t="s">
        <v>230</v>
      </c>
      <c r="J513" s="9" t="s">
        <v>53</v>
      </c>
      <c r="K513" s="9" t="s">
        <v>314</v>
      </c>
      <c r="L513" s="9" t="s">
        <v>803</v>
      </c>
      <c r="M513" s="9" t="s">
        <v>311</v>
      </c>
      <c r="N513" s="9" t="s">
        <v>634</v>
      </c>
      <c r="O513" s="9" t="s">
        <v>62</v>
      </c>
      <c r="P513" s="9" t="s">
        <v>2239</v>
      </c>
      <c r="Q513" s="9" t="s">
        <v>65</v>
      </c>
      <c r="R513" s="9" t="s">
        <v>57</v>
      </c>
      <c r="S513" s="9" t="s">
        <v>1215</v>
      </c>
      <c r="T513" s="170">
        <v>1.5920000000000001</v>
      </c>
      <c r="U513" s="9" t="s">
        <v>2453</v>
      </c>
      <c r="V513" s="199">
        <v>4.7199999999999999E-2</v>
      </c>
      <c r="W513" s="185">
        <v>5.8950000000000002E-2</v>
      </c>
      <c r="X513" s="5" t="s">
        <v>618</v>
      </c>
      <c r="Y513" s="5" t="s">
        <v>62</v>
      </c>
      <c r="Z513" s="170">
        <v>48000</v>
      </c>
      <c r="AA513" s="184">
        <v>3.3719999999999999</v>
      </c>
      <c r="AB513" s="186">
        <v>31.234000000000002</v>
      </c>
      <c r="AC513" s="9"/>
      <c r="AD513" s="170">
        <v>50.554000000000002</v>
      </c>
      <c r="AE513" s="9"/>
      <c r="AF513" s="9"/>
      <c r="AG513" s="9" t="s">
        <v>17</v>
      </c>
      <c r="AH513" s="185">
        <v>1.46E-4</v>
      </c>
      <c r="AI513" s="185">
        <v>6.2720650058363204E-3</v>
      </c>
      <c r="AJ513" s="185">
        <v>1.3019980628782399E-3</v>
      </c>
    </row>
    <row r="514" spans="1:36">
      <c r="A514" s="9">
        <v>337</v>
      </c>
      <c r="B514" s="9">
        <v>9964</v>
      </c>
      <c r="C514" s="9" t="s">
        <v>1988</v>
      </c>
      <c r="D514" s="9" t="s">
        <v>1989</v>
      </c>
      <c r="E514" s="5" t="s">
        <v>1346</v>
      </c>
      <c r="F514" s="9" t="s">
        <v>2459</v>
      </c>
      <c r="G514" s="9" t="s">
        <v>2460</v>
      </c>
      <c r="H514" s="9" t="s">
        <v>76</v>
      </c>
      <c r="I514" s="9" t="s">
        <v>228</v>
      </c>
      <c r="J514" s="9" t="s">
        <v>53</v>
      </c>
      <c r="K514" s="9" t="s">
        <v>53</v>
      </c>
      <c r="L514" s="9" t="s">
        <v>803</v>
      </c>
      <c r="M514" s="9" t="s">
        <v>311</v>
      </c>
      <c r="N514" s="9" t="s">
        <v>632</v>
      </c>
      <c r="O514" s="9" t="s">
        <v>62</v>
      </c>
      <c r="P514" s="9" t="s">
        <v>1621</v>
      </c>
      <c r="Q514" s="9" t="s">
        <v>70</v>
      </c>
      <c r="R514" s="9" t="s">
        <v>57</v>
      </c>
      <c r="S514" s="9" t="s">
        <v>1259</v>
      </c>
      <c r="T514" s="170">
        <v>3.431</v>
      </c>
      <c r="U514" s="9" t="s">
        <v>2461</v>
      </c>
      <c r="V514" s="199">
        <v>3.9399999999999998E-2</v>
      </c>
      <c r="W514" s="185">
        <v>4.6039999999999998E-2</v>
      </c>
      <c r="X514" s="5" t="s">
        <v>618</v>
      </c>
      <c r="Y514" s="5" t="s">
        <v>62</v>
      </c>
      <c r="Z514" s="170">
        <v>4978.3999999999996</v>
      </c>
      <c r="AA514" s="184">
        <v>1</v>
      </c>
      <c r="AB514" s="186">
        <v>97.95</v>
      </c>
      <c r="AC514" s="170">
        <v>0.46100000000000002</v>
      </c>
      <c r="AD514" s="170">
        <v>5.3369999999999997</v>
      </c>
      <c r="AE514" s="9"/>
      <c r="AF514" s="9"/>
      <c r="AG514" s="9" t="s">
        <v>17</v>
      </c>
      <c r="AH514" s="185">
        <v>3.4999999999999997E-5</v>
      </c>
      <c r="AI514" s="185">
        <v>6.6215173477715799E-4</v>
      </c>
      <c r="AJ514" s="185">
        <v>1.37453976514768E-4</v>
      </c>
    </row>
    <row r="515" spans="1:36">
      <c r="A515" s="9">
        <v>337</v>
      </c>
      <c r="B515" s="9">
        <v>9964</v>
      </c>
      <c r="C515" s="9" t="s">
        <v>2462</v>
      </c>
      <c r="D515" s="9" t="s">
        <v>2463</v>
      </c>
      <c r="E515" s="5" t="s">
        <v>1346</v>
      </c>
      <c r="F515" s="9" t="s">
        <v>2464</v>
      </c>
      <c r="G515" s="9" t="s">
        <v>2465</v>
      </c>
      <c r="H515" s="9" t="s">
        <v>76</v>
      </c>
      <c r="I515" s="9" t="s">
        <v>229</v>
      </c>
      <c r="J515" s="9" t="s">
        <v>53</v>
      </c>
      <c r="K515" s="9" t="s">
        <v>53</v>
      </c>
      <c r="L515" s="9" t="s">
        <v>803</v>
      </c>
      <c r="M515" s="9" t="s">
        <v>311</v>
      </c>
      <c r="N515" s="9" t="s">
        <v>256</v>
      </c>
      <c r="O515" s="9" t="s">
        <v>62</v>
      </c>
      <c r="P515" s="9" t="s">
        <v>2239</v>
      </c>
      <c r="Q515" s="9" t="s">
        <v>65</v>
      </c>
      <c r="R515" s="9" t="s">
        <v>57</v>
      </c>
      <c r="S515" s="9" t="s">
        <v>1259</v>
      </c>
      <c r="T515" s="170">
        <v>3.8740000000000001</v>
      </c>
      <c r="U515" s="9" t="s">
        <v>2466</v>
      </c>
      <c r="V515" s="199">
        <v>2.5899999999999999E-2</v>
      </c>
      <c r="W515" s="185">
        <v>2.7470000000000001E-2</v>
      </c>
      <c r="X515" s="5" t="s">
        <v>618</v>
      </c>
      <c r="Y515" s="5" t="s">
        <v>62</v>
      </c>
      <c r="Z515" s="170">
        <v>30000</v>
      </c>
      <c r="AA515" s="184">
        <v>1</v>
      </c>
      <c r="AB515" s="186">
        <v>105.24</v>
      </c>
      <c r="AC515" s="9"/>
      <c r="AD515" s="170">
        <v>31.571999999999999</v>
      </c>
      <c r="AE515" s="9"/>
      <c r="AF515" s="9"/>
      <c r="AG515" s="9" t="s">
        <v>17</v>
      </c>
      <c r="AH515" s="185">
        <v>4.3999999999999999E-5</v>
      </c>
      <c r="AI515" s="185">
        <v>3.91706300568633E-3</v>
      </c>
      <c r="AJ515" s="185">
        <v>8.1313067400129197E-4</v>
      </c>
    </row>
    <row r="516" spans="1:36">
      <c r="A516" s="9">
        <v>337</v>
      </c>
      <c r="B516" s="9">
        <v>9964</v>
      </c>
      <c r="C516" s="9" t="s">
        <v>2467</v>
      </c>
      <c r="D516" s="9" t="s">
        <v>2468</v>
      </c>
      <c r="E516" s="5" t="s">
        <v>1346</v>
      </c>
      <c r="F516" s="9" t="s">
        <v>2469</v>
      </c>
      <c r="G516" s="9" t="s">
        <v>2470</v>
      </c>
      <c r="H516" s="9" t="s">
        <v>76</v>
      </c>
      <c r="I516" s="9" t="s">
        <v>229</v>
      </c>
      <c r="J516" s="9" t="s">
        <v>53</v>
      </c>
      <c r="K516" s="9" t="s">
        <v>53</v>
      </c>
      <c r="L516" s="9" t="s">
        <v>803</v>
      </c>
      <c r="M516" s="9" t="s">
        <v>311</v>
      </c>
      <c r="N516" s="9" t="s">
        <v>633</v>
      </c>
      <c r="O516" s="9" t="s">
        <v>62</v>
      </c>
      <c r="P516" s="167" t="s">
        <v>298</v>
      </c>
      <c r="Q516" s="9" t="s">
        <v>298</v>
      </c>
      <c r="R516" s="9" t="s">
        <v>298</v>
      </c>
      <c r="S516" s="9" t="s">
        <v>1259</v>
      </c>
      <c r="T516" s="170">
        <v>2.3610000000000002</v>
      </c>
      <c r="U516" s="9" t="s">
        <v>2428</v>
      </c>
      <c r="V516" s="199">
        <v>4.4999999999999998E-2</v>
      </c>
      <c r="W516" s="185">
        <v>3.3390000000000003E-2</v>
      </c>
      <c r="X516" s="5" t="s">
        <v>618</v>
      </c>
      <c r="Y516" s="5" t="s">
        <v>62</v>
      </c>
      <c r="Z516" s="170">
        <v>48000</v>
      </c>
      <c r="AA516" s="184">
        <v>1</v>
      </c>
      <c r="AB516" s="186">
        <v>108.49</v>
      </c>
      <c r="AC516" s="9"/>
      <c r="AD516" s="170">
        <v>52.075000000000003</v>
      </c>
      <c r="AE516" s="9"/>
      <c r="AF516" s="9"/>
      <c r="AG516" s="9" t="s">
        <v>17</v>
      </c>
      <c r="AH516" s="185">
        <v>4.8999999999999998E-5</v>
      </c>
      <c r="AI516" s="185">
        <v>6.4608463015873698E-3</v>
      </c>
      <c r="AJ516" s="185">
        <v>1.3411865727464901E-3</v>
      </c>
    </row>
    <row r="517" spans="1:36">
      <c r="A517" s="9">
        <v>337</v>
      </c>
      <c r="B517" s="9">
        <v>9964</v>
      </c>
      <c r="C517" s="9" t="s">
        <v>2471</v>
      </c>
      <c r="D517" s="9" t="s">
        <v>2472</v>
      </c>
      <c r="E517" s="5" t="s">
        <v>1346</v>
      </c>
      <c r="F517" s="9" t="s">
        <v>2473</v>
      </c>
      <c r="G517" s="9" t="s">
        <v>2474</v>
      </c>
      <c r="H517" s="9" t="s">
        <v>76</v>
      </c>
      <c r="I517" s="9" t="s">
        <v>228</v>
      </c>
      <c r="J517" s="9" t="s">
        <v>53</v>
      </c>
      <c r="K517" s="9" t="s">
        <v>53</v>
      </c>
      <c r="L517" s="9" t="s">
        <v>803</v>
      </c>
      <c r="M517" s="9" t="s">
        <v>311</v>
      </c>
      <c r="N517" s="9" t="s">
        <v>140</v>
      </c>
      <c r="O517" s="9" t="s">
        <v>62</v>
      </c>
      <c r="P517" s="9" t="s">
        <v>2330</v>
      </c>
      <c r="Q517" s="9" t="s">
        <v>65</v>
      </c>
      <c r="R517" s="9" t="s">
        <v>57</v>
      </c>
      <c r="S517" s="9" t="s">
        <v>1259</v>
      </c>
      <c r="T517" s="170">
        <v>1.4570000000000001</v>
      </c>
      <c r="U517" s="9" t="s">
        <v>1615</v>
      </c>
      <c r="V517" s="199">
        <v>3.95E-2</v>
      </c>
      <c r="W517" s="185">
        <v>5.5649999999999998E-2</v>
      </c>
      <c r="X517" s="5" t="s">
        <v>618</v>
      </c>
      <c r="Y517" s="5" t="s">
        <v>62</v>
      </c>
      <c r="Z517" s="170">
        <v>44800</v>
      </c>
      <c r="AA517" s="184">
        <v>1</v>
      </c>
      <c r="AB517" s="186">
        <v>97.85</v>
      </c>
      <c r="AC517" s="9"/>
      <c r="AD517" s="170">
        <v>43.837000000000003</v>
      </c>
      <c r="AE517" s="9"/>
      <c r="AF517" s="9"/>
      <c r="AG517" s="9" t="s">
        <v>17</v>
      </c>
      <c r="AH517" s="185">
        <v>7.6000000000000004E-5</v>
      </c>
      <c r="AI517" s="185">
        <v>5.4387275930467003E-3</v>
      </c>
      <c r="AJ517" s="185">
        <v>1.12900819492144E-3</v>
      </c>
    </row>
    <row r="518" spans="1:36">
      <c r="A518" s="9">
        <v>337</v>
      </c>
      <c r="B518" s="9">
        <v>9964</v>
      </c>
      <c r="C518" s="9" t="s">
        <v>2478</v>
      </c>
      <c r="D518" s="9" t="s">
        <v>2479</v>
      </c>
      <c r="E518" s="5" t="s">
        <v>1346</v>
      </c>
      <c r="F518" s="9" t="s">
        <v>2480</v>
      </c>
      <c r="G518" s="9" t="s">
        <v>2481</v>
      </c>
      <c r="H518" s="9" t="s">
        <v>76</v>
      </c>
      <c r="I518" s="9" t="s">
        <v>229</v>
      </c>
      <c r="J518" s="9" t="s">
        <v>53</v>
      </c>
      <c r="K518" s="9" t="s">
        <v>53</v>
      </c>
      <c r="L518" s="9" t="s">
        <v>803</v>
      </c>
      <c r="M518" s="9" t="s">
        <v>311</v>
      </c>
      <c r="N518" s="9" t="s">
        <v>633</v>
      </c>
      <c r="O518" s="9" t="s">
        <v>62</v>
      </c>
      <c r="P518" s="9" t="s">
        <v>2246</v>
      </c>
      <c r="Q518" s="9" t="s">
        <v>65</v>
      </c>
      <c r="R518" s="9" t="s">
        <v>57</v>
      </c>
      <c r="S518" s="9" t="s">
        <v>1259</v>
      </c>
      <c r="T518" s="170">
        <v>1.7569999999999999</v>
      </c>
      <c r="U518" s="9" t="s">
        <v>2482</v>
      </c>
      <c r="V518" s="199">
        <v>1.5800000000000002E-2</v>
      </c>
      <c r="W518" s="185">
        <v>2.7789999999999999E-2</v>
      </c>
      <c r="X518" s="5" t="s">
        <v>618</v>
      </c>
      <c r="Y518" s="5" t="s">
        <v>62</v>
      </c>
      <c r="Z518" s="170">
        <v>23014.37</v>
      </c>
      <c r="AA518" s="184">
        <v>1</v>
      </c>
      <c r="AB518" s="186">
        <v>116.04</v>
      </c>
      <c r="AC518" s="9"/>
      <c r="AD518" s="170">
        <v>26.706</v>
      </c>
      <c r="AE518" s="9"/>
      <c r="AF518" s="9"/>
      <c r="AG518" s="9" t="s">
        <v>17</v>
      </c>
      <c r="AH518" s="185">
        <v>5.8E-5</v>
      </c>
      <c r="AI518" s="185">
        <v>3.3133344353634899E-3</v>
      </c>
      <c r="AJ518" s="185">
        <v>6.87804576721825E-4</v>
      </c>
    </row>
    <row r="519" spans="1:36">
      <c r="A519" s="9">
        <v>337</v>
      </c>
      <c r="B519" s="9">
        <v>9964</v>
      </c>
      <c r="C519" s="9" t="s">
        <v>2478</v>
      </c>
      <c r="D519" s="9" t="s">
        <v>2479</v>
      </c>
      <c r="E519" s="5" t="s">
        <v>1346</v>
      </c>
      <c r="F519" s="9" t="s">
        <v>2486</v>
      </c>
      <c r="G519" s="9" t="s">
        <v>2487</v>
      </c>
      <c r="H519" s="9" t="s">
        <v>76</v>
      </c>
      <c r="I519" s="9" t="s">
        <v>229</v>
      </c>
      <c r="J519" s="9" t="s">
        <v>53</v>
      </c>
      <c r="K519" s="9" t="s">
        <v>53</v>
      </c>
      <c r="L519" s="9" t="s">
        <v>803</v>
      </c>
      <c r="M519" s="9" t="s">
        <v>311</v>
      </c>
      <c r="N519" s="9" t="s">
        <v>633</v>
      </c>
      <c r="O519" s="9" t="s">
        <v>62</v>
      </c>
      <c r="P519" s="9" t="s">
        <v>2246</v>
      </c>
      <c r="Q519" s="9" t="s">
        <v>65</v>
      </c>
      <c r="R519" s="9" t="s">
        <v>57</v>
      </c>
      <c r="S519" s="9" t="s">
        <v>1259</v>
      </c>
      <c r="T519" s="170">
        <v>4.2240000000000002</v>
      </c>
      <c r="U519" s="9" t="s">
        <v>2488</v>
      </c>
      <c r="V519" s="199">
        <v>8.3999999999999995E-3</v>
      </c>
      <c r="W519" s="185">
        <v>2.7869999999999999E-2</v>
      </c>
      <c r="X519" s="5" t="s">
        <v>618</v>
      </c>
      <c r="Y519" s="5" t="s">
        <v>62</v>
      </c>
      <c r="Z519" s="170">
        <v>59780.22</v>
      </c>
      <c r="AA519" s="184">
        <v>1</v>
      </c>
      <c r="AB519" s="186">
        <v>107.28</v>
      </c>
      <c r="AC519" s="9"/>
      <c r="AD519" s="170">
        <v>64.132000000000005</v>
      </c>
      <c r="AE519" s="9"/>
      <c r="AF519" s="9"/>
      <c r="AG519" s="9" t="s">
        <v>17</v>
      </c>
      <c r="AH519" s="185">
        <v>7.7999999999999999E-5</v>
      </c>
      <c r="AI519" s="185">
        <v>7.9567321201447407E-3</v>
      </c>
      <c r="AJ519" s="185">
        <v>1.6517127608896901E-3</v>
      </c>
    </row>
    <row r="520" spans="1:36">
      <c r="A520" s="9">
        <v>337</v>
      </c>
      <c r="B520" s="9">
        <v>9964</v>
      </c>
      <c r="C520" s="9" t="s">
        <v>1982</v>
      </c>
      <c r="D520" s="9" t="s">
        <v>1983</v>
      </c>
      <c r="E520" s="5" t="s">
        <v>1346</v>
      </c>
      <c r="F520" s="9" t="s">
        <v>2489</v>
      </c>
      <c r="G520" s="9" t="s">
        <v>2490</v>
      </c>
      <c r="H520" s="9" t="s">
        <v>76</v>
      </c>
      <c r="I520" s="9" t="s">
        <v>228</v>
      </c>
      <c r="J520" s="9" t="s">
        <v>53</v>
      </c>
      <c r="K520" s="9" t="s">
        <v>53</v>
      </c>
      <c r="L520" s="9" t="s">
        <v>803</v>
      </c>
      <c r="M520" s="9" t="s">
        <v>311</v>
      </c>
      <c r="N520" s="9" t="s">
        <v>269</v>
      </c>
      <c r="O520" s="9" t="s">
        <v>62</v>
      </c>
      <c r="P520" s="9" t="s">
        <v>2239</v>
      </c>
      <c r="Q520" s="9" t="s">
        <v>65</v>
      </c>
      <c r="R520" s="9" t="s">
        <v>57</v>
      </c>
      <c r="S520" s="9" t="s">
        <v>1259</v>
      </c>
      <c r="T520" s="170">
        <v>4.694</v>
      </c>
      <c r="U520" s="9" t="s">
        <v>2491</v>
      </c>
      <c r="V520" s="199">
        <v>5.2499999999999998E-2</v>
      </c>
      <c r="W520" s="185">
        <v>4.6530000000000002E-2</v>
      </c>
      <c r="X520" s="5" t="s">
        <v>618</v>
      </c>
      <c r="Y520" s="5" t="s">
        <v>62</v>
      </c>
      <c r="Z520" s="170">
        <v>46000</v>
      </c>
      <c r="AA520" s="184">
        <v>1</v>
      </c>
      <c r="AB520" s="186">
        <v>103.89</v>
      </c>
      <c r="AC520" s="9"/>
      <c r="AD520" s="170">
        <v>47.789000000000001</v>
      </c>
      <c r="AE520" s="9"/>
      <c r="AF520" s="9"/>
      <c r="AG520" s="9" t="s">
        <v>17</v>
      </c>
      <c r="AH520" s="185">
        <v>9.2E-5</v>
      </c>
      <c r="AI520" s="185">
        <v>5.9291172812601699E-3</v>
      </c>
      <c r="AJ520" s="185">
        <v>1.2308066334764101E-3</v>
      </c>
    </row>
    <row r="521" spans="1:36">
      <c r="A521" s="9">
        <v>337</v>
      </c>
      <c r="B521" s="9">
        <v>9964</v>
      </c>
      <c r="C521" s="9" t="s">
        <v>2492</v>
      </c>
      <c r="D521" s="9" t="s">
        <v>2493</v>
      </c>
      <c r="E521" s="5" t="s">
        <v>1346</v>
      </c>
      <c r="F521" s="9" t="s">
        <v>2494</v>
      </c>
      <c r="G521" s="9" t="s">
        <v>2495</v>
      </c>
      <c r="H521" s="9" t="s">
        <v>76</v>
      </c>
      <c r="I521" s="9" t="s">
        <v>228</v>
      </c>
      <c r="J521" s="9" t="s">
        <v>53</v>
      </c>
      <c r="K521" s="9" t="s">
        <v>53</v>
      </c>
      <c r="L521" s="9" t="s">
        <v>803</v>
      </c>
      <c r="M521" s="9" t="s">
        <v>1691</v>
      </c>
      <c r="N521" s="9" t="s">
        <v>269</v>
      </c>
      <c r="O521" s="9" t="s">
        <v>62</v>
      </c>
      <c r="P521" s="9" t="s">
        <v>2239</v>
      </c>
      <c r="Q521" s="9" t="s">
        <v>65</v>
      </c>
      <c r="R521" s="9" t="s">
        <v>57</v>
      </c>
      <c r="S521" s="9" t="s">
        <v>1259</v>
      </c>
      <c r="T521" s="170">
        <v>8.5109999999999992</v>
      </c>
      <c r="U521" s="9" t="s">
        <v>2496</v>
      </c>
      <c r="V521" s="199">
        <v>5.5100000000000003E-2</v>
      </c>
      <c r="W521" s="185">
        <v>5.1450000000000003E-2</v>
      </c>
      <c r="X521" s="5" t="s">
        <v>618</v>
      </c>
      <c r="Y521" s="5" t="s">
        <v>62</v>
      </c>
      <c r="Z521" s="170">
        <v>70000</v>
      </c>
      <c r="AA521" s="184">
        <v>1</v>
      </c>
      <c r="AB521" s="186">
        <v>104.59</v>
      </c>
      <c r="AC521" s="9"/>
      <c r="AD521" s="170">
        <v>73.212999999999994</v>
      </c>
      <c r="AE521" s="9"/>
      <c r="AF521" s="9"/>
      <c r="AG521" s="9" t="s">
        <v>17</v>
      </c>
      <c r="AH521" s="185">
        <v>1.3999999999999999E-4</v>
      </c>
      <c r="AI521" s="185">
        <v>9.0833629112920602E-3</v>
      </c>
      <c r="AJ521" s="185">
        <v>1.88558647015256E-3</v>
      </c>
    </row>
    <row r="522" spans="1:36">
      <c r="A522" s="9">
        <v>337</v>
      </c>
      <c r="B522" s="9">
        <v>9964</v>
      </c>
      <c r="C522" s="9" t="s">
        <v>1663</v>
      </c>
      <c r="D522" s="9" t="s">
        <v>1664</v>
      </c>
      <c r="E522" s="5" t="s">
        <v>1346</v>
      </c>
      <c r="F522" s="9" t="s">
        <v>2497</v>
      </c>
      <c r="G522" s="9" t="s">
        <v>2498</v>
      </c>
      <c r="H522" s="9" t="s">
        <v>76</v>
      </c>
      <c r="I522" s="9" t="s">
        <v>229</v>
      </c>
      <c r="J522" s="9" t="s">
        <v>53</v>
      </c>
      <c r="K522" s="9" t="s">
        <v>53</v>
      </c>
      <c r="L522" s="9" t="s">
        <v>803</v>
      </c>
      <c r="M522" s="9" t="s">
        <v>311</v>
      </c>
      <c r="N522" s="9" t="s">
        <v>256</v>
      </c>
      <c r="O522" s="9" t="s">
        <v>62</v>
      </c>
      <c r="P522" s="9" t="s">
        <v>1641</v>
      </c>
      <c r="Q522" s="9" t="s">
        <v>65</v>
      </c>
      <c r="R522" s="9" t="s">
        <v>57</v>
      </c>
      <c r="S522" s="9" t="s">
        <v>1259</v>
      </c>
      <c r="T522" s="170">
        <v>2.0920000000000001</v>
      </c>
      <c r="U522" s="9" t="s">
        <v>2499</v>
      </c>
      <c r="V522" s="199">
        <v>1.8599999999999998E-2</v>
      </c>
      <c r="W522" s="185">
        <v>2.5680000000000001E-2</v>
      </c>
      <c r="X522" s="5" t="s">
        <v>618</v>
      </c>
      <c r="Y522" s="5" t="s">
        <v>62</v>
      </c>
      <c r="Z522" s="170">
        <v>43200</v>
      </c>
      <c r="AA522" s="184">
        <v>1</v>
      </c>
      <c r="AB522" s="186">
        <v>104.2</v>
      </c>
      <c r="AC522" s="9"/>
      <c r="AD522" s="170">
        <v>45.014000000000003</v>
      </c>
      <c r="AE522" s="9"/>
      <c r="AF522" s="9"/>
      <c r="AG522" s="9" t="s">
        <v>17</v>
      </c>
      <c r="AH522" s="185">
        <v>1.5E-5</v>
      </c>
      <c r="AI522" s="185">
        <v>5.5848296263513999E-3</v>
      </c>
      <c r="AJ522" s="185">
        <v>1.1593370521906701E-3</v>
      </c>
    </row>
    <row r="523" spans="1:36">
      <c r="A523" s="9">
        <v>337</v>
      </c>
      <c r="B523" s="9">
        <v>9964</v>
      </c>
      <c r="C523" s="9" t="s">
        <v>1663</v>
      </c>
      <c r="D523" s="9" t="s">
        <v>1664</v>
      </c>
      <c r="E523" s="5" t="s">
        <v>1346</v>
      </c>
      <c r="F523" s="9" t="s">
        <v>2823</v>
      </c>
      <c r="G523" s="9" t="s">
        <v>2824</v>
      </c>
      <c r="H523" s="9" t="s">
        <v>76</v>
      </c>
      <c r="I523" s="9" t="s">
        <v>229</v>
      </c>
      <c r="J523" s="9" t="s">
        <v>53</v>
      </c>
      <c r="K523" s="9" t="s">
        <v>53</v>
      </c>
      <c r="L523" s="9" t="s">
        <v>803</v>
      </c>
      <c r="M523" s="9" t="s">
        <v>311</v>
      </c>
      <c r="N523" s="9" t="s">
        <v>256</v>
      </c>
      <c r="O523" s="9" t="s">
        <v>62</v>
      </c>
      <c r="P523" s="9" t="s">
        <v>1641</v>
      </c>
      <c r="Q523" s="9" t="s">
        <v>65</v>
      </c>
      <c r="R523" s="9" t="s">
        <v>57</v>
      </c>
      <c r="S523" s="9" t="s">
        <v>1259</v>
      </c>
      <c r="T523" s="170">
        <v>2.3969999999999998</v>
      </c>
      <c r="U523" s="9" t="s">
        <v>2825</v>
      </c>
      <c r="V523" s="199">
        <v>1E-3</v>
      </c>
      <c r="W523" s="185">
        <v>2.4969999999999999E-2</v>
      </c>
      <c r="X523" s="5" t="s">
        <v>618</v>
      </c>
      <c r="Y523" s="5" t="s">
        <v>62</v>
      </c>
      <c r="Z523" s="170">
        <v>46000</v>
      </c>
      <c r="AA523" s="184">
        <v>1</v>
      </c>
      <c r="AB523" s="186">
        <v>107.95</v>
      </c>
      <c r="AC523" s="9"/>
      <c r="AD523" s="170">
        <v>49.656999999999996</v>
      </c>
      <c r="AE523" s="9"/>
      <c r="AF523" s="9"/>
      <c r="AG523" s="9" t="s">
        <v>17</v>
      </c>
      <c r="AH523" s="185">
        <v>1.5E-5</v>
      </c>
      <c r="AI523" s="185">
        <v>6.1608259747043502E-3</v>
      </c>
      <c r="AJ523" s="185">
        <v>1.27890630555182E-3</v>
      </c>
    </row>
    <row r="524" spans="1:36">
      <c r="A524" s="9">
        <v>337</v>
      </c>
      <c r="B524" s="9">
        <v>9964</v>
      </c>
      <c r="C524" s="9" t="s">
        <v>1663</v>
      </c>
      <c r="D524" s="9" t="s">
        <v>1664</v>
      </c>
      <c r="E524" s="5" t="s">
        <v>1346</v>
      </c>
      <c r="F524" s="9" t="s">
        <v>2500</v>
      </c>
      <c r="G524" s="9" t="s">
        <v>2501</v>
      </c>
      <c r="H524" s="9" t="s">
        <v>76</v>
      </c>
      <c r="I524" s="9" t="s">
        <v>229</v>
      </c>
      <c r="J524" s="9" t="s">
        <v>53</v>
      </c>
      <c r="K524" s="9" t="s">
        <v>53</v>
      </c>
      <c r="L524" s="9" t="s">
        <v>803</v>
      </c>
      <c r="M524" s="9" t="s">
        <v>311</v>
      </c>
      <c r="N524" s="9" t="s">
        <v>256</v>
      </c>
      <c r="O524" s="9" t="s">
        <v>62</v>
      </c>
      <c r="P524" s="9" t="s">
        <v>1641</v>
      </c>
      <c r="Q524" s="9" t="s">
        <v>65</v>
      </c>
      <c r="R524" s="9" t="s">
        <v>57</v>
      </c>
      <c r="S524" s="9" t="s">
        <v>1259</v>
      </c>
      <c r="T524" s="170">
        <v>4.3879999999999999</v>
      </c>
      <c r="U524" s="9" t="s">
        <v>2502</v>
      </c>
      <c r="V524" s="199">
        <v>2.0199999999999999E-2</v>
      </c>
      <c r="W524" s="185">
        <v>2.6360000000000001E-2</v>
      </c>
      <c r="X524" s="5" t="s">
        <v>618</v>
      </c>
      <c r="Y524" s="5" t="s">
        <v>62</v>
      </c>
      <c r="Z524" s="170">
        <v>148000</v>
      </c>
      <c r="AA524" s="184">
        <v>1</v>
      </c>
      <c r="AB524" s="186">
        <v>102.52</v>
      </c>
      <c r="AC524" s="9"/>
      <c r="AD524" s="170">
        <v>151.72999999999999</v>
      </c>
      <c r="AE524" s="9"/>
      <c r="AF524" s="9"/>
      <c r="AG524" s="9" t="s">
        <v>17</v>
      </c>
      <c r="AH524" s="185">
        <v>4.1E-5</v>
      </c>
      <c r="AI524" s="185">
        <v>1.88247308699982E-2</v>
      </c>
      <c r="AJ524" s="185">
        <v>3.9077661191545196E-3</v>
      </c>
    </row>
    <row r="525" spans="1:36">
      <c r="A525" s="9">
        <v>337</v>
      </c>
      <c r="B525" s="9">
        <v>9964</v>
      </c>
      <c r="C525" s="9" t="s">
        <v>1663</v>
      </c>
      <c r="D525" s="9" t="s">
        <v>1664</v>
      </c>
      <c r="E525" s="5" t="s">
        <v>1346</v>
      </c>
      <c r="F525" s="9" t="s">
        <v>2503</v>
      </c>
      <c r="G525" s="9" t="s">
        <v>2504</v>
      </c>
      <c r="H525" s="9" t="s">
        <v>76</v>
      </c>
      <c r="I525" s="9" t="s">
        <v>229</v>
      </c>
      <c r="J525" s="9" t="s">
        <v>53</v>
      </c>
      <c r="K525" s="9" t="s">
        <v>53</v>
      </c>
      <c r="L525" s="9" t="s">
        <v>803</v>
      </c>
      <c r="M525" s="9" t="s">
        <v>311</v>
      </c>
      <c r="N525" s="9" t="s">
        <v>256</v>
      </c>
      <c r="O525" s="9" t="s">
        <v>62</v>
      </c>
      <c r="P525" s="9" t="s">
        <v>1641</v>
      </c>
      <c r="Q525" s="9" t="s">
        <v>65</v>
      </c>
      <c r="R525" s="9" t="s">
        <v>57</v>
      </c>
      <c r="S525" s="9" t="s">
        <v>1259</v>
      </c>
      <c r="T525" s="170">
        <v>4.3920000000000003</v>
      </c>
      <c r="U525" s="9" t="s">
        <v>2505</v>
      </c>
      <c r="V525" s="199">
        <v>1E-3</v>
      </c>
      <c r="W525" s="185">
        <v>2.581E-2</v>
      </c>
      <c r="X525" s="5" t="s">
        <v>618</v>
      </c>
      <c r="Y525" s="5" t="s">
        <v>62</v>
      </c>
      <c r="Z525" s="170">
        <v>48000</v>
      </c>
      <c r="AA525" s="184">
        <v>1</v>
      </c>
      <c r="AB525" s="186">
        <v>102.6</v>
      </c>
      <c r="AC525" s="9"/>
      <c r="AD525" s="170">
        <v>49.247999999999998</v>
      </c>
      <c r="AE525" s="9"/>
      <c r="AF525" s="9"/>
      <c r="AG525" s="9" t="s">
        <v>17</v>
      </c>
      <c r="AH525" s="185">
        <v>1.1E-5</v>
      </c>
      <c r="AI525" s="185">
        <v>6.1100823167376198E-3</v>
      </c>
      <c r="AJ525" s="185">
        <v>1.26837259068845E-3</v>
      </c>
    </row>
    <row r="526" spans="1:36">
      <c r="A526" s="9">
        <v>337</v>
      </c>
      <c r="B526" s="9">
        <v>9964</v>
      </c>
      <c r="C526" s="9" t="s">
        <v>1663</v>
      </c>
      <c r="D526" s="9" t="s">
        <v>1664</v>
      </c>
      <c r="E526" s="5" t="s">
        <v>1346</v>
      </c>
      <c r="F526" s="9" t="s">
        <v>2506</v>
      </c>
      <c r="G526" s="9" t="s">
        <v>2507</v>
      </c>
      <c r="H526" s="9" t="s">
        <v>76</v>
      </c>
      <c r="I526" s="9" t="s">
        <v>229</v>
      </c>
      <c r="J526" s="9" t="s">
        <v>53</v>
      </c>
      <c r="K526" s="9" t="s">
        <v>53</v>
      </c>
      <c r="L526" s="9" t="s">
        <v>803</v>
      </c>
      <c r="M526" s="9" t="s">
        <v>311</v>
      </c>
      <c r="N526" s="9" t="s">
        <v>256</v>
      </c>
      <c r="O526" s="9" t="s">
        <v>62</v>
      </c>
      <c r="P526" s="9" t="s">
        <v>2239</v>
      </c>
      <c r="Q526" s="9" t="s">
        <v>65</v>
      </c>
      <c r="R526" s="9" t="s">
        <v>57</v>
      </c>
      <c r="S526" s="9" t="s">
        <v>1259</v>
      </c>
      <c r="T526" s="170">
        <v>2.6920000000000002</v>
      </c>
      <c r="U526" s="9" t="s">
        <v>2508</v>
      </c>
      <c r="V526" s="199">
        <v>1.4999999999999999E-2</v>
      </c>
      <c r="W526" s="185">
        <v>2.954E-2</v>
      </c>
      <c r="X526" s="5" t="s">
        <v>618</v>
      </c>
      <c r="Y526" s="5" t="s">
        <v>62</v>
      </c>
      <c r="Z526" s="170">
        <v>50000</v>
      </c>
      <c r="AA526" s="184">
        <v>1</v>
      </c>
      <c r="AB526" s="186">
        <v>109.15</v>
      </c>
      <c r="AC526" s="9"/>
      <c r="AD526" s="170">
        <v>54.575000000000003</v>
      </c>
      <c r="AE526" s="9"/>
      <c r="AF526" s="9"/>
      <c r="AG526" s="9" t="s">
        <v>17</v>
      </c>
      <c r="AH526" s="185">
        <v>3.6000000000000001E-5</v>
      </c>
      <c r="AI526" s="185">
        <v>6.7709905465390598E-3</v>
      </c>
      <c r="AJ526" s="185">
        <v>1.4055684319530101E-3</v>
      </c>
    </row>
    <row r="527" spans="1:36">
      <c r="A527" s="9">
        <v>337</v>
      </c>
      <c r="B527" s="9">
        <v>9964</v>
      </c>
      <c r="C527" s="9" t="s">
        <v>1663</v>
      </c>
      <c r="D527" s="9" t="s">
        <v>1664</v>
      </c>
      <c r="E527" s="5" t="s">
        <v>1346</v>
      </c>
      <c r="F527" s="9" t="s">
        <v>2509</v>
      </c>
      <c r="G527" s="9" t="s">
        <v>2510</v>
      </c>
      <c r="H527" s="9" t="s">
        <v>76</v>
      </c>
      <c r="I527" s="9" t="s">
        <v>229</v>
      </c>
      <c r="J527" s="9" t="s">
        <v>53</v>
      </c>
      <c r="K527" s="9" t="s">
        <v>53</v>
      </c>
      <c r="L527" s="9" t="s">
        <v>803</v>
      </c>
      <c r="M527" s="9" t="s">
        <v>1691</v>
      </c>
      <c r="N527" s="9" t="s">
        <v>256</v>
      </c>
      <c r="O527" s="9" t="s">
        <v>62</v>
      </c>
      <c r="P527" s="9" t="s">
        <v>2239</v>
      </c>
      <c r="Q527" s="9" t="s">
        <v>65</v>
      </c>
      <c r="R527" s="9" t="s">
        <v>57</v>
      </c>
      <c r="S527" s="9" t="s">
        <v>1259</v>
      </c>
      <c r="T527" s="170">
        <v>5.2320000000000002</v>
      </c>
      <c r="U527" s="9" t="s">
        <v>2511</v>
      </c>
      <c r="V527" s="199">
        <v>3.1E-2</v>
      </c>
      <c r="W527" s="185">
        <v>2.937E-2</v>
      </c>
      <c r="X527" s="5" t="s">
        <v>618</v>
      </c>
      <c r="Y527" s="5" t="s">
        <v>62</v>
      </c>
      <c r="Z527" s="170">
        <v>70000</v>
      </c>
      <c r="AA527" s="184">
        <v>1</v>
      </c>
      <c r="AB527" s="186">
        <v>103.76</v>
      </c>
      <c r="AC527" s="9"/>
      <c r="AD527" s="170">
        <v>72.632000000000005</v>
      </c>
      <c r="AE527" s="9"/>
      <c r="AF527" s="9"/>
      <c r="AG527" s="9" t="s">
        <v>17</v>
      </c>
      <c r="AH527" s="185">
        <v>4.6E-5</v>
      </c>
      <c r="AI527" s="185">
        <v>9.0112796221021602E-3</v>
      </c>
      <c r="AJ527" s="185">
        <v>1.8706229289896701E-3</v>
      </c>
    </row>
    <row r="528" spans="1:36">
      <c r="A528" s="9">
        <v>337</v>
      </c>
      <c r="B528" s="9">
        <v>9964</v>
      </c>
      <c r="C528" s="9" t="s">
        <v>2831</v>
      </c>
      <c r="D528" s="9" t="s">
        <v>2832</v>
      </c>
      <c r="E528" s="5" t="s">
        <v>1346</v>
      </c>
      <c r="F528" s="9" t="s">
        <v>2833</v>
      </c>
      <c r="G528" s="9" t="s">
        <v>2834</v>
      </c>
      <c r="H528" s="9" t="s">
        <v>76</v>
      </c>
      <c r="I528" s="9" t="s">
        <v>228</v>
      </c>
      <c r="J528" s="9" t="s">
        <v>53</v>
      </c>
      <c r="K528" s="9" t="s">
        <v>53</v>
      </c>
      <c r="L528" s="9" t="s">
        <v>803</v>
      </c>
      <c r="M528" s="9" t="s">
        <v>311</v>
      </c>
      <c r="N528" s="9" t="s">
        <v>140</v>
      </c>
      <c r="O528" s="9" t="s">
        <v>62</v>
      </c>
      <c r="P528" s="167" t="s">
        <v>298</v>
      </c>
      <c r="Q528" s="9" t="s">
        <v>298</v>
      </c>
      <c r="R528" s="9" t="s">
        <v>298</v>
      </c>
      <c r="S528" s="9" t="s">
        <v>1259</v>
      </c>
      <c r="T528" s="170">
        <v>3.8039999999999998</v>
      </c>
      <c r="U528" s="9" t="s">
        <v>2835</v>
      </c>
      <c r="V528" s="199">
        <v>6.7299999999999999E-2</v>
      </c>
      <c r="W528" s="185">
        <v>5.4149999999999997E-2</v>
      </c>
      <c r="X528" s="5" t="s">
        <v>618</v>
      </c>
      <c r="Y528" s="5" t="s">
        <v>62</v>
      </c>
      <c r="Z528" s="170">
        <v>11015.7</v>
      </c>
      <c r="AA528" s="184">
        <v>1</v>
      </c>
      <c r="AB528" s="186">
        <v>105.77</v>
      </c>
      <c r="AC528" s="9"/>
      <c r="AD528" s="170">
        <v>11.651</v>
      </c>
      <c r="AE528" s="9"/>
      <c r="AF528" s="9"/>
      <c r="AG528" s="9" t="s">
        <v>17</v>
      </c>
      <c r="AH528" s="185">
        <v>4.1999999999999998E-5</v>
      </c>
      <c r="AI528" s="185">
        <v>1.4455498311685699E-3</v>
      </c>
      <c r="AJ528" s="185">
        <v>3.00077100320883E-4</v>
      </c>
    </row>
    <row r="529" spans="1:36">
      <c r="A529" s="9">
        <v>337</v>
      </c>
      <c r="B529" s="9">
        <v>9964</v>
      </c>
      <c r="C529" s="9" t="s">
        <v>2512</v>
      </c>
      <c r="D529" s="9" t="s">
        <v>2513</v>
      </c>
      <c r="E529" s="5" t="s">
        <v>1346</v>
      </c>
      <c r="F529" s="9" t="s">
        <v>2514</v>
      </c>
      <c r="G529" s="9" t="s">
        <v>2515</v>
      </c>
      <c r="H529" s="9" t="s">
        <v>76</v>
      </c>
      <c r="I529" s="9" t="s">
        <v>228</v>
      </c>
      <c r="J529" s="9" t="s">
        <v>53</v>
      </c>
      <c r="K529" s="9" t="s">
        <v>53</v>
      </c>
      <c r="L529" s="9" t="s">
        <v>803</v>
      </c>
      <c r="M529" s="9" t="s">
        <v>311</v>
      </c>
      <c r="N529" s="9" t="s">
        <v>140</v>
      </c>
      <c r="O529" s="9" t="s">
        <v>62</v>
      </c>
      <c r="P529" s="167" t="s">
        <v>298</v>
      </c>
      <c r="Q529" s="9" t="s">
        <v>298</v>
      </c>
      <c r="R529" s="9" t="s">
        <v>298</v>
      </c>
      <c r="S529" s="9" t="s">
        <v>1259</v>
      </c>
      <c r="T529" s="170">
        <v>2.8420000000000001</v>
      </c>
      <c r="U529" s="9" t="s">
        <v>2516</v>
      </c>
      <c r="V529" s="199">
        <v>8.1500000000000003E-2</v>
      </c>
      <c r="W529" s="185">
        <v>5.6730000000000003E-2</v>
      </c>
      <c r="X529" s="5" t="s">
        <v>618</v>
      </c>
      <c r="Y529" s="5" t="s">
        <v>62</v>
      </c>
      <c r="Z529" s="170">
        <v>31000</v>
      </c>
      <c r="AA529" s="184">
        <v>1</v>
      </c>
      <c r="AB529" s="186">
        <v>109.5</v>
      </c>
      <c r="AC529" s="9"/>
      <c r="AD529" s="170">
        <v>33.945</v>
      </c>
      <c r="AE529" s="9"/>
      <c r="AF529" s="9"/>
      <c r="AG529" s="9" t="s">
        <v>17</v>
      </c>
      <c r="AH529" s="185">
        <v>1.4999999999999999E-4</v>
      </c>
      <c r="AI529" s="185">
        <v>4.2114754759920896E-3</v>
      </c>
      <c r="AJ529" s="185">
        <v>8.7424682405213097E-4</v>
      </c>
    </row>
    <row r="530" spans="1:36">
      <c r="A530" s="9">
        <v>337</v>
      </c>
      <c r="B530" s="9">
        <v>9964</v>
      </c>
      <c r="C530" s="9" t="s">
        <v>2517</v>
      </c>
      <c r="D530" s="9" t="s">
        <v>2518</v>
      </c>
      <c r="E530" s="5" t="s">
        <v>1346</v>
      </c>
      <c r="F530" s="9" t="s">
        <v>2519</v>
      </c>
      <c r="G530" s="9" t="s">
        <v>2520</v>
      </c>
      <c r="H530" s="9" t="s">
        <v>76</v>
      </c>
      <c r="I530" s="9" t="s">
        <v>228</v>
      </c>
      <c r="J530" s="9" t="s">
        <v>53</v>
      </c>
      <c r="K530" s="9" t="s">
        <v>314</v>
      </c>
      <c r="L530" s="9" t="s">
        <v>803</v>
      </c>
      <c r="M530" s="9" t="s">
        <v>311</v>
      </c>
      <c r="N530" s="9" t="s">
        <v>634</v>
      </c>
      <c r="O530" s="9" t="s">
        <v>62</v>
      </c>
      <c r="P530" s="9" t="s">
        <v>1607</v>
      </c>
      <c r="Q530" s="9" t="s">
        <v>65</v>
      </c>
      <c r="R530" s="9" t="s">
        <v>57</v>
      </c>
      <c r="S530" s="9" t="s">
        <v>1259</v>
      </c>
      <c r="T530" s="170">
        <v>0.41399999999999998</v>
      </c>
      <c r="U530" s="9" t="s">
        <v>2521</v>
      </c>
      <c r="V530" s="199">
        <v>3.95E-2</v>
      </c>
      <c r="W530" s="185">
        <v>5.1709999999999999E-2</v>
      </c>
      <c r="X530" s="5" t="s">
        <v>618</v>
      </c>
      <c r="Y530" s="5" t="s">
        <v>62</v>
      </c>
      <c r="Z530" s="170">
        <v>16000</v>
      </c>
      <c r="AA530" s="184">
        <v>1</v>
      </c>
      <c r="AB530" s="186">
        <v>99.87</v>
      </c>
      <c r="AC530" s="9"/>
      <c r="AD530" s="170">
        <v>15.978999999999999</v>
      </c>
      <c r="AE530" s="9"/>
      <c r="AF530" s="9"/>
      <c r="AG530" s="9" t="s">
        <v>17</v>
      </c>
      <c r="AH530" s="185">
        <v>5.1E-5</v>
      </c>
      <c r="AI530" s="185">
        <v>1.98250136768222E-3</v>
      </c>
      <c r="AJ530" s="185">
        <v>4.1154116514637799E-4</v>
      </c>
    </row>
    <row r="531" spans="1:36">
      <c r="A531" s="9">
        <v>337</v>
      </c>
      <c r="B531" s="9">
        <v>9964</v>
      </c>
      <c r="C531" s="9" t="s">
        <v>1992</v>
      </c>
      <c r="D531" s="9" t="s">
        <v>1993</v>
      </c>
      <c r="E531" s="5" t="s">
        <v>1346</v>
      </c>
      <c r="F531" s="9" t="s">
        <v>2525</v>
      </c>
      <c r="G531" s="9" t="s">
        <v>2526</v>
      </c>
      <c r="H531" s="9" t="s">
        <v>76</v>
      </c>
      <c r="I531" s="9" t="s">
        <v>229</v>
      </c>
      <c r="J531" s="9" t="s">
        <v>53</v>
      </c>
      <c r="K531" s="9" t="s">
        <v>53</v>
      </c>
      <c r="L531" s="9" t="s">
        <v>803</v>
      </c>
      <c r="M531" s="9" t="s">
        <v>311</v>
      </c>
      <c r="N531" s="9" t="s">
        <v>633</v>
      </c>
      <c r="O531" s="9" t="s">
        <v>62</v>
      </c>
      <c r="P531" s="9" t="s">
        <v>2246</v>
      </c>
      <c r="Q531" s="9" t="s">
        <v>65</v>
      </c>
      <c r="R531" s="9" t="s">
        <v>57</v>
      </c>
      <c r="S531" s="9" t="s">
        <v>1259</v>
      </c>
      <c r="T531" s="170">
        <v>2.7789999999999999</v>
      </c>
      <c r="U531" s="9" t="s">
        <v>2527</v>
      </c>
      <c r="V531" s="199">
        <v>2.81E-2</v>
      </c>
      <c r="W531" s="185">
        <v>2.716E-2</v>
      </c>
      <c r="X531" s="5" t="s">
        <v>618</v>
      </c>
      <c r="Y531" s="5" t="s">
        <v>62</v>
      </c>
      <c r="Z531" s="170">
        <v>93500</v>
      </c>
      <c r="AA531" s="184">
        <v>1</v>
      </c>
      <c r="AB531" s="186">
        <v>118.81</v>
      </c>
      <c r="AC531" s="9"/>
      <c r="AD531" s="170">
        <v>111.087</v>
      </c>
      <c r="AE531" s="9"/>
      <c r="AF531" s="9"/>
      <c r="AG531" s="9" t="s">
        <v>17</v>
      </c>
      <c r="AH531" s="185">
        <v>6.7999999999999999E-5</v>
      </c>
      <c r="AI531" s="185">
        <v>1.37823435032538E-2</v>
      </c>
      <c r="AJ531" s="185">
        <v>2.8610329335651001E-3</v>
      </c>
    </row>
    <row r="532" spans="1:36">
      <c r="A532" s="9">
        <v>337</v>
      </c>
      <c r="B532" s="9">
        <v>9964</v>
      </c>
      <c r="C532" s="9" t="s">
        <v>1992</v>
      </c>
      <c r="D532" s="9" t="s">
        <v>1993</v>
      </c>
      <c r="E532" s="5" t="s">
        <v>1346</v>
      </c>
      <c r="F532" s="9" t="s">
        <v>2836</v>
      </c>
      <c r="G532" s="9" t="s">
        <v>2837</v>
      </c>
      <c r="H532" s="9" t="s">
        <v>76</v>
      </c>
      <c r="I532" s="9" t="s">
        <v>229</v>
      </c>
      <c r="J532" s="9" t="s">
        <v>53</v>
      </c>
      <c r="K532" s="9" t="s">
        <v>53</v>
      </c>
      <c r="L532" s="9" t="s">
        <v>803</v>
      </c>
      <c r="M532" s="9" t="s">
        <v>311</v>
      </c>
      <c r="N532" s="9" t="s">
        <v>633</v>
      </c>
      <c r="O532" s="9" t="s">
        <v>62</v>
      </c>
      <c r="P532" s="9" t="s">
        <v>2246</v>
      </c>
      <c r="Q532" s="9" t="s">
        <v>65</v>
      </c>
      <c r="R532" s="9" t="s">
        <v>57</v>
      </c>
      <c r="S532" s="9" t="s">
        <v>1259</v>
      </c>
      <c r="T532" s="170">
        <v>1.9359999999999999</v>
      </c>
      <c r="U532" s="9" t="s">
        <v>2255</v>
      </c>
      <c r="V532" s="199">
        <v>3.6999999999999998E-2</v>
      </c>
      <c r="W532" s="185">
        <v>2.853E-2</v>
      </c>
      <c r="X532" s="5" t="s">
        <v>618</v>
      </c>
      <c r="Y532" s="5" t="s">
        <v>62</v>
      </c>
      <c r="Z532" s="170">
        <v>28248.76</v>
      </c>
      <c r="AA532" s="184">
        <v>1</v>
      </c>
      <c r="AB532" s="186">
        <v>119.11</v>
      </c>
      <c r="AC532" s="9"/>
      <c r="AD532" s="170">
        <v>33.646999999999998</v>
      </c>
      <c r="AE532" s="9"/>
      <c r="AF532" s="9"/>
      <c r="AG532" s="9" t="s">
        <v>17</v>
      </c>
      <c r="AH532" s="185">
        <v>1.25E-4</v>
      </c>
      <c r="AI532" s="185">
        <v>4.1745154873152404E-3</v>
      </c>
      <c r="AJ532" s="185">
        <v>8.6657441733815497E-4</v>
      </c>
    </row>
    <row r="533" spans="1:36">
      <c r="A533" s="9">
        <v>337</v>
      </c>
      <c r="B533" s="9">
        <v>9964</v>
      </c>
      <c r="C533" s="9" t="s">
        <v>2532</v>
      </c>
      <c r="D533" s="9" t="s">
        <v>2533</v>
      </c>
      <c r="E533" s="5" t="s">
        <v>1346</v>
      </c>
      <c r="F533" s="9" t="s">
        <v>2534</v>
      </c>
      <c r="G533" s="9" t="s">
        <v>2535</v>
      </c>
      <c r="H533" s="9" t="s">
        <v>76</v>
      </c>
      <c r="I533" s="9" t="s">
        <v>229</v>
      </c>
      <c r="J533" s="9" t="s">
        <v>53</v>
      </c>
      <c r="K533" s="9" t="s">
        <v>53</v>
      </c>
      <c r="L533" s="9" t="s">
        <v>803</v>
      </c>
      <c r="M533" s="9" t="s">
        <v>311</v>
      </c>
      <c r="N533" s="9" t="s">
        <v>633</v>
      </c>
      <c r="O533" s="9" t="s">
        <v>62</v>
      </c>
      <c r="P533" s="9" t="s">
        <v>1607</v>
      </c>
      <c r="Q533" s="9" t="s">
        <v>65</v>
      </c>
      <c r="R533" s="9" t="s">
        <v>57</v>
      </c>
      <c r="S533" s="9" t="s">
        <v>1259</v>
      </c>
      <c r="T533" s="170">
        <v>1.133</v>
      </c>
      <c r="U533" s="9" t="s">
        <v>2536</v>
      </c>
      <c r="V533" s="199">
        <v>2.0500000000000001E-2</v>
      </c>
      <c r="W533" s="185">
        <v>3.2419999999999997E-2</v>
      </c>
      <c r="X533" s="5" t="s">
        <v>618</v>
      </c>
      <c r="Y533" s="5" t="s">
        <v>62</v>
      </c>
      <c r="Z533" s="170">
        <v>49211.519999999997</v>
      </c>
      <c r="AA533" s="184">
        <v>1</v>
      </c>
      <c r="AB533" s="186">
        <v>117.83</v>
      </c>
      <c r="AC533" s="9"/>
      <c r="AD533" s="170">
        <v>57.985999999999997</v>
      </c>
      <c r="AE533" s="9"/>
      <c r="AF533" s="9"/>
      <c r="AG533" s="9" t="s">
        <v>17</v>
      </c>
      <c r="AH533" s="185">
        <v>6.4999999999999994E-5</v>
      </c>
      <c r="AI533" s="185">
        <v>7.1941770234461499E-3</v>
      </c>
      <c r="AJ533" s="185">
        <v>1.4934163692203401E-3</v>
      </c>
    </row>
    <row r="534" spans="1:36">
      <c r="A534" s="9">
        <v>337</v>
      </c>
      <c r="B534" s="9">
        <v>9964</v>
      </c>
      <c r="C534" s="9" t="s">
        <v>2532</v>
      </c>
      <c r="D534" s="9" t="s">
        <v>2533</v>
      </c>
      <c r="E534" s="5" t="s">
        <v>1346</v>
      </c>
      <c r="F534" s="9" t="s">
        <v>2540</v>
      </c>
      <c r="G534" s="9" t="s">
        <v>2541</v>
      </c>
      <c r="H534" s="9" t="s">
        <v>76</v>
      </c>
      <c r="I534" s="9" t="s">
        <v>229</v>
      </c>
      <c r="J534" s="9" t="s">
        <v>53</v>
      </c>
      <c r="K534" s="9" t="s">
        <v>53</v>
      </c>
      <c r="L534" s="9" t="s">
        <v>803</v>
      </c>
      <c r="M534" s="9" t="s">
        <v>311</v>
      </c>
      <c r="N534" s="9" t="s">
        <v>633</v>
      </c>
      <c r="O534" s="9" t="s">
        <v>62</v>
      </c>
      <c r="P534" s="9" t="s">
        <v>1607</v>
      </c>
      <c r="Q534" s="9" t="s">
        <v>65</v>
      </c>
      <c r="R534" s="9" t="s">
        <v>57</v>
      </c>
      <c r="S534" s="9" t="s">
        <v>1259</v>
      </c>
      <c r="T534" s="170">
        <v>5.1100000000000003</v>
      </c>
      <c r="U534" s="9" t="s">
        <v>2542</v>
      </c>
      <c r="V534" s="199">
        <v>9.7000000000000003E-3</v>
      </c>
      <c r="W534" s="185">
        <v>3.2030000000000003E-2</v>
      </c>
      <c r="X534" s="5" t="s">
        <v>618</v>
      </c>
      <c r="Y534" s="5" t="s">
        <v>62</v>
      </c>
      <c r="Z534" s="170">
        <v>108001.24</v>
      </c>
      <c r="AA534" s="184">
        <v>1</v>
      </c>
      <c r="AB534" s="186">
        <v>103.36</v>
      </c>
      <c r="AC534" s="9"/>
      <c r="AD534" s="170">
        <v>111.63</v>
      </c>
      <c r="AE534" s="9"/>
      <c r="AF534" s="9"/>
      <c r="AG534" s="9" t="s">
        <v>17</v>
      </c>
      <c r="AH534" s="185">
        <v>1.7899999999999999E-4</v>
      </c>
      <c r="AI534" s="185">
        <v>1.3849678930945099E-2</v>
      </c>
      <c r="AJ534" s="185">
        <v>2.87501088123235E-3</v>
      </c>
    </row>
    <row r="535" spans="1:36">
      <c r="A535" s="9">
        <v>337</v>
      </c>
      <c r="B535" s="9">
        <v>9964</v>
      </c>
      <c r="C535" s="9" t="s">
        <v>2543</v>
      </c>
      <c r="D535" s="9" t="s">
        <v>2544</v>
      </c>
      <c r="E535" s="5" t="s">
        <v>1346</v>
      </c>
      <c r="F535" s="9" t="s">
        <v>2548</v>
      </c>
      <c r="G535" s="9" t="s">
        <v>2549</v>
      </c>
      <c r="H535" s="9" t="s">
        <v>76</v>
      </c>
      <c r="I535" s="9" t="s">
        <v>229</v>
      </c>
      <c r="J535" s="9" t="s">
        <v>53</v>
      </c>
      <c r="K535" s="9" t="s">
        <v>53</v>
      </c>
      <c r="L535" s="9" t="s">
        <v>803</v>
      </c>
      <c r="M535" s="9" t="s">
        <v>311</v>
      </c>
      <c r="N535" s="9" t="s">
        <v>256</v>
      </c>
      <c r="O535" s="9" t="s">
        <v>62</v>
      </c>
      <c r="P535" s="9" t="s">
        <v>1641</v>
      </c>
      <c r="Q535" s="9" t="s">
        <v>65</v>
      </c>
      <c r="R535" s="9" t="s">
        <v>57</v>
      </c>
      <c r="S535" s="9" t="s">
        <v>1259</v>
      </c>
      <c r="T535" s="170">
        <v>3.3029999999999999</v>
      </c>
      <c r="U535" s="9" t="s">
        <v>2550</v>
      </c>
      <c r="V535" s="199">
        <v>1E-3</v>
      </c>
      <c r="W535" s="185">
        <v>2.5829999999999999E-2</v>
      </c>
      <c r="X535" s="5" t="s">
        <v>618</v>
      </c>
      <c r="Y535" s="5" t="s">
        <v>62</v>
      </c>
      <c r="Z535" s="170">
        <v>63000</v>
      </c>
      <c r="AA535" s="184">
        <v>1</v>
      </c>
      <c r="AB535" s="186">
        <v>105.48</v>
      </c>
      <c r="AC535" s="9"/>
      <c r="AD535" s="170">
        <v>66.451999999999998</v>
      </c>
      <c r="AE535" s="9"/>
      <c r="AF535" s="9"/>
      <c r="AG535" s="9" t="s">
        <v>17</v>
      </c>
      <c r="AH535" s="185">
        <v>1.9000000000000001E-5</v>
      </c>
      <c r="AI535" s="185">
        <v>8.2445913365979395E-3</v>
      </c>
      <c r="AJ535" s="185">
        <v>1.71146854177764E-3</v>
      </c>
    </row>
    <row r="536" spans="1:36">
      <c r="A536" s="9">
        <v>337</v>
      </c>
      <c r="B536" s="9">
        <v>9964</v>
      </c>
      <c r="C536" s="9" t="s">
        <v>2543</v>
      </c>
      <c r="D536" s="9" t="s">
        <v>2544</v>
      </c>
      <c r="E536" s="5" t="s">
        <v>1346</v>
      </c>
      <c r="F536" s="9" t="s">
        <v>2557</v>
      </c>
      <c r="G536" s="9" t="s">
        <v>2558</v>
      </c>
      <c r="H536" s="9" t="s">
        <v>76</v>
      </c>
      <c r="I536" s="9" t="s">
        <v>229</v>
      </c>
      <c r="J536" s="9" t="s">
        <v>53</v>
      </c>
      <c r="K536" s="9" t="s">
        <v>53</v>
      </c>
      <c r="L536" s="9" t="s">
        <v>803</v>
      </c>
      <c r="M536" s="9" t="s">
        <v>311</v>
      </c>
      <c r="N536" s="9" t="s">
        <v>256</v>
      </c>
      <c r="O536" s="9" t="s">
        <v>62</v>
      </c>
      <c r="P536" s="9" t="s">
        <v>1641</v>
      </c>
      <c r="Q536" s="9" t="s">
        <v>65</v>
      </c>
      <c r="R536" s="9" t="s">
        <v>57</v>
      </c>
      <c r="S536" s="9" t="s">
        <v>1259</v>
      </c>
      <c r="T536" s="170">
        <v>4.9790000000000001</v>
      </c>
      <c r="U536" s="9" t="s">
        <v>2559</v>
      </c>
      <c r="V536" s="199">
        <v>2E-3</v>
      </c>
      <c r="W536" s="185">
        <v>2.6159999999999999E-2</v>
      </c>
      <c r="X536" s="5" t="s">
        <v>618</v>
      </c>
      <c r="Y536" s="5" t="s">
        <v>62</v>
      </c>
      <c r="Z536" s="170">
        <v>70000</v>
      </c>
      <c r="AA536" s="184">
        <v>1</v>
      </c>
      <c r="AB536" s="186">
        <v>104.05</v>
      </c>
      <c r="AC536" s="170">
        <v>0.16400000000000001</v>
      </c>
      <c r="AD536" s="170">
        <v>72.998999999999995</v>
      </c>
      <c r="AE536" s="9"/>
      <c r="AF536" s="9"/>
      <c r="AG536" s="9" t="s">
        <v>17</v>
      </c>
      <c r="AH536" s="185">
        <v>2.0000000000000002E-5</v>
      </c>
      <c r="AI536" s="185">
        <v>9.0568149212389495E-3</v>
      </c>
      <c r="AJ536" s="185">
        <v>1.8800754571783201E-3</v>
      </c>
    </row>
    <row r="537" spans="1:36">
      <c r="A537" s="9">
        <v>337</v>
      </c>
      <c r="B537" s="9">
        <v>9964</v>
      </c>
      <c r="C537" s="9" t="s">
        <v>2543</v>
      </c>
      <c r="D537" s="9" t="s">
        <v>2544</v>
      </c>
      <c r="E537" s="5" t="s">
        <v>1346</v>
      </c>
      <c r="F537" s="9" t="s">
        <v>2897</v>
      </c>
      <c r="G537" s="9" t="s">
        <v>2898</v>
      </c>
      <c r="H537" s="9" t="s">
        <v>76</v>
      </c>
      <c r="I537" s="9" t="s">
        <v>229</v>
      </c>
      <c r="J537" s="9" t="s">
        <v>53</v>
      </c>
      <c r="K537" s="9" t="s">
        <v>53</v>
      </c>
      <c r="L537" s="9" t="s">
        <v>803</v>
      </c>
      <c r="M537" s="9" t="s">
        <v>311</v>
      </c>
      <c r="N537" s="9" t="s">
        <v>256</v>
      </c>
      <c r="O537" s="9" t="s">
        <v>62</v>
      </c>
      <c r="P537" s="9" t="s">
        <v>2239</v>
      </c>
      <c r="Q537" s="9" t="s">
        <v>65</v>
      </c>
      <c r="R537" s="9" t="s">
        <v>57</v>
      </c>
      <c r="S537" s="9" t="s">
        <v>1259</v>
      </c>
      <c r="T537" s="170">
        <v>3.7949999999999999</v>
      </c>
      <c r="U537" s="9" t="s">
        <v>2899</v>
      </c>
      <c r="V537" s="199">
        <v>3.3599999999999998E-2</v>
      </c>
      <c r="W537" s="185">
        <v>2.733E-2</v>
      </c>
      <c r="X537" s="5" t="s">
        <v>618</v>
      </c>
      <c r="Y537" s="5" t="s">
        <v>62</v>
      </c>
      <c r="Z537" s="170">
        <v>20000</v>
      </c>
      <c r="AA537" s="184">
        <v>1</v>
      </c>
      <c r="AB537" s="186">
        <v>107.56</v>
      </c>
      <c r="AC537" s="9"/>
      <c r="AD537" s="170">
        <v>21.512</v>
      </c>
      <c r="AE537" s="9"/>
      <c r="AF537" s="9"/>
      <c r="AG537" s="9" t="s">
        <v>17</v>
      </c>
      <c r="AH537" s="185">
        <v>1.7E-5</v>
      </c>
      <c r="AI537" s="185">
        <v>2.6689427143774301E-3</v>
      </c>
      <c r="AJ537" s="185">
        <v>5.5403734508792E-4</v>
      </c>
    </row>
    <row r="538" spans="1:36">
      <c r="A538" s="9">
        <v>337</v>
      </c>
      <c r="B538" s="9">
        <v>9964</v>
      </c>
      <c r="C538" s="9" t="s">
        <v>2562</v>
      </c>
      <c r="D538" s="9" t="s">
        <v>2563</v>
      </c>
      <c r="E538" s="5" t="s">
        <v>1346</v>
      </c>
      <c r="F538" s="9" t="s">
        <v>2564</v>
      </c>
      <c r="G538" s="9" t="s">
        <v>2565</v>
      </c>
      <c r="H538" s="9" t="s">
        <v>76</v>
      </c>
      <c r="I538" s="9" t="s">
        <v>229</v>
      </c>
      <c r="J538" s="9" t="s">
        <v>53</v>
      </c>
      <c r="K538" s="9" t="s">
        <v>53</v>
      </c>
      <c r="L538" s="9" t="s">
        <v>803</v>
      </c>
      <c r="M538" s="9" t="s">
        <v>311</v>
      </c>
      <c r="N538" s="9" t="s">
        <v>631</v>
      </c>
      <c r="O538" s="9" t="s">
        <v>62</v>
      </c>
      <c r="P538" s="9" t="s">
        <v>1621</v>
      </c>
      <c r="Q538" s="9" t="s">
        <v>70</v>
      </c>
      <c r="R538" s="9" t="s">
        <v>57</v>
      </c>
      <c r="S538" s="9" t="s">
        <v>1259</v>
      </c>
      <c r="T538" s="170">
        <v>2.782</v>
      </c>
      <c r="U538" s="9" t="s">
        <v>2566</v>
      </c>
      <c r="V538" s="199">
        <v>0.01</v>
      </c>
      <c r="W538" s="185">
        <v>3.107E-2</v>
      </c>
      <c r="X538" s="5" t="s">
        <v>618</v>
      </c>
      <c r="Y538" s="5" t="s">
        <v>62</v>
      </c>
      <c r="Z538" s="170">
        <v>72240</v>
      </c>
      <c r="AA538" s="184">
        <v>1</v>
      </c>
      <c r="AB538" s="186">
        <v>108.19</v>
      </c>
      <c r="AC538" s="9"/>
      <c r="AD538" s="170">
        <v>78.156000000000006</v>
      </c>
      <c r="AE538" s="9"/>
      <c r="AF538" s="9"/>
      <c r="AG538" s="9" t="s">
        <v>17</v>
      </c>
      <c r="AH538" s="185">
        <v>4.0000000000000003E-5</v>
      </c>
      <c r="AI538" s="185">
        <v>9.6966857485478002E-3</v>
      </c>
      <c r="AJ538" s="185">
        <v>2.01290421084608E-3</v>
      </c>
    </row>
    <row r="539" spans="1:36">
      <c r="A539" s="9">
        <v>337</v>
      </c>
      <c r="B539" s="9">
        <v>9964</v>
      </c>
      <c r="C539" s="9" t="s">
        <v>2562</v>
      </c>
      <c r="D539" s="9" t="s">
        <v>2563</v>
      </c>
      <c r="E539" s="5" t="s">
        <v>1346</v>
      </c>
      <c r="F539" s="9" t="s">
        <v>2567</v>
      </c>
      <c r="G539" s="9" t="s">
        <v>2568</v>
      </c>
      <c r="H539" s="9" t="s">
        <v>76</v>
      </c>
      <c r="I539" s="9" t="s">
        <v>229</v>
      </c>
      <c r="J539" s="9" t="s">
        <v>53</v>
      </c>
      <c r="K539" s="9" t="s">
        <v>53</v>
      </c>
      <c r="L539" s="9" t="s">
        <v>803</v>
      </c>
      <c r="M539" s="9" t="s">
        <v>311</v>
      </c>
      <c r="N539" s="9" t="s">
        <v>631</v>
      </c>
      <c r="O539" s="9" t="s">
        <v>62</v>
      </c>
      <c r="P539" s="9" t="s">
        <v>1621</v>
      </c>
      <c r="Q539" s="9" t="s">
        <v>70</v>
      </c>
      <c r="R539" s="9" t="s">
        <v>57</v>
      </c>
      <c r="S539" s="9" t="s">
        <v>1259</v>
      </c>
      <c r="T539" s="170">
        <v>1.056</v>
      </c>
      <c r="U539" s="9" t="s">
        <v>2569</v>
      </c>
      <c r="V539" s="199">
        <v>3.5400000000000001E-2</v>
      </c>
      <c r="W539" s="185">
        <v>3.4250000000000003E-2</v>
      </c>
      <c r="X539" s="5" t="s">
        <v>618</v>
      </c>
      <c r="Y539" s="5" t="s">
        <v>62</v>
      </c>
      <c r="Z539" s="170">
        <v>50400</v>
      </c>
      <c r="AA539" s="184">
        <v>1</v>
      </c>
      <c r="AB539" s="186">
        <v>109.8</v>
      </c>
      <c r="AC539" s="9"/>
      <c r="AD539" s="170">
        <v>55.338999999999999</v>
      </c>
      <c r="AE539" s="9"/>
      <c r="AF539" s="9"/>
      <c r="AG539" s="9" t="s">
        <v>17</v>
      </c>
      <c r="AH539" s="185">
        <v>5.0000000000000002E-5</v>
      </c>
      <c r="AI539" s="185">
        <v>6.86580302433412E-3</v>
      </c>
      <c r="AJ539" s="185">
        <v>1.4252502532209701E-3</v>
      </c>
    </row>
    <row r="540" spans="1:36">
      <c r="A540" s="9">
        <v>337</v>
      </c>
      <c r="B540" s="9">
        <v>9964</v>
      </c>
      <c r="C540" s="9" t="s">
        <v>2562</v>
      </c>
      <c r="D540" s="9" t="s">
        <v>2563</v>
      </c>
      <c r="E540" s="5" t="s">
        <v>1346</v>
      </c>
      <c r="F540" s="9" t="s">
        <v>2570</v>
      </c>
      <c r="G540" s="9" t="s">
        <v>2571</v>
      </c>
      <c r="H540" s="9" t="s">
        <v>76</v>
      </c>
      <c r="I540" s="9" t="s">
        <v>229</v>
      </c>
      <c r="J540" s="9" t="s">
        <v>53</v>
      </c>
      <c r="K540" s="9" t="s">
        <v>53</v>
      </c>
      <c r="L540" s="9" t="s">
        <v>803</v>
      </c>
      <c r="M540" s="9" t="s">
        <v>311</v>
      </c>
      <c r="N540" s="9" t="s">
        <v>631</v>
      </c>
      <c r="O540" s="9" t="s">
        <v>62</v>
      </c>
      <c r="P540" s="9" t="s">
        <v>1621</v>
      </c>
      <c r="Q540" s="9" t="s">
        <v>70</v>
      </c>
      <c r="R540" s="9" t="s">
        <v>57</v>
      </c>
      <c r="S540" s="9" t="s">
        <v>1259</v>
      </c>
      <c r="T540" s="170">
        <v>0.17899999999999999</v>
      </c>
      <c r="U540" s="9" t="s">
        <v>2572</v>
      </c>
      <c r="V540" s="199">
        <v>0.01</v>
      </c>
      <c r="W540" s="185">
        <v>3.569E-2</v>
      </c>
      <c r="X540" s="5" t="s">
        <v>618</v>
      </c>
      <c r="Y540" s="5" t="s">
        <v>62</v>
      </c>
      <c r="Z540" s="170">
        <v>25256.400000000001</v>
      </c>
      <c r="AA540" s="184">
        <v>1</v>
      </c>
      <c r="AB540" s="186">
        <v>115.84</v>
      </c>
      <c r="AC540" s="9"/>
      <c r="AD540" s="170">
        <v>29.257000000000001</v>
      </c>
      <c r="AE540" s="9"/>
      <c r="AF540" s="9"/>
      <c r="AG540" s="9" t="s">
        <v>17</v>
      </c>
      <c r="AH540" s="185">
        <v>1.4899999999999999E-4</v>
      </c>
      <c r="AI540" s="185">
        <v>3.6298481647077099E-3</v>
      </c>
      <c r="AJ540" s="185">
        <v>7.5350865697243995E-4</v>
      </c>
    </row>
    <row r="541" spans="1:36">
      <c r="A541" s="9">
        <v>337</v>
      </c>
      <c r="B541" s="9">
        <v>9964</v>
      </c>
      <c r="C541" s="9" t="s">
        <v>2004</v>
      </c>
      <c r="D541" s="9" t="s">
        <v>2005</v>
      </c>
      <c r="E541" s="5" t="s">
        <v>1346</v>
      </c>
      <c r="F541" s="9" t="s">
        <v>2573</v>
      </c>
      <c r="G541" s="9" t="s">
        <v>2574</v>
      </c>
      <c r="H541" s="9" t="s">
        <v>76</v>
      </c>
      <c r="I541" s="9" t="s">
        <v>229</v>
      </c>
      <c r="J541" s="9" t="s">
        <v>53</v>
      </c>
      <c r="K541" s="9" t="s">
        <v>53</v>
      </c>
      <c r="L541" s="9" t="s">
        <v>803</v>
      </c>
      <c r="M541" s="9" t="s">
        <v>311</v>
      </c>
      <c r="N541" s="9" t="s">
        <v>633</v>
      </c>
      <c r="O541" s="9" t="s">
        <v>62</v>
      </c>
      <c r="P541" s="9" t="s">
        <v>2246</v>
      </c>
      <c r="Q541" s="9" t="s">
        <v>65</v>
      </c>
      <c r="R541" s="9" t="s">
        <v>57</v>
      </c>
      <c r="S541" s="9" t="s">
        <v>1259</v>
      </c>
      <c r="T541" s="170">
        <v>3.7440000000000002</v>
      </c>
      <c r="U541" s="9" t="s">
        <v>2273</v>
      </c>
      <c r="V541" s="199">
        <v>1.43E-2</v>
      </c>
      <c r="W541" s="185">
        <v>2.81E-2</v>
      </c>
      <c r="X541" s="5" t="s">
        <v>618</v>
      </c>
      <c r="Y541" s="5" t="s">
        <v>62</v>
      </c>
      <c r="Z541" s="170">
        <v>132134</v>
      </c>
      <c r="AA541" s="184">
        <v>1</v>
      </c>
      <c r="AB541" s="186">
        <v>111.28</v>
      </c>
      <c r="AC541" s="170">
        <v>2.8359999999999999</v>
      </c>
      <c r="AD541" s="170">
        <v>149.875</v>
      </c>
      <c r="AE541" s="9"/>
      <c r="AF541" s="9"/>
      <c r="AG541" s="9" t="s">
        <v>17</v>
      </c>
      <c r="AH541" s="185">
        <v>6.8999999999999997E-5</v>
      </c>
      <c r="AI541" s="185">
        <v>1.85946394228385E-2</v>
      </c>
      <c r="AJ541" s="185">
        <v>3.8600021661010799E-3</v>
      </c>
    </row>
    <row r="542" spans="1:36">
      <c r="A542" s="9">
        <v>337</v>
      </c>
      <c r="B542" s="9">
        <v>9964</v>
      </c>
      <c r="C542" s="9" t="s">
        <v>2004</v>
      </c>
      <c r="D542" s="9" t="s">
        <v>2005</v>
      </c>
      <c r="E542" s="5" t="s">
        <v>1346</v>
      </c>
      <c r="F542" s="9" t="s">
        <v>2575</v>
      </c>
      <c r="G542" s="9" t="s">
        <v>2576</v>
      </c>
      <c r="H542" s="9" t="s">
        <v>76</v>
      </c>
      <c r="I542" s="9" t="s">
        <v>229</v>
      </c>
      <c r="J542" s="9" t="s">
        <v>53</v>
      </c>
      <c r="K542" s="9" t="s">
        <v>53</v>
      </c>
      <c r="L542" s="9" t="s">
        <v>803</v>
      </c>
      <c r="M542" s="9" t="s">
        <v>311</v>
      </c>
      <c r="N542" s="9" t="s">
        <v>633</v>
      </c>
      <c r="O542" s="9" t="s">
        <v>62</v>
      </c>
      <c r="P542" s="9" t="s">
        <v>2246</v>
      </c>
      <c r="Q542" s="9" t="s">
        <v>65</v>
      </c>
      <c r="R542" s="9" t="s">
        <v>57</v>
      </c>
      <c r="S542" s="9" t="s">
        <v>1259</v>
      </c>
      <c r="T542" s="170">
        <v>5.5979999999999999</v>
      </c>
      <c r="U542" s="9" t="s">
        <v>2577</v>
      </c>
      <c r="V542" s="199">
        <v>3.61E-2</v>
      </c>
      <c r="W542" s="185">
        <v>2.928E-2</v>
      </c>
      <c r="X542" s="5" t="s">
        <v>618</v>
      </c>
      <c r="Y542" s="5" t="s">
        <v>62</v>
      </c>
      <c r="Z542" s="170">
        <v>69642.86</v>
      </c>
      <c r="AA542" s="184">
        <v>1</v>
      </c>
      <c r="AB542" s="186">
        <v>111.6</v>
      </c>
      <c r="AC542" s="170">
        <v>1.5449999999999999</v>
      </c>
      <c r="AD542" s="170">
        <v>79.266999999999996</v>
      </c>
      <c r="AE542" s="9"/>
      <c r="AF542" s="9"/>
      <c r="AG542" s="9" t="s">
        <v>17</v>
      </c>
      <c r="AH542" s="185">
        <v>4.3999999999999999E-5</v>
      </c>
      <c r="AI542" s="185">
        <v>9.8344375047515996E-3</v>
      </c>
      <c r="AJ542" s="185">
        <v>2.04149966060123E-3</v>
      </c>
    </row>
    <row r="543" spans="1:36">
      <c r="A543" s="9">
        <v>337</v>
      </c>
      <c r="B543" s="9">
        <v>9964</v>
      </c>
      <c r="C543" s="9" t="s">
        <v>2004</v>
      </c>
      <c r="D543" s="9" t="s">
        <v>2005</v>
      </c>
      <c r="E543" s="5" t="s">
        <v>1346</v>
      </c>
      <c r="F543" s="9" t="s">
        <v>2916</v>
      </c>
      <c r="G543" s="9" t="s">
        <v>2917</v>
      </c>
      <c r="H543" s="9" t="s">
        <v>76</v>
      </c>
      <c r="I543" s="9" t="s">
        <v>229</v>
      </c>
      <c r="J543" s="9" t="s">
        <v>53</v>
      </c>
      <c r="K543" s="9" t="s">
        <v>53</v>
      </c>
      <c r="L543" s="9" t="s">
        <v>803</v>
      </c>
      <c r="M543" s="9" t="s">
        <v>311</v>
      </c>
      <c r="N543" s="9" t="s">
        <v>633</v>
      </c>
      <c r="O543" s="9" t="s">
        <v>62</v>
      </c>
      <c r="P543" s="9" t="s">
        <v>2246</v>
      </c>
      <c r="Q543" s="9" t="s">
        <v>65</v>
      </c>
      <c r="R543" s="9" t="s">
        <v>57</v>
      </c>
      <c r="S543" s="9" t="s">
        <v>1259</v>
      </c>
      <c r="T543" s="170">
        <v>2.1999999999999999E-2</v>
      </c>
      <c r="U543" s="9" t="s">
        <v>2840</v>
      </c>
      <c r="V543" s="199">
        <v>1.7600000000000001E-2</v>
      </c>
      <c r="W543" s="185">
        <v>9.2439999999999994E-2</v>
      </c>
      <c r="X543" s="5" t="s">
        <v>618</v>
      </c>
      <c r="Y543" s="5" t="s">
        <v>62</v>
      </c>
      <c r="Z543" s="170">
        <v>62748.09</v>
      </c>
      <c r="AA543" s="184">
        <v>1</v>
      </c>
      <c r="AB543" s="186">
        <v>119.74</v>
      </c>
      <c r="AC543" s="9"/>
      <c r="AD543" s="170">
        <v>75.135000000000005</v>
      </c>
      <c r="AE543" s="9"/>
      <c r="AF543" s="9"/>
      <c r="AG543" s="9" t="s">
        <v>17</v>
      </c>
      <c r="AH543" s="185">
        <v>2.33E-4</v>
      </c>
      <c r="AI543" s="185">
        <v>9.3217666616789707E-3</v>
      </c>
      <c r="AJ543" s="185">
        <v>1.93507594784417E-3</v>
      </c>
    </row>
    <row r="544" spans="1:36">
      <c r="A544" s="9">
        <v>337</v>
      </c>
      <c r="B544" s="9">
        <v>9964</v>
      </c>
      <c r="C544" s="9" t="s">
        <v>2004</v>
      </c>
      <c r="D544" s="9" t="s">
        <v>2005</v>
      </c>
      <c r="E544" s="5" t="s">
        <v>1346</v>
      </c>
      <c r="F544" s="9" t="s">
        <v>2838</v>
      </c>
      <c r="G544" s="9" t="s">
        <v>2839</v>
      </c>
      <c r="H544" s="9" t="s">
        <v>76</v>
      </c>
      <c r="I544" s="9" t="s">
        <v>229</v>
      </c>
      <c r="J544" s="9" t="s">
        <v>53</v>
      </c>
      <c r="K544" s="9" t="s">
        <v>53</v>
      </c>
      <c r="L544" s="9" t="s">
        <v>803</v>
      </c>
      <c r="M544" s="9" t="s">
        <v>311</v>
      </c>
      <c r="N544" s="9" t="s">
        <v>633</v>
      </c>
      <c r="O544" s="9" t="s">
        <v>62</v>
      </c>
      <c r="P544" s="9" t="s">
        <v>2246</v>
      </c>
      <c r="Q544" s="9" t="s">
        <v>65</v>
      </c>
      <c r="R544" s="9" t="s">
        <v>57</v>
      </c>
      <c r="S544" s="9" t="s">
        <v>1259</v>
      </c>
      <c r="T544" s="170">
        <v>2.1999999999999999E-2</v>
      </c>
      <c r="U544" s="9" t="s">
        <v>2840</v>
      </c>
      <c r="V544" s="199">
        <v>2.3E-2</v>
      </c>
      <c r="W544" s="185">
        <v>4.793E-2</v>
      </c>
      <c r="X544" s="5" t="s">
        <v>618</v>
      </c>
      <c r="Y544" s="5" t="s">
        <v>62</v>
      </c>
      <c r="Z544" s="170">
        <v>75621.66</v>
      </c>
      <c r="AA544" s="184">
        <v>1</v>
      </c>
      <c r="AB544" s="186">
        <v>120.17</v>
      </c>
      <c r="AC544" s="9"/>
      <c r="AD544" s="170">
        <v>90.875</v>
      </c>
      <c r="AE544" s="9"/>
      <c r="AF544" s="9"/>
      <c r="AG544" s="9" t="s">
        <v>17</v>
      </c>
      <c r="AH544" s="185">
        <v>9.5000000000000005E-5</v>
      </c>
      <c r="AI544" s="185">
        <v>1.12745892990337E-2</v>
      </c>
      <c r="AJ544" s="185">
        <v>2.3404561995817902E-3</v>
      </c>
    </row>
    <row r="545" spans="1:36">
      <c r="A545" s="9">
        <v>337</v>
      </c>
      <c r="B545" s="9">
        <v>9964</v>
      </c>
      <c r="C545" s="9" t="s">
        <v>2004</v>
      </c>
      <c r="D545" s="9" t="s">
        <v>2005</v>
      </c>
      <c r="E545" s="5" t="s">
        <v>1346</v>
      </c>
      <c r="F545" s="9" t="s">
        <v>2581</v>
      </c>
      <c r="G545" s="9" t="s">
        <v>2582</v>
      </c>
      <c r="H545" s="9" t="s">
        <v>76</v>
      </c>
      <c r="I545" s="9" t="s">
        <v>229</v>
      </c>
      <c r="J545" s="9" t="s">
        <v>53</v>
      </c>
      <c r="K545" s="9" t="s">
        <v>53</v>
      </c>
      <c r="L545" s="9" t="s">
        <v>803</v>
      </c>
      <c r="M545" s="9" t="s">
        <v>311</v>
      </c>
      <c r="N545" s="9" t="s">
        <v>633</v>
      </c>
      <c r="O545" s="9" t="s">
        <v>62</v>
      </c>
      <c r="P545" s="9" t="s">
        <v>2246</v>
      </c>
      <c r="Q545" s="9" t="s">
        <v>65</v>
      </c>
      <c r="R545" s="9" t="s">
        <v>57</v>
      </c>
      <c r="S545" s="9" t="s">
        <v>1259</v>
      </c>
      <c r="T545" s="170">
        <v>4.6920000000000002</v>
      </c>
      <c r="U545" s="9" t="s">
        <v>2559</v>
      </c>
      <c r="V545" s="199">
        <v>2.5000000000000001E-3</v>
      </c>
      <c r="W545" s="185">
        <v>2.7019999999999999E-2</v>
      </c>
      <c r="X545" s="5" t="s">
        <v>618</v>
      </c>
      <c r="Y545" s="5" t="s">
        <v>62</v>
      </c>
      <c r="Z545" s="170">
        <v>51600</v>
      </c>
      <c r="AA545" s="184">
        <v>1</v>
      </c>
      <c r="AB545" s="186">
        <v>102.52</v>
      </c>
      <c r="AC545" s="170">
        <v>0.76400000000000001</v>
      </c>
      <c r="AD545" s="170">
        <v>53.664000000000001</v>
      </c>
      <c r="AE545" s="9"/>
      <c r="AF545" s="9"/>
      <c r="AG545" s="9" t="s">
        <v>17</v>
      </c>
      <c r="AH545" s="185">
        <v>3.8999999999999999E-5</v>
      </c>
      <c r="AI545" s="185">
        <v>6.6580120873271599E-3</v>
      </c>
      <c r="AJ545" s="185">
        <v>1.38211559227358E-3</v>
      </c>
    </row>
    <row r="546" spans="1:36">
      <c r="A546" s="9">
        <v>337</v>
      </c>
      <c r="B546" s="9">
        <v>9964</v>
      </c>
      <c r="C546" s="9" t="s">
        <v>2583</v>
      </c>
      <c r="D546" s="9" t="s">
        <v>2584</v>
      </c>
      <c r="E546" s="5" t="s">
        <v>1346</v>
      </c>
      <c r="F546" s="9" t="s">
        <v>2585</v>
      </c>
      <c r="G546" s="9" t="s">
        <v>2586</v>
      </c>
      <c r="H546" s="9" t="s">
        <v>76</v>
      </c>
      <c r="I546" s="9" t="s">
        <v>228</v>
      </c>
      <c r="J546" s="9" t="s">
        <v>53</v>
      </c>
      <c r="K546" s="9" t="s">
        <v>53</v>
      </c>
      <c r="L546" s="9" t="s">
        <v>803</v>
      </c>
      <c r="M546" s="9" t="s">
        <v>311</v>
      </c>
      <c r="N546" s="9" t="s">
        <v>269</v>
      </c>
      <c r="O546" s="9" t="s">
        <v>62</v>
      </c>
      <c r="P546" s="9" t="s">
        <v>2587</v>
      </c>
      <c r="Q546" s="9" t="s">
        <v>70</v>
      </c>
      <c r="R546" s="9" t="s">
        <v>57</v>
      </c>
      <c r="S546" s="9" t="s">
        <v>1259</v>
      </c>
      <c r="T546" s="170">
        <v>6.0990000000000002</v>
      </c>
      <c r="U546" s="9" t="s">
        <v>2588</v>
      </c>
      <c r="V546" s="199">
        <v>5.0200000000000002E-2</v>
      </c>
      <c r="W546" s="185">
        <v>4.7890000000000002E-2</v>
      </c>
      <c r="X546" s="5" t="s">
        <v>618</v>
      </c>
      <c r="Y546" s="5" t="s">
        <v>62</v>
      </c>
      <c r="Z546" s="170">
        <v>55000</v>
      </c>
      <c r="AA546" s="184">
        <v>1</v>
      </c>
      <c r="AB546" s="186">
        <v>103.09</v>
      </c>
      <c r="AC546" s="9"/>
      <c r="AD546" s="170">
        <v>56.7</v>
      </c>
      <c r="AE546" s="9"/>
      <c r="AF546" s="9"/>
      <c r="AG546" s="9" t="s">
        <v>17</v>
      </c>
      <c r="AH546" s="185">
        <v>1.3799999999999999E-4</v>
      </c>
      <c r="AI546" s="185">
        <v>7.0345722124322803E-3</v>
      </c>
      <c r="AJ546" s="185">
        <v>1.46028451319322E-3</v>
      </c>
    </row>
    <row r="547" spans="1:36">
      <c r="A547" s="9">
        <v>337</v>
      </c>
      <c r="B547" s="9">
        <v>9964</v>
      </c>
      <c r="C547" s="9" t="s">
        <v>2012</v>
      </c>
      <c r="D547" s="9" t="s">
        <v>2013</v>
      </c>
      <c r="E547" s="5" t="s">
        <v>1346</v>
      </c>
      <c r="F547" s="9" t="s">
        <v>2589</v>
      </c>
      <c r="G547" s="9" t="s">
        <v>2590</v>
      </c>
      <c r="H547" s="9" t="s">
        <v>76</v>
      </c>
      <c r="I547" s="9" t="s">
        <v>228</v>
      </c>
      <c r="J547" s="9" t="s">
        <v>53</v>
      </c>
      <c r="K547" s="9" t="s">
        <v>53</v>
      </c>
      <c r="L547" s="9" t="s">
        <v>803</v>
      </c>
      <c r="M547" s="9" t="s">
        <v>311</v>
      </c>
      <c r="N547" s="9" t="s">
        <v>631</v>
      </c>
      <c r="O547" s="9" t="s">
        <v>62</v>
      </c>
      <c r="P547" s="9" t="s">
        <v>2314</v>
      </c>
      <c r="Q547" s="9" t="s">
        <v>70</v>
      </c>
      <c r="R547" s="9" t="s">
        <v>57</v>
      </c>
      <c r="S547" s="9" t="s">
        <v>1259</v>
      </c>
      <c r="T547" s="170">
        <v>0.73099999999999998</v>
      </c>
      <c r="U547" s="9" t="s">
        <v>2591</v>
      </c>
      <c r="V547" s="199">
        <v>0.114</v>
      </c>
      <c r="W547" s="185">
        <v>5.91E-2</v>
      </c>
      <c r="X547" s="5" t="s">
        <v>618</v>
      </c>
      <c r="Y547" s="5" t="s">
        <v>62</v>
      </c>
      <c r="Z547" s="170">
        <v>40200</v>
      </c>
      <c r="AA547" s="184">
        <v>1</v>
      </c>
      <c r="AB547" s="186">
        <v>102.52</v>
      </c>
      <c r="AC547" s="9"/>
      <c r="AD547" s="170">
        <v>41.213000000000001</v>
      </c>
      <c r="AE547" s="9"/>
      <c r="AF547" s="9"/>
      <c r="AG547" s="9" t="s">
        <v>17</v>
      </c>
      <c r="AH547" s="185">
        <v>1.66E-4</v>
      </c>
      <c r="AI547" s="185">
        <v>5.1132039254995201E-3</v>
      </c>
      <c r="AJ547" s="185">
        <v>1.0614337702027801E-3</v>
      </c>
    </row>
    <row r="548" spans="1:36">
      <c r="A548" s="9">
        <v>337</v>
      </c>
      <c r="B548" s="9">
        <v>9964</v>
      </c>
      <c r="C548" s="9" t="s">
        <v>2012</v>
      </c>
      <c r="D548" s="9" t="s">
        <v>2013</v>
      </c>
      <c r="E548" s="5" t="s">
        <v>1346</v>
      </c>
      <c r="F548" s="9" t="s">
        <v>2592</v>
      </c>
      <c r="G548" s="9" t="s">
        <v>2593</v>
      </c>
      <c r="H548" s="9" t="s">
        <v>76</v>
      </c>
      <c r="I548" s="9" t="s">
        <v>228</v>
      </c>
      <c r="J548" s="9" t="s">
        <v>53</v>
      </c>
      <c r="K548" s="9" t="s">
        <v>53</v>
      </c>
      <c r="L548" s="9" t="s">
        <v>803</v>
      </c>
      <c r="M548" s="9" t="s">
        <v>1691</v>
      </c>
      <c r="N548" s="9" t="s">
        <v>631</v>
      </c>
      <c r="O548" s="9" t="s">
        <v>62</v>
      </c>
      <c r="P548" s="9" t="s">
        <v>2314</v>
      </c>
      <c r="Q548" s="9" t="s">
        <v>70</v>
      </c>
      <c r="R548" s="9" t="s">
        <v>57</v>
      </c>
      <c r="S548" s="9" t="s">
        <v>1259</v>
      </c>
      <c r="T548" s="170">
        <v>3.1070000000000002</v>
      </c>
      <c r="U548" s="9" t="s">
        <v>2594</v>
      </c>
      <c r="V548" s="199">
        <v>6.4000000000000001E-2</v>
      </c>
      <c r="W548" s="185">
        <v>5.5649999999999998E-2</v>
      </c>
      <c r="X548" s="5" t="s">
        <v>618</v>
      </c>
      <c r="Y548" s="5" t="s">
        <v>62</v>
      </c>
      <c r="Z548" s="170">
        <v>34000</v>
      </c>
      <c r="AA548" s="184">
        <v>1</v>
      </c>
      <c r="AB548" s="186">
        <v>103.33</v>
      </c>
      <c r="AC548" s="9"/>
      <c r="AD548" s="170">
        <v>35.131999999999998</v>
      </c>
      <c r="AE548" s="9"/>
      <c r="AF548" s="9"/>
      <c r="AG548" s="9" t="s">
        <v>17</v>
      </c>
      <c r="AH548" s="185">
        <v>9.7999999999999997E-5</v>
      </c>
      <c r="AI548" s="185">
        <v>4.3587685584813504E-3</v>
      </c>
      <c r="AJ548" s="185">
        <v>9.0482292744039695E-4</v>
      </c>
    </row>
    <row r="549" spans="1:36">
      <c r="A549" s="9">
        <v>337</v>
      </c>
      <c r="B549" s="9">
        <v>9964</v>
      </c>
      <c r="C549" s="9" t="s">
        <v>2595</v>
      </c>
      <c r="D549" s="9" t="s">
        <v>2596</v>
      </c>
      <c r="E549" s="5" t="s">
        <v>1346</v>
      </c>
      <c r="F549" s="9" t="s">
        <v>2597</v>
      </c>
      <c r="G549" s="9" t="s">
        <v>2598</v>
      </c>
      <c r="H549" s="9" t="s">
        <v>76</v>
      </c>
      <c r="I549" s="9" t="s">
        <v>229</v>
      </c>
      <c r="J549" s="9" t="s">
        <v>53</v>
      </c>
      <c r="K549" s="9" t="s">
        <v>53</v>
      </c>
      <c r="L549" s="9" t="s">
        <v>803</v>
      </c>
      <c r="M549" s="9" t="s">
        <v>311</v>
      </c>
      <c r="N549" s="9" t="s">
        <v>140</v>
      </c>
      <c r="O549" s="9" t="s">
        <v>62</v>
      </c>
      <c r="P549" s="9" t="s">
        <v>2599</v>
      </c>
      <c r="Q549" s="9" t="s">
        <v>70</v>
      </c>
      <c r="R549" s="9" t="s">
        <v>57</v>
      </c>
      <c r="S549" s="9" t="s">
        <v>1259</v>
      </c>
      <c r="T549" s="170">
        <v>3.5459999999999998</v>
      </c>
      <c r="U549" s="9" t="s">
        <v>2600</v>
      </c>
      <c r="V549" s="199">
        <v>2.07E-2</v>
      </c>
      <c r="W549" s="185">
        <v>3.721E-2</v>
      </c>
      <c r="X549" s="5" t="s">
        <v>618</v>
      </c>
      <c r="Y549" s="5" t="s">
        <v>62</v>
      </c>
      <c r="Z549" s="170">
        <v>80891.199999999997</v>
      </c>
      <c r="AA549" s="184">
        <v>1</v>
      </c>
      <c r="AB549" s="186">
        <v>107.9</v>
      </c>
      <c r="AC549" s="9"/>
      <c r="AD549" s="170">
        <v>87.281999999999996</v>
      </c>
      <c r="AE549" s="9"/>
      <c r="AF549" s="9"/>
      <c r="AG549" s="9" t="s">
        <v>17</v>
      </c>
      <c r="AH549" s="185">
        <v>1.94E-4</v>
      </c>
      <c r="AI549" s="185">
        <v>1.08288212732489E-2</v>
      </c>
      <c r="AJ549" s="185">
        <v>2.2479206302717099E-3</v>
      </c>
    </row>
    <row r="550" spans="1:36">
      <c r="A550" s="9">
        <v>337</v>
      </c>
      <c r="B550" s="9">
        <v>9964</v>
      </c>
      <c r="C550" s="9" t="s">
        <v>2841</v>
      </c>
      <c r="D550" s="9" t="s">
        <v>2842</v>
      </c>
      <c r="E550" s="5" t="s">
        <v>1346</v>
      </c>
      <c r="F550" s="9" t="s">
        <v>2843</v>
      </c>
      <c r="G550" s="9" t="s">
        <v>2844</v>
      </c>
      <c r="H550" s="9" t="s">
        <v>76</v>
      </c>
      <c r="I550" s="9" t="s">
        <v>229</v>
      </c>
      <c r="J550" s="9" t="s">
        <v>53</v>
      </c>
      <c r="K550" s="9" t="s">
        <v>53</v>
      </c>
      <c r="L550" s="9" t="s">
        <v>803</v>
      </c>
      <c r="M550" s="9" t="s">
        <v>311</v>
      </c>
      <c r="N550" s="9" t="s">
        <v>258</v>
      </c>
      <c r="O550" s="9" t="s">
        <v>62</v>
      </c>
      <c r="P550" s="9" t="s">
        <v>1641</v>
      </c>
      <c r="Q550" s="9" t="s">
        <v>65</v>
      </c>
      <c r="R550" s="9" t="s">
        <v>57</v>
      </c>
      <c r="S550" s="9" t="s">
        <v>1259</v>
      </c>
      <c r="T550" s="170">
        <v>11.726000000000001</v>
      </c>
      <c r="U550" s="9" t="s">
        <v>2845</v>
      </c>
      <c r="V550" s="199">
        <v>2.07E-2</v>
      </c>
      <c r="W550" s="185">
        <v>2.776E-2</v>
      </c>
      <c r="X550" s="5" t="s">
        <v>618</v>
      </c>
      <c r="Y550" s="5" t="s">
        <v>62</v>
      </c>
      <c r="Z550" s="170">
        <v>57813.1</v>
      </c>
      <c r="AA550" s="184">
        <v>1</v>
      </c>
      <c r="AB550" s="186">
        <v>106.32</v>
      </c>
      <c r="AC550" s="9"/>
      <c r="AD550" s="170">
        <v>61.466999999999999</v>
      </c>
      <c r="AE550" s="9"/>
      <c r="AF550" s="9"/>
      <c r="AG550" s="9" t="s">
        <v>17</v>
      </c>
      <c r="AH550" s="185">
        <v>1.1E-5</v>
      </c>
      <c r="AI550" s="185">
        <v>7.6260507014474796E-3</v>
      </c>
      <c r="AJ550" s="185">
        <v>1.5830676549838899E-3</v>
      </c>
    </row>
    <row r="551" spans="1:36">
      <c r="A551" s="9">
        <v>337</v>
      </c>
      <c r="B551" s="9">
        <v>9964</v>
      </c>
      <c r="C551" s="9" t="s">
        <v>2016</v>
      </c>
      <c r="D551" s="9" t="s">
        <v>2017</v>
      </c>
      <c r="E551" s="5" t="s">
        <v>431</v>
      </c>
      <c r="F551" s="9" t="s">
        <v>2601</v>
      </c>
      <c r="G551" s="9" t="s">
        <v>2602</v>
      </c>
      <c r="H551" s="9" t="s">
        <v>76</v>
      </c>
      <c r="I551" s="9" t="s">
        <v>228</v>
      </c>
      <c r="J551" s="9" t="s">
        <v>53</v>
      </c>
      <c r="K551" s="9" t="s">
        <v>53</v>
      </c>
      <c r="L551" s="9" t="s">
        <v>803</v>
      </c>
      <c r="M551" s="9" t="s">
        <v>311</v>
      </c>
      <c r="N551" s="9" t="s">
        <v>267</v>
      </c>
      <c r="O551" s="9" t="s">
        <v>62</v>
      </c>
      <c r="P551" s="9" t="s">
        <v>2330</v>
      </c>
      <c r="Q551" s="9" t="s">
        <v>65</v>
      </c>
      <c r="R551" s="9" t="s">
        <v>57</v>
      </c>
      <c r="S551" s="9" t="s">
        <v>1259</v>
      </c>
      <c r="T551" s="170">
        <v>1.7090000000000001</v>
      </c>
      <c r="U551" s="9" t="s">
        <v>2603</v>
      </c>
      <c r="V551" s="199">
        <v>5.2499999999999998E-2</v>
      </c>
      <c r="W551" s="185">
        <v>5.1819999999999998E-2</v>
      </c>
      <c r="X551" s="5" t="s">
        <v>618</v>
      </c>
      <c r="Y551" s="5" t="s">
        <v>62</v>
      </c>
      <c r="Z551" s="170">
        <v>82000</v>
      </c>
      <c r="AA551" s="184">
        <v>1</v>
      </c>
      <c r="AB551" s="186">
        <v>102.65</v>
      </c>
      <c r="AC551" s="9"/>
      <c r="AD551" s="170">
        <v>84.173000000000002</v>
      </c>
      <c r="AE551" s="9"/>
      <c r="AF551" s="9"/>
      <c r="AG551" s="9" t="s">
        <v>17</v>
      </c>
      <c r="AH551" s="185">
        <v>2.4800000000000001E-4</v>
      </c>
      <c r="AI551" s="185">
        <v>1.0443144063652401E-2</v>
      </c>
      <c r="AJ551" s="185">
        <v>2.1678591227261698E-3</v>
      </c>
    </row>
    <row r="552" spans="1:36">
      <c r="A552" s="9">
        <v>337</v>
      </c>
      <c r="B552" s="9">
        <v>9964</v>
      </c>
      <c r="C552" s="9" t="s">
        <v>2016</v>
      </c>
      <c r="D552" s="9" t="s">
        <v>2017</v>
      </c>
      <c r="E552" s="5" t="s">
        <v>431</v>
      </c>
      <c r="F552" s="9" t="s">
        <v>2604</v>
      </c>
      <c r="G552" s="9" t="s">
        <v>2605</v>
      </c>
      <c r="H552" s="9" t="s">
        <v>76</v>
      </c>
      <c r="I552" s="9" t="s">
        <v>228</v>
      </c>
      <c r="J552" s="9" t="s">
        <v>53</v>
      </c>
      <c r="K552" s="9" t="s">
        <v>314</v>
      </c>
      <c r="L552" s="9" t="s">
        <v>803</v>
      </c>
      <c r="M552" s="9" t="s">
        <v>311</v>
      </c>
      <c r="N552" s="9" t="s">
        <v>267</v>
      </c>
      <c r="O552" s="9" t="s">
        <v>62</v>
      </c>
      <c r="P552" s="9" t="s">
        <v>2330</v>
      </c>
      <c r="Q552" s="9" t="s">
        <v>65</v>
      </c>
      <c r="R552" s="9" t="s">
        <v>57</v>
      </c>
      <c r="S552" s="9" t="s">
        <v>1259</v>
      </c>
      <c r="T552" s="170">
        <v>2.5539999999999998</v>
      </c>
      <c r="U552" s="9" t="s">
        <v>1608</v>
      </c>
      <c r="V552" s="199">
        <v>6.5000000000000002E-2</v>
      </c>
      <c r="W552" s="185">
        <v>5.2010000000000001E-2</v>
      </c>
      <c r="X552" s="5" t="s">
        <v>618</v>
      </c>
      <c r="Y552" s="5" t="s">
        <v>62</v>
      </c>
      <c r="Z552" s="170">
        <v>67000</v>
      </c>
      <c r="AA552" s="184">
        <v>1</v>
      </c>
      <c r="AB552" s="186">
        <v>103.44</v>
      </c>
      <c r="AC552" s="9"/>
      <c r="AD552" s="170">
        <v>69.305000000000007</v>
      </c>
      <c r="AE552" s="9"/>
      <c r="AF552" s="9"/>
      <c r="AG552" s="9" t="s">
        <v>17</v>
      </c>
      <c r="AH552" s="185">
        <v>1.34E-4</v>
      </c>
      <c r="AI552" s="185">
        <v>8.5984818255571294E-3</v>
      </c>
      <c r="AJ552" s="185">
        <v>1.78493154489816E-3</v>
      </c>
    </row>
    <row r="553" spans="1:36">
      <c r="A553" s="9">
        <v>337</v>
      </c>
      <c r="B553" s="9">
        <v>9964</v>
      </c>
      <c r="C553" s="9" t="s">
        <v>2016</v>
      </c>
      <c r="D553" s="9" t="s">
        <v>2017</v>
      </c>
      <c r="E553" s="5" t="s">
        <v>431</v>
      </c>
      <c r="F553" s="9" t="s">
        <v>2606</v>
      </c>
      <c r="G553" s="9" t="s">
        <v>2607</v>
      </c>
      <c r="H553" s="9" t="s">
        <v>76</v>
      </c>
      <c r="I553" s="9" t="s">
        <v>228</v>
      </c>
      <c r="J553" s="9" t="s">
        <v>53</v>
      </c>
      <c r="K553" s="9" t="s">
        <v>53</v>
      </c>
      <c r="L553" s="9" t="s">
        <v>803</v>
      </c>
      <c r="M553" s="9" t="s">
        <v>1691</v>
      </c>
      <c r="N553" s="9" t="s">
        <v>267</v>
      </c>
      <c r="O553" s="9" t="s">
        <v>62</v>
      </c>
      <c r="P553" s="9" t="s">
        <v>2330</v>
      </c>
      <c r="Q553" s="9" t="s">
        <v>65</v>
      </c>
      <c r="R553" s="9" t="s">
        <v>57</v>
      </c>
      <c r="S553" s="9" t="s">
        <v>1259</v>
      </c>
      <c r="T553" s="170">
        <v>3.129</v>
      </c>
      <c r="U553" s="9" t="s">
        <v>2268</v>
      </c>
      <c r="V553" s="199">
        <v>6.7000000000000004E-2</v>
      </c>
      <c r="W553" s="185">
        <v>5.1139999999999998E-2</v>
      </c>
      <c r="X553" s="5" t="s">
        <v>618</v>
      </c>
      <c r="Y553" s="5" t="s">
        <v>62</v>
      </c>
      <c r="Z553" s="170">
        <v>55000</v>
      </c>
      <c r="AA553" s="184">
        <v>1</v>
      </c>
      <c r="AB553" s="186">
        <v>106.88</v>
      </c>
      <c r="AC553" s="9"/>
      <c r="AD553" s="170">
        <v>58.783999999999999</v>
      </c>
      <c r="AE553" s="9"/>
      <c r="AF553" s="9"/>
      <c r="AG553" s="9" t="s">
        <v>17</v>
      </c>
      <c r="AH553" s="185">
        <v>6.0000000000000002E-5</v>
      </c>
      <c r="AI553" s="185">
        <v>7.2931911733898703E-3</v>
      </c>
      <c r="AJ553" s="185">
        <v>1.51397040227075E-3</v>
      </c>
    </row>
    <row r="554" spans="1:36">
      <c r="A554" s="9">
        <v>337</v>
      </c>
      <c r="B554" s="9">
        <v>9964</v>
      </c>
      <c r="C554" s="9" t="s">
        <v>2024</v>
      </c>
      <c r="D554" s="9" t="s">
        <v>2025</v>
      </c>
      <c r="E554" s="5" t="s">
        <v>1346</v>
      </c>
      <c r="F554" s="9" t="s">
        <v>2608</v>
      </c>
      <c r="G554" s="9" t="s">
        <v>2609</v>
      </c>
      <c r="H554" s="9" t="s">
        <v>76</v>
      </c>
      <c r="I554" s="9" t="s">
        <v>229</v>
      </c>
      <c r="J554" s="9" t="s">
        <v>53</v>
      </c>
      <c r="K554" s="9" t="s">
        <v>53</v>
      </c>
      <c r="L554" s="9" t="s">
        <v>803</v>
      </c>
      <c r="M554" s="9" t="s">
        <v>311</v>
      </c>
      <c r="N554" s="9" t="s">
        <v>629</v>
      </c>
      <c r="O554" s="9" t="s">
        <v>62</v>
      </c>
      <c r="P554" s="9" t="s">
        <v>2314</v>
      </c>
      <c r="Q554" s="9" t="s">
        <v>70</v>
      </c>
      <c r="R554" s="9" t="s">
        <v>57</v>
      </c>
      <c r="S554" s="9" t="s">
        <v>1259</v>
      </c>
      <c r="T554" s="170">
        <v>2.1589999999999998</v>
      </c>
      <c r="U554" s="9" t="s">
        <v>2428</v>
      </c>
      <c r="V554" s="199">
        <v>1.4800000000000001E-2</v>
      </c>
      <c r="W554" s="185">
        <v>2.9860000000000001E-2</v>
      </c>
      <c r="X554" s="5" t="s">
        <v>618</v>
      </c>
      <c r="Y554" s="5" t="s">
        <v>62</v>
      </c>
      <c r="Z554" s="170">
        <v>59400</v>
      </c>
      <c r="AA554" s="184">
        <v>1</v>
      </c>
      <c r="AB554" s="186">
        <v>111.27</v>
      </c>
      <c r="AC554" s="9"/>
      <c r="AD554" s="170">
        <v>66.093999999999994</v>
      </c>
      <c r="AE554" s="9"/>
      <c r="AF554" s="9"/>
      <c r="AG554" s="9" t="s">
        <v>17</v>
      </c>
      <c r="AH554" s="185">
        <v>2.04E-4</v>
      </c>
      <c r="AI554" s="185">
        <v>8.2001726460716497E-3</v>
      </c>
      <c r="AJ554" s="185">
        <v>1.7022478068255899E-3</v>
      </c>
    </row>
    <row r="555" spans="1:36">
      <c r="A555" s="9">
        <v>337</v>
      </c>
      <c r="B555" s="9">
        <v>9964</v>
      </c>
      <c r="C555" s="9" t="s">
        <v>2036</v>
      </c>
      <c r="D555" s="9" t="s">
        <v>2037</v>
      </c>
      <c r="E555" s="5" t="s">
        <v>1346</v>
      </c>
      <c r="F555" s="9" t="s">
        <v>2612</v>
      </c>
      <c r="G555" s="9" t="s">
        <v>2613</v>
      </c>
      <c r="H555" s="9" t="s">
        <v>76</v>
      </c>
      <c r="I555" s="9" t="s">
        <v>229</v>
      </c>
      <c r="J555" s="9" t="s">
        <v>53</v>
      </c>
      <c r="K555" s="9" t="s">
        <v>53</v>
      </c>
      <c r="L555" s="9" t="s">
        <v>803</v>
      </c>
      <c r="M555" s="9" t="s">
        <v>311</v>
      </c>
      <c r="N555" s="9" t="s">
        <v>633</v>
      </c>
      <c r="O555" s="9" t="s">
        <v>62</v>
      </c>
      <c r="P555" s="9" t="s">
        <v>1614</v>
      </c>
      <c r="Q555" s="9" t="s">
        <v>65</v>
      </c>
      <c r="R555" s="9" t="s">
        <v>57</v>
      </c>
      <c r="S555" s="9" t="s">
        <v>1259</v>
      </c>
      <c r="T555" s="170">
        <v>3.5569999999999999</v>
      </c>
      <c r="U555" s="9" t="s">
        <v>2273</v>
      </c>
      <c r="V555" s="199">
        <v>3.6200000000000003E-2</v>
      </c>
      <c r="W555" s="185">
        <v>3.0020000000000002E-2</v>
      </c>
      <c r="X555" s="5" t="s">
        <v>618</v>
      </c>
      <c r="Y555" s="5" t="s">
        <v>62</v>
      </c>
      <c r="Z555" s="170">
        <v>27750</v>
      </c>
      <c r="AA555" s="184">
        <v>1</v>
      </c>
      <c r="AB555" s="186">
        <v>110.37</v>
      </c>
      <c r="AC555" s="9"/>
      <c r="AD555" s="170">
        <v>30.628</v>
      </c>
      <c r="AE555" s="9"/>
      <c r="AF555" s="9"/>
      <c r="AG555" s="9" t="s">
        <v>17</v>
      </c>
      <c r="AH555" s="185">
        <v>1.5E-5</v>
      </c>
      <c r="AI555" s="185">
        <v>3.7999028472280498E-3</v>
      </c>
      <c r="AJ555" s="185">
        <v>7.8880976865078399E-4</v>
      </c>
    </row>
    <row r="556" spans="1:36">
      <c r="A556" s="9">
        <v>337</v>
      </c>
      <c r="B556" s="9">
        <v>9964</v>
      </c>
      <c r="C556" s="9" t="s">
        <v>2036</v>
      </c>
      <c r="D556" s="9" t="s">
        <v>2037</v>
      </c>
      <c r="E556" s="5" t="s">
        <v>1346</v>
      </c>
      <c r="F556" s="9" t="s">
        <v>2768</v>
      </c>
      <c r="G556" s="9" t="s">
        <v>2769</v>
      </c>
      <c r="H556" s="9" t="s">
        <v>76</v>
      </c>
      <c r="I556" s="9" t="s">
        <v>229</v>
      </c>
      <c r="J556" s="9" t="s">
        <v>53</v>
      </c>
      <c r="K556" s="9" t="s">
        <v>53</v>
      </c>
      <c r="L556" s="9" t="s">
        <v>803</v>
      </c>
      <c r="M556" s="9" t="s">
        <v>311</v>
      </c>
      <c r="N556" s="9" t="s">
        <v>633</v>
      </c>
      <c r="O556" s="9" t="s">
        <v>62</v>
      </c>
      <c r="P556" s="9" t="s">
        <v>1614</v>
      </c>
      <c r="Q556" s="9" t="s">
        <v>65</v>
      </c>
      <c r="R556" s="9" t="s">
        <v>57</v>
      </c>
      <c r="S556" s="9" t="s">
        <v>1259</v>
      </c>
      <c r="T556" s="170">
        <v>0.499</v>
      </c>
      <c r="U556" s="9" t="s">
        <v>2727</v>
      </c>
      <c r="V556" s="199">
        <v>4.9500000000000002E-2</v>
      </c>
      <c r="W556" s="185">
        <v>3.091E-2</v>
      </c>
      <c r="X556" s="5" t="s">
        <v>618</v>
      </c>
      <c r="Y556" s="5" t="s">
        <v>62</v>
      </c>
      <c r="Z556" s="170">
        <v>15000.02</v>
      </c>
      <c r="AA556" s="184">
        <v>1</v>
      </c>
      <c r="AB556" s="186">
        <v>142.71</v>
      </c>
      <c r="AC556" s="9"/>
      <c r="AD556" s="170">
        <v>21.407</v>
      </c>
      <c r="AE556" s="9"/>
      <c r="AF556" s="9"/>
      <c r="AG556" s="9" t="s">
        <v>17</v>
      </c>
      <c r="AH556" s="185">
        <v>6.7999999999999999E-5</v>
      </c>
      <c r="AI556" s="185">
        <v>2.6558571212478401E-3</v>
      </c>
      <c r="AJ556" s="185">
        <v>5.5132094835247598E-4</v>
      </c>
    </row>
    <row r="557" spans="1:36">
      <c r="A557" s="9">
        <v>337</v>
      </c>
      <c r="B557" s="9">
        <v>9964</v>
      </c>
      <c r="C557" s="9" t="s">
        <v>2614</v>
      </c>
      <c r="D557" s="9" t="s">
        <v>2615</v>
      </c>
      <c r="E557" s="5" t="s">
        <v>765</v>
      </c>
      <c r="F557" s="9" t="s">
        <v>2616</v>
      </c>
      <c r="G557" s="9" t="s">
        <v>2617</v>
      </c>
      <c r="H557" s="9" t="s">
        <v>76</v>
      </c>
      <c r="I557" s="9" t="s">
        <v>228</v>
      </c>
      <c r="J557" s="9" t="s">
        <v>53</v>
      </c>
      <c r="K557" s="9" t="s">
        <v>314</v>
      </c>
      <c r="L557" s="9" t="s">
        <v>803</v>
      </c>
      <c r="M557" s="9" t="s">
        <v>311</v>
      </c>
      <c r="N557" s="9" t="s">
        <v>634</v>
      </c>
      <c r="O557" s="9" t="s">
        <v>62</v>
      </c>
      <c r="P557" s="9" t="s">
        <v>2239</v>
      </c>
      <c r="Q557" s="9" t="s">
        <v>65</v>
      </c>
      <c r="R557" s="9" t="s">
        <v>57</v>
      </c>
      <c r="S557" s="9" t="s">
        <v>1259</v>
      </c>
      <c r="T557" s="170">
        <v>3.359</v>
      </c>
      <c r="U557" s="9" t="s">
        <v>2618</v>
      </c>
      <c r="V557" s="199">
        <v>4.4999999999999998E-2</v>
      </c>
      <c r="W557" s="185">
        <v>5.5239999999999997E-2</v>
      </c>
      <c r="X557" s="5" t="s">
        <v>618</v>
      </c>
      <c r="Y557" s="5" t="s">
        <v>62</v>
      </c>
      <c r="Z557" s="170">
        <v>60961.5</v>
      </c>
      <c r="AA557" s="184">
        <v>1</v>
      </c>
      <c r="AB557" s="186">
        <v>97.83</v>
      </c>
      <c r="AC557" s="9"/>
      <c r="AD557" s="170">
        <v>59.639000000000003</v>
      </c>
      <c r="AE557" s="9"/>
      <c r="AF557" s="9"/>
      <c r="AG557" s="9" t="s">
        <v>17</v>
      </c>
      <c r="AH557" s="185">
        <v>7.4999999999999993E-5</v>
      </c>
      <c r="AI557" s="185">
        <v>7.3992237625366804E-3</v>
      </c>
      <c r="AJ557" s="185">
        <v>1.5359813708341499E-3</v>
      </c>
    </row>
    <row r="558" spans="1:36">
      <c r="A558" s="9">
        <v>337</v>
      </c>
      <c r="B558" s="9">
        <v>9964</v>
      </c>
      <c r="C558" s="9" t="s">
        <v>2614</v>
      </c>
      <c r="D558" s="9" t="s">
        <v>2615</v>
      </c>
      <c r="E558" s="5" t="s">
        <v>765</v>
      </c>
      <c r="F558" s="9" t="s">
        <v>2619</v>
      </c>
      <c r="G558" s="9" t="s">
        <v>2620</v>
      </c>
      <c r="H558" s="9" t="s">
        <v>76</v>
      </c>
      <c r="I558" s="9" t="s">
        <v>228</v>
      </c>
      <c r="J558" s="9" t="s">
        <v>53</v>
      </c>
      <c r="K558" s="9" t="s">
        <v>53</v>
      </c>
      <c r="L558" s="9" t="s">
        <v>803</v>
      </c>
      <c r="M558" s="9" t="s">
        <v>311</v>
      </c>
      <c r="N558" s="9" t="s">
        <v>634</v>
      </c>
      <c r="O558" s="9" t="s">
        <v>62</v>
      </c>
      <c r="P558" s="9" t="s">
        <v>2246</v>
      </c>
      <c r="Q558" s="9" t="s">
        <v>65</v>
      </c>
      <c r="R558" s="9" t="s">
        <v>57</v>
      </c>
      <c r="S558" s="9" t="s">
        <v>1259</v>
      </c>
      <c r="T558" s="170">
        <v>1.877</v>
      </c>
      <c r="U558" s="9" t="s">
        <v>1615</v>
      </c>
      <c r="V558" s="199">
        <v>6.3500000000000001E-2</v>
      </c>
      <c r="W558" s="185">
        <v>5.33E-2</v>
      </c>
      <c r="X558" s="5" t="s">
        <v>618</v>
      </c>
      <c r="Y558" s="5" t="s">
        <v>62</v>
      </c>
      <c r="Z558" s="170">
        <v>30070</v>
      </c>
      <c r="AA558" s="184">
        <v>1</v>
      </c>
      <c r="AB558" s="186">
        <v>102.04</v>
      </c>
      <c r="AC558" s="9"/>
      <c r="AD558" s="170">
        <v>30.683</v>
      </c>
      <c r="AE558" s="9"/>
      <c r="AF558" s="9"/>
      <c r="AG558" s="9" t="s">
        <v>17</v>
      </c>
      <c r="AH558" s="185">
        <v>7.6000000000000004E-5</v>
      </c>
      <c r="AI558" s="185">
        <v>3.8068199894349401E-3</v>
      </c>
      <c r="AJ558" s="185">
        <v>7.9024567624192701E-4</v>
      </c>
    </row>
    <row r="559" spans="1:36">
      <c r="A559" s="9">
        <v>337</v>
      </c>
      <c r="B559" s="9">
        <v>9964</v>
      </c>
      <c r="C559" s="9" t="s">
        <v>2614</v>
      </c>
      <c r="D559" s="9" t="s">
        <v>2615</v>
      </c>
      <c r="E559" s="5" t="s">
        <v>765</v>
      </c>
      <c r="F559" s="9" t="s">
        <v>2621</v>
      </c>
      <c r="G559" s="9" t="s">
        <v>2622</v>
      </c>
      <c r="H559" s="9" t="s">
        <v>76</v>
      </c>
      <c r="I559" s="9" t="s">
        <v>228</v>
      </c>
      <c r="J559" s="9" t="s">
        <v>53</v>
      </c>
      <c r="K559" s="9" t="s">
        <v>53</v>
      </c>
      <c r="L559" s="9" t="s">
        <v>803</v>
      </c>
      <c r="M559" s="9" t="s">
        <v>1691</v>
      </c>
      <c r="N559" s="9" t="s">
        <v>634</v>
      </c>
      <c r="O559" s="9" t="s">
        <v>62</v>
      </c>
      <c r="P559" s="9" t="s">
        <v>2246</v>
      </c>
      <c r="Q559" s="9" t="s">
        <v>65</v>
      </c>
      <c r="R559" s="9" t="s">
        <v>57</v>
      </c>
      <c r="S559" s="9" t="s">
        <v>1259</v>
      </c>
      <c r="T559" s="170">
        <v>3.3980000000000001</v>
      </c>
      <c r="U559" s="9" t="s">
        <v>2623</v>
      </c>
      <c r="V559" s="199">
        <v>6.25E-2</v>
      </c>
      <c r="W559" s="185">
        <v>5.2850000000000001E-2</v>
      </c>
      <c r="X559" s="5" t="s">
        <v>618</v>
      </c>
      <c r="Y559" s="5" t="s">
        <v>62</v>
      </c>
      <c r="Z559" s="170">
        <v>32000</v>
      </c>
      <c r="AA559" s="184">
        <v>1</v>
      </c>
      <c r="AB559" s="186">
        <v>104.82</v>
      </c>
      <c r="AC559" s="9"/>
      <c r="AD559" s="170">
        <v>33.542000000000002</v>
      </c>
      <c r="AE559" s="9"/>
      <c r="AF559" s="9"/>
      <c r="AG559" s="9" t="s">
        <v>17</v>
      </c>
      <c r="AH559" s="185">
        <v>5.8E-5</v>
      </c>
      <c r="AI559" s="185">
        <v>4.16152585081506E-3</v>
      </c>
      <c r="AJ559" s="185">
        <v>8.6387793993478201E-4</v>
      </c>
    </row>
    <row r="560" spans="1:36">
      <c r="A560" s="9">
        <v>337</v>
      </c>
      <c r="B560" s="9">
        <v>9964</v>
      </c>
      <c r="C560" s="9" t="s">
        <v>2043</v>
      </c>
      <c r="D560" s="9" t="s">
        <v>2044</v>
      </c>
      <c r="E560" s="5" t="s">
        <v>1346</v>
      </c>
      <c r="F560" s="9" t="s">
        <v>2624</v>
      </c>
      <c r="G560" s="9" t="s">
        <v>2625</v>
      </c>
      <c r="H560" s="9" t="s">
        <v>76</v>
      </c>
      <c r="I560" s="9" t="s">
        <v>229</v>
      </c>
      <c r="J560" s="9" t="s">
        <v>53</v>
      </c>
      <c r="K560" s="9" t="s">
        <v>53</v>
      </c>
      <c r="L560" s="9" t="s">
        <v>803</v>
      </c>
      <c r="M560" s="9" t="s">
        <v>311</v>
      </c>
      <c r="N560" s="9" t="s">
        <v>629</v>
      </c>
      <c r="O560" s="9" t="s">
        <v>62</v>
      </c>
      <c r="P560" s="167" t="s">
        <v>298</v>
      </c>
      <c r="Q560" s="9" t="s">
        <v>298</v>
      </c>
      <c r="R560" s="9" t="s">
        <v>298</v>
      </c>
      <c r="S560" s="9" t="s">
        <v>1259</v>
      </c>
      <c r="T560" s="170">
        <v>1.786</v>
      </c>
      <c r="U560" s="9" t="s">
        <v>2428</v>
      </c>
      <c r="V560" s="199">
        <v>2.3E-2</v>
      </c>
      <c r="W560" s="185">
        <v>4.0899999999999999E-2</v>
      </c>
      <c r="X560" s="5" t="s">
        <v>618</v>
      </c>
      <c r="Y560" s="5" t="s">
        <v>62</v>
      </c>
      <c r="Z560" s="170">
        <v>0.25</v>
      </c>
      <c r="AA560" s="184">
        <v>1</v>
      </c>
      <c r="AB560" s="186">
        <v>110.5</v>
      </c>
      <c r="AC560" s="9"/>
      <c r="AD560" s="170">
        <v>0</v>
      </c>
      <c r="AE560" s="9"/>
      <c r="AF560" s="9"/>
      <c r="AG560" s="9" t="s">
        <v>17</v>
      </c>
      <c r="AH560" s="185">
        <v>0</v>
      </c>
      <c r="AI560" s="185">
        <v>3.4273680961638401E-8</v>
      </c>
      <c r="AJ560" s="185">
        <v>7.1147646234909705E-9</v>
      </c>
    </row>
    <row r="561" spans="1:36">
      <c r="A561" s="9">
        <v>337</v>
      </c>
      <c r="B561" s="9">
        <v>9964</v>
      </c>
      <c r="C561" s="9" t="s">
        <v>2631</v>
      </c>
      <c r="D561" s="9" t="s">
        <v>2632</v>
      </c>
      <c r="E561" s="5" t="s">
        <v>765</v>
      </c>
      <c r="F561" s="9" t="s">
        <v>2633</v>
      </c>
      <c r="G561" s="9" t="s">
        <v>2634</v>
      </c>
      <c r="H561" s="9" t="s">
        <v>76</v>
      </c>
      <c r="I561" s="9" t="s">
        <v>230</v>
      </c>
      <c r="J561" s="9" t="s">
        <v>53</v>
      </c>
      <c r="K561" s="9" t="s">
        <v>314</v>
      </c>
      <c r="L561" s="9" t="s">
        <v>803</v>
      </c>
      <c r="M561" s="9" t="s">
        <v>311</v>
      </c>
      <c r="N561" s="9" t="s">
        <v>631</v>
      </c>
      <c r="O561" s="9" t="s">
        <v>62</v>
      </c>
      <c r="P561" s="9" t="s">
        <v>1621</v>
      </c>
      <c r="Q561" s="9" t="s">
        <v>70</v>
      </c>
      <c r="R561" s="9" t="s">
        <v>57</v>
      </c>
      <c r="S561" s="9" t="s">
        <v>1259</v>
      </c>
      <c r="T561" s="170">
        <v>1.1160000000000001</v>
      </c>
      <c r="U561" s="9" t="s">
        <v>2635</v>
      </c>
      <c r="V561" s="199">
        <v>7.9135999999999998E-2</v>
      </c>
      <c r="W561" s="185">
        <v>5.5309999999999998E-2</v>
      </c>
      <c r="X561" s="5" t="s">
        <v>618</v>
      </c>
      <c r="Y561" s="5" t="s">
        <v>62</v>
      </c>
      <c r="Z561" s="170">
        <v>46000</v>
      </c>
      <c r="AA561" s="184">
        <v>1</v>
      </c>
      <c r="AB561" s="186">
        <v>95.62</v>
      </c>
      <c r="AC561" s="9"/>
      <c r="AD561" s="170">
        <v>43.984999999999999</v>
      </c>
      <c r="AE561" s="9"/>
      <c r="AF561" s="9"/>
      <c r="AG561" s="9" t="s">
        <v>17</v>
      </c>
      <c r="AH561" s="185">
        <v>1.0900000000000001E-4</v>
      </c>
      <c r="AI561" s="185">
        <v>5.4571392283578601E-3</v>
      </c>
      <c r="AJ561" s="185">
        <v>1.13283020784498E-3</v>
      </c>
    </row>
    <row r="562" spans="1:36">
      <c r="A562" s="9">
        <v>337</v>
      </c>
      <c r="B562" s="9">
        <v>9964</v>
      </c>
      <c r="C562" s="9" t="s">
        <v>2636</v>
      </c>
      <c r="D562" s="9" t="s">
        <v>2637</v>
      </c>
      <c r="E562" s="5" t="s">
        <v>765</v>
      </c>
      <c r="F562" s="9" t="s">
        <v>2638</v>
      </c>
      <c r="G562" s="9" t="s">
        <v>2639</v>
      </c>
      <c r="H562" s="9" t="s">
        <v>76</v>
      </c>
      <c r="I562" s="9" t="s">
        <v>228</v>
      </c>
      <c r="J562" s="9" t="s">
        <v>53</v>
      </c>
      <c r="K562" s="9" t="s">
        <v>314</v>
      </c>
      <c r="L562" s="9" t="s">
        <v>803</v>
      </c>
      <c r="M562" s="9" t="s">
        <v>1691</v>
      </c>
      <c r="N562" s="9" t="s">
        <v>634</v>
      </c>
      <c r="O562" s="9" t="s">
        <v>62</v>
      </c>
      <c r="P562" s="9" t="s">
        <v>2246</v>
      </c>
      <c r="Q562" s="9" t="s">
        <v>65</v>
      </c>
      <c r="R562" s="9" t="s">
        <v>57</v>
      </c>
      <c r="S562" s="9" t="s">
        <v>1259</v>
      </c>
      <c r="T562" s="170">
        <v>3.96</v>
      </c>
      <c r="U562" s="9" t="s">
        <v>2640</v>
      </c>
      <c r="V562" s="199">
        <v>6.7400000000000002E-2</v>
      </c>
      <c r="W562" s="185">
        <v>5.6840000000000002E-2</v>
      </c>
      <c r="X562" s="5" t="s">
        <v>618</v>
      </c>
      <c r="Y562" s="5" t="s">
        <v>62</v>
      </c>
      <c r="Z562" s="170">
        <v>67000</v>
      </c>
      <c r="AA562" s="184">
        <v>1</v>
      </c>
      <c r="AB562" s="186">
        <v>104.44</v>
      </c>
      <c r="AC562" s="9"/>
      <c r="AD562" s="170">
        <v>69.974999999999994</v>
      </c>
      <c r="AE562" s="9"/>
      <c r="AF562" s="9"/>
      <c r="AG562" s="9" t="s">
        <v>17</v>
      </c>
      <c r="AH562" s="185">
        <v>2.3499999999999999E-4</v>
      </c>
      <c r="AI562" s="185">
        <v>8.6816071332288004E-3</v>
      </c>
      <c r="AJ562" s="185">
        <v>1.8021872636230099E-3</v>
      </c>
    </row>
    <row r="563" spans="1:36">
      <c r="A563" s="9">
        <v>337</v>
      </c>
      <c r="B563" s="9">
        <v>9964</v>
      </c>
      <c r="C563" s="9" t="s">
        <v>2055</v>
      </c>
      <c r="D563" s="9" t="s">
        <v>2056</v>
      </c>
      <c r="E563" s="5" t="s">
        <v>1346</v>
      </c>
      <c r="F563" s="9" t="s">
        <v>2645</v>
      </c>
      <c r="G563" s="9" t="s">
        <v>2646</v>
      </c>
      <c r="H563" s="9" t="s">
        <v>76</v>
      </c>
      <c r="I563" s="9" t="s">
        <v>229</v>
      </c>
      <c r="J563" s="9" t="s">
        <v>53</v>
      </c>
      <c r="K563" s="9" t="s">
        <v>53</v>
      </c>
      <c r="L563" s="9" t="s">
        <v>803</v>
      </c>
      <c r="M563" s="9" t="s">
        <v>311</v>
      </c>
      <c r="N563" s="9" t="s">
        <v>633</v>
      </c>
      <c r="O563" s="9" t="s">
        <v>62</v>
      </c>
      <c r="P563" s="9" t="s">
        <v>1331</v>
      </c>
      <c r="Q563" s="9" t="s">
        <v>65</v>
      </c>
      <c r="R563" s="9" t="s">
        <v>57</v>
      </c>
      <c r="S563" s="9" t="s">
        <v>1259</v>
      </c>
      <c r="T563" s="170">
        <v>2.6779999999999999</v>
      </c>
      <c r="U563" s="9" t="s">
        <v>2647</v>
      </c>
      <c r="V563" s="199">
        <v>1.34E-2</v>
      </c>
      <c r="W563" s="185">
        <v>2.8029999999999999E-2</v>
      </c>
      <c r="X563" s="5" t="s">
        <v>618</v>
      </c>
      <c r="Y563" s="5" t="s">
        <v>62</v>
      </c>
      <c r="Z563" s="170">
        <v>75000</v>
      </c>
      <c r="AA563" s="184">
        <v>1</v>
      </c>
      <c r="AB563" s="186">
        <v>114.07</v>
      </c>
      <c r="AC563" s="170">
        <v>9.548</v>
      </c>
      <c r="AD563" s="170">
        <v>95.1</v>
      </c>
      <c r="AE563" s="9"/>
      <c r="AF563" s="9"/>
      <c r="AG563" s="9" t="s">
        <v>17</v>
      </c>
      <c r="AH563" s="185">
        <v>3.4E-5</v>
      </c>
      <c r="AI563" s="185">
        <v>1.17988570386419E-2</v>
      </c>
      <c r="AJ563" s="185">
        <v>2.4492872752744301E-3</v>
      </c>
    </row>
    <row r="564" spans="1:36">
      <c r="A564" s="9">
        <v>337</v>
      </c>
      <c r="B564" s="9">
        <v>9964</v>
      </c>
      <c r="C564" s="9" t="s">
        <v>2055</v>
      </c>
      <c r="D564" s="9" t="s">
        <v>2056</v>
      </c>
      <c r="E564" s="5" t="s">
        <v>1346</v>
      </c>
      <c r="F564" s="9" t="s">
        <v>2648</v>
      </c>
      <c r="G564" s="9" t="s">
        <v>2649</v>
      </c>
      <c r="H564" s="9" t="s">
        <v>76</v>
      </c>
      <c r="I564" s="9" t="s">
        <v>229</v>
      </c>
      <c r="J564" s="9" t="s">
        <v>53</v>
      </c>
      <c r="K564" s="9" t="s">
        <v>53</v>
      </c>
      <c r="L564" s="9" t="s">
        <v>803</v>
      </c>
      <c r="M564" s="9" t="s">
        <v>311</v>
      </c>
      <c r="N564" s="9" t="s">
        <v>633</v>
      </c>
      <c r="O564" s="9" t="s">
        <v>62</v>
      </c>
      <c r="P564" s="9" t="s">
        <v>2650</v>
      </c>
      <c r="Q564" s="9" t="s">
        <v>70</v>
      </c>
      <c r="R564" s="9" t="s">
        <v>57</v>
      </c>
      <c r="S564" s="9" t="s">
        <v>1259</v>
      </c>
      <c r="T564" s="170">
        <v>1.9570000000000001</v>
      </c>
      <c r="U564" s="9" t="s">
        <v>2255</v>
      </c>
      <c r="V564" s="199">
        <v>1.77E-2</v>
      </c>
      <c r="W564" s="185">
        <v>2.8219999999999999E-2</v>
      </c>
      <c r="X564" s="5" t="s">
        <v>618</v>
      </c>
      <c r="Y564" s="5" t="s">
        <v>62</v>
      </c>
      <c r="Z564" s="170">
        <v>76606.06</v>
      </c>
      <c r="AA564" s="184">
        <v>1</v>
      </c>
      <c r="AB564" s="186">
        <v>114.73</v>
      </c>
      <c r="AC564" s="9"/>
      <c r="AD564" s="170">
        <v>87.89</v>
      </c>
      <c r="AE564" s="9"/>
      <c r="AF564" s="9"/>
      <c r="AG564" s="9" t="s">
        <v>17</v>
      </c>
      <c r="AH564" s="185">
        <v>3.1000000000000001E-5</v>
      </c>
      <c r="AI564" s="185">
        <v>1.0904319875876501E-2</v>
      </c>
      <c r="AJ564" s="185">
        <v>2.2635931455086801E-3</v>
      </c>
    </row>
    <row r="565" spans="1:36">
      <c r="A565" s="9">
        <v>337</v>
      </c>
      <c r="B565" s="9">
        <v>9964</v>
      </c>
      <c r="C565" s="9" t="s">
        <v>2055</v>
      </c>
      <c r="D565" s="9" t="s">
        <v>2056</v>
      </c>
      <c r="E565" s="5" t="s">
        <v>1346</v>
      </c>
      <c r="F565" s="9" t="s">
        <v>2651</v>
      </c>
      <c r="G565" s="9" t="s">
        <v>2652</v>
      </c>
      <c r="H565" s="9" t="s">
        <v>76</v>
      </c>
      <c r="I565" s="9" t="s">
        <v>229</v>
      </c>
      <c r="J565" s="9" t="s">
        <v>53</v>
      </c>
      <c r="K565" s="9" t="s">
        <v>53</v>
      </c>
      <c r="L565" s="9" t="s">
        <v>803</v>
      </c>
      <c r="M565" s="9" t="s">
        <v>311</v>
      </c>
      <c r="N565" s="9" t="s">
        <v>633</v>
      </c>
      <c r="O565" s="9" t="s">
        <v>62</v>
      </c>
      <c r="P565" s="9" t="s">
        <v>1331</v>
      </c>
      <c r="Q565" s="9" t="s">
        <v>65</v>
      </c>
      <c r="R565" s="9" t="s">
        <v>57</v>
      </c>
      <c r="S565" s="9" t="s">
        <v>1259</v>
      </c>
      <c r="T565" s="170">
        <v>6.4160000000000004</v>
      </c>
      <c r="U565" s="9" t="s">
        <v>2653</v>
      </c>
      <c r="V565" s="199">
        <v>8.9999999999999993E-3</v>
      </c>
      <c r="W565" s="185">
        <v>2.8410000000000001E-2</v>
      </c>
      <c r="X565" s="5" t="s">
        <v>618</v>
      </c>
      <c r="Y565" s="5" t="s">
        <v>62</v>
      </c>
      <c r="Z565" s="170">
        <v>87497.14</v>
      </c>
      <c r="AA565" s="184">
        <v>1</v>
      </c>
      <c r="AB565" s="186">
        <v>101.93</v>
      </c>
      <c r="AC565" s="170">
        <v>2.5649999999999999</v>
      </c>
      <c r="AD565" s="170">
        <v>91.751000000000005</v>
      </c>
      <c r="AE565" s="9"/>
      <c r="AF565" s="9"/>
      <c r="AG565" s="9" t="s">
        <v>17</v>
      </c>
      <c r="AH565" s="185">
        <v>3.1999999999999999E-5</v>
      </c>
      <c r="AI565" s="185">
        <v>1.1383350200974701E-2</v>
      </c>
      <c r="AJ565" s="185">
        <v>2.3630335299366701E-3</v>
      </c>
    </row>
    <row r="566" spans="1:36">
      <c r="A566" s="9">
        <v>337</v>
      </c>
      <c r="B566" s="9">
        <v>9964</v>
      </c>
      <c r="C566" s="9" t="s">
        <v>2055</v>
      </c>
      <c r="D566" s="9" t="s">
        <v>2056</v>
      </c>
      <c r="E566" s="5" t="s">
        <v>1346</v>
      </c>
      <c r="F566" s="9" t="s">
        <v>2852</v>
      </c>
      <c r="G566" s="9" t="s">
        <v>2853</v>
      </c>
      <c r="H566" s="9" t="s">
        <v>76</v>
      </c>
      <c r="I566" s="9" t="s">
        <v>229</v>
      </c>
      <c r="J566" s="9" t="s">
        <v>53</v>
      </c>
      <c r="K566" s="9" t="s">
        <v>53</v>
      </c>
      <c r="L566" s="9" t="s">
        <v>803</v>
      </c>
      <c r="M566" s="9" t="s">
        <v>1691</v>
      </c>
      <c r="N566" s="9" t="s">
        <v>633</v>
      </c>
      <c r="O566" s="9" t="s">
        <v>62</v>
      </c>
      <c r="P566" s="9" t="s">
        <v>2650</v>
      </c>
      <c r="Q566" s="9" t="s">
        <v>70</v>
      </c>
      <c r="R566" s="9" t="s">
        <v>57</v>
      </c>
      <c r="S566" s="9" t="s">
        <v>1259</v>
      </c>
      <c r="T566" s="170">
        <v>11.936</v>
      </c>
      <c r="U566" s="9" t="s">
        <v>2854</v>
      </c>
      <c r="V566" s="199">
        <v>3.6700000000000003E-2</v>
      </c>
      <c r="W566" s="185">
        <v>3.1620000000000002E-2</v>
      </c>
      <c r="X566" s="5" t="s">
        <v>618</v>
      </c>
      <c r="Y566" s="5" t="s">
        <v>62</v>
      </c>
      <c r="Z566" s="170">
        <v>35000</v>
      </c>
      <c r="AA566" s="184">
        <v>1</v>
      </c>
      <c r="AB566" s="186">
        <v>109.54</v>
      </c>
      <c r="AC566" s="170">
        <v>0.66100000000000003</v>
      </c>
      <c r="AD566" s="170">
        <v>39</v>
      </c>
      <c r="AE566" s="9"/>
      <c r="AF566" s="9"/>
      <c r="AG566" s="9" t="s">
        <v>17</v>
      </c>
      <c r="AH566" s="185">
        <v>1.1E-5</v>
      </c>
      <c r="AI566" s="185">
        <v>4.8386943833380602E-3</v>
      </c>
      <c r="AJ566" s="185">
        <v>1.00444920582036E-3</v>
      </c>
    </row>
    <row r="567" spans="1:36">
      <c r="A567" s="9">
        <v>337</v>
      </c>
      <c r="B567" s="9">
        <v>9964</v>
      </c>
      <c r="C567" s="9" t="s">
        <v>2657</v>
      </c>
      <c r="D567" s="9" t="s">
        <v>2658</v>
      </c>
      <c r="E567" s="5" t="s">
        <v>1346</v>
      </c>
      <c r="F567" s="9" t="s">
        <v>2659</v>
      </c>
      <c r="G567" s="9" t="s">
        <v>2660</v>
      </c>
      <c r="H567" s="9" t="s">
        <v>76</v>
      </c>
      <c r="I567" s="9" t="s">
        <v>228</v>
      </c>
      <c r="J567" s="9" t="s">
        <v>53</v>
      </c>
      <c r="K567" s="9" t="s">
        <v>53</v>
      </c>
      <c r="L567" s="9" t="s">
        <v>803</v>
      </c>
      <c r="M567" s="9" t="s">
        <v>311</v>
      </c>
      <c r="N567" s="9" t="s">
        <v>140</v>
      </c>
      <c r="O567" s="9" t="s">
        <v>62</v>
      </c>
      <c r="P567" s="9" t="s">
        <v>2314</v>
      </c>
      <c r="Q567" s="9" t="s">
        <v>70</v>
      </c>
      <c r="R567" s="9" t="s">
        <v>57</v>
      </c>
      <c r="S567" s="9" t="s">
        <v>1259</v>
      </c>
      <c r="T567" s="170">
        <v>1.385</v>
      </c>
      <c r="U567" s="9" t="s">
        <v>2661</v>
      </c>
      <c r="V567" s="199">
        <v>0.06</v>
      </c>
      <c r="W567" s="185">
        <v>5.2359999999999997E-2</v>
      </c>
      <c r="X567" s="5" t="s">
        <v>618</v>
      </c>
      <c r="Y567" s="5" t="s">
        <v>62</v>
      </c>
      <c r="Z567" s="170">
        <v>0.6</v>
      </c>
      <c r="AA567" s="184">
        <v>1</v>
      </c>
      <c r="AB567" s="186">
        <v>101.65</v>
      </c>
      <c r="AC567" s="9"/>
      <c r="AD567" s="170">
        <v>1E-3</v>
      </c>
      <c r="AE567" s="9"/>
      <c r="AF567" s="9"/>
      <c r="AG567" s="9" t="s">
        <v>17</v>
      </c>
      <c r="AH567" s="185">
        <v>0</v>
      </c>
      <c r="AI567" s="185">
        <v>7.5668843505894094E-8</v>
      </c>
      <c r="AJ567" s="185">
        <v>1.57078550004241E-8</v>
      </c>
    </row>
    <row r="568" spans="1:36">
      <c r="A568" s="9">
        <v>337</v>
      </c>
      <c r="B568" s="9">
        <v>9964</v>
      </c>
      <c r="C568" s="9" t="s">
        <v>2059</v>
      </c>
      <c r="D568" s="9" t="s">
        <v>2060</v>
      </c>
      <c r="E568" s="5" t="s">
        <v>1346</v>
      </c>
      <c r="F568" s="9" t="s">
        <v>2662</v>
      </c>
      <c r="G568" s="9" t="s">
        <v>2663</v>
      </c>
      <c r="H568" s="9" t="s">
        <v>76</v>
      </c>
      <c r="I568" s="9" t="s">
        <v>229</v>
      </c>
      <c r="J568" s="9" t="s">
        <v>53</v>
      </c>
      <c r="K568" s="9" t="s">
        <v>53</v>
      </c>
      <c r="L568" s="9" t="s">
        <v>803</v>
      </c>
      <c r="M568" s="9" t="s">
        <v>311</v>
      </c>
      <c r="N568" s="9" t="s">
        <v>256</v>
      </c>
      <c r="O568" s="9" t="s">
        <v>62</v>
      </c>
      <c r="P568" s="9" t="s">
        <v>1641</v>
      </c>
      <c r="Q568" s="9" t="s">
        <v>65</v>
      </c>
      <c r="R568" s="9" t="s">
        <v>57</v>
      </c>
      <c r="S568" s="9" t="s">
        <v>1259</v>
      </c>
      <c r="T568" s="170">
        <v>3.335</v>
      </c>
      <c r="U568" s="9" t="s">
        <v>2664</v>
      </c>
      <c r="V568" s="199">
        <v>1E-3</v>
      </c>
      <c r="W568" s="185">
        <v>2.5729999999999999E-2</v>
      </c>
      <c r="X568" s="5" t="s">
        <v>618</v>
      </c>
      <c r="Y568" s="5" t="s">
        <v>62</v>
      </c>
      <c r="Z568" s="170">
        <v>32703.3</v>
      </c>
      <c r="AA568" s="184">
        <v>1</v>
      </c>
      <c r="AB568" s="186">
        <v>105.19</v>
      </c>
      <c r="AC568" s="9"/>
      <c r="AD568" s="170">
        <v>34.401000000000003</v>
      </c>
      <c r="AE568" s="9"/>
      <c r="AF568" s="9"/>
      <c r="AG568" s="9" t="s">
        <v>17</v>
      </c>
      <c r="AH568" s="185">
        <v>3.3000000000000003E-5</v>
      </c>
      <c r="AI568" s="185">
        <v>4.2680008427747104E-3</v>
      </c>
      <c r="AJ568" s="185">
        <v>8.8598074549362795E-4</v>
      </c>
    </row>
    <row r="569" spans="1:36">
      <c r="A569" s="9">
        <v>337</v>
      </c>
      <c r="B569" s="9">
        <v>9964</v>
      </c>
      <c r="C569" s="9" t="s">
        <v>2059</v>
      </c>
      <c r="D569" s="9" t="s">
        <v>2060</v>
      </c>
      <c r="E569" s="5" t="s">
        <v>1346</v>
      </c>
      <c r="F569" s="9" t="s">
        <v>2665</v>
      </c>
      <c r="G569" s="9" t="s">
        <v>2666</v>
      </c>
      <c r="H569" s="9" t="s">
        <v>76</v>
      </c>
      <c r="I569" s="9" t="s">
        <v>229</v>
      </c>
      <c r="J569" s="9" t="s">
        <v>53</v>
      </c>
      <c r="K569" s="9" t="s">
        <v>53</v>
      </c>
      <c r="L569" s="9" t="s">
        <v>803</v>
      </c>
      <c r="M569" s="9" t="s">
        <v>311</v>
      </c>
      <c r="N569" s="9" t="s">
        <v>256</v>
      </c>
      <c r="O569" s="9" t="s">
        <v>62</v>
      </c>
      <c r="P569" s="9" t="s">
        <v>1641</v>
      </c>
      <c r="Q569" s="9" t="s">
        <v>65</v>
      </c>
      <c r="R569" s="9" t="s">
        <v>57</v>
      </c>
      <c r="S569" s="9" t="s">
        <v>1259</v>
      </c>
      <c r="T569" s="170">
        <v>3.7149999999999999</v>
      </c>
      <c r="U569" s="9" t="s">
        <v>2667</v>
      </c>
      <c r="V569" s="199">
        <v>1.3899999999999999E-2</v>
      </c>
      <c r="W569" s="185">
        <v>2.511E-2</v>
      </c>
      <c r="X569" s="5" t="s">
        <v>618</v>
      </c>
      <c r="Y569" s="5" t="s">
        <v>62</v>
      </c>
      <c r="Z569" s="170">
        <v>50400</v>
      </c>
      <c r="AA569" s="184">
        <v>1</v>
      </c>
      <c r="AB569" s="186">
        <v>105.13</v>
      </c>
      <c r="AC569" s="9"/>
      <c r="AD569" s="170">
        <v>52.985999999999997</v>
      </c>
      <c r="AE569" s="9"/>
      <c r="AF569" s="9"/>
      <c r="AG569" s="9" t="s">
        <v>17</v>
      </c>
      <c r="AH569" s="185">
        <v>3.1000000000000001E-5</v>
      </c>
      <c r="AI569" s="185">
        <v>6.5737875405122602E-3</v>
      </c>
      <c r="AJ569" s="185">
        <v>1.3646316859847001E-3</v>
      </c>
    </row>
    <row r="570" spans="1:36">
      <c r="A570" s="9">
        <v>337</v>
      </c>
      <c r="B570" s="9">
        <v>9964</v>
      </c>
      <c r="C570" s="9" t="s">
        <v>2059</v>
      </c>
      <c r="D570" s="9" t="s">
        <v>2060</v>
      </c>
      <c r="E570" s="5" t="s">
        <v>1346</v>
      </c>
      <c r="F570" s="9" t="s">
        <v>2855</v>
      </c>
      <c r="G570" s="9" t="s">
        <v>2856</v>
      </c>
      <c r="H570" s="9" t="s">
        <v>76</v>
      </c>
      <c r="I570" s="9" t="s">
        <v>229</v>
      </c>
      <c r="J570" s="9" t="s">
        <v>53</v>
      </c>
      <c r="K570" s="9" t="s">
        <v>53</v>
      </c>
      <c r="L570" s="9" t="s">
        <v>803</v>
      </c>
      <c r="M570" s="9" t="s">
        <v>311</v>
      </c>
      <c r="N570" s="9" t="s">
        <v>256</v>
      </c>
      <c r="O570" s="9" t="s">
        <v>62</v>
      </c>
      <c r="P570" s="9" t="s">
        <v>1641</v>
      </c>
      <c r="Q570" s="9" t="s">
        <v>65</v>
      </c>
      <c r="R570" s="9" t="s">
        <v>57</v>
      </c>
      <c r="S570" s="9" t="s">
        <v>1259</v>
      </c>
      <c r="T570" s="170">
        <v>1.806</v>
      </c>
      <c r="U570" s="9" t="s">
        <v>2857</v>
      </c>
      <c r="V570" s="199">
        <v>6.0000000000000001E-3</v>
      </c>
      <c r="W570" s="185">
        <v>2.4760000000000001E-2</v>
      </c>
      <c r="X570" s="5" t="s">
        <v>618</v>
      </c>
      <c r="Y570" s="5" t="s">
        <v>62</v>
      </c>
      <c r="Z570" s="170">
        <v>24000</v>
      </c>
      <c r="AA570" s="184">
        <v>1</v>
      </c>
      <c r="AB570" s="186">
        <v>114.32</v>
      </c>
      <c r="AC570" s="9"/>
      <c r="AD570" s="170">
        <v>27.437000000000001</v>
      </c>
      <c r="AE570" s="9"/>
      <c r="AF570" s="9"/>
      <c r="AG570" s="9" t="s">
        <v>17</v>
      </c>
      <c r="AH570" s="185">
        <v>3.6000000000000001E-5</v>
      </c>
      <c r="AI570" s="185">
        <v>3.4040185694417398E-3</v>
      </c>
      <c r="AJ570" s="185">
        <v>7.0662940822370003E-4</v>
      </c>
    </row>
    <row r="571" spans="1:36">
      <c r="A571" s="9">
        <v>337</v>
      </c>
      <c r="B571" s="9">
        <v>9964</v>
      </c>
      <c r="C571" s="9" t="s">
        <v>2059</v>
      </c>
      <c r="D571" s="9" t="s">
        <v>2060</v>
      </c>
      <c r="E571" s="5" t="s">
        <v>1346</v>
      </c>
      <c r="F571" s="9" t="s">
        <v>2668</v>
      </c>
      <c r="G571" s="9" t="s">
        <v>2669</v>
      </c>
      <c r="H571" s="9" t="s">
        <v>76</v>
      </c>
      <c r="I571" s="9" t="s">
        <v>229</v>
      </c>
      <c r="J571" s="9" t="s">
        <v>53</v>
      </c>
      <c r="K571" s="9" t="s">
        <v>53</v>
      </c>
      <c r="L571" s="9" t="s">
        <v>803</v>
      </c>
      <c r="M571" s="9" t="s">
        <v>311</v>
      </c>
      <c r="N571" s="9" t="s">
        <v>256</v>
      </c>
      <c r="O571" s="9" t="s">
        <v>62</v>
      </c>
      <c r="P571" s="9" t="s">
        <v>1641</v>
      </c>
      <c r="Q571" s="9" t="s">
        <v>65</v>
      </c>
      <c r="R571" s="9" t="s">
        <v>57</v>
      </c>
      <c r="S571" s="9" t="s">
        <v>1259</v>
      </c>
      <c r="T571" s="170">
        <v>2.8039999999999998</v>
      </c>
      <c r="U571" s="9" t="s">
        <v>2670</v>
      </c>
      <c r="V571" s="199">
        <v>1.7500000000000002E-2</v>
      </c>
      <c r="W571" s="185">
        <v>2.4469999999999999E-2</v>
      </c>
      <c r="X571" s="5" t="s">
        <v>618</v>
      </c>
      <c r="Y571" s="5" t="s">
        <v>62</v>
      </c>
      <c r="Z571" s="170">
        <v>8189.02</v>
      </c>
      <c r="AA571" s="184">
        <v>1</v>
      </c>
      <c r="AB571" s="186">
        <v>115.29</v>
      </c>
      <c r="AC571" s="9"/>
      <c r="AD571" s="170">
        <v>9.4410000000000007</v>
      </c>
      <c r="AE571" s="9"/>
      <c r="AF571" s="9"/>
      <c r="AG571" s="9" t="s">
        <v>17</v>
      </c>
      <c r="AH571" s="185">
        <v>3.9999999999999998E-6</v>
      </c>
      <c r="AI571" s="185">
        <v>1.1713374642152599E-3</v>
      </c>
      <c r="AJ571" s="185">
        <v>2.4315422559649099E-4</v>
      </c>
    </row>
    <row r="572" spans="1:36">
      <c r="A572" s="9">
        <v>337</v>
      </c>
      <c r="B572" s="9">
        <v>9964</v>
      </c>
      <c r="C572" s="9" t="s">
        <v>2059</v>
      </c>
      <c r="D572" s="9" t="s">
        <v>2060</v>
      </c>
      <c r="E572" s="5" t="s">
        <v>1346</v>
      </c>
      <c r="F572" s="9" t="s">
        <v>2671</v>
      </c>
      <c r="G572" s="9" t="s">
        <v>2672</v>
      </c>
      <c r="H572" s="9" t="s">
        <v>76</v>
      </c>
      <c r="I572" s="9" t="s">
        <v>229</v>
      </c>
      <c r="J572" s="9" t="s">
        <v>53</v>
      </c>
      <c r="K572" s="9" t="s">
        <v>53</v>
      </c>
      <c r="L572" s="9" t="s">
        <v>803</v>
      </c>
      <c r="M572" s="9" t="s">
        <v>1691</v>
      </c>
      <c r="N572" s="9" t="s">
        <v>256</v>
      </c>
      <c r="O572" s="9" t="s">
        <v>62</v>
      </c>
      <c r="P572" s="9" t="s">
        <v>2239</v>
      </c>
      <c r="Q572" s="9" t="s">
        <v>65</v>
      </c>
      <c r="R572" s="9" t="s">
        <v>57</v>
      </c>
      <c r="S572" s="9" t="s">
        <v>1259</v>
      </c>
      <c r="T572" s="170">
        <v>6.56</v>
      </c>
      <c r="U572" s="9" t="s">
        <v>2673</v>
      </c>
      <c r="V572" s="199">
        <v>3.4500000000000003E-2</v>
      </c>
      <c r="W572" s="185">
        <v>2.903E-2</v>
      </c>
      <c r="X572" s="5" t="s">
        <v>618</v>
      </c>
      <c r="Y572" s="5" t="s">
        <v>62</v>
      </c>
      <c r="Z572" s="170">
        <v>70000</v>
      </c>
      <c r="AA572" s="184">
        <v>1</v>
      </c>
      <c r="AB572" s="186">
        <v>106.85</v>
      </c>
      <c r="AC572" s="9"/>
      <c r="AD572" s="170">
        <v>74.795000000000002</v>
      </c>
      <c r="AE572" s="9"/>
      <c r="AF572" s="9"/>
      <c r="AG572" s="9" t="s">
        <v>17</v>
      </c>
      <c r="AH572" s="185">
        <v>4.8000000000000001E-5</v>
      </c>
      <c r="AI572" s="185">
        <v>9.2796378914959E-3</v>
      </c>
      <c r="AJ572" s="185">
        <v>1.9263305701864501E-3</v>
      </c>
    </row>
    <row r="573" spans="1:36">
      <c r="A573" s="9">
        <v>337</v>
      </c>
      <c r="B573" s="9">
        <v>9964</v>
      </c>
      <c r="C573" s="9" t="s">
        <v>2059</v>
      </c>
      <c r="D573" s="9" t="s">
        <v>2060</v>
      </c>
      <c r="E573" s="5" t="s">
        <v>1346</v>
      </c>
      <c r="F573" s="9" t="s">
        <v>2858</v>
      </c>
      <c r="G573" s="9" t="s">
        <v>2859</v>
      </c>
      <c r="H573" s="9" t="s">
        <v>76</v>
      </c>
      <c r="I573" s="9" t="s">
        <v>229</v>
      </c>
      <c r="J573" s="9" t="s">
        <v>53</v>
      </c>
      <c r="K573" s="9" t="s">
        <v>53</v>
      </c>
      <c r="L573" s="9" t="s">
        <v>803</v>
      </c>
      <c r="M573" s="9" t="s">
        <v>311</v>
      </c>
      <c r="N573" s="9" t="s">
        <v>256</v>
      </c>
      <c r="O573" s="9" t="s">
        <v>62</v>
      </c>
      <c r="P573" s="9" t="s">
        <v>2239</v>
      </c>
      <c r="Q573" s="9" t="s">
        <v>65</v>
      </c>
      <c r="R573" s="9" t="s">
        <v>57</v>
      </c>
      <c r="S573" s="9" t="s">
        <v>1259</v>
      </c>
      <c r="T573" s="170">
        <v>2.673</v>
      </c>
      <c r="U573" s="9" t="s">
        <v>2860</v>
      </c>
      <c r="V573" s="199">
        <v>8.3999999999999995E-3</v>
      </c>
      <c r="W573" s="185">
        <v>2.9729999999999999E-2</v>
      </c>
      <c r="X573" s="5" t="s">
        <v>618</v>
      </c>
      <c r="Y573" s="5" t="s">
        <v>62</v>
      </c>
      <c r="Z573" s="170">
        <v>50000</v>
      </c>
      <c r="AA573" s="184">
        <v>1</v>
      </c>
      <c r="AB573" s="186">
        <v>107.82</v>
      </c>
      <c r="AC573" s="9"/>
      <c r="AD573" s="170">
        <v>53.91</v>
      </c>
      <c r="AE573" s="9"/>
      <c r="AF573" s="9"/>
      <c r="AG573" s="9" t="s">
        <v>17</v>
      </c>
      <c r="AH573" s="185">
        <v>1.26E-4</v>
      </c>
      <c r="AI573" s="185">
        <v>6.6884855769843501E-3</v>
      </c>
      <c r="AJ573" s="185">
        <v>1.3884414872485E-3</v>
      </c>
    </row>
    <row r="574" spans="1:36">
      <c r="A574" s="9">
        <v>337</v>
      </c>
      <c r="B574" s="9">
        <v>9964</v>
      </c>
      <c r="C574" s="9" t="s">
        <v>2067</v>
      </c>
      <c r="D574" s="9" t="s">
        <v>2068</v>
      </c>
      <c r="E574" s="5" t="s">
        <v>1346</v>
      </c>
      <c r="F574" s="9" t="s">
        <v>2674</v>
      </c>
      <c r="G574" s="9" t="s">
        <v>2675</v>
      </c>
      <c r="H574" s="9" t="s">
        <v>76</v>
      </c>
      <c r="I574" s="9" t="s">
        <v>228</v>
      </c>
      <c r="J574" s="9" t="s">
        <v>53</v>
      </c>
      <c r="K574" s="9" t="s">
        <v>53</v>
      </c>
      <c r="L574" s="9" t="s">
        <v>803</v>
      </c>
      <c r="M574" s="9" t="s">
        <v>311</v>
      </c>
      <c r="N574" s="9" t="s">
        <v>252</v>
      </c>
      <c r="O574" s="9" t="s">
        <v>62</v>
      </c>
      <c r="P574" s="9" t="s">
        <v>2239</v>
      </c>
      <c r="Q574" s="9" t="s">
        <v>65</v>
      </c>
      <c r="R574" s="9" t="s">
        <v>57</v>
      </c>
      <c r="S574" s="9" t="s">
        <v>1259</v>
      </c>
      <c r="T574" s="170">
        <v>0.90200000000000002</v>
      </c>
      <c r="U574" s="9" t="s">
        <v>2676</v>
      </c>
      <c r="V574" s="199">
        <v>2.29E-2</v>
      </c>
      <c r="W574" s="185">
        <v>4.7030000000000002E-2</v>
      </c>
      <c r="X574" s="5" t="s">
        <v>618</v>
      </c>
      <c r="Y574" s="5" t="s">
        <v>62</v>
      </c>
      <c r="Z574" s="170">
        <v>30000.01</v>
      </c>
      <c r="AA574" s="184">
        <v>1</v>
      </c>
      <c r="AB574" s="186">
        <v>98.11</v>
      </c>
      <c r="AC574" s="9"/>
      <c r="AD574" s="170">
        <v>29.433</v>
      </c>
      <c r="AE574" s="9"/>
      <c r="AF574" s="9"/>
      <c r="AG574" s="9" t="s">
        <v>17</v>
      </c>
      <c r="AH574" s="185">
        <v>9.1000000000000003E-5</v>
      </c>
      <c r="AI574" s="185">
        <v>3.6516835764814001E-3</v>
      </c>
      <c r="AJ574" s="185">
        <v>7.5804140078249995E-4</v>
      </c>
    </row>
    <row r="575" spans="1:36">
      <c r="A575" s="9">
        <v>337</v>
      </c>
      <c r="B575" s="9">
        <v>9964</v>
      </c>
      <c r="C575" s="9" t="s">
        <v>2677</v>
      </c>
      <c r="D575" s="9" t="s">
        <v>2678</v>
      </c>
      <c r="E575" s="5" t="s">
        <v>1346</v>
      </c>
      <c r="F575" s="9" t="s">
        <v>2679</v>
      </c>
      <c r="G575" s="9" t="s">
        <v>2680</v>
      </c>
      <c r="H575" s="9" t="s">
        <v>76</v>
      </c>
      <c r="I575" s="9" t="s">
        <v>228</v>
      </c>
      <c r="J575" s="9" t="s">
        <v>53</v>
      </c>
      <c r="K575" s="9" t="s">
        <v>53</v>
      </c>
      <c r="L575" s="9" t="s">
        <v>803</v>
      </c>
      <c r="M575" s="9" t="s">
        <v>1691</v>
      </c>
      <c r="N575" s="9" t="s">
        <v>269</v>
      </c>
      <c r="O575" s="9" t="s">
        <v>62</v>
      </c>
      <c r="P575" s="9" t="s">
        <v>2246</v>
      </c>
      <c r="Q575" s="9" t="s">
        <v>65</v>
      </c>
      <c r="R575" s="9" t="s">
        <v>57</v>
      </c>
      <c r="S575" s="9" t="s">
        <v>1259</v>
      </c>
      <c r="T575" s="170">
        <v>5.4450000000000003</v>
      </c>
      <c r="U575" s="9" t="s">
        <v>2681</v>
      </c>
      <c r="V575" s="199">
        <v>5.1499999999999997E-2</v>
      </c>
      <c r="W575" s="185">
        <v>4.768E-2</v>
      </c>
      <c r="X575" s="5" t="s">
        <v>618</v>
      </c>
      <c r="Y575" s="5" t="s">
        <v>62</v>
      </c>
      <c r="Z575" s="170">
        <v>55000</v>
      </c>
      <c r="AA575" s="184">
        <v>1</v>
      </c>
      <c r="AB575" s="186">
        <v>103.43</v>
      </c>
      <c r="AC575" s="9"/>
      <c r="AD575" s="170">
        <v>56.887</v>
      </c>
      <c r="AE575" s="9"/>
      <c r="AF575" s="9"/>
      <c r="AG575" s="9" t="s">
        <v>17</v>
      </c>
      <c r="AH575" s="185">
        <v>9.8999999999999994E-5</v>
      </c>
      <c r="AI575" s="185">
        <v>7.0577728580063096E-3</v>
      </c>
      <c r="AJ575" s="185">
        <v>1.46510066155374E-3</v>
      </c>
    </row>
    <row r="576" spans="1:36">
      <c r="A576" s="9">
        <v>337</v>
      </c>
      <c r="B576" s="9">
        <v>9964</v>
      </c>
      <c r="C576" s="9" t="s">
        <v>2677</v>
      </c>
      <c r="D576" s="9" t="s">
        <v>2678</v>
      </c>
      <c r="E576" s="5" t="s">
        <v>1346</v>
      </c>
      <c r="F576" s="9" t="s">
        <v>2861</v>
      </c>
      <c r="G576" s="9" t="s">
        <v>2862</v>
      </c>
      <c r="H576" s="9" t="s">
        <v>76</v>
      </c>
      <c r="I576" s="9" t="s">
        <v>228</v>
      </c>
      <c r="J576" s="9" t="s">
        <v>53</v>
      </c>
      <c r="K576" s="9" t="s">
        <v>53</v>
      </c>
      <c r="L576" s="9" t="s">
        <v>803</v>
      </c>
      <c r="M576" s="9" t="s">
        <v>311</v>
      </c>
      <c r="N576" s="9" t="s">
        <v>269</v>
      </c>
      <c r="O576" s="9" t="s">
        <v>62</v>
      </c>
      <c r="P576" s="9" t="s">
        <v>2246</v>
      </c>
      <c r="Q576" s="9" t="s">
        <v>65</v>
      </c>
      <c r="R576" s="9" t="s">
        <v>57</v>
      </c>
      <c r="S576" s="9" t="s">
        <v>1259</v>
      </c>
      <c r="T576" s="170">
        <v>3.6459999999999999</v>
      </c>
      <c r="U576" s="9" t="s">
        <v>2377</v>
      </c>
      <c r="V576" s="199">
        <v>2.6200000000000001E-2</v>
      </c>
      <c r="W576" s="185">
        <v>4.5060000000000003E-2</v>
      </c>
      <c r="X576" s="5" t="s">
        <v>618</v>
      </c>
      <c r="Y576" s="5" t="s">
        <v>62</v>
      </c>
      <c r="Z576" s="170">
        <v>67114</v>
      </c>
      <c r="AA576" s="184">
        <v>1</v>
      </c>
      <c r="AB576" s="186">
        <v>94.04</v>
      </c>
      <c r="AC576" s="9"/>
      <c r="AD576" s="170">
        <v>63.113999999999997</v>
      </c>
      <c r="AE576" s="9"/>
      <c r="AF576" s="9"/>
      <c r="AG576" s="9" t="s">
        <v>17</v>
      </c>
      <c r="AH576" s="185">
        <v>5.1999999999999997E-5</v>
      </c>
      <c r="AI576" s="185">
        <v>7.8304046774496303E-3</v>
      </c>
      <c r="AJ576" s="185">
        <v>1.6254888481074801E-3</v>
      </c>
    </row>
    <row r="577" spans="1:36">
      <c r="A577" s="9">
        <v>337</v>
      </c>
      <c r="B577" s="9">
        <v>9964</v>
      </c>
      <c r="C577" s="9" t="s">
        <v>2677</v>
      </c>
      <c r="D577" s="9" t="s">
        <v>2678</v>
      </c>
      <c r="E577" s="5" t="s">
        <v>1346</v>
      </c>
      <c r="F577" s="9" t="s">
        <v>2682</v>
      </c>
      <c r="G577" s="9" t="s">
        <v>2683</v>
      </c>
      <c r="H577" s="9" t="s">
        <v>76</v>
      </c>
      <c r="I577" s="9" t="s">
        <v>229</v>
      </c>
      <c r="J577" s="9" t="s">
        <v>53</v>
      </c>
      <c r="K577" s="9" t="s">
        <v>53</v>
      </c>
      <c r="L577" s="9" t="s">
        <v>803</v>
      </c>
      <c r="M577" s="9" t="s">
        <v>311</v>
      </c>
      <c r="N577" s="9" t="s">
        <v>269</v>
      </c>
      <c r="O577" s="9" t="s">
        <v>62</v>
      </c>
      <c r="P577" s="9" t="s">
        <v>2239</v>
      </c>
      <c r="Q577" s="9" t="s">
        <v>65</v>
      </c>
      <c r="R577" s="9" t="s">
        <v>57</v>
      </c>
      <c r="S577" s="9" t="s">
        <v>1259</v>
      </c>
      <c r="T577" s="170">
        <v>6.133</v>
      </c>
      <c r="U577" s="9" t="s">
        <v>2684</v>
      </c>
      <c r="V577" s="199">
        <v>2.0899999999999998E-2</v>
      </c>
      <c r="W577" s="185">
        <v>2.9159999999999998E-2</v>
      </c>
      <c r="X577" s="5" t="s">
        <v>618</v>
      </c>
      <c r="Y577" s="5" t="s">
        <v>62</v>
      </c>
      <c r="Z577" s="170">
        <v>100000</v>
      </c>
      <c r="AA577" s="184">
        <v>1</v>
      </c>
      <c r="AB577" s="186">
        <v>110.73</v>
      </c>
      <c r="AC577" s="9"/>
      <c r="AD577" s="170">
        <v>110.73</v>
      </c>
      <c r="AE577" s="9"/>
      <c r="AF577" s="9"/>
      <c r="AG577" s="9" t="s">
        <v>17</v>
      </c>
      <c r="AH577" s="185">
        <v>6.4999999999999994E-5</v>
      </c>
      <c r="AI577" s="185">
        <v>1.37380079380352E-2</v>
      </c>
      <c r="AJ577" s="185">
        <v>2.8518294543317798E-3</v>
      </c>
    </row>
    <row r="578" spans="1:36">
      <c r="A578" s="9">
        <v>337</v>
      </c>
      <c r="B578" s="9">
        <v>9964</v>
      </c>
      <c r="C578" s="9" t="s">
        <v>2685</v>
      </c>
      <c r="D578" s="9" t="s">
        <v>2686</v>
      </c>
      <c r="E578" s="5" t="s">
        <v>765</v>
      </c>
      <c r="F578" s="9" t="s">
        <v>2687</v>
      </c>
      <c r="G578" s="9" t="s">
        <v>2688</v>
      </c>
      <c r="H578" s="9" t="s">
        <v>76</v>
      </c>
      <c r="I578" s="9" t="s">
        <v>228</v>
      </c>
      <c r="J578" s="9" t="s">
        <v>53</v>
      </c>
      <c r="K578" s="9" t="s">
        <v>314</v>
      </c>
      <c r="L578" s="9" t="s">
        <v>803</v>
      </c>
      <c r="M578" s="9" t="s">
        <v>311</v>
      </c>
      <c r="N578" s="9" t="s">
        <v>634</v>
      </c>
      <c r="O578" s="9" t="s">
        <v>62</v>
      </c>
      <c r="P578" s="9" t="s">
        <v>1614</v>
      </c>
      <c r="Q578" s="9" t="s">
        <v>65</v>
      </c>
      <c r="R578" s="9" t="s">
        <v>57</v>
      </c>
      <c r="S578" s="9" t="s">
        <v>1259</v>
      </c>
      <c r="T578" s="170">
        <v>0.57399999999999995</v>
      </c>
      <c r="U578" s="9" t="s">
        <v>2572</v>
      </c>
      <c r="V578" s="199">
        <v>4.045E-2</v>
      </c>
      <c r="W578" s="185">
        <v>0.44588</v>
      </c>
      <c r="X578" s="5" t="s">
        <v>618</v>
      </c>
      <c r="Y578" s="5" t="s">
        <v>62</v>
      </c>
      <c r="Z578" s="170">
        <v>0.4</v>
      </c>
      <c r="AA578" s="184">
        <v>1</v>
      </c>
      <c r="AB578" s="186">
        <v>84.44</v>
      </c>
      <c r="AC578" s="9"/>
      <c r="AD578" s="170">
        <v>0</v>
      </c>
      <c r="AE578" s="9"/>
      <c r="AF578" s="9"/>
      <c r="AG578" s="9" t="s">
        <v>17</v>
      </c>
      <c r="AH578" s="185">
        <v>0</v>
      </c>
      <c r="AI578" s="185">
        <v>4.19050804763909E-8</v>
      </c>
      <c r="AJ578" s="185">
        <v>8.6989426216481907E-9</v>
      </c>
    </row>
    <row r="579" spans="1:36">
      <c r="A579" s="9">
        <v>337</v>
      </c>
      <c r="B579" s="9">
        <v>9964</v>
      </c>
      <c r="C579" s="9" t="s">
        <v>2689</v>
      </c>
      <c r="D579" s="9" t="s">
        <v>2690</v>
      </c>
      <c r="E579" s="5" t="s">
        <v>1346</v>
      </c>
      <c r="F579" s="9" t="s">
        <v>2691</v>
      </c>
      <c r="G579" s="9" t="s">
        <v>2692</v>
      </c>
      <c r="H579" s="9" t="s">
        <v>76</v>
      </c>
      <c r="I579" s="9" t="s">
        <v>228</v>
      </c>
      <c r="J579" s="9" t="s">
        <v>53</v>
      </c>
      <c r="K579" s="9" t="s">
        <v>53</v>
      </c>
      <c r="L579" s="9" t="s">
        <v>803</v>
      </c>
      <c r="M579" s="9" t="s">
        <v>311</v>
      </c>
      <c r="N579" s="9" t="s">
        <v>634</v>
      </c>
      <c r="O579" s="9" t="s">
        <v>62</v>
      </c>
      <c r="P579" s="9" t="s">
        <v>2225</v>
      </c>
      <c r="Q579" s="9" t="s">
        <v>70</v>
      </c>
      <c r="R579" s="9" t="s">
        <v>57</v>
      </c>
      <c r="S579" s="9" t="s">
        <v>1259</v>
      </c>
      <c r="T579" s="170">
        <v>5.6509999999999998</v>
      </c>
      <c r="U579" s="9" t="s">
        <v>2693</v>
      </c>
      <c r="V579" s="199">
        <v>5.5899999999999998E-2</v>
      </c>
      <c r="W579" s="185">
        <v>5.2449999999999997E-2</v>
      </c>
      <c r="X579" s="5" t="s">
        <v>618</v>
      </c>
      <c r="Y579" s="5" t="s">
        <v>62</v>
      </c>
      <c r="Z579" s="170">
        <v>48000</v>
      </c>
      <c r="AA579" s="184">
        <v>1</v>
      </c>
      <c r="AB579" s="186">
        <v>103.88</v>
      </c>
      <c r="AC579" s="9"/>
      <c r="AD579" s="170">
        <v>49.862000000000002</v>
      </c>
      <c r="AE579" s="9"/>
      <c r="AF579" s="9"/>
      <c r="AG579" s="9" t="s">
        <v>17</v>
      </c>
      <c r="AH579" s="185">
        <v>2.1499999999999999E-4</v>
      </c>
      <c r="AI579" s="185">
        <v>6.1863094645487702E-3</v>
      </c>
      <c r="AJ579" s="185">
        <v>1.2841963423071701E-3</v>
      </c>
    </row>
    <row r="580" spans="1:36">
      <c r="A580" s="9">
        <v>337</v>
      </c>
      <c r="B580" s="9">
        <v>9964</v>
      </c>
      <c r="C580" s="9" t="s">
        <v>2079</v>
      </c>
      <c r="D580" s="9" t="s">
        <v>2080</v>
      </c>
      <c r="E580" s="5" t="s">
        <v>1346</v>
      </c>
      <c r="F580" s="9" t="s">
        <v>2696</v>
      </c>
      <c r="G580" s="9" t="s">
        <v>2697</v>
      </c>
      <c r="H580" s="9" t="s">
        <v>76</v>
      </c>
      <c r="I580" s="9" t="s">
        <v>229</v>
      </c>
      <c r="J580" s="9" t="s">
        <v>53</v>
      </c>
      <c r="K580" s="9" t="s">
        <v>53</v>
      </c>
      <c r="L580" s="9" t="s">
        <v>803</v>
      </c>
      <c r="M580" s="9" t="s">
        <v>311</v>
      </c>
      <c r="N580" s="9" t="s">
        <v>259</v>
      </c>
      <c r="O580" s="9" t="s">
        <v>62</v>
      </c>
      <c r="P580" s="9" t="s">
        <v>2225</v>
      </c>
      <c r="Q580" s="9" t="s">
        <v>70</v>
      </c>
      <c r="R580" s="9" t="s">
        <v>57</v>
      </c>
      <c r="S580" s="9" t="s">
        <v>1259</v>
      </c>
      <c r="T580" s="170">
        <v>3.407</v>
      </c>
      <c r="U580" s="9" t="s">
        <v>2698</v>
      </c>
      <c r="V580" s="199">
        <v>3.2500000000000001E-2</v>
      </c>
      <c r="W580" s="185">
        <v>3.083E-2</v>
      </c>
      <c r="X580" s="5" t="s">
        <v>618</v>
      </c>
      <c r="Y580" s="5" t="s">
        <v>62</v>
      </c>
      <c r="Z580" s="170">
        <v>43450</v>
      </c>
      <c r="AA580" s="184">
        <v>1</v>
      </c>
      <c r="AB580" s="186">
        <v>111.12</v>
      </c>
      <c r="AC580" s="9"/>
      <c r="AD580" s="170">
        <v>48.281999999999996</v>
      </c>
      <c r="AE580" s="9"/>
      <c r="AF580" s="9"/>
      <c r="AG580" s="9" t="s">
        <v>17</v>
      </c>
      <c r="AH580" s="185">
        <v>1.2E-4</v>
      </c>
      <c r="AI580" s="185">
        <v>5.9901883281979302E-3</v>
      </c>
      <c r="AJ580" s="185">
        <v>1.24348417823032E-3</v>
      </c>
    </row>
    <row r="581" spans="1:36">
      <c r="A581" s="9">
        <v>337</v>
      </c>
      <c r="B581" s="9">
        <v>9964</v>
      </c>
      <c r="C581" s="9" t="s">
        <v>2699</v>
      </c>
      <c r="D581" s="9" t="s">
        <v>2700</v>
      </c>
      <c r="E581" s="5" t="s">
        <v>1346</v>
      </c>
      <c r="F581" s="9" t="s">
        <v>2701</v>
      </c>
      <c r="G581" s="9" t="s">
        <v>2702</v>
      </c>
      <c r="H581" s="9" t="s">
        <v>76</v>
      </c>
      <c r="I581" s="9" t="s">
        <v>228</v>
      </c>
      <c r="J581" s="9" t="s">
        <v>53</v>
      </c>
      <c r="K581" s="9" t="s">
        <v>53</v>
      </c>
      <c r="L581" s="9" t="s">
        <v>803</v>
      </c>
      <c r="M581" s="9" t="s">
        <v>311</v>
      </c>
      <c r="N581" s="9" t="s">
        <v>140</v>
      </c>
      <c r="O581" s="9" t="s">
        <v>62</v>
      </c>
      <c r="P581" s="9" t="s">
        <v>2599</v>
      </c>
      <c r="Q581" s="9" t="s">
        <v>70</v>
      </c>
      <c r="R581" s="9" t="s">
        <v>57</v>
      </c>
      <c r="S581" s="9" t="s">
        <v>1259</v>
      </c>
      <c r="T581" s="170">
        <v>1.431</v>
      </c>
      <c r="U581" s="9" t="s">
        <v>2428</v>
      </c>
      <c r="V581" s="199">
        <v>5.5500000000000001E-2</v>
      </c>
      <c r="W581" s="185">
        <v>5.3670000000000002E-2</v>
      </c>
      <c r="X581" s="5" t="s">
        <v>618</v>
      </c>
      <c r="Y581" s="5" t="s">
        <v>62</v>
      </c>
      <c r="Z581" s="170">
        <v>52200</v>
      </c>
      <c r="AA581" s="184">
        <v>1</v>
      </c>
      <c r="AB581" s="186">
        <v>103</v>
      </c>
      <c r="AC581" s="9"/>
      <c r="AD581" s="170">
        <v>53.765999999999998</v>
      </c>
      <c r="AE581" s="9"/>
      <c r="AF581" s="9"/>
      <c r="AG581" s="9" t="s">
        <v>17</v>
      </c>
      <c r="AH581" s="185">
        <v>3.6200000000000002E-4</v>
      </c>
      <c r="AI581" s="185">
        <v>6.6706198392161098E-3</v>
      </c>
      <c r="AJ581" s="185">
        <v>1.3847327954628599E-3</v>
      </c>
    </row>
    <row r="582" spans="1:36">
      <c r="A582" s="9">
        <v>337</v>
      </c>
      <c r="B582" s="9">
        <v>9964</v>
      </c>
      <c r="C582" s="9" t="s">
        <v>2703</v>
      </c>
      <c r="D582" s="9" t="s">
        <v>2704</v>
      </c>
      <c r="E582" s="5" t="s">
        <v>1346</v>
      </c>
      <c r="F582" s="9" t="s">
        <v>2705</v>
      </c>
      <c r="G582" s="9" t="s">
        <v>2706</v>
      </c>
      <c r="H582" s="9" t="s">
        <v>76</v>
      </c>
      <c r="I582" s="9" t="s">
        <v>228</v>
      </c>
      <c r="J582" s="9" t="s">
        <v>53</v>
      </c>
      <c r="K582" s="9" t="s">
        <v>53</v>
      </c>
      <c r="L582" s="9" t="s">
        <v>803</v>
      </c>
      <c r="M582" s="9" t="s">
        <v>311</v>
      </c>
      <c r="N582" s="9" t="s">
        <v>140</v>
      </c>
      <c r="O582" s="9" t="s">
        <v>62</v>
      </c>
      <c r="P582" s="9" t="s">
        <v>1614</v>
      </c>
      <c r="Q582" s="9" t="s">
        <v>65</v>
      </c>
      <c r="R582" s="9" t="s">
        <v>57</v>
      </c>
      <c r="S582" s="9" t="s">
        <v>1259</v>
      </c>
      <c r="T582" s="170">
        <v>2.246</v>
      </c>
      <c r="U582" s="9" t="s">
        <v>2594</v>
      </c>
      <c r="V582" s="199">
        <v>5.3400000000000003E-2</v>
      </c>
      <c r="W582" s="185">
        <v>5.16E-2</v>
      </c>
      <c r="X582" s="5" t="s">
        <v>618</v>
      </c>
      <c r="Y582" s="5" t="s">
        <v>62</v>
      </c>
      <c r="Z582" s="170">
        <v>67000</v>
      </c>
      <c r="AA582" s="184">
        <v>1</v>
      </c>
      <c r="AB582" s="186">
        <v>100.99</v>
      </c>
      <c r="AC582" s="9"/>
      <c r="AD582" s="170">
        <v>67.662999999999997</v>
      </c>
      <c r="AE582" s="9"/>
      <c r="AF582" s="9"/>
      <c r="AG582" s="9" t="s">
        <v>17</v>
      </c>
      <c r="AH582" s="185">
        <v>9.6000000000000002E-5</v>
      </c>
      <c r="AI582" s="185">
        <v>8.3948248217615498E-3</v>
      </c>
      <c r="AJ582" s="185">
        <v>1.74265503402229E-3</v>
      </c>
    </row>
    <row r="583" spans="1:36">
      <c r="A583" s="9">
        <v>337</v>
      </c>
      <c r="B583" s="9">
        <v>9964</v>
      </c>
      <c r="C583" s="9" t="s">
        <v>2707</v>
      </c>
      <c r="D583" s="9" t="s">
        <v>2708</v>
      </c>
      <c r="E583" s="5" t="s">
        <v>1346</v>
      </c>
      <c r="F583" s="9" t="s">
        <v>2709</v>
      </c>
      <c r="G583" s="9" t="s">
        <v>2710</v>
      </c>
      <c r="H583" s="9" t="s">
        <v>76</v>
      </c>
      <c r="I583" s="9" t="s">
        <v>228</v>
      </c>
      <c r="J583" s="9" t="s">
        <v>53</v>
      </c>
      <c r="K583" s="9" t="s">
        <v>53</v>
      </c>
      <c r="L583" s="9" t="s">
        <v>803</v>
      </c>
      <c r="M583" s="9" t="s">
        <v>311</v>
      </c>
      <c r="N583" s="9" t="s">
        <v>140</v>
      </c>
      <c r="O583" s="9" t="s">
        <v>62</v>
      </c>
      <c r="P583" s="9" t="s">
        <v>2314</v>
      </c>
      <c r="Q583" s="9" t="s">
        <v>70</v>
      </c>
      <c r="R583" s="9" t="s">
        <v>57</v>
      </c>
      <c r="S583" s="9" t="s">
        <v>1259</v>
      </c>
      <c r="T583" s="170">
        <v>3.3000000000000002E-2</v>
      </c>
      <c r="U583" s="9" t="s">
        <v>2711</v>
      </c>
      <c r="V583" s="199">
        <v>4.3499999999999997E-2</v>
      </c>
      <c r="W583" s="185">
        <v>9.1929999999999998E-2</v>
      </c>
      <c r="X583" s="5" t="s">
        <v>618</v>
      </c>
      <c r="Y583" s="5" t="s">
        <v>62</v>
      </c>
      <c r="Z583" s="170">
        <v>14500</v>
      </c>
      <c r="AA583" s="184">
        <v>1</v>
      </c>
      <c r="AB583" s="186">
        <v>101.88</v>
      </c>
      <c r="AC583" s="9"/>
      <c r="AD583" s="170">
        <v>14.773</v>
      </c>
      <c r="AE583" s="9"/>
      <c r="AF583" s="9"/>
      <c r="AG583" s="9" t="s">
        <v>17</v>
      </c>
      <c r="AH583" s="185">
        <v>6.0400000000000004E-4</v>
      </c>
      <c r="AI583" s="185">
        <v>1.83280137329918E-3</v>
      </c>
      <c r="AJ583" s="185">
        <v>3.8046541855921401E-4</v>
      </c>
    </row>
    <row r="584" spans="1:36">
      <c r="A584" s="9">
        <v>337</v>
      </c>
      <c r="B584" s="9">
        <v>9964</v>
      </c>
      <c r="C584" s="9" t="s">
        <v>2707</v>
      </c>
      <c r="D584" s="9" t="s">
        <v>2708</v>
      </c>
      <c r="E584" s="5" t="s">
        <v>1346</v>
      </c>
      <c r="F584" s="9" t="s">
        <v>2712</v>
      </c>
      <c r="G584" s="9" t="s">
        <v>2713</v>
      </c>
      <c r="H584" s="9" t="s">
        <v>76</v>
      </c>
      <c r="I584" s="9" t="s">
        <v>228</v>
      </c>
      <c r="J584" s="9" t="s">
        <v>53</v>
      </c>
      <c r="K584" s="9" t="s">
        <v>53</v>
      </c>
      <c r="L584" s="9" t="s">
        <v>803</v>
      </c>
      <c r="M584" s="9" t="s">
        <v>311</v>
      </c>
      <c r="N584" s="9" t="s">
        <v>140</v>
      </c>
      <c r="O584" s="9" t="s">
        <v>62</v>
      </c>
      <c r="P584" s="9" t="s">
        <v>2314</v>
      </c>
      <c r="Q584" s="9" t="s">
        <v>70</v>
      </c>
      <c r="R584" s="9" t="s">
        <v>57</v>
      </c>
      <c r="S584" s="9" t="s">
        <v>1259</v>
      </c>
      <c r="T584" s="170">
        <v>3.3000000000000002E-2</v>
      </c>
      <c r="U584" s="9" t="s">
        <v>2711</v>
      </c>
      <c r="V584" s="199">
        <v>0.06</v>
      </c>
      <c r="W584" s="185">
        <v>2.392E-2</v>
      </c>
      <c r="X584" s="5" t="s">
        <v>618</v>
      </c>
      <c r="Y584" s="5" t="s">
        <v>62</v>
      </c>
      <c r="Z584" s="170">
        <v>3334</v>
      </c>
      <c r="AA584" s="184">
        <v>1</v>
      </c>
      <c r="AB584" s="186">
        <v>102.92</v>
      </c>
      <c r="AC584" s="9"/>
      <c r="AD584" s="170">
        <v>3.431</v>
      </c>
      <c r="AE584" s="9"/>
      <c r="AF584" s="9"/>
      <c r="AG584" s="9" t="s">
        <v>17</v>
      </c>
      <c r="AH584" s="185">
        <v>1.2799999999999999E-4</v>
      </c>
      <c r="AI584" s="185">
        <v>4.2571978691049599E-4</v>
      </c>
      <c r="AJ584" s="185">
        <v>8.8373819048530999E-5</v>
      </c>
    </row>
    <row r="585" spans="1:36">
      <c r="A585" s="9">
        <v>337</v>
      </c>
      <c r="B585" s="9">
        <v>9964</v>
      </c>
      <c r="C585" s="9" t="s">
        <v>2091</v>
      </c>
      <c r="D585" s="9" t="s">
        <v>2092</v>
      </c>
      <c r="E585" s="5" t="s">
        <v>1346</v>
      </c>
      <c r="F585" s="9" t="s">
        <v>2714</v>
      </c>
      <c r="G585" s="9" t="s">
        <v>2715</v>
      </c>
      <c r="H585" s="9" t="s">
        <v>76</v>
      </c>
      <c r="I585" s="9" t="s">
        <v>229</v>
      </c>
      <c r="J585" s="9" t="s">
        <v>53</v>
      </c>
      <c r="K585" s="9" t="s">
        <v>53</v>
      </c>
      <c r="L585" s="9" t="s">
        <v>803</v>
      </c>
      <c r="M585" s="9" t="s">
        <v>311</v>
      </c>
      <c r="N585" s="9" t="s">
        <v>633</v>
      </c>
      <c r="O585" s="9" t="s">
        <v>62</v>
      </c>
      <c r="P585" s="9" t="s">
        <v>2246</v>
      </c>
      <c r="Q585" s="9" t="s">
        <v>65</v>
      </c>
      <c r="R585" s="9" t="s">
        <v>57</v>
      </c>
      <c r="S585" s="9" t="s">
        <v>1259</v>
      </c>
      <c r="T585" s="170">
        <v>6.0019999999999998</v>
      </c>
      <c r="U585" s="9" t="s">
        <v>2716</v>
      </c>
      <c r="V585" s="199">
        <v>2.5000000000000001E-2</v>
      </c>
      <c r="W585" s="185">
        <v>2.9499999999999998E-2</v>
      </c>
      <c r="X585" s="5" t="s">
        <v>618</v>
      </c>
      <c r="Y585" s="5" t="s">
        <v>62</v>
      </c>
      <c r="Z585" s="170">
        <v>80300</v>
      </c>
      <c r="AA585" s="184">
        <v>1</v>
      </c>
      <c r="AB585" s="186">
        <v>114.89</v>
      </c>
      <c r="AC585" s="9"/>
      <c r="AD585" s="170">
        <v>92.257000000000005</v>
      </c>
      <c r="AE585" s="9"/>
      <c r="AF585" s="9"/>
      <c r="AG585" s="9" t="s">
        <v>17</v>
      </c>
      <c r="AH585" s="185">
        <v>6.0000000000000002E-5</v>
      </c>
      <c r="AI585" s="185">
        <v>1.14460657888259E-2</v>
      </c>
      <c r="AJ585" s="185">
        <v>2.37605245971794E-3</v>
      </c>
    </row>
    <row r="586" spans="1:36">
      <c r="A586" s="9">
        <v>337</v>
      </c>
      <c r="B586" s="9">
        <v>9964</v>
      </c>
      <c r="C586" s="9" t="s">
        <v>2717</v>
      </c>
      <c r="D586" s="9" t="s">
        <v>2718</v>
      </c>
      <c r="E586" s="5" t="s">
        <v>1346</v>
      </c>
      <c r="F586" s="9" t="s">
        <v>2719</v>
      </c>
      <c r="G586" s="9" t="s">
        <v>2720</v>
      </c>
      <c r="H586" s="9" t="s">
        <v>76</v>
      </c>
      <c r="I586" s="9" t="s">
        <v>228</v>
      </c>
      <c r="J586" s="9" t="s">
        <v>53</v>
      </c>
      <c r="K586" s="9" t="s">
        <v>53</v>
      </c>
      <c r="L586" s="9" t="s">
        <v>803</v>
      </c>
      <c r="M586" s="9" t="s">
        <v>1691</v>
      </c>
      <c r="N586" s="9" t="s">
        <v>140</v>
      </c>
      <c r="O586" s="9" t="s">
        <v>62</v>
      </c>
      <c r="P586" s="9" t="s">
        <v>2225</v>
      </c>
      <c r="Q586" s="9" t="s">
        <v>70</v>
      </c>
      <c r="R586" s="9" t="s">
        <v>57</v>
      </c>
      <c r="S586" s="9" t="s">
        <v>1259</v>
      </c>
      <c r="T586" s="170">
        <v>3.6869999999999998</v>
      </c>
      <c r="U586" s="9" t="s">
        <v>2721</v>
      </c>
      <c r="V586" s="199">
        <v>5.8200000000000002E-2</v>
      </c>
      <c r="W586" s="185">
        <v>4.8480000000000002E-2</v>
      </c>
      <c r="X586" s="5" t="s">
        <v>618</v>
      </c>
      <c r="Y586" s="5" t="s">
        <v>62</v>
      </c>
      <c r="Z586" s="170">
        <v>47000</v>
      </c>
      <c r="AA586" s="184">
        <v>1</v>
      </c>
      <c r="AB586" s="186">
        <v>104.76</v>
      </c>
      <c r="AC586" s="9"/>
      <c r="AD586" s="170">
        <v>49.237000000000002</v>
      </c>
      <c r="AE586" s="9"/>
      <c r="AF586" s="9"/>
      <c r="AG586" s="9" t="s">
        <v>17</v>
      </c>
      <c r="AH586" s="185">
        <v>2.6899999999999998E-4</v>
      </c>
      <c r="AI586" s="185">
        <v>6.1087423864050003E-3</v>
      </c>
      <c r="AJ586" s="185">
        <v>1.2680944388045201E-3</v>
      </c>
    </row>
    <row r="587" spans="1:36">
      <c r="A587" s="9">
        <v>337</v>
      </c>
      <c r="B587" s="9">
        <v>9964</v>
      </c>
      <c r="C587" s="9" t="s">
        <v>2722</v>
      </c>
      <c r="D587" s="9" t="s">
        <v>2723</v>
      </c>
      <c r="E587" s="5" t="s">
        <v>1346</v>
      </c>
      <c r="F587" s="9" t="s">
        <v>2724</v>
      </c>
      <c r="G587" s="9" t="s">
        <v>2725</v>
      </c>
      <c r="H587" s="9" t="s">
        <v>76</v>
      </c>
      <c r="I587" s="9" t="s">
        <v>228</v>
      </c>
      <c r="J587" s="9" t="s">
        <v>53</v>
      </c>
      <c r="K587" s="9" t="s">
        <v>53</v>
      </c>
      <c r="L587" s="9" t="s">
        <v>803</v>
      </c>
      <c r="M587" s="9" t="s">
        <v>311</v>
      </c>
      <c r="N587" s="9" t="s">
        <v>631</v>
      </c>
      <c r="O587" s="9" t="s">
        <v>62</v>
      </c>
      <c r="P587" s="9" t="s">
        <v>2726</v>
      </c>
      <c r="Q587" s="9" t="s">
        <v>70</v>
      </c>
      <c r="R587" s="9" t="s">
        <v>57</v>
      </c>
      <c r="S587" s="9" t="s">
        <v>1259</v>
      </c>
      <c r="T587" s="170">
        <v>0.499</v>
      </c>
      <c r="U587" s="9" t="s">
        <v>2727</v>
      </c>
      <c r="V587" s="199">
        <v>3.15E-2</v>
      </c>
      <c r="W587" s="185">
        <v>5.3269999999999998E-2</v>
      </c>
      <c r="X587" s="5" t="s">
        <v>618</v>
      </c>
      <c r="Y587" s="5" t="s">
        <v>62</v>
      </c>
      <c r="Z587" s="170">
        <v>12250.2</v>
      </c>
      <c r="AA587" s="184">
        <v>1</v>
      </c>
      <c r="AB587" s="186">
        <v>98.98</v>
      </c>
      <c r="AC587" s="9"/>
      <c r="AD587" s="170">
        <v>12.125</v>
      </c>
      <c r="AE587" s="9"/>
      <c r="AF587" s="9"/>
      <c r="AG587" s="9" t="s">
        <v>17</v>
      </c>
      <c r="AH587" s="185">
        <v>2.8400000000000002E-4</v>
      </c>
      <c r="AI587" s="185">
        <v>1.5043506974182701E-3</v>
      </c>
      <c r="AJ587" s="185">
        <v>3.1228338547281101E-4</v>
      </c>
    </row>
    <row r="588" spans="1:36">
      <c r="A588" s="9">
        <v>337</v>
      </c>
      <c r="B588" s="9">
        <v>9964</v>
      </c>
      <c r="C588" s="9" t="s">
        <v>2731</v>
      </c>
      <c r="D588" s="9" t="s">
        <v>2732</v>
      </c>
      <c r="E588" s="5" t="s">
        <v>1346</v>
      </c>
      <c r="F588" s="9" t="s">
        <v>2733</v>
      </c>
      <c r="G588" s="9" t="s">
        <v>2734</v>
      </c>
      <c r="H588" s="9" t="s">
        <v>76</v>
      </c>
      <c r="I588" s="9" t="s">
        <v>228</v>
      </c>
      <c r="J588" s="9" t="s">
        <v>53</v>
      </c>
      <c r="K588" s="9" t="s">
        <v>53</v>
      </c>
      <c r="L588" s="9" t="s">
        <v>803</v>
      </c>
      <c r="M588" s="9" t="s">
        <v>311</v>
      </c>
      <c r="N588" s="9" t="s">
        <v>633</v>
      </c>
      <c r="O588" s="9" t="s">
        <v>62</v>
      </c>
      <c r="P588" s="9" t="s">
        <v>2314</v>
      </c>
      <c r="Q588" s="9" t="s">
        <v>70</v>
      </c>
      <c r="R588" s="9" t="s">
        <v>57</v>
      </c>
      <c r="S588" s="9" t="s">
        <v>1259</v>
      </c>
      <c r="T588" s="170">
        <v>2.6080000000000001</v>
      </c>
      <c r="U588" s="9" t="s">
        <v>2735</v>
      </c>
      <c r="V588" s="199">
        <v>4.1000000000000002E-2</v>
      </c>
      <c r="W588" s="185">
        <v>5.0680000000000003E-2</v>
      </c>
      <c r="X588" s="5" t="s">
        <v>618</v>
      </c>
      <c r="Y588" s="5" t="s">
        <v>62</v>
      </c>
      <c r="Z588" s="170">
        <v>181190.47</v>
      </c>
      <c r="AA588" s="184">
        <v>1</v>
      </c>
      <c r="AB588" s="186">
        <v>98.37</v>
      </c>
      <c r="AC588" s="9"/>
      <c r="AD588" s="170">
        <v>178.23699999999999</v>
      </c>
      <c r="AE588" s="9"/>
      <c r="AF588" s="9"/>
      <c r="AG588" s="9" t="s">
        <v>17</v>
      </c>
      <c r="AH588" s="185">
        <v>3.97E-4</v>
      </c>
      <c r="AI588" s="185">
        <v>2.2113449096715199E-2</v>
      </c>
      <c r="AJ588" s="185">
        <v>4.5904606952715497E-3</v>
      </c>
    </row>
    <row r="589" spans="1:36">
      <c r="A589" s="9">
        <v>337</v>
      </c>
      <c r="B589" s="9">
        <v>9964</v>
      </c>
      <c r="C589" s="9" t="s">
        <v>2870</v>
      </c>
      <c r="D589" s="9" t="s">
        <v>2871</v>
      </c>
      <c r="E589" s="5" t="s">
        <v>1346</v>
      </c>
      <c r="F589" s="9" t="s">
        <v>2872</v>
      </c>
      <c r="G589" s="9" t="s">
        <v>2873</v>
      </c>
      <c r="H589" s="9" t="s">
        <v>76</v>
      </c>
      <c r="I589" s="9" t="s">
        <v>230</v>
      </c>
      <c r="J589" s="9" t="s">
        <v>53</v>
      </c>
      <c r="K589" s="9" t="s">
        <v>53</v>
      </c>
      <c r="L589" s="9" t="s">
        <v>803</v>
      </c>
      <c r="M589" s="9" t="s">
        <v>311</v>
      </c>
      <c r="N589" s="9" t="s">
        <v>267</v>
      </c>
      <c r="O589" s="9" t="s">
        <v>62</v>
      </c>
      <c r="P589" s="9" t="s">
        <v>1621</v>
      </c>
      <c r="Q589" s="9" t="s">
        <v>70</v>
      </c>
      <c r="R589" s="9" t="s">
        <v>57</v>
      </c>
      <c r="S589" s="9" t="s">
        <v>1259</v>
      </c>
      <c r="T589" s="170">
        <v>2.4249999999999998</v>
      </c>
      <c r="U589" s="9" t="s">
        <v>2874</v>
      </c>
      <c r="V589" s="199">
        <v>4.6899999999999997E-2</v>
      </c>
      <c r="W589" s="185">
        <v>6.2420000000000003E-2</v>
      </c>
      <c r="X589" s="5" t="s">
        <v>618</v>
      </c>
      <c r="Y589" s="5" t="s">
        <v>62</v>
      </c>
      <c r="Z589" s="170">
        <v>56149.32</v>
      </c>
      <c r="AA589" s="184">
        <v>1</v>
      </c>
      <c r="AB589" s="186">
        <v>94.12</v>
      </c>
      <c r="AC589" s="9"/>
      <c r="AD589" s="170">
        <v>52.847999999999999</v>
      </c>
      <c r="AE589" s="9"/>
      <c r="AF589" s="9"/>
      <c r="AG589" s="9" t="s">
        <v>17</v>
      </c>
      <c r="AH589" s="185">
        <v>4.1999999999999998E-5</v>
      </c>
      <c r="AI589" s="185">
        <v>6.5566935013764201E-3</v>
      </c>
      <c r="AJ589" s="185">
        <v>1.3610831886682799E-3</v>
      </c>
    </row>
    <row r="590" spans="1:36">
      <c r="A590" s="9">
        <v>337</v>
      </c>
      <c r="B590" s="9">
        <v>9964</v>
      </c>
      <c r="C590" s="9" t="s">
        <v>2740</v>
      </c>
      <c r="D590" s="9" t="s">
        <v>2741</v>
      </c>
      <c r="E590" s="5" t="s">
        <v>1346</v>
      </c>
      <c r="F590" s="9" t="s">
        <v>2742</v>
      </c>
      <c r="G590" s="9" t="s">
        <v>2743</v>
      </c>
      <c r="H590" s="9" t="s">
        <v>76</v>
      </c>
      <c r="I590" s="9" t="s">
        <v>229</v>
      </c>
      <c r="J590" s="9" t="s">
        <v>53</v>
      </c>
      <c r="K590" s="9" t="s">
        <v>53</v>
      </c>
      <c r="L590" s="9" t="s">
        <v>803</v>
      </c>
      <c r="M590" s="9" t="s">
        <v>311</v>
      </c>
      <c r="N590" s="9" t="s">
        <v>633</v>
      </c>
      <c r="O590" s="9" t="s">
        <v>62</v>
      </c>
      <c r="P590" s="167" t="s">
        <v>298</v>
      </c>
      <c r="Q590" s="9" t="s">
        <v>298</v>
      </c>
      <c r="R590" s="9" t="s">
        <v>298</v>
      </c>
      <c r="S590" s="9" t="s">
        <v>1259</v>
      </c>
      <c r="T590" s="170">
        <v>1.448</v>
      </c>
      <c r="U590" s="9" t="s">
        <v>2744</v>
      </c>
      <c r="V590" s="199">
        <v>3.5180000000000003E-2</v>
      </c>
      <c r="W590" s="185">
        <v>3.9109999999999999E-2</v>
      </c>
      <c r="X590" s="5" t="s">
        <v>618</v>
      </c>
      <c r="Y590" s="5" t="s">
        <v>62</v>
      </c>
      <c r="Z590" s="170">
        <v>30000</v>
      </c>
      <c r="AA590" s="184">
        <v>1</v>
      </c>
      <c r="AB590" s="186">
        <v>108.93</v>
      </c>
      <c r="AC590" s="9"/>
      <c r="AD590" s="170">
        <v>32.679000000000002</v>
      </c>
      <c r="AE590" s="9"/>
      <c r="AF590" s="9"/>
      <c r="AG590" s="9" t="s">
        <v>17</v>
      </c>
      <c r="AH590" s="185">
        <v>4.3000000000000002E-5</v>
      </c>
      <c r="AI590" s="185">
        <v>4.0544058647796598E-3</v>
      </c>
      <c r="AJ590" s="185">
        <v>8.4164124210339003E-4</v>
      </c>
    </row>
    <row r="591" spans="1:36">
      <c r="A591" s="9">
        <v>337</v>
      </c>
      <c r="B591" s="9">
        <v>9964</v>
      </c>
      <c r="C591" s="9" t="s">
        <v>1866</v>
      </c>
      <c r="D591" s="9" t="s">
        <v>1867</v>
      </c>
      <c r="E591" s="5" t="s">
        <v>429</v>
      </c>
      <c r="F591" s="9" t="s">
        <v>2745</v>
      </c>
      <c r="G591" s="9" t="s">
        <v>2746</v>
      </c>
      <c r="H591" s="9" t="s">
        <v>76</v>
      </c>
      <c r="I591" s="9" t="s">
        <v>230</v>
      </c>
      <c r="J591" s="9" t="s">
        <v>61</v>
      </c>
      <c r="K591" s="9" t="s">
        <v>317</v>
      </c>
      <c r="L591" s="9" t="s">
        <v>803</v>
      </c>
      <c r="M591" s="9" t="s">
        <v>102</v>
      </c>
      <c r="N591" s="9" t="s">
        <v>267</v>
      </c>
      <c r="O591" s="9" t="s">
        <v>62</v>
      </c>
      <c r="P591" s="9" t="s">
        <v>2220</v>
      </c>
      <c r="Q591" s="9" t="s">
        <v>96</v>
      </c>
      <c r="R591" s="9" t="s">
        <v>57</v>
      </c>
      <c r="S591" s="9" t="s">
        <v>1215</v>
      </c>
      <c r="T591" s="170">
        <v>2.5489999999999999</v>
      </c>
      <c r="U591" s="9" t="s">
        <v>2747</v>
      </c>
      <c r="V591" s="199">
        <v>5.3749999999999999E-2</v>
      </c>
      <c r="W591" s="185">
        <v>7.4149999999999994E-2</v>
      </c>
      <c r="X591" s="5" t="s">
        <v>618</v>
      </c>
      <c r="Y591" s="5" t="s">
        <v>62</v>
      </c>
      <c r="Z591" s="170">
        <v>18263</v>
      </c>
      <c r="AA591" s="184">
        <v>3.3719999999999999</v>
      </c>
      <c r="AB591" s="186">
        <v>96.94</v>
      </c>
      <c r="AC591" s="9"/>
      <c r="AD591" s="170">
        <v>59.698</v>
      </c>
      <c r="AE591" s="9"/>
      <c r="AF591" s="9"/>
      <c r="AG591" s="9" t="s">
        <v>17</v>
      </c>
      <c r="AH591" s="185">
        <v>2.9E-5</v>
      </c>
      <c r="AI591" s="185">
        <v>7.4066158380738604E-3</v>
      </c>
      <c r="AJ591" s="185">
        <v>1.5375158683275799E-3</v>
      </c>
    </row>
    <row r="592" spans="1:36">
      <c r="A592" s="9">
        <v>337</v>
      </c>
      <c r="B592" s="9">
        <v>9964</v>
      </c>
      <c r="C592" s="9" t="s">
        <v>1866</v>
      </c>
      <c r="D592" s="9" t="s">
        <v>1867</v>
      </c>
      <c r="E592" s="5" t="s">
        <v>429</v>
      </c>
      <c r="F592" s="9" t="s">
        <v>2748</v>
      </c>
      <c r="G592" s="9" t="s">
        <v>2749</v>
      </c>
      <c r="H592" s="9" t="s">
        <v>76</v>
      </c>
      <c r="I592" s="9" t="s">
        <v>230</v>
      </c>
      <c r="J592" s="9" t="s">
        <v>61</v>
      </c>
      <c r="K592" s="9" t="s">
        <v>317</v>
      </c>
      <c r="L592" s="9" t="s">
        <v>803</v>
      </c>
      <c r="M592" s="9" t="s">
        <v>102</v>
      </c>
      <c r="N592" s="9" t="s">
        <v>267</v>
      </c>
      <c r="O592" s="9" t="s">
        <v>62</v>
      </c>
      <c r="P592" s="9" t="s">
        <v>2220</v>
      </c>
      <c r="Q592" s="9" t="s">
        <v>96</v>
      </c>
      <c r="R592" s="9" t="s">
        <v>57</v>
      </c>
      <c r="S592" s="9" t="s">
        <v>1215</v>
      </c>
      <c r="T592" s="170">
        <v>4.8440000000000003</v>
      </c>
      <c r="U592" s="9" t="s">
        <v>2750</v>
      </c>
      <c r="V592" s="199">
        <v>5.8749999999999997E-2</v>
      </c>
      <c r="W592" s="185">
        <v>7.6170000000000002E-2</v>
      </c>
      <c r="X592" s="5" t="s">
        <v>618</v>
      </c>
      <c r="Y592" s="5" t="s">
        <v>62</v>
      </c>
      <c r="Z592" s="170">
        <v>9000</v>
      </c>
      <c r="AA592" s="184">
        <v>3.3719999999999999</v>
      </c>
      <c r="AB592" s="186">
        <v>94.051000000000002</v>
      </c>
      <c r="AC592" s="9"/>
      <c r="AD592" s="170">
        <v>28.542999999999999</v>
      </c>
      <c r="AE592" s="9"/>
      <c r="AF592" s="9"/>
      <c r="AG592" s="9" t="s">
        <v>17</v>
      </c>
      <c r="AH592" s="185">
        <v>1.4E-5</v>
      </c>
      <c r="AI592" s="185">
        <v>3.5412159999408301E-3</v>
      </c>
      <c r="AJ592" s="185">
        <v>7.3510978726560499E-4</v>
      </c>
    </row>
    <row r="593" spans="1:36">
      <c r="A593" s="9">
        <v>337</v>
      </c>
      <c r="B593" s="9">
        <v>9964</v>
      </c>
      <c r="C593" s="9" t="s">
        <v>1663</v>
      </c>
      <c r="D593" s="9" t="s">
        <v>1664</v>
      </c>
      <c r="E593" s="5" t="s">
        <v>1346</v>
      </c>
      <c r="F593" s="9" t="s">
        <v>2751</v>
      </c>
      <c r="G593" s="9" t="s">
        <v>2752</v>
      </c>
      <c r="H593" s="9" t="s">
        <v>76</v>
      </c>
      <c r="I593" s="9" t="s">
        <v>230</v>
      </c>
      <c r="J593" s="9" t="s">
        <v>61</v>
      </c>
      <c r="K593" s="9" t="s">
        <v>53</v>
      </c>
      <c r="L593" s="9" t="s">
        <v>803</v>
      </c>
      <c r="M593" s="9" t="s">
        <v>102</v>
      </c>
      <c r="N593" s="9" t="s">
        <v>256</v>
      </c>
      <c r="O593" s="9" t="s">
        <v>62</v>
      </c>
      <c r="P593" s="9" t="s">
        <v>2753</v>
      </c>
      <c r="Q593" s="9" t="s">
        <v>96</v>
      </c>
      <c r="R593" s="9" t="s">
        <v>57</v>
      </c>
      <c r="S593" s="9" t="s">
        <v>1215</v>
      </c>
      <c r="T593" s="170">
        <v>4.8479999999999999</v>
      </c>
      <c r="U593" s="9" t="s">
        <v>2754</v>
      </c>
      <c r="V593" s="199">
        <v>3.2750000000000001E-2</v>
      </c>
      <c r="W593" s="185">
        <v>5.8430000000000003E-2</v>
      </c>
      <c r="X593" s="5" t="s">
        <v>618</v>
      </c>
      <c r="Y593" s="5" t="s">
        <v>62</v>
      </c>
      <c r="Z593" s="170">
        <v>8000</v>
      </c>
      <c r="AA593" s="184">
        <v>3.3719999999999999</v>
      </c>
      <c r="AB593" s="186">
        <v>99.753</v>
      </c>
      <c r="AC593" s="9"/>
      <c r="AD593" s="170">
        <v>26.908999999999999</v>
      </c>
      <c r="AE593" s="9"/>
      <c r="AF593" s="9"/>
      <c r="AG593" s="9" t="s">
        <v>17</v>
      </c>
      <c r="AH593" s="185">
        <v>1.1E-5</v>
      </c>
      <c r="AI593" s="185">
        <v>3.3385781466599698E-3</v>
      </c>
      <c r="AJ593" s="185">
        <v>6.9304483860962302E-4</v>
      </c>
    </row>
    <row r="594" spans="1:36">
      <c r="A594" s="9">
        <v>337</v>
      </c>
      <c r="B594" s="9">
        <v>9964</v>
      </c>
      <c r="C594" s="9" t="s">
        <v>2216</v>
      </c>
      <c r="D594" s="9" t="s">
        <v>2217</v>
      </c>
      <c r="E594" s="5" t="s">
        <v>1346</v>
      </c>
      <c r="F594" s="9" t="s">
        <v>2755</v>
      </c>
      <c r="G594" s="9" t="s">
        <v>2756</v>
      </c>
      <c r="H594" s="9" t="s">
        <v>76</v>
      </c>
      <c r="I594" s="9" t="s">
        <v>230</v>
      </c>
      <c r="J594" s="9" t="s">
        <v>61</v>
      </c>
      <c r="K594" s="9" t="s">
        <v>53</v>
      </c>
      <c r="L594" s="9" t="s">
        <v>803</v>
      </c>
      <c r="M594" s="9" t="s">
        <v>102</v>
      </c>
      <c r="N594" s="9" t="s">
        <v>267</v>
      </c>
      <c r="O594" s="9" t="s">
        <v>62</v>
      </c>
      <c r="P594" s="9" t="s">
        <v>2220</v>
      </c>
      <c r="Q594" s="9" t="s">
        <v>96</v>
      </c>
      <c r="R594" s="9" t="s">
        <v>57</v>
      </c>
      <c r="S594" s="9" t="s">
        <v>1215</v>
      </c>
      <c r="T594" s="170">
        <v>1.9019999999999999</v>
      </c>
      <c r="U594" s="9" t="s">
        <v>1615</v>
      </c>
      <c r="V594" s="199">
        <v>6.5000000000000002E-2</v>
      </c>
      <c r="W594" s="185">
        <v>7.0449999999999999E-2</v>
      </c>
      <c r="X594" s="5" t="s">
        <v>618</v>
      </c>
      <c r="Y594" s="5" t="s">
        <v>62</v>
      </c>
      <c r="Z594" s="170">
        <v>5000</v>
      </c>
      <c r="AA594" s="184">
        <v>3.3719999999999999</v>
      </c>
      <c r="AB594" s="186">
        <v>99.572999999999993</v>
      </c>
      <c r="AC594" s="9"/>
      <c r="AD594" s="170">
        <v>16.788</v>
      </c>
      <c r="AE594" s="9"/>
      <c r="AF594" s="9"/>
      <c r="AG594" s="9" t="s">
        <v>17</v>
      </c>
      <c r="AH594" s="185">
        <v>7.9999999999999996E-6</v>
      </c>
      <c r="AI594" s="185">
        <v>2.0828503209880801E-3</v>
      </c>
      <c r="AJ594" s="185">
        <v>4.3237228578918403E-4</v>
      </c>
    </row>
    <row r="595" spans="1:36">
      <c r="A595" s="9">
        <v>337</v>
      </c>
      <c r="B595" s="9">
        <v>9964</v>
      </c>
      <c r="C595" s="9" t="s">
        <v>1996</v>
      </c>
      <c r="D595" s="9" t="s">
        <v>1997</v>
      </c>
      <c r="E595" s="5" t="s">
        <v>1346</v>
      </c>
      <c r="F595" s="9" t="s">
        <v>2757</v>
      </c>
      <c r="G595" s="9" t="s">
        <v>2758</v>
      </c>
      <c r="H595" s="9" t="s">
        <v>76</v>
      </c>
      <c r="I595" s="9" t="s">
        <v>230</v>
      </c>
      <c r="J595" s="9" t="s">
        <v>61</v>
      </c>
      <c r="K595" s="9" t="s">
        <v>53</v>
      </c>
      <c r="L595" s="9" t="s">
        <v>803</v>
      </c>
      <c r="M595" s="9" t="s">
        <v>102</v>
      </c>
      <c r="N595" s="9" t="s">
        <v>256</v>
      </c>
      <c r="O595" s="9" t="s">
        <v>62</v>
      </c>
      <c r="P595" s="9" t="s">
        <v>2753</v>
      </c>
      <c r="Q595" s="9" t="s">
        <v>96</v>
      </c>
      <c r="R595" s="9" t="s">
        <v>57</v>
      </c>
      <c r="S595" s="9" t="s">
        <v>1215</v>
      </c>
      <c r="T595" s="170">
        <v>5.0060000000000002</v>
      </c>
      <c r="U595" s="9" t="s">
        <v>2759</v>
      </c>
      <c r="V595" s="199">
        <v>3.0769999999999999E-2</v>
      </c>
      <c r="W595" s="185">
        <v>6.2969999999999998E-2</v>
      </c>
      <c r="X595" s="5" t="s">
        <v>618</v>
      </c>
      <c r="Y595" s="5" t="s">
        <v>62</v>
      </c>
      <c r="Z595" s="170">
        <v>8000</v>
      </c>
      <c r="AA595" s="184">
        <v>3.3719999999999999</v>
      </c>
      <c r="AB595" s="186">
        <v>98.424999999999997</v>
      </c>
      <c r="AC595" s="9"/>
      <c r="AD595" s="170">
        <v>26.550999999999998</v>
      </c>
      <c r="AE595" s="9"/>
      <c r="AF595" s="9"/>
      <c r="AG595" s="9" t="s">
        <v>17</v>
      </c>
      <c r="AH595" s="185">
        <v>1.2999999999999999E-5</v>
      </c>
      <c r="AI595" s="185">
        <v>3.2941353492981899E-3</v>
      </c>
      <c r="AJ595" s="185">
        <v>6.8381909939612903E-4</v>
      </c>
    </row>
    <row r="596" spans="1:36">
      <c r="A596" s="9">
        <v>337</v>
      </c>
      <c r="B596" s="9">
        <v>9964</v>
      </c>
      <c r="C596" s="9" t="s">
        <v>1966</v>
      </c>
      <c r="D596" s="9" t="s">
        <v>1967</v>
      </c>
      <c r="E596" s="5" t="s">
        <v>1346</v>
      </c>
      <c r="F596" s="9" t="s">
        <v>2760</v>
      </c>
      <c r="G596" s="9" t="s">
        <v>2761</v>
      </c>
      <c r="H596" s="9" t="s">
        <v>76</v>
      </c>
      <c r="I596" s="9" t="s">
        <v>230</v>
      </c>
      <c r="J596" s="9" t="s">
        <v>61</v>
      </c>
      <c r="K596" s="9" t="s">
        <v>314</v>
      </c>
      <c r="L596" s="9" t="s">
        <v>803</v>
      </c>
      <c r="M596" s="9" t="s">
        <v>102</v>
      </c>
      <c r="N596" s="9" t="s">
        <v>85</v>
      </c>
      <c r="O596" s="9" t="s">
        <v>62</v>
      </c>
      <c r="P596" s="9" t="s">
        <v>2220</v>
      </c>
      <c r="Q596" s="9" t="s">
        <v>96</v>
      </c>
      <c r="R596" s="9" t="s">
        <v>57</v>
      </c>
      <c r="S596" s="9" t="s">
        <v>1239</v>
      </c>
      <c r="T596" s="170">
        <v>4.2009999999999996</v>
      </c>
      <c r="U596" s="9" t="s">
        <v>2762</v>
      </c>
      <c r="V596" s="199">
        <v>4.3749999999999997E-2</v>
      </c>
      <c r="W596" s="185">
        <v>4.0820000000000002E-2</v>
      </c>
      <c r="X596" s="5" t="s">
        <v>618</v>
      </c>
      <c r="Y596" s="5" t="s">
        <v>62</v>
      </c>
      <c r="Z596" s="170">
        <v>35000</v>
      </c>
      <c r="AA596" s="184">
        <v>3.9552</v>
      </c>
      <c r="AB596" s="186">
        <v>102.464</v>
      </c>
      <c r="AC596" s="9"/>
      <c r="AD596" s="170">
        <v>141.84299999999999</v>
      </c>
      <c r="AE596" s="9"/>
      <c r="AF596" s="9"/>
      <c r="AG596" s="9" t="s">
        <v>17</v>
      </c>
      <c r="AH596" s="185">
        <v>2.3E-5</v>
      </c>
      <c r="AI596" s="185">
        <v>1.7598136672632499E-2</v>
      </c>
      <c r="AJ596" s="185">
        <v>3.6531413237447501E-3</v>
      </c>
    </row>
    <row r="597" spans="1:36">
      <c r="A597" s="9">
        <v>337</v>
      </c>
      <c r="B597" s="9">
        <v>9964</v>
      </c>
      <c r="C597" s="9" t="s">
        <v>1966</v>
      </c>
      <c r="D597" s="9" t="s">
        <v>1967</v>
      </c>
      <c r="E597" s="5" t="s">
        <v>1346</v>
      </c>
      <c r="F597" s="9" t="s">
        <v>2763</v>
      </c>
      <c r="G597" s="9" t="s">
        <v>2764</v>
      </c>
      <c r="H597" s="9" t="s">
        <v>76</v>
      </c>
      <c r="I597" s="9" t="s">
        <v>230</v>
      </c>
      <c r="J597" s="9" t="s">
        <v>61</v>
      </c>
      <c r="K597" s="9" t="s">
        <v>314</v>
      </c>
      <c r="L597" s="9" t="s">
        <v>803</v>
      </c>
      <c r="M597" s="9" t="s">
        <v>102</v>
      </c>
      <c r="N597" s="9" t="s">
        <v>85</v>
      </c>
      <c r="O597" s="9" t="s">
        <v>62</v>
      </c>
      <c r="P597" s="9" t="s">
        <v>2220</v>
      </c>
      <c r="Q597" s="9" t="s">
        <v>96</v>
      </c>
      <c r="R597" s="9" t="s">
        <v>57</v>
      </c>
      <c r="S597" s="9" t="s">
        <v>1215</v>
      </c>
      <c r="T597" s="170">
        <v>3.3149999999999999</v>
      </c>
      <c r="U597" s="9" t="s">
        <v>2765</v>
      </c>
      <c r="V597" s="199">
        <v>5.1249999999999997E-2</v>
      </c>
      <c r="W597" s="185">
        <v>5.0509999999999999E-2</v>
      </c>
      <c r="X597" s="5" t="s">
        <v>618</v>
      </c>
      <c r="Y597" s="5" t="s">
        <v>62</v>
      </c>
      <c r="Z597" s="170">
        <v>31000</v>
      </c>
      <c r="AA597" s="184">
        <v>3.3719999999999999</v>
      </c>
      <c r="AB597" s="186">
        <v>102.14700000000001</v>
      </c>
      <c r="AC597" s="9"/>
      <c r="AD597" s="170">
        <v>106.777</v>
      </c>
      <c r="AE597" s="9"/>
      <c r="AF597" s="9"/>
      <c r="AG597" s="9" t="s">
        <v>17</v>
      </c>
      <c r="AH597" s="185">
        <v>3.1000000000000001E-5</v>
      </c>
      <c r="AI597" s="185">
        <v>1.3247526332437099E-2</v>
      </c>
      <c r="AJ597" s="185">
        <v>2.7500119349387498E-3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7CF36E17-1830-4527-AB91-B23899D79E4A}">
      <formula1>israel_abroad</formula1>
    </dataValidation>
    <dataValidation type="list" allowBlank="1" showInputMessage="1" showErrorMessage="1" sqref="O2:O20" xr:uid="{595B51E6-9BB4-4FAF-BEB8-CC185FC6B3E3}">
      <formula1>Holding_interest</formula1>
    </dataValidation>
    <dataValidation type="list" allowBlank="1" showInputMessage="1" showErrorMessage="1" sqref="Q2:Q20 P10 P20 P28 P32 P46:P48 P62 P65 P78 P112 P143 P153:P154 P158 P175 P180 P185 P193 P206:P208 P210 P225:P227 P233 P235 P251:P252 P280:P281 P313 P329 P339 P347 P360:P361 P363 P377 P387 P414:P415 P474 P482 P496:P498 P509 P516 P528:P529 P560 P590" xr:uid="{39DD38E5-08F2-4386-8AC5-2415C26A71DB}">
      <formula1>Rating_Agency</formula1>
    </dataValidation>
    <dataValidation type="list" allowBlank="1" showInputMessage="1" showErrorMessage="1" sqref="R2:R20" xr:uid="{D6922316-6B08-42DF-B920-F1EEE3047C24}">
      <formula1>What_is_rated</formula1>
    </dataValidation>
    <dataValidation type="list" allowBlank="1" showInputMessage="1" showErrorMessage="1" sqref="X2:X20" xr:uid="{21A31CEF-D082-4187-BF94-FE83A726A9C0}">
      <formula1>Subordination_Risk</formula1>
    </dataValidation>
    <dataValidation type="list" allowBlank="1" showInputMessage="1" showErrorMessage="1" sqref="AG2:AG5 AG8:AG19" xr:uid="{91D03242-4E76-43D6-90C5-702AA9176BB2}">
      <formula1>In_the_books</formula1>
    </dataValidation>
    <dataValidation type="list" allowBlank="1" showInputMessage="1" showErrorMessage="1" sqref="K2:K20" xr:uid="{03B61ECF-DA02-494A-ABEA-C2E00EEAA66C}">
      <formula1>Country_list</formula1>
    </dataValidation>
    <dataValidation type="list" allowBlank="1" showInputMessage="1" showErrorMessage="1" sqref="Y2:Y20" xr:uid="{D3C47769-C101-4E40-B5E3-CC3FF275B197}">
      <formula1>Yes_No_Bad_Debt</formula1>
    </dataValidation>
    <dataValidation type="list" allowBlank="1" showInputMessage="1" showErrorMessage="1" sqref="H3:H20" xr:uid="{DEEC6B52-26BD-4F55-A23B-879B12460CD2}">
      <formula1>Type_of_Security_ID_Fund</formula1>
    </dataValidation>
    <dataValidation type="list" allowBlank="1" showInputMessage="1" showErrorMessage="1" sqref="E2:E20" xr:uid="{45955CF8-AA46-4B6C-928A-B7FE6EC7D417}">
      <formula1>Issuer_Number_Type_2</formula1>
    </dataValidation>
    <dataValidation type="list" allowBlank="1" showInputMessage="1" showErrorMessage="1" sqref="H2" xr:uid="{F06D62C4-C5F8-4B0B-AD1A-0805DA409829}">
      <formula1>Security_ID_Number_Type</formula1>
    </dataValidation>
    <dataValidation type="list" allowBlank="1" showInputMessage="1" showErrorMessage="1" sqref="N3:N20" xr:uid="{AC6FA706-3B70-4A8E-86A1-DB97BC08CE55}">
      <formula1>Industry_Sector</formula1>
    </dataValidation>
    <dataValidation type="list" allowBlank="1" showInputMessage="1" showErrorMessage="1" sqref="L2:L20" xr:uid="{C3F07267-C06F-457F-93E4-6896BBEBACEC}">
      <formula1>Tradeable_Status</formula1>
    </dataValidation>
    <dataValidation type="list" allowBlank="1" showInputMessage="1" showErrorMessage="1" sqref="M2:M20" xr:uid="{5BCEF714-CB29-4F64-9B65-E6049397C8F7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47"/>
  <sheetViews>
    <sheetView rightToLeft="1" workbookViewId="0">
      <selection activeCell="C1" sqref="C1:C1048576"/>
    </sheetView>
  </sheetViews>
  <sheetFormatPr defaultColWidth="0" defaultRowHeight="14.25" zeroHeight="1"/>
  <cols>
    <col min="1" max="2" width="11.625" style="5" customWidth="1"/>
    <col min="3" max="3" width="24.625" style="5" customWidth="1"/>
    <col min="4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16384" width="0" style="5" hidden="1"/>
  </cols>
  <sheetData>
    <row r="1" spans="1:24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5</v>
      </c>
      <c r="N1" s="22" t="s">
        <v>9</v>
      </c>
      <c r="O1" s="22" t="s">
        <v>604</v>
      </c>
      <c r="P1" s="22" t="s">
        <v>396</v>
      </c>
      <c r="Q1" s="22" t="s">
        <v>771</v>
      </c>
      <c r="R1" s="22" t="s">
        <v>11</v>
      </c>
      <c r="S1" s="22" t="s">
        <v>15</v>
      </c>
      <c r="T1" s="22" t="s">
        <v>936</v>
      </c>
      <c r="U1" s="22" t="s">
        <v>1151</v>
      </c>
      <c r="V1" s="22" t="s">
        <v>18</v>
      </c>
      <c r="W1" s="22" t="s">
        <v>19</v>
      </c>
      <c r="X1" s="22" t="s">
        <v>30</v>
      </c>
    </row>
    <row r="2" spans="1:24">
      <c r="A2" s="168">
        <v>337</v>
      </c>
      <c r="B2" s="168">
        <v>1477</v>
      </c>
      <c r="C2" s="168" t="s">
        <v>1822</v>
      </c>
      <c r="D2" s="168" t="s">
        <v>1823</v>
      </c>
      <c r="E2" s="168" t="s">
        <v>1346</v>
      </c>
      <c r="F2" s="168" t="s">
        <v>1824</v>
      </c>
      <c r="G2" s="168" t="s">
        <v>1825</v>
      </c>
      <c r="H2" s="168" t="s">
        <v>76</v>
      </c>
      <c r="I2" s="168" t="s">
        <v>73</v>
      </c>
      <c r="J2" s="168" t="s">
        <v>53</v>
      </c>
      <c r="K2" s="168" t="s">
        <v>53</v>
      </c>
      <c r="L2" s="167" t="s">
        <v>803</v>
      </c>
      <c r="M2" s="168" t="s">
        <v>311</v>
      </c>
      <c r="N2" s="167" t="s">
        <v>156</v>
      </c>
      <c r="O2" s="167" t="s">
        <v>62</v>
      </c>
      <c r="P2" s="168" t="s">
        <v>1259</v>
      </c>
      <c r="Q2" s="188">
        <v>2712</v>
      </c>
      <c r="R2" s="189">
        <v>1</v>
      </c>
      <c r="S2" s="187">
        <v>4100</v>
      </c>
      <c r="T2" s="167"/>
      <c r="U2" s="188">
        <v>111.19199999999999</v>
      </c>
      <c r="V2" s="190">
        <v>1.0000000000000001E-5</v>
      </c>
      <c r="W2" s="190">
        <v>1.46674204239847E-2</v>
      </c>
      <c r="X2" s="190">
        <v>6.3998266587474203E-3</v>
      </c>
    </row>
    <row r="3" spans="1:24">
      <c r="A3" s="168">
        <v>337</v>
      </c>
      <c r="B3" s="168">
        <v>1477</v>
      </c>
      <c r="C3" s="168" t="s">
        <v>1826</v>
      </c>
      <c r="D3" s="168" t="s">
        <v>1827</v>
      </c>
      <c r="E3" s="168" t="s">
        <v>429</v>
      </c>
      <c r="F3" s="168" t="s">
        <v>1828</v>
      </c>
      <c r="G3" s="168" t="s">
        <v>1829</v>
      </c>
      <c r="H3" s="168" t="s">
        <v>76</v>
      </c>
      <c r="I3" s="168" t="s">
        <v>73</v>
      </c>
      <c r="J3" s="168" t="s">
        <v>53</v>
      </c>
      <c r="K3" s="168" t="s">
        <v>314</v>
      </c>
      <c r="L3" s="167" t="s">
        <v>803</v>
      </c>
      <c r="M3" s="168" t="s">
        <v>311</v>
      </c>
      <c r="N3" s="167" t="s">
        <v>629</v>
      </c>
      <c r="O3" s="167" t="s">
        <v>62</v>
      </c>
      <c r="P3" s="168" t="s">
        <v>1259</v>
      </c>
      <c r="Q3" s="188">
        <v>425</v>
      </c>
      <c r="R3" s="189">
        <v>1</v>
      </c>
      <c r="S3" s="187">
        <v>27780</v>
      </c>
      <c r="T3" s="167"/>
      <c r="U3" s="188">
        <v>118.065</v>
      </c>
      <c r="V3" s="190">
        <v>6.9999999999999999E-6</v>
      </c>
      <c r="W3" s="190">
        <v>1.55740430278954E-2</v>
      </c>
      <c r="X3" s="190">
        <v>6.79541274970334E-3</v>
      </c>
    </row>
    <row r="4" spans="1:24">
      <c r="A4" s="168">
        <v>337</v>
      </c>
      <c r="B4" s="168">
        <v>1477</v>
      </c>
      <c r="C4" s="168" t="s">
        <v>1830</v>
      </c>
      <c r="D4" s="168" t="s">
        <v>1831</v>
      </c>
      <c r="E4" s="168" t="s">
        <v>1346</v>
      </c>
      <c r="F4" s="168" t="s">
        <v>1832</v>
      </c>
      <c r="G4" s="168" t="s">
        <v>1833</v>
      </c>
      <c r="H4" s="168" t="s">
        <v>76</v>
      </c>
      <c r="I4" s="168" t="s">
        <v>73</v>
      </c>
      <c r="J4" s="168" t="s">
        <v>53</v>
      </c>
      <c r="K4" s="168" t="s">
        <v>53</v>
      </c>
      <c r="L4" s="167" t="s">
        <v>803</v>
      </c>
      <c r="M4" s="168" t="s">
        <v>311</v>
      </c>
      <c r="N4" s="167" t="s">
        <v>140</v>
      </c>
      <c r="O4" s="167" t="s">
        <v>62</v>
      </c>
      <c r="P4" s="168" t="s">
        <v>1259</v>
      </c>
      <c r="Q4" s="188">
        <v>366</v>
      </c>
      <c r="R4" s="189">
        <v>1</v>
      </c>
      <c r="S4" s="187">
        <v>2366</v>
      </c>
      <c r="T4" s="167"/>
      <c r="U4" s="188">
        <v>8.66</v>
      </c>
      <c r="V4" s="190">
        <v>1.9999999999999999E-6</v>
      </c>
      <c r="W4" s="190">
        <v>1.1422890784114001E-3</v>
      </c>
      <c r="X4" s="190">
        <v>4.9841430085818003E-4</v>
      </c>
    </row>
    <row r="5" spans="1:24">
      <c r="A5" s="168">
        <v>337</v>
      </c>
      <c r="B5" s="168">
        <v>1477</v>
      </c>
      <c r="C5" s="168" t="s">
        <v>1834</v>
      </c>
      <c r="D5" s="168" t="s">
        <v>1835</v>
      </c>
      <c r="E5" s="168" t="s">
        <v>1346</v>
      </c>
      <c r="F5" s="168" t="s">
        <v>1836</v>
      </c>
      <c r="G5" s="168" t="s">
        <v>1837</v>
      </c>
      <c r="H5" s="168" t="s">
        <v>76</v>
      </c>
      <c r="I5" s="168" t="s">
        <v>73</v>
      </c>
      <c r="J5" s="168" t="s">
        <v>53</v>
      </c>
      <c r="K5" s="168" t="s">
        <v>53</v>
      </c>
      <c r="L5" s="167" t="s">
        <v>803</v>
      </c>
      <c r="M5" s="168" t="s">
        <v>311</v>
      </c>
      <c r="N5" s="167" t="s">
        <v>265</v>
      </c>
      <c r="O5" s="167" t="s">
        <v>62</v>
      </c>
      <c r="P5" s="168" t="s">
        <v>1259</v>
      </c>
      <c r="Q5" s="188">
        <v>6841</v>
      </c>
      <c r="R5" s="189">
        <v>1</v>
      </c>
      <c r="S5" s="187">
        <v>2309</v>
      </c>
      <c r="T5" s="167"/>
      <c r="U5" s="188">
        <v>157.959</v>
      </c>
      <c r="V5" s="190">
        <v>5.0000000000000004E-6</v>
      </c>
      <c r="W5" s="190">
        <v>2.0836449707279901E-2</v>
      </c>
      <c r="X5" s="190">
        <v>9.0915554648069892E-3</v>
      </c>
    </row>
    <row r="6" spans="1:24">
      <c r="A6" s="168">
        <v>337</v>
      </c>
      <c r="B6" s="168">
        <v>1477</v>
      </c>
      <c r="C6" s="168" t="s">
        <v>1838</v>
      </c>
      <c r="D6" s="168" t="s">
        <v>1839</v>
      </c>
      <c r="E6" s="168" t="s">
        <v>1346</v>
      </c>
      <c r="F6" s="168" t="s">
        <v>1840</v>
      </c>
      <c r="G6" s="168" t="s">
        <v>1841</v>
      </c>
      <c r="H6" s="168" t="s">
        <v>76</v>
      </c>
      <c r="I6" s="168" t="s">
        <v>73</v>
      </c>
      <c r="J6" s="168" t="s">
        <v>53</v>
      </c>
      <c r="K6" s="168" t="s">
        <v>53</v>
      </c>
      <c r="L6" s="167" t="s">
        <v>803</v>
      </c>
      <c r="M6" s="168" t="s">
        <v>311</v>
      </c>
      <c r="N6" s="167" t="s">
        <v>263</v>
      </c>
      <c r="O6" s="167" t="s">
        <v>62</v>
      </c>
      <c r="P6" s="168" t="s">
        <v>1259</v>
      </c>
      <c r="Q6" s="188">
        <v>1000</v>
      </c>
      <c r="R6" s="189">
        <v>1</v>
      </c>
      <c r="S6" s="187">
        <v>2100</v>
      </c>
      <c r="T6" s="167"/>
      <c r="U6" s="188">
        <v>21</v>
      </c>
      <c r="V6" s="190">
        <v>6.9999999999999999E-6</v>
      </c>
      <c r="W6" s="190">
        <v>2.7701258085444801E-3</v>
      </c>
      <c r="X6" s="190">
        <v>1.2086873141385699E-3</v>
      </c>
    </row>
    <row r="7" spans="1:24">
      <c r="A7" s="168">
        <v>337</v>
      </c>
      <c r="B7" s="168">
        <v>1477</v>
      </c>
      <c r="C7" s="168" t="s">
        <v>1842</v>
      </c>
      <c r="D7" s="168" t="s">
        <v>1843</v>
      </c>
      <c r="E7" s="168" t="s">
        <v>1346</v>
      </c>
      <c r="F7" s="168" t="s">
        <v>1844</v>
      </c>
      <c r="G7" s="168" t="s">
        <v>1845</v>
      </c>
      <c r="H7" s="168" t="s">
        <v>76</v>
      </c>
      <c r="I7" s="168" t="s">
        <v>73</v>
      </c>
      <c r="J7" s="168" t="s">
        <v>53</v>
      </c>
      <c r="K7" s="168" t="s">
        <v>53</v>
      </c>
      <c r="L7" s="167" t="s">
        <v>803</v>
      </c>
      <c r="M7" s="168" t="s">
        <v>311</v>
      </c>
      <c r="N7" s="167" t="s">
        <v>259</v>
      </c>
      <c r="O7" s="167" t="s">
        <v>62</v>
      </c>
      <c r="P7" s="168" t="s">
        <v>1259</v>
      </c>
      <c r="Q7" s="188">
        <v>113</v>
      </c>
      <c r="R7" s="189">
        <v>1</v>
      </c>
      <c r="S7" s="187">
        <v>10930</v>
      </c>
      <c r="T7" s="167"/>
      <c r="U7" s="188">
        <v>12.351000000000001</v>
      </c>
      <c r="V7" s="190">
        <v>6.0000000000000002E-6</v>
      </c>
      <c r="W7" s="190">
        <v>1.62921651660724E-3</v>
      </c>
      <c r="X7" s="190">
        <v>7.1087505467590695E-4</v>
      </c>
    </row>
    <row r="8" spans="1:24">
      <c r="A8" s="168">
        <v>337</v>
      </c>
      <c r="B8" s="168">
        <v>1477</v>
      </c>
      <c r="C8" s="168" t="s">
        <v>1846</v>
      </c>
      <c r="D8" s="168" t="s">
        <v>1847</v>
      </c>
      <c r="E8" s="168" t="s">
        <v>1346</v>
      </c>
      <c r="F8" s="168" t="s">
        <v>1848</v>
      </c>
      <c r="G8" s="168" t="s">
        <v>1849</v>
      </c>
      <c r="H8" s="168" t="s">
        <v>76</v>
      </c>
      <c r="I8" s="168" t="s">
        <v>73</v>
      </c>
      <c r="J8" s="168" t="s">
        <v>53</v>
      </c>
      <c r="K8" s="168" t="s">
        <v>53</v>
      </c>
      <c r="L8" s="167" t="s">
        <v>803</v>
      </c>
      <c r="M8" s="168" t="s">
        <v>311</v>
      </c>
      <c r="N8" s="167" t="s">
        <v>636</v>
      </c>
      <c r="O8" s="167" t="s">
        <v>62</v>
      </c>
      <c r="P8" s="168" t="s">
        <v>1259</v>
      </c>
      <c r="Q8" s="188">
        <v>194</v>
      </c>
      <c r="R8" s="189">
        <v>1</v>
      </c>
      <c r="S8" s="187">
        <v>149800</v>
      </c>
      <c r="T8" s="172">
        <v>0.41</v>
      </c>
      <c r="U8" s="188">
        <v>291.02199999999999</v>
      </c>
      <c r="V8" s="190">
        <v>3.9999999999999998E-6</v>
      </c>
      <c r="W8" s="190">
        <v>3.8388971990153897E-2</v>
      </c>
      <c r="X8" s="190">
        <v>1.6750236868014402E-2</v>
      </c>
    </row>
    <row r="9" spans="1:24">
      <c r="A9" s="168">
        <v>337</v>
      </c>
      <c r="B9" s="168">
        <v>1477</v>
      </c>
      <c r="C9" s="168" t="s">
        <v>1850</v>
      </c>
      <c r="D9" s="168" t="s">
        <v>1851</v>
      </c>
      <c r="E9" s="168" t="s">
        <v>1346</v>
      </c>
      <c r="F9" s="168" t="s">
        <v>1852</v>
      </c>
      <c r="G9" s="168" t="s">
        <v>1853</v>
      </c>
      <c r="H9" s="168" t="s">
        <v>76</v>
      </c>
      <c r="I9" s="168" t="s">
        <v>73</v>
      </c>
      <c r="J9" s="168" t="s">
        <v>53</v>
      </c>
      <c r="K9" s="168" t="s">
        <v>53</v>
      </c>
      <c r="L9" s="167" t="s">
        <v>803</v>
      </c>
      <c r="M9" s="168" t="s">
        <v>311</v>
      </c>
      <c r="N9" s="167" t="s">
        <v>633</v>
      </c>
      <c r="O9" s="167" t="s">
        <v>62</v>
      </c>
      <c r="P9" s="168" t="s">
        <v>1259</v>
      </c>
      <c r="Q9" s="188">
        <v>1419</v>
      </c>
      <c r="R9" s="189">
        <v>1</v>
      </c>
      <c r="S9" s="187">
        <v>3489</v>
      </c>
      <c r="T9" s="167"/>
      <c r="U9" s="188">
        <v>49.509</v>
      </c>
      <c r="V9" s="190">
        <v>6.9999999999999999E-6</v>
      </c>
      <c r="W9" s="190">
        <v>6.5307575878050398E-3</v>
      </c>
      <c r="X9" s="190">
        <v>2.8495614978013401E-3</v>
      </c>
    </row>
    <row r="10" spans="1:24">
      <c r="A10" s="168">
        <v>337</v>
      </c>
      <c r="B10" s="168">
        <v>1477</v>
      </c>
      <c r="C10" s="168" t="s">
        <v>1854</v>
      </c>
      <c r="D10" s="168" t="s">
        <v>1855</v>
      </c>
      <c r="E10" s="168" t="s">
        <v>1346</v>
      </c>
      <c r="F10" s="168" t="s">
        <v>1856</v>
      </c>
      <c r="G10" s="168" t="s">
        <v>1857</v>
      </c>
      <c r="H10" s="168" t="s">
        <v>76</v>
      </c>
      <c r="I10" s="168" t="s">
        <v>73</v>
      </c>
      <c r="J10" s="168" t="s">
        <v>53</v>
      </c>
      <c r="K10" s="168" t="s">
        <v>53</v>
      </c>
      <c r="L10" s="167" t="s">
        <v>803</v>
      </c>
      <c r="M10" s="168" t="s">
        <v>311</v>
      </c>
      <c r="N10" s="167" t="s">
        <v>634</v>
      </c>
      <c r="O10" s="167" t="s">
        <v>62</v>
      </c>
      <c r="P10" s="168" t="s">
        <v>1259</v>
      </c>
      <c r="Q10" s="188">
        <v>830</v>
      </c>
      <c r="R10" s="189">
        <v>1</v>
      </c>
      <c r="S10" s="187">
        <v>5007</v>
      </c>
      <c r="T10" s="167"/>
      <c r="U10" s="188">
        <v>41.558</v>
      </c>
      <c r="V10" s="190">
        <v>1.2999999999999999E-5</v>
      </c>
      <c r="W10" s="190">
        <v>5.4819602554320203E-3</v>
      </c>
      <c r="X10" s="190">
        <v>2.39194039379534E-3</v>
      </c>
    </row>
    <row r="11" spans="1:24">
      <c r="A11" s="168">
        <v>337</v>
      </c>
      <c r="B11" s="168">
        <v>1477</v>
      </c>
      <c r="C11" s="168" t="s">
        <v>1858</v>
      </c>
      <c r="D11" s="168" t="s">
        <v>1859</v>
      </c>
      <c r="E11" s="168" t="s">
        <v>1346</v>
      </c>
      <c r="F11" s="168" t="s">
        <v>1860</v>
      </c>
      <c r="G11" s="168" t="s">
        <v>1861</v>
      </c>
      <c r="H11" s="168" t="s">
        <v>76</v>
      </c>
      <c r="I11" s="168" t="s">
        <v>73</v>
      </c>
      <c r="J11" s="168" t="s">
        <v>53</v>
      </c>
      <c r="K11" s="168" t="s">
        <v>53</v>
      </c>
      <c r="L11" s="167" t="s">
        <v>803</v>
      </c>
      <c r="M11" s="168" t="s">
        <v>311</v>
      </c>
      <c r="N11" s="167" t="s">
        <v>633</v>
      </c>
      <c r="O11" s="167" t="s">
        <v>62</v>
      </c>
      <c r="P11" s="168" t="s">
        <v>1259</v>
      </c>
      <c r="Q11" s="188">
        <v>1801</v>
      </c>
      <c r="R11" s="189">
        <v>1</v>
      </c>
      <c r="S11" s="187">
        <v>2281</v>
      </c>
      <c r="T11" s="167"/>
      <c r="U11" s="188">
        <v>41.081000000000003</v>
      </c>
      <c r="V11" s="190">
        <v>3.9999999999999998E-6</v>
      </c>
      <c r="W11" s="190">
        <v>5.4190005722339098E-3</v>
      </c>
      <c r="X11" s="190">
        <v>2.3644692334065199E-3</v>
      </c>
    </row>
    <row r="12" spans="1:24">
      <c r="A12" s="168">
        <v>337</v>
      </c>
      <c r="B12" s="168">
        <v>1477</v>
      </c>
      <c r="C12" s="168" t="s">
        <v>1862</v>
      </c>
      <c r="D12" s="168" t="s">
        <v>1863</v>
      </c>
      <c r="E12" s="168" t="s">
        <v>1346</v>
      </c>
      <c r="F12" s="168" t="s">
        <v>1864</v>
      </c>
      <c r="G12" s="168" t="s">
        <v>1865</v>
      </c>
      <c r="H12" s="168" t="s">
        <v>76</v>
      </c>
      <c r="I12" s="168" t="s">
        <v>73</v>
      </c>
      <c r="J12" s="168" t="s">
        <v>53</v>
      </c>
      <c r="K12" s="168" t="s">
        <v>314</v>
      </c>
      <c r="L12" s="167" t="s">
        <v>803</v>
      </c>
      <c r="M12" s="168" t="s">
        <v>311</v>
      </c>
      <c r="N12" s="167" t="s">
        <v>629</v>
      </c>
      <c r="O12" s="167" t="s">
        <v>62</v>
      </c>
      <c r="P12" s="168" t="s">
        <v>1259</v>
      </c>
      <c r="Q12" s="188">
        <v>1959.3</v>
      </c>
      <c r="R12" s="189">
        <v>1</v>
      </c>
      <c r="S12" s="187">
        <v>7640</v>
      </c>
      <c r="T12" s="167"/>
      <c r="U12" s="188">
        <v>149.691</v>
      </c>
      <c r="V12" s="190">
        <v>1.5999999999999999E-5</v>
      </c>
      <c r="W12" s="190">
        <v>1.9745789178402098E-2</v>
      </c>
      <c r="X12" s="190">
        <v>8.6156682176574198E-3</v>
      </c>
    </row>
    <row r="13" spans="1:24">
      <c r="A13" s="168">
        <v>337</v>
      </c>
      <c r="B13" s="168">
        <v>1477</v>
      </c>
      <c r="C13" s="168" t="s">
        <v>1866</v>
      </c>
      <c r="D13" s="168" t="s">
        <v>1867</v>
      </c>
      <c r="E13" s="168" t="s">
        <v>429</v>
      </c>
      <c r="F13" s="168" t="s">
        <v>1868</v>
      </c>
      <c r="G13" s="168" t="s">
        <v>1869</v>
      </c>
      <c r="H13" s="168" t="s">
        <v>76</v>
      </c>
      <c r="I13" s="168" t="s">
        <v>73</v>
      </c>
      <c r="J13" s="168" t="s">
        <v>53</v>
      </c>
      <c r="K13" s="168" t="s">
        <v>315</v>
      </c>
      <c r="L13" s="167" t="s">
        <v>803</v>
      </c>
      <c r="M13" s="168" t="s">
        <v>311</v>
      </c>
      <c r="N13" s="167" t="s">
        <v>267</v>
      </c>
      <c r="O13" s="167" t="s">
        <v>62</v>
      </c>
      <c r="P13" s="168" t="s">
        <v>1259</v>
      </c>
      <c r="Q13" s="188">
        <v>2500</v>
      </c>
      <c r="R13" s="189">
        <v>1</v>
      </c>
      <c r="S13" s="187">
        <v>4272</v>
      </c>
      <c r="T13" s="172">
        <v>2.5289999999999999</v>
      </c>
      <c r="U13" s="188">
        <v>109.32899999999999</v>
      </c>
      <c r="V13" s="190">
        <v>1.4E-5</v>
      </c>
      <c r="W13" s="190">
        <v>1.44216706915409E-2</v>
      </c>
      <c r="X13" s="190">
        <v>6.2925988270217002E-3</v>
      </c>
    </row>
    <row r="14" spans="1:24">
      <c r="A14" s="168">
        <v>337</v>
      </c>
      <c r="B14" s="168">
        <v>1477</v>
      </c>
      <c r="C14" s="168" t="s">
        <v>1870</v>
      </c>
      <c r="D14" s="168" t="s">
        <v>1871</v>
      </c>
      <c r="E14" s="168" t="s">
        <v>1346</v>
      </c>
      <c r="F14" s="168" t="s">
        <v>1872</v>
      </c>
      <c r="G14" s="168" t="s">
        <v>1873</v>
      </c>
      <c r="H14" s="168" t="s">
        <v>76</v>
      </c>
      <c r="I14" s="168" t="s">
        <v>73</v>
      </c>
      <c r="J14" s="168" t="s">
        <v>53</v>
      </c>
      <c r="K14" s="168" t="s">
        <v>53</v>
      </c>
      <c r="L14" s="167" t="s">
        <v>803</v>
      </c>
      <c r="M14" s="168" t="s">
        <v>311</v>
      </c>
      <c r="N14" s="167" t="s">
        <v>629</v>
      </c>
      <c r="O14" s="167" t="s">
        <v>62</v>
      </c>
      <c r="P14" s="168" t="s">
        <v>1259</v>
      </c>
      <c r="Q14" s="188">
        <v>1846</v>
      </c>
      <c r="R14" s="189">
        <v>1</v>
      </c>
      <c r="S14" s="187">
        <v>1244</v>
      </c>
      <c r="T14" s="167"/>
      <c r="U14" s="188">
        <v>22.963999999999999</v>
      </c>
      <c r="V14" s="190">
        <v>3.0000000000000001E-6</v>
      </c>
      <c r="W14" s="190">
        <v>3.0292301856004499E-3</v>
      </c>
      <c r="X14" s="190">
        <v>1.3217421698492101E-3</v>
      </c>
    </row>
    <row r="15" spans="1:24">
      <c r="A15" s="168">
        <v>337</v>
      </c>
      <c r="B15" s="168">
        <v>1477</v>
      </c>
      <c r="C15" s="168" t="s">
        <v>1874</v>
      </c>
      <c r="D15" s="168" t="s">
        <v>1875</v>
      </c>
      <c r="E15" s="168" t="s">
        <v>1346</v>
      </c>
      <c r="F15" s="168" t="s">
        <v>1876</v>
      </c>
      <c r="G15" s="168" t="s">
        <v>1877</v>
      </c>
      <c r="H15" s="168" t="s">
        <v>76</v>
      </c>
      <c r="I15" s="168" t="s">
        <v>73</v>
      </c>
      <c r="J15" s="168" t="s">
        <v>53</v>
      </c>
      <c r="K15" s="168" t="s">
        <v>53</v>
      </c>
      <c r="L15" s="167" t="s">
        <v>803</v>
      </c>
      <c r="M15" s="168" t="s">
        <v>311</v>
      </c>
      <c r="N15" s="167" t="s">
        <v>140</v>
      </c>
      <c r="O15" s="167" t="s">
        <v>62</v>
      </c>
      <c r="P15" s="168" t="s">
        <v>1259</v>
      </c>
      <c r="Q15" s="188">
        <v>43</v>
      </c>
      <c r="R15" s="189">
        <v>1</v>
      </c>
      <c r="S15" s="187">
        <v>30100</v>
      </c>
      <c r="T15" s="167"/>
      <c r="U15" s="188">
        <v>12.943</v>
      </c>
      <c r="V15" s="190">
        <v>3.0000000000000001E-6</v>
      </c>
      <c r="W15" s="190">
        <v>1.7073208733329099E-3</v>
      </c>
      <c r="X15" s="190">
        <v>7.44954281280738E-4</v>
      </c>
    </row>
    <row r="16" spans="1:24">
      <c r="A16" s="168">
        <v>337</v>
      </c>
      <c r="B16" s="168">
        <v>1477</v>
      </c>
      <c r="C16" s="168" t="s">
        <v>1878</v>
      </c>
      <c r="D16" s="168" t="s">
        <v>1879</v>
      </c>
      <c r="E16" s="168" t="s">
        <v>765</v>
      </c>
      <c r="F16" s="168" t="s">
        <v>1878</v>
      </c>
      <c r="G16" s="168" t="s">
        <v>1880</v>
      </c>
      <c r="H16" s="168" t="s">
        <v>76</v>
      </c>
      <c r="I16" s="168" t="s">
        <v>73</v>
      </c>
      <c r="J16" s="168" t="s">
        <v>53</v>
      </c>
      <c r="K16" s="168" t="s">
        <v>153</v>
      </c>
      <c r="L16" s="167" t="s">
        <v>803</v>
      </c>
      <c r="M16" s="168" t="s">
        <v>311</v>
      </c>
      <c r="N16" s="167" t="s">
        <v>634</v>
      </c>
      <c r="O16" s="167" t="s">
        <v>62</v>
      </c>
      <c r="P16" s="168" t="s">
        <v>1259</v>
      </c>
      <c r="Q16" s="188">
        <v>695</v>
      </c>
      <c r="R16" s="189">
        <v>1</v>
      </c>
      <c r="S16" s="187">
        <v>12250</v>
      </c>
      <c r="T16" s="167"/>
      <c r="U16" s="188">
        <v>85.138000000000005</v>
      </c>
      <c r="V16" s="190">
        <v>3.1999999999999999E-5</v>
      </c>
      <c r="W16" s="190">
        <v>1.12305517154741E-2</v>
      </c>
      <c r="X16" s="190">
        <v>4.9002198194034504E-3</v>
      </c>
    </row>
    <row r="17" spans="1:24">
      <c r="A17" s="168">
        <v>337</v>
      </c>
      <c r="B17" s="168">
        <v>1477</v>
      </c>
      <c r="C17" s="168" t="s">
        <v>1881</v>
      </c>
      <c r="D17" s="168" t="s">
        <v>1882</v>
      </c>
      <c r="E17" s="168" t="s">
        <v>1346</v>
      </c>
      <c r="F17" s="168" t="s">
        <v>1883</v>
      </c>
      <c r="G17" s="168" t="s">
        <v>1884</v>
      </c>
      <c r="H17" s="168" t="s">
        <v>76</v>
      </c>
      <c r="I17" s="168" t="s">
        <v>73</v>
      </c>
      <c r="J17" s="168" t="s">
        <v>53</v>
      </c>
      <c r="K17" s="168" t="s">
        <v>53</v>
      </c>
      <c r="L17" s="167" t="s">
        <v>803</v>
      </c>
      <c r="M17" s="168" t="s">
        <v>311</v>
      </c>
      <c r="N17" s="167" t="s">
        <v>140</v>
      </c>
      <c r="O17" s="167" t="s">
        <v>62</v>
      </c>
      <c r="P17" s="168" t="s">
        <v>1259</v>
      </c>
      <c r="Q17" s="188">
        <v>1600</v>
      </c>
      <c r="R17" s="189">
        <v>1</v>
      </c>
      <c r="S17" s="187">
        <v>7670</v>
      </c>
      <c r="T17" s="167"/>
      <c r="U17" s="188">
        <v>122.72</v>
      </c>
      <c r="V17" s="190">
        <v>1.4E-5</v>
      </c>
      <c r="W17" s="190">
        <v>1.6188087582122802E-2</v>
      </c>
      <c r="X17" s="190">
        <v>7.0633384376707197E-3</v>
      </c>
    </row>
    <row r="18" spans="1:24">
      <c r="A18" s="168">
        <v>337</v>
      </c>
      <c r="B18" s="168">
        <v>1477</v>
      </c>
      <c r="C18" s="168" t="s">
        <v>1885</v>
      </c>
      <c r="D18" s="168" t="s">
        <v>1886</v>
      </c>
      <c r="E18" s="168" t="s">
        <v>1346</v>
      </c>
      <c r="F18" s="168" t="s">
        <v>1887</v>
      </c>
      <c r="G18" s="168" t="s">
        <v>1888</v>
      </c>
      <c r="H18" s="168" t="s">
        <v>76</v>
      </c>
      <c r="I18" s="168" t="s">
        <v>73</v>
      </c>
      <c r="J18" s="168" t="s">
        <v>53</v>
      </c>
      <c r="K18" s="168" t="s">
        <v>53</v>
      </c>
      <c r="L18" s="167" t="s">
        <v>803</v>
      </c>
      <c r="M18" s="168" t="s">
        <v>311</v>
      </c>
      <c r="N18" s="167" t="s">
        <v>260</v>
      </c>
      <c r="O18" s="167" t="s">
        <v>62</v>
      </c>
      <c r="P18" s="168" t="s">
        <v>1259</v>
      </c>
      <c r="Q18" s="188">
        <v>25108</v>
      </c>
      <c r="R18" s="189">
        <v>1</v>
      </c>
      <c r="S18" s="187">
        <v>575</v>
      </c>
      <c r="T18" s="167"/>
      <c r="U18" s="188">
        <v>144.37100000000001</v>
      </c>
      <c r="V18" s="190">
        <v>9.0000000000000002E-6</v>
      </c>
      <c r="W18" s="190">
        <v>1.90440872907322E-2</v>
      </c>
      <c r="X18" s="190">
        <v>8.3094950585475905E-3</v>
      </c>
    </row>
    <row r="19" spans="1:24">
      <c r="A19" s="168">
        <v>337</v>
      </c>
      <c r="B19" s="168">
        <v>1477</v>
      </c>
      <c r="C19" s="168" t="s">
        <v>1687</v>
      </c>
      <c r="D19" s="168" t="s">
        <v>1688</v>
      </c>
      <c r="E19" s="168" t="s">
        <v>1346</v>
      </c>
      <c r="F19" s="168" t="s">
        <v>1889</v>
      </c>
      <c r="G19" s="168" t="s">
        <v>1692</v>
      </c>
      <c r="H19" s="168" t="s">
        <v>76</v>
      </c>
      <c r="I19" s="168" t="s">
        <v>73</v>
      </c>
      <c r="J19" s="168" t="s">
        <v>53</v>
      </c>
      <c r="K19" s="168" t="s">
        <v>53</v>
      </c>
      <c r="L19" s="167" t="s">
        <v>803</v>
      </c>
      <c r="M19" s="168" t="s">
        <v>311</v>
      </c>
      <c r="N19" s="167" t="s">
        <v>633</v>
      </c>
      <c r="O19" s="167" t="s">
        <v>62</v>
      </c>
      <c r="P19" s="168" t="s">
        <v>1259</v>
      </c>
      <c r="Q19" s="188">
        <v>307</v>
      </c>
      <c r="R19" s="189">
        <v>1</v>
      </c>
      <c r="S19" s="187">
        <v>64490</v>
      </c>
      <c r="T19" s="167"/>
      <c r="U19" s="188">
        <v>197.98400000000001</v>
      </c>
      <c r="V19" s="190">
        <v>1.2E-5</v>
      </c>
      <c r="W19" s="190">
        <v>2.6116258053172001E-2</v>
      </c>
      <c r="X19" s="190">
        <v>1.1395291038505E-2</v>
      </c>
    </row>
    <row r="20" spans="1:24">
      <c r="A20" s="5">
        <v>337</v>
      </c>
      <c r="B20" s="5">
        <v>1477</v>
      </c>
      <c r="C20" s="5" t="s">
        <v>1890</v>
      </c>
      <c r="D20" s="5" t="s">
        <v>1891</v>
      </c>
      <c r="E20" s="168" t="s">
        <v>1346</v>
      </c>
      <c r="F20" s="5" t="s">
        <v>1892</v>
      </c>
      <c r="G20" s="5" t="s">
        <v>1893</v>
      </c>
      <c r="H20" s="168" t="s">
        <v>76</v>
      </c>
      <c r="I20" s="5" t="s">
        <v>73</v>
      </c>
      <c r="J20" s="5" t="s">
        <v>53</v>
      </c>
      <c r="K20" s="168" t="s">
        <v>53</v>
      </c>
      <c r="L20" s="167" t="s">
        <v>803</v>
      </c>
      <c r="M20" s="168" t="s">
        <v>311</v>
      </c>
      <c r="N20" s="167" t="s">
        <v>256</v>
      </c>
      <c r="O20" s="5" t="s">
        <v>62</v>
      </c>
      <c r="P20" s="5" t="s">
        <v>1259</v>
      </c>
      <c r="Q20" s="193">
        <v>545</v>
      </c>
      <c r="R20" s="195">
        <v>1</v>
      </c>
      <c r="S20" s="196">
        <v>24370</v>
      </c>
      <c r="T20" s="9"/>
      <c r="U20" s="193">
        <v>132.816</v>
      </c>
      <c r="V20" s="197">
        <v>5.0000000000000004E-6</v>
      </c>
      <c r="W20" s="197">
        <v>1.7519924497645101E-2</v>
      </c>
      <c r="X20" s="197">
        <v>7.6444580313469197E-3</v>
      </c>
    </row>
    <row r="21" spans="1:24" s="45" customFormat="1">
      <c r="A21" s="5">
        <v>337</v>
      </c>
      <c r="B21" s="5">
        <v>1477</v>
      </c>
      <c r="C21" s="5" t="s">
        <v>1894</v>
      </c>
      <c r="D21" s="5" t="s">
        <v>1895</v>
      </c>
      <c r="E21" s="5" t="s">
        <v>1346</v>
      </c>
      <c r="F21" s="5" t="s">
        <v>1896</v>
      </c>
      <c r="G21" s="5" t="s">
        <v>1897</v>
      </c>
      <c r="H21" s="5" t="s">
        <v>76</v>
      </c>
      <c r="I21" s="5" t="s">
        <v>73</v>
      </c>
      <c r="J21" s="5" t="s">
        <v>53</v>
      </c>
      <c r="K21" s="5" t="s">
        <v>53</v>
      </c>
      <c r="L21" s="9" t="s">
        <v>803</v>
      </c>
      <c r="M21" s="5" t="s">
        <v>311</v>
      </c>
      <c r="N21" s="167" t="s">
        <v>633</v>
      </c>
      <c r="O21" s="5" t="s">
        <v>62</v>
      </c>
      <c r="P21" s="5" t="s">
        <v>1259</v>
      </c>
      <c r="Q21" s="193">
        <v>542</v>
      </c>
      <c r="R21" s="195">
        <v>1</v>
      </c>
      <c r="S21" s="196">
        <v>1506</v>
      </c>
      <c r="T21" s="9"/>
      <c r="U21" s="193">
        <v>8.1630000000000003</v>
      </c>
      <c r="V21" s="197">
        <v>7.9999999999999996E-6</v>
      </c>
      <c r="W21" s="197">
        <v>1.07672415784574E-3</v>
      </c>
      <c r="X21" s="197">
        <v>4.6980639882868402E-4</v>
      </c>
    </row>
    <row r="22" spans="1:24">
      <c r="A22" s="5">
        <v>337</v>
      </c>
      <c r="B22" s="5">
        <v>1477</v>
      </c>
      <c r="C22" s="5" t="s">
        <v>1898</v>
      </c>
      <c r="D22" s="5" t="s">
        <v>1899</v>
      </c>
      <c r="E22" s="5" t="s">
        <v>1346</v>
      </c>
      <c r="F22" s="5" t="s">
        <v>1900</v>
      </c>
      <c r="G22" s="5" t="s">
        <v>1901</v>
      </c>
      <c r="H22" s="5" t="s">
        <v>76</v>
      </c>
      <c r="I22" s="5" t="s">
        <v>73</v>
      </c>
      <c r="J22" s="5" t="s">
        <v>53</v>
      </c>
      <c r="K22" s="5" t="s">
        <v>53</v>
      </c>
      <c r="L22" s="9" t="s">
        <v>803</v>
      </c>
      <c r="M22" s="5" t="s">
        <v>311</v>
      </c>
      <c r="N22" s="5" t="s">
        <v>263</v>
      </c>
      <c r="O22" s="5" t="s">
        <v>62</v>
      </c>
      <c r="P22" s="5" t="s">
        <v>1259</v>
      </c>
      <c r="Q22" s="193">
        <v>206</v>
      </c>
      <c r="R22" s="195">
        <v>1</v>
      </c>
      <c r="S22" s="196">
        <v>56070</v>
      </c>
      <c r="T22" s="9"/>
      <c r="U22" s="193">
        <v>115.504</v>
      </c>
      <c r="V22" s="197">
        <v>2.3E-5</v>
      </c>
      <c r="W22" s="197">
        <v>1.5236245972156399E-2</v>
      </c>
      <c r="X22" s="197">
        <v>6.6480219652249603E-3</v>
      </c>
    </row>
    <row r="23" spans="1:24">
      <c r="A23" s="5">
        <v>337</v>
      </c>
      <c r="B23" s="5">
        <v>1477</v>
      </c>
      <c r="C23" s="5" t="s">
        <v>1902</v>
      </c>
      <c r="D23" s="5" t="s">
        <v>1903</v>
      </c>
      <c r="E23" s="5" t="s">
        <v>1346</v>
      </c>
      <c r="F23" s="5" t="s">
        <v>1904</v>
      </c>
      <c r="G23" s="5" t="s">
        <v>1905</v>
      </c>
      <c r="H23" s="5" t="s">
        <v>76</v>
      </c>
      <c r="I23" s="5" t="s">
        <v>73</v>
      </c>
      <c r="J23" s="5" t="s">
        <v>53</v>
      </c>
      <c r="K23" s="5" t="s">
        <v>53</v>
      </c>
      <c r="L23" s="9" t="s">
        <v>803</v>
      </c>
      <c r="M23" s="9" t="s">
        <v>311</v>
      </c>
      <c r="N23" s="5" t="s">
        <v>633</v>
      </c>
      <c r="O23" s="5" t="s">
        <v>62</v>
      </c>
      <c r="P23" s="5" t="s">
        <v>1259</v>
      </c>
      <c r="Q23" s="193">
        <v>348</v>
      </c>
      <c r="R23" s="195">
        <v>1</v>
      </c>
      <c r="S23" s="196">
        <v>3685</v>
      </c>
      <c r="T23" s="9"/>
      <c r="U23" s="193">
        <v>12.824</v>
      </c>
      <c r="V23" s="197">
        <v>1.9999999999999999E-6</v>
      </c>
      <c r="W23" s="197">
        <v>1.6915971116006001E-3</v>
      </c>
      <c r="X23" s="197">
        <v>7.3809354185953196E-4</v>
      </c>
    </row>
    <row r="24" spans="1:24">
      <c r="A24" s="5">
        <v>337</v>
      </c>
      <c r="B24" s="5">
        <v>1477</v>
      </c>
      <c r="C24" s="5" t="s">
        <v>1906</v>
      </c>
      <c r="D24" s="5" t="s">
        <v>1907</v>
      </c>
      <c r="E24" s="5" t="s">
        <v>1346</v>
      </c>
      <c r="F24" s="5" t="s">
        <v>1908</v>
      </c>
      <c r="G24" s="5" t="s">
        <v>1909</v>
      </c>
      <c r="H24" s="5" t="s">
        <v>76</v>
      </c>
      <c r="I24" s="5" t="s">
        <v>73</v>
      </c>
      <c r="J24" s="5" t="s">
        <v>53</v>
      </c>
      <c r="K24" s="5" t="s">
        <v>53</v>
      </c>
      <c r="L24" s="9" t="s">
        <v>803</v>
      </c>
      <c r="M24" s="9" t="s">
        <v>311</v>
      </c>
      <c r="N24" s="5" t="s">
        <v>629</v>
      </c>
      <c r="O24" s="5" t="s">
        <v>62</v>
      </c>
      <c r="P24" s="5" t="s">
        <v>1259</v>
      </c>
      <c r="Q24" s="193">
        <v>1391</v>
      </c>
      <c r="R24" s="195">
        <v>1</v>
      </c>
      <c r="S24" s="196">
        <v>1532</v>
      </c>
      <c r="T24" s="9"/>
      <c r="U24" s="193">
        <v>21.31</v>
      </c>
      <c r="V24" s="197">
        <v>7.9999999999999996E-6</v>
      </c>
      <c r="W24" s="197">
        <v>2.8110339711990401E-3</v>
      </c>
      <c r="X24" s="197">
        <v>1.2265367479414599E-3</v>
      </c>
    </row>
    <row r="25" spans="1:24">
      <c r="A25" s="5">
        <v>337</v>
      </c>
      <c r="B25" s="5">
        <v>1477</v>
      </c>
      <c r="C25" s="5" t="s">
        <v>1910</v>
      </c>
      <c r="D25" s="5" t="s">
        <v>1911</v>
      </c>
      <c r="E25" s="5" t="s">
        <v>1346</v>
      </c>
      <c r="F25" s="5" t="s">
        <v>1912</v>
      </c>
      <c r="G25" s="5" t="s">
        <v>1913</v>
      </c>
      <c r="H25" s="5" t="s">
        <v>76</v>
      </c>
      <c r="I25" s="5" t="s">
        <v>73</v>
      </c>
      <c r="J25" s="5" t="s">
        <v>53</v>
      </c>
      <c r="K25" s="5" t="s">
        <v>53</v>
      </c>
      <c r="L25" s="9" t="s">
        <v>803</v>
      </c>
      <c r="M25" s="9" t="s">
        <v>311</v>
      </c>
      <c r="N25" s="5" t="s">
        <v>256</v>
      </c>
      <c r="O25" s="5" t="s">
        <v>62</v>
      </c>
      <c r="P25" s="5" t="s">
        <v>1259</v>
      </c>
      <c r="Q25" s="193">
        <v>4067</v>
      </c>
      <c r="R25" s="195">
        <v>1</v>
      </c>
      <c r="S25" s="196">
        <v>3356</v>
      </c>
      <c r="T25" s="9"/>
      <c r="U25" s="193">
        <v>136.489</v>
      </c>
      <c r="V25" s="197">
        <v>3.0000000000000001E-6</v>
      </c>
      <c r="W25" s="197">
        <v>1.8004303420097099E-2</v>
      </c>
      <c r="X25" s="197">
        <v>7.8558067928356408E-3</v>
      </c>
    </row>
    <row r="26" spans="1:24">
      <c r="A26" s="5">
        <v>337</v>
      </c>
      <c r="B26" s="5">
        <v>1477</v>
      </c>
      <c r="C26" s="5" t="s">
        <v>1914</v>
      </c>
      <c r="D26" s="5" t="s">
        <v>1915</v>
      </c>
      <c r="E26" s="5" t="s">
        <v>1346</v>
      </c>
      <c r="F26" s="5" t="s">
        <v>1916</v>
      </c>
      <c r="G26" s="5" t="s">
        <v>1917</v>
      </c>
      <c r="H26" s="5" t="s">
        <v>76</v>
      </c>
      <c r="I26" s="5" t="s">
        <v>73</v>
      </c>
      <c r="J26" s="5" t="s">
        <v>53</v>
      </c>
      <c r="K26" s="5" t="s">
        <v>53</v>
      </c>
      <c r="L26" s="9" t="s">
        <v>803</v>
      </c>
      <c r="M26" s="9" t="s">
        <v>311</v>
      </c>
      <c r="N26" s="5" t="s">
        <v>75</v>
      </c>
      <c r="O26" s="5" t="s">
        <v>62</v>
      </c>
      <c r="P26" s="5" t="s">
        <v>1259</v>
      </c>
      <c r="Q26" s="193">
        <v>378</v>
      </c>
      <c r="R26" s="195">
        <v>1</v>
      </c>
      <c r="S26" s="196">
        <v>4845</v>
      </c>
      <c r="T26" s="9"/>
      <c r="U26" s="193">
        <v>18.314</v>
      </c>
      <c r="V26" s="197">
        <v>1.4E-5</v>
      </c>
      <c r="W26" s="197">
        <v>2.4158267176316401E-3</v>
      </c>
      <c r="X26" s="197">
        <v>1.0540962066602499E-3</v>
      </c>
    </row>
    <row r="27" spans="1:24">
      <c r="A27" s="5">
        <v>337</v>
      </c>
      <c r="B27" s="5">
        <v>1477</v>
      </c>
      <c r="C27" s="5" t="s">
        <v>1918</v>
      </c>
      <c r="D27" s="5" t="s">
        <v>1919</v>
      </c>
      <c r="E27" s="5" t="s">
        <v>1346</v>
      </c>
      <c r="F27" s="5" t="s">
        <v>1920</v>
      </c>
      <c r="G27" s="5" t="s">
        <v>1921</v>
      </c>
      <c r="H27" s="5" t="s">
        <v>76</v>
      </c>
      <c r="I27" s="5" t="s">
        <v>73</v>
      </c>
      <c r="J27" s="5" t="s">
        <v>53</v>
      </c>
      <c r="K27" s="5" t="s">
        <v>53</v>
      </c>
      <c r="L27" s="9" t="s">
        <v>803</v>
      </c>
      <c r="M27" s="9" t="s">
        <v>311</v>
      </c>
      <c r="N27" s="5" t="s">
        <v>632</v>
      </c>
      <c r="O27" s="5" t="s">
        <v>62</v>
      </c>
      <c r="P27" s="5" t="s">
        <v>1259</v>
      </c>
      <c r="Q27" s="193">
        <v>519</v>
      </c>
      <c r="R27" s="195">
        <v>1</v>
      </c>
      <c r="S27" s="196">
        <v>10170</v>
      </c>
      <c r="T27" s="9"/>
      <c r="U27" s="193">
        <v>52.781999999999996</v>
      </c>
      <c r="V27" s="197">
        <v>2.0999999999999999E-5</v>
      </c>
      <c r="W27" s="197">
        <v>6.9625529268732096E-3</v>
      </c>
      <c r="X27" s="197">
        <v>3.0379664962407698E-3</v>
      </c>
    </row>
    <row r="28" spans="1:24">
      <c r="A28" s="5">
        <v>337</v>
      </c>
      <c r="B28" s="5">
        <v>1477</v>
      </c>
      <c r="C28" s="5" t="s">
        <v>1922</v>
      </c>
      <c r="D28" s="5" t="s">
        <v>1923</v>
      </c>
      <c r="E28" s="5" t="s">
        <v>1346</v>
      </c>
      <c r="F28" s="5" t="s">
        <v>1924</v>
      </c>
      <c r="G28" s="5" t="s">
        <v>1925</v>
      </c>
      <c r="H28" s="5" t="s">
        <v>76</v>
      </c>
      <c r="I28" s="5" t="s">
        <v>73</v>
      </c>
      <c r="J28" s="5" t="s">
        <v>53</v>
      </c>
      <c r="K28" s="5" t="s">
        <v>53</v>
      </c>
      <c r="L28" s="9" t="s">
        <v>803</v>
      </c>
      <c r="M28" s="9" t="s">
        <v>311</v>
      </c>
      <c r="N28" s="5" t="s">
        <v>258</v>
      </c>
      <c r="O28" s="5" t="s">
        <v>62</v>
      </c>
      <c r="P28" s="5" t="s">
        <v>1259</v>
      </c>
      <c r="Q28" s="193">
        <v>15</v>
      </c>
      <c r="R28" s="195">
        <v>1</v>
      </c>
      <c r="S28" s="196">
        <v>48100</v>
      </c>
      <c r="T28" s="9"/>
      <c r="U28" s="193">
        <v>7.2149999999999999</v>
      </c>
      <c r="V28" s="197">
        <v>1.9999999999999999E-6</v>
      </c>
      <c r="W28" s="197">
        <v>9.5173608136421095E-4</v>
      </c>
      <c r="X28" s="197">
        <v>4.1527042721475102E-4</v>
      </c>
    </row>
    <row r="29" spans="1:24">
      <c r="A29" s="5">
        <v>337</v>
      </c>
      <c r="B29" s="5">
        <v>1477</v>
      </c>
      <c r="C29" s="5" t="s">
        <v>1926</v>
      </c>
      <c r="D29" s="5" t="s">
        <v>1927</v>
      </c>
      <c r="E29" s="5" t="s">
        <v>1346</v>
      </c>
      <c r="F29" s="5" t="s">
        <v>1928</v>
      </c>
      <c r="G29" s="5" t="s">
        <v>1929</v>
      </c>
      <c r="H29" s="5" t="s">
        <v>76</v>
      </c>
      <c r="I29" s="5" t="s">
        <v>73</v>
      </c>
      <c r="J29" s="5" t="s">
        <v>53</v>
      </c>
      <c r="K29" s="5" t="s">
        <v>53</v>
      </c>
      <c r="L29" s="9" t="s">
        <v>803</v>
      </c>
      <c r="M29" s="9" t="s">
        <v>311</v>
      </c>
      <c r="N29" s="5" t="s">
        <v>257</v>
      </c>
      <c r="O29" s="5" t="s">
        <v>62</v>
      </c>
      <c r="P29" s="5" t="s">
        <v>1259</v>
      </c>
      <c r="Q29" s="193">
        <v>485</v>
      </c>
      <c r="R29" s="195">
        <v>1</v>
      </c>
      <c r="S29" s="196">
        <v>6510</v>
      </c>
      <c r="T29" s="9"/>
      <c r="U29" s="193">
        <v>31.573</v>
      </c>
      <c r="V29" s="197">
        <v>5.0000000000000004E-6</v>
      </c>
      <c r="W29" s="197">
        <v>4.1648841531466297E-3</v>
      </c>
      <c r="X29" s="197">
        <v>1.81726137680734E-3</v>
      </c>
    </row>
    <row r="30" spans="1:24">
      <c r="A30" s="5">
        <v>337</v>
      </c>
      <c r="B30" s="5">
        <v>1477</v>
      </c>
      <c r="C30" s="5" t="s">
        <v>1930</v>
      </c>
      <c r="D30" s="5" t="s">
        <v>1931</v>
      </c>
      <c r="E30" s="5" t="s">
        <v>1346</v>
      </c>
      <c r="F30" s="5" t="s">
        <v>1932</v>
      </c>
      <c r="G30" s="5" t="s">
        <v>1933</v>
      </c>
      <c r="H30" s="5" t="s">
        <v>76</v>
      </c>
      <c r="I30" s="5" t="s">
        <v>73</v>
      </c>
      <c r="J30" s="5" t="s">
        <v>53</v>
      </c>
      <c r="K30" s="5" t="s">
        <v>53</v>
      </c>
      <c r="L30" s="9" t="s">
        <v>803</v>
      </c>
      <c r="M30" s="9" t="s">
        <v>311</v>
      </c>
      <c r="N30" s="5" t="s">
        <v>258</v>
      </c>
      <c r="O30" s="5" t="s">
        <v>62</v>
      </c>
      <c r="P30" s="5" t="s">
        <v>1259</v>
      </c>
      <c r="Q30" s="193">
        <v>15506</v>
      </c>
      <c r="R30" s="195">
        <v>1</v>
      </c>
      <c r="S30" s="196">
        <v>732.6</v>
      </c>
      <c r="T30" s="170">
        <v>1.8580000000000001</v>
      </c>
      <c r="U30" s="193">
        <v>115.455</v>
      </c>
      <c r="V30" s="197">
        <v>1.6899999999999999E-4</v>
      </c>
      <c r="W30" s="197">
        <v>1.52297791794117E-2</v>
      </c>
      <c r="X30" s="197">
        <v>6.6452003134683697E-3</v>
      </c>
    </row>
    <row r="31" spans="1:24">
      <c r="A31" s="5">
        <v>337</v>
      </c>
      <c r="B31" s="5">
        <v>1477</v>
      </c>
      <c r="C31" s="5" t="s">
        <v>1934</v>
      </c>
      <c r="D31" s="5" t="s">
        <v>1935</v>
      </c>
      <c r="E31" s="5" t="s">
        <v>1346</v>
      </c>
      <c r="F31" s="5" t="s">
        <v>1936</v>
      </c>
      <c r="G31" s="5" t="s">
        <v>1937</v>
      </c>
      <c r="H31" s="5" t="s">
        <v>76</v>
      </c>
      <c r="I31" s="5" t="s">
        <v>73</v>
      </c>
      <c r="J31" s="5" t="s">
        <v>53</v>
      </c>
      <c r="K31" s="5" t="s">
        <v>53</v>
      </c>
      <c r="L31" s="9" t="s">
        <v>803</v>
      </c>
      <c r="M31" s="9" t="s">
        <v>311</v>
      </c>
      <c r="N31" s="5" t="s">
        <v>140</v>
      </c>
      <c r="O31" s="5" t="s">
        <v>62</v>
      </c>
      <c r="P31" s="5" t="s">
        <v>1259</v>
      </c>
      <c r="Q31" s="193">
        <v>5000</v>
      </c>
      <c r="R31" s="195">
        <v>1</v>
      </c>
      <c r="S31" s="196">
        <v>711.9</v>
      </c>
      <c r="T31" s="9"/>
      <c r="U31" s="193">
        <v>35.594999999999999</v>
      </c>
      <c r="V31" s="197">
        <v>5.7000000000000003E-5</v>
      </c>
      <c r="W31" s="197">
        <v>4.6953632454828902E-3</v>
      </c>
      <c r="X31" s="197">
        <v>2.0487249974648698E-3</v>
      </c>
    </row>
    <row r="32" spans="1:24">
      <c r="A32" s="5">
        <v>337</v>
      </c>
      <c r="B32" s="5">
        <v>1477</v>
      </c>
      <c r="C32" s="5" t="s">
        <v>1938</v>
      </c>
      <c r="D32" s="5" t="s">
        <v>1939</v>
      </c>
      <c r="E32" s="5" t="s">
        <v>1346</v>
      </c>
      <c r="F32" s="5" t="s">
        <v>1940</v>
      </c>
      <c r="G32" s="5" t="s">
        <v>1941</v>
      </c>
      <c r="H32" s="5" t="s">
        <v>76</v>
      </c>
      <c r="I32" s="5" t="s">
        <v>73</v>
      </c>
      <c r="J32" s="5" t="s">
        <v>53</v>
      </c>
      <c r="K32" s="5" t="s">
        <v>53</v>
      </c>
      <c r="L32" s="9" t="s">
        <v>803</v>
      </c>
      <c r="M32" s="9" t="s">
        <v>311</v>
      </c>
      <c r="N32" s="5" t="s">
        <v>269</v>
      </c>
      <c r="O32" s="5" t="s">
        <v>62</v>
      </c>
      <c r="P32" s="5" t="s">
        <v>1259</v>
      </c>
      <c r="Q32" s="193">
        <v>2057</v>
      </c>
      <c r="R32" s="195">
        <v>1</v>
      </c>
      <c r="S32" s="196">
        <v>9745</v>
      </c>
      <c r="T32" s="9"/>
      <c r="U32" s="193">
        <v>200.45500000000001</v>
      </c>
      <c r="V32" s="197">
        <v>7.9999999999999996E-6</v>
      </c>
      <c r="W32" s="197">
        <v>2.6442123781321498E-2</v>
      </c>
      <c r="X32" s="197">
        <v>1.15374758340518E-2</v>
      </c>
    </row>
    <row r="33" spans="1:24">
      <c r="A33" s="5">
        <v>337</v>
      </c>
      <c r="B33" s="5">
        <v>1477</v>
      </c>
      <c r="C33" s="5" t="s">
        <v>1942</v>
      </c>
      <c r="D33" s="5" t="s">
        <v>1943</v>
      </c>
      <c r="E33" s="5" t="s">
        <v>1346</v>
      </c>
      <c r="F33" s="5" t="s">
        <v>1944</v>
      </c>
      <c r="G33" s="5" t="s">
        <v>1945</v>
      </c>
      <c r="H33" s="5" t="s">
        <v>76</v>
      </c>
      <c r="I33" s="5" t="s">
        <v>73</v>
      </c>
      <c r="J33" s="5" t="s">
        <v>53</v>
      </c>
      <c r="K33" s="5" t="s">
        <v>53</v>
      </c>
      <c r="L33" s="9" t="s">
        <v>803</v>
      </c>
      <c r="M33" s="9" t="s">
        <v>311</v>
      </c>
      <c r="N33" s="5" t="s">
        <v>269</v>
      </c>
      <c r="O33" s="5" t="s">
        <v>62</v>
      </c>
      <c r="P33" s="5" t="s">
        <v>1259</v>
      </c>
      <c r="Q33" s="193">
        <v>2376</v>
      </c>
      <c r="R33" s="195">
        <v>1</v>
      </c>
      <c r="S33" s="196">
        <v>9432</v>
      </c>
      <c r="T33" s="9"/>
      <c r="U33" s="193">
        <v>224.10400000000001</v>
      </c>
      <c r="V33" s="197">
        <v>1.1E-5</v>
      </c>
      <c r="W33" s="197">
        <v>2.9561769554205301E-2</v>
      </c>
      <c r="X33" s="197">
        <v>1.28986689822691E-2</v>
      </c>
    </row>
    <row r="34" spans="1:24">
      <c r="A34" s="5">
        <v>337</v>
      </c>
      <c r="B34" s="5">
        <v>1477</v>
      </c>
      <c r="C34" s="5" t="s">
        <v>1946</v>
      </c>
      <c r="D34" s="5" t="s">
        <v>1947</v>
      </c>
      <c r="E34" s="5" t="s">
        <v>1346</v>
      </c>
      <c r="F34" s="5" t="s">
        <v>1948</v>
      </c>
      <c r="G34" s="5" t="s">
        <v>1949</v>
      </c>
      <c r="H34" s="5" t="s">
        <v>76</v>
      </c>
      <c r="I34" s="5" t="s">
        <v>73</v>
      </c>
      <c r="J34" s="5" t="s">
        <v>53</v>
      </c>
      <c r="K34" s="5" t="s">
        <v>53</v>
      </c>
      <c r="L34" s="9" t="s">
        <v>803</v>
      </c>
      <c r="M34" s="9" t="s">
        <v>311</v>
      </c>
      <c r="N34" s="5" t="s">
        <v>252</v>
      </c>
      <c r="O34" s="5" t="s">
        <v>62</v>
      </c>
      <c r="P34" s="5" t="s">
        <v>1259</v>
      </c>
      <c r="Q34" s="193">
        <v>794</v>
      </c>
      <c r="R34" s="195">
        <v>1</v>
      </c>
      <c r="S34" s="196">
        <v>8680</v>
      </c>
      <c r="T34" s="9"/>
      <c r="U34" s="193">
        <v>68.918999999999997</v>
      </c>
      <c r="V34" s="197">
        <v>1.1E-5</v>
      </c>
      <c r="W34" s="197">
        <v>9.0911835535351804E-3</v>
      </c>
      <c r="X34" s="197">
        <v>3.9667506066942302E-3</v>
      </c>
    </row>
    <row r="35" spans="1:24">
      <c r="A35" s="5">
        <v>337</v>
      </c>
      <c r="B35" s="5">
        <v>1477</v>
      </c>
      <c r="C35" s="5" t="s">
        <v>1950</v>
      </c>
      <c r="D35" s="5" t="s">
        <v>1951</v>
      </c>
      <c r="E35" s="5" t="s">
        <v>1346</v>
      </c>
      <c r="F35" s="5" t="s">
        <v>1952</v>
      </c>
      <c r="G35" s="5" t="s">
        <v>1953</v>
      </c>
      <c r="H35" s="5" t="s">
        <v>76</v>
      </c>
      <c r="I35" s="5" t="s">
        <v>73</v>
      </c>
      <c r="J35" s="5" t="s">
        <v>53</v>
      </c>
      <c r="K35" s="5" t="s">
        <v>53</v>
      </c>
      <c r="L35" s="9" t="s">
        <v>803</v>
      </c>
      <c r="M35" s="9" t="s">
        <v>311</v>
      </c>
      <c r="N35" s="5" t="s">
        <v>140</v>
      </c>
      <c r="O35" s="5" t="s">
        <v>62</v>
      </c>
      <c r="P35" s="5" t="s">
        <v>1259</v>
      </c>
      <c r="Q35" s="193">
        <v>1589</v>
      </c>
      <c r="R35" s="195">
        <v>1</v>
      </c>
      <c r="S35" s="196">
        <v>2063</v>
      </c>
      <c r="T35" s="9"/>
      <c r="U35" s="193">
        <v>32.780999999999999</v>
      </c>
      <c r="V35" s="197">
        <v>2.5999999999999998E-5</v>
      </c>
      <c r="W35" s="197">
        <v>4.3241756208906301E-3</v>
      </c>
      <c r="X35" s="197">
        <v>1.8867649263280199E-3</v>
      </c>
    </row>
    <row r="36" spans="1:24">
      <c r="A36" s="5">
        <v>337</v>
      </c>
      <c r="B36" s="5">
        <v>1477</v>
      </c>
      <c r="C36" s="5" t="s">
        <v>1954</v>
      </c>
      <c r="D36" s="5" t="s">
        <v>1955</v>
      </c>
      <c r="E36" s="5" t="s">
        <v>1346</v>
      </c>
      <c r="F36" s="5" t="s">
        <v>1956</v>
      </c>
      <c r="G36" s="5" t="s">
        <v>1957</v>
      </c>
      <c r="H36" s="5" t="s">
        <v>76</v>
      </c>
      <c r="I36" s="5" t="s">
        <v>73</v>
      </c>
      <c r="J36" s="5" t="s">
        <v>53</v>
      </c>
      <c r="K36" s="5" t="s">
        <v>53</v>
      </c>
      <c r="L36" s="9" t="s">
        <v>803</v>
      </c>
      <c r="M36" s="9" t="s">
        <v>311</v>
      </c>
      <c r="N36" s="5" t="s">
        <v>252</v>
      </c>
      <c r="O36" s="5" t="s">
        <v>62</v>
      </c>
      <c r="P36" s="5" t="s">
        <v>1259</v>
      </c>
      <c r="Q36" s="193">
        <v>87</v>
      </c>
      <c r="R36" s="195">
        <v>1</v>
      </c>
      <c r="S36" s="196">
        <v>28610</v>
      </c>
      <c r="T36" s="9"/>
      <c r="U36" s="193">
        <v>24.890999999999998</v>
      </c>
      <c r="V36" s="197">
        <v>3.9999999999999998E-6</v>
      </c>
      <c r="W36" s="197">
        <v>3.2833509744160999E-3</v>
      </c>
      <c r="X36" s="197">
        <v>1.4326225395251801E-3</v>
      </c>
    </row>
    <row r="37" spans="1:24">
      <c r="A37" s="5">
        <v>337</v>
      </c>
      <c r="B37" s="5">
        <v>1477</v>
      </c>
      <c r="C37" s="5" t="s">
        <v>1958</v>
      </c>
      <c r="D37" s="5" t="s">
        <v>1959</v>
      </c>
      <c r="E37" s="5" t="s">
        <v>1346</v>
      </c>
      <c r="F37" s="5" t="s">
        <v>1960</v>
      </c>
      <c r="G37" s="5" t="s">
        <v>1961</v>
      </c>
      <c r="H37" s="5" t="s">
        <v>76</v>
      </c>
      <c r="I37" s="5" t="s">
        <v>73</v>
      </c>
      <c r="J37" s="5" t="s">
        <v>53</v>
      </c>
      <c r="K37" s="5" t="s">
        <v>53</v>
      </c>
      <c r="L37" s="9" t="s">
        <v>803</v>
      </c>
      <c r="M37" s="9" t="s">
        <v>311</v>
      </c>
      <c r="N37" s="5" t="s">
        <v>263</v>
      </c>
      <c r="O37" s="5" t="s">
        <v>62</v>
      </c>
      <c r="P37" s="5" t="s">
        <v>1259</v>
      </c>
      <c r="Q37" s="193">
        <v>462</v>
      </c>
      <c r="R37" s="195">
        <v>1</v>
      </c>
      <c r="S37" s="196">
        <v>1866</v>
      </c>
      <c r="T37" s="170">
        <v>0.189</v>
      </c>
      <c r="U37" s="193">
        <v>8.81</v>
      </c>
      <c r="V37" s="197">
        <v>1.2999999999999999E-5</v>
      </c>
      <c r="W37" s="197">
        <v>1.16213900849092E-3</v>
      </c>
      <c r="X37" s="197">
        <v>5.0707540881206499E-4</v>
      </c>
    </row>
    <row r="38" spans="1:24">
      <c r="A38" s="5">
        <v>337</v>
      </c>
      <c r="B38" s="5">
        <v>1477</v>
      </c>
      <c r="C38" s="5" t="s">
        <v>1962</v>
      </c>
      <c r="D38" s="5" t="s">
        <v>1963</v>
      </c>
      <c r="E38" s="5" t="s">
        <v>1346</v>
      </c>
      <c r="F38" s="5" t="s">
        <v>1964</v>
      </c>
      <c r="G38" s="5" t="s">
        <v>1965</v>
      </c>
      <c r="H38" s="5" t="s">
        <v>76</v>
      </c>
      <c r="I38" s="5" t="s">
        <v>73</v>
      </c>
      <c r="J38" s="5" t="s">
        <v>53</v>
      </c>
      <c r="K38" s="5" t="s">
        <v>317</v>
      </c>
      <c r="L38" s="9" t="s">
        <v>803</v>
      </c>
      <c r="M38" s="9" t="s">
        <v>311</v>
      </c>
      <c r="N38" s="5" t="s">
        <v>254</v>
      </c>
      <c r="O38" s="5" t="s">
        <v>62</v>
      </c>
      <c r="P38" s="5" t="s">
        <v>1259</v>
      </c>
      <c r="Q38" s="193">
        <v>292</v>
      </c>
      <c r="R38" s="195">
        <v>1</v>
      </c>
      <c r="S38" s="196">
        <v>14620</v>
      </c>
      <c r="T38" s="9"/>
      <c r="U38" s="193">
        <v>42.69</v>
      </c>
      <c r="V38" s="197">
        <v>3.0000000000000001E-6</v>
      </c>
      <c r="W38" s="197">
        <v>5.6313228008136804E-3</v>
      </c>
      <c r="X38" s="197">
        <v>2.4571116626429098E-3</v>
      </c>
    </row>
    <row r="39" spans="1:24">
      <c r="A39" s="5">
        <v>337</v>
      </c>
      <c r="B39" s="5">
        <v>1477</v>
      </c>
      <c r="C39" s="5" t="s">
        <v>1966</v>
      </c>
      <c r="D39" s="5" t="s">
        <v>1967</v>
      </c>
      <c r="E39" s="5" t="s">
        <v>1346</v>
      </c>
      <c r="F39" s="5" t="s">
        <v>1968</v>
      </c>
      <c r="G39" s="5" t="s">
        <v>1969</v>
      </c>
      <c r="H39" s="5" t="s">
        <v>76</v>
      </c>
      <c r="I39" s="5" t="s">
        <v>73</v>
      </c>
      <c r="J39" s="5" t="s">
        <v>53</v>
      </c>
      <c r="K39" s="5" t="s">
        <v>314</v>
      </c>
      <c r="L39" s="9" t="s">
        <v>803</v>
      </c>
      <c r="M39" s="9" t="s">
        <v>311</v>
      </c>
      <c r="N39" s="5" t="s">
        <v>85</v>
      </c>
      <c r="O39" s="5" t="s">
        <v>62</v>
      </c>
      <c r="P39" s="5" t="s">
        <v>1259</v>
      </c>
      <c r="Q39" s="193">
        <v>7385</v>
      </c>
      <c r="R39" s="195">
        <v>1</v>
      </c>
      <c r="S39" s="196">
        <v>5699</v>
      </c>
      <c r="T39" s="9"/>
      <c r="U39" s="193">
        <v>420.87099999999998</v>
      </c>
      <c r="V39" s="197">
        <v>6.0000000000000002E-6</v>
      </c>
      <c r="W39" s="197">
        <v>5.5517430223180703E-2</v>
      </c>
      <c r="X39" s="197">
        <v>2.42238866615196E-2</v>
      </c>
    </row>
    <row r="40" spans="1:24">
      <c r="A40" s="5">
        <v>337</v>
      </c>
      <c r="B40" s="5">
        <v>1477</v>
      </c>
      <c r="C40" s="5" t="s">
        <v>1970</v>
      </c>
      <c r="D40" s="5" t="s">
        <v>1971</v>
      </c>
      <c r="E40" s="5" t="s">
        <v>1346</v>
      </c>
      <c r="F40" s="5" t="s">
        <v>1972</v>
      </c>
      <c r="G40" s="5" t="s">
        <v>1973</v>
      </c>
      <c r="H40" s="5" t="s">
        <v>76</v>
      </c>
      <c r="I40" s="5" t="s">
        <v>73</v>
      </c>
      <c r="J40" s="5" t="s">
        <v>53</v>
      </c>
      <c r="K40" s="5" t="s">
        <v>53</v>
      </c>
      <c r="L40" s="9" t="s">
        <v>803</v>
      </c>
      <c r="M40" s="9" t="s">
        <v>311</v>
      </c>
      <c r="N40" s="5" t="s">
        <v>632</v>
      </c>
      <c r="O40" s="5" t="s">
        <v>62</v>
      </c>
      <c r="P40" s="5" t="s">
        <v>1259</v>
      </c>
      <c r="Q40" s="193">
        <v>4200</v>
      </c>
      <c r="R40" s="195">
        <v>1</v>
      </c>
      <c r="S40" s="196">
        <v>810</v>
      </c>
      <c r="T40" s="9"/>
      <c r="U40" s="193">
        <v>34.020000000000003</v>
      </c>
      <c r="V40" s="197">
        <v>3.8999999999999999E-5</v>
      </c>
      <c r="W40" s="197">
        <v>4.4876038098420603E-3</v>
      </c>
      <c r="X40" s="197">
        <v>1.9580734489044798E-3</v>
      </c>
    </row>
    <row r="41" spans="1:24">
      <c r="A41" s="5">
        <v>337</v>
      </c>
      <c r="B41" s="5">
        <v>1477</v>
      </c>
      <c r="C41" s="5" t="s">
        <v>1974</v>
      </c>
      <c r="D41" s="5" t="s">
        <v>1975</v>
      </c>
      <c r="E41" s="5" t="s">
        <v>431</v>
      </c>
      <c r="F41" s="5" t="s">
        <v>1976</v>
      </c>
      <c r="G41" s="5" t="s">
        <v>1977</v>
      </c>
      <c r="H41" s="5" t="s">
        <v>76</v>
      </c>
      <c r="I41" s="5" t="s">
        <v>73</v>
      </c>
      <c r="J41" s="5" t="s">
        <v>53</v>
      </c>
      <c r="K41" s="5" t="s">
        <v>53</v>
      </c>
      <c r="L41" s="9" t="s">
        <v>803</v>
      </c>
      <c r="M41" s="9" t="s">
        <v>311</v>
      </c>
      <c r="N41" s="5" t="s">
        <v>267</v>
      </c>
      <c r="O41" s="5" t="s">
        <v>62</v>
      </c>
      <c r="P41" s="5" t="s">
        <v>1259</v>
      </c>
      <c r="Q41" s="193">
        <v>6100</v>
      </c>
      <c r="R41" s="195">
        <v>1</v>
      </c>
      <c r="S41" s="196">
        <v>229.9</v>
      </c>
      <c r="T41" s="9"/>
      <c r="U41" s="193">
        <v>14.023999999999999</v>
      </c>
      <c r="V41" s="197">
        <v>1.9999999999999999E-6</v>
      </c>
      <c r="W41" s="197">
        <v>1.8499032060212801E-3</v>
      </c>
      <c r="X41" s="197">
        <v>8.0716714403561299E-4</v>
      </c>
    </row>
    <row r="42" spans="1:24">
      <c r="A42" s="5">
        <v>337</v>
      </c>
      <c r="B42" s="5">
        <v>1477</v>
      </c>
      <c r="C42" s="5" t="s">
        <v>1978</v>
      </c>
      <c r="D42" s="5" t="s">
        <v>1979</v>
      </c>
      <c r="E42" s="5" t="s">
        <v>1346</v>
      </c>
      <c r="F42" s="5" t="s">
        <v>1980</v>
      </c>
      <c r="G42" s="5" t="s">
        <v>1981</v>
      </c>
      <c r="H42" s="5" t="s">
        <v>76</v>
      </c>
      <c r="I42" s="5" t="s">
        <v>73</v>
      </c>
      <c r="J42" s="5" t="s">
        <v>53</v>
      </c>
      <c r="K42" s="5" t="s">
        <v>53</v>
      </c>
      <c r="L42" s="9" t="s">
        <v>803</v>
      </c>
      <c r="M42" s="9" t="s">
        <v>311</v>
      </c>
      <c r="N42" s="5" t="s">
        <v>259</v>
      </c>
      <c r="O42" s="5" t="s">
        <v>62</v>
      </c>
      <c r="P42" s="5" t="s">
        <v>1259</v>
      </c>
      <c r="Q42" s="193">
        <v>65</v>
      </c>
      <c r="R42" s="195">
        <v>1</v>
      </c>
      <c r="S42" s="196">
        <v>9500</v>
      </c>
      <c r="T42" s="9"/>
      <c r="U42" s="193">
        <v>6.1749999999999998</v>
      </c>
      <c r="V42" s="197">
        <v>9.9999999999999995E-7</v>
      </c>
      <c r="W42" s="197">
        <v>8.1454889846486501E-4</v>
      </c>
      <c r="X42" s="197">
        <v>3.5541162689550797E-4</v>
      </c>
    </row>
    <row r="43" spans="1:24">
      <c r="A43" s="5">
        <v>337</v>
      </c>
      <c r="B43" s="5">
        <v>1477</v>
      </c>
      <c r="C43" s="5" t="s">
        <v>1982</v>
      </c>
      <c r="D43" s="5" t="s">
        <v>1983</v>
      </c>
      <c r="E43" s="5" t="s">
        <v>1346</v>
      </c>
      <c r="F43" s="5" t="s">
        <v>1984</v>
      </c>
      <c r="G43" s="5" t="s">
        <v>1985</v>
      </c>
      <c r="H43" s="5" t="s">
        <v>76</v>
      </c>
      <c r="I43" s="5" t="s">
        <v>73</v>
      </c>
      <c r="J43" s="5" t="s">
        <v>53</v>
      </c>
      <c r="K43" s="5" t="s">
        <v>53</v>
      </c>
      <c r="L43" s="9" t="s">
        <v>803</v>
      </c>
      <c r="M43" s="9" t="s">
        <v>311</v>
      </c>
      <c r="N43" s="5" t="s">
        <v>269</v>
      </c>
      <c r="O43" s="5" t="s">
        <v>62</v>
      </c>
      <c r="P43" s="5" t="s">
        <v>1259</v>
      </c>
      <c r="Q43" s="193">
        <v>2074</v>
      </c>
      <c r="R43" s="195">
        <v>1</v>
      </c>
      <c r="S43" s="196">
        <v>14880</v>
      </c>
      <c r="T43" s="9"/>
      <c r="U43" s="193">
        <v>308.61099999999999</v>
      </c>
      <c r="V43" s="197">
        <v>2.5999999999999998E-5</v>
      </c>
      <c r="W43" s="197">
        <v>4.0709135710756301E-2</v>
      </c>
      <c r="X43" s="197">
        <v>1.77625924971943E-2</v>
      </c>
    </row>
    <row r="44" spans="1:24">
      <c r="A44" s="5">
        <v>337</v>
      </c>
      <c r="B44" s="5">
        <v>1477</v>
      </c>
      <c r="C44" s="5" t="s">
        <v>1663</v>
      </c>
      <c r="D44" s="5" t="s">
        <v>1664</v>
      </c>
      <c r="E44" s="5" t="s">
        <v>1346</v>
      </c>
      <c r="F44" s="5" t="s">
        <v>1986</v>
      </c>
      <c r="G44" s="5" t="s">
        <v>1987</v>
      </c>
      <c r="H44" s="5" t="s">
        <v>76</v>
      </c>
      <c r="I44" s="5" t="s">
        <v>73</v>
      </c>
      <c r="J44" s="5" t="s">
        <v>53</v>
      </c>
      <c r="K44" s="5" t="s">
        <v>53</v>
      </c>
      <c r="L44" s="9" t="s">
        <v>803</v>
      </c>
      <c r="M44" s="9" t="s">
        <v>311</v>
      </c>
      <c r="N44" s="5" t="s">
        <v>256</v>
      </c>
      <c r="O44" s="5" t="s">
        <v>62</v>
      </c>
      <c r="P44" s="5" t="s">
        <v>1259</v>
      </c>
      <c r="Q44" s="193">
        <v>3440</v>
      </c>
      <c r="R44" s="195">
        <v>1</v>
      </c>
      <c r="S44" s="196">
        <v>6262</v>
      </c>
      <c r="T44" s="9"/>
      <c r="U44" s="193">
        <v>215.41300000000001</v>
      </c>
      <c r="V44" s="197">
        <v>1.9999999999999999E-6</v>
      </c>
      <c r="W44" s="197">
        <v>2.8415264608134799E-2</v>
      </c>
      <c r="X44" s="197">
        <v>1.23984151744318E-2</v>
      </c>
    </row>
    <row r="45" spans="1:24">
      <c r="A45" s="5">
        <v>337</v>
      </c>
      <c r="B45" s="5">
        <v>1477</v>
      </c>
      <c r="C45" s="5" t="s">
        <v>1988</v>
      </c>
      <c r="D45" s="5" t="s">
        <v>1989</v>
      </c>
      <c r="E45" s="5" t="s">
        <v>1346</v>
      </c>
      <c r="F45" s="5" t="s">
        <v>1990</v>
      </c>
      <c r="G45" s="5" t="s">
        <v>1991</v>
      </c>
      <c r="H45" s="5" t="s">
        <v>76</v>
      </c>
      <c r="I45" s="5" t="s">
        <v>73</v>
      </c>
      <c r="J45" s="5" t="s">
        <v>53</v>
      </c>
      <c r="K45" s="5" t="s">
        <v>53</v>
      </c>
      <c r="L45" s="9" t="s">
        <v>803</v>
      </c>
      <c r="M45" s="9" t="s">
        <v>311</v>
      </c>
      <c r="N45" s="5" t="s">
        <v>632</v>
      </c>
      <c r="O45" s="5" t="s">
        <v>62</v>
      </c>
      <c r="P45" s="5" t="s">
        <v>1259</v>
      </c>
      <c r="Q45" s="193">
        <v>320</v>
      </c>
      <c r="R45" s="195">
        <v>1</v>
      </c>
      <c r="S45" s="196">
        <v>30850</v>
      </c>
      <c r="T45" s="9"/>
      <c r="U45" s="193">
        <v>98.72</v>
      </c>
      <c r="V45" s="197">
        <v>2.1999999999999999E-5</v>
      </c>
      <c r="W45" s="197">
        <v>1.3022229515214799E-2</v>
      </c>
      <c r="X45" s="197">
        <v>5.68198150722664E-3</v>
      </c>
    </row>
    <row r="46" spans="1:24">
      <c r="A46" s="5">
        <v>337</v>
      </c>
      <c r="B46" s="5">
        <v>1477</v>
      </c>
      <c r="C46" s="5" t="s">
        <v>1992</v>
      </c>
      <c r="D46" s="5" t="s">
        <v>1993</v>
      </c>
      <c r="E46" s="5" t="s">
        <v>1346</v>
      </c>
      <c r="F46" s="5" t="s">
        <v>1994</v>
      </c>
      <c r="G46" s="5" t="s">
        <v>1995</v>
      </c>
      <c r="H46" s="5" t="s">
        <v>76</v>
      </c>
      <c r="I46" s="5" t="s">
        <v>73</v>
      </c>
      <c r="J46" s="5" t="s">
        <v>53</v>
      </c>
      <c r="K46" s="5" t="s">
        <v>53</v>
      </c>
      <c r="L46" s="9" t="s">
        <v>803</v>
      </c>
      <c r="M46" s="9" t="s">
        <v>311</v>
      </c>
      <c r="N46" s="5" t="s">
        <v>633</v>
      </c>
      <c r="O46" s="5" t="s">
        <v>62</v>
      </c>
      <c r="P46" s="5" t="s">
        <v>1259</v>
      </c>
      <c r="Q46" s="193">
        <v>5129</v>
      </c>
      <c r="R46" s="195">
        <v>1</v>
      </c>
      <c r="S46" s="196">
        <v>1262</v>
      </c>
      <c r="T46" s="9"/>
      <c r="U46" s="193">
        <v>64.727999999999994</v>
      </c>
      <c r="V46" s="197">
        <v>6.9999999999999999E-6</v>
      </c>
      <c r="W46" s="197">
        <v>8.5383165682357594E-3</v>
      </c>
      <c r="X46" s="197">
        <v>3.7255184902769099E-3</v>
      </c>
    </row>
    <row r="47" spans="1:24">
      <c r="A47" s="5">
        <v>337</v>
      </c>
      <c r="B47" s="5">
        <v>1477</v>
      </c>
      <c r="C47" s="5" t="s">
        <v>1996</v>
      </c>
      <c r="D47" s="5" t="s">
        <v>1997</v>
      </c>
      <c r="E47" s="5" t="s">
        <v>1346</v>
      </c>
      <c r="F47" s="5" t="s">
        <v>1998</v>
      </c>
      <c r="G47" s="5" t="s">
        <v>1999</v>
      </c>
      <c r="H47" s="5" t="s">
        <v>76</v>
      </c>
      <c r="I47" s="5" t="s">
        <v>73</v>
      </c>
      <c r="J47" s="5" t="s">
        <v>53</v>
      </c>
      <c r="K47" s="5" t="s">
        <v>53</v>
      </c>
      <c r="L47" s="9" t="s">
        <v>803</v>
      </c>
      <c r="M47" s="9" t="s">
        <v>311</v>
      </c>
      <c r="N47" s="5" t="s">
        <v>256</v>
      </c>
      <c r="O47" s="5" t="s">
        <v>62</v>
      </c>
      <c r="P47" s="5" t="s">
        <v>1259</v>
      </c>
      <c r="Q47" s="193">
        <v>499</v>
      </c>
      <c r="R47" s="195">
        <v>1</v>
      </c>
      <c r="S47" s="196">
        <v>21950</v>
      </c>
      <c r="T47" s="9"/>
      <c r="U47" s="193">
        <v>109.53100000000001</v>
      </c>
      <c r="V47" s="197">
        <v>1.9999999999999999E-6</v>
      </c>
      <c r="W47" s="197">
        <v>1.44482507082277E-2</v>
      </c>
      <c r="X47" s="197">
        <v>6.3041964695835498E-3</v>
      </c>
    </row>
    <row r="48" spans="1:24">
      <c r="A48" s="5">
        <v>337</v>
      </c>
      <c r="B48" s="5">
        <v>1477</v>
      </c>
      <c r="C48" s="5" t="s">
        <v>2000</v>
      </c>
      <c r="D48" s="5" t="s">
        <v>2001</v>
      </c>
      <c r="E48" s="5" t="s">
        <v>1346</v>
      </c>
      <c r="F48" s="5" t="s">
        <v>2002</v>
      </c>
      <c r="G48" s="5" t="s">
        <v>2003</v>
      </c>
      <c r="H48" s="5" t="s">
        <v>76</v>
      </c>
      <c r="I48" s="5" t="s">
        <v>73</v>
      </c>
      <c r="J48" s="5" t="s">
        <v>53</v>
      </c>
      <c r="K48" s="5" t="s">
        <v>53</v>
      </c>
      <c r="L48" s="9" t="s">
        <v>803</v>
      </c>
      <c r="M48" s="9" t="s">
        <v>311</v>
      </c>
      <c r="N48" s="5" t="s">
        <v>252</v>
      </c>
      <c r="O48" s="5" t="s">
        <v>62</v>
      </c>
      <c r="P48" s="5" t="s">
        <v>1259</v>
      </c>
      <c r="Q48" s="193">
        <v>235</v>
      </c>
      <c r="R48" s="195">
        <v>1</v>
      </c>
      <c r="S48" s="196">
        <v>11720</v>
      </c>
      <c r="T48" s="9"/>
      <c r="U48" s="193">
        <v>27.542000000000002</v>
      </c>
      <c r="V48" s="197">
        <v>3.9999999999999998E-6</v>
      </c>
      <c r="W48" s="197">
        <v>3.6330859532824802E-3</v>
      </c>
      <c r="X48" s="197">
        <v>1.5852221907621199E-3</v>
      </c>
    </row>
    <row r="49" spans="1:24">
      <c r="A49" s="5">
        <v>337</v>
      </c>
      <c r="B49" s="5">
        <v>1477</v>
      </c>
      <c r="C49" s="5" t="s">
        <v>2004</v>
      </c>
      <c r="D49" s="5" t="s">
        <v>2005</v>
      </c>
      <c r="E49" s="5" t="s">
        <v>1346</v>
      </c>
      <c r="F49" s="5" t="s">
        <v>2006</v>
      </c>
      <c r="G49" s="5" t="s">
        <v>2007</v>
      </c>
      <c r="H49" s="5" t="s">
        <v>76</v>
      </c>
      <c r="I49" s="5" t="s">
        <v>73</v>
      </c>
      <c r="J49" s="5" t="s">
        <v>53</v>
      </c>
      <c r="K49" s="5" t="s">
        <v>53</v>
      </c>
      <c r="L49" s="9" t="s">
        <v>803</v>
      </c>
      <c r="M49" s="9" t="s">
        <v>311</v>
      </c>
      <c r="N49" s="5" t="s">
        <v>633</v>
      </c>
      <c r="O49" s="5" t="s">
        <v>62</v>
      </c>
      <c r="P49" s="5" t="s">
        <v>1259</v>
      </c>
      <c r="Q49" s="193">
        <v>245</v>
      </c>
      <c r="R49" s="195">
        <v>1</v>
      </c>
      <c r="S49" s="196">
        <v>38400</v>
      </c>
      <c r="T49" s="9"/>
      <c r="U49" s="193">
        <v>94.08</v>
      </c>
      <c r="V49" s="197">
        <v>5.0000000000000004E-6</v>
      </c>
      <c r="W49" s="197">
        <v>1.2410163622279299E-2</v>
      </c>
      <c r="X49" s="197">
        <v>5.4149191673407903E-3</v>
      </c>
    </row>
    <row r="50" spans="1:24">
      <c r="A50" s="5">
        <v>337</v>
      </c>
      <c r="B50" s="5">
        <v>1477</v>
      </c>
      <c r="C50" s="5" t="s">
        <v>2008</v>
      </c>
      <c r="D50" s="5" t="s">
        <v>2009</v>
      </c>
      <c r="E50" s="5" t="s">
        <v>1346</v>
      </c>
      <c r="F50" s="5" t="s">
        <v>2010</v>
      </c>
      <c r="G50" s="5" t="s">
        <v>2011</v>
      </c>
      <c r="H50" s="5" t="s">
        <v>76</v>
      </c>
      <c r="I50" s="5" t="s">
        <v>73</v>
      </c>
      <c r="J50" s="5" t="s">
        <v>53</v>
      </c>
      <c r="K50" s="5" t="s">
        <v>53</v>
      </c>
      <c r="L50" s="9" t="s">
        <v>803</v>
      </c>
      <c r="M50" s="9" t="s">
        <v>311</v>
      </c>
      <c r="N50" s="5" t="s">
        <v>269</v>
      </c>
      <c r="O50" s="5" t="s">
        <v>62</v>
      </c>
      <c r="P50" s="5" t="s">
        <v>1259</v>
      </c>
      <c r="Q50" s="193">
        <v>242</v>
      </c>
      <c r="R50" s="195">
        <v>1</v>
      </c>
      <c r="S50" s="196">
        <v>26530</v>
      </c>
      <c r="T50" s="9"/>
      <c r="U50" s="193">
        <v>64.203000000000003</v>
      </c>
      <c r="V50" s="197">
        <v>3.9999999999999998E-6</v>
      </c>
      <c r="W50" s="197">
        <v>8.4690132969360895E-3</v>
      </c>
      <c r="X50" s="197">
        <v>3.6952794359387101E-3</v>
      </c>
    </row>
    <row r="51" spans="1:24">
      <c r="A51" s="5">
        <v>337</v>
      </c>
      <c r="B51" s="5">
        <v>1477</v>
      </c>
      <c r="C51" s="5" t="s">
        <v>2012</v>
      </c>
      <c r="D51" s="5" t="s">
        <v>2013</v>
      </c>
      <c r="E51" s="5" t="s">
        <v>1346</v>
      </c>
      <c r="F51" s="5" t="s">
        <v>2014</v>
      </c>
      <c r="G51" s="5" t="s">
        <v>2015</v>
      </c>
      <c r="H51" s="5" t="s">
        <v>76</v>
      </c>
      <c r="I51" s="5" t="s">
        <v>73</v>
      </c>
      <c r="J51" s="5" t="s">
        <v>53</v>
      </c>
      <c r="K51" s="5" t="s">
        <v>53</v>
      </c>
      <c r="L51" s="9" t="s">
        <v>803</v>
      </c>
      <c r="M51" s="9" t="s">
        <v>311</v>
      </c>
      <c r="N51" s="5" t="s">
        <v>631</v>
      </c>
      <c r="O51" s="5" t="s">
        <v>62</v>
      </c>
      <c r="P51" s="5" t="s">
        <v>1259</v>
      </c>
      <c r="Q51" s="193">
        <v>3856</v>
      </c>
      <c r="R51" s="195">
        <v>1</v>
      </c>
      <c r="S51" s="196">
        <v>2410</v>
      </c>
      <c r="T51" s="9"/>
      <c r="U51" s="193">
        <v>92.93</v>
      </c>
      <c r="V51" s="197">
        <v>6.3E-5</v>
      </c>
      <c r="W51" s="197">
        <v>1.22584134922722E-2</v>
      </c>
      <c r="X51" s="197">
        <v>5.3487061251415004E-3</v>
      </c>
    </row>
    <row r="52" spans="1:24">
      <c r="A52" s="5">
        <v>337</v>
      </c>
      <c r="B52" s="5">
        <v>1477</v>
      </c>
      <c r="C52" s="5" t="s">
        <v>2016</v>
      </c>
      <c r="D52" s="5" t="s">
        <v>2017</v>
      </c>
      <c r="E52" s="5" t="s">
        <v>431</v>
      </c>
      <c r="F52" s="5" t="s">
        <v>2018</v>
      </c>
      <c r="G52" s="5" t="s">
        <v>2019</v>
      </c>
      <c r="H52" s="5" t="s">
        <v>76</v>
      </c>
      <c r="I52" s="5" t="s">
        <v>73</v>
      </c>
      <c r="J52" s="5" t="s">
        <v>53</v>
      </c>
      <c r="K52" s="5" t="s">
        <v>314</v>
      </c>
      <c r="L52" s="9" t="s">
        <v>803</v>
      </c>
      <c r="M52" s="9" t="s">
        <v>311</v>
      </c>
      <c r="N52" s="5" t="s">
        <v>267</v>
      </c>
      <c r="O52" s="5" t="s">
        <v>62</v>
      </c>
      <c r="P52" s="5" t="s">
        <v>1259</v>
      </c>
      <c r="Q52" s="193">
        <v>1398</v>
      </c>
      <c r="R52" s="195">
        <v>1</v>
      </c>
      <c r="S52" s="196">
        <v>9900</v>
      </c>
      <c r="T52" s="9"/>
      <c r="U52" s="193">
        <v>138.40199999999999</v>
      </c>
      <c r="V52" s="197">
        <v>1.2999999999999999E-5</v>
      </c>
      <c r="W52" s="197">
        <v>1.8256712007341601E-2</v>
      </c>
      <c r="X52" s="197">
        <v>7.9659400786383904E-3</v>
      </c>
    </row>
    <row r="53" spans="1:24">
      <c r="A53" s="5">
        <v>337</v>
      </c>
      <c r="B53" s="5">
        <v>1477</v>
      </c>
      <c r="C53" s="5" t="s">
        <v>2020</v>
      </c>
      <c r="D53" s="5" t="s">
        <v>2021</v>
      </c>
      <c r="E53" s="5" t="s">
        <v>1346</v>
      </c>
      <c r="F53" s="5" t="s">
        <v>2022</v>
      </c>
      <c r="G53" s="5" t="s">
        <v>2023</v>
      </c>
      <c r="H53" s="5" t="s">
        <v>76</v>
      </c>
      <c r="I53" s="5" t="s">
        <v>73</v>
      </c>
      <c r="J53" s="5" t="s">
        <v>53</v>
      </c>
      <c r="K53" s="5" t="s">
        <v>317</v>
      </c>
      <c r="L53" s="9" t="s">
        <v>803</v>
      </c>
      <c r="M53" s="9" t="s">
        <v>311</v>
      </c>
      <c r="N53" s="5" t="s">
        <v>254</v>
      </c>
      <c r="O53" s="5" t="s">
        <v>62</v>
      </c>
      <c r="P53" s="5" t="s">
        <v>1259</v>
      </c>
      <c r="Q53" s="193">
        <v>313</v>
      </c>
      <c r="R53" s="195">
        <v>1</v>
      </c>
      <c r="S53" s="196">
        <v>95280</v>
      </c>
      <c r="T53" s="9"/>
      <c r="U53" s="193">
        <v>298.226</v>
      </c>
      <c r="V53" s="197">
        <v>1.1E-5</v>
      </c>
      <c r="W53" s="197">
        <v>3.9339268925205201E-2</v>
      </c>
      <c r="X53" s="197">
        <v>1.7164879353391199E-2</v>
      </c>
    </row>
    <row r="54" spans="1:24">
      <c r="A54" s="5">
        <v>337</v>
      </c>
      <c r="B54" s="5">
        <v>1477</v>
      </c>
      <c r="C54" s="5" t="s">
        <v>2024</v>
      </c>
      <c r="D54" s="5" t="s">
        <v>2025</v>
      </c>
      <c r="E54" s="5" t="s">
        <v>1346</v>
      </c>
      <c r="F54" s="5" t="s">
        <v>2026</v>
      </c>
      <c r="G54" s="5" t="s">
        <v>2027</v>
      </c>
      <c r="H54" s="5" t="s">
        <v>76</v>
      </c>
      <c r="I54" s="5" t="s">
        <v>73</v>
      </c>
      <c r="J54" s="5" t="s">
        <v>53</v>
      </c>
      <c r="K54" s="5" t="s">
        <v>53</v>
      </c>
      <c r="L54" s="9" t="s">
        <v>803</v>
      </c>
      <c r="M54" s="9" t="s">
        <v>311</v>
      </c>
      <c r="N54" s="5" t="s">
        <v>629</v>
      </c>
      <c r="O54" s="5" t="s">
        <v>62</v>
      </c>
      <c r="P54" s="5" t="s">
        <v>1259</v>
      </c>
      <c r="Q54" s="193">
        <v>958</v>
      </c>
      <c r="R54" s="195">
        <v>1</v>
      </c>
      <c r="S54" s="196">
        <v>9339</v>
      </c>
      <c r="T54" s="9"/>
      <c r="U54" s="193">
        <v>89.468000000000004</v>
      </c>
      <c r="V54" s="197">
        <v>2.6999999999999999E-5</v>
      </c>
      <c r="W54" s="197">
        <v>1.1801741104335701E-2</v>
      </c>
      <c r="X54" s="197">
        <v>5.1494465390557204E-3</v>
      </c>
    </row>
    <row r="55" spans="1:24">
      <c r="A55" s="5">
        <v>337</v>
      </c>
      <c r="B55" s="5">
        <v>1477</v>
      </c>
      <c r="C55" s="5" t="s">
        <v>2028</v>
      </c>
      <c r="D55" s="5" t="s">
        <v>2029</v>
      </c>
      <c r="E55" s="5" t="s">
        <v>431</v>
      </c>
      <c r="F55" s="5" t="s">
        <v>2030</v>
      </c>
      <c r="G55" s="5" t="s">
        <v>2031</v>
      </c>
      <c r="H55" s="5" t="s">
        <v>76</v>
      </c>
      <c r="I55" s="5" t="s">
        <v>73</v>
      </c>
      <c r="J55" s="5" t="s">
        <v>53</v>
      </c>
      <c r="K55" s="5" t="s">
        <v>53</v>
      </c>
      <c r="L55" s="9" t="s">
        <v>803</v>
      </c>
      <c r="M55" s="9" t="s">
        <v>311</v>
      </c>
      <c r="N55" s="5" t="s">
        <v>267</v>
      </c>
      <c r="O55" s="5" t="s">
        <v>62</v>
      </c>
      <c r="P55" s="5" t="s">
        <v>1259</v>
      </c>
      <c r="Q55" s="193">
        <v>8064</v>
      </c>
      <c r="R55" s="195">
        <v>1</v>
      </c>
      <c r="S55" s="196">
        <v>1656</v>
      </c>
      <c r="T55" s="9"/>
      <c r="U55" s="193">
        <v>133.54</v>
      </c>
      <c r="V55" s="197">
        <v>6.9999999999999999E-6</v>
      </c>
      <c r="W55" s="197">
        <v>1.76153408215667E-2</v>
      </c>
      <c r="X55" s="197">
        <v>7.6860909780997301E-3</v>
      </c>
    </row>
    <row r="56" spans="1:24">
      <c r="A56" s="5">
        <v>337</v>
      </c>
      <c r="B56" s="5">
        <v>1477</v>
      </c>
      <c r="C56" s="5" t="s">
        <v>2032</v>
      </c>
      <c r="D56" s="5" t="s">
        <v>2033</v>
      </c>
      <c r="E56" s="5" t="s">
        <v>1346</v>
      </c>
      <c r="F56" s="5" t="s">
        <v>2034</v>
      </c>
      <c r="G56" s="5" t="s">
        <v>2035</v>
      </c>
      <c r="H56" s="5" t="s">
        <v>76</v>
      </c>
      <c r="I56" s="5" t="s">
        <v>73</v>
      </c>
      <c r="J56" s="5" t="s">
        <v>53</v>
      </c>
      <c r="K56" s="5" t="s">
        <v>314</v>
      </c>
      <c r="L56" s="9" t="s">
        <v>803</v>
      </c>
      <c r="M56" s="9" t="s">
        <v>311</v>
      </c>
      <c r="N56" s="5" t="s">
        <v>253</v>
      </c>
      <c r="O56" s="5" t="s">
        <v>62</v>
      </c>
      <c r="P56" s="5" t="s">
        <v>1259</v>
      </c>
      <c r="Q56" s="193">
        <v>175</v>
      </c>
      <c r="R56" s="195">
        <v>1</v>
      </c>
      <c r="S56" s="196">
        <v>57150</v>
      </c>
      <c r="T56" s="9"/>
      <c r="U56" s="193">
        <v>100.01300000000001</v>
      </c>
      <c r="V56" s="197">
        <v>1.9999999999999999E-6</v>
      </c>
      <c r="W56" s="197">
        <v>1.3192724163193101E-2</v>
      </c>
      <c r="X56" s="197">
        <v>5.7563733335849396E-3</v>
      </c>
    </row>
    <row r="57" spans="1:24">
      <c r="A57" s="5">
        <v>337</v>
      </c>
      <c r="B57" s="5">
        <v>1477</v>
      </c>
      <c r="C57" s="5" t="s">
        <v>2036</v>
      </c>
      <c r="D57" s="5" t="s">
        <v>2037</v>
      </c>
      <c r="E57" s="5" t="s">
        <v>1346</v>
      </c>
      <c r="F57" s="5" t="s">
        <v>2038</v>
      </c>
      <c r="G57" s="5" t="s">
        <v>2039</v>
      </c>
      <c r="H57" s="5" t="s">
        <v>76</v>
      </c>
      <c r="I57" s="5" t="s">
        <v>73</v>
      </c>
      <c r="J57" s="5" t="s">
        <v>53</v>
      </c>
      <c r="K57" s="5" t="s">
        <v>53</v>
      </c>
      <c r="L57" s="9" t="s">
        <v>803</v>
      </c>
      <c r="M57" s="9" t="s">
        <v>311</v>
      </c>
      <c r="N57" s="5" t="s">
        <v>633</v>
      </c>
      <c r="O57" s="5" t="s">
        <v>62</v>
      </c>
      <c r="P57" s="5" t="s">
        <v>1259</v>
      </c>
      <c r="Q57" s="193">
        <v>137</v>
      </c>
      <c r="R57" s="195">
        <v>1</v>
      </c>
      <c r="S57" s="196">
        <v>34080</v>
      </c>
      <c r="T57" s="9"/>
      <c r="U57" s="193">
        <v>46.69</v>
      </c>
      <c r="V57" s="197">
        <v>1.9000000000000001E-5</v>
      </c>
      <c r="W57" s="197">
        <v>6.1588602833627798E-3</v>
      </c>
      <c r="X57" s="197">
        <v>2.6872917724859099E-3</v>
      </c>
    </row>
    <row r="58" spans="1:24">
      <c r="A58" s="5">
        <v>337</v>
      </c>
      <c r="B58" s="5">
        <v>1477</v>
      </c>
      <c r="C58" s="5" t="s">
        <v>2040</v>
      </c>
      <c r="D58" s="5" t="s">
        <v>2041</v>
      </c>
      <c r="E58" s="5" t="s">
        <v>1346</v>
      </c>
      <c r="F58" s="5" t="s">
        <v>2040</v>
      </c>
      <c r="G58" s="5" t="s">
        <v>2042</v>
      </c>
      <c r="H58" s="5" t="s">
        <v>76</v>
      </c>
      <c r="I58" s="5" t="s">
        <v>73</v>
      </c>
      <c r="J58" s="5" t="s">
        <v>53</v>
      </c>
      <c r="K58" s="5" t="s">
        <v>53</v>
      </c>
      <c r="L58" s="9" t="s">
        <v>803</v>
      </c>
      <c r="M58" s="9" t="s">
        <v>311</v>
      </c>
      <c r="N58" s="5" t="s">
        <v>635</v>
      </c>
      <c r="O58" s="5" t="s">
        <v>62</v>
      </c>
      <c r="P58" s="5" t="s">
        <v>1259</v>
      </c>
      <c r="Q58" s="193">
        <v>915</v>
      </c>
      <c r="R58" s="195">
        <v>1</v>
      </c>
      <c r="S58" s="196">
        <v>12570</v>
      </c>
      <c r="T58" s="9"/>
      <c r="U58" s="193">
        <v>115.01600000000001</v>
      </c>
      <c r="V58" s="197">
        <v>1.1E-5</v>
      </c>
      <c r="W58" s="197">
        <v>1.5171781187268901E-2</v>
      </c>
      <c r="X58" s="197">
        <v>6.6198940847287903E-3</v>
      </c>
    </row>
    <row r="59" spans="1:24">
      <c r="A59" s="5">
        <v>337</v>
      </c>
      <c r="B59" s="5">
        <v>1477</v>
      </c>
      <c r="C59" s="5" t="s">
        <v>2043</v>
      </c>
      <c r="D59" s="5" t="s">
        <v>2044</v>
      </c>
      <c r="E59" s="5" t="s">
        <v>1346</v>
      </c>
      <c r="F59" s="5" t="s">
        <v>2045</v>
      </c>
      <c r="G59" s="5" t="s">
        <v>2046</v>
      </c>
      <c r="H59" s="5" t="s">
        <v>76</v>
      </c>
      <c r="I59" s="5" t="s">
        <v>73</v>
      </c>
      <c r="J59" s="5" t="s">
        <v>53</v>
      </c>
      <c r="K59" s="5" t="s">
        <v>53</v>
      </c>
      <c r="L59" s="9" t="s">
        <v>803</v>
      </c>
      <c r="M59" s="9" t="s">
        <v>311</v>
      </c>
      <c r="N59" s="5" t="s">
        <v>629</v>
      </c>
      <c r="O59" s="5" t="s">
        <v>62</v>
      </c>
      <c r="P59" s="5" t="s">
        <v>1259</v>
      </c>
      <c r="Q59" s="193">
        <v>191</v>
      </c>
      <c r="R59" s="195">
        <v>1</v>
      </c>
      <c r="S59" s="196">
        <v>3958</v>
      </c>
      <c r="T59" s="9"/>
      <c r="U59" s="193">
        <v>7.56</v>
      </c>
      <c r="V59" s="197">
        <v>1.2E-5</v>
      </c>
      <c r="W59" s="197">
        <v>9.9721627071040005E-4</v>
      </c>
      <c r="X59" s="197">
        <v>4.35114770651356E-4</v>
      </c>
    </row>
    <row r="60" spans="1:24">
      <c r="A60" s="5">
        <v>337</v>
      </c>
      <c r="B60" s="5">
        <v>1477</v>
      </c>
      <c r="C60" s="5" t="s">
        <v>2047</v>
      </c>
      <c r="D60" s="5" t="s">
        <v>2048</v>
      </c>
      <c r="E60" s="5" t="s">
        <v>1346</v>
      </c>
      <c r="F60" s="5" t="s">
        <v>2049</v>
      </c>
      <c r="G60" s="5" t="s">
        <v>2050</v>
      </c>
      <c r="H60" s="5" t="s">
        <v>76</v>
      </c>
      <c r="I60" s="5" t="s">
        <v>73</v>
      </c>
      <c r="J60" s="5" t="s">
        <v>53</v>
      </c>
      <c r="K60" s="5" t="s">
        <v>53</v>
      </c>
      <c r="L60" s="9" t="s">
        <v>803</v>
      </c>
      <c r="M60" s="9" t="s">
        <v>311</v>
      </c>
      <c r="N60" s="5" t="s">
        <v>633</v>
      </c>
      <c r="O60" s="5" t="s">
        <v>62</v>
      </c>
      <c r="P60" s="5" t="s">
        <v>1259</v>
      </c>
      <c r="Q60" s="193">
        <v>1229</v>
      </c>
      <c r="R60" s="195">
        <v>1</v>
      </c>
      <c r="S60" s="196">
        <v>1095</v>
      </c>
      <c r="T60" s="9"/>
      <c r="U60" s="193">
        <v>13.458</v>
      </c>
      <c r="V60" s="197">
        <v>6.0000000000000002E-6</v>
      </c>
      <c r="W60" s="197">
        <v>1.77519555117989E-3</v>
      </c>
      <c r="X60" s="197">
        <v>7.7456999830407105E-4</v>
      </c>
    </row>
    <row r="61" spans="1:24">
      <c r="A61" s="5">
        <v>337</v>
      </c>
      <c r="B61" s="5">
        <v>1477</v>
      </c>
      <c r="C61" s="5" t="s">
        <v>2051</v>
      </c>
      <c r="D61" s="5" t="s">
        <v>2052</v>
      </c>
      <c r="E61" s="5" t="s">
        <v>1346</v>
      </c>
      <c r="F61" s="5" t="s">
        <v>2053</v>
      </c>
      <c r="G61" s="5" t="s">
        <v>2054</v>
      </c>
      <c r="H61" s="5" t="s">
        <v>76</v>
      </c>
      <c r="I61" s="5" t="s">
        <v>73</v>
      </c>
      <c r="J61" s="5" t="s">
        <v>53</v>
      </c>
      <c r="K61" s="5" t="s">
        <v>317</v>
      </c>
      <c r="L61" s="9" t="s">
        <v>803</v>
      </c>
      <c r="M61" s="9" t="s">
        <v>311</v>
      </c>
      <c r="N61" s="5" t="s">
        <v>75</v>
      </c>
      <c r="O61" s="5" t="s">
        <v>62</v>
      </c>
      <c r="P61" s="5" t="s">
        <v>1259</v>
      </c>
      <c r="Q61" s="193">
        <v>143</v>
      </c>
      <c r="R61" s="195">
        <v>1</v>
      </c>
      <c r="S61" s="196">
        <v>15810</v>
      </c>
      <c r="T61" s="9"/>
      <c r="U61" s="193">
        <v>22.608000000000001</v>
      </c>
      <c r="V61" s="197">
        <v>1.2E-5</v>
      </c>
      <c r="W61" s="197">
        <v>2.9822778722531501E-3</v>
      </c>
      <c r="X61" s="197">
        <v>1.30125549543995E-3</v>
      </c>
    </row>
    <row r="62" spans="1:24">
      <c r="A62" s="5">
        <v>337</v>
      </c>
      <c r="B62" s="5">
        <v>1477</v>
      </c>
      <c r="C62" s="5" t="s">
        <v>2055</v>
      </c>
      <c r="D62" s="5" t="s">
        <v>2056</v>
      </c>
      <c r="E62" s="5" t="s">
        <v>1346</v>
      </c>
      <c r="F62" s="5" t="s">
        <v>2057</v>
      </c>
      <c r="G62" s="5" t="s">
        <v>2058</v>
      </c>
      <c r="H62" s="5" t="s">
        <v>76</v>
      </c>
      <c r="I62" s="5" t="s">
        <v>73</v>
      </c>
      <c r="J62" s="5" t="s">
        <v>53</v>
      </c>
      <c r="K62" s="5" t="s">
        <v>53</v>
      </c>
      <c r="L62" s="9" t="s">
        <v>803</v>
      </c>
      <c r="M62" s="9" t="s">
        <v>311</v>
      </c>
      <c r="N62" s="5" t="s">
        <v>633</v>
      </c>
      <c r="O62" s="5" t="s">
        <v>62</v>
      </c>
      <c r="P62" s="5" t="s">
        <v>1259</v>
      </c>
      <c r="Q62" s="193">
        <v>426</v>
      </c>
      <c r="R62" s="195">
        <v>1</v>
      </c>
      <c r="S62" s="196">
        <v>30970</v>
      </c>
      <c r="T62" s="9"/>
      <c r="U62" s="193">
        <v>131.93199999999999</v>
      </c>
      <c r="V62" s="197">
        <v>3.9999999999999998E-6</v>
      </c>
      <c r="W62" s="197">
        <v>1.74032758189549E-2</v>
      </c>
      <c r="X62" s="197">
        <v>7.5935607841139301E-3</v>
      </c>
    </row>
    <row r="63" spans="1:24">
      <c r="A63" s="5">
        <v>337</v>
      </c>
      <c r="B63" s="5">
        <v>1477</v>
      </c>
      <c r="C63" s="5" t="s">
        <v>2059</v>
      </c>
      <c r="D63" s="5" t="s">
        <v>2060</v>
      </c>
      <c r="E63" s="5" t="s">
        <v>1346</v>
      </c>
      <c r="F63" s="5" t="s">
        <v>2061</v>
      </c>
      <c r="G63" s="5" t="s">
        <v>2062</v>
      </c>
      <c r="H63" s="5" t="s">
        <v>76</v>
      </c>
      <c r="I63" s="5" t="s">
        <v>73</v>
      </c>
      <c r="J63" s="5" t="s">
        <v>53</v>
      </c>
      <c r="K63" s="5" t="s">
        <v>53</v>
      </c>
      <c r="L63" s="9" t="s">
        <v>803</v>
      </c>
      <c r="M63" s="9" t="s">
        <v>311</v>
      </c>
      <c r="N63" s="5" t="s">
        <v>256</v>
      </c>
      <c r="O63" s="5" t="s">
        <v>62</v>
      </c>
      <c r="P63" s="5" t="s">
        <v>1259</v>
      </c>
      <c r="Q63" s="193">
        <v>4809</v>
      </c>
      <c r="R63" s="195">
        <v>1</v>
      </c>
      <c r="S63" s="196">
        <v>6462</v>
      </c>
      <c r="T63" s="9"/>
      <c r="U63" s="193">
        <v>310.75799999999998</v>
      </c>
      <c r="V63" s="197">
        <v>3.9999999999999998E-6</v>
      </c>
      <c r="W63" s="197">
        <v>4.0992266312324999E-2</v>
      </c>
      <c r="X63" s="197">
        <v>1.7886130700876302E-2</v>
      </c>
    </row>
    <row r="64" spans="1:24">
      <c r="A64" s="5">
        <v>337</v>
      </c>
      <c r="B64" s="5">
        <v>1477</v>
      </c>
      <c r="C64" s="5" t="s">
        <v>2063</v>
      </c>
      <c r="D64" s="5" t="s">
        <v>2064</v>
      </c>
      <c r="E64" s="5" t="s">
        <v>1346</v>
      </c>
      <c r="F64" s="5" t="s">
        <v>2065</v>
      </c>
      <c r="G64" s="5" t="s">
        <v>2066</v>
      </c>
      <c r="H64" s="5" t="s">
        <v>76</v>
      </c>
      <c r="I64" s="5" t="s">
        <v>73</v>
      </c>
      <c r="J64" s="5" t="s">
        <v>53</v>
      </c>
      <c r="K64" s="5" t="s">
        <v>53</v>
      </c>
      <c r="L64" s="9" t="s">
        <v>803</v>
      </c>
      <c r="M64" s="9" t="s">
        <v>311</v>
      </c>
      <c r="N64" s="5" t="s">
        <v>632</v>
      </c>
      <c r="O64" s="5" t="s">
        <v>62</v>
      </c>
      <c r="P64" s="5" t="s">
        <v>1259</v>
      </c>
      <c r="Q64" s="193">
        <v>199</v>
      </c>
      <c r="R64" s="195">
        <v>1</v>
      </c>
      <c r="S64" s="196">
        <v>33720</v>
      </c>
      <c r="T64" s="9"/>
      <c r="U64" s="193">
        <v>67.102999999999994</v>
      </c>
      <c r="V64" s="197">
        <v>1.4E-5</v>
      </c>
      <c r="W64" s="197">
        <v>8.8515808621713599E-3</v>
      </c>
      <c r="X64" s="197">
        <v>3.8622049096751201E-3</v>
      </c>
    </row>
    <row r="65" spans="1:24">
      <c r="A65" s="5">
        <v>337</v>
      </c>
      <c r="B65" s="5">
        <v>1477</v>
      </c>
      <c r="C65" s="5" t="s">
        <v>2067</v>
      </c>
      <c r="D65" s="5" t="s">
        <v>2068</v>
      </c>
      <c r="E65" s="5" t="s">
        <v>1346</v>
      </c>
      <c r="F65" s="5" t="s">
        <v>2069</v>
      </c>
      <c r="G65" s="5" t="s">
        <v>2070</v>
      </c>
      <c r="H65" s="5" t="s">
        <v>76</v>
      </c>
      <c r="I65" s="5" t="s">
        <v>73</v>
      </c>
      <c r="J65" s="5" t="s">
        <v>53</v>
      </c>
      <c r="K65" s="5" t="s">
        <v>53</v>
      </c>
      <c r="L65" s="9" t="s">
        <v>803</v>
      </c>
      <c r="M65" s="9" t="s">
        <v>311</v>
      </c>
      <c r="N65" s="5" t="s">
        <v>252</v>
      </c>
      <c r="O65" s="5" t="s">
        <v>62</v>
      </c>
      <c r="P65" s="5" t="s">
        <v>1259</v>
      </c>
      <c r="Q65" s="193">
        <v>133</v>
      </c>
      <c r="R65" s="195">
        <v>1</v>
      </c>
      <c r="S65" s="196">
        <v>42880</v>
      </c>
      <c r="T65" s="9"/>
      <c r="U65" s="193">
        <v>57.03</v>
      </c>
      <c r="V65" s="197">
        <v>7.9999999999999996E-6</v>
      </c>
      <c r="W65" s="197">
        <v>7.5229229957912E-3</v>
      </c>
      <c r="X65" s="197">
        <v>3.2824724285832499E-3</v>
      </c>
    </row>
    <row r="66" spans="1:24">
      <c r="A66" s="5">
        <v>337</v>
      </c>
      <c r="B66" s="5">
        <v>1477</v>
      </c>
      <c r="C66" s="5" t="s">
        <v>2071</v>
      </c>
      <c r="D66" s="5" t="s">
        <v>2072</v>
      </c>
      <c r="E66" s="5" t="s">
        <v>1346</v>
      </c>
      <c r="F66" s="5" t="s">
        <v>2073</v>
      </c>
      <c r="G66" s="5" t="s">
        <v>2074</v>
      </c>
      <c r="H66" s="5" t="s">
        <v>76</v>
      </c>
      <c r="I66" s="5" t="s">
        <v>73</v>
      </c>
      <c r="J66" s="5" t="s">
        <v>53</v>
      </c>
      <c r="K66" s="5" t="s">
        <v>53</v>
      </c>
      <c r="L66" s="9" t="s">
        <v>803</v>
      </c>
      <c r="M66" s="9" t="s">
        <v>311</v>
      </c>
      <c r="N66" s="5" t="s">
        <v>156</v>
      </c>
      <c r="O66" s="5" t="s">
        <v>62</v>
      </c>
      <c r="P66" s="5" t="s">
        <v>1259</v>
      </c>
      <c r="Q66" s="193">
        <v>258</v>
      </c>
      <c r="R66" s="195">
        <v>1</v>
      </c>
      <c r="S66" s="196">
        <v>6455</v>
      </c>
      <c r="T66" s="9"/>
      <c r="U66" s="193">
        <v>16.654</v>
      </c>
      <c r="V66" s="197">
        <v>2.0999999999999999E-5</v>
      </c>
      <c r="W66" s="197">
        <v>2.19682848585328E-3</v>
      </c>
      <c r="X66" s="197">
        <v>9.5854084099677701E-4</v>
      </c>
    </row>
    <row r="67" spans="1:24">
      <c r="A67" s="5">
        <v>337</v>
      </c>
      <c r="B67" s="5">
        <v>1477</v>
      </c>
      <c r="C67" s="5" t="s">
        <v>2075</v>
      </c>
      <c r="D67" s="5" t="s">
        <v>2076</v>
      </c>
      <c r="E67" s="5" t="s">
        <v>1346</v>
      </c>
      <c r="F67" s="5" t="s">
        <v>2077</v>
      </c>
      <c r="G67" s="5" t="s">
        <v>2078</v>
      </c>
      <c r="H67" s="5" t="s">
        <v>76</v>
      </c>
      <c r="I67" s="5" t="s">
        <v>73</v>
      </c>
      <c r="J67" s="5" t="s">
        <v>53</v>
      </c>
      <c r="K67" s="5" t="s">
        <v>53</v>
      </c>
      <c r="L67" s="9" t="s">
        <v>803</v>
      </c>
      <c r="M67" s="9" t="s">
        <v>311</v>
      </c>
      <c r="N67" s="5" t="s">
        <v>140</v>
      </c>
      <c r="O67" s="5" t="s">
        <v>62</v>
      </c>
      <c r="P67" s="5" t="s">
        <v>1259</v>
      </c>
      <c r="Q67" s="193">
        <v>741</v>
      </c>
      <c r="R67" s="195">
        <v>1</v>
      </c>
      <c r="S67" s="196">
        <v>11810</v>
      </c>
      <c r="T67" s="9"/>
      <c r="U67" s="193">
        <v>87.512</v>
      </c>
      <c r="V67" s="197">
        <v>3.3000000000000003E-5</v>
      </c>
      <c r="W67" s="197">
        <v>1.15437869890441E-2</v>
      </c>
      <c r="X67" s="197">
        <v>5.0368935763631401E-3</v>
      </c>
    </row>
    <row r="68" spans="1:24">
      <c r="A68" s="5">
        <v>337</v>
      </c>
      <c r="B68" s="5">
        <v>1477</v>
      </c>
      <c r="C68" s="5" t="s">
        <v>2079</v>
      </c>
      <c r="D68" s="5" t="s">
        <v>2080</v>
      </c>
      <c r="E68" s="5" t="s">
        <v>1346</v>
      </c>
      <c r="F68" s="5" t="s">
        <v>2081</v>
      </c>
      <c r="G68" s="5" t="s">
        <v>2082</v>
      </c>
      <c r="H68" s="5" t="s">
        <v>76</v>
      </c>
      <c r="I68" s="5" t="s">
        <v>73</v>
      </c>
      <c r="J68" s="5" t="s">
        <v>53</v>
      </c>
      <c r="K68" s="5" t="s">
        <v>53</v>
      </c>
      <c r="L68" s="9" t="s">
        <v>803</v>
      </c>
      <c r="M68" s="9" t="s">
        <v>311</v>
      </c>
      <c r="N68" s="5" t="s">
        <v>259</v>
      </c>
      <c r="O68" s="5" t="s">
        <v>62</v>
      </c>
      <c r="P68" s="5" t="s">
        <v>1259</v>
      </c>
      <c r="Q68" s="193">
        <v>147</v>
      </c>
      <c r="R68" s="195">
        <v>1</v>
      </c>
      <c r="S68" s="196">
        <v>58480</v>
      </c>
      <c r="T68" s="9"/>
      <c r="U68" s="193">
        <v>85.965999999999994</v>
      </c>
      <c r="V68" s="197">
        <v>9.0000000000000002E-6</v>
      </c>
      <c r="W68" s="197">
        <v>1.13397870098577E-2</v>
      </c>
      <c r="X68" s="197">
        <v>4.9478823891576503E-3</v>
      </c>
    </row>
    <row r="69" spans="1:24">
      <c r="A69" s="5">
        <v>337</v>
      </c>
      <c r="B69" s="5">
        <v>1477</v>
      </c>
      <c r="C69" s="5" t="s">
        <v>2083</v>
      </c>
      <c r="D69" s="5" t="s">
        <v>2084</v>
      </c>
      <c r="E69" s="5" t="s">
        <v>1346</v>
      </c>
      <c r="F69" s="5" t="s">
        <v>2085</v>
      </c>
      <c r="G69" s="5" t="s">
        <v>2086</v>
      </c>
      <c r="H69" s="5" t="s">
        <v>76</v>
      </c>
      <c r="I69" s="5" t="s">
        <v>73</v>
      </c>
      <c r="J69" s="5" t="s">
        <v>53</v>
      </c>
      <c r="K69" s="5" t="s">
        <v>317</v>
      </c>
      <c r="L69" s="9" t="s">
        <v>803</v>
      </c>
      <c r="M69" s="9" t="s">
        <v>311</v>
      </c>
      <c r="N69" s="5" t="s">
        <v>254</v>
      </c>
      <c r="O69" s="5" t="s">
        <v>62</v>
      </c>
      <c r="P69" s="5" t="s">
        <v>1259</v>
      </c>
      <c r="Q69" s="193">
        <v>334</v>
      </c>
      <c r="R69" s="195">
        <v>1</v>
      </c>
      <c r="S69" s="196">
        <v>29040</v>
      </c>
      <c r="T69" s="9"/>
      <c r="U69" s="193">
        <v>96.994</v>
      </c>
      <c r="V69" s="197">
        <v>6.9999999999999999E-6</v>
      </c>
      <c r="W69" s="197">
        <v>1.27944987916019E-2</v>
      </c>
      <c r="X69" s="197">
        <v>5.5826158986967004E-3</v>
      </c>
    </row>
    <row r="70" spans="1:24">
      <c r="A70" s="5">
        <v>337</v>
      </c>
      <c r="B70" s="5">
        <v>1477</v>
      </c>
      <c r="C70" s="5" t="s">
        <v>2087</v>
      </c>
      <c r="D70" s="5" t="s">
        <v>2088</v>
      </c>
      <c r="E70" s="5" t="s">
        <v>1346</v>
      </c>
      <c r="F70" s="5" t="s">
        <v>2089</v>
      </c>
      <c r="G70" s="5" t="s">
        <v>2090</v>
      </c>
      <c r="H70" s="5" t="s">
        <v>76</v>
      </c>
      <c r="I70" s="5" t="s">
        <v>73</v>
      </c>
      <c r="J70" s="5" t="s">
        <v>53</v>
      </c>
      <c r="K70" s="5" t="s">
        <v>53</v>
      </c>
      <c r="L70" s="9" t="s">
        <v>803</v>
      </c>
      <c r="M70" s="9" t="s">
        <v>311</v>
      </c>
      <c r="N70" s="5" t="s">
        <v>75</v>
      </c>
      <c r="O70" s="5" t="s">
        <v>62</v>
      </c>
      <c r="P70" s="5" t="s">
        <v>1259</v>
      </c>
      <c r="Q70" s="193">
        <v>1053</v>
      </c>
      <c r="R70" s="195">
        <v>1</v>
      </c>
      <c r="S70" s="196">
        <v>3315</v>
      </c>
      <c r="T70" s="9"/>
      <c r="U70" s="193">
        <v>34.906999999999996</v>
      </c>
      <c r="V70" s="197">
        <v>1.1E-5</v>
      </c>
      <c r="W70" s="197">
        <v>4.6046020520272299E-3</v>
      </c>
      <c r="X70" s="197">
        <v>2.0091232209652099E-3</v>
      </c>
    </row>
    <row r="71" spans="1:24">
      <c r="A71" s="5">
        <v>337</v>
      </c>
      <c r="B71" s="5">
        <v>1477</v>
      </c>
      <c r="C71" s="5" t="s">
        <v>2091</v>
      </c>
      <c r="D71" s="5" t="s">
        <v>2092</v>
      </c>
      <c r="E71" s="5" t="s">
        <v>1346</v>
      </c>
      <c r="F71" s="5" t="s">
        <v>2093</v>
      </c>
      <c r="G71" s="5" t="s">
        <v>2094</v>
      </c>
      <c r="H71" s="5" t="s">
        <v>76</v>
      </c>
      <c r="I71" s="5" t="s">
        <v>73</v>
      </c>
      <c r="J71" s="5" t="s">
        <v>53</v>
      </c>
      <c r="K71" s="5" t="s">
        <v>53</v>
      </c>
      <c r="L71" s="9" t="s">
        <v>803</v>
      </c>
      <c r="M71" s="9" t="s">
        <v>311</v>
      </c>
      <c r="N71" s="5" t="s">
        <v>633</v>
      </c>
      <c r="O71" s="5" t="s">
        <v>62</v>
      </c>
      <c r="P71" s="5" t="s">
        <v>1259</v>
      </c>
      <c r="Q71" s="193">
        <v>1995</v>
      </c>
      <c r="R71" s="195">
        <v>1</v>
      </c>
      <c r="S71" s="196">
        <v>2261</v>
      </c>
      <c r="T71" s="9"/>
      <c r="U71" s="193">
        <v>45.106999999999999</v>
      </c>
      <c r="V71" s="197">
        <v>1.0000000000000001E-5</v>
      </c>
      <c r="W71" s="197">
        <v>5.9500917304631199E-3</v>
      </c>
      <c r="X71" s="197">
        <v>2.5961999164039401E-3</v>
      </c>
    </row>
    <row r="72" spans="1:24">
      <c r="A72" s="5">
        <v>337</v>
      </c>
      <c r="B72" s="5">
        <v>1477</v>
      </c>
      <c r="C72" s="5" t="s">
        <v>2095</v>
      </c>
      <c r="D72" s="5" t="s">
        <v>2096</v>
      </c>
      <c r="E72" s="5" t="s">
        <v>1346</v>
      </c>
      <c r="F72" s="5" t="s">
        <v>2097</v>
      </c>
      <c r="G72" s="5" t="s">
        <v>2098</v>
      </c>
      <c r="H72" s="5" t="s">
        <v>76</v>
      </c>
      <c r="I72" s="5" t="s">
        <v>73</v>
      </c>
      <c r="J72" s="5" t="s">
        <v>53</v>
      </c>
      <c r="K72" s="5" t="s">
        <v>53</v>
      </c>
      <c r="L72" s="9" t="s">
        <v>803</v>
      </c>
      <c r="M72" s="9" t="s">
        <v>311</v>
      </c>
      <c r="N72" s="5" t="s">
        <v>632</v>
      </c>
      <c r="O72" s="5" t="s">
        <v>62</v>
      </c>
      <c r="P72" s="5" t="s">
        <v>1259</v>
      </c>
      <c r="Q72" s="193">
        <v>59</v>
      </c>
      <c r="R72" s="195">
        <v>1</v>
      </c>
      <c r="S72" s="196">
        <v>6518</v>
      </c>
      <c r="T72" s="9"/>
      <c r="U72" s="193">
        <v>3.8460000000000001</v>
      </c>
      <c r="V72" s="197">
        <v>9.9999999999999995E-7</v>
      </c>
      <c r="W72" s="197">
        <v>5.0727862913594397E-4</v>
      </c>
      <c r="X72" s="197">
        <v>2.2134057661893201E-4</v>
      </c>
    </row>
    <row r="73" spans="1:24">
      <c r="A73" s="5">
        <v>337</v>
      </c>
      <c r="B73" s="5">
        <v>1477</v>
      </c>
      <c r="C73" s="5" t="s">
        <v>2099</v>
      </c>
      <c r="D73" s="5" t="s">
        <v>2100</v>
      </c>
      <c r="E73" s="5" t="s">
        <v>1346</v>
      </c>
      <c r="F73" s="5" t="s">
        <v>2101</v>
      </c>
      <c r="G73" s="5" t="s">
        <v>2102</v>
      </c>
      <c r="H73" s="5" t="s">
        <v>76</v>
      </c>
      <c r="I73" s="5" t="s">
        <v>73</v>
      </c>
      <c r="J73" s="5" t="s">
        <v>53</v>
      </c>
      <c r="K73" s="5" t="s">
        <v>53</v>
      </c>
      <c r="L73" s="9" t="s">
        <v>803</v>
      </c>
      <c r="M73" s="9" t="s">
        <v>311</v>
      </c>
      <c r="N73" s="5" t="s">
        <v>632</v>
      </c>
      <c r="O73" s="5" t="s">
        <v>62</v>
      </c>
      <c r="P73" s="5" t="s">
        <v>1259</v>
      </c>
      <c r="Q73" s="193">
        <v>39</v>
      </c>
      <c r="R73" s="195">
        <v>1</v>
      </c>
      <c r="S73" s="196">
        <v>32510</v>
      </c>
      <c r="T73" s="9"/>
      <c r="U73" s="193">
        <v>12.679</v>
      </c>
      <c r="V73" s="197">
        <v>3.0000000000000001E-6</v>
      </c>
      <c r="W73" s="197">
        <v>1.6724832435216499E-3</v>
      </c>
      <c r="X73" s="197">
        <v>7.2975359939197603E-4</v>
      </c>
    </row>
    <row r="74" spans="1:24">
      <c r="A74" s="5">
        <v>337</v>
      </c>
      <c r="B74" s="5">
        <v>1477</v>
      </c>
      <c r="C74" s="5" t="s">
        <v>2103</v>
      </c>
      <c r="D74" s="5" t="s">
        <v>2104</v>
      </c>
      <c r="E74" s="5" t="s">
        <v>431</v>
      </c>
      <c r="F74" s="5" t="s">
        <v>2105</v>
      </c>
      <c r="G74" s="5" t="s">
        <v>2106</v>
      </c>
      <c r="H74" s="5" t="s">
        <v>76</v>
      </c>
      <c r="I74" s="5" t="s">
        <v>73</v>
      </c>
      <c r="J74" s="5" t="s">
        <v>53</v>
      </c>
      <c r="K74" s="5" t="s">
        <v>53</v>
      </c>
      <c r="L74" s="9" t="s">
        <v>803</v>
      </c>
      <c r="M74" s="9" t="s">
        <v>311</v>
      </c>
      <c r="N74" s="5" t="s">
        <v>267</v>
      </c>
      <c r="O74" s="5" t="s">
        <v>62</v>
      </c>
      <c r="P74" s="5" t="s">
        <v>1259</v>
      </c>
      <c r="Q74" s="193">
        <v>13447</v>
      </c>
      <c r="R74" s="195">
        <v>1</v>
      </c>
      <c r="S74" s="196">
        <v>483.9</v>
      </c>
      <c r="T74" s="9"/>
      <c r="U74" s="193">
        <v>65.069999999999993</v>
      </c>
      <c r="V74" s="197">
        <v>1.2E-5</v>
      </c>
      <c r="W74" s="197">
        <v>8.5834370369591E-3</v>
      </c>
      <c r="X74" s="197">
        <v>3.7452058770322898E-3</v>
      </c>
    </row>
    <row r="75" spans="1:24">
      <c r="A75" s="5">
        <v>337</v>
      </c>
      <c r="B75" s="5">
        <v>1477</v>
      </c>
      <c r="C75" s="5" t="s">
        <v>2107</v>
      </c>
      <c r="D75" s="5" t="s">
        <v>2108</v>
      </c>
      <c r="E75" s="5" t="s">
        <v>1346</v>
      </c>
      <c r="F75" s="5" t="s">
        <v>2109</v>
      </c>
      <c r="G75" s="5" t="s">
        <v>2110</v>
      </c>
      <c r="H75" s="5" t="s">
        <v>76</v>
      </c>
      <c r="I75" s="5" t="s">
        <v>73</v>
      </c>
      <c r="J75" s="5" t="s">
        <v>53</v>
      </c>
      <c r="K75" s="5" t="s">
        <v>53</v>
      </c>
      <c r="L75" s="9" t="s">
        <v>803</v>
      </c>
      <c r="M75" s="9" t="s">
        <v>311</v>
      </c>
      <c r="N75" s="5" t="s">
        <v>632</v>
      </c>
      <c r="O75" s="5" t="s">
        <v>62</v>
      </c>
      <c r="P75" s="5" t="s">
        <v>1259</v>
      </c>
      <c r="Q75" s="193">
        <v>2056</v>
      </c>
      <c r="R75" s="195">
        <v>1</v>
      </c>
      <c r="S75" s="196">
        <v>3869</v>
      </c>
      <c r="T75" s="9"/>
      <c r="U75" s="193">
        <v>79.546999999999997</v>
      </c>
      <c r="V75" s="197">
        <v>6.9999999999999999E-6</v>
      </c>
      <c r="W75" s="197">
        <v>1.04930571641427E-2</v>
      </c>
      <c r="X75" s="197">
        <v>4.5784292690641704E-3</v>
      </c>
    </row>
    <row r="76" spans="1:24">
      <c r="A76" s="5">
        <v>337</v>
      </c>
      <c r="B76" s="5">
        <v>1477</v>
      </c>
      <c r="C76" s="5" t="s">
        <v>2111</v>
      </c>
      <c r="D76" s="5" t="s">
        <v>2112</v>
      </c>
      <c r="E76" s="5" t="s">
        <v>1346</v>
      </c>
      <c r="F76" s="5" t="s">
        <v>2113</v>
      </c>
      <c r="G76" s="5" t="s">
        <v>2114</v>
      </c>
      <c r="H76" s="5" t="s">
        <v>76</v>
      </c>
      <c r="I76" s="5" t="s">
        <v>73</v>
      </c>
      <c r="J76" s="5" t="s">
        <v>53</v>
      </c>
      <c r="K76" s="5" t="s">
        <v>317</v>
      </c>
      <c r="L76" s="9" t="s">
        <v>803</v>
      </c>
      <c r="M76" s="9" t="s">
        <v>311</v>
      </c>
      <c r="N76" s="5" t="s">
        <v>264</v>
      </c>
      <c r="O76" s="5" t="s">
        <v>62</v>
      </c>
      <c r="P76" s="5" t="s">
        <v>1259</v>
      </c>
      <c r="Q76" s="193">
        <v>570</v>
      </c>
      <c r="R76" s="195">
        <v>1</v>
      </c>
      <c r="S76" s="196">
        <v>10400</v>
      </c>
      <c r="T76" s="9"/>
      <c r="U76" s="193">
        <v>59.28</v>
      </c>
      <c r="V76" s="197">
        <v>4.3999999999999999E-5</v>
      </c>
      <c r="W76" s="197">
        <v>7.8196694252626996E-3</v>
      </c>
      <c r="X76" s="197">
        <v>3.4119516181968798E-3</v>
      </c>
    </row>
    <row r="77" spans="1:24">
      <c r="A77" s="5">
        <v>337</v>
      </c>
      <c r="B77" s="5">
        <v>1477</v>
      </c>
      <c r="C77" s="5" t="s">
        <v>2115</v>
      </c>
      <c r="D77" s="5" t="s">
        <v>2116</v>
      </c>
      <c r="E77" s="5" t="s">
        <v>1346</v>
      </c>
      <c r="F77" s="5" t="s">
        <v>2117</v>
      </c>
      <c r="G77" s="5" t="s">
        <v>2118</v>
      </c>
      <c r="H77" s="5" t="s">
        <v>76</v>
      </c>
      <c r="I77" s="5" t="s">
        <v>73</v>
      </c>
      <c r="J77" s="5" t="s">
        <v>53</v>
      </c>
      <c r="K77" s="5" t="s">
        <v>53</v>
      </c>
      <c r="L77" s="9" t="s">
        <v>803</v>
      </c>
      <c r="M77" s="9" t="s">
        <v>311</v>
      </c>
      <c r="N77" s="5" t="s">
        <v>75</v>
      </c>
      <c r="O77" s="5" t="s">
        <v>62</v>
      </c>
      <c r="P77" s="5" t="s">
        <v>1259</v>
      </c>
      <c r="Q77" s="193">
        <v>17</v>
      </c>
      <c r="R77" s="195">
        <v>1</v>
      </c>
      <c r="S77" s="196">
        <v>18000</v>
      </c>
      <c r="T77" s="9"/>
      <c r="U77" s="193">
        <v>3.06</v>
      </c>
      <c r="V77" s="197">
        <v>1.9999999999999999E-6</v>
      </c>
      <c r="W77" s="197">
        <v>4.0364690353076699E-4</v>
      </c>
      <c r="X77" s="197">
        <v>1.7612300863162E-4</v>
      </c>
    </row>
    <row r="78" spans="1:24">
      <c r="A78" s="5">
        <v>337</v>
      </c>
      <c r="B78" s="5">
        <v>1477</v>
      </c>
      <c r="C78" s="5" t="s">
        <v>2119</v>
      </c>
      <c r="D78" s="5" t="s">
        <v>2120</v>
      </c>
      <c r="E78" s="5" t="s">
        <v>429</v>
      </c>
      <c r="F78" s="5" t="s">
        <v>2121</v>
      </c>
      <c r="G78" s="5" t="s">
        <v>2122</v>
      </c>
      <c r="H78" s="5" t="s">
        <v>76</v>
      </c>
      <c r="I78" s="5" t="s">
        <v>73</v>
      </c>
      <c r="J78" s="5" t="s">
        <v>61</v>
      </c>
      <c r="K78" s="5" t="s">
        <v>314</v>
      </c>
      <c r="L78" s="9" t="s">
        <v>803</v>
      </c>
      <c r="M78" s="9" t="s">
        <v>478</v>
      </c>
      <c r="N78" s="5" t="s">
        <v>202</v>
      </c>
      <c r="O78" s="5" t="s">
        <v>62</v>
      </c>
      <c r="P78" s="5" t="s">
        <v>1215</v>
      </c>
      <c r="Q78" s="193">
        <v>165</v>
      </c>
      <c r="R78" s="195">
        <v>3.3719999999999999</v>
      </c>
      <c r="S78" s="196">
        <v>14190</v>
      </c>
      <c r="T78" s="9"/>
      <c r="U78" s="193">
        <v>78.95</v>
      </c>
      <c r="V78" s="197">
        <v>0</v>
      </c>
      <c r="W78" s="197">
        <v>1.0414396407861799E-2</v>
      </c>
      <c r="X78" s="197">
        <v>4.5441072689788196E-3</v>
      </c>
    </row>
    <row r="79" spans="1:24">
      <c r="A79" s="5">
        <v>337</v>
      </c>
      <c r="B79" s="5">
        <v>1477</v>
      </c>
      <c r="C79" s="5" t="s">
        <v>2123</v>
      </c>
      <c r="D79" s="5" t="s">
        <v>2124</v>
      </c>
      <c r="E79" s="5" t="s">
        <v>429</v>
      </c>
      <c r="F79" s="5" t="s">
        <v>2125</v>
      </c>
      <c r="G79" s="5" t="s">
        <v>2126</v>
      </c>
      <c r="H79" s="5" t="s">
        <v>76</v>
      </c>
      <c r="I79" s="5" t="s">
        <v>73</v>
      </c>
      <c r="J79" s="5" t="s">
        <v>61</v>
      </c>
      <c r="K79" s="5" t="s">
        <v>314</v>
      </c>
      <c r="L79" s="9" t="s">
        <v>803</v>
      </c>
      <c r="M79" s="9" t="s">
        <v>478</v>
      </c>
      <c r="N79" s="5" t="s">
        <v>2127</v>
      </c>
      <c r="O79" s="5" t="s">
        <v>62</v>
      </c>
      <c r="P79" s="5" t="s">
        <v>1215</v>
      </c>
      <c r="Q79" s="193">
        <v>137</v>
      </c>
      <c r="R79" s="195">
        <v>3.3719999999999999</v>
      </c>
      <c r="S79" s="196">
        <v>13234</v>
      </c>
      <c r="T79" s="9"/>
      <c r="U79" s="193">
        <v>61.136000000000003</v>
      </c>
      <c r="V79" s="197">
        <v>0</v>
      </c>
      <c r="W79" s="197">
        <v>8.0645374345762206E-3</v>
      </c>
      <c r="X79" s="197">
        <v>3.5187947282039E-3</v>
      </c>
    </row>
    <row r="80" spans="1:24">
      <c r="A80" s="5">
        <v>337</v>
      </c>
      <c r="B80" s="5">
        <v>1477</v>
      </c>
      <c r="C80" s="5" t="s">
        <v>2128</v>
      </c>
      <c r="D80" s="5" t="s">
        <v>2129</v>
      </c>
      <c r="E80" s="5" t="s">
        <v>429</v>
      </c>
      <c r="F80" s="5" t="s">
        <v>2130</v>
      </c>
      <c r="G80" s="5" t="s">
        <v>2131</v>
      </c>
      <c r="H80" s="5" t="s">
        <v>76</v>
      </c>
      <c r="I80" s="5" t="s">
        <v>73</v>
      </c>
      <c r="J80" s="5" t="s">
        <v>61</v>
      </c>
      <c r="K80" s="5" t="s">
        <v>314</v>
      </c>
      <c r="L80" s="9" t="s">
        <v>803</v>
      </c>
      <c r="M80" s="9" t="s">
        <v>478</v>
      </c>
      <c r="N80" s="5" t="s">
        <v>880</v>
      </c>
      <c r="O80" s="5" t="s">
        <v>62</v>
      </c>
      <c r="P80" s="5" t="s">
        <v>1215</v>
      </c>
      <c r="Q80" s="193">
        <v>29</v>
      </c>
      <c r="R80" s="195">
        <v>3.3719999999999999</v>
      </c>
      <c r="S80" s="196">
        <v>21939</v>
      </c>
      <c r="T80" s="9"/>
      <c r="U80" s="193">
        <v>21.454000000000001</v>
      </c>
      <c r="V80" s="197">
        <v>0</v>
      </c>
      <c r="W80" s="197">
        <v>2.82997494649254E-3</v>
      </c>
      <c r="X80" s="197">
        <v>1.2348012522047801E-3</v>
      </c>
    </row>
    <row r="81" spans="1:24">
      <c r="A81" s="5">
        <v>337</v>
      </c>
      <c r="B81" s="5">
        <v>1477</v>
      </c>
      <c r="C81" s="5" t="s">
        <v>2132</v>
      </c>
      <c r="D81" s="5" t="s">
        <v>2133</v>
      </c>
      <c r="E81" s="5" t="s">
        <v>429</v>
      </c>
      <c r="F81" s="5" t="s">
        <v>2134</v>
      </c>
      <c r="G81" s="5" t="s">
        <v>2135</v>
      </c>
      <c r="H81" s="5" t="s">
        <v>76</v>
      </c>
      <c r="I81" s="5" t="s">
        <v>73</v>
      </c>
      <c r="J81" s="5" t="s">
        <v>61</v>
      </c>
      <c r="K81" s="5" t="s">
        <v>188</v>
      </c>
      <c r="L81" s="9" t="s">
        <v>803</v>
      </c>
      <c r="M81" s="9" t="s">
        <v>475</v>
      </c>
      <c r="N81" s="5" t="s">
        <v>880</v>
      </c>
      <c r="O81" s="5" t="s">
        <v>62</v>
      </c>
      <c r="P81" s="5" t="s">
        <v>1215</v>
      </c>
      <c r="Q81" s="193">
        <v>72</v>
      </c>
      <c r="R81" s="195">
        <v>3.3719999999999999</v>
      </c>
      <c r="S81" s="196">
        <v>11341</v>
      </c>
      <c r="T81" s="170">
        <v>6.8400000000000002E-2</v>
      </c>
      <c r="U81" s="193">
        <v>27.76</v>
      </c>
      <c r="V81" s="197">
        <v>0</v>
      </c>
      <c r="W81" s="197">
        <v>3.6954010466724399E-3</v>
      </c>
      <c r="X81" s="197">
        <v>1.6124120976708501E-3</v>
      </c>
    </row>
    <row r="82" spans="1:24">
      <c r="A82" s="5">
        <v>337</v>
      </c>
      <c r="B82" s="5">
        <v>1477</v>
      </c>
      <c r="C82" s="5" t="s">
        <v>2136</v>
      </c>
      <c r="D82" s="5" t="s">
        <v>2137</v>
      </c>
      <c r="E82" s="5" t="s">
        <v>429</v>
      </c>
      <c r="F82" s="5" t="s">
        <v>2138</v>
      </c>
      <c r="G82" s="5" t="s">
        <v>2139</v>
      </c>
      <c r="H82" s="5" t="s">
        <v>76</v>
      </c>
      <c r="I82" s="5" t="s">
        <v>73</v>
      </c>
      <c r="J82" s="5" t="s">
        <v>61</v>
      </c>
      <c r="K82" s="5" t="s">
        <v>314</v>
      </c>
      <c r="L82" s="9" t="s">
        <v>803</v>
      </c>
      <c r="M82" s="9" t="s">
        <v>475</v>
      </c>
      <c r="N82" s="5" t="s">
        <v>2140</v>
      </c>
      <c r="O82" s="5" t="s">
        <v>62</v>
      </c>
      <c r="P82" s="5" t="s">
        <v>1215</v>
      </c>
      <c r="Q82" s="193">
        <v>27</v>
      </c>
      <c r="R82" s="195">
        <v>3.3719999999999999</v>
      </c>
      <c r="S82" s="196">
        <v>50849</v>
      </c>
      <c r="T82" s="170">
        <v>3.3000000000000002E-2</v>
      </c>
      <c r="U82" s="193">
        <v>46.405000000000001</v>
      </c>
      <c r="V82" s="197">
        <v>0</v>
      </c>
      <c r="W82" s="197">
        <v>6.1213796316679199E-3</v>
      </c>
      <c r="X82" s="197">
        <v>2.6709378624615102E-3</v>
      </c>
    </row>
    <row r="83" spans="1:24">
      <c r="A83" s="5">
        <v>337</v>
      </c>
      <c r="B83" s="5">
        <v>1477</v>
      </c>
      <c r="C83" s="5" t="s">
        <v>2141</v>
      </c>
      <c r="D83" s="5" t="s">
        <v>2142</v>
      </c>
      <c r="E83" s="5" t="s">
        <v>429</v>
      </c>
      <c r="F83" s="5" t="s">
        <v>2143</v>
      </c>
      <c r="G83" s="5" t="s">
        <v>2144</v>
      </c>
      <c r="H83" s="5" t="s">
        <v>76</v>
      </c>
      <c r="I83" s="5" t="s">
        <v>73</v>
      </c>
      <c r="J83" s="5" t="s">
        <v>61</v>
      </c>
      <c r="K83" s="5" t="s">
        <v>314</v>
      </c>
      <c r="L83" s="9" t="s">
        <v>803</v>
      </c>
      <c r="M83" s="9" t="s">
        <v>475</v>
      </c>
      <c r="N83" s="5" t="s">
        <v>892</v>
      </c>
      <c r="O83" s="5" t="s">
        <v>62</v>
      </c>
      <c r="P83" s="5" t="s">
        <v>1215</v>
      </c>
      <c r="Q83" s="193">
        <v>15</v>
      </c>
      <c r="R83" s="195">
        <v>3.3719999999999999</v>
      </c>
      <c r="S83" s="196">
        <v>77953</v>
      </c>
      <c r="T83" s="9"/>
      <c r="U83" s="193">
        <v>39.429000000000002</v>
      </c>
      <c r="V83" s="197">
        <v>0</v>
      </c>
      <c r="W83" s="197">
        <v>5.2010599217249499E-3</v>
      </c>
      <c r="X83" s="197">
        <v>2.2693753215369699E-3</v>
      </c>
    </row>
    <row r="84" spans="1:24">
      <c r="A84" s="5">
        <v>337</v>
      </c>
      <c r="B84" s="5">
        <v>1477</v>
      </c>
      <c r="C84" s="5" t="s">
        <v>2145</v>
      </c>
      <c r="D84" s="5" t="s">
        <v>2146</v>
      </c>
      <c r="E84" s="5" t="s">
        <v>429</v>
      </c>
      <c r="F84" s="5" t="s">
        <v>2147</v>
      </c>
      <c r="G84" s="5" t="s">
        <v>2148</v>
      </c>
      <c r="H84" s="5" t="s">
        <v>76</v>
      </c>
      <c r="I84" s="5" t="s">
        <v>73</v>
      </c>
      <c r="J84" s="5" t="s">
        <v>61</v>
      </c>
      <c r="K84" s="5" t="s">
        <v>314</v>
      </c>
      <c r="L84" s="9" t="s">
        <v>803</v>
      </c>
      <c r="M84" s="9" t="s">
        <v>478</v>
      </c>
      <c r="N84" s="5" t="s">
        <v>901</v>
      </c>
      <c r="O84" s="5" t="s">
        <v>62</v>
      </c>
      <c r="P84" s="5" t="s">
        <v>1215</v>
      </c>
      <c r="Q84" s="193">
        <v>17</v>
      </c>
      <c r="R84" s="195">
        <v>3.3719999999999999</v>
      </c>
      <c r="S84" s="196">
        <v>73809</v>
      </c>
      <c r="T84" s="9"/>
      <c r="U84" s="193">
        <v>42.31</v>
      </c>
      <c r="V84" s="197">
        <v>0</v>
      </c>
      <c r="W84" s="197">
        <v>5.5811797193729097E-3</v>
      </c>
      <c r="X84" s="197">
        <v>2.4352327623264301E-3</v>
      </c>
    </row>
    <row r="85" spans="1:24">
      <c r="A85" s="5">
        <v>337</v>
      </c>
      <c r="B85" s="5">
        <v>1477</v>
      </c>
      <c r="C85" s="5" t="s">
        <v>2149</v>
      </c>
      <c r="D85" s="5" t="s">
        <v>2150</v>
      </c>
      <c r="E85" s="5" t="s">
        <v>429</v>
      </c>
      <c r="F85" s="5" t="s">
        <v>2151</v>
      </c>
      <c r="G85" s="5" t="s">
        <v>2152</v>
      </c>
      <c r="H85" s="5" t="s">
        <v>76</v>
      </c>
      <c r="I85" s="5" t="s">
        <v>73</v>
      </c>
      <c r="J85" s="5" t="s">
        <v>61</v>
      </c>
      <c r="K85" s="5" t="s">
        <v>314</v>
      </c>
      <c r="L85" s="9" t="s">
        <v>803</v>
      </c>
      <c r="M85" s="9" t="s">
        <v>478</v>
      </c>
      <c r="N85" s="5" t="s">
        <v>2153</v>
      </c>
      <c r="O85" s="5" t="s">
        <v>62</v>
      </c>
      <c r="P85" s="5" t="s">
        <v>1215</v>
      </c>
      <c r="Q85" s="193">
        <v>451</v>
      </c>
      <c r="R85" s="195">
        <v>3.3719999999999999</v>
      </c>
      <c r="S85" s="196">
        <v>2240</v>
      </c>
      <c r="T85" s="9"/>
      <c r="U85" s="193">
        <v>34.064999999999998</v>
      </c>
      <c r="V85" s="197">
        <v>0</v>
      </c>
      <c r="W85" s="197">
        <v>4.4935784171859297E-3</v>
      </c>
      <c r="X85" s="197">
        <v>1.96068034570362E-3</v>
      </c>
    </row>
    <row r="86" spans="1:24">
      <c r="A86" s="5">
        <v>337</v>
      </c>
      <c r="B86" s="5">
        <v>1477</v>
      </c>
      <c r="C86" s="5" t="s">
        <v>2154</v>
      </c>
      <c r="D86" s="5" t="s">
        <v>2155</v>
      </c>
      <c r="E86" s="5" t="s">
        <v>429</v>
      </c>
      <c r="F86" s="5" t="s">
        <v>2156</v>
      </c>
      <c r="G86" s="5" t="s">
        <v>2157</v>
      </c>
      <c r="H86" s="5" t="s">
        <v>76</v>
      </c>
      <c r="I86" s="5" t="s">
        <v>73</v>
      </c>
      <c r="J86" s="5" t="s">
        <v>61</v>
      </c>
      <c r="K86" s="5" t="s">
        <v>314</v>
      </c>
      <c r="L86" s="9" t="s">
        <v>803</v>
      </c>
      <c r="M86" s="9" t="s">
        <v>475</v>
      </c>
      <c r="N86" s="5" t="s">
        <v>195</v>
      </c>
      <c r="O86" s="5" t="s">
        <v>62</v>
      </c>
      <c r="P86" s="5" t="s">
        <v>1215</v>
      </c>
      <c r="Q86" s="193">
        <v>14</v>
      </c>
      <c r="R86" s="195">
        <v>3.3719999999999999</v>
      </c>
      <c r="S86" s="196">
        <v>28991</v>
      </c>
      <c r="T86" s="9"/>
      <c r="U86" s="193">
        <v>13.686</v>
      </c>
      <c r="V86" s="197">
        <v>0</v>
      </c>
      <c r="W86" s="197">
        <v>1.8053399652527299E-3</v>
      </c>
      <c r="X86" s="197">
        <v>7.8772289221582003E-4</v>
      </c>
    </row>
    <row r="87" spans="1:24">
      <c r="A87" s="5">
        <v>337</v>
      </c>
      <c r="B87" s="5">
        <v>1477</v>
      </c>
      <c r="C87" s="5" t="s">
        <v>2158</v>
      </c>
      <c r="D87" s="5" t="s">
        <v>2159</v>
      </c>
      <c r="E87" s="5" t="s">
        <v>429</v>
      </c>
      <c r="F87" s="5" t="s">
        <v>2160</v>
      </c>
      <c r="G87" s="5" t="s">
        <v>2161</v>
      </c>
      <c r="H87" s="5" t="s">
        <v>76</v>
      </c>
      <c r="I87" s="5" t="s">
        <v>73</v>
      </c>
      <c r="J87" s="5" t="s">
        <v>61</v>
      </c>
      <c r="K87" s="5" t="s">
        <v>314</v>
      </c>
      <c r="L87" s="9" t="s">
        <v>803</v>
      </c>
      <c r="M87" s="9" t="s">
        <v>478</v>
      </c>
      <c r="N87" s="5" t="s">
        <v>2153</v>
      </c>
      <c r="O87" s="5" t="s">
        <v>62</v>
      </c>
      <c r="P87" s="5" t="s">
        <v>1215</v>
      </c>
      <c r="Q87" s="193">
        <v>615</v>
      </c>
      <c r="R87" s="195">
        <v>3.3719999999999999</v>
      </c>
      <c r="S87" s="196">
        <v>7740</v>
      </c>
      <c r="T87" s="9"/>
      <c r="U87" s="193">
        <v>160.511</v>
      </c>
      <c r="V87" s="197">
        <v>9.9999999999999995E-7</v>
      </c>
      <c r="W87" s="197">
        <v>2.11730703829256E-2</v>
      </c>
      <c r="X87" s="197">
        <v>9.2384329600726407E-3</v>
      </c>
    </row>
    <row r="88" spans="1:24">
      <c r="A88" s="5">
        <v>337</v>
      </c>
      <c r="B88" s="5">
        <v>1477</v>
      </c>
      <c r="C88" s="5" t="s">
        <v>2162</v>
      </c>
      <c r="D88" s="5" t="s">
        <v>2163</v>
      </c>
      <c r="E88" s="5" t="s">
        <v>429</v>
      </c>
      <c r="F88" s="5" t="s">
        <v>2164</v>
      </c>
      <c r="G88" s="5" t="s">
        <v>2165</v>
      </c>
      <c r="H88" s="5" t="s">
        <v>76</v>
      </c>
      <c r="I88" s="5" t="s">
        <v>73</v>
      </c>
      <c r="J88" s="5" t="s">
        <v>61</v>
      </c>
      <c r="K88" s="5" t="s">
        <v>314</v>
      </c>
      <c r="L88" s="9" t="s">
        <v>803</v>
      </c>
      <c r="M88" s="9" t="s">
        <v>478</v>
      </c>
      <c r="N88" s="5" t="s">
        <v>885</v>
      </c>
      <c r="O88" s="5" t="s">
        <v>62</v>
      </c>
      <c r="P88" s="5" t="s">
        <v>1215</v>
      </c>
      <c r="Q88" s="193">
        <v>60</v>
      </c>
      <c r="R88" s="195">
        <v>3.3719999999999999</v>
      </c>
      <c r="S88" s="196">
        <v>6744</v>
      </c>
      <c r="T88" s="170">
        <v>2.1000000000000001E-2</v>
      </c>
      <c r="U88" s="193">
        <v>13.715999999999999</v>
      </c>
      <c r="V88" s="197">
        <v>0</v>
      </c>
      <c r="W88" s="197">
        <v>1.8092497366482001E-3</v>
      </c>
      <c r="X88" s="197">
        <v>7.8942884039777904E-4</v>
      </c>
    </row>
    <row r="89" spans="1:24">
      <c r="A89" s="5">
        <v>337</v>
      </c>
      <c r="B89" s="5">
        <v>1477</v>
      </c>
      <c r="C89" s="5" t="s">
        <v>2032</v>
      </c>
      <c r="D89" s="5" t="s">
        <v>2033</v>
      </c>
      <c r="E89" s="5" t="s">
        <v>1346</v>
      </c>
      <c r="F89" s="5" t="s">
        <v>2166</v>
      </c>
      <c r="G89" s="5" t="s">
        <v>2167</v>
      </c>
      <c r="H89" s="5" t="s">
        <v>76</v>
      </c>
      <c r="I89" s="5" t="s">
        <v>73</v>
      </c>
      <c r="J89" s="5" t="s">
        <v>61</v>
      </c>
      <c r="K89" s="5" t="s">
        <v>53</v>
      </c>
      <c r="L89" s="9" t="s">
        <v>803</v>
      </c>
      <c r="M89" s="9" t="s">
        <v>478</v>
      </c>
      <c r="N89" s="5" t="s">
        <v>902</v>
      </c>
      <c r="O89" s="5" t="s">
        <v>62</v>
      </c>
      <c r="P89" s="5" t="s">
        <v>1215</v>
      </c>
      <c r="Q89" s="193">
        <v>18</v>
      </c>
      <c r="R89" s="195">
        <v>3.3719999999999999</v>
      </c>
      <c r="S89" s="196">
        <v>16891</v>
      </c>
      <c r="T89" s="9"/>
      <c r="U89" s="193">
        <v>10.252000000000001</v>
      </c>
      <c r="V89" s="197">
        <v>0</v>
      </c>
      <c r="W89" s="197">
        <v>1.35237032269993E-3</v>
      </c>
      <c r="X89" s="197">
        <v>5.9007892277779098E-4</v>
      </c>
    </row>
    <row r="90" spans="1:24">
      <c r="A90" s="5">
        <v>337</v>
      </c>
      <c r="B90" s="5">
        <v>1477</v>
      </c>
      <c r="C90" s="5" t="s">
        <v>2168</v>
      </c>
      <c r="D90" s="5" t="s">
        <v>2169</v>
      </c>
      <c r="E90" s="5" t="s">
        <v>429</v>
      </c>
      <c r="F90" s="5" t="s">
        <v>2168</v>
      </c>
      <c r="G90" s="5" t="s">
        <v>2170</v>
      </c>
      <c r="H90" s="5" t="s">
        <v>76</v>
      </c>
      <c r="I90" s="5" t="s">
        <v>73</v>
      </c>
      <c r="J90" s="5" t="s">
        <v>61</v>
      </c>
      <c r="K90" s="5" t="s">
        <v>314</v>
      </c>
      <c r="L90" s="9" t="s">
        <v>803</v>
      </c>
      <c r="M90" s="9" t="s">
        <v>475</v>
      </c>
      <c r="N90" s="5" t="s">
        <v>880</v>
      </c>
      <c r="O90" s="5" t="s">
        <v>62</v>
      </c>
      <c r="P90" s="5" t="s">
        <v>1215</v>
      </c>
      <c r="Q90" s="193">
        <v>304</v>
      </c>
      <c r="R90" s="195">
        <v>3.3719999999999999</v>
      </c>
      <c r="S90" s="196">
        <v>7104</v>
      </c>
      <c r="T90" s="9"/>
      <c r="U90" s="193">
        <v>72.822000000000003</v>
      </c>
      <c r="V90" s="197">
        <v>0</v>
      </c>
      <c r="W90" s="197">
        <v>9.6060380177080702E-3</v>
      </c>
      <c r="X90" s="197">
        <v>4.1913967428205802E-3</v>
      </c>
    </row>
    <row r="91" spans="1:24">
      <c r="A91" s="5">
        <v>337</v>
      </c>
      <c r="B91" s="5">
        <v>1477</v>
      </c>
      <c r="C91" s="5" t="s">
        <v>2171</v>
      </c>
      <c r="D91" s="5" t="s">
        <v>2172</v>
      </c>
      <c r="E91" s="5" t="s">
        <v>429</v>
      </c>
      <c r="F91" s="5" t="s">
        <v>2173</v>
      </c>
      <c r="G91" s="5" t="s">
        <v>2174</v>
      </c>
      <c r="H91" s="5" t="s">
        <v>76</v>
      </c>
      <c r="I91" s="5" t="s">
        <v>73</v>
      </c>
      <c r="J91" s="5" t="s">
        <v>61</v>
      </c>
      <c r="K91" s="5" t="s">
        <v>314</v>
      </c>
      <c r="L91" s="9" t="s">
        <v>803</v>
      </c>
      <c r="M91" s="9" t="s">
        <v>478</v>
      </c>
      <c r="N91" s="5" t="s">
        <v>202</v>
      </c>
      <c r="O91" s="5" t="s">
        <v>62</v>
      </c>
      <c r="P91" s="5" t="s">
        <v>1215</v>
      </c>
      <c r="Q91" s="193">
        <v>357</v>
      </c>
      <c r="R91" s="195">
        <v>3.3719999999999999</v>
      </c>
      <c r="S91" s="196">
        <v>15799</v>
      </c>
      <c r="T91" s="170">
        <v>3.0000000000000001E-3</v>
      </c>
      <c r="U91" s="193">
        <v>190.19800000000001</v>
      </c>
      <c r="V91" s="197">
        <v>0</v>
      </c>
      <c r="W91" s="197">
        <v>2.5089164519321801E-2</v>
      </c>
      <c r="X91" s="197">
        <v>1.0947139939746499E-2</v>
      </c>
    </row>
    <row r="92" spans="1:24">
      <c r="A92" s="5">
        <v>337</v>
      </c>
      <c r="B92" s="5">
        <v>1477</v>
      </c>
      <c r="C92" s="5" t="s">
        <v>1826</v>
      </c>
      <c r="D92" s="5" t="s">
        <v>1827</v>
      </c>
      <c r="E92" s="5" t="s">
        <v>429</v>
      </c>
      <c r="F92" s="5" t="s">
        <v>2175</v>
      </c>
      <c r="G92" s="5" t="s">
        <v>1829</v>
      </c>
      <c r="H92" s="5" t="s">
        <v>76</v>
      </c>
      <c r="I92" s="5" t="s">
        <v>73</v>
      </c>
      <c r="J92" s="5" t="s">
        <v>61</v>
      </c>
      <c r="K92" s="5" t="s">
        <v>314</v>
      </c>
      <c r="L92" s="9" t="s">
        <v>803</v>
      </c>
      <c r="M92" s="9" t="s">
        <v>475</v>
      </c>
      <c r="N92" s="5" t="s">
        <v>906</v>
      </c>
      <c r="O92" s="5" t="s">
        <v>62</v>
      </c>
      <c r="P92" s="5" t="s">
        <v>1215</v>
      </c>
      <c r="Q92" s="193">
        <v>23</v>
      </c>
      <c r="R92" s="195">
        <v>3.3719999999999999</v>
      </c>
      <c r="S92" s="196">
        <v>8376</v>
      </c>
      <c r="T92" s="9"/>
      <c r="U92" s="193">
        <v>6.4960000000000004</v>
      </c>
      <c r="V92" s="197">
        <v>0</v>
      </c>
      <c r="W92" s="197">
        <v>8.5690419594753198E-4</v>
      </c>
      <c r="X92" s="197">
        <v>3.7389248816034799E-4</v>
      </c>
    </row>
    <row r="93" spans="1:24">
      <c r="A93" s="5">
        <v>337</v>
      </c>
      <c r="B93" s="5">
        <v>1477</v>
      </c>
      <c r="C93" s="5" t="s">
        <v>2176</v>
      </c>
      <c r="D93" s="5" t="s">
        <v>2177</v>
      </c>
      <c r="E93" s="5" t="s">
        <v>429</v>
      </c>
      <c r="F93" s="5" t="s">
        <v>2178</v>
      </c>
      <c r="G93" s="5" t="s">
        <v>2179</v>
      </c>
      <c r="H93" s="5" t="s">
        <v>76</v>
      </c>
      <c r="I93" s="5" t="s">
        <v>73</v>
      </c>
      <c r="J93" s="5" t="s">
        <v>61</v>
      </c>
      <c r="K93" s="5" t="s">
        <v>314</v>
      </c>
      <c r="L93" s="9" t="s">
        <v>803</v>
      </c>
      <c r="M93" s="9" t="s">
        <v>478</v>
      </c>
      <c r="N93" s="5" t="s">
        <v>897</v>
      </c>
      <c r="O93" s="5" t="s">
        <v>62</v>
      </c>
      <c r="P93" s="5" t="s">
        <v>1215</v>
      </c>
      <c r="Q93" s="193">
        <v>56</v>
      </c>
      <c r="R93" s="195">
        <v>3.3719999999999999</v>
      </c>
      <c r="S93" s="196">
        <v>20464</v>
      </c>
      <c r="T93" s="9"/>
      <c r="U93" s="193">
        <v>38.643000000000001</v>
      </c>
      <c r="V93" s="197">
        <v>0</v>
      </c>
      <c r="W93" s="197">
        <v>5.0973718807812004E-3</v>
      </c>
      <c r="X93" s="197">
        <v>2.2241331815121301E-3</v>
      </c>
    </row>
    <row r="94" spans="1:24">
      <c r="A94" s="5">
        <v>337</v>
      </c>
      <c r="B94" s="5">
        <v>1477</v>
      </c>
      <c r="C94" s="5" t="s">
        <v>2180</v>
      </c>
      <c r="D94" s="5" t="s">
        <v>2181</v>
      </c>
      <c r="E94" s="5" t="s">
        <v>429</v>
      </c>
      <c r="F94" s="5" t="s">
        <v>2182</v>
      </c>
      <c r="G94" s="5" t="s">
        <v>2183</v>
      </c>
      <c r="H94" s="5" t="s">
        <v>76</v>
      </c>
      <c r="I94" s="5" t="s">
        <v>73</v>
      </c>
      <c r="J94" s="5" t="s">
        <v>61</v>
      </c>
      <c r="K94" s="5" t="s">
        <v>315</v>
      </c>
      <c r="L94" s="9" t="s">
        <v>803</v>
      </c>
      <c r="M94" s="9" t="s">
        <v>493</v>
      </c>
      <c r="N94" s="5" t="s">
        <v>882</v>
      </c>
      <c r="O94" s="5" t="s">
        <v>62</v>
      </c>
      <c r="P94" s="5" t="s">
        <v>1287</v>
      </c>
      <c r="Q94" s="193">
        <v>310</v>
      </c>
      <c r="R94" s="195">
        <v>4.6235999999999997</v>
      </c>
      <c r="S94" s="196">
        <v>1600</v>
      </c>
      <c r="T94" s="9"/>
      <c r="U94" s="193">
        <v>22.933</v>
      </c>
      <c r="V94" s="197">
        <v>6.9999999999999999E-6</v>
      </c>
      <c r="W94" s="197">
        <v>3.0251166806855201E-3</v>
      </c>
      <c r="X94" s="197">
        <v>1.31994732674426E-3</v>
      </c>
    </row>
    <row r="95" spans="1:24">
      <c r="A95" s="5">
        <v>337</v>
      </c>
      <c r="B95" s="5">
        <v>1477</v>
      </c>
      <c r="C95" s="5" t="s">
        <v>2184</v>
      </c>
      <c r="D95" s="5" t="s">
        <v>2185</v>
      </c>
      <c r="E95" s="5" t="s">
        <v>429</v>
      </c>
      <c r="F95" s="5" t="s">
        <v>2186</v>
      </c>
      <c r="G95" s="5" t="s">
        <v>2187</v>
      </c>
      <c r="H95" s="5" t="s">
        <v>76</v>
      </c>
      <c r="I95" s="5" t="s">
        <v>73</v>
      </c>
      <c r="J95" s="5" t="s">
        <v>61</v>
      </c>
      <c r="K95" s="5" t="s">
        <v>314</v>
      </c>
      <c r="L95" s="9" t="s">
        <v>803</v>
      </c>
      <c r="M95" s="9" t="s">
        <v>478</v>
      </c>
      <c r="N95" s="5" t="s">
        <v>897</v>
      </c>
      <c r="O95" s="5" t="s">
        <v>62</v>
      </c>
      <c r="P95" s="5" t="s">
        <v>1215</v>
      </c>
      <c r="Q95" s="193">
        <v>0</v>
      </c>
      <c r="R95" s="195">
        <v>3.3719999999999999</v>
      </c>
      <c r="S95" s="196">
        <v>0</v>
      </c>
      <c r="T95" s="170">
        <v>2.4E-2</v>
      </c>
      <c r="U95" s="193">
        <v>0.08</v>
      </c>
      <c r="V95" s="197">
        <v>0</v>
      </c>
      <c r="W95" s="197">
        <v>1.0537030932692E-5</v>
      </c>
      <c r="X95" s="197">
        <v>4.5976163168280401E-6</v>
      </c>
    </row>
    <row r="96" spans="1:24">
      <c r="A96" s="5">
        <v>337</v>
      </c>
      <c r="B96" s="5">
        <v>1477</v>
      </c>
      <c r="C96" s="5" t="s">
        <v>2188</v>
      </c>
      <c r="D96" s="5" t="s">
        <v>2189</v>
      </c>
      <c r="E96" s="5" t="s">
        <v>429</v>
      </c>
      <c r="F96" s="5" t="s">
        <v>2190</v>
      </c>
      <c r="G96" s="5" t="s">
        <v>2191</v>
      </c>
      <c r="H96" s="5" t="s">
        <v>76</v>
      </c>
      <c r="I96" s="5" t="s">
        <v>73</v>
      </c>
      <c r="J96" s="5" t="s">
        <v>61</v>
      </c>
      <c r="K96" s="5" t="s">
        <v>188</v>
      </c>
      <c r="L96" s="9" t="s">
        <v>803</v>
      </c>
      <c r="M96" s="9" t="s">
        <v>475</v>
      </c>
      <c r="N96" s="5" t="s">
        <v>202</v>
      </c>
      <c r="O96" s="5" t="s">
        <v>62</v>
      </c>
      <c r="P96" s="5" t="s">
        <v>1215</v>
      </c>
      <c r="Q96" s="193">
        <v>50</v>
      </c>
      <c r="R96" s="195">
        <v>3.3719999999999999</v>
      </c>
      <c r="S96" s="196">
        <v>22649</v>
      </c>
      <c r="T96" s="170">
        <v>0.03</v>
      </c>
      <c r="U96" s="193">
        <v>38.286000000000001</v>
      </c>
      <c r="V96" s="197">
        <v>0</v>
      </c>
      <c r="W96" s="197">
        <v>5.0503712247812202E-3</v>
      </c>
      <c r="X96" s="197">
        <v>2.2036254137825402E-3</v>
      </c>
    </row>
    <row r="97" spans="1:24">
      <c r="A97" s="5">
        <v>337</v>
      </c>
      <c r="B97" s="5">
        <v>9962</v>
      </c>
      <c r="C97" s="5" t="s">
        <v>1822</v>
      </c>
      <c r="D97" s="5" t="s">
        <v>1823</v>
      </c>
      <c r="E97" s="5" t="s">
        <v>1346</v>
      </c>
      <c r="F97" s="5" t="s">
        <v>1824</v>
      </c>
      <c r="G97" s="5" t="s">
        <v>1825</v>
      </c>
      <c r="H97" s="5" t="s">
        <v>76</v>
      </c>
      <c r="I97" s="5" t="s">
        <v>73</v>
      </c>
      <c r="J97" s="5" t="s">
        <v>53</v>
      </c>
      <c r="K97" s="5" t="s">
        <v>53</v>
      </c>
      <c r="L97" s="9" t="s">
        <v>803</v>
      </c>
      <c r="M97" s="9" t="s">
        <v>311</v>
      </c>
      <c r="N97" s="5" t="s">
        <v>156</v>
      </c>
      <c r="O97" s="5" t="s">
        <v>62</v>
      </c>
      <c r="P97" s="5" t="s">
        <v>1259</v>
      </c>
      <c r="Q97" s="193">
        <v>3856</v>
      </c>
      <c r="R97" s="195">
        <v>1</v>
      </c>
      <c r="S97" s="196">
        <v>4100</v>
      </c>
      <c r="T97" s="9"/>
      <c r="U97" s="193">
        <v>158.096</v>
      </c>
      <c r="V97" s="197">
        <v>1.4E-5</v>
      </c>
      <c r="W97" s="197">
        <v>1.6414395351914499E-2</v>
      </c>
      <c r="X97" s="197">
        <v>3.7159903011937602E-3</v>
      </c>
    </row>
    <row r="98" spans="1:24">
      <c r="A98" s="5">
        <v>337</v>
      </c>
      <c r="B98" s="5">
        <v>9962</v>
      </c>
      <c r="C98" s="5" t="s">
        <v>1826</v>
      </c>
      <c r="D98" s="5" t="s">
        <v>1827</v>
      </c>
      <c r="E98" s="5" t="s">
        <v>429</v>
      </c>
      <c r="F98" s="5" t="s">
        <v>1828</v>
      </c>
      <c r="G98" s="5" t="s">
        <v>1829</v>
      </c>
      <c r="H98" s="5" t="s">
        <v>76</v>
      </c>
      <c r="I98" s="5" t="s">
        <v>73</v>
      </c>
      <c r="J98" s="5" t="s">
        <v>53</v>
      </c>
      <c r="K98" s="5" t="s">
        <v>314</v>
      </c>
      <c r="L98" s="9" t="s">
        <v>803</v>
      </c>
      <c r="M98" s="9" t="s">
        <v>311</v>
      </c>
      <c r="N98" s="5" t="s">
        <v>629</v>
      </c>
      <c r="O98" s="5" t="s">
        <v>62</v>
      </c>
      <c r="P98" s="5" t="s">
        <v>1259</v>
      </c>
      <c r="Q98" s="193">
        <v>530</v>
      </c>
      <c r="R98" s="195">
        <v>1</v>
      </c>
      <c r="S98" s="196">
        <v>27780</v>
      </c>
      <c r="T98" s="9"/>
      <c r="U98" s="193">
        <v>147.23400000000001</v>
      </c>
      <c r="V98" s="197">
        <v>9.0000000000000002E-6</v>
      </c>
      <c r="W98" s="197">
        <v>1.5286642832480201E-2</v>
      </c>
      <c r="X98" s="197">
        <v>3.4606828509637401E-3</v>
      </c>
    </row>
    <row r="99" spans="1:24">
      <c r="A99" s="5">
        <v>337</v>
      </c>
      <c r="B99" s="5">
        <v>9962</v>
      </c>
      <c r="C99" s="5" t="s">
        <v>1834</v>
      </c>
      <c r="D99" s="5" t="s">
        <v>1835</v>
      </c>
      <c r="E99" s="5" t="s">
        <v>1346</v>
      </c>
      <c r="F99" s="5" t="s">
        <v>1836</v>
      </c>
      <c r="G99" s="5" t="s">
        <v>1837</v>
      </c>
      <c r="H99" s="5" t="s">
        <v>76</v>
      </c>
      <c r="I99" s="5" t="s">
        <v>73</v>
      </c>
      <c r="J99" s="5" t="s">
        <v>53</v>
      </c>
      <c r="K99" s="5" t="s">
        <v>53</v>
      </c>
      <c r="L99" s="9" t="s">
        <v>803</v>
      </c>
      <c r="M99" s="9" t="s">
        <v>311</v>
      </c>
      <c r="N99" s="5" t="s">
        <v>265</v>
      </c>
      <c r="O99" s="5" t="s">
        <v>62</v>
      </c>
      <c r="P99" s="5" t="s">
        <v>1259</v>
      </c>
      <c r="Q99" s="193">
        <v>9074</v>
      </c>
      <c r="R99" s="195">
        <v>1</v>
      </c>
      <c r="S99" s="196">
        <v>2309</v>
      </c>
      <c r="T99" s="9"/>
      <c r="U99" s="193">
        <v>209.51900000000001</v>
      </c>
      <c r="V99" s="197">
        <v>6.9999999999999999E-6</v>
      </c>
      <c r="W99" s="197">
        <v>2.17533784462818E-2</v>
      </c>
      <c r="X99" s="197">
        <v>4.92466165164909E-3</v>
      </c>
    </row>
    <row r="100" spans="1:24">
      <c r="A100" s="5">
        <v>337</v>
      </c>
      <c r="B100" s="5">
        <v>9962</v>
      </c>
      <c r="C100" s="5" t="s">
        <v>1838</v>
      </c>
      <c r="D100" s="5" t="s">
        <v>1839</v>
      </c>
      <c r="E100" s="5" t="s">
        <v>1346</v>
      </c>
      <c r="F100" s="5" t="s">
        <v>1840</v>
      </c>
      <c r="G100" s="5" t="s">
        <v>1841</v>
      </c>
      <c r="H100" s="5" t="s">
        <v>76</v>
      </c>
      <c r="I100" s="5" t="s">
        <v>73</v>
      </c>
      <c r="J100" s="5" t="s">
        <v>53</v>
      </c>
      <c r="K100" s="5" t="s">
        <v>53</v>
      </c>
      <c r="L100" s="9" t="s">
        <v>803</v>
      </c>
      <c r="M100" s="9" t="s">
        <v>311</v>
      </c>
      <c r="N100" s="5" t="s">
        <v>263</v>
      </c>
      <c r="O100" s="5" t="s">
        <v>62</v>
      </c>
      <c r="P100" s="5" t="s">
        <v>1259</v>
      </c>
      <c r="Q100" s="193">
        <v>2000</v>
      </c>
      <c r="R100" s="195">
        <v>1</v>
      </c>
      <c r="S100" s="196">
        <v>2100</v>
      </c>
      <c r="T100" s="9"/>
      <c r="U100" s="193">
        <v>42</v>
      </c>
      <c r="V100" s="197">
        <v>1.2999999999999999E-5</v>
      </c>
      <c r="W100" s="197">
        <v>4.3606707619447101E-3</v>
      </c>
      <c r="X100" s="197">
        <v>9.8719507546135305E-4</v>
      </c>
    </row>
    <row r="101" spans="1:24">
      <c r="A101" s="5">
        <v>337</v>
      </c>
      <c r="B101" s="5">
        <v>9962</v>
      </c>
      <c r="C101" s="5" t="s">
        <v>1846</v>
      </c>
      <c r="D101" s="5" t="s">
        <v>1847</v>
      </c>
      <c r="E101" s="5" t="s">
        <v>1346</v>
      </c>
      <c r="F101" s="5" t="s">
        <v>1848</v>
      </c>
      <c r="G101" s="5" t="s">
        <v>1849</v>
      </c>
      <c r="H101" s="5" t="s">
        <v>76</v>
      </c>
      <c r="I101" s="5" t="s">
        <v>73</v>
      </c>
      <c r="J101" s="5" t="s">
        <v>53</v>
      </c>
      <c r="K101" s="5" t="s">
        <v>53</v>
      </c>
      <c r="L101" s="9" t="s">
        <v>803</v>
      </c>
      <c r="M101" s="9" t="s">
        <v>311</v>
      </c>
      <c r="N101" s="5" t="s">
        <v>636</v>
      </c>
      <c r="O101" s="5" t="s">
        <v>62</v>
      </c>
      <c r="P101" s="5" t="s">
        <v>1259</v>
      </c>
      <c r="Q101" s="193">
        <v>224</v>
      </c>
      <c r="R101" s="195">
        <v>1</v>
      </c>
      <c r="S101" s="196">
        <v>149800</v>
      </c>
      <c r="T101" s="170">
        <v>0.47399999999999998</v>
      </c>
      <c r="U101" s="193">
        <v>336.02600000000001</v>
      </c>
      <c r="V101" s="197">
        <v>5.0000000000000004E-6</v>
      </c>
      <c r="W101" s="197">
        <v>3.4888040640291697E-2</v>
      </c>
      <c r="X101" s="197">
        <v>7.8981660833371096E-3</v>
      </c>
    </row>
    <row r="102" spans="1:24">
      <c r="A102" s="5">
        <v>337</v>
      </c>
      <c r="B102" s="5">
        <v>9962</v>
      </c>
      <c r="C102" s="5" t="s">
        <v>1850</v>
      </c>
      <c r="D102" s="5" t="s">
        <v>1851</v>
      </c>
      <c r="E102" s="5" t="s">
        <v>1346</v>
      </c>
      <c r="F102" s="5" t="s">
        <v>1852</v>
      </c>
      <c r="G102" s="5" t="s">
        <v>1853</v>
      </c>
      <c r="H102" s="5" t="s">
        <v>76</v>
      </c>
      <c r="I102" s="5" t="s">
        <v>73</v>
      </c>
      <c r="J102" s="5" t="s">
        <v>53</v>
      </c>
      <c r="K102" s="5" t="s">
        <v>53</v>
      </c>
      <c r="L102" s="9" t="s">
        <v>803</v>
      </c>
      <c r="M102" s="9" t="s">
        <v>311</v>
      </c>
      <c r="N102" s="5" t="s">
        <v>633</v>
      </c>
      <c r="O102" s="5" t="s">
        <v>62</v>
      </c>
      <c r="P102" s="5" t="s">
        <v>1259</v>
      </c>
      <c r="Q102" s="193">
        <v>1836</v>
      </c>
      <c r="R102" s="195">
        <v>1</v>
      </c>
      <c r="S102" s="196">
        <v>3489</v>
      </c>
      <c r="T102" s="9"/>
      <c r="U102" s="193">
        <v>64.058000000000007</v>
      </c>
      <c r="V102" s="197">
        <v>9.0000000000000002E-6</v>
      </c>
      <c r="W102" s="197">
        <v>6.6508576689401104E-3</v>
      </c>
      <c r="X102" s="197">
        <v>1.5056614674215799E-3</v>
      </c>
    </row>
    <row r="103" spans="1:24">
      <c r="A103" s="5">
        <v>337</v>
      </c>
      <c r="B103" s="5">
        <v>9962</v>
      </c>
      <c r="C103" s="5" t="s">
        <v>1854</v>
      </c>
      <c r="D103" s="5" t="s">
        <v>1855</v>
      </c>
      <c r="E103" s="5" t="s">
        <v>1346</v>
      </c>
      <c r="F103" s="5" t="s">
        <v>1856</v>
      </c>
      <c r="G103" s="5" t="s">
        <v>1857</v>
      </c>
      <c r="H103" s="5" t="s">
        <v>76</v>
      </c>
      <c r="I103" s="5" t="s">
        <v>73</v>
      </c>
      <c r="J103" s="5" t="s">
        <v>53</v>
      </c>
      <c r="K103" s="5" t="s">
        <v>53</v>
      </c>
      <c r="L103" s="9" t="s">
        <v>803</v>
      </c>
      <c r="M103" s="9" t="s">
        <v>311</v>
      </c>
      <c r="N103" s="5" t="s">
        <v>634</v>
      </c>
      <c r="O103" s="5" t="s">
        <v>62</v>
      </c>
      <c r="P103" s="5" t="s">
        <v>1259</v>
      </c>
      <c r="Q103" s="193">
        <v>1314</v>
      </c>
      <c r="R103" s="195">
        <v>1</v>
      </c>
      <c r="S103" s="196">
        <v>5007</v>
      </c>
      <c r="T103" s="9"/>
      <c r="U103" s="193">
        <v>65.792000000000002</v>
      </c>
      <c r="V103" s="197">
        <v>2.0000000000000002E-5</v>
      </c>
      <c r="W103" s="197">
        <v>6.8308848465821704E-3</v>
      </c>
      <c r="X103" s="197">
        <v>1.5464171109726599E-3</v>
      </c>
    </row>
    <row r="104" spans="1:24">
      <c r="A104" s="5">
        <v>337</v>
      </c>
      <c r="B104" s="5">
        <v>9962</v>
      </c>
      <c r="C104" s="5" t="s">
        <v>1858</v>
      </c>
      <c r="D104" s="5" t="s">
        <v>1859</v>
      </c>
      <c r="E104" s="5" t="s">
        <v>1346</v>
      </c>
      <c r="F104" s="5" t="s">
        <v>1860</v>
      </c>
      <c r="G104" s="5" t="s">
        <v>1861</v>
      </c>
      <c r="H104" s="5" t="s">
        <v>76</v>
      </c>
      <c r="I104" s="5" t="s">
        <v>73</v>
      </c>
      <c r="J104" s="5" t="s">
        <v>53</v>
      </c>
      <c r="K104" s="5" t="s">
        <v>53</v>
      </c>
      <c r="L104" s="9" t="s">
        <v>803</v>
      </c>
      <c r="M104" s="9" t="s">
        <v>311</v>
      </c>
      <c r="N104" s="5" t="s">
        <v>633</v>
      </c>
      <c r="O104" s="5" t="s">
        <v>62</v>
      </c>
      <c r="P104" s="5" t="s">
        <v>1259</v>
      </c>
      <c r="Q104" s="193">
        <v>3221</v>
      </c>
      <c r="R104" s="195">
        <v>1</v>
      </c>
      <c r="S104" s="196">
        <v>2281</v>
      </c>
      <c r="T104" s="9"/>
      <c r="U104" s="193">
        <v>73.471000000000004</v>
      </c>
      <c r="V104" s="197">
        <v>6.9999999999999999E-6</v>
      </c>
      <c r="W104" s="197">
        <v>7.6281639323225597E-3</v>
      </c>
      <c r="X104" s="197">
        <v>1.72690998240885E-3</v>
      </c>
    </row>
    <row r="105" spans="1:24">
      <c r="A105" s="5">
        <v>337</v>
      </c>
      <c r="B105" s="5">
        <v>9962</v>
      </c>
      <c r="C105" s="5" t="s">
        <v>1862</v>
      </c>
      <c r="D105" s="5" t="s">
        <v>1863</v>
      </c>
      <c r="E105" s="5" t="s">
        <v>1346</v>
      </c>
      <c r="F105" s="5" t="s">
        <v>1864</v>
      </c>
      <c r="G105" s="5" t="s">
        <v>1865</v>
      </c>
      <c r="H105" s="5" t="s">
        <v>76</v>
      </c>
      <c r="I105" s="5" t="s">
        <v>73</v>
      </c>
      <c r="J105" s="5" t="s">
        <v>53</v>
      </c>
      <c r="K105" s="5" t="s">
        <v>314</v>
      </c>
      <c r="L105" s="9" t="s">
        <v>803</v>
      </c>
      <c r="M105" s="9" t="s">
        <v>311</v>
      </c>
      <c r="N105" s="5" t="s">
        <v>629</v>
      </c>
      <c r="O105" s="5" t="s">
        <v>62</v>
      </c>
      <c r="P105" s="5" t="s">
        <v>1259</v>
      </c>
      <c r="Q105" s="193">
        <v>1287.7</v>
      </c>
      <c r="R105" s="195">
        <v>1</v>
      </c>
      <c r="S105" s="196">
        <v>7640</v>
      </c>
      <c r="T105" s="9"/>
      <c r="U105" s="193">
        <v>98.38</v>
      </c>
      <c r="V105" s="197">
        <v>1.1E-5</v>
      </c>
      <c r="W105" s="197">
        <v>1.0214381203522201E-2</v>
      </c>
      <c r="X105" s="197">
        <v>2.3123935223454501E-3</v>
      </c>
    </row>
    <row r="106" spans="1:24">
      <c r="A106" s="5">
        <v>337</v>
      </c>
      <c r="B106" s="5">
        <v>9962</v>
      </c>
      <c r="C106" s="5" t="s">
        <v>1866</v>
      </c>
      <c r="D106" s="5" t="s">
        <v>1867</v>
      </c>
      <c r="E106" s="5" t="s">
        <v>429</v>
      </c>
      <c r="F106" s="5" t="s">
        <v>1868</v>
      </c>
      <c r="G106" s="5" t="s">
        <v>1869</v>
      </c>
      <c r="H106" s="5" t="s">
        <v>76</v>
      </c>
      <c r="I106" s="5" t="s">
        <v>73</v>
      </c>
      <c r="J106" s="5" t="s">
        <v>53</v>
      </c>
      <c r="K106" s="5" t="s">
        <v>315</v>
      </c>
      <c r="L106" s="9" t="s">
        <v>803</v>
      </c>
      <c r="M106" s="9" t="s">
        <v>311</v>
      </c>
      <c r="N106" s="5" t="s">
        <v>267</v>
      </c>
      <c r="O106" s="5" t="s">
        <v>62</v>
      </c>
      <c r="P106" s="5" t="s">
        <v>1259</v>
      </c>
      <c r="Q106" s="193">
        <v>2020</v>
      </c>
      <c r="R106" s="195">
        <v>1</v>
      </c>
      <c r="S106" s="196">
        <v>4272</v>
      </c>
      <c r="T106" s="170">
        <v>2.0430000000000001</v>
      </c>
      <c r="U106" s="193">
        <v>88.337999999999994</v>
      </c>
      <c r="V106" s="197">
        <v>1.1E-5</v>
      </c>
      <c r="W106" s="197">
        <v>9.1717190756186607E-3</v>
      </c>
      <c r="X106" s="197">
        <v>2.07634935065077E-3</v>
      </c>
    </row>
    <row r="107" spans="1:24">
      <c r="A107" s="5">
        <v>337</v>
      </c>
      <c r="B107" s="5">
        <v>9962</v>
      </c>
      <c r="C107" s="5" t="s">
        <v>1870</v>
      </c>
      <c r="D107" s="5" t="s">
        <v>1871</v>
      </c>
      <c r="E107" s="5" t="s">
        <v>1346</v>
      </c>
      <c r="F107" s="5" t="s">
        <v>1872</v>
      </c>
      <c r="G107" s="5" t="s">
        <v>1873</v>
      </c>
      <c r="H107" s="5" t="s">
        <v>76</v>
      </c>
      <c r="I107" s="5" t="s">
        <v>73</v>
      </c>
      <c r="J107" s="5" t="s">
        <v>53</v>
      </c>
      <c r="K107" s="5" t="s">
        <v>53</v>
      </c>
      <c r="L107" s="9" t="s">
        <v>803</v>
      </c>
      <c r="M107" s="9" t="s">
        <v>311</v>
      </c>
      <c r="N107" s="5" t="s">
        <v>629</v>
      </c>
      <c r="O107" s="5" t="s">
        <v>62</v>
      </c>
      <c r="P107" s="5" t="s">
        <v>1259</v>
      </c>
      <c r="Q107" s="193">
        <v>2349</v>
      </c>
      <c r="R107" s="195">
        <v>1</v>
      </c>
      <c r="S107" s="196">
        <v>1244</v>
      </c>
      <c r="T107" s="9"/>
      <c r="U107" s="193">
        <v>29.222000000000001</v>
      </c>
      <c r="V107" s="197">
        <v>3.9999999999999998E-6</v>
      </c>
      <c r="W107" s="197">
        <v>3.0339429121526902E-3</v>
      </c>
      <c r="X107" s="197">
        <v>6.8684238403091602E-4</v>
      </c>
    </row>
    <row r="108" spans="1:24">
      <c r="A108" s="5">
        <v>337</v>
      </c>
      <c r="B108" s="5">
        <v>9962</v>
      </c>
      <c r="C108" s="5" t="s">
        <v>1874</v>
      </c>
      <c r="D108" s="5" t="s">
        <v>1875</v>
      </c>
      <c r="E108" s="5" t="s">
        <v>1346</v>
      </c>
      <c r="F108" s="5" t="s">
        <v>1876</v>
      </c>
      <c r="G108" s="5" t="s">
        <v>1877</v>
      </c>
      <c r="H108" s="5" t="s">
        <v>76</v>
      </c>
      <c r="I108" s="5" t="s">
        <v>73</v>
      </c>
      <c r="J108" s="5" t="s">
        <v>53</v>
      </c>
      <c r="K108" s="5" t="s">
        <v>53</v>
      </c>
      <c r="L108" s="9" t="s">
        <v>803</v>
      </c>
      <c r="M108" s="9" t="s">
        <v>311</v>
      </c>
      <c r="N108" s="5" t="s">
        <v>140</v>
      </c>
      <c r="O108" s="5" t="s">
        <v>62</v>
      </c>
      <c r="P108" s="5" t="s">
        <v>1259</v>
      </c>
      <c r="Q108" s="193">
        <v>66</v>
      </c>
      <c r="R108" s="195">
        <v>1</v>
      </c>
      <c r="S108" s="196">
        <v>30100</v>
      </c>
      <c r="T108" s="9"/>
      <c r="U108" s="193">
        <v>19.866</v>
      </c>
      <c r="V108" s="197">
        <v>5.0000000000000004E-6</v>
      </c>
      <c r="W108" s="197">
        <v>2.0625972703998499E-3</v>
      </c>
      <c r="X108" s="197">
        <v>4.6694327069322E-4</v>
      </c>
    </row>
    <row r="109" spans="1:24">
      <c r="A109" s="5">
        <v>337</v>
      </c>
      <c r="B109" s="5">
        <v>9962</v>
      </c>
      <c r="C109" s="5" t="s">
        <v>1878</v>
      </c>
      <c r="D109" s="5" t="s">
        <v>1879</v>
      </c>
      <c r="E109" s="5" t="s">
        <v>765</v>
      </c>
      <c r="F109" s="5" t="s">
        <v>1878</v>
      </c>
      <c r="G109" s="5" t="s">
        <v>1880</v>
      </c>
      <c r="H109" s="5" t="s">
        <v>76</v>
      </c>
      <c r="I109" s="5" t="s">
        <v>73</v>
      </c>
      <c r="J109" s="5" t="s">
        <v>53</v>
      </c>
      <c r="K109" s="5" t="s">
        <v>153</v>
      </c>
      <c r="L109" s="9" t="s">
        <v>803</v>
      </c>
      <c r="M109" s="9" t="s">
        <v>311</v>
      </c>
      <c r="N109" s="5" t="s">
        <v>634</v>
      </c>
      <c r="O109" s="5" t="s">
        <v>62</v>
      </c>
      <c r="P109" s="5" t="s">
        <v>1259</v>
      </c>
      <c r="Q109" s="193">
        <v>720</v>
      </c>
      <c r="R109" s="195">
        <v>1</v>
      </c>
      <c r="S109" s="196">
        <v>12250</v>
      </c>
      <c r="T109" s="9"/>
      <c r="U109" s="193">
        <v>88.2</v>
      </c>
      <c r="V109" s="197">
        <v>3.3000000000000003E-5</v>
      </c>
      <c r="W109" s="197">
        <v>9.1574086000838894E-3</v>
      </c>
      <c r="X109" s="197">
        <v>2.0731096584688398E-3</v>
      </c>
    </row>
    <row r="110" spans="1:24">
      <c r="A110" s="5">
        <v>337</v>
      </c>
      <c r="B110" s="5">
        <v>9962</v>
      </c>
      <c r="C110" s="5" t="s">
        <v>1881</v>
      </c>
      <c r="D110" s="5" t="s">
        <v>1882</v>
      </c>
      <c r="E110" s="5" t="s">
        <v>1346</v>
      </c>
      <c r="F110" s="5" t="s">
        <v>1883</v>
      </c>
      <c r="G110" s="5" t="s">
        <v>1884</v>
      </c>
      <c r="H110" s="5" t="s">
        <v>76</v>
      </c>
      <c r="I110" s="5" t="s">
        <v>73</v>
      </c>
      <c r="J110" s="5" t="s">
        <v>53</v>
      </c>
      <c r="K110" s="5" t="s">
        <v>53</v>
      </c>
      <c r="L110" s="9" t="s">
        <v>803</v>
      </c>
      <c r="M110" s="9" t="s">
        <v>311</v>
      </c>
      <c r="N110" s="5" t="s">
        <v>140</v>
      </c>
      <c r="O110" s="5" t="s">
        <v>62</v>
      </c>
      <c r="P110" s="5" t="s">
        <v>1259</v>
      </c>
      <c r="Q110" s="193">
        <v>800</v>
      </c>
      <c r="R110" s="195">
        <v>1</v>
      </c>
      <c r="S110" s="196">
        <v>7670</v>
      </c>
      <c r="T110" s="9"/>
      <c r="U110" s="193">
        <v>61.36</v>
      </c>
      <c r="V110" s="197">
        <v>6.9999999999999999E-6</v>
      </c>
      <c r="W110" s="197">
        <v>6.37073233221256E-3</v>
      </c>
      <c r="X110" s="197">
        <v>1.4422449959597299E-3</v>
      </c>
    </row>
    <row r="111" spans="1:24">
      <c r="A111" s="5">
        <v>337</v>
      </c>
      <c r="B111" s="5">
        <v>9962</v>
      </c>
      <c r="C111" s="5" t="s">
        <v>1885</v>
      </c>
      <c r="D111" s="5" t="s">
        <v>1886</v>
      </c>
      <c r="E111" s="5" t="s">
        <v>1346</v>
      </c>
      <c r="F111" s="5" t="s">
        <v>1887</v>
      </c>
      <c r="G111" s="5" t="s">
        <v>1888</v>
      </c>
      <c r="H111" s="5" t="s">
        <v>76</v>
      </c>
      <c r="I111" s="5" t="s">
        <v>73</v>
      </c>
      <c r="J111" s="5" t="s">
        <v>53</v>
      </c>
      <c r="K111" s="5" t="s">
        <v>53</v>
      </c>
      <c r="L111" s="9" t="s">
        <v>803</v>
      </c>
      <c r="M111" s="9" t="s">
        <v>311</v>
      </c>
      <c r="N111" s="5" t="s">
        <v>260</v>
      </c>
      <c r="O111" s="5" t="s">
        <v>62</v>
      </c>
      <c r="P111" s="5" t="s">
        <v>1259</v>
      </c>
      <c r="Q111" s="193">
        <v>12834</v>
      </c>
      <c r="R111" s="195">
        <v>1</v>
      </c>
      <c r="S111" s="196">
        <v>575</v>
      </c>
      <c r="T111" s="9"/>
      <c r="U111" s="193">
        <v>73.796000000000006</v>
      </c>
      <c r="V111" s="197">
        <v>5.0000000000000004E-6</v>
      </c>
      <c r="W111" s="197">
        <v>7.6618542669783501E-3</v>
      </c>
      <c r="X111" s="197">
        <v>1.7345370045525801E-3</v>
      </c>
    </row>
    <row r="112" spans="1:24">
      <c r="A112" s="5">
        <v>337</v>
      </c>
      <c r="B112" s="5">
        <v>9962</v>
      </c>
      <c r="C112" s="5" t="s">
        <v>1687</v>
      </c>
      <c r="D112" s="5" t="s">
        <v>1688</v>
      </c>
      <c r="E112" s="5" t="s">
        <v>1346</v>
      </c>
      <c r="F112" s="5" t="s">
        <v>1889</v>
      </c>
      <c r="G112" s="5" t="s">
        <v>1692</v>
      </c>
      <c r="H112" s="5" t="s">
        <v>76</v>
      </c>
      <c r="I112" s="5" t="s">
        <v>73</v>
      </c>
      <c r="J112" s="5" t="s">
        <v>53</v>
      </c>
      <c r="K112" s="5" t="s">
        <v>53</v>
      </c>
      <c r="L112" s="9" t="s">
        <v>803</v>
      </c>
      <c r="M112" s="9" t="s">
        <v>311</v>
      </c>
      <c r="N112" s="5" t="s">
        <v>633</v>
      </c>
      <c r="O112" s="5" t="s">
        <v>62</v>
      </c>
      <c r="P112" s="5" t="s">
        <v>1259</v>
      </c>
      <c r="Q112" s="193">
        <v>395</v>
      </c>
      <c r="R112" s="195">
        <v>1</v>
      </c>
      <c r="S112" s="196">
        <v>64490</v>
      </c>
      <c r="T112" s="9"/>
      <c r="U112" s="193">
        <v>254.73599999999999</v>
      </c>
      <c r="V112" s="197">
        <v>1.5999999999999999E-5</v>
      </c>
      <c r="W112" s="197">
        <v>2.6448039211413501E-2</v>
      </c>
      <c r="X112" s="197">
        <v>5.9874674082187E-3</v>
      </c>
    </row>
    <row r="113" spans="1:24">
      <c r="A113" s="5">
        <v>337</v>
      </c>
      <c r="B113" s="5">
        <v>9962</v>
      </c>
      <c r="C113" s="5" t="s">
        <v>1890</v>
      </c>
      <c r="D113" s="5" t="s">
        <v>1891</v>
      </c>
      <c r="E113" s="5" t="s">
        <v>1346</v>
      </c>
      <c r="F113" s="5" t="s">
        <v>1892</v>
      </c>
      <c r="G113" s="5" t="s">
        <v>1893</v>
      </c>
      <c r="H113" s="5" t="s">
        <v>76</v>
      </c>
      <c r="I113" s="5" t="s">
        <v>73</v>
      </c>
      <c r="J113" s="5" t="s">
        <v>53</v>
      </c>
      <c r="K113" s="5" t="s">
        <v>53</v>
      </c>
      <c r="L113" s="9" t="s">
        <v>803</v>
      </c>
      <c r="M113" s="9" t="s">
        <v>311</v>
      </c>
      <c r="N113" s="5" t="s">
        <v>256</v>
      </c>
      <c r="O113" s="5" t="s">
        <v>62</v>
      </c>
      <c r="P113" s="5" t="s">
        <v>1259</v>
      </c>
      <c r="Q113" s="193">
        <v>661</v>
      </c>
      <c r="R113" s="195">
        <v>1</v>
      </c>
      <c r="S113" s="196">
        <v>24370</v>
      </c>
      <c r="T113" s="9"/>
      <c r="U113" s="193">
        <v>161.08600000000001</v>
      </c>
      <c r="V113" s="197">
        <v>6.9999999999999999E-6</v>
      </c>
      <c r="W113" s="197">
        <v>1.6724802432319E-2</v>
      </c>
      <c r="X113" s="197">
        <v>3.7862621373153499E-3</v>
      </c>
    </row>
    <row r="114" spans="1:24">
      <c r="A114" s="5">
        <v>337</v>
      </c>
      <c r="B114" s="5">
        <v>9962</v>
      </c>
      <c r="C114" s="5" t="s">
        <v>1894</v>
      </c>
      <c r="D114" s="5" t="s">
        <v>1895</v>
      </c>
      <c r="E114" s="5" t="s">
        <v>1346</v>
      </c>
      <c r="F114" s="5" t="s">
        <v>1896</v>
      </c>
      <c r="G114" s="5" t="s">
        <v>1897</v>
      </c>
      <c r="H114" s="5" t="s">
        <v>76</v>
      </c>
      <c r="I114" s="5" t="s">
        <v>73</v>
      </c>
      <c r="J114" s="5" t="s">
        <v>53</v>
      </c>
      <c r="K114" s="5" t="s">
        <v>53</v>
      </c>
      <c r="L114" s="9" t="s">
        <v>803</v>
      </c>
      <c r="M114" s="9" t="s">
        <v>311</v>
      </c>
      <c r="N114" s="5" t="s">
        <v>633</v>
      </c>
      <c r="O114" s="5" t="s">
        <v>62</v>
      </c>
      <c r="P114" s="5" t="s">
        <v>1259</v>
      </c>
      <c r="Q114" s="193">
        <v>1499</v>
      </c>
      <c r="R114" s="195">
        <v>1</v>
      </c>
      <c r="S114" s="196">
        <v>1506</v>
      </c>
      <c r="T114" s="9"/>
      <c r="U114" s="193">
        <v>22.574999999999999</v>
      </c>
      <c r="V114" s="197">
        <v>2.0999999999999999E-5</v>
      </c>
      <c r="W114" s="197">
        <v>2.3438543050156202E-3</v>
      </c>
      <c r="X114" s="197">
        <v>5.3061594278179796E-4</v>
      </c>
    </row>
    <row r="115" spans="1:24">
      <c r="A115" s="5">
        <v>337</v>
      </c>
      <c r="B115" s="5">
        <v>9962</v>
      </c>
      <c r="C115" s="5" t="s">
        <v>1898</v>
      </c>
      <c r="D115" s="5" t="s">
        <v>1899</v>
      </c>
      <c r="E115" s="5" t="s">
        <v>1346</v>
      </c>
      <c r="F115" s="5" t="s">
        <v>1900</v>
      </c>
      <c r="G115" s="5" t="s">
        <v>1901</v>
      </c>
      <c r="H115" s="5" t="s">
        <v>76</v>
      </c>
      <c r="I115" s="5" t="s">
        <v>73</v>
      </c>
      <c r="J115" s="5" t="s">
        <v>53</v>
      </c>
      <c r="K115" s="5" t="s">
        <v>53</v>
      </c>
      <c r="L115" s="9" t="s">
        <v>803</v>
      </c>
      <c r="M115" s="9" t="s">
        <v>311</v>
      </c>
      <c r="N115" s="5" t="s">
        <v>263</v>
      </c>
      <c r="O115" s="5" t="s">
        <v>62</v>
      </c>
      <c r="P115" s="5" t="s">
        <v>1259</v>
      </c>
      <c r="Q115" s="193">
        <v>315</v>
      </c>
      <c r="R115" s="195">
        <v>1</v>
      </c>
      <c r="S115" s="196">
        <v>56070</v>
      </c>
      <c r="T115" s="9"/>
      <c r="U115" s="193">
        <v>176.62</v>
      </c>
      <c r="V115" s="197">
        <v>3.4999999999999997E-5</v>
      </c>
      <c r="W115" s="197">
        <v>1.8337710721668E-2</v>
      </c>
      <c r="X115" s="197">
        <v>4.1514020910838603E-3</v>
      </c>
    </row>
    <row r="116" spans="1:24">
      <c r="A116" s="5">
        <v>337</v>
      </c>
      <c r="B116" s="5">
        <v>9962</v>
      </c>
      <c r="C116" s="5" t="s">
        <v>1902</v>
      </c>
      <c r="D116" s="5" t="s">
        <v>1903</v>
      </c>
      <c r="E116" s="5" t="s">
        <v>1346</v>
      </c>
      <c r="F116" s="5" t="s">
        <v>1904</v>
      </c>
      <c r="G116" s="5" t="s">
        <v>1905</v>
      </c>
      <c r="H116" s="5" t="s">
        <v>76</v>
      </c>
      <c r="I116" s="5" t="s">
        <v>73</v>
      </c>
      <c r="J116" s="5" t="s">
        <v>53</v>
      </c>
      <c r="K116" s="5" t="s">
        <v>53</v>
      </c>
      <c r="L116" s="9" t="s">
        <v>803</v>
      </c>
      <c r="M116" s="9" t="s">
        <v>311</v>
      </c>
      <c r="N116" s="5" t="s">
        <v>633</v>
      </c>
      <c r="O116" s="5" t="s">
        <v>62</v>
      </c>
      <c r="P116" s="5" t="s">
        <v>1259</v>
      </c>
      <c r="Q116" s="193">
        <v>1101</v>
      </c>
      <c r="R116" s="195">
        <v>1</v>
      </c>
      <c r="S116" s="196">
        <v>3685</v>
      </c>
      <c r="T116" s="9"/>
      <c r="U116" s="193">
        <v>40.572000000000003</v>
      </c>
      <c r="V116" s="197">
        <v>5.0000000000000004E-6</v>
      </c>
      <c r="W116" s="197">
        <v>4.2123923822144404E-3</v>
      </c>
      <c r="X116" s="197">
        <v>9.5362691719896896E-4</v>
      </c>
    </row>
    <row r="117" spans="1:24">
      <c r="A117" s="5">
        <v>337</v>
      </c>
      <c r="B117" s="5">
        <v>9962</v>
      </c>
      <c r="C117" s="5" t="s">
        <v>1906</v>
      </c>
      <c r="D117" s="5" t="s">
        <v>1907</v>
      </c>
      <c r="E117" s="5" t="s">
        <v>1346</v>
      </c>
      <c r="F117" s="5" t="s">
        <v>1908</v>
      </c>
      <c r="G117" s="5" t="s">
        <v>1909</v>
      </c>
      <c r="H117" s="5" t="s">
        <v>76</v>
      </c>
      <c r="I117" s="5" t="s">
        <v>73</v>
      </c>
      <c r="J117" s="5" t="s">
        <v>53</v>
      </c>
      <c r="K117" s="5" t="s">
        <v>53</v>
      </c>
      <c r="L117" s="9" t="s">
        <v>803</v>
      </c>
      <c r="M117" s="9" t="s">
        <v>311</v>
      </c>
      <c r="N117" s="5" t="s">
        <v>629</v>
      </c>
      <c r="O117" s="5" t="s">
        <v>62</v>
      </c>
      <c r="P117" s="5" t="s">
        <v>1259</v>
      </c>
      <c r="Q117" s="193">
        <v>2221</v>
      </c>
      <c r="R117" s="195">
        <v>1</v>
      </c>
      <c r="S117" s="196">
        <v>1532</v>
      </c>
      <c r="T117" s="9"/>
      <c r="U117" s="193">
        <v>34.026000000000003</v>
      </c>
      <c r="V117" s="197">
        <v>1.2E-5</v>
      </c>
      <c r="W117" s="197">
        <v>3.5327371990027901E-3</v>
      </c>
      <c r="X117" s="197">
        <v>7.99762457691116E-4</v>
      </c>
    </row>
    <row r="118" spans="1:24">
      <c r="A118" s="5">
        <v>337</v>
      </c>
      <c r="B118" s="5">
        <v>9962</v>
      </c>
      <c r="C118" s="5" t="s">
        <v>1910</v>
      </c>
      <c r="D118" s="5" t="s">
        <v>1911</v>
      </c>
      <c r="E118" s="5" t="s">
        <v>1346</v>
      </c>
      <c r="F118" s="5" t="s">
        <v>1912</v>
      </c>
      <c r="G118" s="5" t="s">
        <v>1913</v>
      </c>
      <c r="H118" s="5" t="s">
        <v>76</v>
      </c>
      <c r="I118" s="5" t="s">
        <v>73</v>
      </c>
      <c r="J118" s="5" t="s">
        <v>53</v>
      </c>
      <c r="K118" s="5" t="s">
        <v>53</v>
      </c>
      <c r="L118" s="9" t="s">
        <v>803</v>
      </c>
      <c r="M118" s="9" t="s">
        <v>311</v>
      </c>
      <c r="N118" s="5" t="s">
        <v>256</v>
      </c>
      <c r="O118" s="5" t="s">
        <v>62</v>
      </c>
      <c r="P118" s="5" t="s">
        <v>1259</v>
      </c>
      <c r="Q118" s="193">
        <v>6526</v>
      </c>
      <c r="R118" s="195">
        <v>1</v>
      </c>
      <c r="S118" s="196">
        <v>3356</v>
      </c>
      <c r="T118" s="9"/>
      <c r="U118" s="193">
        <v>219.01300000000001</v>
      </c>
      <c r="V118" s="197">
        <v>5.0000000000000004E-6</v>
      </c>
      <c r="W118" s="197">
        <v>2.2739087306920501E-2</v>
      </c>
      <c r="X118" s="197">
        <v>5.1478123975281899E-3</v>
      </c>
    </row>
    <row r="119" spans="1:24">
      <c r="A119" s="5">
        <v>337</v>
      </c>
      <c r="B119" s="5">
        <v>9962</v>
      </c>
      <c r="C119" s="5" t="s">
        <v>1918</v>
      </c>
      <c r="D119" s="5" t="s">
        <v>1919</v>
      </c>
      <c r="E119" s="5" t="s">
        <v>1346</v>
      </c>
      <c r="F119" s="5" t="s">
        <v>1920</v>
      </c>
      <c r="G119" s="5" t="s">
        <v>1921</v>
      </c>
      <c r="H119" s="5" t="s">
        <v>76</v>
      </c>
      <c r="I119" s="5" t="s">
        <v>73</v>
      </c>
      <c r="J119" s="5" t="s">
        <v>53</v>
      </c>
      <c r="K119" s="5" t="s">
        <v>53</v>
      </c>
      <c r="L119" s="9" t="s">
        <v>803</v>
      </c>
      <c r="M119" s="9" t="s">
        <v>311</v>
      </c>
      <c r="N119" s="5" t="s">
        <v>632</v>
      </c>
      <c r="O119" s="5" t="s">
        <v>62</v>
      </c>
      <c r="P119" s="5" t="s">
        <v>1259</v>
      </c>
      <c r="Q119" s="193">
        <v>324</v>
      </c>
      <c r="R119" s="195">
        <v>1</v>
      </c>
      <c r="S119" s="196">
        <v>10170</v>
      </c>
      <c r="T119" s="9"/>
      <c r="U119" s="193">
        <v>32.951000000000001</v>
      </c>
      <c r="V119" s="197">
        <v>1.2999999999999999E-5</v>
      </c>
      <c r="W119" s="197">
        <v>3.42113309863542E-3</v>
      </c>
      <c r="X119" s="197">
        <v>7.74496845059808E-4</v>
      </c>
    </row>
    <row r="120" spans="1:24">
      <c r="A120" s="5">
        <v>337</v>
      </c>
      <c r="B120" s="5">
        <v>9962</v>
      </c>
      <c r="C120" s="5" t="s">
        <v>1922</v>
      </c>
      <c r="D120" s="5" t="s">
        <v>1923</v>
      </c>
      <c r="E120" s="5" t="s">
        <v>1346</v>
      </c>
      <c r="F120" s="5" t="s">
        <v>1924</v>
      </c>
      <c r="G120" s="5" t="s">
        <v>1925</v>
      </c>
      <c r="H120" s="5" t="s">
        <v>76</v>
      </c>
      <c r="I120" s="5" t="s">
        <v>73</v>
      </c>
      <c r="J120" s="5" t="s">
        <v>53</v>
      </c>
      <c r="K120" s="5" t="s">
        <v>53</v>
      </c>
      <c r="L120" s="9" t="s">
        <v>803</v>
      </c>
      <c r="M120" s="9" t="s">
        <v>311</v>
      </c>
      <c r="N120" s="5" t="s">
        <v>258</v>
      </c>
      <c r="O120" s="5" t="s">
        <v>62</v>
      </c>
      <c r="P120" s="5" t="s">
        <v>1259</v>
      </c>
      <c r="Q120" s="193">
        <v>47</v>
      </c>
      <c r="R120" s="195">
        <v>1</v>
      </c>
      <c r="S120" s="196">
        <v>48100</v>
      </c>
      <c r="T120" s="9"/>
      <c r="U120" s="193">
        <v>22.606999999999999</v>
      </c>
      <c r="V120" s="197">
        <v>7.9999999999999996E-6</v>
      </c>
      <c r="W120" s="197">
        <v>2.3471829503639101E-3</v>
      </c>
      <c r="X120" s="197">
        <v>5.3136950168940005E-4</v>
      </c>
    </row>
    <row r="121" spans="1:24">
      <c r="A121" s="5">
        <v>337</v>
      </c>
      <c r="B121" s="5">
        <v>9962</v>
      </c>
      <c r="C121" s="5" t="s">
        <v>1926</v>
      </c>
      <c r="D121" s="5" t="s">
        <v>1927</v>
      </c>
      <c r="E121" s="5" t="s">
        <v>1346</v>
      </c>
      <c r="F121" s="5" t="s">
        <v>1928</v>
      </c>
      <c r="G121" s="5" t="s">
        <v>1929</v>
      </c>
      <c r="H121" s="5" t="s">
        <v>76</v>
      </c>
      <c r="I121" s="5" t="s">
        <v>73</v>
      </c>
      <c r="J121" s="5" t="s">
        <v>53</v>
      </c>
      <c r="K121" s="5" t="s">
        <v>53</v>
      </c>
      <c r="L121" s="9" t="s">
        <v>803</v>
      </c>
      <c r="M121" s="9" t="s">
        <v>311</v>
      </c>
      <c r="N121" s="5" t="s">
        <v>257</v>
      </c>
      <c r="O121" s="5" t="s">
        <v>62</v>
      </c>
      <c r="P121" s="5" t="s">
        <v>1259</v>
      </c>
      <c r="Q121" s="193">
        <v>748</v>
      </c>
      <c r="R121" s="195">
        <v>1</v>
      </c>
      <c r="S121" s="196">
        <v>6510</v>
      </c>
      <c r="T121" s="9"/>
      <c r="U121" s="193">
        <v>48.695</v>
      </c>
      <c r="V121" s="197">
        <v>6.9999999999999999E-6</v>
      </c>
      <c r="W121" s="197">
        <v>5.0557616813987002E-3</v>
      </c>
      <c r="X121" s="197">
        <v>1.14455397048989E-3</v>
      </c>
    </row>
    <row r="122" spans="1:24">
      <c r="A122" s="5">
        <v>337</v>
      </c>
      <c r="B122" s="5">
        <v>9962</v>
      </c>
      <c r="C122" s="5" t="s">
        <v>1930</v>
      </c>
      <c r="D122" s="5" t="s">
        <v>1931</v>
      </c>
      <c r="E122" s="5" t="s">
        <v>1346</v>
      </c>
      <c r="F122" s="5" t="s">
        <v>1932</v>
      </c>
      <c r="G122" s="5" t="s">
        <v>1933</v>
      </c>
      <c r="H122" s="5" t="s">
        <v>76</v>
      </c>
      <c r="I122" s="5" t="s">
        <v>73</v>
      </c>
      <c r="J122" s="5" t="s">
        <v>53</v>
      </c>
      <c r="K122" s="5" t="s">
        <v>53</v>
      </c>
      <c r="L122" s="9" t="s">
        <v>803</v>
      </c>
      <c r="M122" s="9" t="s">
        <v>311</v>
      </c>
      <c r="N122" s="5" t="s">
        <v>258</v>
      </c>
      <c r="O122" s="5" t="s">
        <v>62</v>
      </c>
      <c r="P122" s="5" t="s">
        <v>1259</v>
      </c>
      <c r="Q122" s="193">
        <v>12000</v>
      </c>
      <c r="R122" s="195">
        <v>1</v>
      </c>
      <c r="S122" s="196">
        <v>732.6</v>
      </c>
      <c r="T122" s="170">
        <v>1.4379999999999999</v>
      </c>
      <c r="U122" s="193">
        <v>89.35</v>
      </c>
      <c r="V122" s="197">
        <v>1.3100000000000001E-4</v>
      </c>
      <c r="W122" s="197">
        <v>9.2768141480953706E-3</v>
      </c>
      <c r="X122" s="197">
        <v>2.1001414100994399E-3</v>
      </c>
    </row>
    <row r="123" spans="1:24">
      <c r="A123" s="5">
        <v>337</v>
      </c>
      <c r="B123" s="5">
        <v>9962</v>
      </c>
      <c r="C123" s="5" t="s">
        <v>1934</v>
      </c>
      <c r="D123" s="5" t="s">
        <v>1935</v>
      </c>
      <c r="E123" s="5" t="s">
        <v>1346</v>
      </c>
      <c r="F123" s="5" t="s">
        <v>1936</v>
      </c>
      <c r="G123" s="5" t="s">
        <v>1937</v>
      </c>
      <c r="H123" s="5" t="s">
        <v>76</v>
      </c>
      <c r="I123" s="5" t="s">
        <v>73</v>
      </c>
      <c r="J123" s="5" t="s">
        <v>53</v>
      </c>
      <c r="K123" s="5" t="s">
        <v>53</v>
      </c>
      <c r="L123" s="9" t="s">
        <v>803</v>
      </c>
      <c r="M123" s="9" t="s">
        <v>311</v>
      </c>
      <c r="N123" s="5" t="s">
        <v>140</v>
      </c>
      <c r="O123" s="5" t="s">
        <v>62</v>
      </c>
      <c r="P123" s="5" t="s">
        <v>1259</v>
      </c>
      <c r="Q123" s="193">
        <v>7000</v>
      </c>
      <c r="R123" s="195">
        <v>1</v>
      </c>
      <c r="S123" s="196">
        <v>711.9</v>
      </c>
      <c r="T123" s="9"/>
      <c r="U123" s="193">
        <v>49.832999999999998</v>
      </c>
      <c r="V123" s="197">
        <v>8.0000000000000007E-5</v>
      </c>
      <c r="W123" s="197">
        <v>5.1739358590474002E-3</v>
      </c>
      <c r="X123" s="197">
        <v>1.1713069570348999E-3</v>
      </c>
    </row>
    <row r="124" spans="1:24">
      <c r="A124" s="5">
        <v>337</v>
      </c>
      <c r="B124" s="5">
        <v>9962</v>
      </c>
      <c r="C124" s="5" t="s">
        <v>1938</v>
      </c>
      <c r="D124" s="5" t="s">
        <v>1939</v>
      </c>
      <c r="E124" s="5" t="s">
        <v>1346</v>
      </c>
      <c r="F124" s="5" t="s">
        <v>1940</v>
      </c>
      <c r="G124" s="5" t="s">
        <v>1941</v>
      </c>
      <c r="H124" s="5" t="s">
        <v>76</v>
      </c>
      <c r="I124" s="5" t="s">
        <v>73</v>
      </c>
      <c r="J124" s="5" t="s">
        <v>53</v>
      </c>
      <c r="K124" s="5" t="s">
        <v>53</v>
      </c>
      <c r="L124" s="9" t="s">
        <v>803</v>
      </c>
      <c r="M124" s="9" t="s">
        <v>311</v>
      </c>
      <c r="N124" s="5" t="s">
        <v>269</v>
      </c>
      <c r="O124" s="5" t="s">
        <v>62</v>
      </c>
      <c r="P124" s="5" t="s">
        <v>1259</v>
      </c>
      <c r="Q124" s="193">
        <v>3120</v>
      </c>
      <c r="R124" s="195">
        <v>1</v>
      </c>
      <c r="S124" s="196">
        <v>9745</v>
      </c>
      <c r="T124" s="9"/>
      <c r="U124" s="193">
        <v>304.04399999999998</v>
      </c>
      <c r="V124" s="197">
        <v>1.2E-5</v>
      </c>
      <c r="W124" s="197">
        <v>3.1567518598683703E-2</v>
      </c>
      <c r="X124" s="197">
        <v>7.14644617913266E-3</v>
      </c>
    </row>
    <row r="125" spans="1:24">
      <c r="A125" s="5">
        <v>337</v>
      </c>
      <c r="B125" s="5">
        <v>9962</v>
      </c>
      <c r="C125" s="5" t="s">
        <v>1942</v>
      </c>
      <c r="D125" s="5" t="s">
        <v>1943</v>
      </c>
      <c r="E125" s="5" t="s">
        <v>1346</v>
      </c>
      <c r="F125" s="5" t="s">
        <v>1944</v>
      </c>
      <c r="G125" s="5" t="s">
        <v>1945</v>
      </c>
      <c r="H125" s="5" t="s">
        <v>76</v>
      </c>
      <c r="I125" s="5" t="s">
        <v>73</v>
      </c>
      <c r="J125" s="5" t="s">
        <v>53</v>
      </c>
      <c r="K125" s="5" t="s">
        <v>53</v>
      </c>
      <c r="L125" s="9" t="s">
        <v>803</v>
      </c>
      <c r="M125" s="9" t="s">
        <v>311</v>
      </c>
      <c r="N125" s="5" t="s">
        <v>269</v>
      </c>
      <c r="O125" s="5" t="s">
        <v>62</v>
      </c>
      <c r="P125" s="5" t="s">
        <v>1259</v>
      </c>
      <c r="Q125" s="193">
        <v>4174</v>
      </c>
      <c r="R125" s="195">
        <v>1</v>
      </c>
      <c r="S125" s="196">
        <v>9432</v>
      </c>
      <c r="T125" s="9"/>
      <c r="U125" s="193">
        <v>393.69200000000001</v>
      </c>
      <c r="V125" s="197">
        <v>1.9000000000000001E-5</v>
      </c>
      <c r="W125" s="197">
        <v>4.0875233290402199E-2</v>
      </c>
      <c r="X125" s="197">
        <v>9.2535830415739692E-3</v>
      </c>
    </row>
    <row r="126" spans="1:24">
      <c r="A126" s="5">
        <v>337</v>
      </c>
      <c r="B126" s="5">
        <v>9962</v>
      </c>
      <c r="C126" s="5" t="s">
        <v>1946</v>
      </c>
      <c r="D126" s="5" t="s">
        <v>1947</v>
      </c>
      <c r="E126" s="5" t="s">
        <v>1346</v>
      </c>
      <c r="F126" s="5" t="s">
        <v>1948</v>
      </c>
      <c r="G126" s="5" t="s">
        <v>1949</v>
      </c>
      <c r="H126" s="5" t="s">
        <v>76</v>
      </c>
      <c r="I126" s="5" t="s">
        <v>73</v>
      </c>
      <c r="J126" s="5" t="s">
        <v>53</v>
      </c>
      <c r="K126" s="5" t="s">
        <v>53</v>
      </c>
      <c r="L126" s="9" t="s">
        <v>803</v>
      </c>
      <c r="M126" s="9" t="s">
        <v>311</v>
      </c>
      <c r="N126" s="5" t="s">
        <v>252</v>
      </c>
      <c r="O126" s="5" t="s">
        <v>62</v>
      </c>
      <c r="P126" s="5" t="s">
        <v>1259</v>
      </c>
      <c r="Q126" s="193">
        <v>485</v>
      </c>
      <c r="R126" s="195">
        <v>1</v>
      </c>
      <c r="S126" s="196">
        <v>8680</v>
      </c>
      <c r="T126" s="9"/>
      <c r="U126" s="193">
        <v>42.097999999999999</v>
      </c>
      <c r="V126" s="197">
        <v>6.9999999999999999E-6</v>
      </c>
      <c r="W126" s="197">
        <v>4.3708456603892502E-3</v>
      </c>
      <c r="X126" s="197">
        <v>9.8949853063742994E-4</v>
      </c>
    </row>
    <row r="127" spans="1:24">
      <c r="A127" s="5">
        <v>337</v>
      </c>
      <c r="B127" s="5">
        <v>9962</v>
      </c>
      <c r="C127" s="5" t="s">
        <v>2192</v>
      </c>
      <c r="D127" s="5" t="s">
        <v>2193</v>
      </c>
      <c r="E127" s="5" t="s">
        <v>1346</v>
      </c>
      <c r="F127" s="5" t="s">
        <v>2194</v>
      </c>
      <c r="G127" s="5" t="s">
        <v>2195</v>
      </c>
      <c r="H127" s="5" t="s">
        <v>76</v>
      </c>
      <c r="I127" s="5" t="s">
        <v>73</v>
      </c>
      <c r="J127" s="5" t="s">
        <v>53</v>
      </c>
      <c r="K127" s="5" t="s">
        <v>53</v>
      </c>
      <c r="L127" s="9" t="s">
        <v>803</v>
      </c>
      <c r="M127" s="9" t="s">
        <v>311</v>
      </c>
      <c r="N127" s="5" t="s">
        <v>690</v>
      </c>
      <c r="O127" s="5" t="s">
        <v>62</v>
      </c>
      <c r="P127" s="5" t="s">
        <v>1259</v>
      </c>
      <c r="Q127" s="193">
        <v>82</v>
      </c>
      <c r="R127" s="195">
        <v>1</v>
      </c>
      <c r="S127" s="196">
        <v>112370</v>
      </c>
      <c r="T127" s="9"/>
      <c r="U127" s="193">
        <v>92.143000000000001</v>
      </c>
      <c r="V127" s="197">
        <v>1.1E-5</v>
      </c>
      <c r="W127" s="197">
        <v>9.5668340544327601E-3</v>
      </c>
      <c r="X127" s="197">
        <v>2.1657978741968001E-3</v>
      </c>
    </row>
    <row r="128" spans="1:24">
      <c r="A128" s="5">
        <v>337</v>
      </c>
      <c r="B128" s="5">
        <v>9962</v>
      </c>
      <c r="C128" s="5" t="s">
        <v>1950</v>
      </c>
      <c r="D128" s="5" t="s">
        <v>1951</v>
      </c>
      <c r="E128" s="5" t="s">
        <v>1346</v>
      </c>
      <c r="F128" s="5" t="s">
        <v>1952</v>
      </c>
      <c r="G128" s="5" t="s">
        <v>1953</v>
      </c>
      <c r="H128" s="5" t="s">
        <v>76</v>
      </c>
      <c r="I128" s="5" t="s">
        <v>73</v>
      </c>
      <c r="J128" s="5" t="s">
        <v>53</v>
      </c>
      <c r="K128" s="5" t="s">
        <v>53</v>
      </c>
      <c r="L128" s="9" t="s">
        <v>803</v>
      </c>
      <c r="M128" s="9" t="s">
        <v>311</v>
      </c>
      <c r="N128" s="5" t="s">
        <v>140</v>
      </c>
      <c r="O128" s="5" t="s">
        <v>62</v>
      </c>
      <c r="P128" s="5" t="s">
        <v>1259</v>
      </c>
      <c r="Q128" s="193">
        <v>2503</v>
      </c>
      <c r="R128" s="195">
        <v>1</v>
      </c>
      <c r="S128" s="196">
        <v>2063</v>
      </c>
      <c r="T128" s="9"/>
      <c r="U128" s="193">
        <v>51.637</v>
      </c>
      <c r="V128" s="197">
        <v>4.0000000000000003E-5</v>
      </c>
      <c r="W128" s="197">
        <v>5.3612256300179803E-3</v>
      </c>
      <c r="X128" s="197">
        <v>1.2137067504795101E-3</v>
      </c>
    </row>
    <row r="129" spans="1:24">
      <c r="A129" s="5">
        <v>337</v>
      </c>
      <c r="B129" s="5">
        <v>9962</v>
      </c>
      <c r="C129" s="5" t="s">
        <v>1954</v>
      </c>
      <c r="D129" s="5" t="s">
        <v>1955</v>
      </c>
      <c r="E129" s="5" t="s">
        <v>1346</v>
      </c>
      <c r="F129" s="5" t="s">
        <v>1956</v>
      </c>
      <c r="G129" s="5" t="s">
        <v>1957</v>
      </c>
      <c r="H129" s="5" t="s">
        <v>76</v>
      </c>
      <c r="I129" s="5" t="s">
        <v>73</v>
      </c>
      <c r="J129" s="5" t="s">
        <v>53</v>
      </c>
      <c r="K129" s="5" t="s">
        <v>53</v>
      </c>
      <c r="L129" s="9" t="s">
        <v>803</v>
      </c>
      <c r="M129" s="9" t="s">
        <v>311</v>
      </c>
      <c r="N129" s="5" t="s">
        <v>252</v>
      </c>
      <c r="O129" s="5" t="s">
        <v>62</v>
      </c>
      <c r="P129" s="5" t="s">
        <v>1259</v>
      </c>
      <c r="Q129" s="193">
        <v>144</v>
      </c>
      <c r="R129" s="195">
        <v>1</v>
      </c>
      <c r="S129" s="196">
        <v>28610</v>
      </c>
      <c r="T129" s="9"/>
      <c r="U129" s="193">
        <v>41.198</v>
      </c>
      <c r="V129" s="197">
        <v>6.0000000000000002E-6</v>
      </c>
      <c r="W129" s="197">
        <v>4.27744424568816E-3</v>
      </c>
      <c r="X129" s="197">
        <v>9.6835375230683405E-4</v>
      </c>
    </row>
    <row r="130" spans="1:24">
      <c r="A130" s="5">
        <v>337</v>
      </c>
      <c r="B130" s="5">
        <v>9962</v>
      </c>
      <c r="C130" s="5" t="s">
        <v>1958</v>
      </c>
      <c r="D130" s="5" t="s">
        <v>1959</v>
      </c>
      <c r="E130" s="5" t="s">
        <v>1346</v>
      </c>
      <c r="F130" s="5" t="s">
        <v>1960</v>
      </c>
      <c r="G130" s="5" t="s">
        <v>1961</v>
      </c>
      <c r="H130" s="5" t="s">
        <v>76</v>
      </c>
      <c r="I130" s="5" t="s">
        <v>73</v>
      </c>
      <c r="J130" s="5" t="s">
        <v>53</v>
      </c>
      <c r="K130" s="5" t="s">
        <v>53</v>
      </c>
      <c r="L130" s="9" t="s">
        <v>803</v>
      </c>
      <c r="M130" s="9" t="s">
        <v>311</v>
      </c>
      <c r="N130" s="5" t="s">
        <v>263</v>
      </c>
      <c r="O130" s="5" t="s">
        <v>62</v>
      </c>
      <c r="P130" s="5" t="s">
        <v>1259</v>
      </c>
      <c r="Q130" s="193">
        <v>1370</v>
      </c>
      <c r="R130" s="195">
        <v>1</v>
      </c>
      <c r="S130" s="196">
        <v>1866</v>
      </c>
      <c r="T130" s="170">
        <v>0.56100000000000005</v>
      </c>
      <c r="U130" s="193">
        <v>26.125</v>
      </c>
      <c r="V130" s="197">
        <v>3.6999999999999998E-5</v>
      </c>
      <c r="W130" s="197">
        <v>2.7124410394239401E-3</v>
      </c>
      <c r="X130" s="197">
        <v>6.1405884158161604E-4</v>
      </c>
    </row>
    <row r="131" spans="1:24">
      <c r="A131" s="5">
        <v>337</v>
      </c>
      <c r="B131" s="5">
        <v>9962</v>
      </c>
      <c r="C131" s="5" t="s">
        <v>1962</v>
      </c>
      <c r="D131" s="5" t="s">
        <v>1963</v>
      </c>
      <c r="E131" s="5" t="s">
        <v>1346</v>
      </c>
      <c r="F131" s="5" t="s">
        <v>1964</v>
      </c>
      <c r="G131" s="5" t="s">
        <v>1965</v>
      </c>
      <c r="H131" s="5" t="s">
        <v>76</v>
      </c>
      <c r="I131" s="5" t="s">
        <v>73</v>
      </c>
      <c r="J131" s="5" t="s">
        <v>53</v>
      </c>
      <c r="K131" s="5" t="s">
        <v>317</v>
      </c>
      <c r="L131" s="9" t="s">
        <v>803</v>
      </c>
      <c r="M131" s="9" t="s">
        <v>311</v>
      </c>
      <c r="N131" s="5" t="s">
        <v>254</v>
      </c>
      <c r="O131" s="5" t="s">
        <v>62</v>
      </c>
      <c r="P131" s="5" t="s">
        <v>1259</v>
      </c>
      <c r="Q131" s="193">
        <v>500</v>
      </c>
      <c r="R131" s="195">
        <v>1</v>
      </c>
      <c r="S131" s="196">
        <v>14620</v>
      </c>
      <c r="T131" s="9"/>
      <c r="U131" s="193">
        <v>73.099999999999994</v>
      </c>
      <c r="V131" s="197">
        <v>3.9999999999999998E-6</v>
      </c>
      <c r="W131" s="197">
        <v>7.58964363567044E-3</v>
      </c>
      <c r="X131" s="197">
        <v>1.7181895241958299E-3</v>
      </c>
    </row>
    <row r="132" spans="1:24">
      <c r="A132" s="5">
        <v>337</v>
      </c>
      <c r="B132" s="5">
        <v>9962</v>
      </c>
      <c r="C132" s="5" t="s">
        <v>1966</v>
      </c>
      <c r="D132" s="5" t="s">
        <v>1967</v>
      </c>
      <c r="E132" s="5" t="s">
        <v>1346</v>
      </c>
      <c r="F132" s="5" t="s">
        <v>1968</v>
      </c>
      <c r="G132" s="5" t="s">
        <v>1969</v>
      </c>
      <c r="H132" s="5" t="s">
        <v>76</v>
      </c>
      <c r="I132" s="5" t="s">
        <v>73</v>
      </c>
      <c r="J132" s="5" t="s">
        <v>53</v>
      </c>
      <c r="K132" s="5" t="s">
        <v>314</v>
      </c>
      <c r="L132" s="9" t="s">
        <v>803</v>
      </c>
      <c r="M132" s="9" t="s">
        <v>311</v>
      </c>
      <c r="N132" s="5" t="s">
        <v>85</v>
      </c>
      <c r="O132" s="5" t="s">
        <v>62</v>
      </c>
      <c r="P132" s="5" t="s">
        <v>1259</v>
      </c>
      <c r="Q132" s="193">
        <v>8180</v>
      </c>
      <c r="R132" s="195">
        <v>1</v>
      </c>
      <c r="S132" s="196">
        <v>5699</v>
      </c>
      <c r="T132" s="9"/>
      <c r="U132" s="193">
        <v>466.178</v>
      </c>
      <c r="V132" s="197">
        <v>6.9999999999999999E-6</v>
      </c>
      <c r="W132" s="197">
        <v>4.8401182061809801E-2</v>
      </c>
      <c r="X132" s="197">
        <v>1.09573529363676E-2</v>
      </c>
    </row>
    <row r="133" spans="1:24">
      <c r="A133" s="5">
        <v>337</v>
      </c>
      <c r="B133" s="5">
        <v>9962</v>
      </c>
      <c r="C133" s="5" t="s">
        <v>1970</v>
      </c>
      <c r="D133" s="5" t="s">
        <v>1971</v>
      </c>
      <c r="E133" s="5" t="s">
        <v>1346</v>
      </c>
      <c r="F133" s="5" t="s">
        <v>1972</v>
      </c>
      <c r="G133" s="5" t="s">
        <v>1973</v>
      </c>
      <c r="H133" s="5" t="s">
        <v>76</v>
      </c>
      <c r="I133" s="5" t="s">
        <v>73</v>
      </c>
      <c r="J133" s="5" t="s">
        <v>53</v>
      </c>
      <c r="K133" s="5" t="s">
        <v>53</v>
      </c>
      <c r="L133" s="9" t="s">
        <v>803</v>
      </c>
      <c r="M133" s="9" t="s">
        <v>311</v>
      </c>
      <c r="N133" s="5" t="s">
        <v>632</v>
      </c>
      <c r="O133" s="5" t="s">
        <v>62</v>
      </c>
      <c r="P133" s="5" t="s">
        <v>1259</v>
      </c>
      <c r="Q133" s="193">
        <v>4467</v>
      </c>
      <c r="R133" s="195">
        <v>1</v>
      </c>
      <c r="S133" s="196">
        <v>810</v>
      </c>
      <c r="T133" s="9"/>
      <c r="U133" s="193">
        <v>36.183</v>
      </c>
      <c r="V133" s="197">
        <v>4.1E-5</v>
      </c>
      <c r="W133" s="197">
        <v>3.7566867137670702E-3</v>
      </c>
      <c r="X133" s="197">
        <v>8.5046150611655898E-4</v>
      </c>
    </row>
    <row r="134" spans="1:24">
      <c r="A134" s="5">
        <v>337</v>
      </c>
      <c r="B134" s="5">
        <v>9962</v>
      </c>
      <c r="C134" s="5" t="s">
        <v>1974</v>
      </c>
      <c r="D134" s="5" t="s">
        <v>1975</v>
      </c>
      <c r="E134" s="5" t="s">
        <v>431</v>
      </c>
      <c r="F134" s="5" t="s">
        <v>1976</v>
      </c>
      <c r="G134" s="5" t="s">
        <v>1977</v>
      </c>
      <c r="H134" s="5" t="s">
        <v>76</v>
      </c>
      <c r="I134" s="5" t="s">
        <v>73</v>
      </c>
      <c r="J134" s="5" t="s">
        <v>53</v>
      </c>
      <c r="K134" s="5" t="s">
        <v>53</v>
      </c>
      <c r="L134" s="9" t="s">
        <v>803</v>
      </c>
      <c r="M134" s="9" t="s">
        <v>311</v>
      </c>
      <c r="N134" s="5" t="s">
        <v>267</v>
      </c>
      <c r="O134" s="5" t="s">
        <v>62</v>
      </c>
      <c r="P134" s="5" t="s">
        <v>1259</v>
      </c>
      <c r="Q134" s="193">
        <v>40000</v>
      </c>
      <c r="R134" s="195">
        <v>1</v>
      </c>
      <c r="S134" s="196">
        <v>229.9</v>
      </c>
      <c r="T134" s="9"/>
      <c r="U134" s="193">
        <v>91.96</v>
      </c>
      <c r="V134" s="197">
        <v>1.5E-5</v>
      </c>
      <c r="W134" s="197">
        <v>9.5477924587722696E-3</v>
      </c>
      <c r="X134" s="197">
        <v>2.16148712236729E-3</v>
      </c>
    </row>
    <row r="135" spans="1:24">
      <c r="A135" s="5">
        <v>337</v>
      </c>
      <c r="B135" s="5">
        <v>9962</v>
      </c>
      <c r="C135" s="5" t="s">
        <v>1982</v>
      </c>
      <c r="D135" s="5" t="s">
        <v>1983</v>
      </c>
      <c r="E135" s="5" t="s">
        <v>1346</v>
      </c>
      <c r="F135" s="5" t="s">
        <v>1984</v>
      </c>
      <c r="G135" s="5" t="s">
        <v>1985</v>
      </c>
      <c r="H135" s="5" t="s">
        <v>76</v>
      </c>
      <c r="I135" s="5" t="s">
        <v>73</v>
      </c>
      <c r="J135" s="5" t="s">
        <v>53</v>
      </c>
      <c r="K135" s="5" t="s">
        <v>53</v>
      </c>
      <c r="L135" s="9" t="s">
        <v>803</v>
      </c>
      <c r="M135" s="9" t="s">
        <v>311</v>
      </c>
      <c r="N135" s="5" t="s">
        <v>269</v>
      </c>
      <c r="O135" s="5" t="s">
        <v>62</v>
      </c>
      <c r="P135" s="5" t="s">
        <v>1259</v>
      </c>
      <c r="Q135" s="193">
        <v>2699</v>
      </c>
      <c r="R135" s="195">
        <v>1</v>
      </c>
      <c r="S135" s="196">
        <v>14880</v>
      </c>
      <c r="T135" s="9"/>
      <c r="U135" s="193">
        <v>401.61099999999999</v>
      </c>
      <c r="V135" s="197">
        <v>3.4E-5</v>
      </c>
      <c r="W135" s="197">
        <v>4.1697481369274501E-2</v>
      </c>
      <c r="X135" s="197">
        <v>9.4397285450029608E-3</v>
      </c>
    </row>
    <row r="136" spans="1:24">
      <c r="A136" s="5">
        <v>337</v>
      </c>
      <c r="B136" s="5">
        <v>9962</v>
      </c>
      <c r="C136" s="5" t="s">
        <v>1663</v>
      </c>
      <c r="D136" s="5" t="s">
        <v>1664</v>
      </c>
      <c r="E136" s="5" t="s">
        <v>1346</v>
      </c>
      <c r="F136" s="5" t="s">
        <v>1986</v>
      </c>
      <c r="G136" s="5" t="s">
        <v>1987</v>
      </c>
      <c r="H136" s="5" t="s">
        <v>76</v>
      </c>
      <c r="I136" s="5" t="s">
        <v>73</v>
      </c>
      <c r="J136" s="5" t="s">
        <v>53</v>
      </c>
      <c r="K136" s="5" t="s">
        <v>53</v>
      </c>
      <c r="L136" s="9" t="s">
        <v>803</v>
      </c>
      <c r="M136" s="9" t="s">
        <v>311</v>
      </c>
      <c r="N136" s="5" t="s">
        <v>256</v>
      </c>
      <c r="O136" s="5" t="s">
        <v>62</v>
      </c>
      <c r="P136" s="5" t="s">
        <v>1259</v>
      </c>
      <c r="Q136" s="193">
        <v>8580</v>
      </c>
      <c r="R136" s="195">
        <v>1</v>
      </c>
      <c r="S136" s="196">
        <v>6262</v>
      </c>
      <c r="T136" s="9"/>
      <c r="U136" s="193">
        <v>537.28</v>
      </c>
      <c r="V136" s="197">
        <v>5.0000000000000004E-6</v>
      </c>
      <c r="W136" s="197">
        <v>5.5783320064508299E-2</v>
      </c>
      <c r="X136" s="197">
        <v>1.26285660777582E-2</v>
      </c>
    </row>
    <row r="137" spans="1:24">
      <c r="A137" s="5">
        <v>337</v>
      </c>
      <c r="B137" s="5">
        <v>9962</v>
      </c>
      <c r="C137" s="5" t="s">
        <v>1988</v>
      </c>
      <c r="D137" s="5" t="s">
        <v>1989</v>
      </c>
      <c r="E137" s="5" t="s">
        <v>1346</v>
      </c>
      <c r="F137" s="5" t="s">
        <v>1990</v>
      </c>
      <c r="G137" s="5" t="s">
        <v>1991</v>
      </c>
      <c r="H137" s="5" t="s">
        <v>76</v>
      </c>
      <c r="I137" s="5" t="s">
        <v>73</v>
      </c>
      <c r="J137" s="5" t="s">
        <v>53</v>
      </c>
      <c r="K137" s="5" t="s">
        <v>53</v>
      </c>
      <c r="L137" s="9" t="s">
        <v>803</v>
      </c>
      <c r="M137" s="9" t="s">
        <v>311</v>
      </c>
      <c r="N137" s="5" t="s">
        <v>632</v>
      </c>
      <c r="O137" s="5" t="s">
        <v>62</v>
      </c>
      <c r="P137" s="5" t="s">
        <v>1259</v>
      </c>
      <c r="Q137" s="193">
        <v>316</v>
      </c>
      <c r="R137" s="195">
        <v>1</v>
      </c>
      <c r="S137" s="196">
        <v>30850</v>
      </c>
      <c r="T137" s="9"/>
      <c r="U137" s="193">
        <v>97.486000000000004</v>
      </c>
      <c r="V137" s="197">
        <v>2.1999999999999999E-5</v>
      </c>
      <c r="W137" s="197">
        <v>1.0121532140451001E-2</v>
      </c>
      <c r="X137" s="197">
        <v>2.2913737887244202E-3</v>
      </c>
    </row>
    <row r="138" spans="1:24">
      <c r="A138" s="5">
        <v>337</v>
      </c>
      <c r="B138" s="5">
        <v>9962</v>
      </c>
      <c r="C138" s="5" t="s">
        <v>1992</v>
      </c>
      <c r="D138" s="5" t="s">
        <v>1993</v>
      </c>
      <c r="E138" s="5" t="s">
        <v>1346</v>
      </c>
      <c r="F138" s="5" t="s">
        <v>1994</v>
      </c>
      <c r="G138" s="5" t="s">
        <v>1995</v>
      </c>
      <c r="H138" s="5" t="s">
        <v>76</v>
      </c>
      <c r="I138" s="5" t="s">
        <v>73</v>
      </c>
      <c r="J138" s="5" t="s">
        <v>53</v>
      </c>
      <c r="K138" s="5" t="s">
        <v>53</v>
      </c>
      <c r="L138" s="9" t="s">
        <v>803</v>
      </c>
      <c r="M138" s="9" t="s">
        <v>311</v>
      </c>
      <c r="N138" s="5" t="s">
        <v>633</v>
      </c>
      <c r="O138" s="5" t="s">
        <v>62</v>
      </c>
      <c r="P138" s="5" t="s">
        <v>1259</v>
      </c>
      <c r="Q138" s="193">
        <v>5640</v>
      </c>
      <c r="R138" s="195">
        <v>1</v>
      </c>
      <c r="S138" s="196">
        <v>1262</v>
      </c>
      <c r="T138" s="9"/>
      <c r="U138" s="193">
        <v>71.177000000000007</v>
      </c>
      <c r="V138" s="197">
        <v>7.9999999999999996E-6</v>
      </c>
      <c r="W138" s="197">
        <v>7.3899664449711003E-3</v>
      </c>
      <c r="X138" s="197">
        <v>1.67298539159756E-3</v>
      </c>
    </row>
    <row r="139" spans="1:24">
      <c r="A139" s="5">
        <v>337</v>
      </c>
      <c r="B139" s="5">
        <v>9962</v>
      </c>
      <c r="C139" s="5" t="s">
        <v>1996</v>
      </c>
      <c r="D139" s="5" t="s">
        <v>1997</v>
      </c>
      <c r="E139" s="5" t="s">
        <v>1346</v>
      </c>
      <c r="F139" s="5" t="s">
        <v>1998</v>
      </c>
      <c r="G139" s="5" t="s">
        <v>1999</v>
      </c>
      <c r="H139" s="5" t="s">
        <v>76</v>
      </c>
      <c r="I139" s="5" t="s">
        <v>73</v>
      </c>
      <c r="J139" s="5" t="s">
        <v>53</v>
      </c>
      <c r="K139" s="5" t="s">
        <v>53</v>
      </c>
      <c r="L139" s="9" t="s">
        <v>803</v>
      </c>
      <c r="M139" s="9" t="s">
        <v>311</v>
      </c>
      <c r="N139" s="5" t="s">
        <v>256</v>
      </c>
      <c r="O139" s="5" t="s">
        <v>62</v>
      </c>
      <c r="P139" s="5" t="s">
        <v>1259</v>
      </c>
      <c r="Q139" s="193">
        <v>823</v>
      </c>
      <c r="R139" s="195">
        <v>1</v>
      </c>
      <c r="S139" s="196">
        <v>21950</v>
      </c>
      <c r="T139" s="9"/>
      <c r="U139" s="193">
        <v>180.649</v>
      </c>
      <c r="V139" s="197">
        <v>3.0000000000000001E-6</v>
      </c>
      <c r="W139" s="197">
        <v>1.8755919812837401E-2</v>
      </c>
      <c r="X139" s="197">
        <v>4.24607879974953E-3</v>
      </c>
    </row>
    <row r="140" spans="1:24">
      <c r="A140" s="5">
        <v>337</v>
      </c>
      <c r="B140" s="5">
        <v>9962</v>
      </c>
      <c r="C140" s="5" t="s">
        <v>2000</v>
      </c>
      <c r="D140" s="5" t="s">
        <v>2001</v>
      </c>
      <c r="E140" s="5" t="s">
        <v>1346</v>
      </c>
      <c r="F140" s="5" t="s">
        <v>2002</v>
      </c>
      <c r="G140" s="5" t="s">
        <v>2003</v>
      </c>
      <c r="H140" s="5" t="s">
        <v>76</v>
      </c>
      <c r="I140" s="5" t="s">
        <v>73</v>
      </c>
      <c r="J140" s="5" t="s">
        <v>53</v>
      </c>
      <c r="K140" s="5" t="s">
        <v>53</v>
      </c>
      <c r="L140" s="9" t="s">
        <v>803</v>
      </c>
      <c r="M140" s="9" t="s">
        <v>311</v>
      </c>
      <c r="N140" s="5" t="s">
        <v>252</v>
      </c>
      <c r="O140" s="5" t="s">
        <v>62</v>
      </c>
      <c r="P140" s="5" t="s">
        <v>1259</v>
      </c>
      <c r="Q140" s="193">
        <v>387</v>
      </c>
      <c r="R140" s="195">
        <v>1</v>
      </c>
      <c r="S140" s="196">
        <v>11720</v>
      </c>
      <c r="T140" s="9"/>
      <c r="U140" s="193">
        <v>45.356000000000002</v>
      </c>
      <c r="V140" s="197">
        <v>6.0000000000000002E-6</v>
      </c>
      <c r="W140" s="197">
        <v>4.70915065112069E-3</v>
      </c>
      <c r="X140" s="197">
        <v>1.0660860647775099E-3</v>
      </c>
    </row>
    <row r="141" spans="1:24">
      <c r="A141" s="5">
        <v>337</v>
      </c>
      <c r="B141" s="5">
        <v>9962</v>
      </c>
      <c r="C141" s="5" t="s">
        <v>2004</v>
      </c>
      <c r="D141" s="5" t="s">
        <v>2005</v>
      </c>
      <c r="E141" s="5" t="s">
        <v>1346</v>
      </c>
      <c r="F141" s="5" t="s">
        <v>2006</v>
      </c>
      <c r="G141" s="5" t="s">
        <v>2007</v>
      </c>
      <c r="H141" s="5" t="s">
        <v>76</v>
      </c>
      <c r="I141" s="5" t="s">
        <v>73</v>
      </c>
      <c r="J141" s="5" t="s">
        <v>53</v>
      </c>
      <c r="K141" s="5" t="s">
        <v>53</v>
      </c>
      <c r="L141" s="9" t="s">
        <v>803</v>
      </c>
      <c r="M141" s="9" t="s">
        <v>311</v>
      </c>
      <c r="N141" s="5" t="s">
        <v>633</v>
      </c>
      <c r="O141" s="5" t="s">
        <v>62</v>
      </c>
      <c r="P141" s="5" t="s">
        <v>1259</v>
      </c>
      <c r="Q141" s="193">
        <v>233</v>
      </c>
      <c r="R141" s="195">
        <v>1</v>
      </c>
      <c r="S141" s="196">
        <v>38400</v>
      </c>
      <c r="T141" s="9"/>
      <c r="U141" s="193">
        <v>89.471999999999994</v>
      </c>
      <c r="V141" s="197">
        <v>5.0000000000000004E-6</v>
      </c>
      <c r="W141" s="197">
        <v>9.2894746288742207E-3</v>
      </c>
      <c r="X141" s="197">
        <v>2.1030075664685301E-3</v>
      </c>
    </row>
    <row r="142" spans="1:24">
      <c r="A142" s="5">
        <v>337</v>
      </c>
      <c r="B142" s="5">
        <v>9962</v>
      </c>
      <c r="C142" s="5" t="s">
        <v>2008</v>
      </c>
      <c r="D142" s="5" t="s">
        <v>2009</v>
      </c>
      <c r="E142" s="5" t="s">
        <v>1346</v>
      </c>
      <c r="F142" s="5" t="s">
        <v>2010</v>
      </c>
      <c r="G142" s="5" t="s">
        <v>2011</v>
      </c>
      <c r="H142" s="5" t="s">
        <v>76</v>
      </c>
      <c r="I142" s="5" t="s">
        <v>73</v>
      </c>
      <c r="J142" s="5" t="s">
        <v>53</v>
      </c>
      <c r="K142" s="5" t="s">
        <v>53</v>
      </c>
      <c r="L142" s="9" t="s">
        <v>803</v>
      </c>
      <c r="M142" s="9" t="s">
        <v>311</v>
      </c>
      <c r="N142" s="5" t="s">
        <v>269</v>
      </c>
      <c r="O142" s="5" t="s">
        <v>62</v>
      </c>
      <c r="P142" s="5" t="s">
        <v>1259</v>
      </c>
      <c r="Q142" s="193">
        <v>317</v>
      </c>
      <c r="R142" s="195">
        <v>1</v>
      </c>
      <c r="S142" s="196">
        <v>26530</v>
      </c>
      <c r="T142" s="9"/>
      <c r="U142" s="193">
        <v>84.1</v>
      </c>
      <c r="V142" s="197">
        <v>5.0000000000000004E-6</v>
      </c>
      <c r="W142" s="197">
        <v>8.7317344558720603E-3</v>
      </c>
      <c r="X142" s="197">
        <v>1.9767429658525599E-3</v>
      </c>
    </row>
    <row r="143" spans="1:24">
      <c r="A143" s="5">
        <v>337</v>
      </c>
      <c r="B143" s="5">
        <v>9962</v>
      </c>
      <c r="C143" s="5" t="s">
        <v>2016</v>
      </c>
      <c r="D143" s="5" t="s">
        <v>2017</v>
      </c>
      <c r="E143" s="5" t="s">
        <v>431</v>
      </c>
      <c r="F143" s="5" t="s">
        <v>2018</v>
      </c>
      <c r="G143" s="5" t="s">
        <v>2019</v>
      </c>
      <c r="H143" s="5" t="s">
        <v>76</v>
      </c>
      <c r="I143" s="5" t="s">
        <v>73</v>
      </c>
      <c r="J143" s="5" t="s">
        <v>53</v>
      </c>
      <c r="K143" s="5" t="s">
        <v>314</v>
      </c>
      <c r="L143" s="9" t="s">
        <v>803</v>
      </c>
      <c r="M143" s="9" t="s">
        <v>311</v>
      </c>
      <c r="N143" s="5" t="s">
        <v>267</v>
      </c>
      <c r="O143" s="5" t="s">
        <v>62</v>
      </c>
      <c r="P143" s="5" t="s">
        <v>1259</v>
      </c>
      <c r="Q143" s="193">
        <v>1773</v>
      </c>
      <c r="R143" s="195">
        <v>1</v>
      </c>
      <c r="S143" s="196">
        <v>9900</v>
      </c>
      <c r="T143" s="9"/>
      <c r="U143" s="193">
        <v>175.52699999999999</v>
      </c>
      <c r="V143" s="197">
        <v>1.7E-5</v>
      </c>
      <c r="W143" s="197">
        <v>1.82241775436159E-2</v>
      </c>
      <c r="X143" s="197">
        <v>4.12569976215488E-3</v>
      </c>
    </row>
    <row r="144" spans="1:24">
      <c r="A144" s="5">
        <v>337</v>
      </c>
      <c r="B144" s="5">
        <v>9962</v>
      </c>
      <c r="C144" s="5" t="s">
        <v>2020</v>
      </c>
      <c r="D144" s="5" t="s">
        <v>2021</v>
      </c>
      <c r="E144" s="5" t="s">
        <v>1346</v>
      </c>
      <c r="F144" s="5" t="s">
        <v>2022</v>
      </c>
      <c r="G144" s="5" t="s">
        <v>2023</v>
      </c>
      <c r="H144" s="5" t="s">
        <v>76</v>
      </c>
      <c r="I144" s="5" t="s">
        <v>73</v>
      </c>
      <c r="J144" s="5" t="s">
        <v>53</v>
      </c>
      <c r="K144" s="5" t="s">
        <v>317</v>
      </c>
      <c r="L144" s="9" t="s">
        <v>803</v>
      </c>
      <c r="M144" s="9" t="s">
        <v>311</v>
      </c>
      <c r="N144" s="5" t="s">
        <v>254</v>
      </c>
      <c r="O144" s="5" t="s">
        <v>62</v>
      </c>
      <c r="P144" s="5" t="s">
        <v>1259</v>
      </c>
      <c r="Q144" s="193">
        <v>356</v>
      </c>
      <c r="R144" s="195">
        <v>1</v>
      </c>
      <c r="S144" s="196">
        <v>95280</v>
      </c>
      <c r="T144" s="9"/>
      <c r="U144" s="193">
        <v>339.197</v>
      </c>
      <c r="V144" s="197">
        <v>1.2E-5</v>
      </c>
      <c r="W144" s="197">
        <v>3.5217275435838302E-2</v>
      </c>
      <c r="X144" s="197">
        <v>7.9727002517202203E-3</v>
      </c>
    </row>
    <row r="145" spans="1:24">
      <c r="A145" s="5">
        <v>337</v>
      </c>
      <c r="B145" s="5">
        <v>9962</v>
      </c>
      <c r="C145" s="5" t="s">
        <v>2024</v>
      </c>
      <c r="D145" s="5" t="s">
        <v>2025</v>
      </c>
      <c r="E145" s="5" t="s">
        <v>1346</v>
      </c>
      <c r="F145" s="5" t="s">
        <v>2026</v>
      </c>
      <c r="G145" s="5" t="s">
        <v>2027</v>
      </c>
      <c r="H145" s="5" t="s">
        <v>76</v>
      </c>
      <c r="I145" s="5" t="s">
        <v>73</v>
      </c>
      <c r="J145" s="5" t="s">
        <v>53</v>
      </c>
      <c r="K145" s="5" t="s">
        <v>53</v>
      </c>
      <c r="L145" s="9" t="s">
        <v>803</v>
      </c>
      <c r="M145" s="9" t="s">
        <v>311</v>
      </c>
      <c r="N145" s="5" t="s">
        <v>629</v>
      </c>
      <c r="O145" s="5" t="s">
        <v>62</v>
      </c>
      <c r="P145" s="5" t="s">
        <v>1259</v>
      </c>
      <c r="Q145" s="193">
        <v>666</v>
      </c>
      <c r="R145" s="195">
        <v>1</v>
      </c>
      <c r="S145" s="196">
        <v>9339</v>
      </c>
      <c r="T145" s="9"/>
      <c r="U145" s="193">
        <v>62.198</v>
      </c>
      <c r="V145" s="197">
        <v>1.9000000000000001E-5</v>
      </c>
      <c r="W145" s="197">
        <v>6.4577111018342603E-3</v>
      </c>
      <c r="X145" s="197">
        <v>1.46193577697204E-3</v>
      </c>
    </row>
    <row r="146" spans="1:24">
      <c r="A146" s="5">
        <v>337</v>
      </c>
      <c r="B146" s="5">
        <v>9962</v>
      </c>
      <c r="C146" s="5" t="s">
        <v>2028</v>
      </c>
      <c r="D146" s="5" t="s">
        <v>2029</v>
      </c>
      <c r="E146" s="5" t="s">
        <v>431</v>
      </c>
      <c r="F146" s="5" t="s">
        <v>2030</v>
      </c>
      <c r="G146" s="5" t="s">
        <v>2031</v>
      </c>
      <c r="H146" s="5" t="s">
        <v>76</v>
      </c>
      <c r="I146" s="5" t="s">
        <v>73</v>
      </c>
      <c r="J146" s="5" t="s">
        <v>53</v>
      </c>
      <c r="K146" s="5" t="s">
        <v>53</v>
      </c>
      <c r="L146" s="9" t="s">
        <v>803</v>
      </c>
      <c r="M146" s="9" t="s">
        <v>311</v>
      </c>
      <c r="N146" s="5" t="s">
        <v>267</v>
      </c>
      <c r="O146" s="5" t="s">
        <v>62</v>
      </c>
      <c r="P146" s="5" t="s">
        <v>1259</v>
      </c>
      <c r="Q146" s="193">
        <v>11856</v>
      </c>
      <c r="R146" s="195">
        <v>1</v>
      </c>
      <c r="S146" s="196">
        <v>1656</v>
      </c>
      <c r="T146" s="9"/>
      <c r="U146" s="193">
        <v>196.33500000000001</v>
      </c>
      <c r="V146" s="197">
        <v>1.0000000000000001E-5</v>
      </c>
      <c r="W146" s="197">
        <v>2.0384615806854502E-2</v>
      </c>
      <c r="X146" s="197">
        <v>4.6147928697840897E-3</v>
      </c>
    </row>
    <row r="147" spans="1:24">
      <c r="A147" s="5">
        <v>337</v>
      </c>
      <c r="B147" s="5">
        <v>9962</v>
      </c>
      <c r="C147" s="5" t="s">
        <v>2032</v>
      </c>
      <c r="D147" s="5" t="s">
        <v>2033</v>
      </c>
      <c r="E147" s="5" t="s">
        <v>1346</v>
      </c>
      <c r="F147" s="5" t="s">
        <v>2034</v>
      </c>
      <c r="G147" s="5" t="s">
        <v>2035</v>
      </c>
      <c r="H147" s="5" t="s">
        <v>76</v>
      </c>
      <c r="I147" s="5" t="s">
        <v>73</v>
      </c>
      <c r="J147" s="5" t="s">
        <v>53</v>
      </c>
      <c r="K147" s="5" t="s">
        <v>314</v>
      </c>
      <c r="L147" s="9" t="s">
        <v>803</v>
      </c>
      <c r="M147" s="9" t="s">
        <v>311</v>
      </c>
      <c r="N147" s="5" t="s">
        <v>253</v>
      </c>
      <c r="O147" s="5" t="s">
        <v>62</v>
      </c>
      <c r="P147" s="5" t="s">
        <v>1259</v>
      </c>
      <c r="Q147" s="193">
        <v>138</v>
      </c>
      <c r="R147" s="195">
        <v>1</v>
      </c>
      <c r="S147" s="196">
        <v>57150</v>
      </c>
      <c r="T147" s="9"/>
      <c r="U147" s="193">
        <v>78.867000000000004</v>
      </c>
      <c r="V147" s="197">
        <v>1.9999999999999999E-6</v>
      </c>
      <c r="W147" s="197">
        <v>8.1884052614831799E-3</v>
      </c>
      <c r="X147" s="197">
        <v>1.8537408099145399E-3</v>
      </c>
    </row>
    <row r="148" spans="1:24">
      <c r="A148" s="5">
        <v>337</v>
      </c>
      <c r="B148" s="5">
        <v>9962</v>
      </c>
      <c r="C148" s="5" t="s">
        <v>2036</v>
      </c>
      <c r="D148" s="5" t="s">
        <v>2037</v>
      </c>
      <c r="E148" s="5" t="s">
        <v>1346</v>
      </c>
      <c r="F148" s="5" t="s">
        <v>2038</v>
      </c>
      <c r="G148" s="5" t="s">
        <v>2039</v>
      </c>
      <c r="H148" s="5" t="s">
        <v>76</v>
      </c>
      <c r="I148" s="5" t="s">
        <v>73</v>
      </c>
      <c r="J148" s="5" t="s">
        <v>53</v>
      </c>
      <c r="K148" s="5" t="s">
        <v>53</v>
      </c>
      <c r="L148" s="9" t="s">
        <v>803</v>
      </c>
      <c r="M148" s="9" t="s">
        <v>311</v>
      </c>
      <c r="N148" s="5" t="s">
        <v>633</v>
      </c>
      <c r="O148" s="5" t="s">
        <v>62</v>
      </c>
      <c r="P148" s="5" t="s">
        <v>1259</v>
      </c>
      <c r="Q148" s="193">
        <v>178</v>
      </c>
      <c r="R148" s="195">
        <v>1</v>
      </c>
      <c r="S148" s="196">
        <v>34080</v>
      </c>
      <c r="T148" s="9"/>
      <c r="U148" s="193">
        <v>60.661999999999999</v>
      </c>
      <c r="V148" s="197">
        <v>2.4000000000000001E-5</v>
      </c>
      <c r="W148" s="197">
        <v>6.2983036673665404E-3</v>
      </c>
      <c r="X148" s="197">
        <v>1.42584815584921E-3</v>
      </c>
    </row>
    <row r="149" spans="1:24">
      <c r="A149" s="5">
        <v>337</v>
      </c>
      <c r="B149" s="5">
        <v>9962</v>
      </c>
      <c r="C149" s="5" t="s">
        <v>2040</v>
      </c>
      <c r="D149" s="5" t="s">
        <v>2041</v>
      </c>
      <c r="E149" s="5" t="s">
        <v>1346</v>
      </c>
      <c r="F149" s="5" t="s">
        <v>2040</v>
      </c>
      <c r="G149" s="5" t="s">
        <v>2042</v>
      </c>
      <c r="H149" s="5" t="s">
        <v>76</v>
      </c>
      <c r="I149" s="5" t="s">
        <v>73</v>
      </c>
      <c r="J149" s="5" t="s">
        <v>53</v>
      </c>
      <c r="K149" s="5" t="s">
        <v>53</v>
      </c>
      <c r="L149" s="9" t="s">
        <v>803</v>
      </c>
      <c r="M149" s="9" t="s">
        <v>311</v>
      </c>
      <c r="N149" s="5" t="s">
        <v>635</v>
      </c>
      <c r="O149" s="5" t="s">
        <v>62</v>
      </c>
      <c r="P149" s="5" t="s">
        <v>1259</v>
      </c>
      <c r="Q149" s="193">
        <v>1563</v>
      </c>
      <c r="R149" s="195">
        <v>1</v>
      </c>
      <c r="S149" s="196">
        <v>12570</v>
      </c>
      <c r="T149" s="9"/>
      <c r="U149" s="193">
        <v>196.46899999999999</v>
      </c>
      <c r="V149" s="197">
        <v>1.9000000000000001E-5</v>
      </c>
      <c r="W149" s="197">
        <v>2.0398501428466501E-2</v>
      </c>
      <c r="X149" s="197">
        <v>4.6179363809600998E-3</v>
      </c>
    </row>
    <row r="150" spans="1:24">
      <c r="A150" s="5">
        <v>337</v>
      </c>
      <c r="B150" s="5">
        <v>9962</v>
      </c>
      <c r="C150" s="5" t="s">
        <v>2043</v>
      </c>
      <c r="D150" s="5" t="s">
        <v>2044</v>
      </c>
      <c r="E150" s="5" t="s">
        <v>1346</v>
      </c>
      <c r="F150" s="5" t="s">
        <v>2045</v>
      </c>
      <c r="G150" s="5" t="s">
        <v>2046</v>
      </c>
      <c r="H150" s="5" t="s">
        <v>76</v>
      </c>
      <c r="I150" s="5" t="s">
        <v>73</v>
      </c>
      <c r="J150" s="5" t="s">
        <v>53</v>
      </c>
      <c r="K150" s="5" t="s">
        <v>53</v>
      </c>
      <c r="L150" s="9" t="s">
        <v>803</v>
      </c>
      <c r="M150" s="9" t="s">
        <v>311</v>
      </c>
      <c r="N150" s="5" t="s">
        <v>629</v>
      </c>
      <c r="O150" s="5" t="s">
        <v>62</v>
      </c>
      <c r="P150" s="5" t="s">
        <v>1259</v>
      </c>
      <c r="Q150" s="193">
        <v>790</v>
      </c>
      <c r="R150" s="195">
        <v>1</v>
      </c>
      <c r="S150" s="196">
        <v>3958</v>
      </c>
      <c r="T150" s="9"/>
      <c r="U150" s="193">
        <v>31.268000000000001</v>
      </c>
      <c r="V150" s="197">
        <v>4.8000000000000001E-5</v>
      </c>
      <c r="W150" s="197">
        <v>3.24643632187237E-3</v>
      </c>
      <c r="X150" s="197">
        <v>7.3494792996525401E-4</v>
      </c>
    </row>
    <row r="151" spans="1:24">
      <c r="A151" s="5">
        <v>337</v>
      </c>
      <c r="B151" s="5">
        <v>9962</v>
      </c>
      <c r="C151" s="5" t="s">
        <v>2051</v>
      </c>
      <c r="D151" s="5" t="s">
        <v>2052</v>
      </c>
      <c r="E151" s="5" t="s">
        <v>1346</v>
      </c>
      <c r="F151" s="5" t="s">
        <v>2053</v>
      </c>
      <c r="G151" s="5" t="s">
        <v>2054</v>
      </c>
      <c r="H151" s="5" t="s">
        <v>76</v>
      </c>
      <c r="I151" s="5" t="s">
        <v>73</v>
      </c>
      <c r="J151" s="5" t="s">
        <v>53</v>
      </c>
      <c r="K151" s="5" t="s">
        <v>317</v>
      </c>
      <c r="L151" s="9" t="s">
        <v>803</v>
      </c>
      <c r="M151" s="9" t="s">
        <v>311</v>
      </c>
      <c r="N151" s="5" t="s">
        <v>75</v>
      </c>
      <c r="O151" s="5" t="s">
        <v>62</v>
      </c>
      <c r="P151" s="5" t="s">
        <v>1259</v>
      </c>
      <c r="Q151" s="193">
        <v>152</v>
      </c>
      <c r="R151" s="195">
        <v>1</v>
      </c>
      <c r="S151" s="196">
        <v>15810</v>
      </c>
      <c r="T151" s="9"/>
      <c r="U151" s="193">
        <v>24.030999999999999</v>
      </c>
      <c r="V151" s="197">
        <v>1.2E-5</v>
      </c>
      <c r="W151" s="197">
        <v>2.4950512193915599E-3</v>
      </c>
      <c r="X151" s="197">
        <v>5.6484481660540201E-4</v>
      </c>
    </row>
    <row r="152" spans="1:24">
      <c r="A152" s="5">
        <v>337</v>
      </c>
      <c r="B152" s="5">
        <v>9962</v>
      </c>
      <c r="C152" s="5" t="s">
        <v>2055</v>
      </c>
      <c r="D152" s="5" t="s">
        <v>2056</v>
      </c>
      <c r="E152" s="5" t="s">
        <v>1346</v>
      </c>
      <c r="F152" s="5" t="s">
        <v>2057</v>
      </c>
      <c r="G152" s="5" t="s">
        <v>2058</v>
      </c>
      <c r="H152" s="5" t="s">
        <v>76</v>
      </c>
      <c r="I152" s="5" t="s">
        <v>73</v>
      </c>
      <c r="J152" s="5" t="s">
        <v>53</v>
      </c>
      <c r="K152" s="5" t="s">
        <v>53</v>
      </c>
      <c r="L152" s="9" t="s">
        <v>803</v>
      </c>
      <c r="M152" s="9" t="s">
        <v>311</v>
      </c>
      <c r="N152" s="5" t="s">
        <v>633</v>
      </c>
      <c r="O152" s="5" t="s">
        <v>62</v>
      </c>
      <c r="P152" s="5" t="s">
        <v>1259</v>
      </c>
      <c r="Q152" s="193">
        <v>718</v>
      </c>
      <c r="R152" s="195">
        <v>1</v>
      </c>
      <c r="S152" s="196">
        <v>30970</v>
      </c>
      <c r="T152" s="9"/>
      <c r="U152" s="193">
        <v>222.36500000000001</v>
      </c>
      <c r="V152" s="197">
        <v>6.0000000000000002E-6</v>
      </c>
      <c r="W152" s="197">
        <v>2.3087114516941201E-2</v>
      </c>
      <c r="X152" s="197">
        <v>5.22660090659366E-3</v>
      </c>
    </row>
    <row r="153" spans="1:24">
      <c r="A153" s="5">
        <v>337</v>
      </c>
      <c r="B153" s="5">
        <v>9962</v>
      </c>
      <c r="C153" s="5" t="s">
        <v>2059</v>
      </c>
      <c r="D153" s="5" t="s">
        <v>2060</v>
      </c>
      <c r="E153" s="5" t="s">
        <v>1346</v>
      </c>
      <c r="F153" s="5" t="s">
        <v>2061</v>
      </c>
      <c r="G153" s="5" t="s">
        <v>2062</v>
      </c>
      <c r="H153" s="5" t="s">
        <v>76</v>
      </c>
      <c r="I153" s="5" t="s">
        <v>73</v>
      </c>
      <c r="J153" s="5" t="s">
        <v>53</v>
      </c>
      <c r="K153" s="5" t="s">
        <v>53</v>
      </c>
      <c r="L153" s="9" t="s">
        <v>803</v>
      </c>
      <c r="M153" s="9" t="s">
        <v>311</v>
      </c>
      <c r="N153" s="5" t="s">
        <v>256</v>
      </c>
      <c r="O153" s="5" t="s">
        <v>62</v>
      </c>
      <c r="P153" s="5" t="s">
        <v>1259</v>
      </c>
      <c r="Q153" s="193">
        <v>6403</v>
      </c>
      <c r="R153" s="195">
        <v>1</v>
      </c>
      <c r="S153" s="196">
        <v>6462</v>
      </c>
      <c r="T153" s="9"/>
      <c r="U153" s="193">
        <v>413.762</v>
      </c>
      <c r="V153" s="197">
        <v>5.0000000000000004E-6</v>
      </c>
      <c r="W153" s="197">
        <v>4.2959029650234799E-2</v>
      </c>
      <c r="X153" s="197">
        <v>9.7253254906126095E-3</v>
      </c>
    </row>
    <row r="154" spans="1:24">
      <c r="A154" s="5">
        <v>337</v>
      </c>
      <c r="B154" s="5">
        <v>9962</v>
      </c>
      <c r="C154" s="5" t="s">
        <v>2063</v>
      </c>
      <c r="D154" s="5" t="s">
        <v>2064</v>
      </c>
      <c r="E154" s="5" t="s">
        <v>1346</v>
      </c>
      <c r="F154" s="5" t="s">
        <v>2065</v>
      </c>
      <c r="G154" s="5" t="s">
        <v>2066</v>
      </c>
      <c r="H154" s="5" t="s">
        <v>76</v>
      </c>
      <c r="I154" s="5" t="s">
        <v>73</v>
      </c>
      <c r="J154" s="5" t="s">
        <v>53</v>
      </c>
      <c r="K154" s="5" t="s">
        <v>53</v>
      </c>
      <c r="L154" s="9" t="s">
        <v>803</v>
      </c>
      <c r="M154" s="9" t="s">
        <v>311</v>
      </c>
      <c r="N154" s="5" t="s">
        <v>632</v>
      </c>
      <c r="O154" s="5" t="s">
        <v>62</v>
      </c>
      <c r="P154" s="5" t="s">
        <v>1259</v>
      </c>
      <c r="Q154" s="193">
        <v>262</v>
      </c>
      <c r="R154" s="195">
        <v>1</v>
      </c>
      <c r="S154" s="196">
        <v>33720</v>
      </c>
      <c r="T154" s="9"/>
      <c r="U154" s="193">
        <v>88.346000000000004</v>
      </c>
      <c r="V154" s="197">
        <v>1.9000000000000001E-5</v>
      </c>
      <c r="W154" s="197">
        <v>9.1726086524540999E-3</v>
      </c>
      <c r="X154" s="197">
        <v>2.07655073844616E-3</v>
      </c>
    </row>
    <row r="155" spans="1:24">
      <c r="A155" s="5">
        <v>337</v>
      </c>
      <c r="B155" s="5">
        <v>9962</v>
      </c>
      <c r="C155" s="5" t="s">
        <v>2067</v>
      </c>
      <c r="D155" s="5" t="s">
        <v>2068</v>
      </c>
      <c r="E155" s="5" t="s">
        <v>1346</v>
      </c>
      <c r="F155" s="5" t="s">
        <v>2069</v>
      </c>
      <c r="G155" s="5" t="s">
        <v>2070</v>
      </c>
      <c r="H155" s="5" t="s">
        <v>76</v>
      </c>
      <c r="I155" s="5" t="s">
        <v>73</v>
      </c>
      <c r="J155" s="5" t="s">
        <v>53</v>
      </c>
      <c r="K155" s="5" t="s">
        <v>53</v>
      </c>
      <c r="L155" s="9" t="s">
        <v>803</v>
      </c>
      <c r="M155" s="9" t="s">
        <v>311</v>
      </c>
      <c r="N155" s="5" t="s">
        <v>252</v>
      </c>
      <c r="O155" s="5" t="s">
        <v>62</v>
      </c>
      <c r="P155" s="5" t="s">
        <v>1259</v>
      </c>
      <c r="Q155" s="193">
        <v>90</v>
      </c>
      <c r="R155" s="195">
        <v>1</v>
      </c>
      <c r="S155" s="196">
        <v>42880</v>
      </c>
      <c r="T155" s="9"/>
      <c r="U155" s="193">
        <v>38.591999999999999</v>
      </c>
      <c r="V155" s="197">
        <v>6.0000000000000002E-6</v>
      </c>
      <c r="W155" s="197">
        <v>4.0068334772611998E-3</v>
      </c>
      <c r="X155" s="197">
        <v>9.0709124648106002E-4</v>
      </c>
    </row>
    <row r="156" spans="1:24">
      <c r="A156" s="5">
        <v>337</v>
      </c>
      <c r="B156" s="5">
        <v>9962</v>
      </c>
      <c r="C156" s="5" t="s">
        <v>2071</v>
      </c>
      <c r="D156" s="5" t="s">
        <v>2072</v>
      </c>
      <c r="E156" s="5" t="s">
        <v>1346</v>
      </c>
      <c r="F156" s="5" t="s">
        <v>2073</v>
      </c>
      <c r="G156" s="5" t="s">
        <v>2074</v>
      </c>
      <c r="H156" s="5" t="s">
        <v>76</v>
      </c>
      <c r="I156" s="5" t="s">
        <v>73</v>
      </c>
      <c r="J156" s="5" t="s">
        <v>53</v>
      </c>
      <c r="K156" s="5" t="s">
        <v>53</v>
      </c>
      <c r="L156" s="9" t="s">
        <v>803</v>
      </c>
      <c r="M156" s="9" t="s">
        <v>311</v>
      </c>
      <c r="N156" s="5" t="s">
        <v>156</v>
      </c>
      <c r="O156" s="5" t="s">
        <v>62</v>
      </c>
      <c r="P156" s="5" t="s">
        <v>1259</v>
      </c>
      <c r="Q156" s="193">
        <v>552</v>
      </c>
      <c r="R156" s="195">
        <v>1</v>
      </c>
      <c r="S156" s="196">
        <v>6455</v>
      </c>
      <c r="T156" s="9"/>
      <c r="U156" s="193">
        <v>35.631999999999998</v>
      </c>
      <c r="V156" s="197">
        <v>4.3999999999999999E-5</v>
      </c>
      <c r="W156" s="197">
        <v>3.6994684838406902E-3</v>
      </c>
      <c r="X156" s="197">
        <v>8.3750809644782698E-4</v>
      </c>
    </row>
    <row r="157" spans="1:24">
      <c r="A157" s="5">
        <v>337</v>
      </c>
      <c r="B157" s="5">
        <v>9962</v>
      </c>
      <c r="C157" s="5" t="s">
        <v>2075</v>
      </c>
      <c r="D157" s="5" t="s">
        <v>2076</v>
      </c>
      <c r="E157" s="5" t="s">
        <v>1346</v>
      </c>
      <c r="F157" s="5" t="s">
        <v>2077</v>
      </c>
      <c r="G157" s="5" t="s">
        <v>2078</v>
      </c>
      <c r="H157" s="5" t="s">
        <v>76</v>
      </c>
      <c r="I157" s="5" t="s">
        <v>73</v>
      </c>
      <c r="J157" s="5" t="s">
        <v>53</v>
      </c>
      <c r="K157" s="5" t="s">
        <v>53</v>
      </c>
      <c r="L157" s="9" t="s">
        <v>803</v>
      </c>
      <c r="M157" s="9" t="s">
        <v>311</v>
      </c>
      <c r="N157" s="5" t="s">
        <v>140</v>
      </c>
      <c r="O157" s="5" t="s">
        <v>62</v>
      </c>
      <c r="P157" s="5" t="s">
        <v>1259</v>
      </c>
      <c r="Q157" s="193">
        <v>643</v>
      </c>
      <c r="R157" s="195">
        <v>1</v>
      </c>
      <c r="S157" s="196">
        <v>11810</v>
      </c>
      <c r="T157" s="9"/>
      <c r="U157" s="193">
        <v>75.938000000000002</v>
      </c>
      <c r="V157" s="197">
        <v>2.8E-5</v>
      </c>
      <c r="W157" s="197">
        <v>7.8843315362330003E-3</v>
      </c>
      <c r="X157" s="197">
        <v>1.7849027571168301E-3</v>
      </c>
    </row>
    <row r="158" spans="1:24">
      <c r="A158" s="5">
        <v>337</v>
      </c>
      <c r="B158" s="5">
        <v>9962</v>
      </c>
      <c r="C158" s="5" t="s">
        <v>2079</v>
      </c>
      <c r="D158" s="5" t="s">
        <v>2080</v>
      </c>
      <c r="E158" s="5" t="s">
        <v>1346</v>
      </c>
      <c r="F158" s="5" t="s">
        <v>2081</v>
      </c>
      <c r="G158" s="5" t="s">
        <v>2082</v>
      </c>
      <c r="H158" s="5" t="s">
        <v>76</v>
      </c>
      <c r="I158" s="5" t="s">
        <v>73</v>
      </c>
      <c r="J158" s="5" t="s">
        <v>53</v>
      </c>
      <c r="K158" s="5" t="s">
        <v>53</v>
      </c>
      <c r="L158" s="9" t="s">
        <v>803</v>
      </c>
      <c r="M158" s="9" t="s">
        <v>311</v>
      </c>
      <c r="N158" s="5" t="s">
        <v>259</v>
      </c>
      <c r="O158" s="5" t="s">
        <v>62</v>
      </c>
      <c r="P158" s="5" t="s">
        <v>1259</v>
      </c>
      <c r="Q158" s="193">
        <v>81</v>
      </c>
      <c r="R158" s="195">
        <v>1</v>
      </c>
      <c r="S158" s="196">
        <v>58480</v>
      </c>
      <c r="T158" s="9"/>
      <c r="U158" s="193">
        <v>47.369</v>
      </c>
      <c r="V158" s="197">
        <v>5.0000000000000004E-6</v>
      </c>
      <c r="W158" s="197">
        <v>4.9180890759144402E-3</v>
      </c>
      <c r="X158" s="197">
        <v>1.1133868116788999E-3</v>
      </c>
    </row>
    <row r="159" spans="1:24">
      <c r="A159" s="5">
        <v>337</v>
      </c>
      <c r="B159" s="5">
        <v>9962</v>
      </c>
      <c r="C159" s="5" t="s">
        <v>2083</v>
      </c>
      <c r="D159" s="5" t="s">
        <v>2084</v>
      </c>
      <c r="E159" s="5" t="s">
        <v>1346</v>
      </c>
      <c r="F159" s="5" t="s">
        <v>2085</v>
      </c>
      <c r="G159" s="5" t="s">
        <v>2086</v>
      </c>
      <c r="H159" s="5" t="s">
        <v>76</v>
      </c>
      <c r="I159" s="5" t="s">
        <v>73</v>
      </c>
      <c r="J159" s="5" t="s">
        <v>53</v>
      </c>
      <c r="K159" s="5" t="s">
        <v>317</v>
      </c>
      <c r="L159" s="9" t="s">
        <v>803</v>
      </c>
      <c r="M159" s="9" t="s">
        <v>311</v>
      </c>
      <c r="N159" s="5" t="s">
        <v>254</v>
      </c>
      <c r="O159" s="5" t="s">
        <v>62</v>
      </c>
      <c r="P159" s="5" t="s">
        <v>1259</v>
      </c>
      <c r="Q159" s="193">
        <v>435</v>
      </c>
      <c r="R159" s="195">
        <v>1</v>
      </c>
      <c r="S159" s="196">
        <v>29040</v>
      </c>
      <c r="T159" s="9"/>
      <c r="U159" s="193">
        <v>126.324</v>
      </c>
      <c r="V159" s="197">
        <v>9.0000000000000002E-6</v>
      </c>
      <c r="W159" s="197">
        <v>1.31156517459977E-2</v>
      </c>
      <c r="X159" s="197">
        <v>2.9692007312519001E-3</v>
      </c>
    </row>
    <row r="160" spans="1:24">
      <c r="A160" s="5">
        <v>337</v>
      </c>
      <c r="B160" s="5">
        <v>9962</v>
      </c>
      <c r="C160" s="5" t="s">
        <v>2087</v>
      </c>
      <c r="D160" s="5" t="s">
        <v>2088</v>
      </c>
      <c r="E160" s="5" t="s">
        <v>1346</v>
      </c>
      <c r="F160" s="5" t="s">
        <v>2089</v>
      </c>
      <c r="G160" s="5" t="s">
        <v>2090</v>
      </c>
      <c r="H160" s="5" t="s">
        <v>76</v>
      </c>
      <c r="I160" s="5" t="s">
        <v>73</v>
      </c>
      <c r="J160" s="5" t="s">
        <v>53</v>
      </c>
      <c r="K160" s="5" t="s">
        <v>53</v>
      </c>
      <c r="L160" s="9" t="s">
        <v>803</v>
      </c>
      <c r="M160" s="9" t="s">
        <v>311</v>
      </c>
      <c r="N160" s="5" t="s">
        <v>75</v>
      </c>
      <c r="O160" s="5" t="s">
        <v>62</v>
      </c>
      <c r="P160" s="5" t="s">
        <v>1259</v>
      </c>
      <c r="Q160" s="193">
        <v>1650</v>
      </c>
      <c r="R160" s="195">
        <v>1</v>
      </c>
      <c r="S160" s="196">
        <v>3315</v>
      </c>
      <c r="T160" s="9"/>
      <c r="U160" s="193">
        <v>54.697000000000003</v>
      </c>
      <c r="V160" s="197">
        <v>1.8E-5</v>
      </c>
      <c r="W160" s="197">
        <v>5.6789949762254899E-3</v>
      </c>
      <c r="X160" s="197">
        <v>1.2856453009535099E-3</v>
      </c>
    </row>
    <row r="161" spans="1:24">
      <c r="A161" s="5">
        <v>337</v>
      </c>
      <c r="B161" s="5">
        <v>9962</v>
      </c>
      <c r="C161" s="5" t="s">
        <v>2091</v>
      </c>
      <c r="D161" s="5" t="s">
        <v>2092</v>
      </c>
      <c r="E161" s="5" t="s">
        <v>1346</v>
      </c>
      <c r="F161" s="5" t="s">
        <v>2093</v>
      </c>
      <c r="G161" s="5" t="s">
        <v>2094</v>
      </c>
      <c r="H161" s="5" t="s">
        <v>76</v>
      </c>
      <c r="I161" s="5" t="s">
        <v>73</v>
      </c>
      <c r="J161" s="5" t="s">
        <v>53</v>
      </c>
      <c r="K161" s="5" t="s">
        <v>53</v>
      </c>
      <c r="L161" s="9" t="s">
        <v>803</v>
      </c>
      <c r="M161" s="9" t="s">
        <v>311</v>
      </c>
      <c r="N161" s="5" t="s">
        <v>633</v>
      </c>
      <c r="O161" s="5" t="s">
        <v>62</v>
      </c>
      <c r="P161" s="5" t="s">
        <v>1259</v>
      </c>
      <c r="Q161" s="193">
        <v>4598</v>
      </c>
      <c r="R161" s="195">
        <v>1</v>
      </c>
      <c r="S161" s="196">
        <v>2261</v>
      </c>
      <c r="T161" s="9"/>
      <c r="U161" s="193">
        <v>103.961</v>
      </c>
      <c r="V161" s="197">
        <v>2.4000000000000001E-5</v>
      </c>
      <c r="W161" s="197">
        <v>1.07937793746421E-2</v>
      </c>
      <c r="X161" s="197">
        <v>2.44356119183622E-3</v>
      </c>
    </row>
    <row r="162" spans="1:24">
      <c r="A162" s="5">
        <v>337</v>
      </c>
      <c r="B162" s="5">
        <v>9962</v>
      </c>
      <c r="C162" s="5" t="s">
        <v>2095</v>
      </c>
      <c r="D162" s="5" t="s">
        <v>2096</v>
      </c>
      <c r="E162" s="5" t="s">
        <v>1346</v>
      </c>
      <c r="F162" s="5" t="s">
        <v>2097</v>
      </c>
      <c r="G162" s="5" t="s">
        <v>2098</v>
      </c>
      <c r="H162" s="5" t="s">
        <v>76</v>
      </c>
      <c r="I162" s="5" t="s">
        <v>73</v>
      </c>
      <c r="J162" s="5" t="s">
        <v>53</v>
      </c>
      <c r="K162" s="5" t="s">
        <v>53</v>
      </c>
      <c r="L162" s="9" t="s">
        <v>803</v>
      </c>
      <c r="M162" s="9" t="s">
        <v>311</v>
      </c>
      <c r="N162" s="5" t="s">
        <v>632</v>
      </c>
      <c r="O162" s="5" t="s">
        <v>62</v>
      </c>
      <c r="P162" s="5" t="s">
        <v>1259</v>
      </c>
      <c r="Q162" s="193">
        <v>164</v>
      </c>
      <c r="R162" s="195">
        <v>1</v>
      </c>
      <c r="S162" s="196">
        <v>6518</v>
      </c>
      <c r="T162" s="9"/>
      <c r="U162" s="193">
        <v>10.69</v>
      </c>
      <c r="V162" s="197">
        <v>3.0000000000000001E-6</v>
      </c>
      <c r="W162" s="197">
        <v>1.1098446981719801E-3</v>
      </c>
      <c r="X162" s="197">
        <v>2.5125336912013398E-4</v>
      </c>
    </row>
    <row r="163" spans="1:24">
      <c r="A163" s="5">
        <v>337</v>
      </c>
      <c r="B163" s="5">
        <v>9962</v>
      </c>
      <c r="C163" s="5" t="s">
        <v>2099</v>
      </c>
      <c r="D163" s="5" t="s">
        <v>2100</v>
      </c>
      <c r="E163" s="5" t="s">
        <v>1346</v>
      </c>
      <c r="F163" s="5" t="s">
        <v>2101</v>
      </c>
      <c r="G163" s="5" t="s">
        <v>2102</v>
      </c>
      <c r="H163" s="5" t="s">
        <v>76</v>
      </c>
      <c r="I163" s="5" t="s">
        <v>73</v>
      </c>
      <c r="J163" s="5" t="s">
        <v>53</v>
      </c>
      <c r="K163" s="5" t="s">
        <v>53</v>
      </c>
      <c r="L163" s="9" t="s">
        <v>803</v>
      </c>
      <c r="M163" s="9" t="s">
        <v>311</v>
      </c>
      <c r="N163" s="5" t="s">
        <v>632</v>
      </c>
      <c r="O163" s="5" t="s">
        <v>62</v>
      </c>
      <c r="P163" s="5" t="s">
        <v>1259</v>
      </c>
      <c r="Q163" s="193">
        <v>56</v>
      </c>
      <c r="R163" s="195">
        <v>1</v>
      </c>
      <c r="S163" s="196">
        <v>32510</v>
      </c>
      <c r="T163" s="9"/>
      <c r="U163" s="193">
        <v>18.206</v>
      </c>
      <c r="V163" s="197">
        <v>3.9999999999999998E-6</v>
      </c>
      <c r="W163" s="197">
        <v>1.8902054196109699E-3</v>
      </c>
      <c r="X163" s="197">
        <v>4.27916158709981E-4</v>
      </c>
    </row>
    <row r="164" spans="1:24">
      <c r="A164" s="5">
        <v>337</v>
      </c>
      <c r="B164" s="5">
        <v>9962</v>
      </c>
      <c r="C164" s="5" t="s">
        <v>2103</v>
      </c>
      <c r="D164" s="5" t="s">
        <v>2104</v>
      </c>
      <c r="E164" s="5" t="s">
        <v>431</v>
      </c>
      <c r="F164" s="5" t="s">
        <v>2105</v>
      </c>
      <c r="G164" s="5" t="s">
        <v>2106</v>
      </c>
      <c r="H164" s="5" t="s">
        <v>76</v>
      </c>
      <c r="I164" s="5" t="s">
        <v>73</v>
      </c>
      <c r="J164" s="5" t="s">
        <v>53</v>
      </c>
      <c r="K164" s="5" t="s">
        <v>53</v>
      </c>
      <c r="L164" s="9" t="s">
        <v>803</v>
      </c>
      <c r="M164" s="9" t="s">
        <v>311</v>
      </c>
      <c r="N164" s="5" t="s">
        <v>267</v>
      </c>
      <c r="O164" s="5" t="s">
        <v>62</v>
      </c>
      <c r="P164" s="5" t="s">
        <v>1259</v>
      </c>
      <c r="Q164" s="193">
        <v>6695</v>
      </c>
      <c r="R164" s="195">
        <v>1</v>
      </c>
      <c r="S164" s="196">
        <v>483.9</v>
      </c>
      <c r="T164" s="9"/>
      <c r="U164" s="193">
        <v>32.396999999999998</v>
      </c>
      <c r="V164" s="197">
        <v>6.0000000000000002E-6</v>
      </c>
      <c r="W164" s="197">
        <v>3.3636454415512601E-3</v>
      </c>
      <c r="X164" s="197">
        <v>7.6148244083819999E-4</v>
      </c>
    </row>
    <row r="165" spans="1:24">
      <c r="A165" s="5">
        <v>337</v>
      </c>
      <c r="B165" s="5">
        <v>9962</v>
      </c>
      <c r="C165" s="5" t="s">
        <v>2107</v>
      </c>
      <c r="D165" s="5" t="s">
        <v>2108</v>
      </c>
      <c r="E165" s="5" t="s">
        <v>1346</v>
      </c>
      <c r="F165" s="5" t="s">
        <v>2109</v>
      </c>
      <c r="G165" s="5" t="s">
        <v>2110</v>
      </c>
      <c r="H165" s="5" t="s">
        <v>76</v>
      </c>
      <c r="I165" s="5" t="s">
        <v>73</v>
      </c>
      <c r="J165" s="5" t="s">
        <v>53</v>
      </c>
      <c r="K165" s="5" t="s">
        <v>53</v>
      </c>
      <c r="L165" s="9" t="s">
        <v>803</v>
      </c>
      <c r="M165" s="9" t="s">
        <v>311</v>
      </c>
      <c r="N165" s="5" t="s">
        <v>632</v>
      </c>
      <c r="O165" s="5" t="s">
        <v>62</v>
      </c>
      <c r="P165" s="5" t="s">
        <v>1259</v>
      </c>
      <c r="Q165" s="193">
        <v>2404</v>
      </c>
      <c r="R165" s="195">
        <v>1</v>
      </c>
      <c r="S165" s="196">
        <v>3869</v>
      </c>
      <c r="T165" s="9"/>
      <c r="U165" s="193">
        <v>93.010999999999996</v>
      </c>
      <c r="V165" s="197">
        <v>9.0000000000000002E-6</v>
      </c>
      <c r="W165" s="197">
        <v>9.6568881351965803E-3</v>
      </c>
      <c r="X165" s="197">
        <v>2.1861848627837601E-3</v>
      </c>
    </row>
    <row r="166" spans="1:24">
      <c r="A166" s="5">
        <v>337</v>
      </c>
      <c r="B166" s="5">
        <v>9962</v>
      </c>
      <c r="C166" s="5" t="s">
        <v>2111</v>
      </c>
      <c r="D166" s="5" t="s">
        <v>2112</v>
      </c>
      <c r="E166" s="5" t="s">
        <v>1346</v>
      </c>
      <c r="F166" s="5" t="s">
        <v>2113</v>
      </c>
      <c r="G166" s="5" t="s">
        <v>2114</v>
      </c>
      <c r="H166" s="5" t="s">
        <v>76</v>
      </c>
      <c r="I166" s="5" t="s">
        <v>73</v>
      </c>
      <c r="J166" s="5" t="s">
        <v>53</v>
      </c>
      <c r="K166" s="5" t="s">
        <v>317</v>
      </c>
      <c r="L166" s="9" t="s">
        <v>803</v>
      </c>
      <c r="M166" s="9" t="s">
        <v>311</v>
      </c>
      <c r="N166" s="5" t="s">
        <v>264</v>
      </c>
      <c r="O166" s="5" t="s">
        <v>62</v>
      </c>
      <c r="P166" s="5" t="s">
        <v>1259</v>
      </c>
      <c r="Q166" s="193">
        <v>730</v>
      </c>
      <c r="R166" s="195">
        <v>1</v>
      </c>
      <c r="S166" s="196">
        <v>10400</v>
      </c>
      <c r="T166" s="9"/>
      <c r="U166" s="193">
        <v>75.92</v>
      </c>
      <c r="V166" s="197">
        <v>5.5999999999999999E-5</v>
      </c>
      <c r="W166" s="197">
        <v>7.8824315296867203E-3</v>
      </c>
      <c r="X166" s="197">
        <v>1.7844726221196601E-3</v>
      </c>
    </row>
    <row r="167" spans="1:24">
      <c r="A167" s="5">
        <v>337</v>
      </c>
      <c r="B167" s="5">
        <v>9962</v>
      </c>
      <c r="C167" s="5" t="s">
        <v>2119</v>
      </c>
      <c r="D167" s="5" t="s">
        <v>2120</v>
      </c>
      <c r="E167" s="5" t="s">
        <v>429</v>
      </c>
      <c r="F167" s="5" t="s">
        <v>2121</v>
      </c>
      <c r="G167" s="5" t="s">
        <v>2122</v>
      </c>
      <c r="H167" s="5" t="s">
        <v>76</v>
      </c>
      <c r="I167" s="5" t="s">
        <v>73</v>
      </c>
      <c r="J167" s="5" t="s">
        <v>61</v>
      </c>
      <c r="K167" s="5" t="s">
        <v>314</v>
      </c>
      <c r="L167" s="9" t="s">
        <v>803</v>
      </c>
      <c r="M167" s="9" t="s">
        <v>478</v>
      </c>
      <c r="N167" s="5" t="s">
        <v>202</v>
      </c>
      <c r="O167" s="5" t="s">
        <v>62</v>
      </c>
      <c r="P167" s="5" t="s">
        <v>1215</v>
      </c>
      <c r="Q167" s="193">
        <v>204</v>
      </c>
      <c r="R167" s="195">
        <v>3.3719999999999999</v>
      </c>
      <c r="S167" s="196">
        <v>14190</v>
      </c>
      <c r="T167" s="9"/>
      <c r="U167" s="193">
        <v>97.611000000000004</v>
      </c>
      <c r="V167" s="197">
        <v>0</v>
      </c>
      <c r="W167" s="197">
        <v>1.0134542222434401E-2</v>
      </c>
      <c r="X167" s="197">
        <v>2.2943190899329799E-3</v>
      </c>
    </row>
    <row r="168" spans="1:24">
      <c r="A168" s="5">
        <v>337</v>
      </c>
      <c r="B168" s="5">
        <v>9962</v>
      </c>
      <c r="C168" s="5" t="s">
        <v>2123</v>
      </c>
      <c r="D168" s="5" t="s">
        <v>2124</v>
      </c>
      <c r="E168" s="5" t="s">
        <v>429</v>
      </c>
      <c r="F168" s="5" t="s">
        <v>2125</v>
      </c>
      <c r="G168" s="5" t="s">
        <v>2126</v>
      </c>
      <c r="H168" s="5" t="s">
        <v>76</v>
      </c>
      <c r="I168" s="5" t="s">
        <v>73</v>
      </c>
      <c r="J168" s="5" t="s">
        <v>61</v>
      </c>
      <c r="K168" s="5" t="s">
        <v>314</v>
      </c>
      <c r="L168" s="9" t="s">
        <v>803</v>
      </c>
      <c r="M168" s="9" t="s">
        <v>478</v>
      </c>
      <c r="N168" s="5" t="s">
        <v>2127</v>
      </c>
      <c r="O168" s="5" t="s">
        <v>62</v>
      </c>
      <c r="P168" s="5" t="s">
        <v>1215</v>
      </c>
      <c r="Q168" s="193">
        <v>169</v>
      </c>
      <c r="R168" s="195">
        <v>3.3719999999999999</v>
      </c>
      <c r="S168" s="196">
        <v>13234</v>
      </c>
      <c r="T168" s="9"/>
      <c r="U168" s="193">
        <v>75.415999999999997</v>
      </c>
      <c r="V168" s="197">
        <v>0</v>
      </c>
      <c r="W168" s="197">
        <v>7.8301378592410698E-3</v>
      </c>
      <c r="X168" s="197">
        <v>1.7726340640720701E-3</v>
      </c>
    </row>
    <row r="169" spans="1:24">
      <c r="A169" s="5">
        <v>337</v>
      </c>
      <c r="B169" s="5">
        <v>9962</v>
      </c>
      <c r="C169" s="5" t="s">
        <v>2132</v>
      </c>
      <c r="D169" s="5" t="s">
        <v>2133</v>
      </c>
      <c r="E169" s="5" t="s">
        <v>429</v>
      </c>
      <c r="F169" s="5" t="s">
        <v>2134</v>
      </c>
      <c r="G169" s="5" t="s">
        <v>2135</v>
      </c>
      <c r="H169" s="5" t="s">
        <v>76</v>
      </c>
      <c r="I169" s="5" t="s">
        <v>73</v>
      </c>
      <c r="J169" s="5" t="s">
        <v>61</v>
      </c>
      <c r="K169" s="5" t="s">
        <v>188</v>
      </c>
      <c r="L169" s="9" t="s">
        <v>803</v>
      </c>
      <c r="M169" s="9" t="s">
        <v>475</v>
      </c>
      <c r="N169" s="5" t="s">
        <v>880</v>
      </c>
      <c r="O169" s="5" t="s">
        <v>62</v>
      </c>
      <c r="P169" s="5" t="s">
        <v>1215</v>
      </c>
      <c r="Q169" s="193">
        <v>68</v>
      </c>
      <c r="R169" s="195">
        <v>3.3719999999999999</v>
      </c>
      <c r="S169" s="196">
        <v>11341</v>
      </c>
      <c r="T169" s="170">
        <v>6.4600000000000005E-2</v>
      </c>
      <c r="U169" s="193">
        <v>22.22</v>
      </c>
      <c r="V169" s="197">
        <v>0</v>
      </c>
      <c r="W169" s="197">
        <v>2.7470200538629E-3</v>
      </c>
      <c r="X169" s="197">
        <v>6.2188704844060505E-4</v>
      </c>
    </row>
    <row r="170" spans="1:24">
      <c r="A170" s="5">
        <v>337</v>
      </c>
      <c r="B170" s="5">
        <v>9962</v>
      </c>
      <c r="C170" s="5" t="s">
        <v>2136</v>
      </c>
      <c r="D170" s="5" t="s">
        <v>2137</v>
      </c>
      <c r="E170" s="5" t="s">
        <v>429</v>
      </c>
      <c r="F170" s="5" t="s">
        <v>2138</v>
      </c>
      <c r="G170" s="5" t="s">
        <v>2139</v>
      </c>
      <c r="H170" s="5" t="s">
        <v>76</v>
      </c>
      <c r="I170" s="5" t="s">
        <v>73</v>
      </c>
      <c r="J170" s="5" t="s">
        <v>61</v>
      </c>
      <c r="K170" s="5" t="s">
        <v>314</v>
      </c>
      <c r="L170" s="9" t="s">
        <v>803</v>
      </c>
      <c r="M170" s="9" t="s">
        <v>475</v>
      </c>
      <c r="N170" s="5" t="s">
        <v>2140</v>
      </c>
      <c r="O170" s="5" t="s">
        <v>62</v>
      </c>
      <c r="P170" s="5" t="s">
        <v>1215</v>
      </c>
      <c r="Q170" s="193">
        <v>34</v>
      </c>
      <c r="R170" s="195">
        <v>3.3719999999999999</v>
      </c>
      <c r="S170" s="196">
        <v>50849</v>
      </c>
      <c r="T170" s="170">
        <v>4.1000000000000002E-2</v>
      </c>
      <c r="U170" s="193">
        <v>58.436999999999998</v>
      </c>
      <c r="V170" s="197">
        <v>0</v>
      </c>
      <c r="W170" s="197">
        <v>6.0672017721124898E-3</v>
      </c>
      <c r="X170" s="197">
        <v>1.37352990818062E-3</v>
      </c>
    </row>
    <row r="171" spans="1:24">
      <c r="A171" s="5">
        <v>337</v>
      </c>
      <c r="B171" s="5">
        <v>9962</v>
      </c>
      <c r="C171" s="5" t="s">
        <v>2141</v>
      </c>
      <c r="D171" s="5" t="s">
        <v>2142</v>
      </c>
      <c r="E171" s="5" t="s">
        <v>429</v>
      </c>
      <c r="F171" s="5" t="s">
        <v>2143</v>
      </c>
      <c r="G171" s="5" t="s">
        <v>2144</v>
      </c>
      <c r="H171" s="5" t="s">
        <v>76</v>
      </c>
      <c r="I171" s="5" t="s">
        <v>73</v>
      </c>
      <c r="J171" s="5" t="s">
        <v>61</v>
      </c>
      <c r="K171" s="5" t="s">
        <v>314</v>
      </c>
      <c r="L171" s="9" t="s">
        <v>803</v>
      </c>
      <c r="M171" s="9" t="s">
        <v>475</v>
      </c>
      <c r="N171" s="5" t="s">
        <v>892</v>
      </c>
      <c r="O171" s="5" t="s">
        <v>62</v>
      </c>
      <c r="P171" s="5" t="s">
        <v>1215</v>
      </c>
      <c r="Q171" s="193">
        <v>17</v>
      </c>
      <c r="R171" s="195">
        <v>3.3719999999999999</v>
      </c>
      <c r="S171" s="196">
        <v>77953</v>
      </c>
      <c r="T171" s="9"/>
      <c r="U171" s="193">
        <v>44.686</v>
      </c>
      <c r="V171" s="197">
        <v>0</v>
      </c>
      <c r="W171" s="197">
        <v>4.6395229613896303E-3</v>
      </c>
      <c r="X171" s="197">
        <v>1.05032332638916E-3</v>
      </c>
    </row>
    <row r="172" spans="1:24">
      <c r="A172" s="5">
        <v>337</v>
      </c>
      <c r="B172" s="5">
        <v>9962</v>
      </c>
      <c r="C172" s="5" t="s">
        <v>2145</v>
      </c>
      <c r="D172" s="5" t="s">
        <v>2146</v>
      </c>
      <c r="E172" s="5" t="s">
        <v>429</v>
      </c>
      <c r="F172" s="5" t="s">
        <v>2147</v>
      </c>
      <c r="G172" s="5" t="s">
        <v>2148</v>
      </c>
      <c r="H172" s="5" t="s">
        <v>76</v>
      </c>
      <c r="I172" s="5" t="s">
        <v>73</v>
      </c>
      <c r="J172" s="5" t="s">
        <v>61</v>
      </c>
      <c r="K172" s="5" t="s">
        <v>314</v>
      </c>
      <c r="L172" s="9" t="s">
        <v>803</v>
      </c>
      <c r="M172" s="9" t="s">
        <v>478</v>
      </c>
      <c r="N172" s="5" t="s">
        <v>901</v>
      </c>
      <c r="O172" s="5" t="s">
        <v>62</v>
      </c>
      <c r="P172" s="5" t="s">
        <v>1215</v>
      </c>
      <c r="Q172" s="193">
        <v>25</v>
      </c>
      <c r="R172" s="195">
        <v>3.3719999999999999</v>
      </c>
      <c r="S172" s="196">
        <v>73809</v>
      </c>
      <c r="T172" s="9"/>
      <c r="U172" s="193">
        <v>62.220999999999997</v>
      </c>
      <c r="V172" s="197">
        <v>0</v>
      </c>
      <c r="W172" s="197">
        <v>6.4601247331010003E-3</v>
      </c>
      <c r="X172" s="197">
        <v>1.46248218944631E-3</v>
      </c>
    </row>
    <row r="173" spans="1:24">
      <c r="A173" s="5">
        <v>337</v>
      </c>
      <c r="B173" s="5">
        <v>9962</v>
      </c>
      <c r="C173" s="5" t="s">
        <v>2149</v>
      </c>
      <c r="D173" s="5" t="s">
        <v>2150</v>
      </c>
      <c r="E173" s="5" t="s">
        <v>429</v>
      </c>
      <c r="F173" s="5" t="s">
        <v>2151</v>
      </c>
      <c r="G173" s="5" t="s">
        <v>2152</v>
      </c>
      <c r="H173" s="5" t="s">
        <v>76</v>
      </c>
      <c r="I173" s="5" t="s">
        <v>73</v>
      </c>
      <c r="J173" s="5" t="s">
        <v>61</v>
      </c>
      <c r="K173" s="5" t="s">
        <v>314</v>
      </c>
      <c r="L173" s="9" t="s">
        <v>803</v>
      </c>
      <c r="M173" s="9" t="s">
        <v>478</v>
      </c>
      <c r="N173" s="5" t="s">
        <v>2153</v>
      </c>
      <c r="O173" s="5" t="s">
        <v>62</v>
      </c>
      <c r="P173" s="5" t="s">
        <v>1215</v>
      </c>
      <c r="Q173" s="193">
        <v>534</v>
      </c>
      <c r="R173" s="195">
        <v>3.3719999999999999</v>
      </c>
      <c r="S173" s="196">
        <v>2240</v>
      </c>
      <c r="T173" s="9"/>
      <c r="U173" s="193">
        <v>40.335000000000001</v>
      </c>
      <c r="V173" s="197">
        <v>0</v>
      </c>
      <c r="W173" s="197">
        <v>4.1877509792822504E-3</v>
      </c>
      <c r="X173" s="197">
        <v>9.4804844706097803E-4</v>
      </c>
    </row>
    <row r="174" spans="1:24">
      <c r="A174" s="5">
        <v>337</v>
      </c>
      <c r="B174" s="5">
        <v>9962</v>
      </c>
      <c r="C174" s="5" t="s">
        <v>2154</v>
      </c>
      <c r="D174" s="5" t="s">
        <v>2155</v>
      </c>
      <c r="E174" s="5" t="s">
        <v>429</v>
      </c>
      <c r="F174" s="5" t="s">
        <v>2156</v>
      </c>
      <c r="G174" s="5" t="s">
        <v>2157</v>
      </c>
      <c r="H174" s="5" t="s">
        <v>76</v>
      </c>
      <c r="I174" s="5" t="s">
        <v>73</v>
      </c>
      <c r="J174" s="5" t="s">
        <v>61</v>
      </c>
      <c r="K174" s="5" t="s">
        <v>314</v>
      </c>
      <c r="L174" s="9" t="s">
        <v>803</v>
      </c>
      <c r="M174" s="9" t="s">
        <v>475</v>
      </c>
      <c r="N174" s="5" t="s">
        <v>195</v>
      </c>
      <c r="O174" s="5" t="s">
        <v>62</v>
      </c>
      <c r="P174" s="5" t="s">
        <v>1215</v>
      </c>
      <c r="Q174" s="193">
        <v>44</v>
      </c>
      <c r="R174" s="195">
        <v>3.3719999999999999</v>
      </c>
      <c r="S174" s="196">
        <v>28991</v>
      </c>
      <c r="T174" s="9"/>
      <c r="U174" s="193">
        <v>43.012999999999998</v>
      </c>
      <c r="V174" s="197">
        <v>0</v>
      </c>
      <c r="W174" s="197">
        <v>4.4658840792004004E-3</v>
      </c>
      <c r="X174" s="197">
        <v>1.01101390387973E-3</v>
      </c>
    </row>
    <row r="175" spans="1:24">
      <c r="A175" s="5">
        <v>337</v>
      </c>
      <c r="B175" s="5">
        <v>9962</v>
      </c>
      <c r="C175" s="5" t="s">
        <v>2158</v>
      </c>
      <c r="D175" s="5" t="s">
        <v>2159</v>
      </c>
      <c r="E175" s="5" t="s">
        <v>429</v>
      </c>
      <c r="F175" s="5" t="s">
        <v>2160</v>
      </c>
      <c r="G175" s="5" t="s">
        <v>2161</v>
      </c>
      <c r="H175" s="5" t="s">
        <v>76</v>
      </c>
      <c r="I175" s="5" t="s">
        <v>73</v>
      </c>
      <c r="J175" s="5" t="s">
        <v>61</v>
      </c>
      <c r="K175" s="5" t="s">
        <v>314</v>
      </c>
      <c r="L175" s="9" t="s">
        <v>803</v>
      </c>
      <c r="M175" s="9" t="s">
        <v>478</v>
      </c>
      <c r="N175" s="5" t="s">
        <v>2153</v>
      </c>
      <c r="O175" s="5" t="s">
        <v>62</v>
      </c>
      <c r="P175" s="5" t="s">
        <v>1215</v>
      </c>
      <c r="Q175" s="193">
        <v>683</v>
      </c>
      <c r="R175" s="195">
        <v>3.3719999999999999</v>
      </c>
      <c r="S175" s="196">
        <v>7740</v>
      </c>
      <c r="T175" s="9"/>
      <c r="U175" s="193">
        <v>178.25800000000001</v>
      </c>
      <c r="V175" s="197">
        <v>9.9999999999999995E-7</v>
      </c>
      <c r="W175" s="197">
        <v>1.85077335238574E-2</v>
      </c>
      <c r="X175" s="197">
        <v>4.1898928834872397E-3</v>
      </c>
    </row>
    <row r="176" spans="1:24">
      <c r="A176" s="5">
        <v>337</v>
      </c>
      <c r="B176" s="5">
        <v>9962</v>
      </c>
      <c r="C176" s="5" t="s">
        <v>2032</v>
      </c>
      <c r="D176" s="5" t="s">
        <v>2033</v>
      </c>
      <c r="E176" s="5" t="s">
        <v>1346</v>
      </c>
      <c r="F176" s="5" t="s">
        <v>2166</v>
      </c>
      <c r="G176" s="5" t="s">
        <v>2167</v>
      </c>
      <c r="H176" s="5" t="s">
        <v>76</v>
      </c>
      <c r="I176" s="5" t="s">
        <v>73</v>
      </c>
      <c r="J176" s="5" t="s">
        <v>61</v>
      </c>
      <c r="K176" s="5" t="s">
        <v>53</v>
      </c>
      <c r="L176" s="9" t="s">
        <v>803</v>
      </c>
      <c r="M176" s="9" t="s">
        <v>478</v>
      </c>
      <c r="N176" s="5" t="s">
        <v>902</v>
      </c>
      <c r="O176" s="5" t="s">
        <v>62</v>
      </c>
      <c r="P176" s="5" t="s">
        <v>1215</v>
      </c>
      <c r="Q176" s="193">
        <v>53</v>
      </c>
      <c r="R176" s="195">
        <v>3.3719999999999999</v>
      </c>
      <c r="S176" s="196">
        <v>16891</v>
      </c>
      <c r="T176" s="9"/>
      <c r="U176" s="193">
        <v>30.187000000000001</v>
      </c>
      <c r="V176" s="197">
        <v>9.9999999999999995E-7</v>
      </c>
      <c r="W176" s="197">
        <v>3.1341718456778301E-3</v>
      </c>
      <c r="X176" s="197">
        <v>7.0953281745190502E-4</v>
      </c>
    </row>
    <row r="177" spans="1:24">
      <c r="A177" s="5">
        <v>337</v>
      </c>
      <c r="B177" s="5">
        <v>9962</v>
      </c>
      <c r="C177" s="5" t="s">
        <v>2168</v>
      </c>
      <c r="D177" s="5" t="s">
        <v>2169</v>
      </c>
      <c r="E177" s="5" t="s">
        <v>429</v>
      </c>
      <c r="F177" s="5" t="s">
        <v>2168</v>
      </c>
      <c r="G177" s="5" t="s">
        <v>2170</v>
      </c>
      <c r="H177" s="5" t="s">
        <v>76</v>
      </c>
      <c r="I177" s="5" t="s">
        <v>73</v>
      </c>
      <c r="J177" s="5" t="s">
        <v>61</v>
      </c>
      <c r="K177" s="5" t="s">
        <v>314</v>
      </c>
      <c r="L177" s="9" t="s">
        <v>803</v>
      </c>
      <c r="M177" s="9" t="s">
        <v>475</v>
      </c>
      <c r="N177" s="5" t="s">
        <v>880</v>
      </c>
      <c r="O177" s="5" t="s">
        <v>62</v>
      </c>
      <c r="P177" s="5" t="s">
        <v>1215</v>
      </c>
      <c r="Q177" s="193">
        <v>300</v>
      </c>
      <c r="R177" s="195">
        <v>3.3719999999999999</v>
      </c>
      <c r="S177" s="196">
        <v>7104</v>
      </c>
      <c r="T177" s="9"/>
      <c r="U177" s="193">
        <v>71.864000000000004</v>
      </c>
      <c r="V177" s="197">
        <v>0</v>
      </c>
      <c r="W177" s="197">
        <v>7.4613219695076997E-3</v>
      </c>
      <c r="X177" s="197">
        <v>1.68913928770094E-3</v>
      </c>
    </row>
    <row r="178" spans="1:24">
      <c r="A178" s="5">
        <v>337</v>
      </c>
      <c r="B178" s="5">
        <v>9962</v>
      </c>
      <c r="C178" s="5" t="s">
        <v>2171</v>
      </c>
      <c r="D178" s="5" t="s">
        <v>2172</v>
      </c>
      <c r="E178" s="5" t="s">
        <v>429</v>
      </c>
      <c r="F178" s="5" t="s">
        <v>2173</v>
      </c>
      <c r="G178" s="5" t="s">
        <v>2174</v>
      </c>
      <c r="H178" s="5" t="s">
        <v>76</v>
      </c>
      <c r="I178" s="5" t="s">
        <v>73</v>
      </c>
      <c r="J178" s="5" t="s">
        <v>61</v>
      </c>
      <c r="K178" s="5" t="s">
        <v>314</v>
      </c>
      <c r="L178" s="9" t="s">
        <v>803</v>
      </c>
      <c r="M178" s="9" t="s">
        <v>478</v>
      </c>
      <c r="N178" s="5" t="s">
        <v>202</v>
      </c>
      <c r="O178" s="5" t="s">
        <v>62</v>
      </c>
      <c r="P178" s="5" t="s">
        <v>1215</v>
      </c>
      <c r="Q178" s="193">
        <v>487</v>
      </c>
      <c r="R178" s="195">
        <v>3.3719999999999999</v>
      </c>
      <c r="S178" s="196">
        <v>15799</v>
      </c>
      <c r="T178" s="170">
        <v>4.0000000000000001E-3</v>
      </c>
      <c r="U178" s="193">
        <v>259.45800000000003</v>
      </c>
      <c r="V178" s="197">
        <v>0</v>
      </c>
      <c r="W178" s="197">
        <v>2.6938333342419799E-2</v>
      </c>
      <c r="X178" s="197">
        <v>6.0984631650827601E-3</v>
      </c>
    </row>
    <row r="179" spans="1:24">
      <c r="A179" s="5">
        <v>337</v>
      </c>
      <c r="B179" s="5">
        <v>9962</v>
      </c>
      <c r="C179" s="5" t="s">
        <v>1826</v>
      </c>
      <c r="D179" s="5" t="s">
        <v>1827</v>
      </c>
      <c r="E179" s="5" t="s">
        <v>429</v>
      </c>
      <c r="F179" s="5" t="s">
        <v>2175</v>
      </c>
      <c r="G179" s="5" t="s">
        <v>1829</v>
      </c>
      <c r="H179" s="5" t="s">
        <v>76</v>
      </c>
      <c r="I179" s="5" t="s">
        <v>73</v>
      </c>
      <c r="J179" s="5" t="s">
        <v>61</v>
      </c>
      <c r="K179" s="5" t="s">
        <v>314</v>
      </c>
      <c r="L179" s="9" t="s">
        <v>803</v>
      </c>
      <c r="M179" s="9" t="s">
        <v>475</v>
      </c>
      <c r="N179" s="5" t="s">
        <v>906</v>
      </c>
      <c r="O179" s="5" t="s">
        <v>62</v>
      </c>
      <c r="P179" s="5" t="s">
        <v>1215</v>
      </c>
      <c r="Q179" s="193">
        <v>70</v>
      </c>
      <c r="R179" s="195">
        <v>3.3719999999999999</v>
      </c>
      <c r="S179" s="196">
        <v>8376</v>
      </c>
      <c r="T179" s="9"/>
      <c r="U179" s="193">
        <v>19.771000000000001</v>
      </c>
      <c r="V179" s="197">
        <v>9.9999999999999995E-7</v>
      </c>
      <c r="W179" s="197">
        <v>2.05270378057515E-3</v>
      </c>
      <c r="X179" s="197">
        <v>4.6470352250601302E-4</v>
      </c>
    </row>
    <row r="180" spans="1:24">
      <c r="A180" s="5">
        <v>337</v>
      </c>
      <c r="B180" s="5">
        <v>9962</v>
      </c>
      <c r="C180" s="5" t="s">
        <v>2176</v>
      </c>
      <c r="D180" s="5" t="s">
        <v>2177</v>
      </c>
      <c r="E180" s="5" t="s">
        <v>429</v>
      </c>
      <c r="F180" s="5" t="s">
        <v>2178</v>
      </c>
      <c r="G180" s="5" t="s">
        <v>2179</v>
      </c>
      <c r="H180" s="5" t="s">
        <v>76</v>
      </c>
      <c r="I180" s="5" t="s">
        <v>73</v>
      </c>
      <c r="J180" s="5" t="s">
        <v>61</v>
      </c>
      <c r="K180" s="5" t="s">
        <v>314</v>
      </c>
      <c r="L180" s="9" t="s">
        <v>803</v>
      </c>
      <c r="M180" s="9" t="s">
        <v>478</v>
      </c>
      <c r="N180" s="5" t="s">
        <v>897</v>
      </c>
      <c r="O180" s="5" t="s">
        <v>62</v>
      </c>
      <c r="P180" s="5" t="s">
        <v>1215</v>
      </c>
      <c r="Q180" s="193">
        <v>88</v>
      </c>
      <c r="R180" s="195">
        <v>3.3719999999999999</v>
      </c>
      <c r="S180" s="196">
        <v>20464</v>
      </c>
      <c r="T180" s="9"/>
      <c r="U180" s="193">
        <v>60.723999999999997</v>
      </c>
      <c r="V180" s="197">
        <v>0</v>
      </c>
      <c r="W180" s="197">
        <v>6.3047050323726001E-3</v>
      </c>
      <c r="X180" s="197">
        <v>1.42729733565553E-3</v>
      </c>
    </row>
    <row r="181" spans="1:24">
      <c r="A181" s="5">
        <v>337</v>
      </c>
      <c r="B181" s="5">
        <v>9962</v>
      </c>
      <c r="C181" s="5" t="s">
        <v>2180</v>
      </c>
      <c r="D181" s="5" t="s">
        <v>2181</v>
      </c>
      <c r="E181" s="5" t="s">
        <v>429</v>
      </c>
      <c r="F181" s="5" t="s">
        <v>2182</v>
      </c>
      <c r="G181" s="5" t="s">
        <v>2183</v>
      </c>
      <c r="H181" s="5" t="s">
        <v>76</v>
      </c>
      <c r="I181" s="5" t="s">
        <v>73</v>
      </c>
      <c r="J181" s="5" t="s">
        <v>61</v>
      </c>
      <c r="K181" s="5" t="s">
        <v>315</v>
      </c>
      <c r="L181" s="9" t="s">
        <v>803</v>
      </c>
      <c r="M181" s="9" t="s">
        <v>493</v>
      </c>
      <c r="N181" s="5" t="s">
        <v>882</v>
      </c>
      <c r="O181" s="5" t="s">
        <v>62</v>
      </c>
      <c r="P181" s="5" t="s">
        <v>1287</v>
      </c>
      <c r="Q181" s="193">
        <v>700</v>
      </c>
      <c r="R181" s="195">
        <v>4.6235999999999997</v>
      </c>
      <c r="S181" s="196">
        <v>1600</v>
      </c>
      <c r="T181" s="9"/>
      <c r="U181" s="193">
        <v>51.783999999999999</v>
      </c>
      <c r="V181" s="197">
        <v>1.5999999999999999E-5</v>
      </c>
      <c r="W181" s="197">
        <v>5.3765326226473502E-3</v>
      </c>
      <c r="X181" s="197">
        <v>1.2171720402408301E-3</v>
      </c>
    </row>
    <row r="182" spans="1:24">
      <c r="A182" s="5">
        <v>337</v>
      </c>
      <c r="B182" s="5">
        <v>9962</v>
      </c>
      <c r="C182" s="5" t="s">
        <v>2184</v>
      </c>
      <c r="D182" s="5" t="s">
        <v>2185</v>
      </c>
      <c r="E182" s="5" t="s">
        <v>429</v>
      </c>
      <c r="F182" s="5" t="s">
        <v>2186</v>
      </c>
      <c r="G182" s="5" t="s">
        <v>2187</v>
      </c>
      <c r="H182" s="5" t="s">
        <v>76</v>
      </c>
      <c r="I182" s="5" t="s">
        <v>73</v>
      </c>
      <c r="J182" s="5" t="s">
        <v>61</v>
      </c>
      <c r="K182" s="5" t="s">
        <v>314</v>
      </c>
      <c r="L182" s="9" t="s">
        <v>803</v>
      </c>
      <c r="M182" s="9" t="s">
        <v>478</v>
      </c>
      <c r="N182" s="5" t="s">
        <v>897</v>
      </c>
      <c r="O182" s="5" t="s">
        <v>62</v>
      </c>
      <c r="P182" s="5" t="s">
        <v>1215</v>
      </c>
      <c r="Q182" s="193">
        <v>0</v>
      </c>
      <c r="R182" s="195">
        <v>3.3719999999999999</v>
      </c>
      <c r="S182" s="196">
        <v>0</v>
      </c>
      <c r="T182" s="170">
        <v>2.3E-2</v>
      </c>
      <c r="U182" s="193">
        <v>7.9000000000000001E-2</v>
      </c>
      <c r="V182" s="197">
        <v>0</v>
      </c>
      <c r="W182" s="197">
        <v>8.18456371819289E-6</v>
      </c>
      <c r="X182" s="197">
        <v>1.8528711380623399E-6</v>
      </c>
    </row>
    <row r="183" spans="1:24">
      <c r="A183" s="5">
        <v>337</v>
      </c>
      <c r="B183" s="5">
        <v>9962</v>
      </c>
      <c r="C183" s="5" t="s">
        <v>2188</v>
      </c>
      <c r="D183" s="5" t="s">
        <v>2189</v>
      </c>
      <c r="E183" s="5" t="s">
        <v>429</v>
      </c>
      <c r="F183" s="5" t="s">
        <v>2190</v>
      </c>
      <c r="G183" s="5" t="s">
        <v>2191</v>
      </c>
      <c r="H183" s="5" t="s">
        <v>76</v>
      </c>
      <c r="I183" s="5" t="s">
        <v>73</v>
      </c>
      <c r="J183" s="5" t="s">
        <v>61</v>
      </c>
      <c r="K183" s="5" t="s">
        <v>188</v>
      </c>
      <c r="L183" s="9" t="s">
        <v>803</v>
      </c>
      <c r="M183" s="9" t="s">
        <v>475</v>
      </c>
      <c r="N183" s="5" t="s">
        <v>202</v>
      </c>
      <c r="O183" s="5" t="s">
        <v>62</v>
      </c>
      <c r="P183" s="5" t="s">
        <v>1215</v>
      </c>
      <c r="Q183" s="193">
        <v>100</v>
      </c>
      <c r="R183" s="195">
        <v>3.3719999999999999</v>
      </c>
      <c r="S183" s="196">
        <v>22649</v>
      </c>
      <c r="T183" s="170">
        <v>5.8999999999999997E-2</v>
      </c>
      <c r="U183" s="193">
        <v>76.572999999999993</v>
      </c>
      <c r="V183" s="197">
        <v>0</v>
      </c>
      <c r="W183" s="197">
        <v>7.9501857631269195E-3</v>
      </c>
      <c r="X183" s="197">
        <v>1.7998112361185801E-3</v>
      </c>
    </row>
    <row r="184" spans="1:24">
      <c r="A184" s="5">
        <v>337</v>
      </c>
      <c r="B184" s="5">
        <v>9963</v>
      </c>
      <c r="C184" s="5" t="s">
        <v>1822</v>
      </c>
      <c r="D184" s="5" t="s">
        <v>1823</v>
      </c>
      <c r="E184" s="5" t="s">
        <v>1346</v>
      </c>
      <c r="F184" s="5" t="s">
        <v>1824</v>
      </c>
      <c r="G184" s="5" t="s">
        <v>1825</v>
      </c>
      <c r="H184" s="5" t="s">
        <v>76</v>
      </c>
      <c r="I184" s="5" t="s">
        <v>73</v>
      </c>
      <c r="J184" s="5" t="s">
        <v>53</v>
      </c>
      <c r="K184" s="5" t="s">
        <v>53</v>
      </c>
      <c r="L184" s="9" t="s">
        <v>803</v>
      </c>
      <c r="M184" s="9" t="s">
        <v>311</v>
      </c>
      <c r="N184" s="5" t="s">
        <v>156</v>
      </c>
      <c r="O184" s="5" t="s">
        <v>62</v>
      </c>
      <c r="P184" s="5" t="s">
        <v>1259</v>
      </c>
      <c r="Q184" s="193">
        <v>70439</v>
      </c>
      <c r="R184" s="195">
        <v>1</v>
      </c>
      <c r="S184" s="196">
        <v>4100</v>
      </c>
      <c r="T184" s="9"/>
      <c r="U184" s="193">
        <v>2887.9989999999998</v>
      </c>
      <c r="V184" s="197">
        <v>2.5399999999999999E-4</v>
      </c>
      <c r="W184" s="197">
        <v>1.26638195955871E-2</v>
      </c>
      <c r="X184" s="197">
        <v>2.5956883216477701E-3</v>
      </c>
    </row>
    <row r="185" spans="1:24">
      <c r="A185" s="5">
        <v>337</v>
      </c>
      <c r="B185" s="5">
        <v>9963</v>
      </c>
      <c r="C185" s="5" t="s">
        <v>1826</v>
      </c>
      <c r="D185" s="5" t="s">
        <v>1827</v>
      </c>
      <c r="E185" s="5" t="s">
        <v>429</v>
      </c>
      <c r="F185" s="5" t="s">
        <v>1828</v>
      </c>
      <c r="G185" s="5" t="s">
        <v>1829</v>
      </c>
      <c r="H185" s="5" t="s">
        <v>76</v>
      </c>
      <c r="I185" s="5" t="s">
        <v>73</v>
      </c>
      <c r="J185" s="5" t="s">
        <v>53</v>
      </c>
      <c r="K185" s="5" t="s">
        <v>314</v>
      </c>
      <c r="L185" s="9" t="s">
        <v>803</v>
      </c>
      <c r="M185" s="9" t="s">
        <v>311</v>
      </c>
      <c r="N185" s="5" t="s">
        <v>629</v>
      </c>
      <c r="O185" s="5" t="s">
        <v>62</v>
      </c>
      <c r="P185" s="5" t="s">
        <v>1259</v>
      </c>
      <c r="Q185" s="193">
        <v>9356</v>
      </c>
      <c r="R185" s="195">
        <v>1</v>
      </c>
      <c r="S185" s="196">
        <v>27780</v>
      </c>
      <c r="T185" s="9"/>
      <c r="U185" s="193">
        <v>2599.0970000000002</v>
      </c>
      <c r="V185" s="197">
        <v>1.64E-4</v>
      </c>
      <c r="W185" s="197">
        <v>1.1396989052512701E-2</v>
      </c>
      <c r="X185" s="197">
        <v>2.3360275438433602E-3</v>
      </c>
    </row>
    <row r="186" spans="1:24">
      <c r="A186" s="5">
        <v>337</v>
      </c>
      <c r="B186" s="5">
        <v>9963</v>
      </c>
      <c r="C186" s="5" t="s">
        <v>1834</v>
      </c>
      <c r="D186" s="5" t="s">
        <v>1835</v>
      </c>
      <c r="E186" s="5" t="s">
        <v>1346</v>
      </c>
      <c r="F186" s="5" t="s">
        <v>1836</v>
      </c>
      <c r="G186" s="5" t="s">
        <v>1837</v>
      </c>
      <c r="H186" s="5" t="s">
        <v>76</v>
      </c>
      <c r="I186" s="5" t="s">
        <v>73</v>
      </c>
      <c r="J186" s="5" t="s">
        <v>53</v>
      </c>
      <c r="K186" s="5" t="s">
        <v>53</v>
      </c>
      <c r="L186" s="9" t="s">
        <v>803</v>
      </c>
      <c r="M186" s="9" t="s">
        <v>311</v>
      </c>
      <c r="N186" s="5" t="s">
        <v>265</v>
      </c>
      <c r="O186" s="5" t="s">
        <v>62</v>
      </c>
      <c r="P186" s="5" t="s">
        <v>1259</v>
      </c>
      <c r="Q186" s="193">
        <v>189527</v>
      </c>
      <c r="R186" s="195">
        <v>1</v>
      </c>
      <c r="S186" s="196">
        <v>2309</v>
      </c>
      <c r="T186" s="9"/>
      <c r="U186" s="193">
        <v>4376.1779999999999</v>
      </c>
      <c r="V186" s="197">
        <v>1.44E-4</v>
      </c>
      <c r="W186" s="197">
        <v>1.91894575294588E-2</v>
      </c>
      <c r="X186" s="197">
        <v>3.9332407124094797E-3</v>
      </c>
    </row>
    <row r="187" spans="1:24">
      <c r="A187" s="5">
        <v>337</v>
      </c>
      <c r="B187" s="5">
        <v>9963</v>
      </c>
      <c r="C187" s="5" t="s">
        <v>1838</v>
      </c>
      <c r="D187" s="5" t="s">
        <v>1839</v>
      </c>
      <c r="E187" s="5" t="s">
        <v>1346</v>
      </c>
      <c r="F187" s="5" t="s">
        <v>1840</v>
      </c>
      <c r="G187" s="5" t="s">
        <v>1841</v>
      </c>
      <c r="H187" s="5" t="s">
        <v>76</v>
      </c>
      <c r="I187" s="5" t="s">
        <v>73</v>
      </c>
      <c r="J187" s="5" t="s">
        <v>53</v>
      </c>
      <c r="K187" s="5" t="s">
        <v>53</v>
      </c>
      <c r="L187" s="9" t="s">
        <v>803</v>
      </c>
      <c r="M187" s="9" t="s">
        <v>311</v>
      </c>
      <c r="N187" s="5" t="s">
        <v>263</v>
      </c>
      <c r="O187" s="5" t="s">
        <v>62</v>
      </c>
      <c r="P187" s="5" t="s">
        <v>1259</v>
      </c>
      <c r="Q187" s="193">
        <v>84000</v>
      </c>
      <c r="R187" s="195">
        <v>1</v>
      </c>
      <c r="S187" s="196">
        <v>2100</v>
      </c>
      <c r="T187" s="9"/>
      <c r="U187" s="193">
        <v>1764</v>
      </c>
      <c r="V187" s="197">
        <v>5.6599999999999999E-4</v>
      </c>
      <c r="W187" s="197">
        <v>7.7351057831445396E-3</v>
      </c>
      <c r="X187" s="197">
        <v>1.5854556041697599E-3</v>
      </c>
    </row>
    <row r="188" spans="1:24">
      <c r="A188" s="5">
        <v>337</v>
      </c>
      <c r="B188" s="5">
        <v>9963</v>
      </c>
      <c r="C188" s="5" t="s">
        <v>1846</v>
      </c>
      <c r="D188" s="5" t="s">
        <v>1847</v>
      </c>
      <c r="E188" s="5" t="s">
        <v>1346</v>
      </c>
      <c r="F188" s="5" t="s">
        <v>1848</v>
      </c>
      <c r="G188" s="5" t="s">
        <v>1849</v>
      </c>
      <c r="H188" s="5" t="s">
        <v>76</v>
      </c>
      <c r="I188" s="5" t="s">
        <v>73</v>
      </c>
      <c r="J188" s="5" t="s">
        <v>53</v>
      </c>
      <c r="K188" s="5" t="s">
        <v>53</v>
      </c>
      <c r="L188" s="9" t="s">
        <v>803</v>
      </c>
      <c r="M188" s="9" t="s">
        <v>311</v>
      </c>
      <c r="N188" s="5" t="s">
        <v>636</v>
      </c>
      <c r="O188" s="5" t="s">
        <v>62</v>
      </c>
      <c r="P188" s="5" t="s">
        <v>1259</v>
      </c>
      <c r="Q188" s="193">
        <v>5303</v>
      </c>
      <c r="R188" s="195">
        <v>1</v>
      </c>
      <c r="S188" s="196">
        <v>149800</v>
      </c>
      <c r="T188" s="170">
        <v>11.215999999999999</v>
      </c>
      <c r="U188" s="193">
        <v>7955.11</v>
      </c>
      <c r="V188" s="197">
        <v>1.1400000000000001E-4</v>
      </c>
      <c r="W188" s="197">
        <v>3.4883002384515402E-2</v>
      </c>
      <c r="X188" s="197">
        <v>7.1499282842792302E-3</v>
      </c>
    </row>
    <row r="189" spans="1:24">
      <c r="A189" s="5">
        <v>337</v>
      </c>
      <c r="B189" s="5">
        <v>9963</v>
      </c>
      <c r="C189" s="5" t="s">
        <v>1850</v>
      </c>
      <c r="D189" s="5" t="s">
        <v>1851</v>
      </c>
      <c r="E189" s="5" t="s">
        <v>1346</v>
      </c>
      <c r="F189" s="5" t="s">
        <v>1852</v>
      </c>
      <c r="G189" s="5" t="s">
        <v>1853</v>
      </c>
      <c r="H189" s="5" t="s">
        <v>76</v>
      </c>
      <c r="I189" s="5" t="s">
        <v>73</v>
      </c>
      <c r="J189" s="5" t="s">
        <v>53</v>
      </c>
      <c r="K189" s="5" t="s">
        <v>53</v>
      </c>
      <c r="L189" s="9" t="s">
        <v>803</v>
      </c>
      <c r="M189" s="9" t="s">
        <v>311</v>
      </c>
      <c r="N189" s="5" t="s">
        <v>633</v>
      </c>
      <c r="O189" s="5" t="s">
        <v>62</v>
      </c>
      <c r="P189" s="5" t="s">
        <v>1259</v>
      </c>
      <c r="Q189" s="193">
        <v>41465</v>
      </c>
      <c r="R189" s="195">
        <v>1</v>
      </c>
      <c r="S189" s="196">
        <v>3489</v>
      </c>
      <c r="T189" s="9"/>
      <c r="U189" s="193">
        <v>1446.7139999999999</v>
      </c>
      <c r="V189" s="197">
        <v>1.93E-4</v>
      </c>
      <c r="W189" s="197">
        <v>6.3438121698924602E-3</v>
      </c>
      <c r="X189" s="197">
        <v>1.30028377614088E-3</v>
      </c>
    </row>
    <row r="190" spans="1:24">
      <c r="A190" s="5">
        <v>337</v>
      </c>
      <c r="B190" s="5">
        <v>9963</v>
      </c>
      <c r="C190" s="5" t="s">
        <v>1854</v>
      </c>
      <c r="D190" s="5" t="s">
        <v>1855</v>
      </c>
      <c r="E190" s="5" t="s">
        <v>1346</v>
      </c>
      <c r="F190" s="5" t="s">
        <v>1856</v>
      </c>
      <c r="G190" s="5" t="s">
        <v>1857</v>
      </c>
      <c r="H190" s="5" t="s">
        <v>76</v>
      </c>
      <c r="I190" s="5" t="s">
        <v>73</v>
      </c>
      <c r="J190" s="5" t="s">
        <v>53</v>
      </c>
      <c r="K190" s="5" t="s">
        <v>53</v>
      </c>
      <c r="L190" s="9" t="s">
        <v>803</v>
      </c>
      <c r="M190" s="9" t="s">
        <v>311</v>
      </c>
      <c r="N190" s="5" t="s">
        <v>634</v>
      </c>
      <c r="O190" s="5" t="s">
        <v>62</v>
      </c>
      <c r="P190" s="5" t="s">
        <v>1259</v>
      </c>
      <c r="Q190" s="193">
        <v>18928</v>
      </c>
      <c r="R190" s="195">
        <v>1</v>
      </c>
      <c r="S190" s="196">
        <v>5007</v>
      </c>
      <c r="T190" s="9"/>
      <c r="U190" s="193">
        <v>947.72500000000002</v>
      </c>
      <c r="V190" s="197">
        <v>2.9100000000000003E-4</v>
      </c>
      <c r="W190" s="197">
        <v>4.1557555662848199E-3</v>
      </c>
      <c r="X190" s="197">
        <v>8.5180036793852697E-4</v>
      </c>
    </row>
    <row r="191" spans="1:24">
      <c r="A191" s="5">
        <v>337</v>
      </c>
      <c r="B191" s="5">
        <v>9963</v>
      </c>
      <c r="C191" s="5" t="s">
        <v>1858</v>
      </c>
      <c r="D191" s="5" t="s">
        <v>1859</v>
      </c>
      <c r="E191" s="5" t="s">
        <v>1346</v>
      </c>
      <c r="F191" s="5" t="s">
        <v>1860</v>
      </c>
      <c r="G191" s="5" t="s">
        <v>1861</v>
      </c>
      <c r="H191" s="5" t="s">
        <v>76</v>
      </c>
      <c r="I191" s="5" t="s">
        <v>73</v>
      </c>
      <c r="J191" s="5" t="s">
        <v>53</v>
      </c>
      <c r="K191" s="5" t="s">
        <v>53</v>
      </c>
      <c r="L191" s="9" t="s">
        <v>803</v>
      </c>
      <c r="M191" s="9" t="s">
        <v>311</v>
      </c>
      <c r="N191" s="5" t="s">
        <v>633</v>
      </c>
      <c r="O191" s="5" t="s">
        <v>62</v>
      </c>
      <c r="P191" s="5" t="s">
        <v>1259</v>
      </c>
      <c r="Q191" s="193">
        <v>90888</v>
      </c>
      <c r="R191" s="195">
        <v>1</v>
      </c>
      <c r="S191" s="196">
        <v>2281</v>
      </c>
      <c r="T191" s="9"/>
      <c r="U191" s="193">
        <v>2073.1550000000002</v>
      </c>
      <c r="V191" s="197">
        <v>1.93E-4</v>
      </c>
      <c r="W191" s="197">
        <v>9.0907456891636297E-3</v>
      </c>
      <c r="X191" s="197">
        <v>1.8633195334411201E-3</v>
      </c>
    </row>
    <row r="192" spans="1:24">
      <c r="A192" s="5">
        <v>337</v>
      </c>
      <c r="B192" s="5">
        <v>9963</v>
      </c>
      <c r="C192" s="5" t="s">
        <v>1862</v>
      </c>
      <c r="D192" s="5" t="s">
        <v>1863</v>
      </c>
      <c r="E192" s="5" t="s">
        <v>1346</v>
      </c>
      <c r="F192" s="5" t="s">
        <v>1864</v>
      </c>
      <c r="G192" s="5" t="s">
        <v>1865</v>
      </c>
      <c r="H192" s="5" t="s">
        <v>76</v>
      </c>
      <c r="I192" s="5" t="s">
        <v>73</v>
      </c>
      <c r="J192" s="5" t="s">
        <v>53</v>
      </c>
      <c r="K192" s="5" t="s">
        <v>314</v>
      </c>
      <c r="L192" s="9" t="s">
        <v>803</v>
      </c>
      <c r="M192" s="9" t="s">
        <v>311</v>
      </c>
      <c r="N192" s="5" t="s">
        <v>629</v>
      </c>
      <c r="O192" s="5" t="s">
        <v>62</v>
      </c>
      <c r="P192" s="5" t="s">
        <v>1259</v>
      </c>
      <c r="Q192" s="193">
        <v>20379.599999999999</v>
      </c>
      <c r="R192" s="195">
        <v>1</v>
      </c>
      <c r="S192" s="196">
        <v>7640</v>
      </c>
      <c r="T192" s="9"/>
      <c r="U192" s="193">
        <v>1557.001</v>
      </c>
      <c r="V192" s="197">
        <v>1.7100000000000001E-4</v>
      </c>
      <c r="W192" s="197">
        <v>6.8274211127598503E-3</v>
      </c>
      <c r="X192" s="197">
        <v>1.3994085367054301E-3</v>
      </c>
    </row>
    <row r="193" spans="1:24">
      <c r="A193" s="5">
        <v>337</v>
      </c>
      <c r="B193" s="5">
        <v>9963</v>
      </c>
      <c r="C193" s="5" t="s">
        <v>1866</v>
      </c>
      <c r="D193" s="5" t="s">
        <v>1867</v>
      </c>
      <c r="E193" s="5" t="s">
        <v>429</v>
      </c>
      <c r="F193" s="5" t="s">
        <v>1868</v>
      </c>
      <c r="G193" s="5" t="s">
        <v>1869</v>
      </c>
      <c r="H193" s="5" t="s">
        <v>76</v>
      </c>
      <c r="I193" s="5" t="s">
        <v>73</v>
      </c>
      <c r="J193" s="5" t="s">
        <v>53</v>
      </c>
      <c r="K193" s="5" t="s">
        <v>315</v>
      </c>
      <c r="L193" s="9" t="s">
        <v>803</v>
      </c>
      <c r="M193" s="9" t="s">
        <v>311</v>
      </c>
      <c r="N193" s="5" t="s">
        <v>267</v>
      </c>
      <c r="O193" s="5" t="s">
        <v>62</v>
      </c>
      <c r="P193" s="5" t="s">
        <v>1259</v>
      </c>
      <c r="Q193" s="193">
        <v>47473</v>
      </c>
      <c r="R193" s="195">
        <v>1</v>
      </c>
      <c r="S193" s="196">
        <v>4272</v>
      </c>
      <c r="T193" s="170">
        <v>48.024000000000001</v>
      </c>
      <c r="U193" s="193">
        <v>2076.0700000000002</v>
      </c>
      <c r="V193" s="197">
        <v>2.5799999999999998E-4</v>
      </c>
      <c r="W193" s="197">
        <v>9.1035277620391108E-3</v>
      </c>
      <c r="X193" s="197">
        <v>1.8659394599995201E-3</v>
      </c>
    </row>
    <row r="194" spans="1:24">
      <c r="A194" s="5">
        <v>337</v>
      </c>
      <c r="B194" s="5">
        <v>9963</v>
      </c>
      <c r="C194" s="5" t="s">
        <v>1870</v>
      </c>
      <c r="D194" s="5" t="s">
        <v>1871</v>
      </c>
      <c r="E194" s="5" t="s">
        <v>1346</v>
      </c>
      <c r="F194" s="5" t="s">
        <v>1872</v>
      </c>
      <c r="G194" s="5" t="s">
        <v>1873</v>
      </c>
      <c r="H194" s="5" t="s">
        <v>76</v>
      </c>
      <c r="I194" s="5" t="s">
        <v>73</v>
      </c>
      <c r="J194" s="5" t="s">
        <v>53</v>
      </c>
      <c r="K194" s="5" t="s">
        <v>53</v>
      </c>
      <c r="L194" s="9" t="s">
        <v>803</v>
      </c>
      <c r="M194" s="9" t="s">
        <v>311</v>
      </c>
      <c r="N194" s="5" t="s">
        <v>629</v>
      </c>
      <c r="O194" s="5" t="s">
        <v>62</v>
      </c>
      <c r="P194" s="5" t="s">
        <v>1259</v>
      </c>
      <c r="Q194" s="193">
        <v>75789</v>
      </c>
      <c r="R194" s="195">
        <v>1</v>
      </c>
      <c r="S194" s="196">
        <v>1244</v>
      </c>
      <c r="T194" s="9"/>
      <c r="U194" s="193">
        <v>942.81500000000005</v>
      </c>
      <c r="V194" s="197">
        <v>1.3799999999999999E-4</v>
      </c>
      <c r="W194" s="197">
        <v>4.1342261885217403E-3</v>
      </c>
      <c r="X194" s="197">
        <v>8.4738751650692101E-4</v>
      </c>
    </row>
    <row r="195" spans="1:24">
      <c r="A195" s="5">
        <v>337</v>
      </c>
      <c r="B195" s="5">
        <v>9963</v>
      </c>
      <c r="C195" s="5" t="s">
        <v>2196</v>
      </c>
      <c r="D195" s="5" t="s">
        <v>2197</v>
      </c>
      <c r="E195" s="5" t="s">
        <v>1346</v>
      </c>
      <c r="F195" s="5" t="s">
        <v>2198</v>
      </c>
      <c r="G195" s="5" t="s">
        <v>2199</v>
      </c>
      <c r="H195" s="5" t="s">
        <v>76</v>
      </c>
      <c r="I195" s="5" t="s">
        <v>73</v>
      </c>
      <c r="J195" s="5" t="s">
        <v>53</v>
      </c>
      <c r="K195" s="5" t="s">
        <v>53</v>
      </c>
      <c r="L195" s="9" t="s">
        <v>803</v>
      </c>
      <c r="M195" s="9" t="s">
        <v>311</v>
      </c>
      <c r="N195" s="5" t="s">
        <v>636</v>
      </c>
      <c r="O195" s="5" t="s">
        <v>62</v>
      </c>
      <c r="P195" s="5" t="s">
        <v>1259</v>
      </c>
      <c r="Q195" s="193">
        <v>46000</v>
      </c>
      <c r="R195" s="195">
        <v>1</v>
      </c>
      <c r="S195" s="196">
        <v>1336</v>
      </c>
      <c r="T195" s="9"/>
      <c r="U195" s="193">
        <v>614.55999999999995</v>
      </c>
      <c r="V195" s="197">
        <v>6.2E-4</v>
      </c>
      <c r="W195" s="197">
        <v>2.6948336791889501E-3</v>
      </c>
      <c r="X195" s="197">
        <v>5.5235691388807703E-4</v>
      </c>
    </row>
    <row r="196" spans="1:24">
      <c r="A196" s="5">
        <v>337</v>
      </c>
      <c r="B196" s="5">
        <v>9963</v>
      </c>
      <c r="C196" s="5" t="s">
        <v>1878</v>
      </c>
      <c r="D196" s="5" t="s">
        <v>1879</v>
      </c>
      <c r="E196" s="5" t="s">
        <v>765</v>
      </c>
      <c r="F196" s="5" t="s">
        <v>1878</v>
      </c>
      <c r="G196" s="5" t="s">
        <v>1880</v>
      </c>
      <c r="H196" s="5" t="s">
        <v>76</v>
      </c>
      <c r="I196" s="5" t="s">
        <v>73</v>
      </c>
      <c r="J196" s="5" t="s">
        <v>53</v>
      </c>
      <c r="K196" s="5" t="s">
        <v>153</v>
      </c>
      <c r="L196" s="9" t="s">
        <v>803</v>
      </c>
      <c r="M196" s="9" t="s">
        <v>311</v>
      </c>
      <c r="N196" s="5" t="s">
        <v>634</v>
      </c>
      <c r="O196" s="5" t="s">
        <v>62</v>
      </c>
      <c r="P196" s="5" t="s">
        <v>1259</v>
      </c>
      <c r="Q196" s="193">
        <v>15278</v>
      </c>
      <c r="R196" s="195">
        <v>1</v>
      </c>
      <c r="S196" s="196">
        <v>12250</v>
      </c>
      <c r="T196" s="9"/>
      <c r="U196" s="193">
        <v>1871.5550000000001</v>
      </c>
      <c r="V196" s="197">
        <v>7.0299999999999996E-4</v>
      </c>
      <c r="W196" s="197">
        <v>8.2067323718668303E-3</v>
      </c>
      <c r="X196" s="197">
        <v>1.6821243555906701E-3</v>
      </c>
    </row>
    <row r="197" spans="1:24">
      <c r="A197" s="5">
        <v>337</v>
      </c>
      <c r="B197" s="5">
        <v>9963</v>
      </c>
      <c r="C197" s="5" t="s">
        <v>1881</v>
      </c>
      <c r="D197" s="5" t="s">
        <v>1882</v>
      </c>
      <c r="E197" s="5" t="s">
        <v>1346</v>
      </c>
      <c r="F197" s="5" t="s">
        <v>1883</v>
      </c>
      <c r="G197" s="5" t="s">
        <v>1884</v>
      </c>
      <c r="H197" s="5" t="s">
        <v>76</v>
      </c>
      <c r="I197" s="5" t="s">
        <v>73</v>
      </c>
      <c r="J197" s="5" t="s">
        <v>53</v>
      </c>
      <c r="K197" s="5" t="s">
        <v>53</v>
      </c>
      <c r="L197" s="9" t="s">
        <v>803</v>
      </c>
      <c r="M197" s="9" t="s">
        <v>311</v>
      </c>
      <c r="N197" s="5" t="s">
        <v>140</v>
      </c>
      <c r="O197" s="5" t="s">
        <v>62</v>
      </c>
      <c r="P197" s="5" t="s">
        <v>1259</v>
      </c>
      <c r="Q197" s="193">
        <v>21000</v>
      </c>
      <c r="R197" s="195">
        <v>1</v>
      </c>
      <c r="S197" s="196">
        <v>7670</v>
      </c>
      <c r="T197" s="9"/>
      <c r="U197" s="193">
        <v>1610.7</v>
      </c>
      <c r="V197" s="197">
        <v>1.8799999999999999E-4</v>
      </c>
      <c r="W197" s="197">
        <v>7.06288825675222E-3</v>
      </c>
      <c r="X197" s="197">
        <v>1.4476719623788201E-3</v>
      </c>
    </row>
    <row r="198" spans="1:24">
      <c r="A198" s="5">
        <v>337</v>
      </c>
      <c r="B198" s="5">
        <v>9963</v>
      </c>
      <c r="C198" s="5" t="s">
        <v>1885</v>
      </c>
      <c r="D198" s="5" t="s">
        <v>1886</v>
      </c>
      <c r="E198" s="5" t="s">
        <v>1346</v>
      </c>
      <c r="F198" s="5" t="s">
        <v>1887</v>
      </c>
      <c r="G198" s="5" t="s">
        <v>1888</v>
      </c>
      <c r="H198" s="5" t="s">
        <v>76</v>
      </c>
      <c r="I198" s="5" t="s">
        <v>73</v>
      </c>
      <c r="J198" s="5" t="s">
        <v>53</v>
      </c>
      <c r="K198" s="5" t="s">
        <v>53</v>
      </c>
      <c r="L198" s="9" t="s">
        <v>803</v>
      </c>
      <c r="M198" s="9" t="s">
        <v>311</v>
      </c>
      <c r="N198" s="5" t="s">
        <v>260</v>
      </c>
      <c r="O198" s="5" t="s">
        <v>62</v>
      </c>
      <c r="P198" s="5" t="s">
        <v>1259</v>
      </c>
      <c r="Q198" s="193">
        <v>437110.24</v>
      </c>
      <c r="R198" s="195">
        <v>1</v>
      </c>
      <c r="S198" s="196">
        <v>575</v>
      </c>
      <c r="T198" s="9"/>
      <c r="U198" s="193">
        <v>2513.384</v>
      </c>
      <c r="V198" s="197">
        <v>1.5799999999999999E-4</v>
      </c>
      <c r="W198" s="197">
        <v>1.10211395609128E-2</v>
      </c>
      <c r="X198" s="197">
        <v>2.2589901122312601E-3</v>
      </c>
    </row>
    <row r="199" spans="1:24">
      <c r="A199" s="5">
        <v>337</v>
      </c>
      <c r="B199" s="5">
        <v>9963</v>
      </c>
      <c r="C199" s="5" t="s">
        <v>1687</v>
      </c>
      <c r="D199" s="5" t="s">
        <v>1688</v>
      </c>
      <c r="E199" s="5" t="s">
        <v>1346</v>
      </c>
      <c r="F199" s="5" t="s">
        <v>1889</v>
      </c>
      <c r="G199" s="5" t="s">
        <v>1692</v>
      </c>
      <c r="H199" s="5" t="s">
        <v>76</v>
      </c>
      <c r="I199" s="5" t="s">
        <v>73</v>
      </c>
      <c r="J199" s="5" t="s">
        <v>53</v>
      </c>
      <c r="K199" s="5" t="s">
        <v>53</v>
      </c>
      <c r="L199" s="9" t="s">
        <v>803</v>
      </c>
      <c r="M199" s="9" t="s">
        <v>311</v>
      </c>
      <c r="N199" s="5" t="s">
        <v>633</v>
      </c>
      <c r="O199" s="5" t="s">
        <v>62</v>
      </c>
      <c r="P199" s="5" t="s">
        <v>1259</v>
      </c>
      <c r="Q199" s="193">
        <v>8760</v>
      </c>
      <c r="R199" s="195">
        <v>1</v>
      </c>
      <c r="S199" s="196">
        <v>64490</v>
      </c>
      <c r="T199" s="9"/>
      <c r="U199" s="193">
        <v>5649.3239999999996</v>
      </c>
      <c r="V199" s="197">
        <v>3.5199999999999999E-4</v>
      </c>
      <c r="W199" s="197">
        <v>2.4772176158309098E-2</v>
      </c>
      <c r="X199" s="197">
        <v>5.0775240337702504E-3</v>
      </c>
    </row>
    <row r="200" spans="1:24">
      <c r="A200" s="5">
        <v>337</v>
      </c>
      <c r="B200" s="5">
        <v>9963</v>
      </c>
      <c r="C200" s="5" t="s">
        <v>1890</v>
      </c>
      <c r="D200" s="5" t="s">
        <v>1891</v>
      </c>
      <c r="E200" s="5" t="s">
        <v>1346</v>
      </c>
      <c r="F200" s="5" t="s">
        <v>1892</v>
      </c>
      <c r="G200" s="5" t="s">
        <v>1893</v>
      </c>
      <c r="H200" s="5" t="s">
        <v>76</v>
      </c>
      <c r="I200" s="5" t="s">
        <v>73</v>
      </c>
      <c r="J200" s="5" t="s">
        <v>53</v>
      </c>
      <c r="K200" s="5" t="s">
        <v>53</v>
      </c>
      <c r="L200" s="9" t="s">
        <v>803</v>
      </c>
      <c r="M200" s="9" t="s">
        <v>311</v>
      </c>
      <c r="N200" s="5" t="s">
        <v>256</v>
      </c>
      <c r="O200" s="5" t="s">
        <v>62</v>
      </c>
      <c r="P200" s="5" t="s">
        <v>1259</v>
      </c>
      <c r="Q200" s="193">
        <v>19925</v>
      </c>
      <c r="R200" s="195">
        <v>1</v>
      </c>
      <c r="S200" s="196">
        <v>24370</v>
      </c>
      <c r="T200" s="9"/>
      <c r="U200" s="193">
        <v>4855.7219999999998</v>
      </c>
      <c r="V200" s="197">
        <v>1.9900000000000001E-4</v>
      </c>
      <c r="W200" s="197">
        <v>2.1292248974543699E-2</v>
      </c>
      <c r="X200" s="197">
        <v>4.36424742058855E-3</v>
      </c>
    </row>
    <row r="201" spans="1:24">
      <c r="A201" s="5">
        <v>337</v>
      </c>
      <c r="B201" s="5">
        <v>9963</v>
      </c>
      <c r="C201" s="5" t="s">
        <v>1894</v>
      </c>
      <c r="D201" s="5" t="s">
        <v>1895</v>
      </c>
      <c r="E201" s="5" t="s">
        <v>1346</v>
      </c>
      <c r="F201" s="5" t="s">
        <v>1896</v>
      </c>
      <c r="G201" s="5" t="s">
        <v>1897</v>
      </c>
      <c r="H201" s="5" t="s">
        <v>76</v>
      </c>
      <c r="I201" s="5" t="s">
        <v>73</v>
      </c>
      <c r="J201" s="5" t="s">
        <v>53</v>
      </c>
      <c r="K201" s="5" t="s">
        <v>53</v>
      </c>
      <c r="L201" s="9" t="s">
        <v>803</v>
      </c>
      <c r="M201" s="9" t="s">
        <v>311</v>
      </c>
      <c r="N201" s="5" t="s">
        <v>633</v>
      </c>
      <c r="O201" s="5" t="s">
        <v>62</v>
      </c>
      <c r="P201" s="5" t="s">
        <v>1259</v>
      </c>
      <c r="Q201" s="193">
        <v>69139</v>
      </c>
      <c r="R201" s="195">
        <v>1</v>
      </c>
      <c r="S201" s="196">
        <v>1506</v>
      </c>
      <c r="T201" s="9"/>
      <c r="U201" s="193">
        <v>1041.2329999999999</v>
      </c>
      <c r="V201" s="197">
        <v>9.8900000000000008E-4</v>
      </c>
      <c r="W201" s="197">
        <v>4.5657879987737598E-3</v>
      </c>
      <c r="X201" s="197">
        <v>9.3584423704727701E-4</v>
      </c>
    </row>
    <row r="202" spans="1:24">
      <c r="A202" s="5">
        <v>337</v>
      </c>
      <c r="B202" s="5">
        <v>9963</v>
      </c>
      <c r="C202" s="5" t="s">
        <v>1898</v>
      </c>
      <c r="D202" s="5" t="s">
        <v>1899</v>
      </c>
      <c r="E202" s="5" t="s">
        <v>1346</v>
      </c>
      <c r="F202" s="5" t="s">
        <v>1900</v>
      </c>
      <c r="G202" s="5" t="s">
        <v>1901</v>
      </c>
      <c r="H202" s="5" t="s">
        <v>76</v>
      </c>
      <c r="I202" s="5" t="s">
        <v>73</v>
      </c>
      <c r="J202" s="5" t="s">
        <v>53</v>
      </c>
      <c r="K202" s="5" t="s">
        <v>53</v>
      </c>
      <c r="L202" s="9" t="s">
        <v>803</v>
      </c>
      <c r="M202" s="9" t="s">
        <v>311</v>
      </c>
      <c r="N202" s="5" t="s">
        <v>263</v>
      </c>
      <c r="O202" s="5" t="s">
        <v>62</v>
      </c>
      <c r="P202" s="5" t="s">
        <v>1259</v>
      </c>
      <c r="Q202" s="193">
        <v>9918</v>
      </c>
      <c r="R202" s="195">
        <v>1</v>
      </c>
      <c r="S202" s="196">
        <v>56070</v>
      </c>
      <c r="T202" s="9"/>
      <c r="U202" s="193">
        <v>5561.0230000000001</v>
      </c>
      <c r="V202" s="197">
        <v>1.09E-3</v>
      </c>
      <c r="W202" s="197">
        <v>2.4384976232118799E-2</v>
      </c>
      <c r="X202" s="197">
        <v>4.99816011682806E-3</v>
      </c>
    </row>
    <row r="203" spans="1:24">
      <c r="A203" s="5">
        <v>337</v>
      </c>
      <c r="B203" s="5">
        <v>9963</v>
      </c>
      <c r="C203" s="5" t="s">
        <v>1902</v>
      </c>
      <c r="D203" s="5" t="s">
        <v>1903</v>
      </c>
      <c r="E203" s="5" t="s">
        <v>1346</v>
      </c>
      <c r="F203" s="5" t="s">
        <v>1904</v>
      </c>
      <c r="G203" s="5" t="s">
        <v>1905</v>
      </c>
      <c r="H203" s="5" t="s">
        <v>76</v>
      </c>
      <c r="I203" s="5" t="s">
        <v>73</v>
      </c>
      <c r="J203" s="5" t="s">
        <v>53</v>
      </c>
      <c r="K203" s="5" t="s">
        <v>53</v>
      </c>
      <c r="L203" s="9" t="s">
        <v>803</v>
      </c>
      <c r="M203" s="9" t="s">
        <v>311</v>
      </c>
      <c r="N203" s="5" t="s">
        <v>633</v>
      </c>
      <c r="O203" s="5" t="s">
        <v>62</v>
      </c>
      <c r="P203" s="5" t="s">
        <v>1259</v>
      </c>
      <c r="Q203" s="193">
        <v>42807</v>
      </c>
      <c r="R203" s="195">
        <v>1</v>
      </c>
      <c r="S203" s="196">
        <v>3685</v>
      </c>
      <c r="T203" s="9"/>
      <c r="U203" s="193">
        <v>1577.4380000000001</v>
      </c>
      <c r="V203" s="197">
        <v>1.94E-4</v>
      </c>
      <c r="W203" s="197">
        <v>6.9170348126965202E-3</v>
      </c>
      <c r="X203" s="197">
        <v>1.4177765521868201E-3</v>
      </c>
    </row>
    <row r="204" spans="1:24">
      <c r="A204" s="5">
        <v>337</v>
      </c>
      <c r="B204" s="5">
        <v>9963</v>
      </c>
      <c r="C204" s="5" t="s">
        <v>1906</v>
      </c>
      <c r="D204" s="5" t="s">
        <v>1907</v>
      </c>
      <c r="E204" s="5" t="s">
        <v>1346</v>
      </c>
      <c r="F204" s="5" t="s">
        <v>1908</v>
      </c>
      <c r="G204" s="5" t="s">
        <v>1909</v>
      </c>
      <c r="H204" s="5" t="s">
        <v>76</v>
      </c>
      <c r="I204" s="5" t="s">
        <v>73</v>
      </c>
      <c r="J204" s="5" t="s">
        <v>53</v>
      </c>
      <c r="K204" s="5" t="s">
        <v>53</v>
      </c>
      <c r="L204" s="9" t="s">
        <v>803</v>
      </c>
      <c r="M204" s="9" t="s">
        <v>311</v>
      </c>
      <c r="N204" s="5" t="s">
        <v>629</v>
      </c>
      <c r="O204" s="5" t="s">
        <v>62</v>
      </c>
      <c r="P204" s="5" t="s">
        <v>1259</v>
      </c>
      <c r="Q204" s="193">
        <v>32679</v>
      </c>
      <c r="R204" s="195">
        <v>1</v>
      </c>
      <c r="S204" s="196">
        <v>1532</v>
      </c>
      <c r="T204" s="9"/>
      <c r="U204" s="193">
        <v>500.642</v>
      </c>
      <c r="V204" s="197">
        <v>1.84E-4</v>
      </c>
      <c r="W204" s="197">
        <v>2.19530668668632E-3</v>
      </c>
      <c r="X204" s="197">
        <v>4.4996944926889199E-4</v>
      </c>
    </row>
    <row r="205" spans="1:24">
      <c r="A205" s="5">
        <v>337</v>
      </c>
      <c r="B205" s="5">
        <v>9963</v>
      </c>
      <c r="C205" s="5" t="s">
        <v>1910</v>
      </c>
      <c r="D205" s="5" t="s">
        <v>1911</v>
      </c>
      <c r="E205" s="5" t="s">
        <v>1346</v>
      </c>
      <c r="F205" s="5" t="s">
        <v>1912</v>
      </c>
      <c r="G205" s="5" t="s">
        <v>1913</v>
      </c>
      <c r="H205" s="5" t="s">
        <v>76</v>
      </c>
      <c r="I205" s="5" t="s">
        <v>73</v>
      </c>
      <c r="J205" s="5" t="s">
        <v>53</v>
      </c>
      <c r="K205" s="5" t="s">
        <v>53</v>
      </c>
      <c r="L205" s="9" t="s">
        <v>803</v>
      </c>
      <c r="M205" s="9" t="s">
        <v>311</v>
      </c>
      <c r="N205" s="5" t="s">
        <v>256</v>
      </c>
      <c r="O205" s="5" t="s">
        <v>62</v>
      </c>
      <c r="P205" s="5" t="s">
        <v>1259</v>
      </c>
      <c r="Q205" s="193">
        <v>144880.24</v>
      </c>
      <c r="R205" s="195">
        <v>1</v>
      </c>
      <c r="S205" s="196">
        <v>3356</v>
      </c>
      <c r="T205" s="9"/>
      <c r="U205" s="193">
        <v>4862.1809999999996</v>
      </c>
      <c r="V205" s="197">
        <v>1.17E-4</v>
      </c>
      <c r="W205" s="197">
        <v>2.1320568733312999E-2</v>
      </c>
      <c r="X205" s="197">
        <v>4.3700520884894503E-3</v>
      </c>
    </row>
    <row r="206" spans="1:24">
      <c r="A206" s="5">
        <v>337</v>
      </c>
      <c r="B206" s="5">
        <v>9963</v>
      </c>
      <c r="C206" s="5" t="s">
        <v>1918</v>
      </c>
      <c r="D206" s="5" t="s">
        <v>1919</v>
      </c>
      <c r="E206" s="5" t="s">
        <v>1346</v>
      </c>
      <c r="F206" s="5" t="s">
        <v>1920</v>
      </c>
      <c r="G206" s="5" t="s">
        <v>1921</v>
      </c>
      <c r="H206" s="5" t="s">
        <v>76</v>
      </c>
      <c r="I206" s="5" t="s">
        <v>73</v>
      </c>
      <c r="J206" s="5" t="s">
        <v>53</v>
      </c>
      <c r="K206" s="5" t="s">
        <v>53</v>
      </c>
      <c r="L206" s="9" t="s">
        <v>803</v>
      </c>
      <c r="M206" s="9" t="s">
        <v>311</v>
      </c>
      <c r="N206" s="5" t="s">
        <v>632</v>
      </c>
      <c r="O206" s="5" t="s">
        <v>62</v>
      </c>
      <c r="P206" s="5" t="s">
        <v>1259</v>
      </c>
      <c r="Q206" s="193">
        <v>19400</v>
      </c>
      <c r="R206" s="195">
        <v>1</v>
      </c>
      <c r="S206" s="196">
        <v>10170</v>
      </c>
      <c r="T206" s="9"/>
      <c r="U206" s="193">
        <v>1972.98</v>
      </c>
      <c r="V206" s="197">
        <v>7.7499999999999997E-4</v>
      </c>
      <c r="W206" s="197">
        <v>8.6514790294946204E-3</v>
      </c>
      <c r="X206" s="197">
        <v>1.7732835589086499E-3</v>
      </c>
    </row>
    <row r="207" spans="1:24">
      <c r="A207" s="5">
        <v>337</v>
      </c>
      <c r="B207" s="5">
        <v>9963</v>
      </c>
      <c r="C207" s="5" t="s">
        <v>2200</v>
      </c>
      <c r="D207" s="5" t="s">
        <v>2201</v>
      </c>
      <c r="E207" s="5" t="s">
        <v>1346</v>
      </c>
      <c r="F207" s="5" t="s">
        <v>2202</v>
      </c>
      <c r="G207" s="5" t="s">
        <v>2203</v>
      </c>
      <c r="H207" s="5" t="s">
        <v>76</v>
      </c>
      <c r="I207" s="5" t="s">
        <v>73</v>
      </c>
      <c r="J207" s="5" t="s">
        <v>53</v>
      </c>
      <c r="K207" s="5" t="s">
        <v>53</v>
      </c>
      <c r="L207" s="9" t="s">
        <v>803</v>
      </c>
      <c r="M207" s="9" t="s">
        <v>311</v>
      </c>
      <c r="N207" s="5" t="s">
        <v>140</v>
      </c>
      <c r="O207" s="5" t="s">
        <v>62</v>
      </c>
      <c r="P207" s="5" t="s">
        <v>1259</v>
      </c>
      <c r="Q207" s="193">
        <v>2855</v>
      </c>
      <c r="R207" s="195">
        <v>1</v>
      </c>
      <c r="S207" s="196">
        <v>36740</v>
      </c>
      <c r="T207" s="9"/>
      <c r="U207" s="193">
        <v>1048.9269999999999</v>
      </c>
      <c r="V207" s="197">
        <v>1.37E-4</v>
      </c>
      <c r="W207" s="197">
        <v>4.5995245486374504E-3</v>
      </c>
      <c r="X207" s="197">
        <v>9.4275917829646997E-4</v>
      </c>
    </row>
    <row r="208" spans="1:24">
      <c r="A208" s="5">
        <v>337</v>
      </c>
      <c r="B208" s="5">
        <v>9963</v>
      </c>
      <c r="C208" s="5" t="s">
        <v>1922</v>
      </c>
      <c r="D208" s="5" t="s">
        <v>1923</v>
      </c>
      <c r="E208" s="5" t="s">
        <v>1346</v>
      </c>
      <c r="F208" s="5" t="s">
        <v>1924</v>
      </c>
      <c r="G208" s="5" t="s">
        <v>1925</v>
      </c>
      <c r="H208" s="5" t="s">
        <v>76</v>
      </c>
      <c r="I208" s="5" t="s">
        <v>73</v>
      </c>
      <c r="J208" s="5" t="s">
        <v>53</v>
      </c>
      <c r="K208" s="5" t="s">
        <v>53</v>
      </c>
      <c r="L208" s="9" t="s">
        <v>803</v>
      </c>
      <c r="M208" s="9" t="s">
        <v>311</v>
      </c>
      <c r="N208" s="5" t="s">
        <v>258</v>
      </c>
      <c r="O208" s="5" t="s">
        <v>62</v>
      </c>
      <c r="P208" s="5" t="s">
        <v>1259</v>
      </c>
      <c r="Q208" s="193">
        <v>1582</v>
      </c>
      <c r="R208" s="195">
        <v>1</v>
      </c>
      <c r="S208" s="196">
        <v>48100</v>
      </c>
      <c r="T208" s="9"/>
      <c r="U208" s="193">
        <v>760.94200000000001</v>
      </c>
      <c r="V208" s="197">
        <v>2.5399999999999999E-4</v>
      </c>
      <c r="W208" s="197">
        <v>3.3367159097718699E-3</v>
      </c>
      <c r="X208" s="197">
        <v>6.8392276550348395E-4</v>
      </c>
    </row>
    <row r="209" spans="1:24">
      <c r="A209" s="5">
        <v>337</v>
      </c>
      <c r="B209" s="5">
        <v>9963</v>
      </c>
      <c r="C209" s="5" t="s">
        <v>1926</v>
      </c>
      <c r="D209" s="5" t="s">
        <v>1927</v>
      </c>
      <c r="E209" s="5" t="s">
        <v>1346</v>
      </c>
      <c r="F209" s="5" t="s">
        <v>1928</v>
      </c>
      <c r="G209" s="5" t="s">
        <v>1929</v>
      </c>
      <c r="H209" s="5" t="s">
        <v>76</v>
      </c>
      <c r="I209" s="5" t="s">
        <v>73</v>
      </c>
      <c r="J209" s="5" t="s">
        <v>53</v>
      </c>
      <c r="K209" s="5" t="s">
        <v>53</v>
      </c>
      <c r="L209" s="9" t="s">
        <v>803</v>
      </c>
      <c r="M209" s="9" t="s">
        <v>311</v>
      </c>
      <c r="N209" s="5" t="s">
        <v>257</v>
      </c>
      <c r="O209" s="5" t="s">
        <v>62</v>
      </c>
      <c r="P209" s="5" t="s">
        <v>1259</v>
      </c>
      <c r="Q209" s="193">
        <v>12701</v>
      </c>
      <c r="R209" s="195">
        <v>1</v>
      </c>
      <c r="S209" s="196">
        <v>6510</v>
      </c>
      <c r="T209" s="9"/>
      <c r="U209" s="193">
        <v>826.83500000000004</v>
      </c>
      <c r="V209" s="197">
        <v>1.2E-4</v>
      </c>
      <c r="W209" s="197">
        <v>3.62565587512296E-3</v>
      </c>
      <c r="X209" s="197">
        <v>7.4314645295876596E-4</v>
      </c>
    </row>
    <row r="210" spans="1:24">
      <c r="A210" s="5">
        <v>337</v>
      </c>
      <c r="B210" s="5">
        <v>9963</v>
      </c>
      <c r="C210" s="5" t="s">
        <v>1930</v>
      </c>
      <c r="D210" s="5" t="s">
        <v>1931</v>
      </c>
      <c r="E210" s="5" t="s">
        <v>1346</v>
      </c>
      <c r="F210" s="5" t="s">
        <v>1932</v>
      </c>
      <c r="G210" s="5" t="s">
        <v>1933</v>
      </c>
      <c r="H210" s="5" t="s">
        <v>76</v>
      </c>
      <c r="I210" s="5" t="s">
        <v>73</v>
      </c>
      <c r="J210" s="5" t="s">
        <v>53</v>
      </c>
      <c r="K210" s="5" t="s">
        <v>53</v>
      </c>
      <c r="L210" s="9" t="s">
        <v>803</v>
      </c>
      <c r="M210" s="9" t="s">
        <v>311</v>
      </c>
      <c r="N210" s="5" t="s">
        <v>258</v>
      </c>
      <c r="O210" s="5" t="s">
        <v>62</v>
      </c>
      <c r="P210" s="5" t="s">
        <v>1259</v>
      </c>
      <c r="Q210" s="193">
        <v>300000</v>
      </c>
      <c r="R210" s="195">
        <v>1</v>
      </c>
      <c r="S210" s="196">
        <v>732.6</v>
      </c>
      <c r="T210" s="170">
        <v>35.951999999999998</v>
      </c>
      <c r="U210" s="193">
        <v>2233.752</v>
      </c>
      <c r="V210" s="197">
        <v>3.2669999999999999E-3</v>
      </c>
      <c r="W210" s="197">
        <v>9.7949574810767704E-3</v>
      </c>
      <c r="X210" s="197">
        <v>2.0076610024930401E-3</v>
      </c>
    </row>
    <row r="211" spans="1:24">
      <c r="A211" s="5">
        <v>337</v>
      </c>
      <c r="B211" s="5">
        <v>9963</v>
      </c>
      <c r="C211" s="5" t="s">
        <v>1934</v>
      </c>
      <c r="D211" s="5" t="s">
        <v>1935</v>
      </c>
      <c r="E211" s="5" t="s">
        <v>1346</v>
      </c>
      <c r="F211" s="5" t="s">
        <v>1936</v>
      </c>
      <c r="G211" s="5" t="s">
        <v>1937</v>
      </c>
      <c r="H211" s="5" t="s">
        <v>76</v>
      </c>
      <c r="I211" s="5" t="s">
        <v>73</v>
      </c>
      <c r="J211" s="5" t="s">
        <v>53</v>
      </c>
      <c r="K211" s="5" t="s">
        <v>53</v>
      </c>
      <c r="L211" s="9" t="s">
        <v>803</v>
      </c>
      <c r="M211" s="9" t="s">
        <v>311</v>
      </c>
      <c r="N211" s="5" t="s">
        <v>140</v>
      </c>
      <c r="O211" s="5" t="s">
        <v>62</v>
      </c>
      <c r="P211" s="5" t="s">
        <v>1259</v>
      </c>
      <c r="Q211" s="193">
        <v>186000</v>
      </c>
      <c r="R211" s="195">
        <v>1</v>
      </c>
      <c r="S211" s="196">
        <v>711.9</v>
      </c>
      <c r="T211" s="9"/>
      <c r="U211" s="193">
        <v>1324.134</v>
      </c>
      <c r="V211" s="197">
        <v>2.1310000000000001E-3</v>
      </c>
      <c r="W211" s="197">
        <v>5.80630190536186E-3</v>
      </c>
      <c r="X211" s="197">
        <v>1.19011092458714E-3</v>
      </c>
    </row>
    <row r="212" spans="1:24">
      <c r="A212" s="5">
        <v>337</v>
      </c>
      <c r="B212" s="5">
        <v>9963</v>
      </c>
      <c r="C212" s="5" t="s">
        <v>1938</v>
      </c>
      <c r="D212" s="5" t="s">
        <v>1939</v>
      </c>
      <c r="E212" s="5" t="s">
        <v>1346</v>
      </c>
      <c r="F212" s="5" t="s">
        <v>1940</v>
      </c>
      <c r="G212" s="5" t="s">
        <v>1941</v>
      </c>
      <c r="H212" s="5" t="s">
        <v>76</v>
      </c>
      <c r="I212" s="5" t="s">
        <v>73</v>
      </c>
      <c r="J212" s="5" t="s">
        <v>53</v>
      </c>
      <c r="K212" s="5" t="s">
        <v>53</v>
      </c>
      <c r="L212" s="9" t="s">
        <v>803</v>
      </c>
      <c r="M212" s="9" t="s">
        <v>311</v>
      </c>
      <c r="N212" s="5" t="s">
        <v>269</v>
      </c>
      <c r="O212" s="5" t="s">
        <v>62</v>
      </c>
      <c r="P212" s="5" t="s">
        <v>1259</v>
      </c>
      <c r="Q212" s="193">
        <v>51151</v>
      </c>
      <c r="R212" s="195">
        <v>1</v>
      </c>
      <c r="S212" s="196">
        <v>9745</v>
      </c>
      <c r="T212" s="9"/>
      <c r="U212" s="193">
        <v>4984.665</v>
      </c>
      <c r="V212" s="197">
        <v>1.94E-4</v>
      </c>
      <c r="W212" s="197">
        <v>2.1857659116657002E-2</v>
      </c>
      <c r="X212" s="197">
        <v>4.4801388774864401E-3</v>
      </c>
    </row>
    <row r="213" spans="1:24">
      <c r="A213" s="5">
        <v>337</v>
      </c>
      <c r="B213" s="5">
        <v>9963</v>
      </c>
      <c r="C213" s="5" t="s">
        <v>1942</v>
      </c>
      <c r="D213" s="5" t="s">
        <v>1943</v>
      </c>
      <c r="E213" s="5" t="s">
        <v>1346</v>
      </c>
      <c r="F213" s="5" t="s">
        <v>1944</v>
      </c>
      <c r="G213" s="5" t="s">
        <v>1945</v>
      </c>
      <c r="H213" s="5" t="s">
        <v>76</v>
      </c>
      <c r="I213" s="5" t="s">
        <v>73</v>
      </c>
      <c r="J213" s="5" t="s">
        <v>53</v>
      </c>
      <c r="K213" s="5" t="s">
        <v>53</v>
      </c>
      <c r="L213" s="9" t="s">
        <v>803</v>
      </c>
      <c r="M213" s="9" t="s">
        <v>311</v>
      </c>
      <c r="N213" s="5" t="s">
        <v>269</v>
      </c>
      <c r="O213" s="5" t="s">
        <v>62</v>
      </c>
      <c r="P213" s="5" t="s">
        <v>1259</v>
      </c>
      <c r="Q213" s="193">
        <v>74110</v>
      </c>
      <c r="R213" s="195">
        <v>1</v>
      </c>
      <c r="S213" s="196">
        <v>9432</v>
      </c>
      <c r="T213" s="9"/>
      <c r="U213" s="193">
        <v>6990.0550000000003</v>
      </c>
      <c r="V213" s="197">
        <v>3.2899999999999997E-4</v>
      </c>
      <c r="W213" s="197">
        <v>3.06512564637299E-2</v>
      </c>
      <c r="X213" s="197">
        <v>6.2825522620725497E-3</v>
      </c>
    </row>
    <row r="214" spans="1:24">
      <c r="A214" s="5">
        <v>337</v>
      </c>
      <c r="B214" s="5">
        <v>9963</v>
      </c>
      <c r="C214" s="5" t="s">
        <v>1946</v>
      </c>
      <c r="D214" s="5" t="s">
        <v>1947</v>
      </c>
      <c r="E214" s="5" t="s">
        <v>1346</v>
      </c>
      <c r="F214" s="5" t="s">
        <v>1948</v>
      </c>
      <c r="G214" s="5" t="s">
        <v>1949</v>
      </c>
      <c r="H214" s="5" t="s">
        <v>76</v>
      </c>
      <c r="I214" s="5" t="s">
        <v>73</v>
      </c>
      <c r="J214" s="5" t="s">
        <v>53</v>
      </c>
      <c r="K214" s="5" t="s">
        <v>53</v>
      </c>
      <c r="L214" s="9" t="s">
        <v>803</v>
      </c>
      <c r="M214" s="9" t="s">
        <v>311</v>
      </c>
      <c r="N214" s="5" t="s">
        <v>252</v>
      </c>
      <c r="O214" s="5" t="s">
        <v>62</v>
      </c>
      <c r="P214" s="5" t="s">
        <v>1259</v>
      </c>
      <c r="Q214" s="193">
        <v>11151</v>
      </c>
      <c r="R214" s="195">
        <v>1</v>
      </c>
      <c r="S214" s="196">
        <v>8680</v>
      </c>
      <c r="T214" s="9"/>
      <c r="U214" s="193">
        <v>967.90700000000004</v>
      </c>
      <c r="V214" s="197">
        <v>1.55E-4</v>
      </c>
      <c r="W214" s="197">
        <v>4.2442525432114103E-3</v>
      </c>
      <c r="X214" s="197">
        <v>8.69939490007947E-4</v>
      </c>
    </row>
    <row r="215" spans="1:24">
      <c r="A215" s="5">
        <v>337</v>
      </c>
      <c r="B215" s="5">
        <v>9963</v>
      </c>
      <c r="C215" s="5" t="s">
        <v>2192</v>
      </c>
      <c r="D215" s="5" t="s">
        <v>2193</v>
      </c>
      <c r="E215" s="5" t="s">
        <v>1346</v>
      </c>
      <c r="F215" s="5" t="s">
        <v>2194</v>
      </c>
      <c r="G215" s="5" t="s">
        <v>2195</v>
      </c>
      <c r="H215" s="5" t="s">
        <v>76</v>
      </c>
      <c r="I215" s="5" t="s">
        <v>73</v>
      </c>
      <c r="J215" s="5" t="s">
        <v>53</v>
      </c>
      <c r="K215" s="5" t="s">
        <v>53</v>
      </c>
      <c r="L215" s="9" t="s">
        <v>803</v>
      </c>
      <c r="M215" s="9" t="s">
        <v>311</v>
      </c>
      <c r="N215" s="5" t="s">
        <v>690</v>
      </c>
      <c r="O215" s="5" t="s">
        <v>62</v>
      </c>
      <c r="P215" s="5" t="s">
        <v>1259</v>
      </c>
      <c r="Q215" s="193">
        <v>1150</v>
      </c>
      <c r="R215" s="195">
        <v>1</v>
      </c>
      <c r="S215" s="196">
        <v>112370</v>
      </c>
      <c r="T215" s="9"/>
      <c r="U215" s="193">
        <v>1292.2550000000001</v>
      </c>
      <c r="V215" s="197">
        <v>1.4899999999999999E-4</v>
      </c>
      <c r="W215" s="197">
        <v>5.6665131087287098E-3</v>
      </c>
      <c r="X215" s="197">
        <v>1.16145857809886E-3</v>
      </c>
    </row>
    <row r="216" spans="1:24">
      <c r="A216" s="5">
        <v>337</v>
      </c>
      <c r="B216" s="5">
        <v>9963</v>
      </c>
      <c r="C216" s="5" t="s">
        <v>1954</v>
      </c>
      <c r="D216" s="5" t="s">
        <v>1955</v>
      </c>
      <c r="E216" s="5" t="s">
        <v>1346</v>
      </c>
      <c r="F216" s="5" t="s">
        <v>1956</v>
      </c>
      <c r="G216" s="5" t="s">
        <v>1957</v>
      </c>
      <c r="H216" s="5" t="s">
        <v>76</v>
      </c>
      <c r="I216" s="5" t="s">
        <v>73</v>
      </c>
      <c r="J216" s="5" t="s">
        <v>53</v>
      </c>
      <c r="K216" s="5" t="s">
        <v>53</v>
      </c>
      <c r="L216" s="9" t="s">
        <v>803</v>
      </c>
      <c r="M216" s="9" t="s">
        <v>311</v>
      </c>
      <c r="N216" s="5" t="s">
        <v>252</v>
      </c>
      <c r="O216" s="5" t="s">
        <v>62</v>
      </c>
      <c r="P216" s="5" t="s">
        <v>1259</v>
      </c>
      <c r="Q216" s="193">
        <v>3300</v>
      </c>
      <c r="R216" s="195">
        <v>1</v>
      </c>
      <c r="S216" s="196">
        <v>28610</v>
      </c>
      <c r="T216" s="9"/>
      <c r="U216" s="193">
        <v>944.13</v>
      </c>
      <c r="V216" s="197">
        <v>1.44E-4</v>
      </c>
      <c r="W216" s="197">
        <v>4.1399917364173802E-3</v>
      </c>
      <c r="X216" s="197">
        <v>8.4856927412970296E-4</v>
      </c>
    </row>
    <row r="217" spans="1:24">
      <c r="A217" s="5">
        <v>337</v>
      </c>
      <c r="B217" s="5">
        <v>9963</v>
      </c>
      <c r="C217" s="5" t="s">
        <v>1958</v>
      </c>
      <c r="D217" s="5" t="s">
        <v>1959</v>
      </c>
      <c r="E217" s="5" t="s">
        <v>1346</v>
      </c>
      <c r="F217" s="5" t="s">
        <v>1960</v>
      </c>
      <c r="G217" s="5" t="s">
        <v>1961</v>
      </c>
      <c r="H217" s="5" t="s">
        <v>76</v>
      </c>
      <c r="I217" s="5" t="s">
        <v>73</v>
      </c>
      <c r="J217" s="5" t="s">
        <v>53</v>
      </c>
      <c r="K217" s="5" t="s">
        <v>53</v>
      </c>
      <c r="L217" s="9" t="s">
        <v>803</v>
      </c>
      <c r="M217" s="9" t="s">
        <v>311</v>
      </c>
      <c r="N217" s="5" t="s">
        <v>263</v>
      </c>
      <c r="O217" s="5" t="s">
        <v>62</v>
      </c>
      <c r="P217" s="5" t="s">
        <v>1259</v>
      </c>
      <c r="Q217" s="193">
        <v>44598</v>
      </c>
      <c r="R217" s="195">
        <v>1</v>
      </c>
      <c r="S217" s="196">
        <v>1866</v>
      </c>
      <c r="T217" s="170">
        <v>18.256</v>
      </c>
      <c r="U217" s="193">
        <v>850.45500000000004</v>
      </c>
      <c r="V217" s="197">
        <v>1.212E-3</v>
      </c>
      <c r="W217" s="197">
        <v>3.7292272752666301E-3</v>
      </c>
      <c r="X217" s="197">
        <v>7.6437536196054397E-4</v>
      </c>
    </row>
    <row r="218" spans="1:24">
      <c r="A218" s="5">
        <v>337</v>
      </c>
      <c r="B218" s="5">
        <v>9963</v>
      </c>
      <c r="C218" s="5" t="s">
        <v>2204</v>
      </c>
      <c r="D218" s="5" t="s">
        <v>2205</v>
      </c>
      <c r="E218" s="5" t="s">
        <v>1346</v>
      </c>
      <c r="F218" s="5" t="s">
        <v>2206</v>
      </c>
      <c r="G218" s="5" t="s">
        <v>2207</v>
      </c>
      <c r="H218" s="5" t="s">
        <v>76</v>
      </c>
      <c r="I218" s="5" t="s">
        <v>73</v>
      </c>
      <c r="J218" s="5" t="s">
        <v>53</v>
      </c>
      <c r="K218" s="5" t="s">
        <v>53</v>
      </c>
      <c r="L218" s="9" t="s">
        <v>803</v>
      </c>
      <c r="M218" s="9" t="s">
        <v>311</v>
      </c>
      <c r="N218" s="5" t="s">
        <v>102</v>
      </c>
      <c r="O218" s="5" t="s">
        <v>62</v>
      </c>
      <c r="P218" s="5" t="s">
        <v>1259</v>
      </c>
      <c r="Q218" s="193">
        <v>6497.5</v>
      </c>
      <c r="R218" s="195">
        <v>1</v>
      </c>
      <c r="S218" s="196">
        <v>0</v>
      </c>
      <c r="T218" s="9"/>
      <c r="U218" s="193">
        <v>0</v>
      </c>
      <c r="V218" s="197">
        <v>5.4100000000000003E-4</v>
      </c>
      <c r="W218" s="197">
        <v>2.8491411465976E-11</v>
      </c>
      <c r="X218" s="197">
        <v>5.8398513537942298E-12</v>
      </c>
    </row>
    <row r="219" spans="1:24">
      <c r="A219" s="5">
        <v>337</v>
      </c>
      <c r="B219" s="5">
        <v>9963</v>
      </c>
      <c r="C219" s="5" t="s">
        <v>1962</v>
      </c>
      <c r="D219" s="5" t="s">
        <v>1963</v>
      </c>
      <c r="E219" s="5" t="s">
        <v>1346</v>
      </c>
      <c r="F219" s="5" t="s">
        <v>1964</v>
      </c>
      <c r="G219" s="5" t="s">
        <v>1965</v>
      </c>
      <c r="H219" s="5" t="s">
        <v>76</v>
      </c>
      <c r="I219" s="5" t="s">
        <v>73</v>
      </c>
      <c r="J219" s="5" t="s">
        <v>53</v>
      </c>
      <c r="K219" s="5" t="s">
        <v>317</v>
      </c>
      <c r="L219" s="9" t="s">
        <v>803</v>
      </c>
      <c r="M219" s="9" t="s">
        <v>311</v>
      </c>
      <c r="N219" s="5" t="s">
        <v>254</v>
      </c>
      <c r="O219" s="5" t="s">
        <v>62</v>
      </c>
      <c r="P219" s="5" t="s">
        <v>1259</v>
      </c>
      <c r="Q219" s="193">
        <v>14959</v>
      </c>
      <c r="R219" s="195">
        <v>1</v>
      </c>
      <c r="S219" s="196">
        <v>14620</v>
      </c>
      <c r="T219" s="9"/>
      <c r="U219" s="193">
        <v>2187.0059999999999</v>
      </c>
      <c r="V219" s="197">
        <v>1.34E-4</v>
      </c>
      <c r="W219" s="197">
        <v>9.5899780109697606E-3</v>
      </c>
      <c r="X219" s="197">
        <v>1.9656465997515702E-3</v>
      </c>
    </row>
    <row r="220" spans="1:24">
      <c r="A220" s="5">
        <v>337</v>
      </c>
      <c r="B220" s="5">
        <v>9963</v>
      </c>
      <c r="C220" s="5" t="s">
        <v>1966</v>
      </c>
      <c r="D220" s="5" t="s">
        <v>1967</v>
      </c>
      <c r="E220" s="5" t="s">
        <v>1346</v>
      </c>
      <c r="F220" s="5" t="s">
        <v>1968</v>
      </c>
      <c r="G220" s="5" t="s">
        <v>1969</v>
      </c>
      <c r="H220" s="5" t="s">
        <v>76</v>
      </c>
      <c r="I220" s="5" t="s">
        <v>73</v>
      </c>
      <c r="J220" s="5" t="s">
        <v>53</v>
      </c>
      <c r="K220" s="5" t="s">
        <v>314</v>
      </c>
      <c r="L220" s="9" t="s">
        <v>803</v>
      </c>
      <c r="M220" s="9" t="s">
        <v>311</v>
      </c>
      <c r="N220" s="5" t="s">
        <v>85</v>
      </c>
      <c r="O220" s="5" t="s">
        <v>62</v>
      </c>
      <c r="P220" s="5" t="s">
        <v>1259</v>
      </c>
      <c r="Q220" s="193">
        <v>185175</v>
      </c>
      <c r="R220" s="195">
        <v>1</v>
      </c>
      <c r="S220" s="196">
        <v>5699</v>
      </c>
      <c r="T220" s="9"/>
      <c r="U220" s="193">
        <v>10553.123</v>
      </c>
      <c r="V220" s="197">
        <v>1.4799999999999999E-4</v>
      </c>
      <c r="W220" s="197">
        <v>4.6275240749043198E-2</v>
      </c>
      <c r="X220" s="197">
        <v>9.4849820851511894E-3</v>
      </c>
    </row>
    <row r="221" spans="1:24">
      <c r="A221" s="5">
        <v>337</v>
      </c>
      <c r="B221" s="5">
        <v>9963</v>
      </c>
      <c r="C221" s="5" t="s">
        <v>1970</v>
      </c>
      <c r="D221" s="5" t="s">
        <v>1971</v>
      </c>
      <c r="E221" s="5" t="s">
        <v>1346</v>
      </c>
      <c r="F221" s="5" t="s">
        <v>1972</v>
      </c>
      <c r="G221" s="5" t="s">
        <v>1973</v>
      </c>
      <c r="H221" s="5" t="s">
        <v>76</v>
      </c>
      <c r="I221" s="5" t="s">
        <v>73</v>
      </c>
      <c r="J221" s="5" t="s">
        <v>53</v>
      </c>
      <c r="K221" s="5" t="s">
        <v>53</v>
      </c>
      <c r="L221" s="9" t="s">
        <v>803</v>
      </c>
      <c r="M221" s="9" t="s">
        <v>311</v>
      </c>
      <c r="N221" s="5" t="s">
        <v>632</v>
      </c>
      <c r="O221" s="5" t="s">
        <v>62</v>
      </c>
      <c r="P221" s="5" t="s">
        <v>1259</v>
      </c>
      <c r="Q221" s="193">
        <v>174505</v>
      </c>
      <c r="R221" s="195">
        <v>1</v>
      </c>
      <c r="S221" s="196">
        <v>810</v>
      </c>
      <c r="T221" s="9"/>
      <c r="U221" s="193">
        <v>1413.491</v>
      </c>
      <c r="V221" s="197">
        <v>1.604E-3</v>
      </c>
      <c r="W221" s="197">
        <v>6.1981284245860996E-3</v>
      </c>
      <c r="X221" s="197">
        <v>1.27042314890347E-3</v>
      </c>
    </row>
    <row r="222" spans="1:24">
      <c r="A222" s="5">
        <v>337</v>
      </c>
      <c r="B222" s="5">
        <v>9963</v>
      </c>
      <c r="C222" s="5" t="s">
        <v>1974</v>
      </c>
      <c r="D222" s="5" t="s">
        <v>1975</v>
      </c>
      <c r="E222" s="5" t="s">
        <v>431</v>
      </c>
      <c r="F222" s="5" t="s">
        <v>1976</v>
      </c>
      <c r="G222" s="5" t="s">
        <v>1977</v>
      </c>
      <c r="H222" s="5" t="s">
        <v>76</v>
      </c>
      <c r="I222" s="5" t="s">
        <v>73</v>
      </c>
      <c r="J222" s="5" t="s">
        <v>53</v>
      </c>
      <c r="K222" s="5" t="s">
        <v>53</v>
      </c>
      <c r="L222" s="9" t="s">
        <v>803</v>
      </c>
      <c r="M222" s="9" t="s">
        <v>311</v>
      </c>
      <c r="N222" s="5" t="s">
        <v>267</v>
      </c>
      <c r="O222" s="5" t="s">
        <v>62</v>
      </c>
      <c r="P222" s="5" t="s">
        <v>1259</v>
      </c>
      <c r="Q222" s="193">
        <v>775519</v>
      </c>
      <c r="R222" s="195">
        <v>1</v>
      </c>
      <c r="S222" s="196">
        <v>229.9</v>
      </c>
      <c r="T222" s="9"/>
      <c r="U222" s="193">
        <v>1782.9179999999999</v>
      </c>
      <c r="V222" s="197">
        <v>2.9799999999999998E-4</v>
      </c>
      <c r="W222" s="197">
        <v>7.8180616398677103E-3</v>
      </c>
      <c r="X222" s="197">
        <v>1.6024589692985301E-3</v>
      </c>
    </row>
    <row r="223" spans="1:24">
      <c r="A223" s="5">
        <v>337</v>
      </c>
      <c r="B223" s="5">
        <v>9963</v>
      </c>
      <c r="C223" s="5" t="s">
        <v>1982</v>
      </c>
      <c r="D223" s="5" t="s">
        <v>1983</v>
      </c>
      <c r="E223" s="5" t="s">
        <v>1346</v>
      </c>
      <c r="F223" s="5" t="s">
        <v>1984</v>
      </c>
      <c r="G223" s="5" t="s">
        <v>1985</v>
      </c>
      <c r="H223" s="5" t="s">
        <v>76</v>
      </c>
      <c r="I223" s="5" t="s">
        <v>73</v>
      </c>
      <c r="J223" s="5" t="s">
        <v>53</v>
      </c>
      <c r="K223" s="5" t="s">
        <v>53</v>
      </c>
      <c r="L223" s="9" t="s">
        <v>803</v>
      </c>
      <c r="M223" s="9" t="s">
        <v>311</v>
      </c>
      <c r="N223" s="5" t="s">
        <v>269</v>
      </c>
      <c r="O223" s="5" t="s">
        <v>62</v>
      </c>
      <c r="P223" s="5" t="s">
        <v>1259</v>
      </c>
      <c r="Q223" s="193">
        <v>34632</v>
      </c>
      <c r="R223" s="195">
        <v>1</v>
      </c>
      <c r="S223" s="196">
        <v>14880</v>
      </c>
      <c r="T223" s="9"/>
      <c r="U223" s="193">
        <v>5153.2420000000002</v>
      </c>
      <c r="V223" s="197">
        <v>4.35E-4</v>
      </c>
      <c r="W223" s="197">
        <v>2.2596864456973401E-2</v>
      </c>
      <c r="X223" s="197">
        <v>4.6316529333110803E-3</v>
      </c>
    </row>
    <row r="224" spans="1:24">
      <c r="A224" s="5">
        <v>337</v>
      </c>
      <c r="B224" s="5">
        <v>9963</v>
      </c>
      <c r="C224" s="5" t="s">
        <v>1663</v>
      </c>
      <c r="D224" s="5" t="s">
        <v>1664</v>
      </c>
      <c r="E224" s="5" t="s">
        <v>1346</v>
      </c>
      <c r="F224" s="5" t="s">
        <v>1986</v>
      </c>
      <c r="G224" s="5" t="s">
        <v>1987</v>
      </c>
      <c r="H224" s="5" t="s">
        <v>76</v>
      </c>
      <c r="I224" s="5" t="s">
        <v>73</v>
      </c>
      <c r="J224" s="5" t="s">
        <v>53</v>
      </c>
      <c r="K224" s="5" t="s">
        <v>53</v>
      </c>
      <c r="L224" s="9" t="s">
        <v>803</v>
      </c>
      <c r="M224" s="9" t="s">
        <v>311</v>
      </c>
      <c r="N224" s="5" t="s">
        <v>256</v>
      </c>
      <c r="O224" s="5" t="s">
        <v>62</v>
      </c>
      <c r="P224" s="5" t="s">
        <v>1259</v>
      </c>
      <c r="Q224" s="193">
        <v>215477.11</v>
      </c>
      <c r="R224" s="195">
        <v>1</v>
      </c>
      <c r="S224" s="196">
        <v>6262</v>
      </c>
      <c r="T224" s="9"/>
      <c r="U224" s="193">
        <v>13493.177</v>
      </c>
      <c r="V224" s="197">
        <v>1.3300000000000001E-4</v>
      </c>
      <c r="W224" s="197">
        <v>5.91673177833223E-2</v>
      </c>
      <c r="X224" s="197">
        <v>1.2127456067591901E-2</v>
      </c>
    </row>
    <row r="225" spans="1:24">
      <c r="A225" s="5">
        <v>337</v>
      </c>
      <c r="B225" s="5">
        <v>9963</v>
      </c>
      <c r="C225" s="5" t="s">
        <v>1988</v>
      </c>
      <c r="D225" s="5" t="s">
        <v>1989</v>
      </c>
      <c r="E225" s="5" t="s">
        <v>1346</v>
      </c>
      <c r="F225" s="5" t="s">
        <v>1990</v>
      </c>
      <c r="G225" s="5" t="s">
        <v>1991</v>
      </c>
      <c r="H225" s="5" t="s">
        <v>76</v>
      </c>
      <c r="I225" s="5" t="s">
        <v>73</v>
      </c>
      <c r="J225" s="5" t="s">
        <v>53</v>
      </c>
      <c r="K225" s="5" t="s">
        <v>53</v>
      </c>
      <c r="L225" s="9" t="s">
        <v>803</v>
      </c>
      <c r="M225" s="9" t="s">
        <v>311</v>
      </c>
      <c r="N225" s="5" t="s">
        <v>632</v>
      </c>
      <c r="O225" s="5" t="s">
        <v>62</v>
      </c>
      <c r="P225" s="5" t="s">
        <v>1259</v>
      </c>
      <c r="Q225" s="193">
        <v>6710</v>
      </c>
      <c r="R225" s="195">
        <v>1</v>
      </c>
      <c r="S225" s="196">
        <v>30850</v>
      </c>
      <c r="T225" s="9"/>
      <c r="U225" s="193">
        <v>2070.0349999999999</v>
      </c>
      <c r="V225" s="197">
        <v>4.6299999999999998E-4</v>
      </c>
      <c r="W225" s="197">
        <v>9.07706332188867E-3</v>
      </c>
      <c r="X225" s="197">
        <v>1.86051507459045E-3</v>
      </c>
    </row>
    <row r="226" spans="1:24">
      <c r="A226" s="5">
        <v>337</v>
      </c>
      <c r="B226" s="5">
        <v>9963</v>
      </c>
      <c r="C226" s="5" t="s">
        <v>1992</v>
      </c>
      <c r="D226" s="5" t="s">
        <v>1993</v>
      </c>
      <c r="E226" s="5" t="s">
        <v>1346</v>
      </c>
      <c r="F226" s="5" t="s">
        <v>1994</v>
      </c>
      <c r="G226" s="5" t="s">
        <v>1995</v>
      </c>
      <c r="H226" s="5" t="s">
        <v>76</v>
      </c>
      <c r="I226" s="5" t="s">
        <v>73</v>
      </c>
      <c r="J226" s="5" t="s">
        <v>53</v>
      </c>
      <c r="K226" s="5" t="s">
        <v>53</v>
      </c>
      <c r="L226" s="9" t="s">
        <v>803</v>
      </c>
      <c r="M226" s="9" t="s">
        <v>311</v>
      </c>
      <c r="N226" s="5" t="s">
        <v>633</v>
      </c>
      <c r="O226" s="5" t="s">
        <v>62</v>
      </c>
      <c r="P226" s="5" t="s">
        <v>1259</v>
      </c>
      <c r="Q226" s="193">
        <v>101430.85</v>
      </c>
      <c r="R226" s="195">
        <v>1</v>
      </c>
      <c r="S226" s="196">
        <v>1262</v>
      </c>
      <c r="T226" s="9"/>
      <c r="U226" s="193">
        <v>1280.057</v>
      </c>
      <c r="V226" s="197">
        <v>1.3899999999999999E-4</v>
      </c>
      <c r="W226" s="197">
        <v>5.6130265492257596E-3</v>
      </c>
      <c r="X226" s="197">
        <v>1.15049550042557E-3</v>
      </c>
    </row>
    <row r="227" spans="1:24">
      <c r="A227" s="5">
        <v>337</v>
      </c>
      <c r="B227" s="5">
        <v>9963</v>
      </c>
      <c r="C227" s="5" t="s">
        <v>1996</v>
      </c>
      <c r="D227" s="5" t="s">
        <v>1997</v>
      </c>
      <c r="E227" s="5" t="s">
        <v>1346</v>
      </c>
      <c r="F227" s="5" t="s">
        <v>1998</v>
      </c>
      <c r="G227" s="5" t="s">
        <v>1999</v>
      </c>
      <c r="H227" s="5" t="s">
        <v>76</v>
      </c>
      <c r="I227" s="5" t="s">
        <v>73</v>
      </c>
      <c r="J227" s="5" t="s">
        <v>53</v>
      </c>
      <c r="K227" s="5" t="s">
        <v>53</v>
      </c>
      <c r="L227" s="9" t="s">
        <v>803</v>
      </c>
      <c r="M227" s="9" t="s">
        <v>311</v>
      </c>
      <c r="N227" s="5" t="s">
        <v>256</v>
      </c>
      <c r="O227" s="5" t="s">
        <v>62</v>
      </c>
      <c r="P227" s="5" t="s">
        <v>1259</v>
      </c>
      <c r="Q227" s="193">
        <v>35798.65</v>
      </c>
      <c r="R227" s="195">
        <v>1</v>
      </c>
      <c r="S227" s="196">
        <v>21950</v>
      </c>
      <c r="T227" s="9"/>
      <c r="U227" s="193">
        <v>7857.8040000000001</v>
      </c>
      <c r="V227" s="197">
        <v>1.3799999999999999E-4</v>
      </c>
      <c r="W227" s="197">
        <v>3.4456316694618398E-2</v>
      </c>
      <c r="X227" s="197">
        <v>7.0624710164367797E-3</v>
      </c>
    </row>
    <row r="228" spans="1:24">
      <c r="A228" s="5">
        <v>337</v>
      </c>
      <c r="B228" s="5">
        <v>9963</v>
      </c>
      <c r="C228" s="5" t="s">
        <v>2000</v>
      </c>
      <c r="D228" s="5" t="s">
        <v>2001</v>
      </c>
      <c r="E228" s="5" t="s">
        <v>1346</v>
      </c>
      <c r="F228" s="5" t="s">
        <v>2002</v>
      </c>
      <c r="G228" s="5" t="s">
        <v>2003</v>
      </c>
      <c r="H228" s="5" t="s">
        <v>76</v>
      </c>
      <c r="I228" s="5" t="s">
        <v>73</v>
      </c>
      <c r="J228" s="5" t="s">
        <v>53</v>
      </c>
      <c r="K228" s="5" t="s">
        <v>53</v>
      </c>
      <c r="L228" s="9" t="s">
        <v>803</v>
      </c>
      <c r="M228" s="9" t="s">
        <v>311</v>
      </c>
      <c r="N228" s="5" t="s">
        <v>252</v>
      </c>
      <c r="O228" s="5" t="s">
        <v>62</v>
      </c>
      <c r="P228" s="5" t="s">
        <v>1259</v>
      </c>
      <c r="Q228" s="193">
        <v>14040</v>
      </c>
      <c r="R228" s="195">
        <v>1</v>
      </c>
      <c r="S228" s="196">
        <v>11720</v>
      </c>
      <c r="T228" s="9"/>
      <c r="U228" s="193">
        <v>1645.4880000000001</v>
      </c>
      <c r="V228" s="197">
        <v>2.1800000000000001E-4</v>
      </c>
      <c r="W228" s="197">
        <v>7.21543296195859E-3</v>
      </c>
      <c r="X228" s="197">
        <v>1.47893887255901E-3</v>
      </c>
    </row>
    <row r="229" spans="1:24">
      <c r="A229" s="5">
        <v>337</v>
      </c>
      <c r="B229" s="5">
        <v>9963</v>
      </c>
      <c r="C229" s="5" t="s">
        <v>2004</v>
      </c>
      <c r="D229" s="5" t="s">
        <v>2005</v>
      </c>
      <c r="E229" s="5" t="s">
        <v>1346</v>
      </c>
      <c r="F229" s="5" t="s">
        <v>2006</v>
      </c>
      <c r="G229" s="5" t="s">
        <v>2007</v>
      </c>
      <c r="H229" s="5" t="s">
        <v>76</v>
      </c>
      <c r="I229" s="5" t="s">
        <v>73</v>
      </c>
      <c r="J229" s="5" t="s">
        <v>53</v>
      </c>
      <c r="K229" s="5" t="s">
        <v>53</v>
      </c>
      <c r="L229" s="9" t="s">
        <v>803</v>
      </c>
      <c r="M229" s="9" t="s">
        <v>311</v>
      </c>
      <c r="N229" s="5" t="s">
        <v>633</v>
      </c>
      <c r="O229" s="5" t="s">
        <v>62</v>
      </c>
      <c r="P229" s="5" t="s">
        <v>1259</v>
      </c>
      <c r="Q229" s="193">
        <v>4544</v>
      </c>
      <c r="R229" s="195">
        <v>1</v>
      </c>
      <c r="S229" s="196">
        <v>38400</v>
      </c>
      <c r="T229" s="9"/>
      <c r="U229" s="193">
        <v>1744.896</v>
      </c>
      <c r="V229" s="197">
        <v>9.5000000000000005E-5</v>
      </c>
      <c r="W229" s="197">
        <v>7.65133511371076E-3</v>
      </c>
      <c r="X229" s="197">
        <v>1.56828522783072E-3</v>
      </c>
    </row>
    <row r="230" spans="1:24">
      <c r="A230" s="5">
        <v>337</v>
      </c>
      <c r="B230" s="5">
        <v>9963</v>
      </c>
      <c r="C230" s="5" t="s">
        <v>2008</v>
      </c>
      <c r="D230" s="5" t="s">
        <v>2009</v>
      </c>
      <c r="E230" s="5" t="s">
        <v>1346</v>
      </c>
      <c r="F230" s="5" t="s">
        <v>2010</v>
      </c>
      <c r="G230" s="5" t="s">
        <v>2011</v>
      </c>
      <c r="H230" s="5" t="s">
        <v>76</v>
      </c>
      <c r="I230" s="5" t="s">
        <v>73</v>
      </c>
      <c r="J230" s="5" t="s">
        <v>53</v>
      </c>
      <c r="K230" s="5" t="s">
        <v>53</v>
      </c>
      <c r="L230" s="9" t="s">
        <v>803</v>
      </c>
      <c r="M230" s="9" t="s">
        <v>311</v>
      </c>
      <c r="N230" s="5" t="s">
        <v>269</v>
      </c>
      <c r="O230" s="5" t="s">
        <v>62</v>
      </c>
      <c r="P230" s="5" t="s">
        <v>1259</v>
      </c>
      <c r="Q230" s="193">
        <v>9146</v>
      </c>
      <c r="R230" s="195">
        <v>1</v>
      </c>
      <c r="S230" s="196">
        <v>26530</v>
      </c>
      <c r="T230" s="9"/>
      <c r="U230" s="193">
        <v>2426.4340000000002</v>
      </c>
      <c r="V230" s="197">
        <v>1.45E-4</v>
      </c>
      <c r="W230" s="197">
        <v>1.06398651467105E-2</v>
      </c>
      <c r="X230" s="197">
        <v>2.1808407405651499E-3</v>
      </c>
    </row>
    <row r="231" spans="1:24">
      <c r="A231" s="5">
        <v>337</v>
      </c>
      <c r="B231" s="5">
        <v>9963</v>
      </c>
      <c r="C231" s="5" t="s">
        <v>2016</v>
      </c>
      <c r="D231" s="5" t="s">
        <v>2017</v>
      </c>
      <c r="E231" s="5" t="s">
        <v>431</v>
      </c>
      <c r="F231" s="5" t="s">
        <v>2018</v>
      </c>
      <c r="G231" s="5" t="s">
        <v>2019</v>
      </c>
      <c r="H231" s="5" t="s">
        <v>76</v>
      </c>
      <c r="I231" s="5" t="s">
        <v>73</v>
      </c>
      <c r="J231" s="5" t="s">
        <v>53</v>
      </c>
      <c r="K231" s="5" t="s">
        <v>314</v>
      </c>
      <c r="L231" s="9" t="s">
        <v>803</v>
      </c>
      <c r="M231" s="9" t="s">
        <v>311</v>
      </c>
      <c r="N231" s="5" t="s">
        <v>267</v>
      </c>
      <c r="O231" s="5" t="s">
        <v>62</v>
      </c>
      <c r="P231" s="5" t="s">
        <v>1259</v>
      </c>
      <c r="Q231" s="193">
        <v>46384</v>
      </c>
      <c r="R231" s="195">
        <v>1</v>
      </c>
      <c r="S231" s="196">
        <v>9900</v>
      </c>
      <c r="T231" s="9"/>
      <c r="U231" s="193">
        <v>4592.0159999999996</v>
      </c>
      <c r="V231" s="197">
        <v>4.4700000000000002E-4</v>
      </c>
      <c r="W231" s="197">
        <v>2.0135901087240501E-2</v>
      </c>
      <c r="X231" s="197">
        <v>4.1272321437852604E-3</v>
      </c>
    </row>
    <row r="232" spans="1:24">
      <c r="A232" s="5">
        <v>337</v>
      </c>
      <c r="B232" s="5">
        <v>9963</v>
      </c>
      <c r="C232" s="5" t="s">
        <v>2020</v>
      </c>
      <c r="D232" s="5" t="s">
        <v>2021</v>
      </c>
      <c r="E232" s="5" t="s">
        <v>1346</v>
      </c>
      <c r="F232" s="5" t="s">
        <v>2022</v>
      </c>
      <c r="G232" s="5" t="s">
        <v>2023</v>
      </c>
      <c r="H232" s="5" t="s">
        <v>76</v>
      </c>
      <c r="I232" s="5" t="s">
        <v>73</v>
      </c>
      <c r="J232" s="5" t="s">
        <v>53</v>
      </c>
      <c r="K232" s="5" t="s">
        <v>317</v>
      </c>
      <c r="L232" s="9" t="s">
        <v>803</v>
      </c>
      <c r="M232" s="9" t="s">
        <v>311</v>
      </c>
      <c r="N232" s="5" t="s">
        <v>254</v>
      </c>
      <c r="O232" s="5" t="s">
        <v>62</v>
      </c>
      <c r="P232" s="5" t="s">
        <v>1259</v>
      </c>
      <c r="Q232" s="193">
        <v>8711</v>
      </c>
      <c r="R232" s="195">
        <v>1</v>
      </c>
      <c r="S232" s="196">
        <v>95280</v>
      </c>
      <c r="T232" s="9"/>
      <c r="U232" s="193">
        <v>8299.8410000000003</v>
      </c>
      <c r="V232" s="197">
        <v>2.9700000000000001E-4</v>
      </c>
      <c r="W232" s="197">
        <v>3.6394640913412102E-2</v>
      </c>
      <c r="X232" s="197">
        <v>7.45976706920455E-3</v>
      </c>
    </row>
    <row r="233" spans="1:24">
      <c r="A233" s="5">
        <v>337</v>
      </c>
      <c r="B233" s="5">
        <v>9963</v>
      </c>
      <c r="C233" s="5" t="s">
        <v>2024</v>
      </c>
      <c r="D233" s="5" t="s">
        <v>2025</v>
      </c>
      <c r="E233" s="5" t="s">
        <v>1346</v>
      </c>
      <c r="F233" s="5" t="s">
        <v>2026</v>
      </c>
      <c r="G233" s="5" t="s">
        <v>2027</v>
      </c>
      <c r="H233" s="5" t="s">
        <v>76</v>
      </c>
      <c r="I233" s="5" t="s">
        <v>73</v>
      </c>
      <c r="J233" s="5" t="s">
        <v>53</v>
      </c>
      <c r="K233" s="5" t="s">
        <v>53</v>
      </c>
      <c r="L233" s="9" t="s">
        <v>803</v>
      </c>
      <c r="M233" s="9" t="s">
        <v>311</v>
      </c>
      <c r="N233" s="5" t="s">
        <v>629</v>
      </c>
      <c r="O233" s="5" t="s">
        <v>62</v>
      </c>
      <c r="P233" s="5" t="s">
        <v>1259</v>
      </c>
      <c r="Q233" s="193">
        <v>7839</v>
      </c>
      <c r="R233" s="195">
        <v>1</v>
      </c>
      <c r="S233" s="196">
        <v>9339</v>
      </c>
      <c r="T233" s="9"/>
      <c r="U233" s="193">
        <v>732.08399999999995</v>
      </c>
      <c r="V233" s="197">
        <v>2.2100000000000001E-4</v>
      </c>
      <c r="W233" s="197">
        <v>3.2101750603853799E-3</v>
      </c>
      <c r="X233" s="197">
        <v>6.5798583529971203E-4</v>
      </c>
    </row>
    <row r="234" spans="1:24">
      <c r="A234" s="5">
        <v>337</v>
      </c>
      <c r="B234" s="5">
        <v>9963</v>
      </c>
      <c r="C234" s="5" t="s">
        <v>2028</v>
      </c>
      <c r="D234" s="5" t="s">
        <v>2029</v>
      </c>
      <c r="E234" s="5" t="s">
        <v>431</v>
      </c>
      <c r="F234" s="5" t="s">
        <v>2030</v>
      </c>
      <c r="G234" s="5" t="s">
        <v>2031</v>
      </c>
      <c r="H234" s="5" t="s">
        <v>76</v>
      </c>
      <c r="I234" s="5" t="s">
        <v>73</v>
      </c>
      <c r="J234" s="5" t="s">
        <v>53</v>
      </c>
      <c r="K234" s="5" t="s">
        <v>53</v>
      </c>
      <c r="L234" s="9" t="s">
        <v>803</v>
      </c>
      <c r="M234" s="9" t="s">
        <v>311</v>
      </c>
      <c r="N234" s="5" t="s">
        <v>267</v>
      </c>
      <c r="O234" s="5" t="s">
        <v>62</v>
      </c>
      <c r="P234" s="5" t="s">
        <v>1259</v>
      </c>
      <c r="Q234" s="193">
        <v>250595</v>
      </c>
      <c r="R234" s="195">
        <v>1</v>
      </c>
      <c r="S234" s="196">
        <v>1656</v>
      </c>
      <c r="T234" s="9"/>
      <c r="U234" s="193">
        <v>4149.8530000000001</v>
      </c>
      <c r="V234" s="197">
        <v>2.13E-4</v>
      </c>
      <c r="W234" s="197">
        <v>1.81970257860096E-2</v>
      </c>
      <c r="X234" s="197">
        <v>3.72982313629354E-3</v>
      </c>
    </row>
    <row r="235" spans="1:24">
      <c r="A235" s="5">
        <v>337</v>
      </c>
      <c r="B235" s="5">
        <v>9963</v>
      </c>
      <c r="C235" s="5" t="s">
        <v>2032</v>
      </c>
      <c r="D235" s="5" t="s">
        <v>2033</v>
      </c>
      <c r="E235" s="5" t="s">
        <v>1346</v>
      </c>
      <c r="F235" s="5" t="s">
        <v>2034</v>
      </c>
      <c r="G235" s="5" t="s">
        <v>2035</v>
      </c>
      <c r="H235" s="5" t="s">
        <v>76</v>
      </c>
      <c r="I235" s="5" t="s">
        <v>73</v>
      </c>
      <c r="J235" s="5" t="s">
        <v>53</v>
      </c>
      <c r="K235" s="5" t="s">
        <v>314</v>
      </c>
      <c r="L235" s="9" t="s">
        <v>803</v>
      </c>
      <c r="M235" s="9" t="s">
        <v>311</v>
      </c>
      <c r="N235" s="5" t="s">
        <v>253</v>
      </c>
      <c r="O235" s="5" t="s">
        <v>62</v>
      </c>
      <c r="P235" s="5" t="s">
        <v>1259</v>
      </c>
      <c r="Q235" s="193">
        <v>3470</v>
      </c>
      <c r="R235" s="195">
        <v>1</v>
      </c>
      <c r="S235" s="196">
        <v>57150</v>
      </c>
      <c r="T235" s="9"/>
      <c r="U235" s="193">
        <v>1983.105</v>
      </c>
      <c r="V235" s="197">
        <v>4.6E-5</v>
      </c>
      <c r="W235" s="197">
        <v>8.6958769580968605E-3</v>
      </c>
      <c r="X235" s="197">
        <v>1.78238375051421E-3</v>
      </c>
    </row>
    <row r="236" spans="1:24">
      <c r="A236" s="5">
        <v>337</v>
      </c>
      <c r="B236" s="5">
        <v>9963</v>
      </c>
      <c r="C236" s="5" t="s">
        <v>2036</v>
      </c>
      <c r="D236" s="5" t="s">
        <v>2037</v>
      </c>
      <c r="E236" s="5" t="s">
        <v>1346</v>
      </c>
      <c r="F236" s="5" t="s">
        <v>2038</v>
      </c>
      <c r="G236" s="5" t="s">
        <v>2039</v>
      </c>
      <c r="H236" s="5" t="s">
        <v>76</v>
      </c>
      <c r="I236" s="5" t="s">
        <v>73</v>
      </c>
      <c r="J236" s="5" t="s">
        <v>53</v>
      </c>
      <c r="K236" s="5" t="s">
        <v>53</v>
      </c>
      <c r="L236" s="9" t="s">
        <v>803</v>
      </c>
      <c r="M236" s="9" t="s">
        <v>311</v>
      </c>
      <c r="N236" s="5" t="s">
        <v>633</v>
      </c>
      <c r="O236" s="5" t="s">
        <v>62</v>
      </c>
      <c r="P236" s="5" t="s">
        <v>1259</v>
      </c>
      <c r="Q236" s="193">
        <v>2309</v>
      </c>
      <c r="R236" s="195">
        <v>1</v>
      </c>
      <c r="S236" s="196">
        <v>34080</v>
      </c>
      <c r="T236" s="9"/>
      <c r="U236" s="193">
        <v>786.90700000000004</v>
      </c>
      <c r="V236" s="197">
        <v>3.1300000000000002E-4</v>
      </c>
      <c r="W236" s="197">
        <v>3.4505728081168198E-3</v>
      </c>
      <c r="X236" s="197">
        <v>7.0725988106662896E-4</v>
      </c>
    </row>
    <row r="237" spans="1:24">
      <c r="A237" s="5">
        <v>337</v>
      </c>
      <c r="B237" s="5">
        <v>9963</v>
      </c>
      <c r="C237" s="5" t="s">
        <v>2040</v>
      </c>
      <c r="D237" s="5" t="s">
        <v>2041</v>
      </c>
      <c r="E237" s="5" t="s">
        <v>1346</v>
      </c>
      <c r="F237" s="5" t="s">
        <v>2040</v>
      </c>
      <c r="G237" s="5" t="s">
        <v>2042</v>
      </c>
      <c r="H237" s="5" t="s">
        <v>76</v>
      </c>
      <c r="I237" s="5" t="s">
        <v>73</v>
      </c>
      <c r="J237" s="5" t="s">
        <v>53</v>
      </c>
      <c r="K237" s="5" t="s">
        <v>53</v>
      </c>
      <c r="L237" s="9" t="s">
        <v>803</v>
      </c>
      <c r="M237" s="9" t="s">
        <v>311</v>
      </c>
      <c r="N237" s="5" t="s">
        <v>635</v>
      </c>
      <c r="O237" s="5" t="s">
        <v>62</v>
      </c>
      <c r="P237" s="5" t="s">
        <v>1259</v>
      </c>
      <c r="Q237" s="193">
        <v>48885</v>
      </c>
      <c r="R237" s="195">
        <v>1</v>
      </c>
      <c r="S237" s="196">
        <v>12570</v>
      </c>
      <c r="T237" s="9"/>
      <c r="U237" s="193">
        <v>6144.8450000000003</v>
      </c>
      <c r="V237" s="197">
        <v>6.02E-4</v>
      </c>
      <c r="W237" s="197">
        <v>2.6945023939044199E-2</v>
      </c>
      <c r="X237" s="197">
        <v>5.5228901072997298E-3</v>
      </c>
    </row>
    <row r="238" spans="1:24">
      <c r="A238" s="5">
        <v>337</v>
      </c>
      <c r="B238" s="5">
        <v>9963</v>
      </c>
      <c r="C238" s="5" t="s">
        <v>2043</v>
      </c>
      <c r="D238" s="5" t="s">
        <v>2044</v>
      </c>
      <c r="E238" s="5" t="s">
        <v>1346</v>
      </c>
      <c r="F238" s="5" t="s">
        <v>2045</v>
      </c>
      <c r="G238" s="5" t="s">
        <v>2046</v>
      </c>
      <c r="H238" s="5" t="s">
        <v>76</v>
      </c>
      <c r="I238" s="5" t="s">
        <v>73</v>
      </c>
      <c r="J238" s="5" t="s">
        <v>53</v>
      </c>
      <c r="K238" s="5" t="s">
        <v>53</v>
      </c>
      <c r="L238" s="9" t="s">
        <v>803</v>
      </c>
      <c r="M238" s="9" t="s">
        <v>311</v>
      </c>
      <c r="N238" s="5" t="s">
        <v>629</v>
      </c>
      <c r="O238" s="5" t="s">
        <v>62</v>
      </c>
      <c r="P238" s="5" t="s">
        <v>1259</v>
      </c>
      <c r="Q238" s="193">
        <v>31933</v>
      </c>
      <c r="R238" s="195">
        <v>1</v>
      </c>
      <c r="S238" s="196">
        <v>3958</v>
      </c>
      <c r="T238" s="9"/>
      <c r="U238" s="193">
        <v>1263.9079999999999</v>
      </c>
      <c r="V238" s="197">
        <v>1.9300000000000001E-3</v>
      </c>
      <c r="W238" s="197">
        <v>5.5422126774815504E-3</v>
      </c>
      <c r="X238" s="197">
        <v>1.13598086378616E-3</v>
      </c>
    </row>
    <row r="239" spans="1:24">
      <c r="A239" s="5">
        <v>337</v>
      </c>
      <c r="B239" s="5">
        <v>9963</v>
      </c>
      <c r="C239" s="5" t="s">
        <v>2055</v>
      </c>
      <c r="D239" s="5" t="s">
        <v>2056</v>
      </c>
      <c r="E239" s="5" t="s">
        <v>1346</v>
      </c>
      <c r="F239" s="5" t="s">
        <v>2057</v>
      </c>
      <c r="G239" s="5" t="s">
        <v>2058</v>
      </c>
      <c r="H239" s="5" t="s">
        <v>76</v>
      </c>
      <c r="I239" s="5" t="s">
        <v>73</v>
      </c>
      <c r="J239" s="5" t="s">
        <v>53</v>
      </c>
      <c r="K239" s="5" t="s">
        <v>53</v>
      </c>
      <c r="L239" s="9" t="s">
        <v>803</v>
      </c>
      <c r="M239" s="9" t="s">
        <v>311</v>
      </c>
      <c r="N239" s="5" t="s">
        <v>633</v>
      </c>
      <c r="O239" s="5" t="s">
        <v>62</v>
      </c>
      <c r="P239" s="5" t="s">
        <v>1259</v>
      </c>
      <c r="Q239" s="193">
        <v>16734</v>
      </c>
      <c r="R239" s="195">
        <v>1</v>
      </c>
      <c r="S239" s="196">
        <v>30970</v>
      </c>
      <c r="T239" s="9"/>
      <c r="U239" s="193">
        <v>5182.5200000000004</v>
      </c>
      <c r="V239" s="197">
        <v>1.3799999999999999E-4</v>
      </c>
      <c r="W239" s="197">
        <v>2.2725248796055E-2</v>
      </c>
      <c r="X239" s="197">
        <v>4.657967721446E-3</v>
      </c>
    </row>
    <row r="240" spans="1:24">
      <c r="A240" s="5">
        <v>337</v>
      </c>
      <c r="B240" s="5">
        <v>9963</v>
      </c>
      <c r="C240" s="5" t="s">
        <v>2059</v>
      </c>
      <c r="D240" s="5" t="s">
        <v>2060</v>
      </c>
      <c r="E240" s="5" t="s">
        <v>1346</v>
      </c>
      <c r="F240" s="5" t="s">
        <v>2061</v>
      </c>
      <c r="G240" s="5" t="s">
        <v>2062</v>
      </c>
      <c r="H240" s="5" t="s">
        <v>76</v>
      </c>
      <c r="I240" s="5" t="s">
        <v>73</v>
      </c>
      <c r="J240" s="5" t="s">
        <v>53</v>
      </c>
      <c r="K240" s="5" t="s">
        <v>53</v>
      </c>
      <c r="L240" s="9" t="s">
        <v>803</v>
      </c>
      <c r="M240" s="9" t="s">
        <v>311</v>
      </c>
      <c r="N240" s="5" t="s">
        <v>256</v>
      </c>
      <c r="O240" s="5" t="s">
        <v>62</v>
      </c>
      <c r="P240" s="5" t="s">
        <v>1259</v>
      </c>
      <c r="Q240" s="193">
        <v>160652</v>
      </c>
      <c r="R240" s="195">
        <v>1</v>
      </c>
      <c r="S240" s="196">
        <v>6462</v>
      </c>
      <c r="T240" s="9"/>
      <c r="U240" s="193">
        <v>10381.332</v>
      </c>
      <c r="V240" s="197">
        <v>1.2E-4</v>
      </c>
      <c r="W240" s="197">
        <v>4.5521940502476703E-2</v>
      </c>
      <c r="X240" s="197">
        <v>9.3305790128436605E-3</v>
      </c>
    </row>
    <row r="241" spans="1:24">
      <c r="A241" s="5">
        <v>337</v>
      </c>
      <c r="B241" s="5">
        <v>9963</v>
      </c>
      <c r="C241" s="5" t="s">
        <v>2063</v>
      </c>
      <c r="D241" s="5" t="s">
        <v>2064</v>
      </c>
      <c r="E241" s="5" t="s">
        <v>1346</v>
      </c>
      <c r="F241" s="5" t="s">
        <v>2065</v>
      </c>
      <c r="G241" s="5" t="s">
        <v>2066</v>
      </c>
      <c r="H241" s="5" t="s">
        <v>76</v>
      </c>
      <c r="I241" s="5" t="s">
        <v>73</v>
      </c>
      <c r="J241" s="5" t="s">
        <v>53</v>
      </c>
      <c r="K241" s="5" t="s">
        <v>53</v>
      </c>
      <c r="L241" s="9" t="s">
        <v>803</v>
      </c>
      <c r="M241" s="9" t="s">
        <v>311</v>
      </c>
      <c r="N241" s="5" t="s">
        <v>632</v>
      </c>
      <c r="O241" s="5" t="s">
        <v>62</v>
      </c>
      <c r="P241" s="5" t="s">
        <v>1259</v>
      </c>
      <c r="Q241" s="193">
        <v>7026</v>
      </c>
      <c r="R241" s="195">
        <v>1</v>
      </c>
      <c r="S241" s="196">
        <v>33720</v>
      </c>
      <c r="T241" s="9"/>
      <c r="U241" s="193">
        <v>2369.1669999999999</v>
      </c>
      <c r="V241" s="197">
        <v>5.0699999999999996E-4</v>
      </c>
      <c r="W241" s="197">
        <v>1.03887522165286E-2</v>
      </c>
      <c r="X241" s="197">
        <v>2.12937041635781E-3</v>
      </c>
    </row>
    <row r="242" spans="1:24">
      <c r="A242" s="5">
        <v>337</v>
      </c>
      <c r="B242" s="5">
        <v>9963</v>
      </c>
      <c r="C242" s="5" t="s">
        <v>2067</v>
      </c>
      <c r="D242" s="5" t="s">
        <v>2068</v>
      </c>
      <c r="E242" s="5" t="s">
        <v>1346</v>
      </c>
      <c r="F242" s="5" t="s">
        <v>2069</v>
      </c>
      <c r="G242" s="5" t="s">
        <v>2070</v>
      </c>
      <c r="H242" s="5" t="s">
        <v>76</v>
      </c>
      <c r="I242" s="5" t="s">
        <v>73</v>
      </c>
      <c r="J242" s="5" t="s">
        <v>53</v>
      </c>
      <c r="K242" s="5" t="s">
        <v>53</v>
      </c>
      <c r="L242" s="9" t="s">
        <v>803</v>
      </c>
      <c r="M242" s="9" t="s">
        <v>311</v>
      </c>
      <c r="N242" s="5" t="s">
        <v>252</v>
      </c>
      <c r="O242" s="5" t="s">
        <v>62</v>
      </c>
      <c r="P242" s="5" t="s">
        <v>1259</v>
      </c>
      <c r="Q242" s="193">
        <v>4176</v>
      </c>
      <c r="R242" s="195">
        <v>1</v>
      </c>
      <c r="S242" s="196">
        <v>42880</v>
      </c>
      <c r="T242" s="9"/>
      <c r="U242" s="193">
        <v>1790.6690000000001</v>
      </c>
      <c r="V242" s="197">
        <v>2.63E-4</v>
      </c>
      <c r="W242" s="197">
        <v>7.85204795384155E-3</v>
      </c>
      <c r="X242" s="197">
        <v>1.6094251044058601E-3</v>
      </c>
    </row>
    <row r="243" spans="1:24">
      <c r="A243" s="5">
        <v>337</v>
      </c>
      <c r="B243" s="5">
        <v>9963</v>
      </c>
      <c r="C243" s="5" t="s">
        <v>2071</v>
      </c>
      <c r="D243" s="5" t="s">
        <v>2072</v>
      </c>
      <c r="E243" s="5" t="s">
        <v>1346</v>
      </c>
      <c r="F243" s="5" t="s">
        <v>2073</v>
      </c>
      <c r="G243" s="5" t="s">
        <v>2074</v>
      </c>
      <c r="H243" s="5" t="s">
        <v>76</v>
      </c>
      <c r="I243" s="5" t="s">
        <v>73</v>
      </c>
      <c r="J243" s="5" t="s">
        <v>53</v>
      </c>
      <c r="K243" s="5" t="s">
        <v>53</v>
      </c>
      <c r="L243" s="9" t="s">
        <v>803</v>
      </c>
      <c r="M243" s="9" t="s">
        <v>311</v>
      </c>
      <c r="N243" s="5" t="s">
        <v>156</v>
      </c>
      <c r="O243" s="5" t="s">
        <v>62</v>
      </c>
      <c r="P243" s="5" t="s">
        <v>1259</v>
      </c>
      <c r="Q243" s="193">
        <v>19650</v>
      </c>
      <c r="R243" s="195">
        <v>1</v>
      </c>
      <c r="S243" s="196">
        <v>6455</v>
      </c>
      <c r="T243" s="9"/>
      <c r="U243" s="193">
        <v>1268.4079999999999</v>
      </c>
      <c r="V243" s="197">
        <v>1.573E-3</v>
      </c>
      <c r="W243" s="197">
        <v>5.5619422838060701E-3</v>
      </c>
      <c r="X243" s="197">
        <v>1.14002481816664E-3</v>
      </c>
    </row>
    <row r="244" spans="1:24">
      <c r="A244" s="5">
        <v>337</v>
      </c>
      <c r="B244" s="5">
        <v>9963</v>
      </c>
      <c r="C244" s="5" t="s">
        <v>2075</v>
      </c>
      <c r="D244" s="5" t="s">
        <v>2076</v>
      </c>
      <c r="E244" s="5" t="s">
        <v>1346</v>
      </c>
      <c r="F244" s="5" t="s">
        <v>2077</v>
      </c>
      <c r="G244" s="5" t="s">
        <v>2078</v>
      </c>
      <c r="H244" s="5" t="s">
        <v>76</v>
      </c>
      <c r="I244" s="5" t="s">
        <v>73</v>
      </c>
      <c r="J244" s="5" t="s">
        <v>53</v>
      </c>
      <c r="K244" s="5" t="s">
        <v>53</v>
      </c>
      <c r="L244" s="9" t="s">
        <v>803</v>
      </c>
      <c r="M244" s="9" t="s">
        <v>311</v>
      </c>
      <c r="N244" s="5" t="s">
        <v>140</v>
      </c>
      <c r="O244" s="5" t="s">
        <v>62</v>
      </c>
      <c r="P244" s="5" t="s">
        <v>1259</v>
      </c>
      <c r="Q244" s="193">
        <v>12126</v>
      </c>
      <c r="R244" s="195">
        <v>1</v>
      </c>
      <c r="S244" s="196">
        <v>11810</v>
      </c>
      <c r="T244" s="9"/>
      <c r="U244" s="193">
        <v>1432.0809999999999</v>
      </c>
      <c r="V244" s="197">
        <v>5.3600000000000002E-4</v>
      </c>
      <c r="W244" s="197">
        <v>6.2796456524881602E-3</v>
      </c>
      <c r="X244" s="197">
        <v>1.2871316399619E-3</v>
      </c>
    </row>
    <row r="245" spans="1:24">
      <c r="A245" s="5">
        <v>337</v>
      </c>
      <c r="B245" s="5">
        <v>9963</v>
      </c>
      <c r="C245" s="5" t="s">
        <v>2079</v>
      </c>
      <c r="D245" s="5" t="s">
        <v>2080</v>
      </c>
      <c r="E245" s="5" t="s">
        <v>1346</v>
      </c>
      <c r="F245" s="5" t="s">
        <v>2081</v>
      </c>
      <c r="G245" s="5" t="s">
        <v>2082</v>
      </c>
      <c r="H245" s="5" t="s">
        <v>76</v>
      </c>
      <c r="I245" s="5" t="s">
        <v>73</v>
      </c>
      <c r="J245" s="5" t="s">
        <v>53</v>
      </c>
      <c r="K245" s="5" t="s">
        <v>53</v>
      </c>
      <c r="L245" s="9" t="s">
        <v>803</v>
      </c>
      <c r="M245" s="9" t="s">
        <v>311</v>
      </c>
      <c r="N245" s="5" t="s">
        <v>259</v>
      </c>
      <c r="O245" s="5" t="s">
        <v>62</v>
      </c>
      <c r="P245" s="5" t="s">
        <v>1259</v>
      </c>
      <c r="Q245" s="193">
        <v>3825</v>
      </c>
      <c r="R245" s="195">
        <v>1</v>
      </c>
      <c r="S245" s="196">
        <v>58480</v>
      </c>
      <c r="T245" s="9"/>
      <c r="U245" s="193">
        <v>2236.86</v>
      </c>
      <c r="V245" s="197">
        <v>2.32E-4</v>
      </c>
      <c r="W245" s="197">
        <v>9.8085877109323708E-3</v>
      </c>
      <c r="X245" s="197">
        <v>2.01045477479772E-3</v>
      </c>
    </row>
    <row r="246" spans="1:24">
      <c r="A246" s="5">
        <v>337</v>
      </c>
      <c r="B246" s="5">
        <v>9963</v>
      </c>
      <c r="C246" s="5" t="s">
        <v>2083</v>
      </c>
      <c r="D246" s="5" t="s">
        <v>2084</v>
      </c>
      <c r="E246" s="5" t="s">
        <v>1346</v>
      </c>
      <c r="F246" s="5" t="s">
        <v>2085</v>
      </c>
      <c r="G246" s="5" t="s">
        <v>2086</v>
      </c>
      <c r="H246" s="5" t="s">
        <v>76</v>
      </c>
      <c r="I246" s="5" t="s">
        <v>73</v>
      </c>
      <c r="J246" s="5" t="s">
        <v>53</v>
      </c>
      <c r="K246" s="5" t="s">
        <v>317</v>
      </c>
      <c r="L246" s="9" t="s">
        <v>803</v>
      </c>
      <c r="M246" s="9" t="s">
        <v>311</v>
      </c>
      <c r="N246" s="5" t="s">
        <v>254</v>
      </c>
      <c r="O246" s="5" t="s">
        <v>62</v>
      </c>
      <c r="P246" s="5" t="s">
        <v>1259</v>
      </c>
      <c r="Q246" s="193">
        <v>11462</v>
      </c>
      <c r="R246" s="195">
        <v>1</v>
      </c>
      <c r="S246" s="196">
        <v>29040</v>
      </c>
      <c r="T246" s="9"/>
      <c r="U246" s="193">
        <v>3328.5650000000001</v>
      </c>
      <c r="V246" s="197">
        <v>2.41E-4</v>
      </c>
      <c r="W246" s="197">
        <v>1.4595692082795601E-2</v>
      </c>
      <c r="X246" s="197">
        <v>2.9916619705227898E-3</v>
      </c>
    </row>
    <row r="247" spans="1:24">
      <c r="A247" s="5">
        <v>337</v>
      </c>
      <c r="B247" s="5">
        <v>9963</v>
      </c>
      <c r="C247" s="5" t="s">
        <v>2087</v>
      </c>
      <c r="D247" s="5" t="s">
        <v>2088</v>
      </c>
      <c r="E247" s="5" t="s">
        <v>1346</v>
      </c>
      <c r="F247" s="5" t="s">
        <v>2089</v>
      </c>
      <c r="G247" s="5" t="s">
        <v>2090</v>
      </c>
      <c r="H247" s="5" t="s">
        <v>76</v>
      </c>
      <c r="I247" s="5" t="s">
        <v>73</v>
      </c>
      <c r="J247" s="5" t="s">
        <v>53</v>
      </c>
      <c r="K247" s="5" t="s">
        <v>53</v>
      </c>
      <c r="L247" s="9" t="s">
        <v>803</v>
      </c>
      <c r="M247" s="9" t="s">
        <v>311</v>
      </c>
      <c r="N247" s="5" t="s">
        <v>75</v>
      </c>
      <c r="O247" s="5" t="s">
        <v>62</v>
      </c>
      <c r="P247" s="5" t="s">
        <v>1259</v>
      </c>
      <c r="Q247" s="193">
        <v>13318</v>
      </c>
      <c r="R247" s="195">
        <v>1</v>
      </c>
      <c r="S247" s="196">
        <v>3315</v>
      </c>
      <c r="T247" s="9"/>
      <c r="U247" s="193">
        <v>441.49200000000002</v>
      </c>
      <c r="V247" s="197">
        <v>1.45E-4</v>
      </c>
      <c r="W247" s="197">
        <v>1.9359325407484801E-3</v>
      </c>
      <c r="X247" s="197">
        <v>3.9680583331033699E-4</v>
      </c>
    </row>
    <row r="248" spans="1:24">
      <c r="A248" s="5">
        <v>337</v>
      </c>
      <c r="B248" s="5">
        <v>9963</v>
      </c>
      <c r="C248" s="5" t="s">
        <v>2095</v>
      </c>
      <c r="D248" s="5" t="s">
        <v>2096</v>
      </c>
      <c r="E248" s="5" t="s">
        <v>1346</v>
      </c>
      <c r="F248" s="5" t="s">
        <v>2097</v>
      </c>
      <c r="G248" s="5" t="s">
        <v>2098</v>
      </c>
      <c r="H248" s="5" t="s">
        <v>76</v>
      </c>
      <c r="I248" s="5" t="s">
        <v>73</v>
      </c>
      <c r="J248" s="5" t="s">
        <v>53</v>
      </c>
      <c r="K248" s="5" t="s">
        <v>53</v>
      </c>
      <c r="L248" s="9" t="s">
        <v>803</v>
      </c>
      <c r="M248" s="9" t="s">
        <v>311</v>
      </c>
      <c r="N248" s="5" t="s">
        <v>632</v>
      </c>
      <c r="O248" s="5" t="s">
        <v>62</v>
      </c>
      <c r="P248" s="5" t="s">
        <v>1259</v>
      </c>
      <c r="Q248" s="193">
        <v>7542</v>
      </c>
      <c r="R248" s="195">
        <v>1</v>
      </c>
      <c r="S248" s="196">
        <v>6518</v>
      </c>
      <c r="T248" s="9"/>
      <c r="U248" s="193">
        <v>491.58800000000002</v>
      </c>
      <c r="V248" s="197">
        <v>1.55E-4</v>
      </c>
      <c r="W248" s="197">
        <v>2.15560191512353E-3</v>
      </c>
      <c r="X248" s="197">
        <v>4.4183120858397898E-4</v>
      </c>
    </row>
    <row r="249" spans="1:24">
      <c r="A249" s="5">
        <v>337</v>
      </c>
      <c r="B249" s="5">
        <v>9963</v>
      </c>
      <c r="C249" s="5" t="s">
        <v>2099</v>
      </c>
      <c r="D249" s="5" t="s">
        <v>2100</v>
      </c>
      <c r="E249" s="5" t="s">
        <v>1346</v>
      </c>
      <c r="F249" s="5" t="s">
        <v>2101</v>
      </c>
      <c r="G249" s="5" t="s">
        <v>2102</v>
      </c>
      <c r="H249" s="5" t="s">
        <v>76</v>
      </c>
      <c r="I249" s="5" t="s">
        <v>73</v>
      </c>
      <c r="J249" s="5" t="s">
        <v>53</v>
      </c>
      <c r="K249" s="5" t="s">
        <v>53</v>
      </c>
      <c r="L249" s="9" t="s">
        <v>803</v>
      </c>
      <c r="M249" s="9" t="s">
        <v>311</v>
      </c>
      <c r="N249" s="5" t="s">
        <v>632</v>
      </c>
      <c r="O249" s="5" t="s">
        <v>62</v>
      </c>
      <c r="P249" s="5" t="s">
        <v>1259</v>
      </c>
      <c r="Q249" s="193">
        <v>2006</v>
      </c>
      <c r="R249" s="195">
        <v>1</v>
      </c>
      <c r="S249" s="196">
        <v>32510</v>
      </c>
      <c r="T249" s="9"/>
      <c r="U249" s="193">
        <v>652.15099999999995</v>
      </c>
      <c r="V249" s="197">
        <v>1.46E-4</v>
      </c>
      <c r="W249" s="197">
        <v>2.8596677310324201E-3</v>
      </c>
      <c r="X249" s="197">
        <v>5.8614275710468895E-4</v>
      </c>
    </row>
    <row r="250" spans="1:24">
      <c r="A250" s="5">
        <v>337</v>
      </c>
      <c r="B250" s="5">
        <v>9963</v>
      </c>
      <c r="C250" s="5" t="s">
        <v>2103</v>
      </c>
      <c r="D250" s="5" t="s">
        <v>2104</v>
      </c>
      <c r="E250" s="5" t="s">
        <v>431</v>
      </c>
      <c r="F250" s="5" t="s">
        <v>2105</v>
      </c>
      <c r="G250" s="5" t="s">
        <v>2106</v>
      </c>
      <c r="H250" s="5" t="s">
        <v>76</v>
      </c>
      <c r="I250" s="5" t="s">
        <v>73</v>
      </c>
      <c r="J250" s="5" t="s">
        <v>53</v>
      </c>
      <c r="K250" s="5" t="s">
        <v>53</v>
      </c>
      <c r="L250" s="9" t="s">
        <v>803</v>
      </c>
      <c r="M250" s="9" t="s">
        <v>311</v>
      </c>
      <c r="N250" s="5" t="s">
        <v>267</v>
      </c>
      <c r="O250" s="5" t="s">
        <v>62</v>
      </c>
      <c r="P250" s="5" t="s">
        <v>1259</v>
      </c>
      <c r="Q250" s="193">
        <v>213192</v>
      </c>
      <c r="R250" s="195">
        <v>1</v>
      </c>
      <c r="S250" s="196">
        <v>483.9</v>
      </c>
      <c r="T250" s="9"/>
      <c r="U250" s="193">
        <v>1031.636</v>
      </c>
      <c r="V250" s="197">
        <v>1.9000000000000001E-4</v>
      </c>
      <c r="W250" s="197">
        <v>4.5237042349146302E-3</v>
      </c>
      <c r="X250" s="197">
        <v>9.2721837708807696E-4</v>
      </c>
    </row>
    <row r="251" spans="1:24">
      <c r="A251" s="5">
        <v>337</v>
      </c>
      <c r="B251" s="5">
        <v>9963</v>
      </c>
      <c r="C251" s="5" t="s">
        <v>2107</v>
      </c>
      <c r="D251" s="5" t="s">
        <v>2108</v>
      </c>
      <c r="E251" s="5" t="s">
        <v>1346</v>
      </c>
      <c r="F251" s="5" t="s">
        <v>2109</v>
      </c>
      <c r="G251" s="5" t="s">
        <v>2110</v>
      </c>
      <c r="H251" s="5" t="s">
        <v>76</v>
      </c>
      <c r="I251" s="5" t="s">
        <v>73</v>
      </c>
      <c r="J251" s="5" t="s">
        <v>53</v>
      </c>
      <c r="K251" s="5" t="s">
        <v>53</v>
      </c>
      <c r="L251" s="9" t="s">
        <v>803</v>
      </c>
      <c r="M251" s="9" t="s">
        <v>311</v>
      </c>
      <c r="N251" s="5" t="s">
        <v>632</v>
      </c>
      <c r="O251" s="5" t="s">
        <v>62</v>
      </c>
      <c r="P251" s="5" t="s">
        <v>1259</v>
      </c>
      <c r="Q251" s="193">
        <v>36360</v>
      </c>
      <c r="R251" s="195">
        <v>1</v>
      </c>
      <c r="S251" s="196">
        <v>3869</v>
      </c>
      <c r="T251" s="9"/>
      <c r="U251" s="193">
        <v>1406.768</v>
      </c>
      <c r="V251" s="197">
        <v>1.3200000000000001E-4</v>
      </c>
      <c r="W251" s="197">
        <v>6.1686521464767502E-3</v>
      </c>
      <c r="X251" s="197">
        <v>1.2643814305832899E-3</v>
      </c>
    </row>
    <row r="252" spans="1:24">
      <c r="A252" s="5">
        <v>337</v>
      </c>
      <c r="B252" s="5">
        <v>9963</v>
      </c>
      <c r="C252" s="5" t="s">
        <v>2111</v>
      </c>
      <c r="D252" s="5" t="s">
        <v>2112</v>
      </c>
      <c r="E252" s="5" t="s">
        <v>1346</v>
      </c>
      <c r="F252" s="5" t="s">
        <v>2113</v>
      </c>
      <c r="G252" s="5" t="s">
        <v>2114</v>
      </c>
      <c r="H252" s="5" t="s">
        <v>76</v>
      </c>
      <c r="I252" s="5" t="s">
        <v>73</v>
      </c>
      <c r="J252" s="5" t="s">
        <v>53</v>
      </c>
      <c r="K252" s="5" t="s">
        <v>317</v>
      </c>
      <c r="L252" s="9" t="s">
        <v>803</v>
      </c>
      <c r="M252" s="9" t="s">
        <v>311</v>
      </c>
      <c r="N252" s="5" t="s">
        <v>264</v>
      </c>
      <c r="O252" s="5" t="s">
        <v>62</v>
      </c>
      <c r="P252" s="5" t="s">
        <v>1259</v>
      </c>
      <c r="Q252" s="193">
        <v>22000</v>
      </c>
      <c r="R252" s="195">
        <v>1</v>
      </c>
      <c r="S252" s="196">
        <v>10400</v>
      </c>
      <c r="T252" s="9"/>
      <c r="U252" s="193">
        <v>2288</v>
      </c>
      <c r="V252" s="197">
        <v>1.681E-3</v>
      </c>
      <c r="W252" s="197">
        <v>1.0032835618953901E-2</v>
      </c>
      <c r="X252" s="197">
        <v>2.0564186067689402E-3</v>
      </c>
    </row>
    <row r="253" spans="1:24">
      <c r="A253" s="5">
        <v>337</v>
      </c>
      <c r="B253" s="5">
        <v>9963</v>
      </c>
      <c r="C253" s="5" t="s">
        <v>2119</v>
      </c>
      <c r="D253" s="5" t="s">
        <v>2120</v>
      </c>
      <c r="E253" s="5" t="s">
        <v>429</v>
      </c>
      <c r="F253" s="5" t="s">
        <v>2121</v>
      </c>
      <c r="G253" s="5" t="s">
        <v>2122</v>
      </c>
      <c r="H253" s="5" t="s">
        <v>76</v>
      </c>
      <c r="I253" s="5" t="s">
        <v>73</v>
      </c>
      <c r="J253" s="5" t="s">
        <v>61</v>
      </c>
      <c r="K253" s="5" t="s">
        <v>314</v>
      </c>
      <c r="L253" s="9" t="s">
        <v>803</v>
      </c>
      <c r="M253" s="9" t="s">
        <v>478</v>
      </c>
      <c r="N253" s="5" t="s">
        <v>202</v>
      </c>
      <c r="O253" s="5" t="s">
        <v>62</v>
      </c>
      <c r="P253" s="5" t="s">
        <v>1215</v>
      </c>
      <c r="Q253" s="193">
        <v>3689</v>
      </c>
      <c r="R253" s="195">
        <v>3.3719999999999999</v>
      </c>
      <c r="S253" s="196">
        <v>14190</v>
      </c>
      <c r="T253" s="9"/>
      <c r="U253" s="193">
        <v>1765.1379999999999</v>
      </c>
      <c r="V253" s="197">
        <v>1.9999999999999999E-6</v>
      </c>
      <c r="W253" s="197">
        <v>7.7400950368761798E-3</v>
      </c>
      <c r="X253" s="197">
        <v>1.58647824568382E-3</v>
      </c>
    </row>
    <row r="254" spans="1:24">
      <c r="A254" s="5">
        <v>337</v>
      </c>
      <c r="B254" s="5">
        <v>9963</v>
      </c>
      <c r="C254" s="5" t="s">
        <v>2123</v>
      </c>
      <c r="D254" s="5" t="s">
        <v>2124</v>
      </c>
      <c r="E254" s="5" t="s">
        <v>429</v>
      </c>
      <c r="F254" s="5" t="s">
        <v>2125</v>
      </c>
      <c r="G254" s="5" t="s">
        <v>2126</v>
      </c>
      <c r="H254" s="5" t="s">
        <v>76</v>
      </c>
      <c r="I254" s="5" t="s">
        <v>73</v>
      </c>
      <c r="J254" s="5" t="s">
        <v>61</v>
      </c>
      <c r="K254" s="5" t="s">
        <v>314</v>
      </c>
      <c r="L254" s="9" t="s">
        <v>803</v>
      </c>
      <c r="M254" s="9" t="s">
        <v>478</v>
      </c>
      <c r="N254" s="5" t="s">
        <v>2127</v>
      </c>
      <c r="O254" s="5" t="s">
        <v>62</v>
      </c>
      <c r="P254" s="5" t="s">
        <v>1215</v>
      </c>
      <c r="Q254" s="193">
        <v>3579</v>
      </c>
      <c r="R254" s="195">
        <v>3.3719999999999999</v>
      </c>
      <c r="S254" s="196">
        <v>13234</v>
      </c>
      <c r="T254" s="9"/>
      <c r="U254" s="193">
        <v>1597.13</v>
      </c>
      <c r="V254" s="197">
        <v>1.0000000000000001E-5</v>
      </c>
      <c r="W254" s="197">
        <v>7.0033861217938401E-3</v>
      </c>
      <c r="X254" s="197">
        <v>1.4354758792256401E-3</v>
      </c>
    </row>
    <row r="255" spans="1:24">
      <c r="A255" s="5">
        <v>337</v>
      </c>
      <c r="B255" s="5">
        <v>9963</v>
      </c>
      <c r="C255" s="5" t="s">
        <v>2132</v>
      </c>
      <c r="D255" s="5" t="s">
        <v>2133</v>
      </c>
      <c r="E255" s="5" t="s">
        <v>429</v>
      </c>
      <c r="F255" s="5" t="s">
        <v>2134</v>
      </c>
      <c r="G255" s="5" t="s">
        <v>2135</v>
      </c>
      <c r="H255" s="5" t="s">
        <v>76</v>
      </c>
      <c r="I255" s="5" t="s">
        <v>73</v>
      </c>
      <c r="J255" s="5" t="s">
        <v>61</v>
      </c>
      <c r="K255" s="5" t="s">
        <v>188</v>
      </c>
      <c r="L255" s="9" t="s">
        <v>803</v>
      </c>
      <c r="M255" s="9" t="s">
        <v>475</v>
      </c>
      <c r="N255" s="5" t="s">
        <v>880</v>
      </c>
      <c r="O255" s="5" t="s">
        <v>62</v>
      </c>
      <c r="P255" s="5" t="s">
        <v>1215</v>
      </c>
      <c r="Q255" s="193">
        <v>2053</v>
      </c>
      <c r="R255" s="195">
        <v>3.3719999999999999</v>
      </c>
      <c r="S255" s="196">
        <v>11341</v>
      </c>
      <c r="T255" s="170">
        <v>2.1549999999999998</v>
      </c>
      <c r="U255" s="193">
        <v>792.37</v>
      </c>
      <c r="V255" s="197">
        <v>9.9999999999999995E-7</v>
      </c>
      <c r="W255" s="197">
        <v>3.5027224684192602E-3</v>
      </c>
      <c r="X255" s="197">
        <v>7.1794893607117895E-4</v>
      </c>
    </row>
    <row r="256" spans="1:24">
      <c r="A256" s="5">
        <v>337</v>
      </c>
      <c r="B256" s="5">
        <v>9963</v>
      </c>
      <c r="C256" s="5" t="s">
        <v>2136</v>
      </c>
      <c r="D256" s="5" t="s">
        <v>2137</v>
      </c>
      <c r="E256" s="5" t="s">
        <v>429</v>
      </c>
      <c r="F256" s="5" t="s">
        <v>2138</v>
      </c>
      <c r="G256" s="5" t="s">
        <v>2139</v>
      </c>
      <c r="H256" s="5" t="s">
        <v>76</v>
      </c>
      <c r="I256" s="5" t="s">
        <v>73</v>
      </c>
      <c r="J256" s="5" t="s">
        <v>61</v>
      </c>
      <c r="K256" s="5" t="s">
        <v>314</v>
      </c>
      <c r="L256" s="9" t="s">
        <v>803</v>
      </c>
      <c r="M256" s="9" t="s">
        <v>475</v>
      </c>
      <c r="N256" s="5" t="s">
        <v>2140</v>
      </c>
      <c r="O256" s="5" t="s">
        <v>62</v>
      </c>
      <c r="P256" s="5" t="s">
        <v>1215</v>
      </c>
      <c r="Q256" s="193">
        <v>957</v>
      </c>
      <c r="R256" s="195">
        <v>3.3719999999999999</v>
      </c>
      <c r="S256" s="196">
        <v>50849</v>
      </c>
      <c r="T256" s="170">
        <v>1.0840000000000001</v>
      </c>
      <c r="U256" s="193">
        <v>1644.5550000000001</v>
      </c>
      <c r="V256" s="197">
        <v>1.9999999999999999E-6</v>
      </c>
      <c r="W256" s="197">
        <v>7.2113436779624599E-3</v>
      </c>
      <c r="X256" s="197">
        <v>1.47810069679122E-3</v>
      </c>
    </row>
    <row r="257" spans="1:24">
      <c r="A257" s="5">
        <v>337</v>
      </c>
      <c r="B257" s="5">
        <v>9963</v>
      </c>
      <c r="C257" s="5" t="s">
        <v>2141</v>
      </c>
      <c r="D257" s="5" t="s">
        <v>2142</v>
      </c>
      <c r="E257" s="5" t="s">
        <v>429</v>
      </c>
      <c r="F257" s="5" t="s">
        <v>2143</v>
      </c>
      <c r="G257" s="5" t="s">
        <v>2144</v>
      </c>
      <c r="H257" s="5" t="s">
        <v>76</v>
      </c>
      <c r="I257" s="5" t="s">
        <v>73</v>
      </c>
      <c r="J257" s="5" t="s">
        <v>61</v>
      </c>
      <c r="K257" s="5" t="s">
        <v>314</v>
      </c>
      <c r="L257" s="9" t="s">
        <v>803</v>
      </c>
      <c r="M257" s="9" t="s">
        <v>475</v>
      </c>
      <c r="N257" s="5" t="s">
        <v>892</v>
      </c>
      <c r="O257" s="5" t="s">
        <v>62</v>
      </c>
      <c r="P257" s="5" t="s">
        <v>1215</v>
      </c>
      <c r="Q257" s="193">
        <v>524</v>
      </c>
      <c r="R257" s="195">
        <v>3.3719999999999999</v>
      </c>
      <c r="S257" s="196">
        <v>77953</v>
      </c>
      <c r="T257" s="9"/>
      <c r="U257" s="193">
        <v>1377.373</v>
      </c>
      <c r="V257" s="197">
        <v>9.9999999999999995E-7</v>
      </c>
      <c r="W257" s="197">
        <v>6.0397555707994103E-3</v>
      </c>
      <c r="X257" s="197">
        <v>1.23796164991122E-3</v>
      </c>
    </row>
    <row r="258" spans="1:24">
      <c r="A258" s="5">
        <v>337</v>
      </c>
      <c r="B258" s="5">
        <v>9963</v>
      </c>
      <c r="C258" s="5" t="s">
        <v>2145</v>
      </c>
      <c r="D258" s="5" t="s">
        <v>2146</v>
      </c>
      <c r="E258" s="5" t="s">
        <v>429</v>
      </c>
      <c r="F258" s="5" t="s">
        <v>2147</v>
      </c>
      <c r="G258" s="5" t="s">
        <v>2148</v>
      </c>
      <c r="H258" s="5" t="s">
        <v>76</v>
      </c>
      <c r="I258" s="5" t="s">
        <v>73</v>
      </c>
      <c r="J258" s="5" t="s">
        <v>61</v>
      </c>
      <c r="K258" s="5" t="s">
        <v>314</v>
      </c>
      <c r="L258" s="9" t="s">
        <v>803</v>
      </c>
      <c r="M258" s="9" t="s">
        <v>478</v>
      </c>
      <c r="N258" s="5" t="s">
        <v>901</v>
      </c>
      <c r="O258" s="5" t="s">
        <v>62</v>
      </c>
      <c r="P258" s="5" t="s">
        <v>1215</v>
      </c>
      <c r="Q258" s="193">
        <v>814</v>
      </c>
      <c r="R258" s="195">
        <v>3.3719999999999999</v>
      </c>
      <c r="S258" s="196">
        <v>73809</v>
      </c>
      <c r="T258" s="9"/>
      <c r="U258" s="193">
        <v>2025.915</v>
      </c>
      <c r="V258" s="197">
        <v>0</v>
      </c>
      <c r="W258" s="197">
        <v>8.8835994542086696E-3</v>
      </c>
      <c r="X258" s="197">
        <v>1.8208610114377501E-3</v>
      </c>
    </row>
    <row r="259" spans="1:24">
      <c r="A259" s="5">
        <v>337</v>
      </c>
      <c r="B259" s="5">
        <v>9963</v>
      </c>
      <c r="C259" s="5" t="s">
        <v>2149</v>
      </c>
      <c r="D259" s="5" t="s">
        <v>2150</v>
      </c>
      <c r="E259" s="5" t="s">
        <v>429</v>
      </c>
      <c r="F259" s="5" t="s">
        <v>2151</v>
      </c>
      <c r="G259" s="5" t="s">
        <v>2152</v>
      </c>
      <c r="H259" s="5" t="s">
        <v>76</v>
      </c>
      <c r="I259" s="5" t="s">
        <v>73</v>
      </c>
      <c r="J259" s="5" t="s">
        <v>61</v>
      </c>
      <c r="K259" s="5" t="s">
        <v>314</v>
      </c>
      <c r="L259" s="9" t="s">
        <v>803</v>
      </c>
      <c r="M259" s="9" t="s">
        <v>478</v>
      </c>
      <c r="N259" s="5" t="s">
        <v>2153</v>
      </c>
      <c r="O259" s="5" t="s">
        <v>62</v>
      </c>
      <c r="P259" s="5" t="s">
        <v>1215</v>
      </c>
      <c r="Q259" s="193">
        <v>12595</v>
      </c>
      <c r="R259" s="195">
        <v>3.3719999999999999</v>
      </c>
      <c r="S259" s="196">
        <v>2240</v>
      </c>
      <c r="T259" s="9"/>
      <c r="U259" s="193">
        <v>951.33600000000001</v>
      </c>
      <c r="V259" s="197">
        <v>3.0000000000000001E-6</v>
      </c>
      <c r="W259" s="197">
        <v>4.1715882228078099E-3</v>
      </c>
      <c r="X259" s="197">
        <v>8.5504556906660495E-4</v>
      </c>
    </row>
    <row r="260" spans="1:24">
      <c r="A260" s="5">
        <v>337</v>
      </c>
      <c r="B260" s="5">
        <v>9963</v>
      </c>
      <c r="C260" s="5" t="s">
        <v>2154</v>
      </c>
      <c r="D260" s="5" t="s">
        <v>2155</v>
      </c>
      <c r="E260" s="5" t="s">
        <v>429</v>
      </c>
      <c r="F260" s="5" t="s">
        <v>2156</v>
      </c>
      <c r="G260" s="5" t="s">
        <v>2157</v>
      </c>
      <c r="H260" s="5" t="s">
        <v>76</v>
      </c>
      <c r="I260" s="5" t="s">
        <v>73</v>
      </c>
      <c r="J260" s="5" t="s">
        <v>61</v>
      </c>
      <c r="K260" s="5" t="s">
        <v>314</v>
      </c>
      <c r="L260" s="9" t="s">
        <v>803</v>
      </c>
      <c r="M260" s="9" t="s">
        <v>475</v>
      </c>
      <c r="N260" s="5" t="s">
        <v>195</v>
      </c>
      <c r="O260" s="5" t="s">
        <v>62</v>
      </c>
      <c r="P260" s="5" t="s">
        <v>1215</v>
      </c>
      <c r="Q260" s="193">
        <v>1867</v>
      </c>
      <c r="R260" s="195">
        <v>3.3719999999999999</v>
      </c>
      <c r="S260" s="196">
        <v>28991</v>
      </c>
      <c r="T260" s="9"/>
      <c r="U260" s="193">
        <v>1825.135</v>
      </c>
      <c r="V260" s="197">
        <v>0</v>
      </c>
      <c r="W260" s="197">
        <v>8.0031831633363398E-3</v>
      </c>
      <c r="X260" s="197">
        <v>1.6404031118951699E-3</v>
      </c>
    </row>
    <row r="261" spans="1:24">
      <c r="A261" s="5">
        <v>337</v>
      </c>
      <c r="B261" s="5">
        <v>9963</v>
      </c>
      <c r="C261" s="5" t="s">
        <v>2158</v>
      </c>
      <c r="D261" s="5" t="s">
        <v>2159</v>
      </c>
      <c r="E261" s="5" t="s">
        <v>429</v>
      </c>
      <c r="F261" s="5" t="s">
        <v>2160</v>
      </c>
      <c r="G261" s="5" t="s">
        <v>2161</v>
      </c>
      <c r="H261" s="5" t="s">
        <v>76</v>
      </c>
      <c r="I261" s="5" t="s">
        <v>73</v>
      </c>
      <c r="J261" s="5" t="s">
        <v>61</v>
      </c>
      <c r="K261" s="5" t="s">
        <v>314</v>
      </c>
      <c r="L261" s="9" t="s">
        <v>803</v>
      </c>
      <c r="M261" s="9" t="s">
        <v>478</v>
      </c>
      <c r="N261" s="5" t="s">
        <v>2153</v>
      </c>
      <c r="O261" s="5" t="s">
        <v>62</v>
      </c>
      <c r="P261" s="5" t="s">
        <v>1215</v>
      </c>
      <c r="Q261" s="193">
        <v>13753</v>
      </c>
      <c r="R261" s="195">
        <v>3.3719999999999999</v>
      </c>
      <c r="S261" s="196">
        <v>7740</v>
      </c>
      <c r="T261" s="9"/>
      <c r="U261" s="193">
        <v>3589.4340000000002</v>
      </c>
      <c r="V261" s="197">
        <v>2.0000000000000002E-5</v>
      </c>
      <c r="W261" s="197">
        <v>1.5739598369919099E-2</v>
      </c>
      <c r="X261" s="197">
        <v>3.22612710705875E-3</v>
      </c>
    </row>
    <row r="262" spans="1:24">
      <c r="A262" s="5">
        <v>337</v>
      </c>
      <c r="B262" s="5">
        <v>9963</v>
      </c>
      <c r="C262" s="5" t="s">
        <v>2032</v>
      </c>
      <c r="D262" s="5" t="s">
        <v>2033</v>
      </c>
      <c r="E262" s="5" t="s">
        <v>1346</v>
      </c>
      <c r="F262" s="5" t="s">
        <v>2166</v>
      </c>
      <c r="G262" s="5" t="s">
        <v>2167</v>
      </c>
      <c r="H262" s="5" t="s">
        <v>76</v>
      </c>
      <c r="I262" s="5" t="s">
        <v>73</v>
      </c>
      <c r="J262" s="5" t="s">
        <v>61</v>
      </c>
      <c r="K262" s="5" t="s">
        <v>53</v>
      </c>
      <c r="L262" s="9" t="s">
        <v>803</v>
      </c>
      <c r="M262" s="9" t="s">
        <v>478</v>
      </c>
      <c r="N262" s="5" t="s">
        <v>902</v>
      </c>
      <c r="O262" s="5" t="s">
        <v>62</v>
      </c>
      <c r="P262" s="5" t="s">
        <v>1215</v>
      </c>
      <c r="Q262" s="193">
        <v>2499</v>
      </c>
      <c r="R262" s="195">
        <v>3.3719999999999999</v>
      </c>
      <c r="S262" s="196">
        <v>16891</v>
      </c>
      <c r="T262" s="9"/>
      <c r="U262" s="193">
        <v>1423.3420000000001</v>
      </c>
      <c r="V262" s="197">
        <v>4.1999999999999998E-5</v>
      </c>
      <c r="W262" s="197">
        <v>6.24132590107842E-3</v>
      </c>
      <c r="X262" s="197">
        <v>1.2792772852411999E-3</v>
      </c>
    </row>
    <row r="263" spans="1:24">
      <c r="A263" s="5">
        <v>337</v>
      </c>
      <c r="B263" s="5">
        <v>9963</v>
      </c>
      <c r="C263" s="5" t="s">
        <v>2168</v>
      </c>
      <c r="D263" s="5" t="s">
        <v>2169</v>
      </c>
      <c r="E263" s="5" t="s">
        <v>429</v>
      </c>
      <c r="F263" s="5" t="s">
        <v>2168</v>
      </c>
      <c r="G263" s="5" t="s">
        <v>2170</v>
      </c>
      <c r="H263" s="5" t="s">
        <v>76</v>
      </c>
      <c r="I263" s="5" t="s">
        <v>73</v>
      </c>
      <c r="J263" s="5" t="s">
        <v>61</v>
      </c>
      <c r="K263" s="5" t="s">
        <v>314</v>
      </c>
      <c r="L263" s="9" t="s">
        <v>803</v>
      </c>
      <c r="M263" s="9" t="s">
        <v>475</v>
      </c>
      <c r="N263" s="5" t="s">
        <v>880</v>
      </c>
      <c r="O263" s="5" t="s">
        <v>62</v>
      </c>
      <c r="P263" s="5" t="s">
        <v>1215</v>
      </c>
      <c r="Q263" s="193">
        <v>6387</v>
      </c>
      <c r="R263" s="195">
        <v>3.3719999999999999</v>
      </c>
      <c r="S263" s="196">
        <v>7104</v>
      </c>
      <c r="T263" s="9"/>
      <c r="U263" s="193">
        <v>1529.9860000000001</v>
      </c>
      <c r="V263" s="197">
        <v>5.0000000000000004E-6</v>
      </c>
      <c r="W263" s="197">
        <v>6.7089585928138303E-3</v>
      </c>
      <c r="X263" s="197">
        <v>1.3751274122582699E-3</v>
      </c>
    </row>
    <row r="264" spans="1:24">
      <c r="A264" s="5">
        <v>337</v>
      </c>
      <c r="B264" s="5">
        <v>9963</v>
      </c>
      <c r="C264" s="5" t="s">
        <v>2171</v>
      </c>
      <c r="D264" s="5" t="s">
        <v>2172</v>
      </c>
      <c r="E264" s="5" t="s">
        <v>429</v>
      </c>
      <c r="F264" s="5" t="s">
        <v>2173</v>
      </c>
      <c r="G264" s="5" t="s">
        <v>2174</v>
      </c>
      <c r="H264" s="5" t="s">
        <v>76</v>
      </c>
      <c r="I264" s="5" t="s">
        <v>73</v>
      </c>
      <c r="J264" s="5" t="s">
        <v>61</v>
      </c>
      <c r="K264" s="5" t="s">
        <v>314</v>
      </c>
      <c r="L264" s="9" t="s">
        <v>803</v>
      </c>
      <c r="M264" s="9" t="s">
        <v>478</v>
      </c>
      <c r="N264" s="5" t="s">
        <v>202</v>
      </c>
      <c r="O264" s="5" t="s">
        <v>62</v>
      </c>
      <c r="P264" s="5" t="s">
        <v>1215</v>
      </c>
      <c r="Q264" s="193">
        <v>9572</v>
      </c>
      <c r="R264" s="195">
        <v>3.3719999999999999</v>
      </c>
      <c r="S264" s="196">
        <v>15799</v>
      </c>
      <c r="T264" s="170">
        <v>6.7000000000000004E-2</v>
      </c>
      <c r="U264" s="193">
        <v>5099.6350000000002</v>
      </c>
      <c r="V264" s="197">
        <v>0</v>
      </c>
      <c r="W264" s="197">
        <v>2.23617997847422E-2</v>
      </c>
      <c r="X264" s="197">
        <v>4.58347200180484E-3</v>
      </c>
    </row>
    <row r="265" spans="1:24">
      <c r="A265" s="5">
        <v>337</v>
      </c>
      <c r="B265" s="5">
        <v>9963</v>
      </c>
      <c r="C265" s="5" t="s">
        <v>1826</v>
      </c>
      <c r="D265" s="5" t="s">
        <v>1827</v>
      </c>
      <c r="E265" s="5" t="s">
        <v>429</v>
      </c>
      <c r="F265" s="5" t="s">
        <v>2175</v>
      </c>
      <c r="G265" s="5" t="s">
        <v>1829</v>
      </c>
      <c r="H265" s="5" t="s">
        <v>76</v>
      </c>
      <c r="I265" s="5" t="s">
        <v>73</v>
      </c>
      <c r="J265" s="5" t="s">
        <v>61</v>
      </c>
      <c r="K265" s="5" t="s">
        <v>314</v>
      </c>
      <c r="L265" s="9" t="s">
        <v>803</v>
      </c>
      <c r="M265" s="9" t="s">
        <v>475</v>
      </c>
      <c r="N265" s="5" t="s">
        <v>906</v>
      </c>
      <c r="O265" s="5" t="s">
        <v>62</v>
      </c>
      <c r="P265" s="5" t="s">
        <v>1215</v>
      </c>
      <c r="Q265" s="193">
        <v>3123</v>
      </c>
      <c r="R265" s="195">
        <v>3.3719999999999999</v>
      </c>
      <c r="S265" s="196">
        <v>8376</v>
      </c>
      <c r="T265" s="9"/>
      <c r="U265" s="193">
        <v>882.05600000000004</v>
      </c>
      <c r="V265" s="197">
        <v>5.1E-5</v>
      </c>
      <c r="W265" s="197">
        <v>3.8677989879092401E-3</v>
      </c>
      <c r="X265" s="197">
        <v>7.9277824416383298E-4</v>
      </c>
    </row>
    <row r="266" spans="1:24">
      <c r="A266" s="5">
        <v>337</v>
      </c>
      <c r="B266" s="5">
        <v>9963</v>
      </c>
      <c r="C266" s="5" t="s">
        <v>2176</v>
      </c>
      <c r="D266" s="5" t="s">
        <v>2177</v>
      </c>
      <c r="E266" s="5" t="s">
        <v>429</v>
      </c>
      <c r="F266" s="5" t="s">
        <v>2178</v>
      </c>
      <c r="G266" s="5" t="s">
        <v>2179</v>
      </c>
      <c r="H266" s="5" t="s">
        <v>76</v>
      </c>
      <c r="I266" s="5" t="s">
        <v>73</v>
      </c>
      <c r="J266" s="5" t="s">
        <v>61</v>
      </c>
      <c r="K266" s="5" t="s">
        <v>314</v>
      </c>
      <c r="L266" s="9" t="s">
        <v>803</v>
      </c>
      <c r="M266" s="9" t="s">
        <v>478</v>
      </c>
      <c r="N266" s="5" t="s">
        <v>897</v>
      </c>
      <c r="O266" s="5" t="s">
        <v>62</v>
      </c>
      <c r="P266" s="5" t="s">
        <v>1215</v>
      </c>
      <c r="Q266" s="193">
        <v>3040</v>
      </c>
      <c r="R266" s="195">
        <v>3.3719999999999999</v>
      </c>
      <c r="S266" s="196">
        <v>20464</v>
      </c>
      <c r="T266" s="9"/>
      <c r="U266" s="193">
        <v>2097.7399999999998</v>
      </c>
      <c r="V266" s="197">
        <v>9.0000000000000002E-6</v>
      </c>
      <c r="W266" s="197">
        <v>9.1985495743165703E-3</v>
      </c>
      <c r="X266" s="197">
        <v>1.8854159699552E-3</v>
      </c>
    </row>
    <row r="267" spans="1:24">
      <c r="A267" s="5">
        <v>337</v>
      </c>
      <c r="B267" s="5">
        <v>9963</v>
      </c>
      <c r="C267" s="5" t="s">
        <v>2180</v>
      </c>
      <c r="D267" s="5" t="s">
        <v>2181</v>
      </c>
      <c r="E267" s="5" t="s">
        <v>429</v>
      </c>
      <c r="F267" s="5" t="s">
        <v>2182</v>
      </c>
      <c r="G267" s="5" t="s">
        <v>2183</v>
      </c>
      <c r="H267" s="5" t="s">
        <v>76</v>
      </c>
      <c r="I267" s="5" t="s">
        <v>73</v>
      </c>
      <c r="J267" s="5" t="s">
        <v>61</v>
      </c>
      <c r="K267" s="5" t="s">
        <v>315</v>
      </c>
      <c r="L267" s="9" t="s">
        <v>803</v>
      </c>
      <c r="M267" s="9" t="s">
        <v>493</v>
      </c>
      <c r="N267" s="5" t="s">
        <v>882</v>
      </c>
      <c r="O267" s="5" t="s">
        <v>62</v>
      </c>
      <c r="P267" s="5" t="s">
        <v>1287</v>
      </c>
      <c r="Q267" s="193">
        <v>26250</v>
      </c>
      <c r="R267" s="195">
        <v>4.6235999999999997</v>
      </c>
      <c r="S267" s="196">
        <v>1600</v>
      </c>
      <c r="T267" s="9"/>
      <c r="U267" s="193">
        <v>1941.912</v>
      </c>
      <c r="V267" s="197">
        <v>5.9199999999999997E-4</v>
      </c>
      <c r="W267" s="197">
        <v>8.5152464521302592E-3</v>
      </c>
      <c r="X267" s="197">
        <v>1.7453601265331701E-3</v>
      </c>
    </row>
    <row r="268" spans="1:24">
      <c r="A268" s="5">
        <v>337</v>
      </c>
      <c r="B268" s="5">
        <v>9963</v>
      </c>
      <c r="C268" s="5" t="s">
        <v>2184</v>
      </c>
      <c r="D268" s="5" t="s">
        <v>2185</v>
      </c>
      <c r="E268" s="5" t="s">
        <v>429</v>
      </c>
      <c r="F268" s="5" t="s">
        <v>2186</v>
      </c>
      <c r="G268" s="5" t="s">
        <v>2187</v>
      </c>
      <c r="H268" s="5" t="s">
        <v>76</v>
      </c>
      <c r="I268" s="5" t="s">
        <v>73</v>
      </c>
      <c r="J268" s="5" t="s">
        <v>61</v>
      </c>
      <c r="K268" s="5" t="s">
        <v>314</v>
      </c>
      <c r="L268" s="9" t="s">
        <v>803</v>
      </c>
      <c r="M268" s="9" t="s">
        <v>478</v>
      </c>
      <c r="N268" s="5" t="s">
        <v>897</v>
      </c>
      <c r="O268" s="5" t="s">
        <v>62</v>
      </c>
      <c r="P268" s="5" t="s">
        <v>1215</v>
      </c>
      <c r="Q268" s="193">
        <v>0</v>
      </c>
      <c r="R268" s="195">
        <v>3.3719999999999999</v>
      </c>
      <c r="S268" s="196">
        <v>0</v>
      </c>
      <c r="T268" s="170">
        <v>0.46500000000000002</v>
      </c>
      <c r="U268" s="193">
        <v>1.569</v>
      </c>
      <c r="V268" s="197">
        <v>0</v>
      </c>
      <c r="W268" s="197">
        <v>6.8787629212452802E-6</v>
      </c>
      <c r="X268" s="197">
        <v>1.4099320072659601E-6</v>
      </c>
    </row>
    <row r="269" spans="1:24">
      <c r="A269" s="5">
        <v>337</v>
      </c>
      <c r="B269" s="5">
        <v>9963</v>
      </c>
      <c r="C269" s="5" t="s">
        <v>2208</v>
      </c>
      <c r="D269" s="5" t="s">
        <v>2209</v>
      </c>
      <c r="E269" s="5" t="s">
        <v>429</v>
      </c>
      <c r="F269" s="5" t="s">
        <v>2210</v>
      </c>
      <c r="G269" s="5" t="s">
        <v>2211</v>
      </c>
      <c r="H269" s="5" t="s">
        <v>76</v>
      </c>
      <c r="I269" s="5" t="s">
        <v>73</v>
      </c>
      <c r="J269" s="5" t="s">
        <v>61</v>
      </c>
      <c r="K269" s="5" t="s">
        <v>314</v>
      </c>
      <c r="L269" s="9" t="s">
        <v>803</v>
      </c>
      <c r="M269" s="9" t="s">
        <v>478</v>
      </c>
      <c r="N269" s="5" t="s">
        <v>882</v>
      </c>
      <c r="O269" s="5" t="s">
        <v>62</v>
      </c>
      <c r="P269" s="5" t="s">
        <v>1215</v>
      </c>
      <c r="Q269" s="193">
        <v>118346</v>
      </c>
      <c r="R269" s="195">
        <v>3.3719999999999999</v>
      </c>
      <c r="S269" s="196">
        <v>0.04</v>
      </c>
      <c r="T269" s="9"/>
      <c r="U269" s="193">
        <v>0.16</v>
      </c>
      <c r="V269" s="197">
        <v>2.1800000000000001E-4</v>
      </c>
      <c r="W269" s="197">
        <v>6.9995290055069E-7</v>
      </c>
      <c r="X269" s="197">
        <v>1.4346852906022299E-7</v>
      </c>
    </row>
    <row r="270" spans="1:24">
      <c r="A270" s="5">
        <v>337</v>
      </c>
      <c r="B270" s="5">
        <v>9963</v>
      </c>
      <c r="C270" s="5" t="s">
        <v>2212</v>
      </c>
      <c r="D270" s="5" t="s">
        <v>2213</v>
      </c>
      <c r="E270" s="5" t="s">
        <v>1346</v>
      </c>
      <c r="F270" s="5" t="s">
        <v>2212</v>
      </c>
      <c r="G270" s="5" t="s">
        <v>2214</v>
      </c>
      <c r="H270" s="5" t="s">
        <v>76</v>
      </c>
      <c r="I270" s="5" t="s">
        <v>73</v>
      </c>
      <c r="J270" s="5" t="s">
        <v>53</v>
      </c>
      <c r="K270" s="5" t="s">
        <v>53</v>
      </c>
      <c r="L270" s="9" t="s">
        <v>803</v>
      </c>
      <c r="M270" s="9" t="s">
        <v>500</v>
      </c>
      <c r="N270" s="5" t="s">
        <v>888</v>
      </c>
      <c r="O270" s="5" t="s">
        <v>62</v>
      </c>
      <c r="P270" s="5" t="s">
        <v>2215</v>
      </c>
      <c r="Q270" s="193">
        <v>35710</v>
      </c>
      <c r="R270" s="195">
        <v>4.2313999999999998</v>
      </c>
      <c r="S270" s="196">
        <v>186.5</v>
      </c>
      <c r="T270" s="9"/>
      <c r="U270" s="193">
        <v>281.80799999999999</v>
      </c>
      <c r="V270" s="197">
        <v>2.1779999999999998E-3</v>
      </c>
      <c r="W270" s="197">
        <v>1.23572104960403E-3</v>
      </c>
      <c r="X270" s="197">
        <v>2.53284301237932E-4</v>
      </c>
    </row>
    <row r="271" spans="1:24">
      <c r="A271" s="5">
        <v>337</v>
      </c>
      <c r="B271" s="5">
        <v>9963</v>
      </c>
      <c r="C271" s="5" t="s">
        <v>2188</v>
      </c>
      <c r="D271" s="5" t="s">
        <v>2189</v>
      </c>
      <c r="E271" s="5" t="s">
        <v>429</v>
      </c>
      <c r="F271" s="5" t="s">
        <v>2190</v>
      </c>
      <c r="G271" s="5" t="s">
        <v>2191</v>
      </c>
      <c r="H271" s="5" t="s">
        <v>76</v>
      </c>
      <c r="I271" s="5" t="s">
        <v>73</v>
      </c>
      <c r="J271" s="5" t="s">
        <v>61</v>
      </c>
      <c r="K271" s="5" t="s">
        <v>188</v>
      </c>
      <c r="L271" s="9" t="s">
        <v>803</v>
      </c>
      <c r="M271" s="9" t="s">
        <v>475</v>
      </c>
      <c r="N271" s="5" t="s">
        <v>202</v>
      </c>
      <c r="O271" s="5" t="s">
        <v>62</v>
      </c>
      <c r="P271" s="5" t="s">
        <v>1215</v>
      </c>
      <c r="Q271" s="193">
        <v>2450</v>
      </c>
      <c r="R271" s="195">
        <v>3.3719999999999999</v>
      </c>
      <c r="S271" s="196">
        <v>22649</v>
      </c>
      <c r="T271" s="170">
        <v>1.454</v>
      </c>
      <c r="U271" s="193">
        <v>1876.028</v>
      </c>
      <c r="V271" s="197">
        <v>0</v>
      </c>
      <c r="W271" s="197">
        <v>8.2263460656140895E-3</v>
      </c>
      <c r="X271" s="197">
        <v>1.6861445515054801E-3</v>
      </c>
    </row>
    <row r="272" spans="1:24">
      <c r="A272" s="5">
        <v>337</v>
      </c>
      <c r="B272" s="5">
        <v>9964</v>
      </c>
      <c r="C272" s="5" t="s">
        <v>1822</v>
      </c>
      <c r="D272" s="5" t="s">
        <v>1823</v>
      </c>
      <c r="E272" s="5" t="s">
        <v>1346</v>
      </c>
      <c r="F272" s="5" t="s">
        <v>1824</v>
      </c>
      <c r="G272" s="5" t="s">
        <v>1825</v>
      </c>
      <c r="H272" s="5" t="s">
        <v>76</v>
      </c>
      <c r="I272" s="5" t="s">
        <v>73</v>
      </c>
      <c r="J272" s="5" t="s">
        <v>53</v>
      </c>
      <c r="K272" s="5" t="s">
        <v>53</v>
      </c>
      <c r="L272" s="9" t="s">
        <v>803</v>
      </c>
      <c r="M272" s="9" t="s">
        <v>311</v>
      </c>
      <c r="N272" s="5" t="s">
        <v>156</v>
      </c>
      <c r="O272" s="5" t="s">
        <v>62</v>
      </c>
      <c r="P272" s="5" t="s">
        <v>1259</v>
      </c>
      <c r="Q272" s="193">
        <v>1658</v>
      </c>
      <c r="R272" s="195">
        <v>1</v>
      </c>
      <c r="S272" s="196">
        <v>4100</v>
      </c>
      <c r="T272" s="9"/>
      <c r="U272" s="193">
        <v>67.977999999999994</v>
      </c>
      <c r="V272" s="197">
        <v>6.0000000000000002E-6</v>
      </c>
      <c r="W272" s="197">
        <v>1.41710154535661E-2</v>
      </c>
      <c r="X272" s="197">
        <v>1.75076007086215E-3</v>
      </c>
    </row>
    <row r="273" spans="1:24">
      <c r="A273" s="5">
        <v>337</v>
      </c>
      <c r="B273" s="5">
        <v>9964</v>
      </c>
      <c r="C273" s="5" t="s">
        <v>1826</v>
      </c>
      <c r="D273" s="5" t="s">
        <v>1827</v>
      </c>
      <c r="E273" s="5" t="s">
        <v>429</v>
      </c>
      <c r="F273" s="5" t="s">
        <v>1828</v>
      </c>
      <c r="G273" s="5" t="s">
        <v>1829</v>
      </c>
      <c r="H273" s="5" t="s">
        <v>76</v>
      </c>
      <c r="I273" s="5" t="s">
        <v>73</v>
      </c>
      <c r="J273" s="5" t="s">
        <v>53</v>
      </c>
      <c r="K273" s="5" t="s">
        <v>314</v>
      </c>
      <c r="L273" s="9" t="s">
        <v>803</v>
      </c>
      <c r="M273" s="9" t="s">
        <v>311</v>
      </c>
      <c r="N273" s="5" t="s">
        <v>629</v>
      </c>
      <c r="O273" s="5" t="s">
        <v>62</v>
      </c>
      <c r="P273" s="5" t="s">
        <v>1259</v>
      </c>
      <c r="Q273" s="193">
        <v>228</v>
      </c>
      <c r="R273" s="195">
        <v>1</v>
      </c>
      <c r="S273" s="196">
        <v>27780</v>
      </c>
      <c r="T273" s="9"/>
      <c r="U273" s="193">
        <v>63.338000000000001</v>
      </c>
      <c r="V273" s="197">
        <v>3.9999999999999998E-6</v>
      </c>
      <c r="W273" s="197">
        <v>1.32038224896901E-2</v>
      </c>
      <c r="X273" s="197">
        <v>1.6312680819131999E-3</v>
      </c>
    </row>
    <row r="274" spans="1:24">
      <c r="A274" s="5">
        <v>337</v>
      </c>
      <c r="B274" s="5">
        <v>9964</v>
      </c>
      <c r="C274" s="5" t="s">
        <v>1834</v>
      </c>
      <c r="D274" s="5" t="s">
        <v>1835</v>
      </c>
      <c r="E274" s="5" t="s">
        <v>1346</v>
      </c>
      <c r="F274" s="5" t="s">
        <v>1836</v>
      </c>
      <c r="G274" s="5" t="s">
        <v>1837</v>
      </c>
      <c r="H274" s="5" t="s">
        <v>76</v>
      </c>
      <c r="I274" s="5" t="s">
        <v>73</v>
      </c>
      <c r="J274" s="5" t="s">
        <v>53</v>
      </c>
      <c r="K274" s="5" t="s">
        <v>53</v>
      </c>
      <c r="L274" s="9" t="s">
        <v>803</v>
      </c>
      <c r="M274" s="9" t="s">
        <v>311</v>
      </c>
      <c r="N274" s="5" t="s">
        <v>265</v>
      </c>
      <c r="O274" s="5" t="s">
        <v>62</v>
      </c>
      <c r="P274" s="5" t="s">
        <v>1259</v>
      </c>
      <c r="Q274" s="193">
        <v>3617</v>
      </c>
      <c r="R274" s="195">
        <v>1</v>
      </c>
      <c r="S274" s="196">
        <v>2309</v>
      </c>
      <c r="T274" s="9"/>
      <c r="U274" s="193">
        <v>83.516999999999996</v>
      </c>
      <c r="V274" s="197">
        <v>3.0000000000000001E-6</v>
      </c>
      <c r="W274" s="197">
        <v>1.7410250923213699E-2</v>
      </c>
      <c r="X274" s="197">
        <v>2.1509518665003501E-3</v>
      </c>
    </row>
    <row r="275" spans="1:24">
      <c r="A275" s="5">
        <v>337</v>
      </c>
      <c r="B275" s="5">
        <v>9964</v>
      </c>
      <c r="C275" s="5" t="s">
        <v>1838</v>
      </c>
      <c r="D275" s="5" t="s">
        <v>1839</v>
      </c>
      <c r="E275" s="5" t="s">
        <v>1346</v>
      </c>
      <c r="F275" s="5" t="s">
        <v>1840</v>
      </c>
      <c r="G275" s="5" t="s">
        <v>1841</v>
      </c>
      <c r="H275" s="5" t="s">
        <v>76</v>
      </c>
      <c r="I275" s="5" t="s">
        <v>73</v>
      </c>
      <c r="J275" s="5" t="s">
        <v>53</v>
      </c>
      <c r="K275" s="5" t="s">
        <v>53</v>
      </c>
      <c r="L275" s="9" t="s">
        <v>803</v>
      </c>
      <c r="M275" s="9" t="s">
        <v>311</v>
      </c>
      <c r="N275" s="5" t="s">
        <v>263</v>
      </c>
      <c r="O275" s="5" t="s">
        <v>62</v>
      </c>
      <c r="P275" s="5" t="s">
        <v>1259</v>
      </c>
      <c r="Q275" s="193">
        <v>3000</v>
      </c>
      <c r="R275" s="195">
        <v>1</v>
      </c>
      <c r="S275" s="196">
        <v>2100</v>
      </c>
      <c r="T275" s="9"/>
      <c r="U275" s="193">
        <v>63</v>
      </c>
      <c r="V275" s="197">
        <v>2.0000000000000002E-5</v>
      </c>
      <c r="W275" s="197">
        <v>1.31332780248708E-2</v>
      </c>
      <c r="X275" s="197">
        <v>1.6225526562169499E-3</v>
      </c>
    </row>
    <row r="276" spans="1:24">
      <c r="A276" s="5">
        <v>337</v>
      </c>
      <c r="B276" s="5">
        <v>9964</v>
      </c>
      <c r="C276" s="5" t="s">
        <v>1846</v>
      </c>
      <c r="D276" s="5" t="s">
        <v>1847</v>
      </c>
      <c r="E276" s="5" t="s">
        <v>1346</v>
      </c>
      <c r="F276" s="5" t="s">
        <v>1848</v>
      </c>
      <c r="G276" s="5" t="s">
        <v>1849</v>
      </c>
      <c r="H276" s="5" t="s">
        <v>76</v>
      </c>
      <c r="I276" s="5" t="s">
        <v>73</v>
      </c>
      <c r="J276" s="5" t="s">
        <v>53</v>
      </c>
      <c r="K276" s="5" t="s">
        <v>53</v>
      </c>
      <c r="L276" s="9" t="s">
        <v>803</v>
      </c>
      <c r="M276" s="9" t="s">
        <v>311</v>
      </c>
      <c r="N276" s="5" t="s">
        <v>636</v>
      </c>
      <c r="O276" s="5" t="s">
        <v>62</v>
      </c>
      <c r="P276" s="5" t="s">
        <v>1259</v>
      </c>
      <c r="Q276" s="193">
        <v>89</v>
      </c>
      <c r="R276" s="195">
        <v>1</v>
      </c>
      <c r="S276" s="196">
        <v>149800</v>
      </c>
      <c r="T276" s="170">
        <v>0.188</v>
      </c>
      <c r="U276" s="193">
        <v>133.51</v>
      </c>
      <c r="V276" s="197">
        <v>1.9999999999999999E-6</v>
      </c>
      <c r="W276" s="197">
        <v>2.7832176207733698E-2</v>
      </c>
      <c r="X276" s="197">
        <v>3.4385300721295501E-3</v>
      </c>
    </row>
    <row r="277" spans="1:24">
      <c r="A277" s="5">
        <v>337</v>
      </c>
      <c r="B277" s="5">
        <v>9964</v>
      </c>
      <c r="C277" s="5" t="s">
        <v>1850</v>
      </c>
      <c r="D277" s="5" t="s">
        <v>1851</v>
      </c>
      <c r="E277" s="5" t="s">
        <v>1346</v>
      </c>
      <c r="F277" s="5" t="s">
        <v>1852</v>
      </c>
      <c r="G277" s="5" t="s">
        <v>1853</v>
      </c>
      <c r="H277" s="5" t="s">
        <v>76</v>
      </c>
      <c r="I277" s="5" t="s">
        <v>73</v>
      </c>
      <c r="J277" s="5" t="s">
        <v>53</v>
      </c>
      <c r="K277" s="5" t="s">
        <v>53</v>
      </c>
      <c r="L277" s="9" t="s">
        <v>803</v>
      </c>
      <c r="M277" s="9" t="s">
        <v>311</v>
      </c>
      <c r="N277" s="5" t="s">
        <v>633</v>
      </c>
      <c r="O277" s="5" t="s">
        <v>62</v>
      </c>
      <c r="P277" s="5" t="s">
        <v>1259</v>
      </c>
      <c r="Q277" s="193">
        <v>992</v>
      </c>
      <c r="R277" s="195">
        <v>1</v>
      </c>
      <c r="S277" s="196">
        <v>3489</v>
      </c>
      <c r="T277" s="9"/>
      <c r="U277" s="193">
        <v>34.610999999999997</v>
      </c>
      <c r="V277" s="197">
        <v>5.0000000000000004E-6</v>
      </c>
      <c r="W277" s="197">
        <v>7.2151477734196797E-3</v>
      </c>
      <c r="X277" s="197">
        <v>8.9139643298422196E-4</v>
      </c>
    </row>
    <row r="278" spans="1:24">
      <c r="A278" s="5">
        <v>337</v>
      </c>
      <c r="B278" s="5">
        <v>9964</v>
      </c>
      <c r="C278" s="5" t="s">
        <v>1858</v>
      </c>
      <c r="D278" s="5" t="s">
        <v>1859</v>
      </c>
      <c r="E278" s="5" t="s">
        <v>1346</v>
      </c>
      <c r="F278" s="5" t="s">
        <v>1860</v>
      </c>
      <c r="G278" s="5" t="s">
        <v>1861</v>
      </c>
      <c r="H278" s="5" t="s">
        <v>76</v>
      </c>
      <c r="I278" s="5" t="s">
        <v>73</v>
      </c>
      <c r="J278" s="5" t="s">
        <v>53</v>
      </c>
      <c r="K278" s="5" t="s">
        <v>53</v>
      </c>
      <c r="L278" s="9" t="s">
        <v>803</v>
      </c>
      <c r="M278" s="9" t="s">
        <v>311</v>
      </c>
      <c r="N278" s="5" t="s">
        <v>633</v>
      </c>
      <c r="O278" s="5" t="s">
        <v>62</v>
      </c>
      <c r="P278" s="5" t="s">
        <v>1259</v>
      </c>
      <c r="Q278" s="193">
        <v>684</v>
      </c>
      <c r="R278" s="195">
        <v>1</v>
      </c>
      <c r="S278" s="196">
        <v>2281</v>
      </c>
      <c r="T278" s="9"/>
      <c r="U278" s="193">
        <v>15.602</v>
      </c>
      <c r="V278" s="197">
        <v>9.9999999999999995E-7</v>
      </c>
      <c r="W278" s="197">
        <v>3.2524750646849999E-3</v>
      </c>
      <c r="X278" s="197">
        <v>4.0182748324449298E-4</v>
      </c>
    </row>
    <row r="279" spans="1:24">
      <c r="A279" s="5">
        <v>337</v>
      </c>
      <c r="B279" s="5">
        <v>9964</v>
      </c>
      <c r="C279" s="5" t="s">
        <v>1862</v>
      </c>
      <c r="D279" s="5" t="s">
        <v>1863</v>
      </c>
      <c r="E279" s="5" t="s">
        <v>1346</v>
      </c>
      <c r="F279" s="5" t="s">
        <v>1864</v>
      </c>
      <c r="G279" s="5" t="s">
        <v>1865</v>
      </c>
      <c r="H279" s="5" t="s">
        <v>76</v>
      </c>
      <c r="I279" s="5" t="s">
        <v>73</v>
      </c>
      <c r="J279" s="5" t="s">
        <v>53</v>
      </c>
      <c r="K279" s="5" t="s">
        <v>314</v>
      </c>
      <c r="L279" s="9" t="s">
        <v>803</v>
      </c>
      <c r="M279" s="9" t="s">
        <v>311</v>
      </c>
      <c r="N279" s="5" t="s">
        <v>629</v>
      </c>
      <c r="O279" s="5" t="s">
        <v>62</v>
      </c>
      <c r="P279" s="5" t="s">
        <v>1259</v>
      </c>
      <c r="Q279" s="193">
        <v>502.2</v>
      </c>
      <c r="R279" s="195">
        <v>1</v>
      </c>
      <c r="S279" s="196">
        <v>7640</v>
      </c>
      <c r="T279" s="9"/>
      <c r="U279" s="193">
        <v>38.368000000000002</v>
      </c>
      <c r="V279" s="197">
        <v>3.9999999999999998E-6</v>
      </c>
      <c r="W279" s="197">
        <v>7.9983914590553099E-3</v>
      </c>
      <c r="X279" s="197">
        <v>9.88162382824512E-4</v>
      </c>
    </row>
    <row r="280" spans="1:24">
      <c r="A280" s="5">
        <v>337</v>
      </c>
      <c r="B280" s="5">
        <v>9964</v>
      </c>
      <c r="C280" s="5" t="s">
        <v>1866</v>
      </c>
      <c r="D280" s="5" t="s">
        <v>1867</v>
      </c>
      <c r="E280" s="5" t="s">
        <v>429</v>
      </c>
      <c r="F280" s="5" t="s">
        <v>1868</v>
      </c>
      <c r="G280" s="5" t="s">
        <v>1869</v>
      </c>
      <c r="H280" s="5" t="s">
        <v>76</v>
      </c>
      <c r="I280" s="5" t="s">
        <v>73</v>
      </c>
      <c r="J280" s="5" t="s">
        <v>53</v>
      </c>
      <c r="K280" s="5" t="s">
        <v>315</v>
      </c>
      <c r="L280" s="9" t="s">
        <v>803</v>
      </c>
      <c r="M280" s="9" t="s">
        <v>311</v>
      </c>
      <c r="N280" s="5" t="s">
        <v>267</v>
      </c>
      <c r="O280" s="5" t="s">
        <v>62</v>
      </c>
      <c r="P280" s="5" t="s">
        <v>1259</v>
      </c>
      <c r="Q280" s="193">
        <v>1525</v>
      </c>
      <c r="R280" s="195">
        <v>1</v>
      </c>
      <c r="S280" s="196">
        <v>4272</v>
      </c>
      <c r="T280" s="170">
        <v>1.5429999999999999</v>
      </c>
      <c r="U280" s="193">
        <v>66.691000000000003</v>
      </c>
      <c r="V280" s="197">
        <v>7.9999999999999996E-6</v>
      </c>
      <c r="W280" s="197">
        <v>1.3902656721277299E-2</v>
      </c>
      <c r="X280" s="197">
        <v>1.7176056540387399E-3</v>
      </c>
    </row>
    <row r="281" spans="1:24">
      <c r="A281" s="5">
        <v>337</v>
      </c>
      <c r="B281" s="5">
        <v>9964</v>
      </c>
      <c r="C281" s="5" t="s">
        <v>1870</v>
      </c>
      <c r="D281" s="5" t="s">
        <v>1871</v>
      </c>
      <c r="E281" s="5" t="s">
        <v>1346</v>
      </c>
      <c r="F281" s="5" t="s">
        <v>1872</v>
      </c>
      <c r="G281" s="5" t="s">
        <v>1873</v>
      </c>
      <c r="H281" s="5" t="s">
        <v>76</v>
      </c>
      <c r="I281" s="5" t="s">
        <v>73</v>
      </c>
      <c r="J281" s="5" t="s">
        <v>53</v>
      </c>
      <c r="K281" s="5" t="s">
        <v>53</v>
      </c>
      <c r="L281" s="9" t="s">
        <v>803</v>
      </c>
      <c r="M281" s="9" t="s">
        <v>311</v>
      </c>
      <c r="N281" s="5" t="s">
        <v>629</v>
      </c>
      <c r="O281" s="5" t="s">
        <v>62</v>
      </c>
      <c r="P281" s="5" t="s">
        <v>1259</v>
      </c>
      <c r="Q281" s="193">
        <v>1731</v>
      </c>
      <c r="R281" s="195">
        <v>1</v>
      </c>
      <c r="S281" s="196">
        <v>1244</v>
      </c>
      <c r="T281" s="9"/>
      <c r="U281" s="193">
        <v>21.533999999999999</v>
      </c>
      <c r="V281" s="197">
        <v>3.0000000000000001E-6</v>
      </c>
      <c r="W281" s="197">
        <v>4.4890044604361697E-3</v>
      </c>
      <c r="X281" s="197">
        <v>5.5459467904792796E-4</v>
      </c>
    </row>
    <row r="282" spans="1:24">
      <c r="A282" s="5">
        <v>337</v>
      </c>
      <c r="B282" s="5">
        <v>9964</v>
      </c>
      <c r="C282" s="5" t="s">
        <v>1874</v>
      </c>
      <c r="D282" s="5" t="s">
        <v>1875</v>
      </c>
      <c r="E282" s="5" t="s">
        <v>1346</v>
      </c>
      <c r="F282" s="5" t="s">
        <v>1876</v>
      </c>
      <c r="G282" s="5" t="s">
        <v>1877</v>
      </c>
      <c r="H282" s="5" t="s">
        <v>76</v>
      </c>
      <c r="I282" s="5" t="s">
        <v>73</v>
      </c>
      <c r="J282" s="5" t="s">
        <v>53</v>
      </c>
      <c r="K282" s="5" t="s">
        <v>53</v>
      </c>
      <c r="L282" s="9" t="s">
        <v>803</v>
      </c>
      <c r="M282" s="9" t="s">
        <v>311</v>
      </c>
      <c r="N282" s="5" t="s">
        <v>140</v>
      </c>
      <c r="O282" s="5" t="s">
        <v>62</v>
      </c>
      <c r="P282" s="5" t="s">
        <v>1259</v>
      </c>
      <c r="Q282" s="193">
        <v>2</v>
      </c>
      <c r="R282" s="195">
        <v>1</v>
      </c>
      <c r="S282" s="196">
        <v>30100</v>
      </c>
      <c r="T282" s="9"/>
      <c r="U282" s="193">
        <v>0.60199999999999998</v>
      </c>
      <c r="V282" s="197">
        <v>0</v>
      </c>
      <c r="W282" s="197">
        <v>1.2549576779321E-4</v>
      </c>
      <c r="X282" s="197">
        <v>1.55043920482953E-5</v>
      </c>
    </row>
    <row r="283" spans="1:24">
      <c r="A283" s="5">
        <v>337</v>
      </c>
      <c r="B283" s="5">
        <v>9964</v>
      </c>
      <c r="C283" s="5" t="s">
        <v>1878</v>
      </c>
      <c r="D283" s="5" t="s">
        <v>1879</v>
      </c>
      <c r="E283" s="5" t="s">
        <v>765</v>
      </c>
      <c r="F283" s="5" t="s">
        <v>1878</v>
      </c>
      <c r="G283" s="5" t="s">
        <v>1880</v>
      </c>
      <c r="H283" s="5" t="s">
        <v>76</v>
      </c>
      <c r="I283" s="5" t="s">
        <v>73</v>
      </c>
      <c r="J283" s="5" t="s">
        <v>53</v>
      </c>
      <c r="K283" s="5" t="s">
        <v>153</v>
      </c>
      <c r="L283" s="9" t="s">
        <v>803</v>
      </c>
      <c r="M283" s="9" t="s">
        <v>311</v>
      </c>
      <c r="N283" s="5" t="s">
        <v>634</v>
      </c>
      <c r="O283" s="5" t="s">
        <v>62</v>
      </c>
      <c r="P283" s="5" t="s">
        <v>1259</v>
      </c>
      <c r="Q283" s="193">
        <v>416</v>
      </c>
      <c r="R283" s="195">
        <v>1</v>
      </c>
      <c r="S283" s="196">
        <v>12250</v>
      </c>
      <c r="T283" s="9"/>
      <c r="U283" s="193">
        <v>50.96</v>
      </c>
      <c r="V283" s="197">
        <v>1.9000000000000001E-5</v>
      </c>
      <c r="W283" s="197">
        <v>1.0623362669006599E-2</v>
      </c>
      <c r="X283" s="197">
        <v>1.31246481525104E-3</v>
      </c>
    </row>
    <row r="284" spans="1:24">
      <c r="A284" s="5">
        <v>337</v>
      </c>
      <c r="B284" s="5">
        <v>9964</v>
      </c>
      <c r="C284" s="5" t="s">
        <v>1881</v>
      </c>
      <c r="D284" s="5" t="s">
        <v>1882</v>
      </c>
      <c r="E284" s="5" t="s">
        <v>1346</v>
      </c>
      <c r="F284" s="5" t="s">
        <v>1883</v>
      </c>
      <c r="G284" s="5" t="s">
        <v>1884</v>
      </c>
      <c r="H284" s="5" t="s">
        <v>76</v>
      </c>
      <c r="I284" s="5" t="s">
        <v>73</v>
      </c>
      <c r="J284" s="5" t="s">
        <v>53</v>
      </c>
      <c r="K284" s="5" t="s">
        <v>53</v>
      </c>
      <c r="L284" s="9" t="s">
        <v>803</v>
      </c>
      <c r="M284" s="9" t="s">
        <v>311</v>
      </c>
      <c r="N284" s="5" t="s">
        <v>140</v>
      </c>
      <c r="O284" s="5" t="s">
        <v>62</v>
      </c>
      <c r="P284" s="5" t="s">
        <v>1259</v>
      </c>
      <c r="Q284" s="193">
        <v>700</v>
      </c>
      <c r="R284" s="195">
        <v>1</v>
      </c>
      <c r="S284" s="196">
        <v>7670</v>
      </c>
      <c r="T284" s="9"/>
      <c r="U284" s="193">
        <v>53.69</v>
      </c>
      <c r="V284" s="197">
        <v>6.0000000000000002E-6</v>
      </c>
      <c r="W284" s="197">
        <v>1.1192471383417699E-2</v>
      </c>
      <c r="X284" s="197">
        <v>1.3827754303537801E-3</v>
      </c>
    </row>
    <row r="285" spans="1:24">
      <c r="A285" s="5">
        <v>337</v>
      </c>
      <c r="B285" s="5">
        <v>9964</v>
      </c>
      <c r="C285" s="5" t="s">
        <v>1885</v>
      </c>
      <c r="D285" s="5" t="s">
        <v>1886</v>
      </c>
      <c r="E285" s="5" t="s">
        <v>1346</v>
      </c>
      <c r="F285" s="5" t="s">
        <v>1887</v>
      </c>
      <c r="G285" s="5" t="s">
        <v>1888</v>
      </c>
      <c r="H285" s="5" t="s">
        <v>76</v>
      </c>
      <c r="I285" s="5" t="s">
        <v>73</v>
      </c>
      <c r="J285" s="5" t="s">
        <v>53</v>
      </c>
      <c r="K285" s="5" t="s">
        <v>53</v>
      </c>
      <c r="L285" s="9" t="s">
        <v>803</v>
      </c>
      <c r="M285" s="9" t="s">
        <v>311</v>
      </c>
      <c r="N285" s="5" t="s">
        <v>260</v>
      </c>
      <c r="O285" s="5" t="s">
        <v>62</v>
      </c>
      <c r="P285" s="5" t="s">
        <v>1259</v>
      </c>
      <c r="Q285" s="193">
        <v>11278</v>
      </c>
      <c r="R285" s="195">
        <v>1</v>
      </c>
      <c r="S285" s="196">
        <v>575</v>
      </c>
      <c r="T285" s="9"/>
      <c r="U285" s="193">
        <v>64.849000000000004</v>
      </c>
      <c r="V285" s="197">
        <v>3.9999999999999998E-6</v>
      </c>
      <c r="W285" s="197">
        <v>1.3518625079299001E-2</v>
      </c>
      <c r="X285" s="197">
        <v>1.67016041153468E-3</v>
      </c>
    </row>
    <row r="286" spans="1:24">
      <c r="A286" s="5">
        <v>337</v>
      </c>
      <c r="B286" s="5">
        <v>9964</v>
      </c>
      <c r="C286" s="5" t="s">
        <v>1687</v>
      </c>
      <c r="D286" s="5" t="s">
        <v>1688</v>
      </c>
      <c r="E286" s="5" t="s">
        <v>1346</v>
      </c>
      <c r="F286" s="5" t="s">
        <v>1889</v>
      </c>
      <c r="G286" s="5" t="s">
        <v>1692</v>
      </c>
      <c r="H286" s="5" t="s">
        <v>76</v>
      </c>
      <c r="I286" s="5" t="s">
        <v>73</v>
      </c>
      <c r="J286" s="5" t="s">
        <v>53</v>
      </c>
      <c r="K286" s="5" t="s">
        <v>53</v>
      </c>
      <c r="L286" s="9" t="s">
        <v>803</v>
      </c>
      <c r="M286" s="9" t="s">
        <v>311</v>
      </c>
      <c r="N286" s="5" t="s">
        <v>633</v>
      </c>
      <c r="O286" s="5" t="s">
        <v>62</v>
      </c>
      <c r="P286" s="5" t="s">
        <v>1259</v>
      </c>
      <c r="Q286" s="193">
        <v>152</v>
      </c>
      <c r="R286" s="195">
        <v>1</v>
      </c>
      <c r="S286" s="196">
        <v>64490</v>
      </c>
      <c r="T286" s="9"/>
      <c r="U286" s="193">
        <v>98.025000000000006</v>
      </c>
      <c r="V286" s="197">
        <v>6.0000000000000002E-6</v>
      </c>
      <c r="W286" s="197">
        <v>2.04347135195612E-2</v>
      </c>
      <c r="X286" s="197">
        <v>2.5246095177005501E-3</v>
      </c>
    </row>
    <row r="287" spans="1:24">
      <c r="A287" s="5">
        <v>337</v>
      </c>
      <c r="B287" s="5">
        <v>9964</v>
      </c>
      <c r="C287" s="5" t="s">
        <v>1890</v>
      </c>
      <c r="D287" s="5" t="s">
        <v>1891</v>
      </c>
      <c r="E287" s="5" t="s">
        <v>1346</v>
      </c>
      <c r="F287" s="5" t="s">
        <v>1892</v>
      </c>
      <c r="G287" s="5" t="s">
        <v>1893</v>
      </c>
      <c r="H287" s="5" t="s">
        <v>76</v>
      </c>
      <c r="I287" s="5" t="s">
        <v>73</v>
      </c>
      <c r="J287" s="5" t="s">
        <v>53</v>
      </c>
      <c r="K287" s="5" t="s">
        <v>53</v>
      </c>
      <c r="L287" s="9" t="s">
        <v>803</v>
      </c>
      <c r="M287" s="9" t="s">
        <v>311</v>
      </c>
      <c r="N287" s="5" t="s">
        <v>256</v>
      </c>
      <c r="O287" s="5" t="s">
        <v>62</v>
      </c>
      <c r="P287" s="5" t="s">
        <v>1259</v>
      </c>
      <c r="Q287" s="193">
        <v>365</v>
      </c>
      <c r="R287" s="195">
        <v>1</v>
      </c>
      <c r="S287" s="196">
        <v>24370</v>
      </c>
      <c r="T287" s="9"/>
      <c r="U287" s="193">
        <v>88.950999999999993</v>
      </c>
      <c r="V287" s="197">
        <v>3.9999999999999998E-6</v>
      </c>
      <c r="W287" s="197">
        <v>1.8543042015099501E-2</v>
      </c>
      <c r="X287" s="197">
        <v>2.2909026991559602E-3</v>
      </c>
    </row>
    <row r="288" spans="1:24">
      <c r="A288" s="5">
        <v>337</v>
      </c>
      <c r="B288" s="5">
        <v>9964</v>
      </c>
      <c r="C288" s="5" t="s">
        <v>1894</v>
      </c>
      <c r="D288" s="5" t="s">
        <v>1895</v>
      </c>
      <c r="E288" s="5" t="s">
        <v>1346</v>
      </c>
      <c r="F288" s="5" t="s">
        <v>1896</v>
      </c>
      <c r="G288" s="5" t="s">
        <v>1897</v>
      </c>
      <c r="H288" s="5" t="s">
        <v>76</v>
      </c>
      <c r="I288" s="5" t="s">
        <v>73</v>
      </c>
      <c r="J288" s="5" t="s">
        <v>53</v>
      </c>
      <c r="K288" s="5" t="s">
        <v>53</v>
      </c>
      <c r="L288" s="9" t="s">
        <v>803</v>
      </c>
      <c r="M288" s="9" t="s">
        <v>311</v>
      </c>
      <c r="N288" s="5" t="s">
        <v>633</v>
      </c>
      <c r="O288" s="5" t="s">
        <v>62</v>
      </c>
      <c r="P288" s="5" t="s">
        <v>1259</v>
      </c>
      <c r="Q288" s="193">
        <v>2185</v>
      </c>
      <c r="R288" s="195">
        <v>1</v>
      </c>
      <c r="S288" s="196">
        <v>1506</v>
      </c>
      <c r="T288" s="9"/>
      <c r="U288" s="193">
        <v>32.905999999999999</v>
      </c>
      <c r="V288" s="197">
        <v>3.1000000000000001E-5</v>
      </c>
      <c r="W288" s="197">
        <v>6.8597612700666798E-3</v>
      </c>
      <c r="X288" s="197">
        <v>8.4749015810699105E-4</v>
      </c>
    </row>
    <row r="289" spans="1:24">
      <c r="A289" s="5">
        <v>337</v>
      </c>
      <c r="B289" s="5">
        <v>9964</v>
      </c>
      <c r="C289" s="5" t="s">
        <v>1898</v>
      </c>
      <c r="D289" s="5" t="s">
        <v>1899</v>
      </c>
      <c r="E289" s="5" t="s">
        <v>1346</v>
      </c>
      <c r="F289" s="5" t="s">
        <v>1900</v>
      </c>
      <c r="G289" s="5" t="s">
        <v>1901</v>
      </c>
      <c r="H289" s="5" t="s">
        <v>76</v>
      </c>
      <c r="I289" s="5" t="s">
        <v>73</v>
      </c>
      <c r="J289" s="5" t="s">
        <v>53</v>
      </c>
      <c r="K289" s="5" t="s">
        <v>53</v>
      </c>
      <c r="L289" s="9" t="s">
        <v>803</v>
      </c>
      <c r="M289" s="9" t="s">
        <v>311</v>
      </c>
      <c r="N289" s="5" t="s">
        <v>263</v>
      </c>
      <c r="O289" s="5" t="s">
        <v>62</v>
      </c>
      <c r="P289" s="5" t="s">
        <v>1259</v>
      </c>
      <c r="Q289" s="193">
        <v>205</v>
      </c>
      <c r="R289" s="195">
        <v>1</v>
      </c>
      <c r="S289" s="196">
        <v>56070</v>
      </c>
      <c r="T289" s="9"/>
      <c r="U289" s="193">
        <v>114.944</v>
      </c>
      <c r="V289" s="197">
        <v>2.3E-5</v>
      </c>
      <c r="W289" s="197">
        <v>2.3961665756376802E-2</v>
      </c>
      <c r="X289" s="197">
        <v>2.96034732126782E-3</v>
      </c>
    </row>
    <row r="290" spans="1:24">
      <c r="A290" s="5">
        <v>337</v>
      </c>
      <c r="B290" s="5">
        <v>9964</v>
      </c>
      <c r="C290" s="5" t="s">
        <v>1910</v>
      </c>
      <c r="D290" s="5" t="s">
        <v>1911</v>
      </c>
      <c r="E290" s="5" t="s">
        <v>1346</v>
      </c>
      <c r="F290" s="5" t="s">
        <v>1912</v>
      </c>
      <c r="G290" s="5" t="s">
        <v>1913</v>
      </c>
      <c r="H290" s="5" t="s">
        <v>76</v>
      </c>
      <c r="I290" s="5" t="s">
        <v>73</v>
      </c>
      <c r="J290" s="5" t="s">
        <v>53</v>
      </c>
      <c r="K290" s="5" t="s">
        <v>53</v>
      </c>
      <c r="L290" s="9" t="s">
        <v>803</v>
      </c>
      <c r="M290" s="9" t="s">
        <v>311</v>
      </c>
      <c r="N290" s="5" t="s">
        <v>256</v>
      </c>
      <c r="O290" s="5" t="s">
        <v>62</v>
      </c>
      <c r="P290" s="5" t="s">
        <v>1259</v>
      </c>
      <c r="Q290" s="193">
        <v>2833</v>
      </c>
      <c r="R290" s="195">
        <v>1</v>
      </c>
      <c r="S290" s="196">
        <v>3356</v>
      </c>
      <c r="T290" s="9"/>
      <c r="U290" s="193">
        <v>95.075000000000003</v>
      </c>
      <c r="V290" s="197">
        <v>1.9999999999999999E-6</v>
      </c>
      <c r="W290" s="197">
        <v>1.98198843204451E-2</v>
      </c>
      <c r="X290" s="197">
        <v>2.44865035896986E-3</v>
      </c>
    </row>
    <row r="291" spans="1:24">
      <c r="A291" s="5">
        <v>337</v>
      </c>
      <c r="B291" s="5">
        <v>9964</v>
      </c>
      <c r="C291" s="5" t="s">
        <v>1918</v>
      </c>
      <c r="D291" s="5" t="s">
        <v>1919</v>
      </c>
      <c r="E291" s="5" t="s">
        <v>1346</v>
      </c>
      <c r="F291" s="5" t="s">
        <v>1920</v>
      </c>
      <c r="G291" s="5" t="s">
        <v>1921</v>
      </c>
      <c r="H291" s="5" t="s">
        <v>76</v>
      </c>
      <c r="I291" s="5" t="s">
        <v>73</v>
      </c>
      <c r="J291" s="5" t="s">
        <v>53</v>
      </c>
      <c r="K291" s="5" t="s">
        <v>53</v>
      </c>
      <c r="L291" s="9" t="s">
        <v>803</v>
      </c>
      <c r="M291" s="9" t="s">
        <v>311</v>
      </c>
      <c r="N291" s="5" t="s">
        <v>632</v>
      </c>
      <c r="O291" s="5" t="s">
        <v>62</v>
      </c>
      <c r="P291" s="5" t="s">
        <v>1259</v>
      </c>
      <c r="Q291" s="193">
        <v>324</v>
      </c>
      <c r="R291" s="195">
        <v>1</v>
      </c>
      <c r="S291" s="196">
        <v>10170</v>
      </c>
      <c r="T291" s="9"/>
      <c r="U291" s="193">
        <v>32.951000000000001</v>
      </c>
      <c r="V291" s="197">
        <v>1.2999999999999999E-5</v>
      </c>
      <c r="W291" s="197">
        <v>6.8690796435224204E-3</v>
      </c>
      <c r="X291" s="197">
        <v>8.4864139784878302E-4</v>
      </c>
    </row>
    <row r="292" spans="1:24">
      <c r="A292" s="5">
        <v>337</v>
      </c>
      <c r="B292" s="5">
        <v>9964</v>
      </c>
      <c r="C292" s="5" t="s">
        <v>1926</v>
      </c>
      <c r="D292" s="5" t="s">
        <v>1927</v>
      </c>
      <c r="E292" s="5" t="s">
        <v>1346</v>
      </c>
      <c r="F292" s="5" t="s">
        <v>1928</v>
      </c>
      <c r="G292" s="5" t="s">
        <v>1929</v>
      </c>
      <c r="H292" s="5" t="s">
        <v>76</v>
      </c>
      <c r="I292" s="5" t="s">
        <v>73</v>
      </c>
      <c r="J292" s="5" t="s">
        <v>53</v>
      </c>
      <c r="K292" s="5" t="s">
        <v>53</v>
      </c>
      <c r="L292" s="9" t="s">
        <v>803</v>
      </c>
      <c r="M292" s="9" t="s">
        <v>311</v>
      </c>
      <c r="N292" s="5" t="s">
        <v>257</v>
      </c>
      <c r="O292" s="5" t="s">
        <v>62</v>
      </c>
      <c r="P292" s="5" t="s">
        <v>1259</v>
      </c>
      <c r="Q292" s="193">
        <v>288</v>
      </c>
      <c r="R292" s="195">
        <v>1</v>
      </c>
      <c r="S292" s="196">
        <v>6510</v>
      </c>
      <c r="T292" s="9"/>
      <c r="U292" s="193">
        <v>18.748999999999999</v>
      </c>
      <c r="V292" s="197">
        <v>3.0000000000000001E-6</v>
      </c>
      <c r="W292" s="197">
        <v>3.9084635402015502E-3</v>
      </c>
      <c r="X292" s="197">
        <v>4.8287167049016302E-4</v>
      </c>
    </row>
    <row r="293" spans="1:24">
      <c r="A293" s="5">
        <v>337</v>
      </c>
      <c r="B293" s="5">
        <v>9964</v>
      </c>
      <c r="C293" s="5" t="s">
        <v>1930</v>
      </c>
      <c r="D293" s="5" t="s">
        <v>1931</v>
      </c>
      <c r="E293" s="5" t="s">
        <v>1346</v>
      </c>
      <c r="F293" s="5" t="s">
        <v>1932</v>
      </c>
      <c r="G293" s="5" t="s">
        <v>1933</v>
      </c>
      <c r="H293" s="5" t="s">
        <v>76</v>
      </c>
      <c r="I293" s="5" t="s">
        <v>73</v>
      </c>
      <c r="J293" s="5" t="s">
        <v>53</v>
      </c>
      <c r="K293" s="5" t="s">
        <v>53</v>
      </c>
      <c r="L293" s="9" t="s">
        <v>803</v>
      </c>
      <c r="M293" s="9" t="s">
        <v>311</v>
      </c>
      <c r="N293" s="5" t="s">
        <v>258</v>
      </c>
      <c r="O293" s="5" t="s">
        <v>62</v>
      </c>
      <c r="P293" s="5" t="s">
        <v>1259</v>
      </c>
      <c r="Q293" s="193">
        <v>10000</v>
      </c>
      <c r="R293" s="195">
        <v>1</v>
      </c>
      <c r="S293" s="196">
        <v>732.6</v>
      </c>
      <c r="T293" s="170">
        <v>1.198</v>
      </c>
      <c r="U293" s="193">
        <v>74.457999999999998</v>
      </c>
      <c r="V293" s="197">
        <v>1.0900000000000001E-4</v>
      </c>
      <c r="W293" s="197">
        <v>1.5521948208797799E-2</v>
      </c>
      <c r="X293" s="197">
        <v>1.9176612455894799E-3</v>
      </c>
    </row>
    <row r="294" spans="1:24">
      <c r="A294" s="5">
        <v>337</v>
      </c>
      <c r="B294" s="5">
        <v>9964</v>
      </c>
      <c r="C294" s="5" t="s">
        <v>1934</v>
      </c>
      <c r="D294" s="5" t="s">
        <v>1935</v>
      </c>
      <c r="E294" s="5" t="s">
        <v>1346</v>
      </c>
      <c r="F294" s="5" t="s">
        <v>1936</v>
      </c>
      <c r="G294" s="5" t="s">
        <v>1937</v>
      </c>
      <c r="H294" s="5" t="s">
        <v>76</v>
      </c>
      <c r="I294" s="5" t="s">
        <v>73</v>
      </c>
      <c r="J294" s="5" t="s">
        <v>53</v>
      </c>
      <c r="K294" s="5" t="s">
        <v>53</v>
      </c>
      <c r="L294" s="9" t="s">
        <v>803</v>
      </c>
      <c r="M294" s="9" t="s">
        <v>311</v>
      </c>
      <c r="N294" s="5" t="s">
        <v>140</v>
      </c>
      <c r="O294" s="5" t="s">
        <v>62</v>
      </c>
      <c r="P294" s="5" t="s">
        <v>1259</v>
      </c>
      <c r="Q294" s="193">
        <v>5000</v>
      </c>
      <c r="R294" s="195">
        <v>1</v>
      </c>
      <c r="S294" s="196">
        <v>711.9</v>
      </c>
      <c r="T294" s="9"/>
      <c r="U294" s="193">
        <v>35.594999999999999</v>
      </c>
      <c r="V294" s="197">
        <v>5.7000000000000003E-5</v>
      </c>
      <c r="W294" s="197">
        <v>7.4203020840519999E-3</v>
      </c>
      <c r="X294" s="197">
        <v>9.16742250762575E-4</v>
      </c>
    </row>
    <row r="295" spans="1:24">
      <c r="A295" s="5">
        <v>337</v>
      </c>
      <c r="B295" s="5">
        <v>9964</v>
      </c>
      <c r="C295" s="5" t="s">
        <v>1938</v>
      </c>
      <c r="D295" s="5" t="s">
        <v>1939</v>
      </c>
      <c r="E295" s="5" t="s">
        <v>1346</v>
      </c>
      <c r="F295" s="5" t="s">
        <v>1940</v>
      </c>
      <c r="G295" s="5" t="s">
        <v>1941</v>
      </c>
      <c r="H295" s="5" t="s">
        <v>76</v>
      </c>
      <c r="I295" s="5" t="s">
        <v>73</v>
      </c>
      <c r="J295" s="5" t="s">
        <v>53</v>
      </c>
      <c r="K295" s="5" t="s">
        <v>53</v>
      </c>
      <c r="L295" s="9" t="s">
        <v>803</v>
      </c>
      <c r="M295" s="9" t="s">
        <v>311</v>
      </c>
      <c r="N295" s="5" t="s">
        <v>269</v>
      </c>
      <c r="O295" s="5" t="s">
        <v>62</v>
      </c>
      <c r="P295" s="5" t="s">
        <v>1259</v>
      </c>
      <c r="Q295" s="193">
        <v>1127</v>
      </c>
      <c r="R295" s="195">
        <v>1</v>
      </c>
      <c r="S295" s="196">
        <v>9745</v>
      </c>
      <c r="T295" s="9"/>
      <c r="U295" s="193">
        <v>109.82599999999999</v>
      </c>
      <c r="V295" s="197">
        <v>3.9999999999999998E-6</v>
      </c>
      <c r="W295" s="197">
        <v>2.28948787674788E-2</v>
      </c>
      <c r="X295" s="197">
        <v>2.8285509746758799E-3</v>
      </c>
    </row>
    <row r="296" spans="1:24">
      <c r="A296" s="5">
        <v>337</v>
      </c>
      <c r="B296" s="5">
        <v>9964</v>
      </c>
      <c r="C296" s="5" t="s">
        <v>1942</v>
      </c>
      <c r="D296" s="5" t="s">
        <v>1943</v>
      </c>
      <c r="E296" s="5" t="s">
        <v>1346</v>
      </c>
      <c r="F296" s="5" t="s">
        <v>1944</v>
      </c>
      <c r="G296" s="5" t="s">
        <v>1945</v>
      </c>
      <c r="H296" s="5" t="s">
        <v>76</v>
      </c>
      <c r="I296" s="5" t="s">
        <v>73</v>
      </c>
      <c r="J296" s="5" t="s">
        <v>53</v>
      </c>
      <c r="K296" s="5" t="s">
        <v>53</v>
      </c>
      <c r="L296" s="9" t="s">
        <v>803</v>
      </c>
      <c r="M296" s="9" t="s">
        <v>311</v>
      </c>
      <c r="N296" s="5" t="s">
        <v>269</v>
      </c>
      <c r="O296" s="5" t="s">
        <v>62</v>
      </c>
      <c r="P296" s="5" t="s">
        <v>1259</v>
      </c>
      <c r="Q296" s="193">
        <v>1698</v>
      </c>
      <c r="R296" s="195">
        <v>1</v>
      </c>
      <c r="S296" s="196">
        <v>9432</v>
      </c>
      <c r="T296" s="9"/>
      <c r="U296" s="193">
        <v>160.155</v>
      </c>
      <c r="V296" s="197">
        <v>7.9999999999999996E-6</v>
      </c>
      <c r="W296" s="197">
        <v>3.3386743969099499E-2</v>
      </c>
      <c r="X296" s="197">
        <v>4.1247699170695396E-3</v>
      </c>
    </row>
    <row r="297" spans="1:24">
      <c r="A297" s="5">
        <v>337</v>
      </c>
      <c r="B297" s="5">
        <v>9964</v>
      </c>
      <c r="C297" s="5" t="s">
        <v>1946</v>
      </c>
      <c r="D297" s="5" t="s">
        <v>1947</v>
      </c>
      <c r="E297" s="5" t="s">
        <v>1346</v>
      </c>
      <c r="F297" s="5" t="s">
        <v>1948</v>
      </c>
      <c r="G297" s="5" t="s">
        <v>1949</v>
      </c>
      <c r="H297" s="5" t="s">
        <v>76</v>
      </c>
      <c r="I297" s="5" t="s">
        <v>73</v>
      </c>
      <c r="J297" s="5" t="s">
        <v>53</v>
      </c>
      <c r="K297" s="5" t="s">
        <v>53</v>
      </c>
      <c r="L297" s="9" t="s">
        <v>803</v>
      </c>
      <c r="M297" s="9" t="s">
        <v>311</v>
      </c>
      <c r="N297" s="5" t="s">
        <v>252</v>
      </c>
      <c r="O297" s="5" t="s">
        <v>62</v>
      </c>
      <c r="P297" s="5" t="s">
        <v>1259</v>
      </c>
      <c r="Q297" s="193">
        <v>225</v>
      </c>
      <c r="R297" s="195">
        <v>1</v>
      </c>
      <c r="S297" s="196">
        <v>8680</v>
      </c>
      <c r="T297" s="9"/>
      <c r="U297" s="193">
        <v>19.53</v>
      </c>
      <c r="V297" s="197">
        <v>3.0000000000000001E-6</v>
      </c>
      <c r="W297" s="197">
        <v>4.0713161877099502E-3</v>
      </c>
      <c r="X297" s="197">
        <v>5.0299132342725302E-4</v>
      </c>
    </row>
    <row r="298" spans="1:24">
      <c r="A298" s="5">
        <v>337</v>
      </c>
      <c r="B298" s="5">
        <v>9964</v>
      </c>
      <c r="C298" s="5" t="s">
        <v>2192</v>
      </c>
      <c r="D298" s="5" t="s">
        <v>2193</v>
      </c>
      <c r="E298" s="5" t="s">
        <v>1346</v>
      </c>
      <c r="F298" s="5" t="s">
        <v>2194</v>
      </c>
      <c r="G298" s="5" t="s">
        <v>2195</v>
      </c>
      <c r="H298" s="5" t="s">
        <v>76</v>
      </c>
      <c r="I298" s="5" t="s">
        <v>73</v>
      </c>
      <c r="J298" s="5" t="s">
        <v>53</v>
      </c>
      <c r="K298" s="5" t="s">
        <v>53</v>
      </c>
      <c r="L298" s="9" t="s">
        <v>803</v>
      </c>
      <c r="M298" s="9" t="s">
        <v>311</v>
      </c>
      <c r="N298" s="5" t="s">
        <v>690</v>
      </c>
      <c r="O298" s="5" t="s">
        <v>62</v>
      </c>
      <c r="P298" s="5" t="s">
        <v>1259</v>
      </c>
      <c r="Q298" s="193">
        <v>33</v>
      </c>
      <c r="R298" s="195">
        <v>1</v>
      </c>
      <c r="S298" s="196">
        <v>112370</v>
      </c>
      <c r="T298" s="9"/>
      <c r="U298" s="193">
        <v>37.082000000000001</v>
      </c>
      <c r="V298" s="197">
        <v>3.9999999999999998E-6</v>
      </c>
      <c r="W298" s="197">
        <v>7.7303099848581198E-3</v>
      </c>
      <c r="X298" s="197">
        <v>9.5504221989051402E-4</v>
      </c>
    </row>
    <row r="299" spans="1:24">
      <c r="A299" s="5">
        <v>337</v>
      </c>
      <c r="B299" s="5">
        <v>9964</v>
      </c>
      <c r="C299" s="5" t="s">
        <v>1950</v>
      </c>
      <c r="D299" s="5" t="s">
        <v>1951</v>
      </c>
      <c r="E299" s="5" t="s">
        <v>1346</v>
      </c>
      <c r="F299" s="5" t="s">
        <v>1952</v>
      </c>
      <c r="G299" s="5" t="s">
        <v>1953</v>
      </c>
      <c r="H299" s="5" t="s">
        <v>76</v>
      </c>
      <c r="I299" s="5" t="s">
        <v>73</v>
      </c>
      <c r="J299" s="5" t="s">
        <v>53</v>
      </c>
      <c r="K299" s="5" t="s">
        <v>53</v>
      </c>
      <c r="L299" s="9" t="s">
        <v>803</v>
      </c>
      <c r="M299" s="9" t="s">
        <v>311</v>
      </c>
      <c r="N299" s="5" t="s">
        <v>140</v>
      </c>
      <c r="O299" s="5" t="s">
        <v>62</v>
      </c>
      <c r="P299" s="5" t="s">
        <v>1259</v>
      </c>
      <c r="Q299" s="193">
        <v>207</v>
      </c>
      <c r="R299" s="195">
        <v>1</v>
      </c>
      <c r="S299" s="196">
        <v>2063</v>
      </c>
      <c r="T299" s="9"/>
      <c r="U299" s="193">
        <v>4.2699999999999996</v>
      </c>
      <c r="V299" s="197">
        <v>3.0000000000000001E-6</v>
      </c>
      <c r="W299" s="197">
        <v>8.9022987000299204E-4</v>
      </c>
      <c r="X299" s="197">
        <v>1.0998357283548299E-4</v>
      </c>
    </row>
    <row r="300" spans="1:24">
      <c r="A300" s="5">
        <v>337</v>
      </c>
      <c r="B300" s="5">
        <v>9964</v>
      </c>
      <c r="C300" s="5" t="s">
        <v>1954</v>
      </c>
      <c r="D300" s="5" t="s">
        <v>1955</v>
      </c>
      <c r="E300" s="5" t="s">
        <v>1346</v>
      </c>
      <c r="F300" s="5" t="s">
        <v>1956</v>
      </c>
      <c r="G300" s="5" t="s">
        <v>1957</v>
      </c>
      <c r="H300" s="5" t="s">
        <v>76</v>
      </c>
      <c r="I300" s="5" t="s">
        <v>73</v>
      </c>
      <c r="J300" s="5" t="s">
        <v>53</v>
      </c>
      <c r="K300" s="5" t="s">
        <v>53</v>
      </c>
      <c r="L300" s="9" t="s">
        <v>803</v>
      </c>
      <c r="M300" s="9" t="s">
        <v>311</v>
      </c>
      <c r="N300" s="5" t="s">
        <v>252</v>
      </c>
      <c r="O300" s="5" t="s">
        <v>62</v>
      </c>
      <c r="P300" s="5" t="s">
        <v>1259</v>
      </c>
      <c r="Q300" s="193">
        <v>40</v>
      </c>
      <c r="R300" s="195">
        <v>1</v>
      </c>
      <c r="S300" s="196">
        <v>28610</v>
      </c>
      <c r="T300" s="9"/>
      <c r="U300" s="193">
        <v>11.444000000000001</v>
      </c>
      <c r="V300" s="197">
        <v>1.9999999999999999E-6</v>
      </c>
      <c r="W300" s="197">
        <v>2.3856703764543099E-3</v>
      </c>
      <c r="X300" s="197">
        <v>2.9473797774201202E-4</v>
      </c>
    </row>
    <row r="301" spans="1:24">
      <c r="A301" s="5">
        <v>337</v>
      </c>
      <c r="B301" s="5">
        <v>9964</v>
      </c>
      <c r="C301" s="5" t="s">
        <v>1958</v>
      </c>
      <c r="D301" s="5" t="s">
        <v>1959</v>
      </c>
      <c r="E301" s="5" t="s">
        <v>1346</v>
      </c>
      <c r="F301" s="5" t="s">
        <v>1960</v>
      </c>
      <c r="G301" s="5" t="s">
        <v>1961</v>
      </c>
      <c r="H301" s="5" t="s">
        <v>76</v>
      </c>
      <c r="I301" s="5" t="s">
        <v>73</v>
      </c>
      <c r="J301" s="5" t="s">
        <v>53</v>
      </c>
      <c r="K301" s="5" t="s">
        <v>53</v>
      </c>
      <c r="L301" s="9" t="s">
        <v>803</v>
      </c>
      <c r="M301" s="9" t="s">
        <v>311</v>
      </c>
      <c r="N301" s="5" t="s">
        <v>263</v>
      </c>
      <c r="O301" s="5" t="s">
        <v>62</v>
      </c>
      <c r="P301" s="5" t="s">
        <v>1259</v>
      </c>
      <c r="Q301" s="193">
        <v>1513</v>
      </c>
      <c r="R301" s="195">
        <v>1</v>
      </c>
      <c r="S301" s="196">
        <v>1866</v>
      </c>
      <c r="T301" s="170">
        <v>0.61899999999999999</v>
      </c>
      <c r="U301" s="193">
        <v>28.852</v>
      </c>
      <c r="V301" s="197">
        <v>4.1E-5</v>
      </c>
      <c r="W301" s="197">
        <v>6.0146077287512797E-3</v>
      </c>
      <c r="X301" s="197">
        <v>7.4307554655490197E-4</v>
      </c>
    </row>
    <row r="302" spans="1:24">
      <c r="A302" s="5">
        <v>337</v>
      </c>
      <c r="B302" s="5">
        <v>9964</v>
      </c>
      <c r="C302" s="5" t="s">
        <v>1962</v>
      </c>
      <c r="D302" s="5" t="s">
        <v>1963</v>
      </c>
      <c r="E302" s="5" t="s">
        <v>1346</v>
      </c>
      <c r="F302" s="5" t="s">
        <v>1964</v>
      </c>
      <c r="G302" s="5" t="s">
        <v>1965</v>
      </c>
      <c r="H302" s="5" t="s">
        <v>76</v>
      </c>
      <c r="I302" s="5" t="s">
        <v>73</v>
      </c>
      <c r="J302" s="5" t="s">
        <v>53</v>
      </c>
      <c r="K302" s="5" t="s">
        <v>317</v>
      </c>
      <c r="L302" s="9" t="s">
        <v>803</v>
      </c>
      <c r="M302" s="9" t="s">
        <v>311</v>
      </c>
      <c r="N302" s="5" t="s">
        <v>254</v>
      </c>
      <c r="O302" s="5" t="s">
        <v>62</v>
      </c>
      <c r="P302" s="5" t="s">
        <v>1259</v>
      </c>
      <c r="Q302" s="193">
        <v>207</v>
      </c>
      <c r="R302" s="195">
        <v>1</v>
      </c>
      <c r="S302" s="196">
        <v>14620</v>
      </c>
      <c r="T302" s="9"/>
      <c r="U302" s="193">
        <v>30.263000000000002</v>
      </c>
      <c r="V302" s="197">
        <v>1.9999999999999999E-6</v>
      </c>
      <c r="W302" s="197">
        <v>6.3088515266329403E-3</v>
      </c>
      <c r="X302" s="197">
        <v>7.7942793739929996E-4</v>
      </c>
    </row>
    <row r="303" spans="1:24">
      <c r="A303" s="5">
        <v>337</v>
      </c>
      <c r="B303" s="5">
        <v>9964</v>
      </c>
      <c r="C303" s="5" t="s">
        <v>1966</v>
      </c>
      <c r="D303" s="5" t="s">
        <v>1967</v>
      </c>
      <c r="E303" s="5" t="s">
        <v>1346</v>
      </c>
      <c r="F303" s="5" t="s">
        <v>1968</v>
      </c>
      <c r="G303" s="5" t="s">
        <v>1969</v>
      </c>
      <c r="H303" s="5" t="s">
        <v>76</v>
      </c>
      <c r="I303" s="5" t="s">
        <v>73</v>
      </c>
      <c r="J303" s="5" t="s">
        <v>53</v>
      </c>
      <c r="K303" s="5" t="s">
        <v>314</v>
      </c>
      <c r="L303" s="9" t="s">
        <v>803</v>
      </c>
      <c r="M303" s="9" t="s">
        <v>311</v>
      </c>
      <c r="N303" s="5" t="s">
        <v>85</v>
      </c>
      <c r="O303" s="5" t="s">
        <v>62</v>
      </c>
      <c r="P303" s="5" t="s">
        <v>1259</v>
      </c>
      <c r="Q303" s="193">
        <v>4336</v>
      </c>
      <c r="R303" s="195">
        <v>1</v>
      </c>
      <c r="S303" s="196">
        <v>5699</v>
      </c>
      <c r="T303" s="9"/>
      <c r="U303" s="193">
        <v>247.10900000000001</v>
      </c>
      <c r="V303" s="197">
        <v>3.0000000000000001E-6</v>
      </c>
      <c r="W303" s="197">
        <v>5.1513436055043001E-2</v>
      </c>
      <c r="X303" s="197">
        <v>6.3642346064469403E-3</v>
      </c>
    </row>
    <row r="304" spans="1:24">
      <c r="A304" s="5">
        <v>337</v>
      </c>
      <c r="B304" s="5">
        <v>9964</v>
      </c>
      <c r="C304" s="5" t="s">
        <v>1970</v>
      </c>
      <c r="D304" s="5" t="s">
        <v>1971</v>
      </c>
      <c r="E304" s="5" t="s">
        <v>1346</v>
      </c>
      <c r="F304" s="5" t="s">
        <v>1972</v>
      </c>
      <c r="G304" s="5" t="s">
        <v>1973</v>
      </c>
      <c r="H304" s="5" t="s">
        <v>76</v>
      </c>
      <c r="I304" s="5" t="s">
        <v>73</v>
      </c>
      <c r="J304" s="5" t="s">
        <v>53</v>
      </c>
      <c r="K304" s="5" t="s">
        <v>53</v>
      </c>
      <c r="L304" s="9" t="s">
        <v>803</v>
      </c>
      <c r="M304" s="9" t="s">
        <v>311</v>
      </c>
      <c r="N304" s="5" t="s">
        <v>632</v>
      </c>
      <c r="O304" s="5" t="s">
        <v>62</v>
      </c>
      <c r="P304" s="5" t="s">
        <v>1259</v>
      </c>
      <c r="Q304" s="193">
        <v>5515</v>
      </c>
      <c r="R304" s="195">
        <v>1</v>
      </c>
      <c r="S304" s="196">
        <v>810</v>
      </c>
      <c r="T304" s="9"/>
      <c r="U304" s="193">
        <v>44.671999999999997</v>
      </c>
      <c r="V304" s="197">
        <v>5.1E-5</v>
      </c>
      <c r="W304" s="197">
        <v>9.3124322109208908E-3</v>
      </c>
      <c r="X304" s="197">
        <v>1.1505057298761201E-3</v>
      </c>
    </row>
    <row r="305" spans="1:24">
      <c r="A305" s="5">
        <v>337</v>
      </c>
      <c r="B305" s="5">
        <v>9964</v>
      </c>
      <c r="C305" s="5" t="s">
        <v>1974</v>
      </c>
      <c r="D305" s="5" t="s">
        <v>1975</v>
      </c>
      <c r="E305" s="5" t="s">
        <v>431</v>
      </c>
      <c r="F305" s="5" t="s">
        <v>1976</v>
      </c>
      <c r="G305" s="5" t="s">
        <v>1977</v>
      </c>
      <c r="H305" s="5" t="s">
        <v>76</v>
      </c>
      <c r="I305" s="5" t="s">
        <v>73</v>
      </c>
      <c r="J305" s="5" t="s">
        <v>53</v>
      </c>
      <c r="K305" s="5" t="s">
        <v>53</v>
      </c>
      <c r="L305" s="9" t="s">
        <v>803</v>
      </c>
      <c r="M305" s="9" t="s">
        <v>311</v>
      </c>
      <c r="N305" s="5" t="s">
        <v>267</v>
      </c>
      <c r="O305" s="5" t="s">
        <v>62</v>
      </c>
      <c r="P305" s="5" t="s">
        <v>1259</v>
      </c>
      <c r="Q305" s="193">
        <v>19337</v>
      </c>
      <c r="R305" s="195">
        <v>1</v>
      </c>
      <c r="S305" s="196">
        <v>229.9</v>
      </c>
      <c r="T305" s="9"/>
      <c r="U305" s="193">
        <v>44.456000000000003</v>
      </c>
      <c r="V305" s="197">
        <v>6.9999999999999999E-6</v>
      </c>
      <c r="W305" s="197">
        <v>9.2674586553454594E-3</v>
      </c>
      <c r="X305" s="197">
        <v>1.14494946571113E-3</v>
      </c>
    </row>
    <row r="306" spans="1:24">
      <c r="A306" s="5">
        <v>337</v>
      </c>
      <c r="B306" s="5">
        <v>9964</v>
      </c>
      <c r="C306" s="5" t="s">
        <v>1982</v>
      </c>
      <c r="D306" s="5" t="s">
        <v>1983</v>
      </c>
      <c r="E306" s="5" t="s">
        <v>1346</v>
      </c>
      <c r="F306" s="5" t="s">
        <v>1984</v>
      </c>
      <c r="G306" s="5" t="s">
        <v>1985</v>
      </c>
      <c r="H306" s="5" t="s">
        <v>76</v>
      </c>
      <c r="I306" s="5" t="s">
        <v>73</v>
      </c>
      <c r="J306" s="5" t="s">
        <v>53</v>
      </c>
      <c r="K306" s="5" t="s">
        <v>53</v>
      </c>
      <c r="L306" s="9" t="s">
        <v>803</v>
      </c>
      <c r="M306" s="9" t="s">
        <v>311</v>
      </c>
      <c r="N306" s="5" t="s">
        <v>269</v>
      </c>
      <c r="O306" s="5" t="s">
        <v>62</v>
      </c>
      <c r="P306" s="5" t="s">
        <v>1259</v>
      </c>
      <c r="Q306" s="193">
        <v>1065</v>
      </c>
      <c r="R306" s="195">
        <v>1</v>
      </c>
      <c r="S306" s="196">
        <v>14880</v>
      </c>
      <c r="T306" s="9"/>
      <c r="U306" s="193">
        <v>158.47200000000001</v>
      </c>
      <c r="V306" s="197">
        <v>1.2999999999999999E-5</v>
      </c>
      <c r="W306" s="197">
        <v>3.3035822780274997E-2</v>
      </c>
      <c r="X306" s="197">
        <v>4.0814153100954299E-3</v>
      </c>
    </row>
    <row r="307" spans="1:24">
      <c r="A307" s="5">
        <v>337</v>
      </c>
      <c r="B307" s="5">
        <v>9964</v>
      </c>
      <c r="C307" s="5" t="s">
        <v>1663</v>
      </c>
      <c r="D307" s="5" t="s">
        <v>1664</v>
      </c>
      <c r="E307" s="5" t="s">
        <v>1346</v>
      </c>
      <c r="F307" s="5" t="s">
        <v>1986</v>
      </c>
      <c r="G307" s="5" t="s">
        <v>1987</v>
      </c>
      <c r="H307" s="5" t="s">
        <v>76</v>
      </c>
      <c r="I307" s="5" t="s">
        <v>73</v>
      </c>
      <c r="J307" s="5" t="s">
        <v>53</v>
      </c>
      <c r="K307" s="5" t="s">
        <v>53</v>
      </c>
      <c r="L307" s="9" t="s">
        <v>803</v>
      </c>
      <c r="M307" s="9" t="s">
        <v>311</v>
      </c>
      <c r="N307" s="5" t="s">
        <v>256</v>
      </c>
      <c r="O307" s="5" t="s">
        <v>62</v>
      </c>
      <c r="P307" s="5" t="s">
        <v>1259</v>
      </c>
      <c r="Q307" s="193">
        <v>3909</v>
      </c>
      <c r="R307" s="195">
        <v>1</v>
      </c>
      <c r="S307" s="196">
        <v>6262</v>
      </c>
      <c r="T307" s="9"/>
      <c r="U307" s="193">
        <v>244.78200000000001</v>
      </c>
      <c r="V307" s="197">
        <v>1.9999999999999999E-6</v>
      </c>
      <c r="W307" s="197">
        <v>5.1028326119161201E-2</v>
      </c>
      <c r="X307" s="197">
        <v>6.3043016320949398E-3</v>
      </c>
    </row>
    <row r="308" spans="1:24">
      <c r="A308" s="5">
        <v>337</v>
      </c>
      <c r="B308" s="5">
        <v>9964</v>
      </c>
      <c r="C308" s="5" t="s">
        <v>1988</v>
      </c>
      <c r="D308" s="5" t="s">
        <v>1989</v>
      </c>
      <c r="E308" s="5" t="s">
        <v>1346</v>
      </c>
      <c r="F308" s="5" t="s">
        <v>1990</v>
      </c>
      <c r="G308" s="5" t="s">
        <v>1991</v>
      </c>
      <c r="H308" s="5" t="s">
        <v>76</v>
      </c>
      <c r="I308" s="5" t="s">
        <v>73</v>
      </c>
      <c r="J308" s="5" t="s">
        <v>53</v>
      </c>
      <c r="K308" s="5" t="s">
        <v>53</v>
      </c>
      <c r="L308" s="9" t="s">
        <v>803</v>
      </c>
      <c r="M308" s="9" t="s">
        <v>311</v>
      </c>
      <c r="N308" s="5" t="s">
        <v>632</v>
      </c>
      <c r="O308" s="5" t="s">
        <v>62</v>
      </c>
      <c r="P308" s="5" t="s">
        <v>1259</v>
      </c>
      <c r="Q308" s="193">
        <v>152</v>
      </c>
      <c r="R308" s="195">
        <v>1</v>
      </c>
      <c r="S308" s="196">
        <v>30850</v>
      </c>
      <c r="T308" s="9"/>
      <c r="U308" s="193">
        <v>46.892000000000003</v>
      </c>
      <c r="V308" s="197">
        <v>1.0000000000000001E-5</v>
      </c>
      <c r="W308" s="197">
        <v>9.7753281451149407E-3</v>
      </c>
      <c r="X308" s="197">
        <v>1.2076942723067501E-3</v>
      </c>
    </row>
    <row r="309" spans="1:24">
      <c r="A309" s="5">
        <v>337</v>
      </c>
      <c r="B309" s="5">
        <v>9964</v>
      </c>
      <c r="C309" s="5" t="s">
        <v>1992</v>
      </c>
      <c r="D309" s="5" t="s">
        <v>1993</v>
      </c>
      <c r="E309" s="5" t="s">
        <v>1346</v>
      </c>
      <c r="F309" s="5" t="s">
        <v>1994</v>
      </c>
      <c r="G309" s="5" t="s">
        <v>1995</v>
      </c>
      <c r="H309" s="5" t="s">
        <v>76</v>
      </c>
      <c r="I309" s="5" t="s">
        <v>73</v>
      </c>
      <c r="J309" s="5" t="s">
        <v>53</v>
      </c>
      <c r="K309" s="5" t="s">
        <v>53</v>
      </c>
      <c r="L309" s="9" t="s">
        <v>803</v>
      </c>
      <c r="M309" s="9" t="s">
        <v>311</v>
      </c>
      <c r="N309" s="5" t="s">
        <v>633</v>
      </c>
      <c r="O309" s="5" t="s">
        <v>62</v>
      </c>
      <c r="P309" s="5" t="s">
        <v>1259</v>
      </c>
      <c r="Q309" s="193">
        <v>1351</v>
      </c>
      <c r="R309" s="195">
        <v>1</v>
      </c>
      <c r="S309" s="196">
        <v>1262</v>
      </c>
      <c r="T309" s="9"/>
      <c r="U309" s="193">
        <v>17.05</v>
      </c>
      <c r="V309" s="197">
        <v>1.9999999999999999E-6</v>
      </c>
      <c r="W309" s="197">
        <v>3.55424443933964E-3</v>
      </c>
      <c r="X309" s="197">
        <v>4.3910962251570698E-4</v>
      </c>
    </row>
    <row r="310" spans="1:24">
      <c r="A310" s="5">
        <v>337</v>
      </c>
      <c r="B310" s="5">
        <v>9964</v>
      </c>
      <c r="C310" s="5" t="s">
        <v>1996</v>
      </c>
      <c r="D310" s="5" t="s">
        <v>1997</v>
      </c>
      <c r="E310" s="5" t="s">
        <v>1346</v>
      </c>
      <c r="F310" s="5" t="s">
        <v>1998</v>
      </c>
      <c r="G310" s="5" t="s">
        <v>1999</v>
      </c>
      <c r="H310" s="5" t="s">
        <v>76</v>
      </c>
      <c r="I310" s="5" t="s">
        <v>73</v>
      </c>
      <c r="J310" s="5" t="s">
        <v>53</v>
      </c>
      <c r="K310" s="5" t="s">
        <v>53</v>
      </c>
      <c r="L310" s="9" t="s">
        <v>803</v>
      </c>
      <c r="M310" s="9" t="s">
        <v>311</v>
      </c>
      <c r="N310" s="5" t="s">
        <v>256</v>
      </c>
      <c r="O310" s="5" t="s">
        <v>62</v>
      </c>
      <c r="P310" s="5" t="s">
        <v>1259</v>
      </c>
      <c r="Q310" s="193">
        <v>438</v>
      </c>
      <c r="R310" s="195">
        <v>1</v>
      </c>
      <c r="S310" s="196">
        <v>21950</v>
      </c>
      <c r="T310" s="9"/>
      <c r="U310" s="193">
        <v>96.141000000000005</v>
      </c>
      <c r="V310" s="197">
        <v>1.9999999999999999E-6</v>
      </c>
      <c r="W310" s="197">
        <v>2.0042007660144499E-2</v>
      </c>
      <c r="X310" s="197">
        <v>2.4760926177992602E-3</v>
      </c>
    </row>
    <row r="311" spans="1:24">
      <c r="A311" s="5">
        <v>337</v>
      </c>
      <c r="B311" s="5">
        <v>9964</v>
      </c>
      <c r="C311" s="5" t="s">
        <v>2000</v>
      </c>
      <c r="D311" s="5" t="s">
        <v>2001</v>
      </c>
      <c r="E311" s="5" t="s">
        <v>1346</v>
      </c>
      <c r="F311" s="5" t="s">
        <v>2002</v>
      </c>
      <c r="G311" s="5" t="s">
        <v>2003</v>
      </c>
      <c r="H311" s="5" t="s">
        <v>76</v>
      </c>
      <c r="I311" s="5" t="s">
        <v>73</v>
      </c>
      <c r="J311" s="5" t="s">
        <v>53</v>
      </c>
      <c r="K311" s="5" t="s">
        <v>53</v>
      </c>
      <c r="L311" s="9" t="s">
        <v>803</v>
      </c>
      <c r="M311" s="9" t="s">
        <v>311</v>
      </c>
      <c r="N311" s="5" t="s">
        <v>252</v>
      </c>
      <c r="O311" s="5" t="s">
        <v>62</v>
      </c>
      <c r="P311" s="5" t="s">
        <v>1259</v>
      </c>
      <c r="Q311" s="193">
        <v>326</v>
      </c>
      <c r="R311" s="195">
        <v>1</v>
      </c>
      <c r="S311" s="196">
        <v>11720</v>
      </c>
      <c r="T311" s="9"/>
      <c r="U311" s="193">
        <v>38.207000000000001</v>
      </c>
      <c r="V311" s="197">
        <v>5.0000000000000004E-6</v>
      </c>
      <c r="W311" s="197">
        <v>7.96485365320386E-3</v>
      </c>
      <c r="X311" s="197">
        <v>9.8401894994622403E-4</v>
      </c>
    </row>
    <row r="312" spans="1:24">
      <c r="A312" s="5">
        <v>337</v>
      </c>
      <c r="B312" s="5">
        <v>9964</v>
      </c>
      <c r="C312" s="5" t="s">
        <v>2004</v>
      </c>
      <c r="D312" s="5" t="s">
        <v>2005</v>
      </c>
      <c r="E312" s="5" t="s">
        <v>1346</v>
      </c>
      <c r="F312" s="5" t="s">
        <v>2006</v>
      </c>
      <c r="G312" s="5" t="s">
        <v>2007</v>
      </c>
      <c r="H312" s="5" t="s">
        <v>76</v>
      </c>
      <c r="I312" s="5" t="s">
        <v>73</v>
      </c>
      <c r="J312" s="5" t="s">
        <v>53</v>
      </c>
      <c r="K312" s="5" t="s">
        <v>53</v>
      </c>
      <c r="L312" s="9" t="s">
        <v>803</v>
      </c>
      <c r="M312" s="9" t="s">
        <v>311</v>
      </c>
      <c r="N312" s="5" t="s">
        <v>633</v>
      </c>
      <c r="O312" s="5" t="s">
        <v>62</v>
      </c>
      <c r="P312" s="5" t="s">
        <v>1259</v>
      </c>
      <c r="Q312" s="193">
        <v>106</v>
      </c>
      <c r="R312" s="195">
        <v>1</v>
      </c>
      <c r="S312" s="196">
        <v>38400</v>
      </c>
      <c r="T312" s="9"/>
      <c r="U312" s="193">
        <v>40.704000000000001</v>
      </c>
      <c r="V312" s="197">
        <v>1.9999999999999999E-6</v>
      </c>
      <c r="W312" s="197">
        <v>8.4853483924498593E-3</v>
      </c>
      <c r="X312" s="197">
        <v>1.0483235447405501E-3</v>
      </c>
    </row>
    <row r="313" spans="1:24">
      <c r="A313" s="5">
        <v>337</v>
      </c>
      <c r="B313" s="5">
        <v>9964</v>
      </c>
      <c r="C313" s="5" t="s">
        <v>2008</v>
      </c>
      <c r="D313" s="5" t="s">
        <v>2009</v>
      </c>
      <c r="E313" s="5" t="s">
        <v>1346</v>
      </c>
      <c r="F313" s="5" t="s">
        <v>2010</v>
      </c>
      <c r="G313" s="5" t="s">
        <v>2011</v>
      </c>
      <c r="H313" s="5" t="s">
        <v>76</v>
      </c>
      <c r="I313" s="5" t="s">
        <v>73</v>
      </c>
      <c r="J313" s="5" t="s">
        <v>53</v>
      </c>
      <c r="K313" s="5" t="s">
        <v>53</v>
      </c>
      <c r="L313" s="9" t="s">
        <v>803</v>
      </c>
      <c r="M313" s="9" t="s">
        <v>311</v>
      </c>
      <c r="N313" s="5" t="s">
        <v>269</v>
      </c>
      <c r="O313" s="5" t="s">
        <v>62</v>
      </c>
      <c r="P313" s="5" t="s">
        <v>1259</v>
      </c>
      <c r="Q313" s="193">
        <v>175</v>
      </c>
      <c r="R313" s="195">
        <v>1</v>
      </c>
      <c r="S313" s="196">
        <v>26530</v>
      </c>
      <c r="T313" s="9"/>
      <c r="U313" s="193">
        <v>46.427999999999997</v>
      </c>
      <c r="V313" s="197">
        <v>3.0000000000000001E-6</v>
      </c>
      <c r="W313" s="197">
        <v>9.6784962777728394E-3</v>
      </c>
      <c r="X313" s="197">
        <v>1.19573116581766E-3</v>
      </c>
    </row>
    <row r="314" spans="1:24">
      <c r="A314" s="5">
        <v>337</v>
      </c>
      <c r="B314" s="5">
        <v>9964</v>
      </c>
      <c r="C314" s="5" t="s">
        <v>2016</v>
      </c>
      <c r="D314" s="5" t="s">
        <v>2017</v>
      </c>
      <c r="E314" s="5" t="s">
        <v>431</v>
      </c>
      <c r="F314" s="5" t="s">
        <v>2018</v>
      </c>
      <c r="G314" s="5" t="s">
        <v>2019</v>
      </c>
      <c r="H314" s="5" t="s">
        <v>76</v>
      </c>
      <c r="I314" s="5" t="s">
        <v>73</v>
      </c>
      <c r="J314" s="5" t="s">
        <v>53</v>
      </c>
      <c r="K314" s="5" t="s">
        <v>314</v>
      </c>
      <c r="L314" s="9" t="s">
        <v>803</v>
      </c>
      <c r="M314" s="9" t="s">
        <v>311</v>
      </c>
      <c r="N314" s="5" t="s">
        <v>267</v>
      </c>
      <c r="O314" s="5" t="s">
        <v>62</v>
      </c>
      <c r="P314" s="5" t="s">
        <v>1259</v>
      </c>
      <c r="Q314" s="193">
        <v>927</v>
      </c>
      <c r="R314" s="195">
        <v>1</v>
      </c>
      <c r="S314" s="196">
        <v>9900</v>
      </c>
      <c r="T314" s="9"/>
      <c r="U314" s="193">
        <v>91.772999999999996</v>
      </c>
      <c r="V314" s="197">
        <v>9.0000000000000002E-6</v>
      </c>
      <c r="W314" s="197">
        <v>1.9131433717086799E-2</v>
      </c>
      <c r="X314" s="197">
        <v>2.3635956336348898E-3</v>
      </c>
    </row>
    <row r="315" spans="1:24">
      <c r="A315" s="5">
        <v>337</v>
      </c>
      <c r="B315" s="5">
        <v>9964</v>
      </c>
      <c r="C315" s="5" t="s">
        <v>2020</v>
      </c>
      <c r="D315" s="5" t="s">
        <v>2021</v>
      </c>
      <c r="E315" s="5" t="s">
        <v>1346</v>
      </c>
      <c r="F315" s="5" t="s">
        <v>2022</v>
      </c>
      <c r="G315" s="5" t="s">
        <v>2023</v>
      </c>
      <c r="H315" s="5" t="s">
        <v>76</v>
      </c>
      <c r="I315" s="5" t="s">
        <v>73</v>
      </c>
      <c r="J315" s="5" t="s">
        <v>53</v>
      </c>
      <c r="K315" s="5" t="s">
        <v>317</v>
      </c>
      <c r="L315" s="9" t="s">
        <v>803</v>
      </c>
      <c r="M315" s="9" t="s">
        <v>311</v>
      </c>
      <c r="N315" s="5" t="s">
        <v>254</v>
      </c>
      <c r="O315" s="5" t="s">
        <v>62</v>
      </c>
      <c r="P315" s="5" t="s">
        <v>1259</v>
      </c>
      <c r="Q315" s="193">
        <v>171</v>
      </c>
      <c r="R315" s="195">
        <v>1</v>
      </c>
      <c r="S315" s="196">
        <v>95280</v>
      </c>
      <c r="T315" s="9"/>
      <c r="U315" s="193">
        <v>162.929</v>
      </c>
      <c r="V315" s="197">
        <v>6.0000000000000002E-6</v>
      </c>
      <c r="W315" s="197">
        <v>3.3964908391405903E-2</v>
      </c>
      <c r="X315" s="197">
        <v>4.1961993208609501E-3</v>
      </c>
    </row>
    <row r="316" spans="1:24">
      <c r="A316" s="5">
        <v>337</v>
      </c>
      <c r="B316" s="5">
        <v>9964</v>
      </c>
      <c r="C316" s="5" t="s">
        <v>2024</v>
      </c>
      <c r="D316" s="5" t="s">
        <v>2025</v>
      </c>
      <c r="E316" s="5" t="s">
        <v>1346</v>
      </c>
      <c r="F316" s="5" t="s">
        <v>2026</v>
      </c>
      <c r="G316" s="5" t="s">
        <v>2027</v>
      </c>
      <c r="H316" s="5" t="s">
        <v>76</v>
      </c>
      <c r="I316" s="5" t="s">
        <v>73</v>
      </c>
      <c r="J316" s="5" t="s">
        <v>53</v>
      </c>
      <c r="K316" s="5" t="s">
        <v>53</v>
      </c>
      <c r="L316" s="9" t="s">
        <v>803</v>
      </c>
      <c r="M316" s="9" t="s">
        <v>311</v>
      </c>
      <c r="N316" s="5" t="s">
        <v>629</v>
      </c>
      <c r="O316" s="5" t="s">
        <v>62</v>
      </c>
      <c r="P316" s="5" t="s">
        <v>1259</v>
      </c>
      <c r="Q316" s="193">
        <v>313</v>
      </c>
      <c r="R316" s="195">
        <v>1</v>
      </c>
      <c r="S316" s="196">
        <v>9339</v>
      </c>
      <c r="T316" s="9"/>
      <c r="U316" s="193">
        <v>29.231000000000002</v>
      </c>
      <c r="V316" s="197">
        <v>9.0000000000000002E-6</v>
      </c>
      <c r="W316" s="197">
        <v>6.0936471313406404E-3</v>
      </c>
      <c r="X316" s="197">
        <v>7.5284048051688101E-4</v>
      </c>
    </row>
    <row r="317" spans="1:24">
      <c r="A317" s="5">
        <v>337</v>
      </c>
      <c r="B317" s="5">
        <v>9964</v>
      </c>
      <c r="C317" s="5" t="s">
        <v>2028</v>
      </c>
      <c r="D317" s="5" t="s">
        <v>2029</v>
      </c>
      <c r="E317" s="5" t="s">
        <v>431</v>
      </c>
      <c r="F317" s="5" t="s">
        <v>2030</v>
      </c>
      <c r="G317" s="5" t="s">
        <v>2031</v>
      </c>
      <c r="H317" s="5" t="s">
        <v>76</v>
      </c>
      <c r="I317" s="5" t="s">
        <v>73</v>
      </c>
      <c r="J317" s="5" t="s">
        <v>53</v>
      </c>
      <c r="K317" s="5" t="s">
        <v>53</v>
      </c>
      <c r="L317" s="9" t="s">
        <v>803</v>
      </c>
      <c r="M317" s="9" t="s">
        <v>311</v>
      </c>
      <c r="N317" s="5" t="s">
        <v>267</v>
      </c>
      <c r="O317" s="5" t="s">
        <v>62</v>
      </c>
      <c r="P317" s="5" t="s">
        <v>1259</v>
      </c>
      <c r="Q317" s="193">
        <v>5289</v>
      </c>
      <c r="R317" s="195">
        <v>1</v>
      </c>
      <c r="S317" s="196">
        <v>1656</v>
      </c>
      <c r="T317" s="9"/>
      <c r="U317" s="193">
        <v>87.585999999999999</v>
      </c>
      <c r="V317" s="197">
        <v>5.0000000000000004E-6</v>
      </c>
      <c r="W317" s="197">
        <v>1.82585585359024E-2</v>
      </c>
      <c r="X317" s="197">
        <v>2.2557561482379799E-3</v>
      </c>
    </row>
    <row r="318" spans="1:24">
      <c r="A318" s="5">
        <v>337</v>
      </c>
      <c r="B318" s="5">
        <v>9964</v>
      </c>
      <c r="C318" s="5" t="s">
        <v>2032</v>
      </c>
      <c r="D318" s="5" t="s">
        <v>2033</v>
      </c>
      <c r="E318" s="5" t="s">
        <v>1346</v>
      </c>
      <c r="F318" s="5" t="s">
        <v>2034</v>
      </c>
      <c r="G318" s="5" t="s">
        <v>2035</v>
      </c>
      <c r="H318" s="5" t="s">
        <v>76</v>
      </c>
      <c r="I318" s="5" t="s">
        <v>73</v>
      </c>
      <c r="J318" s="5" t="s">
        <v>53</v>
      </c>
      <c r="K318" s="5" t="s">
        <v>314</v>
      </c>
      <c r="L318" s="9" t="s">
        <v>803</v>
      </c>
      <c r="M318" s="9" t="s">
        <v>311</v>
      </c>
      <c r="N318" s="5" t="s">
        <v>253</v>
      </c>
      <c r="O318" s="5" t="s">
        <v>62</v>
      </c>
      <c r="P318" s="5" t="s">
        <v>1259</v>
      </c>
      <c r="Q318" s="193">
        <v>62</v>
      </c>
      <c r="R318" s="195">
        <v>1</v>
      </c>
      <c r="S318" s="196">
        <v>57150</v>
      </c>
      <c r="T318" s="9"/>
      <c r="U318" s="193">
        <v>35.433</v>
      </c>
      <c r="V318" s="197">
        <v>9.9999999999999995E-7</v>
      </c>
      <c r="W318" s="197">
        <v>7.3865307977023301E-3</v>
      </c>
      <c r="X318" s="197">
        <v>9.1256997250373098E-4</v>
      </c>
    </row>
    <row r="319" spans="1:24">
      <c r="A319" s="5">
        <v>337</v>
      </c>
      <c r="B319" s="5">
        <v>9964</v>
      </c>
      <c r="C319" s="5" t="s">
        <v>2040</v>
      </c>
      <c r="D319" s="5" t="s">
        <v>2041</v>
      </c>
      <c r="E319" s="5" t="s">
        <v>1346</v>
      </c>
      <c r="F319" s="5" t="s">
        <v>2040</v>
      </c>
      <c r="G319" s="5" t="s">
        <v>2042</v>
      </c>
      <c r="H319" s="5" t="s">
        <v>76</v>
      </c>
      <c r="I319" s="5" t="s">
        <v>73</v>
      </c>
      <c r="J319" s="5" t="s">
        <v>53</v>
      </c>
      <c r="K319" s="5" t="s">
        <v>53</v>
      </c>
      <c r="L319" s="9" t="s">
        <v>803</v>
      </c>
      <c r="M319" s="9" t="s">
        <v>311</v>
      </c>
      <c r="N319" s="5" t="s">
        <v>635</v>
      </c>
      <c r="O319" s="5" t="s">
        <v>62</v>
      </c>
      <c r="P319" s="5" t="s">
        <v>1259</v>
      </c>
      <c r="Q319" s="193">
        <v>569</v>
      </c>
      <c r="R319" s="195">
        <v>1</v>
      </c>
      <c r="S319" s="196">
        <v>12570</v>
      </c>
      <c r="T319" s="9"/>
      <c r="U319" s="193">
        <v>71.522999999999996</v>
      </c>
      <c r="V319" s="197">
        <v>6.9999999999999999E-6</v>
      </c>
      <c r="W319" s="197">
        <v>1.49100854627975E-2</v>
      </c>
      <c r="X319" s="197">
        <v>1.84206857772066E-3</v>
      </c>
    </row>
    <row r="320" spans="1:24">
      <c r="A320" s="5">
        <v>337</v>
      </c>
      <c r="B320" s="5">
        <v>9964</v>
      </c>
      <c r="C320" s="5" t="s">
        <v>2055</v>
      </c>
      <c r="D320" s="5" t="s">
        <v>2056</v>
      </c>
      <c r="E320" s="5" t="s">
        <v>1346</v>
      </c>
      <c r="F320" s="5" t="s">
        <v>2057</v>
      </c>
      <c r="G320" s="5" t="s">
        <v>2058</v>
      </c>
      <c r="H320" s="5" t="s">
        <v>76</v>
      </c>
      <c r="I320" s="5" t="s">
        <v>73</v>
      </c>
      <c r="J320" s="5" t="s">
        <v>53</v>
      </c>
      <c r="K320" s="5" t="s">
        <v>53</v>
      </c>
      <c r="L320" s="9" t="s">
        <v>803</v>
      </c>
      <c r="M320" s="9" t="s">
        <v>311</v>
      </c>
      <c r="N320" s="5" t="s">
        <v>633</v>
      </c>
      <c r="O320" s="5" t="s">
        <v>62</v>
      </c>
      <c r="P320" s="5" t="s">
        <v>1259</v>
      </c>
      <c r="Q320" s="193">
        <v>299</v>
      </c>
      <c r="R320" s="195">
        <v>1</v>
      </c>
      <c r="S320" s="196">
        <v>30970</v>
      </c>
      <c r="T320" s="9"/>
      <c r="U320" s="193">
        <v>92.6</v>
      </c>
      <c r="V320" s="197">
        <v>1.9999999999999999E-6</v>
      </c>
      <c r="W320" s="197">
        <v>1.9303896588673701E-2</v>
      </c>
      <c r="X320" s="197">
        <v>2.38490258303946E-3</v>
      </c>
    </row>
    <row r="321" spans="1:24">
      <c r="A321" s="5">
        <v>337</v>
      </c>
      <c r="B321" s="5">
        <v>9964</v>
      </c>
      <c r="C321" s="5" t="s">
        <v>2059</v>
      </c>
      <c r="D321" s="5" t="s">
        <v>2060</v>
      </c>
      <c r="E321" s="5" t="s">
        <v>1346</v>
      </c>
      <c r="F321" s="5" t="s">
        <v>2061</v>
      </c>
      <c r="G321" s="5" t="s">
        <v>2062</v>
      </c>
      <c r="H321" s="5" t="s">
        <v>76</v>
      </c>
      <c r="I321" s="5" t="s">
        <v>73</v>
      </c>
      <c r="J321" s="5" t="s">
        <v>53</v>
      </c>
      <c r="K321" s="5" t="s">
        <v>53</v>
      </c>
      <c r="L321" s="9" t="s">
        <v>803</v>
      </c>
      <c r="M321" s="9" t="s">
        <v>311</v>
      </c>
      <c r="N321" s="5" t="s">
        <v>256</v>
      </c>
      <c r="O321" s="5" t="s">
        <v>62</v>
      </c>
      <c r="P321" s="5" t="s">
        <v>1259</v>
      </c>
      <c r="Q321" s="193">
        <v>2741</v>
      </c>
      <c r="R321" s="195">
        <v>1</v>
      </c>
      <c r="S321" s="196">
        <v>6462</v>
      </c>
      <c r="T321" s="9"/>
      <c r="U321" s="193">
        <v>177.12299999999999</v>
      </c>
      <c r="V321" s="197">
        <v>1.9999999999999999E-6</v>
      </c>
      <c r="W321" s="197">
        <v>3.6923986025015197E-2</v>
      </c>
      <c r="X321" s="197">
        <v>4.5617789777655498E-3</v>
      </c>
    </row>
    <row r="322" spans="1:24">
      <c r="A322" s="5">
        <v>337</v>
      </c>
      <c r="B322" s="5">
        <v>9964</v>
      </c>
      <c r="C322" s="5" t="s">
        <v>2063</v>
      </c>
      <c r="D322" s="5" t="s">
        <v>2064</v>
      </c>
      <c r="E322" s="5" t="s">
        <v>1346</v>
      </c>
      <c r="F322" s="5" t="s">
        <v>2065</v>
      </c>
      <c r="G322" s="5" t="s">
        <v>2066</v>
      </c>
      <c r="H322" s="5" t="s">
        <v>76</v>
      </c>
      <c r="I322" s="5" t="s">
        <v>73</v>
      </c>
      <c r="J322" s="5" t="s">
        <v>53</v>
      </c>
      <c r="K322" s="5" t="s">
        <v>53</v>
      </c>
      <c r="L322" s="9" t="s">
        <v>803</v>
      </c>
      <c r="M322" s="9" t="s">
        <v>311</v>
      </c>
      <c r="N322" s="5" t="s">
        <v>632</v>
      </c>
      <c r="O322" s="5" t="s">
        <v>62</v>
      </c>
      <c r="P322" s="5" t="s">
        <v>1259</v>
      </c>
      <c r="Q322" s="193">
        <v>99</v>
      </c>
      <c r="R322" s="195">
        <v>1</v>
      </c>
      <c r="S322" s="196">
        <v>33720</v>
      </c>
      <c r="T322" s="9"/>
      <c r="U322" s="193">
        <v>33.383000000000003</v>
      </c>
      <c r="V322" s="197">
        <v>6.9999999999999999E-6</v>
      </c>
      <c r="W322" s="197">
        <v>6.9591364071215399E-3</v>
      </c>
      <c r="X322" s="197">
        <v>8.5976747320569999E-4</v>
      </c>
    </row>
    <row r="323" spans="1:24">
      <c r="A323" s="5">
        <v>337</v>
      </c>
      <c r="B323" s="5">
        <v>9964</v>
      </c>
      <c r="C323" s="5" t="s">
        <v>2067</v>
      </c>
      <c r="D323" s="5" t="s">
        <v>2068</v>
      </c>
      <c r="E323" s="5" t="s">
        <v>1346</v>
      </c>
      <c r="F323" s="5" t="s">
        <v>2069</v>
      </c>
      <c r="G323" s="5" t="s">
        <v>2070</v>
      </c>
      <c r="H323" s="5" t="s">
        <v>76</v>
      </c>
      <c r="I323" s="5" t="s">
        <v>73</v>
      </c>
      <c r="J323" s="5" t="s">
        <v>53</v>
      </c>
      <c r="K323" s="5" t="s">
        <v>53</v>
      </c>
      <c r="L323" s="9" t="s">
        <v>803</v>
      </c>
      <c r="M323" s="9" t="s">
        <v>311</v>
      </c>
      <c r="N323" s="5" t="s">
        <v>252</v>
      </c>
      <c r="O323" s="5" t="s">
        <v>62</v>
      </c>
      <c r="P323" s="5" t="s">
        <v>1259</v>
      </c>
      <c r="Q323" s="193">
        <v>70</v>
      </c>
      <c r="R323" s="195">
        <v>1</v>
      </c>
      <c r="S323" s="196">
        <v>42880</v>
      </c>
      <c r="T323" s="9"/>
      <c r="U323" s="193">
        <v>30.015999999999998</v>
      </c>
      <c r="V323" s="197">
        <v>3.9999999999999998E-6</v>
      </c>
      <c r="W323" s="197">
        <v>6.2572773522939999E-3</v>
      </c>
      <c r="X323" s="197">
        <v>7.7305619887314001E-4</v>
      </c>
    </row>
    <row r="324" spans="1:24">
      <c r="A324" s="5">
        <v>337</v>
      </c>
      <c r="B324" s="5">
        <v>9964</v>
      </c>
      <c r="C324" s="5" t="s">
        <v>2071</v>
      </c>
      <c r="D324" s="5" t="s">
        <v>2072</v>
      </c>
      <c r="E324" s="5" t="s">
        <v>1346</v>
      </c>
      <c r="F324" s="5" t="s">
        <v>2073</v>
      </c>
      <c r="G324" s="5" t="s">
        <v>2074</v>
      </c>
      <c r="H324" s="5" t="s">
        <v>76</v>
      </c>
      <c r="I324" s="5" t="s">
        <v>73</v>
      </c>
      <c r="J324" s="5" t="s">
        <v>53</v>
      </c>
      <c r="K324" s="5" t="s">
        <v>53</v>
      </c>
      <c r="L324" s="9" t="s">
        <v>803</v>
      </c>
      <c r="M324" s="9" t="s">
        <v>311</v>
      </c>
      <c r="N324" s="5" t="s">
        <v>156</v>
      </c>
      <c r="O324" s="5" t="s">
        <v>62</v>
      </c>
      <c r="P324" s="5" t="s">
        <v>1259</v>
      </c>
      <c r="Q324" s="193">
        <v>645</v>
      </c>
      <c r="R324" s="195">
        <v>1</v>
      </c>
      <c r="S324" s="196">
        <v>6455</v>
      </c>
      <c r="T324" s="9"/>
      <c r="U324" s="193">
        <v>41.634999999999998</v>
      </c>
      <c r="V324" s="197">
        <v>5.1999999999999997E-5</v>
      </c>
      <c r="W324" s="197">
        <v>8.6793769404125299E-3</v>
      </c>
      <c r="X324" s="197">
        <v>1.0722948286258499E-3</v>
      </c>
    </row>
    <row r="325" spans="1:24">
      <c r="A325" s="5">
        <v>337</v>
      </c>
      <c r="B325" s="5">
        <v>9964</v>
      </c>
      <c r="C325" s="5" t="s">
        <v>2075</v>
      </c>
      <c r="D325" s="5" t="s">
        <v>2076</v>
      </c>
      <c r="E325" s="5" t="s">
        <v>1346</v>
      </c>
      <c r="F325" s="5" t="s">
        <v>2077</v>
      </c>
      <c r="G325" s="5" t="s">
        <v>2078</v>
      </c>
      <c r="H325" s="5" t="s">
        <v>76</v>
      </c>
      <c r="I325" s="5" t="s">
        <v>73</v>
      </c>
      <c r="J325" s="5" t="s">
        <v>53</v>
      </c>
      <c r="K325" s="5" t="s">
        <v>53</v>
      </c>
      <c r="L325" s="9" t="s">
        <v>803</v>
      </c>
      <c r="M325" s="9" t="s">
        <v>311</v>
      </c>
      <c r="N325" s="5" t="s">
        <v>140</v>
      </c>
      <c r="O325" s="5" t="s">
        <v>62</v>
      </c>
      <c r="P325" s="5" t="s">
        <v>1259</v>
      </c>
      <c r="Q325" s="193">
        <v>412</v>
      </c>
      <c r="R325" s="195">
        <v>1</v>
      </c>
      <c r="S325" s="196">
        <v>11810</v>
      </c>
      <c r="T325" s="9"/>
      <c r="U325" s="193">
        <v>48.656999999999996</v>
      </c>
      <c r="V325" s="197">
        <v>1.8E-5</v>
      </c>
      <c r="W325" s="197">
        <v>1.0143310087488E-2</v>
      </c>
      <c r="X325" s="197">
        <v>1.2531566524457E-3</v>
      </c>
    </row>
    <row r="326" spans="1:24">
      <c r="A326" s="5">
        <v>337</v>
      </c>
      <c r="B326" s="5">
        <v>9964</v>
      </c>
      <c r="C326" s="5" t="s">
        <v>2079</v>
      </c>
      <c r="D326" s="5" t="s">
        <v>2080</v>
      </c>
      <c r="E326" s="5" t="s">
        <v>1346</v>
      </c>
      <c r="F326" s="5" t="s">
        <v>2081</v>
      </c>
      <c r="G326" s="5" t="s">
        <v>2082</v>
      </c>
      <c r="H326" s="5" t="s">
        <v>76</v>
      </c>
      <c r="I326" s="5" t="s">
        <v>73</v>
      </c>
      <c r="J326" s="5" t="s">
        <v>53</v>
      </c>
      <c r="K326" s="5" t="s">
        <v>53</v>
      </c>
      <c r="L326" s="9" t="s">
        <v>803</v>
      </c>
      <c r="M326" s="9" t="s">
        <v>311</v>
      </c>
      <c r="N326" s="5" t="s">
        <v>259</v>
      </c>
      <c r="O326" s="5" t="s">
        <v>62</v>
      </c>
      <c r="P326" s="5" t="s">
        <v>1259</v>
      </c>
      <c r="Q326" s="193">
        <v>119</v>
      </c>
      <c r="R326" s="195">
        <v>1</v>
      </c>
      <c r="S326" s="196">
        <v>58480</v>
      </c>
      <c r="T326" s="9"/>
      <c r="U326" s="193">
        <v>69.590999999999994</v>
      </c>
      <c r="V326" s="197">
        <v>6.9999999999999999E-6</v>
      </c>
      <c r="W326" s="197">
        <v>1.4507310756895099E-2</v>
      </c>
      <c r="X326" s="197">
        <v>1.79230772078293E-3</v>
      </c>
    </row>
    <row r="327" spans="1:24">
      <c r="A327" s="5">
        <v>337</v>
      </c>
      <c r="B327" s="5">
        <v>9964</v>
      </c>
      <c r="C327" s="5" t="s">
        <v>2083</v>
      </c>
      <c r="D327" s="5" t="s">
        <v>2084</v>
      </c>
      <c r="E327" s="5" t="s">
        <v>1346</v>
      </c>
      <c r="F327" s="5" t="s">
        <v>2085</v>
      </c>
      <c r="G327" s="5" t="s">
        <v>2086</v>
      </c>
      <c r="H327" s="5" t="s">
        <v>76</v>
      </c>
      <c r="I327" s="5" t="s">
        <v>73</v>
      </c>
      <c r="J327" s="5" t="s">
        <v>53</v>
      </c>
      <c r="K327" s="5" t="s">
        <v>317</v>
      </c>
      <c r="L327" s="9" t="s">
        <v>803</v>
      </c>
      <c r="M327" s="9" t="s">
        <v>311</v>
      </c>
      <c r="N327" s="5" t="s">
        <v>254</v>
      </c>
      <c r="O327" s="5" t="s">
        <v>62</v>
      </c>
      <c r="P327" s="5" t="s">
        <v>1259</v>
      </c>
      <c r="Q327" s="193">
        <v>190</v>
      </c>
      <c r="R327" s="195">
        <v>1</v>
      </c>
      <c r="S327" s="196">
        <v>29040</v>
      </c>
      <c r="T327" s="9"/>
      <c r="U327" s="193">
        <v>55.176000000000002</v>
      </c>
      <c r="V327" s="197">
        <v>3.9999999999999998E-6</v>
      </c>
      <c r="W327" s="197">
        <v>1.15022499730202E-2</v>
      </c>
      <c r="X327" s="197">
        <v>1.4210470691972401E-3</v>
      </c>
    </row>
    <row r="328" spans="1:24">
      <c r="A328" s="5">
        <v>337</v>
      </c>
      <c r="B328" s="5">
        <v>9964</v>
      </c>
      <c r="C328" s="5" t="s">
        <v>2095</v>
      </c>
      <c r="D328" s="5" t="s">
        <v>2096</v>
      </c>
      <c r="E328" s="5" t="s">
        <v>1346</v>
      </c>
      <c r="F328" s="5" t="s">
        <v>2097</v>
      </c>
      <c r="G328" s="5" t="s">
        <v>2098</v>
      </c>
      <c r="H328" s="5" t="s">
        <v>76</v>
      </c>
      <c r="I328" s="5" t="s">
        <v>73</v>
      </c>
      <c r="J328" s="5" t="s">
        <v>53</v>
      </c>
      <c r="K328" s="5" t="s">
        <v>53</v>
      </c>
      <c r="L328" s="9" t="s">
        <v>803</v>
      </c>
      <c r="M328" s="9" t="s">
        <v>311</v>
      </c>
      <c r="N328" s="5" t="s">
        <v>632</v>
      </c>
      <c r="O328" s="5" t="s">
        <v>62</v>
      </c>
      <c r="P328" s="5" t="s">
        <v>1259</v>
      </c>
      <c r="Q328" s="193">
        <v>238</v>
      </c>
      <c r="R328" s="195">
        <v>1</v>
      </c>
      <c r="S328" s="196">
        <v>6518</v>
      </c>
      <c r="T328" s="9"/>
      <c r="U328" s="193">
        <v>15.513</v>
      </c>
      <c r="V328" s="197">
        <v>5.0000000000000004E-6</v>
      </c>
      <c r="W328" s="197">
        <v>3.2338800107196298E-3</v>
      </c>
      <c r="X328" s="197">
        <v>3.9953015472172203E-4</v>
      </c>
    </row>
    <row r="329" spans="1:24">
      <c r="A329" s="5">
        <v>337</v>
      </c>
      <c r="B329" s="5">
        <v>9964</v>
      </c>
      <c r="C329" s="5" t="s">
        <v>2099</v>
      </c>
      <c r="D329" s="5" t="s">
        <v>2100</v>
      </c>
      <c r="E329" s="5" t="s">
        <v>1346</v>
      </c>
      <c r="F329" s="5" t="s">
        <v>2101</v>
      </c>
      <c r="G329" s="5" t="s">
        <v>2102</v>
      </c>
      <c r="H329" s="5" t="s">
        <v>76</v>
      </c>
      <c r="I329" s="5" t="s">
        <v>73</v>
      </c>
      <c r="J329" s="5" t="s">
        <v>53</v>
      </c>
      <c r="K329" s="5" t="s">
        <v>53</v>
      </c>
      <c r="L329" s="9" t="s">
        <v>803</v>
      </c>
      <c r="M329" s="9" t="s">
        <v>311</v>
      </c>
      <c r="N329" s="5" t="s">
        <v>632</v>
      </c>
      <c r="O329" s="5" t="s">
        <v>62</v>
      </c>
      <c r="P329" s="5" t="s">
        <v>1259</v>
      </c>
      <c r="Q329" s="193">
        <v>77</v>
      </c>
      <c r="R329" s="195">
        <v>1</v>
      </c>
      <c r="S329" s="196">
        <v>32510</v>
      </c>
      <c r="T329" s="9"/>
      <c r="U329" s="193">
        <v>25.033000000000001</v>
      </c>
      <c r="V329" s="197">
        <v>6.0000000000000002E-6</v>
      </c>
      <c r="W329" s="197">
        <v>5.2184350605267204E-3</v>
      </c>
      <c r="X329" s="197">
        <v>6.4471228376638005E-4</v>
      </c>
    </row>
    <row r="330" spans="1:24">
      <c r="A330" s="5">
        <v>337</v>
      </c>
      <c r="B330" s="5">
        <v>9964</v>
      </c>
      <c r="C330" s="5" t="s">
        <v>2103</v>
      </c>
      <c r="D330" s="5" t="s">
        <v>2104</v>
      </c>
      <c r="E330" s="5" t="s">
        <v>431</v>
      </c>
      <c r="F330" s="5" t="s">
        <v>2105</v>
      </c>
      <c r="G330" s="5" t="s">
        <v>2106</v>
      </c>
      <c r="H330" s="5" t="s">
        <v>76</v>
      </c>
      <c r="I330" s="5" t="s">
        <v>73</v>
      </c>
      <c r="J330" s="5" t="s">
        <v>53</v>
      </c>
      <c r="K330" s="5" t="s">
        <v>53</v>
      </c>
      <c r="L330" s="9" t="s">
        <v>803</v>
      </c>
      <c r="M330" s="9" t="s">
        <v>311</v>
      </c>
      <c r="N330" s="5" t="s">
        <v>267</v>
      </c>
      <c r="O330" s="5" t="s">
        <v>62</v>
      </c>
      <c r="P330" s="5" t="s">
        <v>1259</v>
      </c>
      <c r="Q330" s="193">
        <v>5506</v>
      </c>
      <c r="R330" s="195">
        <v>1</v>
      </c>
      <c r="S330" s="196">
        <v>483.9</v>
      </c>
      <c r="T330" s="9"/>
      <c r="U330" s="193">
        <v>26.643999999999998</v>
      </c>
      <c r="V330" s="197">
        <v>5.0000000000000004E-6</v>
      </c>
      <c r="W330" s="197">
        <v>5.5542371363031398E-3</v>
      </c>
      <c r="X330" s="197">
        <v>6.8619899782073799E-4</v>
      </c>
    </row>
    <row r="331" spans="1:24">
      <c r="A331" s="5">
        <v>337</v>
      </c>
      <c r="B331" s="5">
        <v>9964</v>
      </c>
      <c r="C331" s="5" t="s">
        <v>2107</v>
      </c>
      <c r="D331" s="5" t="s">
        <v>2108</v>
      </c>
      <c r="E331" s="5" t="s">
        <v>1346</v>
      </c>
      <c r="F331" s="5" t="s">
        <v>2109</v>
      </c>
      <c r="G331" s="5" t="s">
        <v>2110</v>
      </c>
      <c r="H331" s="5" t="s">
        <v>76</v>
      </c>
      <c r="I331" s="5" t="s">
        <v>73</v>
      </c>
      <c r="J331" s="5" t="s">
        <v>53</v>
      </c>
      <c r="K331" s="5" t="s">
        <v>53</v>
      </c>
      <c r="L331" s="9" t="s">
        <v>803</v>
      </c>
      <c r="M331" s="9" t="s">
        <v>311</v>
      </c>
      <c r="N331" s="5" t="s">
        <v>632</v>
      </c>
      <c r="O331" s="5" t="s">
        <v>62</v>
      </c>
      <c r="P331" s="5" t="s">
        <v>1259</v>
      </c>
      <c r="Q331" s="193">
        <v>956</v>
      </c>
      <c r="R331" s="195">
        <v>1</v>
      </c>
      <c r="S331" s="196">
        <v>3869</v>
      </c>
      <c r="T331" s="9"/>
      <c r="U331" s="193">
        <v>36.988</v>
      </c>
      <c r="V331" s="197">
        <v>3.0000000000000001E-6</v>
      </c>
      <c r="W331" s="197">
        <v>7.7106184064100296E-3</v>
      </c>
      <c r="X331" s="197">
        <v>9.5260942109835203E-4</v>
      </c>
    </row>
    <row r="332" spans="1:24">
      <c r="A332" s="5">
        <v>337</v>
      </c>
      <c r="B332" s="5">
        <v>9964</v>
      </c>
      <c r="C332" s="5" t="s">
        <v>2111</v>
      </c>
      <c r="D332" s="5" t="s">
        <v>2112</v>
      </c>
      <c r="E332" s="5" t="s">
        <v>1346</v>
      </c>
      <c r="F332" s="5" t="s">
        <v>2113</v>
      </c>
      <c r="G332" s="5" t="s">
        <v>2114</v>
      </c>
      <c r="H332" s="5" t="s">
        <v>76</v>
      </c>
      <c r="I332" s="5" t="s">
        <v>73</v>
      </c>
      <c r="J332" s="5" t="s">
        <v>53</v>
      </c>
      <c r="K332" s="5" t="s">
        <v>317</v>
      </c>
      <c r="L332" s="9" t="s">
        <v>803</v>
      </c>
      <c r="M332" s="9" t="s">
        <v>311</v>
      </c>
      <c r="N332" s="5" t="s">
        <v>264</v>
      </c>
      <c r="O332" s="5" t="s">
        <v>62</v>
      </c>
      <c r="P332" s="5" t="s">
        <v>1259</v>
      </c>
      <c r="Q332" s="193">
        <v>760</v>
      </c>
      <c r="R332" s="195">
        <v>1</v>
      </c>
      <c r="S332" s="196">
        <v>10400</v>
      </c>
      <c r="T332" s="9"/>
      <c r="U332" s="193">
        <v>79.040000000000006</v>
      </c>
      <c r="V332" s="197">
        <v>5.8E-5</v>
      </c>
      <c r="W332" s="197">
        <v>1.6477052302949002E-2</v>
      </c>
      <c r="X332" s="197">
        <v>2.0356597134505898E-3</v>
      </c>
    </row>
    <row r="333" spans="1:24">
      <c r="A333" s="5">
        <v>337</v>
      </c>
      <c r="B333" s="5">
        <v>9964</v>
      </c>
      <c r="C333" s="5" t="s">
        <v>2119</v>
      </c>
      <c r="D333" s="5" t="s">
        <v>2120</v>
      </c>
      <c r="E333" s="5" t="s">
        <v>429</v>
      </c>
      <c r="F333" s="5" t="s">
        <v>2121</v>
      </c>
      <c r="G333" s="5" t="s">
        <v>2122</v>
      </c>
      <c r="H333" s="5" t="s">
        <v>76</v>
      </c>
      <c r="I333" s="5" t="s">
        <v>73</v>
      </c>
      <c r="J333" s="5" t="s">
        <v>61</v>
      </c>
      <c r="K333" s="5" t="s">
        <v>314</v>
      </c>
      <c r="L333" s="9" t="s">
        <v>803</v>
      </c>
      <c r="M333" s="9" t="s">
        <v>478</v>
      </c>
      <c r="N333" s="5" t="s">
        <v>202</v>
      </c>
      <c r="O333" s="5" t="s">
        <v>62</v>
      </c>
      <c r="P333" s="5" t="s">
        <v>1215</v>
      </c>
      <c r="Q333" s="193">
        <v>78</v>
      </c>
      <c r="R333" s="195">
        <v>3.3719999999999999</v>
      </c>
      <c r="S333" s="196">
        <v>14190</v>
      </c>
      <c r="T333" s="9"/>
      <c r="U333" s="193">
        <v>37.322000000000003</v>
      </c>
      <c r="V333" s="197">
        <v>0</v>
      </c>
      <c r="W333" s="197">
        <v>7.7803145031618802E-3</v>
      </c>
      <c r="X333" s="197">
        <v>9.61220035043972E-4</v>
      </c>
    </row>
    <row r="334" spans="1:24">
      <c r="A334" s="5">
        <v>337</v>
      </c>
      <c r="B334" s="5">
        <v>9964</v>
      </c>
      <c r="C334" s="5" t="s">
        <v>2123</v>
      </c>
      <c r="D334" s="5" t="s">
        <v>2124</v>
      </c>
      <c r="E334" s="5" t="s">
        <v>429</v>
      </c>
      <c r="F334" s="5" t="s">
        <v>2125</v>
      </c>
      <c r="G334" s="5" t="s">
        <v>2126</v>
      </c>
      <c r="H334" s="5" t="s">
        <v>76</v>
      </c>
      <c r="I334" s="5" t="s">
        <v>73</v>
      </c>
      <c r="J334" s="5" t="s">
        <v>61</v>
      </c>
      <c r="K334" s="5" t="s">
        <v>314</v>
      </c>
      <c r="L334" s="9" t="s">
        <v>803</v>
      </c>
      <c r="M334" s="9" t="s">
        <v>478</v>
      </c>
      <c r="N334" s="5" t="s">
        <v>2127</v>
      </c>
      <c r="O334" s="5" t="s">
        <v>62</v>
      </c>
      <c r="P334" s="5" t="s">
        <v>1215</v>
      </c>
      <c r="Q334" s="193">
        <v>81</v>
      </c>
      <c r="R334" s="195">
        <v>3.3719999999999999</v>
      </c>
      <c r="S334" s="196">
        <v>13234</v>
      </c>
      <c r="T334" s="9"/>
      <c r="U334" s="193">
        <v>36.146000000000001</v>
      </c>
      <c r="V334" s="197">
        <v>0</v>
      </c>
      <c r="W334" s="197">
        <v>7.5352263718783397E-3</v>
      </c>
      <c r="X334" s="197">
        <v>9.3094058785125498E-4</v>
      </c>
    </row>
    <row r="335" spans="1:24">
      <c r="A335" s="5">
        <v>337</v>
      </c>
      <c r="B335" s="5">
        <v>9964</v>
      </c>
      <c r="C335" s="5" t="s">
        <v>2136</v>
      </c>
      <c r="D335" s="5" t="s">
        <v>2137</v>
      </c>
      <c r="E335" s="5" t="s">
        <v>429</v>
      </c>
      <c r="F335" s="5" t="s">
        <v>2138</v>
      </c>
      <c r="G335" s="5" t="s">
        <v>2139</v>
      </c>
      <c r="H335" s="5" t="s">
        <v>76</v>
      </c>
      <c r="I335" s="5" t="s">
        <v>73</v>
      </c>
      <c r="J335" s="5" t="s">
        <v>61</v>
      </c>
      <c r="K335" s="5" t="s">
        <v>314</v>
      </c>
      <c r="L335" s="9" t="s">
        <v>803</v>
      </c>
      <c r="M335" s="9" t="s">
        <v>475</v>
      </c>
      <c r="N335" s="5" t="s">
        <v>2140</v>
      </c>
      <c r="O335" s="5" t="s">
        <v>62</v>
      </c>
      <c r="P335" s="5" t="s">
        <v>1215</v>
      </c>
      <c r="Q335" s="193">
        <v>33</v>
      </c>
      <c r="R335" s="195">
        <v>3.3719999999999999</v>
      </c>
      <c r="S335" s="196">
        <v>50849</v>
      </c>
      <c r="T335" s="170">
        <v>0.04</v>
      </c>
      <c r="U335" s="193">
        <v>56.718000000000004</v>
      </c>
      <c r="V335" s="197">
        <v>0</v>
      </c>
      <c r="W335" s="197">
        <v>1.1823659485365999E-2</v>
      </c>
      <c r="X335" s="197">
        <v>1.4607556520051699E-3</v>
      </c>
    </row>
    <row r="336" spans="1:24">
      <c r="A336" s="5">
        <v>337</v>
      </c>
      <c r="B336" s="5">
        <v>9964</v>
      </c>
      <c r="C336" s="5" t="s">
        <v>2141</v>
      </c>
      <c r="D336" s="5" t="s">
        <v>2142</v>
      </c>
      <c r="E336" s="5" t="s">
        <v>429</v>
      </c>
      <c r="F336" s="5" t="s">
        <v>2143</v>
      </c>
      <c r="G336" s="5" t="s">
        <v>2144</v>
      </c>
      <c r="H336" s="5" t="s">
        <v>76</v>
      </c>
      <c r="I336" s="5" t="s">
        <v>73</v>
      </c>
      <c r="J336" s="5" t="s">
        <v>61</v>
      </c>
      <c r="K336" s="5" t="s">
        <v>314</v>
      </c>
      <c r="L336" s="9" t="s">
        <v>803</v>
      </c>
      <c r="M336" s="9" t="s">
        <v>475</v>
      </c>
      <c r="N336" s="5" t="s">
        <v>892</v>
      </c>
      <c r="O336" s="5" t="s">
        <v>62</v>
      </c>
      <c r="P336" s="5" t="s">
        <v>1215</v>
      </c>
      <c r="Q336" s="193">
        <v>15</v>
      </c>
      <c r="R336" s="195">
        <v>3.3719999999999999</v>
      </c>
      <c r="S336" s="196">
        <v>77953</v>
      </c>
      <c r="T336" s="9"/>
      <c r="U336" s="193">
        <v>39.429000000000002</v>
      </c>
      <c r="V336" s="197">
        <v>0</v>
      </c>
      <c r="W336" s="197">
        <v>8.21947818703553E-3</v>
      </c>
      <c r="X336" s="197">
        <v>1.0154765733152099E-3</v>
      </c>
    </row>
    <row r="337" spans="1:24">
      <c r="A337" s="5">
        <v>337</v>
      </c>
      <c r="B337" s="5">
        <v>9964</v>
      </c>
      <c r="C337" s="5" t="s">
        <v>2145</v>
      </c>
      <c r="D337" s="5" t="s">
        <v>2146</v>
      </c>
      <c r="E337" s="5" t="s">
        <v>429</v>
      </c>
      <c r="F337" s="5" t="s">
        <v>2147</v>
      </c>
      <c r="G337" s="5" t="s">
        <v>2148</v>
      </c>
      <c r="H337" s="5" t="s">
        <v>76</v>
      </c>
      <c r="I337" s="5" t="s">
        <v>73</v>
      </c>
      <c r="J337" s="5" t="s">
        <v>61</v>
      </c>
      <c r="K337" s="5" t="s">
        <v>314</v>
      </c>
      <c r="L337" s="9" t="s">
        <v>803</v>
      </c>
      <c r="M337" s="9" t="s">
        <v>478</v>
      </c>
      <c r="N337" s="5" t="s">
        <v>901</v>
      </c>
      <c r="O337" s="5" t="s">
        <v>62</v>
      </c>
      <c r="P337" s="5" t="s">
        <v>1215</v>
      </c>
      <c r="Q337" s="193">
        <v>25</v>
      </c>
      <c r="R337" s="195">
        <v>3.3719999999999999</v>
      </c>
      <c r="S337" s="196">
        <v>73809</v>
      </c>
      <c r="T337" s="9"/>
      <c r="U337" s="193">
        <v>62.220999999999997</v>
      </c>
      <c r="V337" s="197">
        <v>0</v>
      </c>
      <c r="W337" s="197">
        <v>1.2970881289728099E-2</v>
      </c>
      <c r="X337" s="197">
        <v>1.6024893290363499E-3</v>
      </c>
    </row>
    <row r="338" spans="1:24">
      <c r="A338" s="5">
        <v>337</v>
      </c>
      <c r="B338" s="5">
        <v>9964</v>
      </c>
      <c r="C338" s="5" t="s">
        <v>2154</v>
      </c>
      <c r="D338" s="5" t="s">
        <v>2155</v>
      </c>
      <c r="E338" s="5" t="s">
        <v>429</v>
      </c>
      <c r="F338" s="5" t="s">
        <v>2156</v>
      </c>
      <c r="G338" s="5" t="s">
        <v>2157</v>
      </c>
      <c r="H338" s="5" t="s">
        <v>76</v>
      </c>
      <c r="I338" s="5" t="s">
        <v>73</v>
      </c>
      <c r="J338" s="5" t="s">
        <v>61</v>
      </c>
      <c r="K338" s="5" t="s">
        <v>314</v>
      </c>
      <c r="L338" s="9" t="s">
        <v>803</v>
      </c>
      <c r="M338" s="9" t="s">
        <v>475</v>
      </c>
      <c r="N338" s="5" t="s">
        <v>195</v>
      </c>
      <c r="O338" s="5" t="s">
        <v>62</v>
      </c>
      <c r="P338" s="5" t="s">
        <v>1215</v>
      </c>
      <c r="Q338" s="193">
        <v>58</v>
      </c>
      <c r="R338" s="195">
        <v>3.3719999999999999</v>
      </c>
      <c r="S338" s="196">
        <v>28991</v>
      </c>
      <c r="T338" s="9"/>
      <c r="U338" s="193">
        <v>56.698999999999998</v>
      </c>
      <c r="V338" s="197">
        <v>0</v>
      </c>
      <c r="W338" s="197">
        <v>1.1819833098559499E-2</v>
      </c>
      <c r="X338" s="197">
        <v>1.4602829205161299E-3</v>
      </c>
    </row>
    <row r="339" spans="1:24">
      <c r="A339" s="5">
        <v>337</v>
      </c>
      <c r="B339" s="5">
        <v>9964</v>
      </c>
      <c r="C339" s="5" t="s">
        <v>2158</v>
      </c>
      <c r="D339" s="5" t="s">
        <v>2159</v>
      </c>
      <c r="E339" s="5" t="s">
        <v>429</v>
      </c>
      <c r="F339" s="5" t="s">
        <v>2160</v>
      </c>
      <c r="G339" s="5" t="s">
        <v>2161</v>
      </c>
      <c r="H339" s="5" t="s">
        <v>76</v>
      </c>
      <c r="I339" s="5" t="s">
        <v>73</v>
      </c>
      <c r="J339" s="5" t="s">
        <v>61</v>
      </c>
      <c r="K339" s="5" t="s">
        <v>314</v>
      </c>
      <c r="L339" s="9" t="s">
        <v>803</v>
      </c>
      <c r="M339" s="9" t="s">
        <v>478</v>
      </c>
      <c r="N339" s="5" t="s">
        <v>2153</v>
      </c>
      <c r="O339" s="5" t="s">
        <v>62</v>
      </c>
      <c r="P339" s="5" t="s">
        <v>1215</v>
      </c>
      <c r="Q339" s="193">
        <v>322</v>
      </c>
      <c r="R339" s="195">
        <v>3.3719999999999999</v>
      </c>
      <c r="S339" s="196">
        <v>7740</v>
      </c>
      <c r="T339" s="9"/>
      <c r="U339" s="193">
        <v>84.04</v>
      </c>
      <c r="V339" s="197">
        <v>0</v>
      </c>
      <c r="W339" s="197">
        <v>1.7519309580546299E-2</v>
      </c>
      <c r="X339" s="197">
        <v>2.1644255334556601E-3</v>
      </c>
    </row>
    <row r="340" spans="1:24">
      <c r="A340" s="5">
        <v>337</v>
      </c>
      <c r="B340" s="5">
        <v>9964</v>
      </c>
      <c r="C340" s="5" t="s">
        <v>2032</v>
      </c>
      <c r="D340" s="5" t="s">
        <v>2033</v>
      </c>
      <c r="E340" s="5" t="s">
        <v>1346</v>
      </c>
      <c r="F340" s="5" t="s">
        <v>2166</v>
      </c>
      <c r="G340" s="5" t="s">
        <v>2167</v>
      </c>
      <c r="H340" s="5" t="s">
        <v>76</v>
      </c>
      <c r="I340" s="5" t="s">
        <v>73</v>
      </c>
      <c r="J340" s="5" t="s">
        <v>61</v>
      </c>
      <c r="K340" s="5" t="s">
        <v>53</v>
      </c>
      <c r="L340" s="9" t="s">
        <v>803</v>
      </c>
      <c r="M340" s="9" t="s">
        <v>478</v>
      </c>
      <c r="N340" s="5" t="s">
        <v>902</v>
      </c>
      <c r="O340" s="5" t="s">
        <v>62</v>
      </c>
      <c r="P340" s="5" t="s">
        <v>1215</v>
      </c>
      <c r="Q340" s="193">
        <v>77</v>
      </c>
      <c r="R340" s="195">
        <v>3.3719999999999999</v>
      </c>
      <c r="S340" s="196">
        <v>16891</v>
      </c>
      <c r="T340" s="9"/>
      <c r="U340" s="193">
        <v>43.856000000000002</v>
      </c>
      <c r="V340" s="197">
        <v>9.9999999999999995E-7</v>
      </c>
      <c r="W340" s="197">
        <v>9.1425267929869901E-3</v>
      </c>
      <c r="X340" s="197">
        <v>1.12951474143803E-3</v>
      </c>
    </row>
    <row r="341" spans="1:24">
      <c r="A341" s="5">
        <v>337</v>
      </c>
      <c r="B341" s="5">
        <v>9964</v>
      </c>
      <c r="C341" s="5" t="s">
        <v>2168</v>
      </c>
      <c r="D341" s="5" t="s">
        <v>2169</v>
      </c>
      <c r="E341" s="5" t="s">
        <v>429</v>
      </c>
      <c r="F341" s="5" t="s">
        <v>2168</v>
      </c>
      <c r="G341" s="5" t="s">
        <v>2170</v>
      </c>
      <c r="H341" s="5" t="s">
        <v>76</v>
      </c>
      <c r="I341" s="5" t="s">
        <v>73</v>
      </c>
      <c r="J341" s="5" t="s">
        <v>61</v>
      </c>
      <c r="K341" s="5" t="s">
        <v>314</v>
      </c>
      <c r="L341" s="9" t="s">
        <v>803</v>
      </c>
      <c r="M341" s="9" t="s">
        <v>475</v>
      </c>
      <c r="N341" s="5" t="s">
        <v>880</v>
      </c>
      <c r="O341" s="5" t="s">
        <v>62</v>
      </c>
      <c r="P341" s="5" t="s">
        <v>1215</v>
      </c>
      <c r="Q341" s="193">
        <v>411</v>
      </c>
      <c r="R341" s="195">
        <v>3.3719999999999999</v>
      </c>
      <c r="S341" s="196">
        <v>7104</v>
      </c>
      <c r="T341" s="9"/>
      <c r="U341" s="193">
        <v>98.453999999999994</v>
      </c>
      <c r="V341" s="197">
        <v>0</v>
      </c>
      <c r="W341" s="197">
        <v>2.05241381513885E-2</v>
      </c>
      <c r="X341" s="197">
        <v>2.53565749625E-3</v>
      </c>
    </row>
    <row r="342" spans="1:24">
      <c r="A342" s="5">
        <v>337</v>
      </c>
      <c r="B342" s="5">
        <v>9964</v>
      </c>
      <c r="C342" s="5" t="s">
        <v>2171</v>
      </c>
      <c r="D342" s="5" t="s">
        <v>2172</v>
      </c>
      <c r="E342" s="5" t="s">
        <v>429</v>
      </c>
      <c r="F342" s="5" t="s">
        <v>2173</v>
      </c>
      <c r="G342" s="5" t="s">
        <v>2174</v>
      </c>
      <c r="H342" s="5" t="s">
        <v>76</v>
      </c>
      <c r="I342" s="5" t="s">
        <v>73</v>
      </c>
      <c r="J342" s="5" t="s">
        <v>61</v>
      </c>
      <c r="K342" s="5" t="s">
        <v>314</v>
      </c>
      <c r="L342" s="9" t="s">
        <v>803</v>
      </c>
      <c r="M342" s="9" t="s">
        <v>478</v>
      </c>
      <c r="N342" s="5" t="s">
        <v>202</v>
      </c>
      <c r="O342" s="5" t="s">
        <v>62</v>
      </c>
      <c r="P342" s="5" t="s">
        <v>1215</v>
      </c>
      <c r="Q342" s="193">
        <v>151</v>
      </c>
      <c r="R342" s="195">
        <v>3.3719999999999999</v>
      </c>
      <c r="S342" s="196">
        <v>15799</v>
      </c>
      <c r="T342" s="170">
        <v>1E-3</v>
      </c>
      <c r="U342" s="193">
        <v>80.447999999999993</v>
      </c>
      <c r="V342" s="197">
        <v>0</v>
      </c>
      <c r="W342" s="197">
        <v>1.6770548604676999E-2</v>
      </c>
      <c r="X342" s="197">
        <v>2.07191975477895E-3</v>
      </c>
    </row>
    <row r="343" spans="1:24">
      <c r="A343" s="5">
        <v>337</v>
      </c>
      <c r="B343" s="5">
        <v>9964</v>
      </c>
      <c r="C343" s="5" t="s">
        <v>1826</v>
      </c>
      <c r="D343" s="5" t="s">
        <v>1827</v>
      </c>
      <c r="E343" s="5" t="s">
        <v>429</v>
      </c>
      <c r="F343" s="5" t="s">
        <v>2175</v>
      </c>
      <c r="G343" s="5" t="s">
        <v>1829</v>
      </c>
      <c r="H343" s="5" t="s">
        <v>76</v>
      </c>
      <c r="I343" s="5" t="s">
        <v>73</v>
      </c>
      <c r="J343" s="5" t="s">
        <v>61</v>
      </c>
      <c r="K343" s="5" t="s">
        <v>314</v>
      </c>
      <c r="L343" s="9" t="s">
        <v>803</v>
      </c>
      <c r="M343" s="9" t="s">
        <v>475</v>
      </c>
      <c r="N343" s="5" t="s">
        <v>906</v>
      </c>
      <c r="O343" s="5" t="s">
        <v>62</v>
      </c>
      <c r="P343" s="5" t="s">
        <v>1215</v>
      </c>
      <c r="Q343" s="193">
        <v>98</v>
      </c>
      <c r="R343" s="195">
        <v>3.3719999999999999</v>
      </c>
      <c r="S343" s="196">
        <v>8376</v>
      </c>
      <c r="T343" s="9"/>
      <c r="U343" s="193">
        <v>27.678999999999998</v>
      </c>
      <c r="V343" s="197">
        <v>1.9999999999999999E-6</v>
      </c>
      <c r="W343" s="197">
        <v>5.7700941429423202E-3</v>
      </c>
      <c r="X343" s="197">
        <v>7.1286708166257802E-4</v>
      </c>
    </row>
    <row r="344" spans="1:24">
      <c r="A344" s="5">
        <v>337</v>
      </c>
      <c r="B344" s="5">
        <v>9964</v>
      </c>
      <c r="C344" s="5" t="s">
        <v>2176</v>
      </c>
      <c r="D344" s="5" t="s">
        <v>2177</v>
      </c>
      <c r="E344" s="5" t="s">
        <v>429</v>
      </c>
      <c r="F344" s="5" t="s">
        <v>2178</v>
      </c>
      <c r="G344" s="5" t="s">
        <v>2179</v>
      </c>
      <c r="H344" s="5" t="s">
        <v>76</v>
      </c>
      <c r="I344" s="5" t="s">
        <v>73</v>
      </c>
      <c r="J344" s="5" t="s">
        <v>61</v>
      </c>
      <c r="K344" s="5" t="s">
        <v>314</v>
      </c>
      <c r="L344" s="9" t="s">
        <v>803</v>
      </c>
      <c r="M344" s="9" t="s">
        <v>478</v>
      </c>
      <c r="N344" s="5" t="s">
        <v>897</v>
      </c>
      <c r="O344" s="5" t="s">
        <v>62</v>
      </c>
      <c r="P344" s="5" t="s">
        <v>1215</v>
      </c>
      <c r="Q344" s="193">
        <v>100</v>
      </c>
      <c r="R344" s="195">
        <v>3.3719999999999999</v>
      </c>
      <c r="S344" s="196">
        <v>20464</v>
      </c>
      <c r="T344" s="9"/>
      <c r="U344" s="193">
        <v>69.004999999999995</v>
      </c>
      <c r="V344" s="197">
        <v>0</v>
      </c>
      <c r="W344" s="197">
        <v>1.43850270136702E-2</v>
      </c>
      <c r="X344" s="197">
        <v>1.7772001587557E-3</v>
      </c>
    </row>
    <row r="345" spans="1:24">
      <c r="A345" s="5">
        <v>337</v>
      </c>
      <c r="B345" s="5">
        <v>9964</v>
      </c>
      <c r="C345" s="5" t="s">
        <v>2180</v>
      </c>
      <c r="D345" s="5" t="s">
        <v>2181</v>
      </c>
      <c r="E345" s="5" t="s">
        <v>429</v>
      </c>
      <c r="F345" s="5" t="s">
        <v>2182</v>
      </c>
      <c r="G345" s="5" t="s">
        <v>2183</v>
      </c>
      <c r="H345" s="5" t="s">
        <v>76</v>
      </c>
      <c r="I345" s="5" t="s">
        <v>73</v>
      </c>
      <c r="J345" s="5" t="s">
        <v>61</v>
      </c>
      <c r="K345" s="5" t="s">
        <v>315</v>
      </c>
      <c r="L345" s="9" t="s">
        <v>803</v>
      </c>
      <c r="M345" s="9" t="s">
        <v>493</v>
      </c>
      <c r="N345" s="5" t="s">
        <v>882</v>
      </c>
      <c r="O345" s="5" t="s">
        <v>62</v>
      </c>
      <c r="P345" s="5" t="s">
        <v>1287</v>
      </c>
      <c r="Q345" s="193">
        <v>570</v>
      </c>
      <c r="R345" s="195">
        <v>4.6235999999999997</v>
      </c>
      <c r="S345" s="196">
        <v>1600</v>
      </c>
      <c r="T345" s="9"/>
      <c r="U345" s="193">
        <v>42.167000000000002</v>
      </c>
      <c r="V345" s="197">
        <v>1.2999999999999999E-5</v>
      </c>
      <c r="W345" s="197">
        <v>8.7903806570671199E-3</v>
      </c>
      <c r="X345" s="197">
        <v>1.0860087982050199E-3</v>
      </c>
    </row>
    <row r="346" spans="1:24">
      <c r="A346" s="5">
        <v>337</v>
      </c>
      <c r="B346" s="5">
        <v>9964</v>
      </c>
      <c r="C346" s="5" t="s">
        <v>2184</v>
      </c>
      <c r="D346" s="5" t="s">
        <v>2185</v>
      </c>
      <c r="E346" s="5" t="s">
        <v>429</v>
      </c>
      <c r="F346" s="5" t="s">
        <v>2186</v>
      </c>
      <c r="G346" s="5" t="s">
        <v>2187</v>
      </c>
      <c r="H346" s="5" t="s">
        <v>76</v>
      </c>
      <c r="I346" s="5" t="s">
        <v>73</v>
      </c>
      <c r="J346" s="5" t="s">
        <v>61</v>
      </c>
      <c r="K346" s="5" t="s">
        <v>314</v>
      </c>
      <c r="L346" s="9" t="s">
        <v>803</v>
      </c>
      <c r="M346" s="9" t="s">
        <v>478</v>
      </c>
      <c r="N346" s="5" t="s">
        <v>897</v>
      </c>
      <c r="O346" s="5" t="s">
        <v>62</v>
      </c>
      <c r="P346" s="5" t="s">
        <v>1215</v>
      </c>
      <c r="Q346" s="193">
        <v>0</v>
      </c>
      <c r="R346" s="195">
        <v>3.3719999999999999</v>
      </c>
      <c r="S346" s="196">
        <v>0</v>
      </c>
      <c r="T346" s="170">
        <v>3.2000000000000001E-2</v>
      </c>
      <c r="U346" s="193">
        <v>0.108</v>
      </c>
      <c r="V346" s="197">
        <v>0</v>
      </c>
      <c r="W346" s="197">
        <v>2.2572561024333499E-5</v>
      </c>
      <c r="X346" s="197">
        <v>2.7887301843677901E-6</v>
      </c>
    </row>
    <row r="347" spans="1:24">
      <c r="A347" s="5">
        <v>337</v>
      </c>
      <c r="B347" s="5">
        <v>9964</v>
      </c>
      <c r="C347" s="5" t="s">
        <v>2188</v>
      </c>
      <c r="D347" s="5" t="s">
        <v>2189</v>
      </c>
      <c r="E347" s="5" t="s">
        <v>429</v>
      </c>
      <c r="F347" s="5" t="s">
        <v>2190</v>
      </c>
      <c r="G347" s="5" t="s">
        <v>2191</v>
      </c>
      <c r="H347" s="5" t="s">
        <v>76</v>
      </c>
      <c r="I347" s="5" t="s">
        <v>73</v>
      </c>
      <c r="J347" s="5" t="s">
        <v>61</v>
      </c>
      <c r="K347" s="5" t="s">
        <v>188</v>
      </c>
      <c r="L347" s="9" t="s">
        <v>803</v>
      </c>
      <c r="M347" s="9" t="s">
        <v>475</v>
      </c>
      <c r="N347" s="5" t="s">
        <v>202</v>
      </c>
      <c r="O347" s="5" t="s">
        <v>62</v>
      </c>
      <c r="P347" s="5" t="s">
        <v>1215</v>
      </c>
      <c r="Q347" s="193">
        <v>100</v>
      </c>
      <c r="R347" s="195">
        <v>3.3719999999999999</v>
      </c>
      <c r="S347" s="196">
        <v>22649</v>
      </c>
      <c r="T347" s="170">
        <v>5.8999999999999997E-2</v>
      </c>
      <c r="U347" s="193">
        <v>76.572999999999993</v>
      </c>
      <c r="V347" s="197">
        <v>0</v>
      </c>
      <c r="W347" s="197">
        <v>1.59626818405572E-2</v>
      </c>
      <c r="X347" s="197">
        <v>1.9721117432901498E-3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4778EC6E-5BE8-48A4-ACC2-C83829F26FED}">
      <formula1>israel_abroad</formula1>
    </dataValidation>
    <dataValidation type="list" allowBlank="1" showInputMessage="1" showErrorMessage="1" sqref="O2:O19" xr:uid="{A8DAA8A6-6D9A-4A37-8C21-8651EB2BAA4D}">
      <formula1>Holding_interest</formula1>
    </dataValidation>
    <dataValidation type="list" allowBlank="1" showInputMessage="1" showErrorMessage="1" sqref="K2:K20" xr:uid="{C71BEBB1-A611-4BFD-9E30-921CAA01B948}">
      <formula1>Country_list</formula1>
    </dataValidation>
    <dataValidation type="list" allowBlank="1" showInputMessage="1" showErrorMessage="1" sqref="E2:E20" xr:uid="{8E99EC7B-B5AD-419A-8806-F5DFAE470570}">
      <formula1>Issuer_Number_Type_2</formula1>
    </dataValidation>
    <dataValidation type="list" allowBlank="1" showInputMessage="1" showErrorMessage="1" sqref="H2:H20" xr:uid="{0BC8111A-48C6-4D2F-A969-B5EEE8DDA089}">
      <formula1>Security_ID_Number_Type</formula1>
    </dataValidation>
    <dataValidation type="list" allowBlank="1" showInputMessage="1" showErrorMessage="1" sqref="N2:N21" xr:uid="{00603427-45C6-4067-869C-D88F57FEEB53}">
      <formula1>Industry_Sector</formula1>
    </dataValidation>
    <dataValidation type="list" allowBlank="1" showInputMessage="1" showErrorMessage="1" sqref="L2:L20" xr:uid="{FAE7844D-0D29-427E-895D-36A640C0C956}">
      <formula1>Tradeable_Status</formula1>
    </dataValidation>
    <dataValidation type="list" allowBlank="1" showInputMessage="1" showErrorMessage="1" sqref="M2:M20" xr:uid="{C55EEB5C-C07D-48D8-8635-3A9A802653BC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09"/>
  <sheetViews>
    <sheetView rightToLeft="1" workbookViewId="0">
      <selection activeCell="G16" sqref="G16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6" width="11.625" style="3" customWidth="1"/>
    <col min="7" max="7" width="22.125" style="3" customWidth="1"/>
    <col min="8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16384" width="0" style="3" hidden="1"/>
  </cols>
  <sheetData>
    <row r="1" spans="1:23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5</v>
      </c>
      <c r="M1" s="22" t="s">
        <v>300</v>
      </c>
      <c r="N1" s="22" t="s">
        <v>604</v>
      </c>
      <c r="O1" s="22" t="s">
        <v>396</v>
      </c>
      <c r="P1" s="22" t="s">
        <v>771</v>
      </c>
      <c r="Q1" s="22" t="s">
        <v>11</v>
      </c>
      <c r="R1" s="22" t="s">
        <v>15</v>
      </c>
      <c r="S1" s="22" t="s">
        <v>936</v>
      </c>
      <c r="T1" s="22" t="s">
        <v>1151</v>
      </c>
      <c r="U1" s="22" t="s">
        <v>18</v>
      </c>
      <c r="V1" s="22" t="s">
        <v>19</v>
      </c>
      <c r="W1" s="22" t="s">
        <v>30</v>
      </c>
    </row>
    <row r="2" spans="1:23">
      <c r="A2" s="167">
        <v>337</v>
      </c>
      <c r="B2" s="167">
        <v>1405</v>
      </c>
      <c r="C2" s="167" t="s">
        <v>1709</v>
      </c>
      <c r="D2" s="167" t="s">
        <v>1710</v>
      </c>
      <c r="E2" s="168" t="s">
        <v>1346</v>
      </c>
      <c r="F2" s="167" t="s">
        <v>1711</v>
      </c>
      <c r="G2" s="167" t="s">
        <v>1712</v>
      </c>
      <c r="H2" s="168" t="s">
        <v>76</v>
      </c>
      <c r="I2" s="167" t="s">
        <v>236</v>
      </c>
      <c r="J2" s="168" t="s">
        <v>53</v>
      </c>
      <c r="K2" s="168" t="s">
        <v>53</v>
      </c>
      <c r="L2" s="168" t="s">
        <v>311</v>
      </c>
      <c r="M2" s="167" t="s">
        <v>1713</v>
      </c>
      <c r="N2" s="167" t="s">
        <v>62</v>
      </c>
      <c r="O2" s="168" t="s">
        <v>1259</v>
      </c>
      <c r="P2" s="188">
        <v>12757</v>
      </c>
      <c r="Q2" s="171">
        <v>1</v>
      </c>
      <c r="R2" s="178">
        <v>482.69</v>
      </c>
      <c r="S2" s="191"/>
      <c r="T2" s="172">
        <v>61.576999999999998</v>
      </c>
      <c r="U2" s="173">
        <v>5.1999999999999997E-5</v>
      </c>
      <c r="V2" s="173">
        <v>0.101014147429244</v>
      </c>
      <c r="W2" s="173">
        <v>6.8286673963288396E-3</v>
      </c>
    </row>
    <row r="3" spans="1:23">
      <c r="A3" s="167">
        <v>337</v>
      </c>
      <c r="B3" s="167">
        <v>1405</v>
      </c>
      <c r="C3" s="167" t="s">
        <v>1714</v>
      </c>
      <c r="D3" s="167" t="s">
        <v>1715</v>
      </c>
      <c r="E3" s="168" t="s">
        <v>1346</v>
      </c>
      <c r="F3" s="167" t="s">
        <v>1716</v>
      </c>
      <c r="G3" s="167" t="s">
        <v>1717</v>
      </c>
      <c r="H3" s="168" t="s">
        <v>76</v>
      </c>
      <c r="I3" s="167" t="s">
        <v>236</v>
      </c>
      <c r="J3" s="168" t="s">
        <v>53</v>
      </c>
      <c r="K3" s="168" t="s">
        <v>53</v>
      </c>
      <c r="L3" s="168" t="s">
        <v>311</v>
      </c>
      <c r="M3" s="167" t="s">
        <v>1713</v>
      </c>
      <c r="N3" s="167" t="s">
        <v>62</v>
      </c>
      <c r="O3" s="168" t="s">
        <v>1259</v>
      </c>
      <c r="P3" s="188">
        <v>10345</v>
      </c>
      <c r="Q3" s="171">
        <v>1</v>
      </c>
      <c r="R3" s="178">
        <v>4144.0200000000004</v>
      </c>
      <c r="S3" s="191"/>
      <c r="T3" s="172">
        <v>428.69900000000001</v>
      </c>
      <c r="U3" s="173">
        <v>1.92E-4</v>
      </c>
      <c r="V3" s="173">
        <v>0.70326286142935401</v>
      </c>
      <c r="W3" s="173">
        <v>4.7541342426865599E-2</v>
      </c>
    </row>
    <row r="4" spans="1:23">
      <c r="A4" s="167">
        <v>337</v>
      </c>
      <c r="B4" s="167">
        <v>1405</v>
      </c>
      <c r="C4" s="167" t="s">
        <v>1718</v>
      </c>
      <c r="D4" s="167" t="s">
        <v>1719</v>
      </c>
      <c r="E4" s="168" t="s">
        <v>429</v>
      </c>
      <c r="F4" s="167" t="s">
        <v>1720</v>
      </c>
      <c r="G4" s="167" t="s">
        <v>1721</v>
      </c>
      <c r="H4" s="168" t="s">
        <v>76</v>
      </c>
      <c r="I4" s="167" t="s">
        <v>237</v>
      </c>
      <c r="J4" s="168" t="s">
        <v>61</v>
      </c>
      <c r="K4" s="168" t="s">
        <v>314</v>
      </c>
      <c r="L4" s="168" t="s">
        <v>475</v>
      </c>
      <c r="M4" s="167" t="s">
        <v>758</v>
      </c>
      <c r="N4" s="167" t="s">
        <v>62</v>
      </c>
      <c r="O4" s="168" t="s">
        <v>1215</v>
      </c>
      <c r="P4" s="188">
        <v>114</v>
      </c>
      <c r="Q4" s="171">
        <v>3.3719999999999999</v>
      </c>
      <c r="R4" s="178">
        <v>8065</v>
      </c>
      <c r="S4" s="191"/>
      <c r="T4" s="172">
        <v>31.003</v>
      </c>
      <c r="U4" s="173">
        <v>0</v>
      </c>
      <c r="V4" s="173">
        <v>5.0858334591105399E-2</v>
      </c>
      <c r="W4" s="173">
        <v>3.4380793195045302E-3</v>
      </c>
    </row>
    <row r="5" spans="1:23">
      <c r="A5" s="167">
        <v>337</v>
      </c>
      <c r="B5" s="167">
        <v>1405</v>
      </c>
      <c r="C5" s="167" t="s">
        <v>1722</v>
      </c>
      <c r="D5" s="167" t="s">
        <v>1723</v>
      </c>
      <c r="E5" s="168" t="s">
        <v>429</v>
      </c>
      <c r="F5" s="167" t="s">
        <v>1724</v>
      </c>
      <c r="G5" s="167" t="s">
        <v>1725</v>
      </c>
      <c r="H5" s="168" t="s">
        <v>76</v>
      </c>
      <c r="I5" s="167" t="s">
        <v>237</v>
      </c>
      <c r="J5" s="168" t="s">
        <v>61</v>
      </c>
      <c r="K5" s="168" t="s">
        <v>314</v>
      </c>
      <c r="L5" s="168" t="s">
        <v>1726</v>
      </c>
      <c r="M5" s="167" t="s">
        <v>758</v>
      </c>
      <c r="N5" s="167" t="s">
        <v>62</v>
      </c>
      <c r="O5" s="168" t="s">
        <v>1215</v>
      </c>
      <c r="P5" s="188">
        <v>2326</v>
      </c>
      <c r="Q5" s="171">
        <v>3.3719999999999999</v>
      </c>
      <c r="R5" s="178">
        <v>1125.9000000000001</v>
      </c>
      <c r="S5" s="191"/>
      <c r="T5" s="172">
        <v>88.307000000000002</v>
      </c>
      <c r="U5" s="173">
        <v>0</v>
      </c>
      <c r="V5" s="173">
        <v>0.14486465655029601</v>
      </c>
      <c r="W5" s="173">
        <v>9.79301001137786E-3</v>
      </c>
    </row>
    <row r="6" spans="1:23">
      <c r="A6" s="167">
        <v>337</v>
      </c>
      <c r="B6" s="167">
        <v>1477</v>
      </c>
      <c r="C6" s="167" t="s">
        <v>1709</v>
      </c>
      <c r="D6" s="167" t="s">
        <v>1710</v>
      </c>
      <c r="E6" s="168" t="s">
        <v>1346</v>
      </c>
      <c r="F6" s="167" t="s">
        <v>1727</v>
      </c>
      <c r="G6" s="167" t="s">
        <v>1728</v>
      </c>
      <c r="H6" s="168" t="s">
        <v>76</v>
      </c>
      <c r="I6" s="167" t="s">
        <v>235</v>
      </c>
      <c r="J6" s="168" t="s">
        <v>53</v>
      </c>
      <c r="K6" s="168" t="s">
        <v>314</v>
      </c>
      <c r="L6" s="168" t="s">
        <v>311</v>
      </c>
      <c r="M6" s="167" t="s">
        <v>1729</v>
      </c>
      <c r="N6" s="167" t="s">
        <v>62</v>
      </c>
      <c r="O6" s="168" t="s">
        <v>1259</v>
      </c>
      <c r="P6" s="188">
        <v>1649</v>
      </c>
      <c r="Q6" s="171">
        <v>1</v>
      </c>
      <c r="R6" s="178">
        <v>7820</v>
      </c>
      <c r="S6" s="191"/>
      <c r="T6" s="172">
        <v>128.952</v>
      </c>
      <c r="U6" s="173">
        <v>6.7999999999999999E-5</v>
      </c>
      <c r="V6" s="173">
        <v>1.6309503216124399E-2</v>
      </c>
      <c r="W6" s="173">
        <v>7.4219725041918703E-3</v>
      </c>
    </row>
    <row r="7" spans="1:23">
      <c r="A7" s="167">
        <v>337</v>
      </c>
      <c r="B7" s="167">
        <v>1477</v>
      </c>
      <c r="C7" s="167" t="s">
        <v>1730</v>
      </c>
      <c r="D7" s="167" t="s">
        <v>1731</v>
      </c>
      <c r="E7" s="168" t="s">
        <v>1346</v>
      </c>
      <c r="F7" s="167" t="s">
        <v>1732</v>
      </c>
      <c r="G7" s="167" t="s">
        <v>1733</v>
      </c>
      <c r="H7" s="168" t="s">
        <v>76</v>
      </c>
      <c r="I7" s="167" t="s">
        <v>235</v>
      </c>
      <c r="J7" s="168" t="s">
        <v>53</v>
      </c>
      <c r="K7" s="168" t="s">
        <v>314</v>
      </c>
      <c r="L7" s="168" t="s">
        <v>311</v>
      </c>
      <c r="M7" s="167" t="s">
        <v>1734</v>
      </c>
      <c r="N7" s="167" t="s">
        <v>62</v>
      </c>
      <c r="O7" s="168" t="s">
        <v>1259</v>
      </c>
      <c r="P7" s="188">
        <v>2943</v>
      </c>
      <c r="Q7" s="171">
        <v>1</v>
      </c>
      <c r="R7" s="178">
        <v>20650</v>
      </c>
      <c r="S7" s="191"/>
      <c r="T7" s="172">
        <v>607.73</v>
      </c>
      <c r="U7" s="173">
        <v>3.0000000000000001E-5</v>
      </c>
      <c r="V7" s="173">
        <v>7.6864116939691293E-2</v>
      </c>
      <c r="W7" s="173">
        <v>3.4978586099506E-2</v>
      </c>
    </row>
    <row r="8" spans="1:23">
      <c r="A8" s="167">
        <v>337</v>
      </c>
      <c r="B8" s="167">
        <v>1477</v>
      </c>
      <c r="C8" s="167" t="s">
        <v>1735</v>
      </c>
      <c r="D8" s="167" t="s">
        <v>1736</v>
      </c>
      <c r="E8" s="168" t="s">
        <v>1346</v>
      </c>
      <c r="F8" s="167" t="s">
        <v>1737</v>
      </c>
      <c r="G8" s="167" t="s">
        <v>1738</v>
      </c>
      <c r="H8" s="168" t="s">
        <v>76</v>
      </c>
      <c r="I8" s="167" t="s">
        <v>235</v>
      </c>
      <c r="J8" s="168" t="s">
        <v>53</v>
      </c>
      <c r="K8" s="168" t="s">
        <v>317</v>
      </c>
      <c r="L8" s="168" t="s">
        <v>311</v>
      </c>
      <c r="M8" s="167" t="s">
        <v>1734</v>
      </c>
      <c r="N8" s="167" t="s">
        <v>62</v>
      </c>
      <c r="O8" s="168" t="s">
        <v>1259</v>
      </c>
      <c r="P8" s="188">
        <v>37152</v>
      </c>
      <c r="Q8" s="171">
        <v>1</v>
      </c>
      <c r="R8" s="178">
        <v>864.7</v>
      </c>
      <c r="S8" s="191"/>
      <c r="T8" s="172">
        <v>321.25299999999999</v>
      </c>
      <c r="U8" s="173">
        <v>7.3999999999999996E-5</v>
      </c>
      <c r="V8" s="173">
        <v>4.0631324627951902E-2</v>
      </c>
      <c r="W8" s="173">
        <v>1.8490114027471399E-2</v>
      </c>
    </row>
    <row r="9" spans="1:23">
      <c r="A9" s="167">
        <v>337</v>
      </c>
      <c r="B9" s="167">
        <v>1477</v>
      </c>
      <c r="C9" s="167" t="s">
        <v>1735</v>
      </c>
      <c r="D9" s="167" t="s">
        <v>1736</v>
      </c>
      <c r="E9" s="168" t="s">
        <v>1346</v>
      </c>
      <c r="F9" s="167" t="s">
        <v>1739</v>
      </c>
      <c r="G9" s="167" t="s">
        <v>1740</v>
      </c>
      <c r="H9" s="168" t="s">
        <v>76</v>
      </c>
      <c r="I9" s="167" t="s">
        <v>234</v>
      </c>
      <c r="J9" s="168" t="s">
        <v>53</v>
      </c>
      <c r="K9" s="168" t="s">
        <v>53</v>
      </c>
      <c r="L9" s="168" t="s">
        <v>311</v>
      </c>
      <c r="M9" s="167" t="s">
        <v>1708</v>
      </c>
      <c r="N9" s="167" t="s">
        <v>62</v>
      </c>
      <c r="O9" s="168" t="s">
        <v>1259</v>
      </c>
      <c r="P9" s="188">
        <v>3637</v>
      </c>
      <c r="Q9" s="171">
        <v>1</v>
      </c>
      <c r="R9" s="178">
        <v>3032</v>
      </c>
      <c r="S9" s="191"/>
      <c r="T9" s="172">
        <v>110.274</v>
      </c>
      <c r="U9" s="173">
        <v>1.5E-5</v>
      </c>
      <c r="V9" s="173">
        <v>1.39471612504392E-2</v>
      </c>
      <c r="W9" s="173">
        <v>6.3469405499702496E-3</v>
      </c>
    </row>
    <row r="10" spans="1:23">
      <c r="A10" s="167">
        <v>337</v>
      </c>
      <c r="B10" s="167">
        <v>1477</v>
      </c>
      <c r="C10" s="167" t="s">
        <v>1735</v>
      </c>
      <c r="D10" s="167" t="s">
        <v>1736</v>
      </c>
      <c r="E10" s="168" t="s">
        <v>1346</v>
      </c>
      <c r="F10" s="167" t="s">
        <v>1741</v>
      </c>
      <c r="G10" s="167" t="s">
        <v>1742</v>
      </c>
      <c r="H10" s="168" t="s">
        <v>76</v>
      </c>
      <c r="I10" s="167" t="s">
        <v>235</v>
      </c>
      <c r="J10" s="168" t="s">
        <v>53</v>
      </c>
      <c r="K10" s="168" t="s">
        <v>313</v>
      </c>
      <c r="L10" s="168" t="s">
        <v>311</v>
      </c>
      <c r="M10" s="167" t="s">
        <v>1729</v>
      </c>
      <c r="N10" s="167" t="s">
        <v>62</v>
      </c>
      <c r="O10" s="168" t="s">
        <v>1259</v>
      </c>
      <c r="P10" s="188">
        <v>47386</v>
      </c>
      <c r="Q10" s="171">
        <v>1</v>
      </c>
      <c r="R10" s="178">
        <v>699.4</v>
      </c>
      <c r="S10" s="191"/>
      <c r="T10" s="172">
        <v>331.41800000000001</v>
      </c>
      <c r="U10" s="173">
        <v>2.0100000000000001E-4</v>
      </c>
      <c r="V10" s="173">
        <v>4.19168850925579E-2</v>
      </c>
      <c r="W10" s="173">
        <v>1.9075134570055999E-2</v>
      </c>
    </row>
    <row r="11" spans="1:23">
      <c r="A11" s="167">
        <v>337</v>
      </c>
      <c r="B11" s="167">
        <v>1477</v>
      </c>
      <c r="C11" s="167" t="s">
        <v>1735</v>
      </c>
      <c r="D11" s="167" t="s">
        <v>1736</v>
      </c>
      <c r="E11" s="168" t="s">
        <v>1346</v>
      </c>
      <c r="F11" s="167" t="s">
        <v>1743</v>
      </c>
      <c r="G11" s="167" t="s">
        <v>1744</v>
      </c>
      <c r="H11" s="168" t="s">
        <v>76</v>
      </c>
      <c r="I11" s="167" t="s">
        <v>235</v>
      </c>
      <c r="J11" s="168" t="s">
        <v>53</v>
      </c>
      <c r="K11" s="168" t="s">
        <v>153</v>
      </c>
      <c r="L11" s="168" t="s">
        <v>311</v>
      </c>
      <c r="M11" s="167" t="s">
        <v>1729</v>
      </c>
      <c r="N11" s="167" t="s">
        <v>62</v>
      </c>
      <c r="O11" s="168" t="s">
        <v>1259</v>
      </c>
      <c r="P11" s="188">
        <v>467</v>
      </c>
      <c r="Q11" s="171">
        <v>1</v>
      </c>
      <c r="R11" s="178">
        <v>20650</v>
      </c>
      <c r="S11" s="191"/>
      <c r="T11" s="172">
        <v>96.436000000000007</v>
      </c>
      <c r="U11" s="173">
        <v>4.1E-5</v>
      </c>
      <c r="V11" s="173">
        <v>1.2196922395798801E-2</v>
      </c>
      <c r="W11" s="173">
        <v>5.5504586165372998E-3</v>
      </c>
    </row>
    <row r="12" spans="1:23">
      <c r="A12" s="167">
        <v>337</v>
      </c>
      <c r="B12" s="167">
        <v>1477</v>
      </c>
      <c r="C12" s="167" t="s">
        <v>1745</v>
      </c>
      <c r="D12" s="167" t="s">
        <v>1746</v>
      </c>
      <c r="E12" s="168" t="s">
        <v>1346</v>
      </c>
      <c r="F12" s="167" t="s">
        <v>1747</v>
      </c>
      <c r="G12" s="167" t="s">
        <v>1748</v>
      </c>
      <c r="H12" s="168" t="s">
        <v>76</v>
      </c>
      <c r="I12" s="167" t="s">
        <v>235</v>
      </c>
      <c r="J12" s="168" t="s">
        <v>53</v>
      </c>
      <c r="K12" s="168" t="s">
        <v>314</v>
      </c>
      <c r="L12" s="168" t="s">
        <v>311</v>
      </c>
      <c r="M12" s="167" t="s">
        <v>1729</v>
      </c>
      <c r="N12" s="167" t="s">
        <v>62</v>
      </c>
      <c r="O12" s="168" t="s">
        <v>1259</v>
      </c>
      <c r="P12" s="188">
        <v>667</v>
      </c>
      <c r="Q12" s="171">
        <v>1</v>
      </c>
      <c r="R12" s="178">
        <v>9600</v>
      </c>
      <c r="S12" s="191"/>
      <c r="T12" s="172">
        <v>64.031999999999996</v>
      </c>
      <c r="U12" s="173">
        <v>4.8999999999999998E-5</v>
      </c>
      <c r="V12" s="173">
        <v>8.0986082391628408E-3</v>
      </c>
      <c r="W12" s="173">
        <v>3.6854370655424302E-3</v>
      </c>
    </row>
    <row r="13" spans="1:23">
      <c r="A13" s="167">
        <v>337</v>
      </c>
      <c r="B13" s="167">
        <v>1477</v>
      </c>
      <c r="C13" s="167" t="s">
        <v>1714</v>
      </c>
      <c r="D13" s="167" t="s">
        <v>1715</v>
      </c>
      <c r="E13" s="168" t="s">
        <v>1346</v>
      </c>
      <c r="F13" s="167" t="s">
        <v>1749</v>
      </c>
      <c r="G13" s="167" t="s">
        <v>1750</v>
      </c>
      <c r="H13" s="168" t="s">
        <v>76</v>
      </c>
      <c r="I13" s="167" t="s">
        <v>235</v>
      </c>
      <c r="J13" s="168" t="s">
        <v>53</v>
      </c>
      <c r="K13" s="168" t="s">
        <v>313</v>
      </c>
      <c r="L13" s="168" t="s">
        <v>311</v>
      </c>
      <c r="M13" s="167" t="s">
        <v>1729</v>
      </c>
      <c r="N13" s="167" t="s">
        <v>62</v>
      </c>
      <c r="O13" s="168" t="s">
        <v>1259</v>
      </c>
      <c r="P13" s="188">
        <v>4609</v>
      </c>
      <c r="Q13" s="171">
        <v>1</v>
      </c>
      <c r="R13" s="178">
        <v>7493</v>
      </c>
      <c r="S13" s="191"/>
      <c r="T13" s="172">
        <v>345.35199999999998</v>
      </c>
      <c r="U13" s="173">
        <v>3.3100000000000002E-4</v>
      </c>
      <c r="V13" s="173">
        <v>4.36793095498565E-2</v>
      </c>
      <c r="W13" s="173">
        <v>1.9877161810827701E-2</v>
      </c>
    </row>
    <row r="14" spans="1:23">
      <c r="A14" s="167">
        <v>337</v>
      </c>
      <c r="B14" s="167">
        <v>1477</v>
      </c>
      <c r="C14" s="167" t="s">
        <v>1751</v>
      </c>
      <c r="D14" s="167" t="s">
        <v>1752</v>
      </c>
      <c r="E14" s="168" t="s">
        <v>429</v>
      </c>
      <c r="F14" s="167" t="s">
        <v>1753</v>
      </c>
      <c r="G14" s="167" t="s">
        <v>1754</v>
      </c>
      <c r="H14" s="168" t="s">
        <v>76</v>
      </c>
      <c r="I14" s="167" t="s">
        <v>235</v>
      </c>
      <c r="J14" s="168" t="s">
        <v>61</v>
      </c>
      <c r="K14" s="168" t="s">
        <v>1755</v>
      </c>
      <c r="L14" s="168" t="s">
        <v>478</v>
      </c>
      <c r="M14" s="167" t="s">
        <v>757</v>
      </c>
      <c r="N14" s="167" t="s">
        <v>62</v>
      </c>
      <c r="O14" s="168" t="s">
        <v>1215</v>
      </c>
      <c r="P14" s="188">
        <v>2098</v>
      </c>
      <c r="Q14" s="171">
        <v>3.3719999999999999</v>
      </c>
      <c r="R14" s="178">
        <v>6036</v>
      </c>
      <c r="S14" s="191"/>
      <c r="T14" s="172">
        <v>427.01400000000001</v>
      </c>
      <c r="U14" s="173">
        <v>0</v>
      </c>
      <c r="V14" s="173">
        <v>5.4007690343974998E-2</v>
      </c>
      <c r="W14" s="173">
        <v>2.45773024129636E-2</v>
      </c>
    </row>
    <row r="15" spans="1:23">
      <c r="A15" s="167">
        <v>337</v>
      </c>
      <c r="B15" s="167">
        <v>1477</v>
      </c>
      <c r="C15" s="167" t="s">
        <v>1718</v>
      </c>
      <c r="D15" s="167" t="s">
        <v>1719</v>
      </c>
      <c r="E15" s="168" t="s">
        <v>429</v>
      </c>
      <c r="F15" s="167" t="s">
        <v>1756</v>
      </c>
      <c r="G15" s="167" t="s">
        <v>1757</v>
      </c>
      <c r="H15" s="168" t="s">
        <v>76</v>
      </c>
      <c r="I15" s="167" t="s">
        <v>235</v>
      </c>
      <c r="J15" s="168" t="s">
        <v>61</v>
      </c>
      <c r="K15" s="168" t="s">
        <v>314</v>
      </c>
      <c r="L15" s="168" t="s">
        <v>475</v>
      </c>
      <c r="M15" s="167" t="s">
        <v>757</v>
      </c>
      <c r="N15" s="167" t="s">
        <v>62</v>
      </c>
      <c r="O15" s="168" t="s">
        <v>1215</v>
      </c>
      <c r="P15" s="188">
        <v>171</v>
      </c>
      <c r="Q15" s="171">
        <v>3.3719999999999999</v>
      </c>
      <c r="R15" s="178">
        <v>21579</v>
      </c>
      <c r="S15" s="191"/>
      <c r="T15" s="172">
        <v>124.42700000000001</v>
      </c>
      <c r="U15" s="173">
        <v>9.9999999999999995E-7</v>
      </c>
      <c r="V15" s="173">
        <v>1.5737230844238701E-2</v>
      </c>
      <c r="W15" s="173">
        <v>7.1615482746638396E-3</v>
      </c>
    </row>
    <row r="16" spans="1:23">
      <c r="A16" s="167">
        <v>337</v>
      </c>
      <c r="B16" s="167">
        <v>1477</v>
      </c>
      <c r="C16" s="167" t="s">
        <v>1758</v>
      </c>
      <c r="D16" s="167" t="s">
        <v>1759</v>
      </c>
      <c r="E16" s="168" t="s">
        <v>429</v>
      </c>
      <c r="F16" s="167" t="s">
        <v>1760</v>
      </c>
      <c r="G16" s="167" t="s">
        <v>1761</v>
      </c>
      <c r="H16" s="168" t="s">
        <v>76</v>
      </c>
      <c r="I16" s="167" t="s">
        <v>235</v>
      </c>
      <c r="J16" s="168" t="s">
        <v>61</v>
      </c>
      <c r="K16" s="168" t="s">
        <v>314</v>
      </c>
      <c r="L16" s="168" t="s">
        <v>493</v>
      </c>
      <c r="M16" s="167" t="s">
        <v>757</v>
      </c>
      <c r="N16" s="167" t="s">
        <v>62</v>
      </c>
      <c r="O16" s="168" t="s">
        <v>1215</v>
      </c>
      <c r="P16" s="188">
        <v>283</v>
      </c>
      <c r="Q16" s="171">
        <v>3.3719999999999999</v>
      </c>
      <c r="R16" s="178">
        <v>6262</v>
      </c>
      <c r="S16" s="191"/>
      <c r="T16" s="172">
        <v>59.756999999999998</v>
      </c>
      <c r="U16" s="173">
        <v>1.9999999999999999E-6</v>
      </c>
      <c r="V16" s="173">
        <v>7.5578869026320297E-3</v>
      </c>
      <c r="W16" s="173">
        <v>3.43937077897437E-3</v>
      </c>
    </row>
    <row r="17" spans="1:23">
      <c r="A17" s="167">
        <v>337</v>
      </c>
      <c r="B17" s="167">
        <v>1477</v>
      </c>
      <c r="C17" s="167" t="s">
        <v>1718</v>
      </c>
      <c r="D17" s="167" t="s">
        <v>1719</v>
      </c>
      <c r="E17" s="168" t="s">
        <v>429</v>
      </c>
      <c r="F17" s="167" t="s">
        <v>1762</v>
      </c>
      <c r="G17" s="167" t="s">
        <v>1763</v>
      </c>
      <c r="H17" s="168" t="s">
        <v>76</v>
      </c>
      <c r="I17" s="167" t="s">
        <v>235</v>
      </c>
      <c r="J17" s="168" t="s">
        <v>61</v>
      </c>
      <c r="K17" s="168" t="s">
        <v>314</v>
      </c>
      <c r="L17" s="168" t="s">
        <v>484</v>
      </c>
      <c r="M17" s="167" t="s">
        <v>757</v>
      </c>
      <c r="N17" s="167" t="s">
        <v>62</v>
      </c>
      <c r="O17" s="168" t="s">
        <v>1215</v>
      </c>
      <c r="P17" s="188">
        <v>871</v>
      </c>
      <c r="Q17" s="171">
        <v>3.3719999999999999</v>
      </c>
      <c r="R17" s="178">
        <v>10950</v>
      </c>
      <c r="S17" s="191"/>
      <c r="T17" s="172">
        <v>321.60300000000001</v>
      </c>
      <c r="U17" s="173">
        <v>7.9999999999999996E-6</v>
      </c>
      <c r="V17" s="173">
        <v>4.0675524725111697E-2</v>
      </c>
      <c r="W17" s="173">
        <v>1.8510228184319501E-2</v>
      </c>
    </row>
    <row r="18" spans="1:23">
      <c r="A18" s="167">
        <v>337</v>
      </c>
      <c r="B18" s="167">
        <v>1477</v>
      </c>
      <c r="C18" s="167" t="s">
        <v>1718</v>
      </c>
      <c r="D18" s="167" t="s">
        <v>1719</v>
      </c>
      <c r="E18" s="168" t="s">
        <v>429</v>
      </c>
      <c r="F18" s="167" t="s">
        <v>1764</v>
      </c>
      <c r="G18" s="167" t="s">
        <v>1765</v>
      </c>
      <c r="H18" s="168" t="s">
        <v>76</v>
      </c>
      <c r="I18" s="167" t="s">
        <v>235</v>
      </c>
      <c r="J18" s="168" t="s">
        <v>61</v>
      </c>
      <c r="K18" s="168" t="s">
        <v>314</v>
      </c>
      <c r="L18" s="168" t="s">
        <v>475</v>
      </c>
      <c r="M18" s="167" t="s">
        <v>757</v>
      </c>
      <c r="N18" s="167" t="s">
        <v>62</v>
      </c>
      <c r="O18" s="168" t="s">
        <v>1215</v>
      </c>
      <c r="P18" s="188">
        <v>408</v>
      </c>
      <c r="Q18" s="171">
        <v>3.3719999999999999</v>
      </c>
      <c r="R18" s="178">
        <v>62090</v>
      </c>
      <c r="S18" s="191"/>
      <c r="T18" s="172">
        <v>854.21900000000005</v>
      </c>
      <c r="U18" s="173">
        <v>9.9999999999999995E-7</v>
      </c>
      <c r="V18" s="173">
        <v>0.108039536638654</v>
      </c>
      <c r="W18" s="173">
        <v>4.9165597484597499E-2</v>
      </c>
    </row>
    <row r="19" spans="1:23">
      <c r="A19" s="167">
        <v>337</v>
      </c>
      <c r="B19" s="167">
        <v>1477</v>
      </c>
      <c r="C19" s="167" t="s">
        <v>1766</v>
      </c>
      <c r="D19" s="167" t="s">
        <v>1767</v>
      </c>
      <c r="E19" s="168" t="s">
        <v>429</v>
      </c>
      <c r="F19" s="167" t="s">
        <v>1768</v>
      </c>
      <c r="G19" s="167" t="s">
        <v>1769</v>
      </c>
      <c r="H19" s="168" t="s">
        <v>76</v>
      </c>
      <c r="I19" s="167" t="s">
        <v>235</v>
      </c>
      <c r="J19" s="168" t="s">
        <v>61</v>
      </c>
      <c r="K19" s="168" t="s">
        <v>188</v>
      </c>
      <c r="L19" s="168" t="s">
        <v>475</v>
      </c>
      <c r="M19" s="167" t="s">
        <v>757</v>
      </c>
      <c r="N19" s="167" t="s">
        <v>62</v>
      </c>
      <c r="O19" s="168" t="s">
        <v>1215</v>
      </c>
      <c r="P19" s="188">
        <v>651</v>
      </c>
      <c r="Q19" s="171">
        <v>3.3719999999999999</v>
      </c>
      <c r="R19" s="178">
        <v>3433</v>
      </c>
      <c r="S19" s="191"/>
      <c r="T19" s="172">
        <v>75.36</v>
      </c>
      <c r="U19" s="173">
        <v>3.0000000000000001E-6</v>
      </c>
      <c r="V19" s="173">
        <v>9.5313777502615306E-3</v>
      </c>
      <c r="W19" s="173">
        <v>4.3374480909736399E-3</v>
      </c>
    </row>
    <row r="20" spans="1:23">
      <c r="A20" s="9">
        <v>337</v>
      </c>
      <c r="B20" s="9">
        <v>1477</v>
      </c>
      <c r="C20" s="9" t="s">
        <v>1770</v>
      </c>
      <c r="D20" s="9" t="s">
        <v>1752</v>
      </c>
      <c r="E20" s="168" t="s">
        <v>429</v>
      </c>
      <c r="F20" s="9" t="s">
        <v>1771</v>
      </c>
      <c r="G20" s="9" t="s">
        <v>1772</v>
      </c>
      <c r="H20" s="168" t="s">
        <v>76</v>
      </c>
      <c r="I20" s="167" t="s">
        <v>235</v>
      </c>
      <c r="J20" s="168" t="s">
        <v>61</v>
      </c>
      <c r="K20" s="168" t="s">
        <v>314</v>
      </c>
      <c r="L20" s="168" t="s">
        <v>493</v>
      </c>
      <c r="M20" s="167" t="s">
        <v>757</v>
      </c>
      <c r="N20" s="167" t="s">
        <v>62</v>
      </c>
      <c r="O20" s="9" t="s">
        <v>1239</v>
      </c>
      <c r="P20" s="188">
        <v>241</v>
      </c>
      <c r="Q20" s="184">
        <v>3.9552</v>
      </c>
      <c r="R20" s="186">
        <v>37841</v>
      </c>
      <c r="S20" s="192"/>
      <c r="T20" s="170">
        <v>360.702</v>
      </c>
      <c r="U20" s="185">
        <v>2.6999999999999999E-5</v>
      </c>
      <c r="V20" s="185">
        <v>4.5620644914957098E-2</v>
      </c>
      <c r="W20" s="185">
        <v>2.0760606113836701E-2</v>
      </c>
    </row>
    <row r="21" spans="1:23" s="42" customFormat="1">
      <c r="A21" s="9">
        <v>337</v>
      </c>
      <c r="B21" s="9">
        <v>1477</v>
      </c>
      <c r="C21" s="9" t="s">
        <v>1770</v>
      </c>
      <c r="D21" s="9" t="s">
        <v>1752</v>
      </c>
      <c r="E21" s="5" t="s">
        <v>429</v>
      </c>
      <c r="F21" s="9" t="s">
        <v>1773</v>
      </c>
      <c r="G21" s="9" t="s">
        <v>1772</v>
      </c>
      <c r="H21" s="5" t="s">
        <v>76</v>
      </c>
      <c r="I21" s="9" t="s">
        <v>235</v>
      </c>
      <c r="J21" s="9" t="s">
        <v>61</v>
      </c>
      <c r="K21" s="9" t="s">
        <v>314</v>
      </c>
      <c r="L21" s="5" t="s">
        <v>493</v>
      </c>
      <c r="M21" s="9" t="s">
        <v>757</v>
      </c>
      <c r="N21" s="9" t="s">
        <v>62</v>
      </c>
      <c r="O21" s="9" t="s">
        <v>1215</v>
      </c>
      <c r="P21" s="193">
        <v>143</v>
      </c>
      <c r="Q21" s="184">
        <v>3.3719999999999999</v>
      </c>
      <c r="R21" s="186">
        <v>44471</v>
      </c>
      <c r="S21" s="192"/>
      <c r="T21" s="170">
        <v>214.43700000000001</v>
      </c>
      <c r="U21" s="185">
        <v>1.5999999999999999E-5</v>
      </c>
      <c r="V21" s="185">
        <v>2.71215073407686E-2</v>
      </c>
      <c r="W21" s="185">
        <v>1.2342195779232099E-2</v>
      </c>
    </row>
    <row r="22" spans="1:23">
      <c r="A22" s="9">
        <v>337</v>
      </c>
      <c r="B22" s="9">
        <v>1477</v>
      </c>
      <c r="C22" s="9" t="s">
        <v>1718</v>
      </c>
      <c r="D22" s="9" t="s">
        <v>1719</v>
      </c>
      <c r="E22" s="5" t="s">
        <v>429</v>
      </c>
      <c r="F22" s="9" t="s">
        <v>1774</v>
      </c>
      <c r="G22" s="9" t="s">
        <v>1775</v>
      </c>
      <c r="H22" s="9" t="s">
        <v>76</v>
      </c>
      <c r="I22" s="9" t="s">
        <v>235</v>
      </c>
      <c r="J22" s="9" t="s">
        <v>61</v>
      </c>
      <c r="K22" s="9" t="s">
        <v>188</v>
      </c>
      <c r="L22" s="5" t="s">
        <v>478</v>
      </c>
      <c r="M22" s="9" t="s">
        <v>757</v>
      </c>
      <c r="N22" s="9" t="s">
        <v>62</v>
      </c>
      <c r="O22" s="9" t="s">
        <v>1215</v>
      </c>
      <c r="P22" s="193">
        <v>420</v>
      </c>
      <c r="Q22" s="184">
        <v>3.3719999999999999</v>
      </c>
      <c r="R22" s="186">
        <v>5510</v>
      </c>
      <c r="S22" s="192"/>
      <c r="T22" s="170">
        <v>78.034999999999997</v>
      </c>
      <c r="U22" s="185">
        <v>3.0000000000000001E-6</v>
      </c>
      <c r="V22" s="185">
        <v>9.86965062137715E-3</v>
      </c>
      <c r="W22" s="185">
        <v>4.4913860690386003E-3</v>
      </c>
    </row>
    <row r="23" spans="1:23">
      <c r="A23" s="9">
        <v>337</v>
      </c>
      <c r="B23" s="9">
        <v>1477</v>
      </c>
      <c r="C23" s="9" t="s">
        <v>1776</v>
      </c>
      <c r="D23" s="9" t="s">
        <v>1777</v>
      </c>
      <c r="E23" s="5" t="s">
        <v>429</v>
      </c>
      <c r="F23" s="9" t="s">
        <v>1778</v>
      </c>
      <c r="G23" s="9" t="s">
        <v>1779</v>
      </c>
      <c r="H23" s="9" t="s">
        <v>76</v>
      </c>
      <c r="I23" s="9" t="s">
        <v>235</v>
      </c>
      <c r="J23" s="9" t="s">
        <v>61</v>
      </c>
      <c r="K23" s="9" t="s">
        <v>314</v>
      </c>
      <c r="L23" s="9" t="s">
        <v>478</v>
      </c>
      <c r="M23" s="9" t="s">
        <v>757</v>
      </c>
      <c r="N23" s="9" t="s">
        <v>62</v>
      </c>
      <c r="O23" s="9" t="s">
        <v>1215</v>
      </c>
      <c r="P23" s="193">
        <v>353</v>
      </c>
      <c r="Q23" s="184">
        <v>3.3719999999999999</v>
      </c>
      <c r="R23" s="186">
        <v>55164</v>
      </c>
      <c r="S23" s="194">
        <v>0.123</v>
      </c>
      <c r="T23" s="170">
        <v>657.04100000000005</v>
      </c>
      <c r="U23" s="185">
        <v>9.9999999999999995E-7</v>
      </c>
      <c r="V23" s="185">
        <v>8.3100931668626199E-2</v>
      </c>
      <c r="W23" s="185">
        <v>3.7816776007468897E-2</v>
      </c>
    </row>
    <row r="24" spans="1:23">
      <c r="A24" s="9">
        <v>337</v>
      </c>
      <c r="B24" s="9">
        <v>1477</v>
      </c>
      <c r="C24" s="9" t="s">
        <v>1776</v>
      </c>
      <c r="D24" s="9" t="s">
        <v>1777</v>
      </c>
      <c r="E24" s="5" t="s">
        <v>429</v>
      </c>
      <c r="F24" s="9" t="s">
        <v>1780</v>
      </c>
      <c r="G24" s="9" t="s">
        <v>1781</v>
      </c>
      <c r="H24" s="9" t="s">
        <v>76</v>
      </c>
      <c r="I24" s="9" t="s">
        <v>235</v>
      </c>
      <c r="J24" s="9" t="s">
        <v>61</v>
      </c>
      <c r="K24" s="9" t="s">
        <v>314</v>
      </c>
      <c r="L24" s="9" t="s">
        <v>493</v>
      </c>
      <c r="M24" s="9" t="s">
        <v>757</v>
      </c>
      <c r="N24" s="9" t="s">
        <v>62</v>
      </c>
      <c r="O24" s="9" t="s">
        <v>1215</v>
      </c>
      <c r="P24" s="193">
        <v>27</v>
      </c>
      <c r="Q24" s="184">
        <v>3.3719999999999999</v>
      </c>
      <c r="R24" s="186">
        <v>122758</v>
      </c>
      <c r="S24" s="192"/>
      <c r="T24" s="170">
        <v>111.764</v>
      </c>
      <c r="U24" s="185">
        <v>5.0000000000000004E-6</v>
      </c>
      <c r="V24" s="185">
        <v>1.4135606869083699E-2</v>
      </c>
      <c r="W24" s="185">
        <v>6.4326965770901802E-3</v>
      </c>
    </row>
    <row r="25" spans="1:23">
      <c r="A25" s="9">
        <v>337</v>
      </c>
      <c r="B25" s="9">
        <v>1477</v>
      </c>
      <c r="C25" s="9" t="s">
        <v>1722</v>
      </c>
      <c r="D25" s="9" t="s">
        <v>1723</v>
      </c>
      <c r="E25" s="5" t="s">
        <v>429</v>
      </c>
      <c r="F25" s="9" t="s">
        <v>1782</v>
      </c>
      <c r="G25" s="9" t="s">
        <v>1783</v>
      </c>
      <c r="H25" s="9" t="s">
        <v>76</v>
      </c>
      <c r="I25" s="9" t="s">
        <v>235</v>
      </c>
      <c r="J25" s="9" t="s">
        <v>61</v>
      </c>
      <c r="K25" s="9" t="s">
        <v>314</v>
      </c>
      <c r="L25" s="9" t="s">
        <v>475</v>
      </c>
      <c r="M25" s="9" t="s">
        <v>757</v>
      </c>
      <c r="N25" s="9" t="s">
        <v>62</v>
      </c>
      <c r="O25" s="9" t="s">
        <v>1215</v>
      </c>
      <c r="P25" s="193">
        <v>623</v>
      </c>
      <c r="Q25" s="184">
        <v>3.3719999999999999</v>
      </c>
      <c r="R25" s="186">
        <v>61785</v>
      </c>
      <c r="S25" s="194">
        <v>0.82199999999999995</v>
      </c>
      <c r="T25" s="170">
        <v>1300.7239999999999</v>
      </c>
      <c r="U25" s="185">
        <v>9.9999999999999995E-7</v>
      </c>
      <c r="V25" s="185">
        <v>0.16451238657258099</v>
      </c>
      <c r="W25" s="185">
        <v>7.4864721111402605E-2</v>
      </c>
    </row>
    <row r="26" spans="1:23">
      <c r="A26" s="9">
        <v>337</v>
      </c>
      <c r="B26" s="9">
        <v>1477</v>
      </c>
      <c r="C26" s="9" t="s">
        <v>1784</v>
      </c>
      <c r="D26" s="9" t="s">
        <v>1785</v>
      </c>
      <c r="E26" s="5" t="s">
        <v>429</v>
      </c>
      <c r="F26" s="9" t="s">
        <v>1786</v>
      </c>
      <c r="G26" s="9" t="s">
        <v>1787</v>
      </c>
      <c r="H26" s="9" t="s">
        <v>76</v>
      </c>
      <c r="I26" s="9" t="s">
        <v>235</v>
      </c>
      <c r="J26" s="9" t="s">
        <v>61</v>
      </c>
      <c r="K26" s="9" t="s">
        <v>314</v>
      </c>
      <c r="L26" s="9" t="s">
        <v>478</v>
      </c>
      <c r="M26" s="9" t="s">
        <v>757</v>
      </c>
      <c r="N26" s="9" t="s">
        <v>62</v>
      </c>
      <c r="O26" s="9" t="s">
        <v>1215</v>
      </c>
      <c r="P26" s="193">
        <v>99</v>
      </c>
      <c r="Q26" s="184">
        <v>3.3719999999999999</v>
      </c>
      <c r="R26" s="186">
        <v>27888</v>
      </c>
      <c r="S26" s="192"/>
      <c r="T26" s="170">
        <v>93.097999999999999</v>
      </c>
      <c r="U26" s="185">
        <v>3.9999999999999998E-6</v>
      </c>
      <c r="V26" s="185">
        <v>1.17747976995798E-2</v>
      </c>
      <c r="W26" s="185">
        <v>5.3583621530729798E-3</v>
      </c>
    </row>
    <row r="27" spans="1:23">
      <c r="A27" s="9">
        <v>337</v>
      </c>
      <c r="B27" s="9">
        <v>1477</v>
      </c>
      <c r="C27" s="9" t="s">
        <v>1788</v>
      </c>
      <c r="D27" s="9" t="s">
        <v>1789</v>
      </c>
      <c r="E27" s="5" t="s">
        <v>429</v>
      </c>
      <c r="F27" s="9" t="s">
        <v>1790</v>
      </c>
      <c r="G27" s="9" t="s">
        <v>1791</v>
      </c>
      <c r="H27" s="9" t="s">
        <v>76</v>
      </c>
      <c r="I27" s="9" t="s">
        <v>235</v>
      </c>
      <c r="J27" s="9" t="s">
        <v>61</v>
      </c>
      <c r="K27" s="9" t="s">
        <v>314</v>
      </c>
      <c r="L27" s="9" t="s">
        <v>475</v>
      </c>
      <c r="M27" s="9" t="s">
        <v>757</v>
      </c>
      <c r="N27" s="9" t="s">
        <v>62</v>
      </c>
      <c r="O27" s="9" t="s">
        <v>1215</v>
      </c>
      <c r="P27" s="193">
        <v>637</v>
      </c>
      <c r="Q27" s="184">
        <v>3.3719999999999999</v>
      </c>
      <c r="R27" s="186">
        <v>56803</v>
      </c>
      <c r="S27" s="194">
        <v>0.83299999999999996</v>
      </c>
      <c r="T27" s="170">
        <v>1222.9159999999999</v>
      </c>
      <c r="U27" s="185">
        <v>9.9999999999999995E-7</v>
      </c>
      <c r="V27" s="185">
        <v>0.15467139579657099</v>
      </c>
      <c r="W27" s="185">
        <v>7.0386377290277399E-2</v>
      </c>
    </row>
    <row r="28" spans="1:23">
      <c r="A28" s="9">
        <v>337</v>
      </c>
      <c r="B28" s="9">
        <v>9962</v>
      </c>
      <c r="C28" s="9" t="s">
        <v>1709</v>
      </c>
      <c r="D28" s="9" t="s">
        <v>1710</v>
      </c>
      <c r="E28" s="5" t="s">
        <v>1346</v>
      </c>
      <c r="F28" s="9" t="s">
        <v>1792</v>
      </c>
      <c r="G28" s="9" t="s">
        <v>1793</v>
      </c>
      <c r="H28" s="9" t="s">
        <v>76</v>
      </c>
      <c r="I28" s="9" t="s">
        <v>235</v>
      </c>
      <c r="J28" s="9" t="s">
        <v>53</v>
      </c>
      <c r="K28" s="9" t="s">
        <v>314</v>
      </c>
      <c r="L28" s="9" t="s">
        <v>311</v>
      </c>
      <c r="M28" s="9" t="s">
        <v>1734</v>
      </c>
      <c r="N28" s="9" t="s">
        <v>62</v>
      </c>
      <c r="O28" s="9" t="s">
        <v>1259</v>
      </c>
      <c r="P28" s="193">
        <v>872</v>
      </c>
      <c r="Q28" s="184">
        <v>1</v>
      </c>
      <c r="R28" s="186">
        <v>8961</v>
      </c>
      <c r="S28" s="192"/>
      <c r="T28" s="170">
        <v>78.14</v>
      </c>
      <c r="U28" s="185">
        <v>1.0000000000000001E-5</v>
      </c>
      <c r="V28" s="185">
        <v>7.0524494153958398E-3</v>
      </c>
      <c r="W28" s="185">
        <v>1.8366321742731299E-3</v>
      </c>
    </row>
    <row r="29" spans="1:23">
      <c r="A29" s="9">
        <v>337</v>
      </c>
      <c r="B29" s="9">
        <v>9962</v>
      </c>
      <c r="C29" s="9" t="s">
        <v>1709</v>
      </c>
      <c r="D29" s="9" t="s">
        <v>1710</v>
      </c>
      <c r="E29" s="5" t="s">
        <v>1346</v>
      </c>
      <c r="F29" s="9" t="s">
        <v>1794</v>
      </c>
      <c r="G29" s="9" t="s">
        <v>1795</v>
      </c>
      <c r="H29" s="9" t="s">
        <v>76</v>
      </c>
      <c r="I29" s="9" t="s">
        <v>234</v>
      </c>
      <c r="J29" s="9" t="s">
        <v>53</v>
      </c>
      <c r="K29" s="9" t="s">
        <v>53</v>
      </c>
      <c r="L29" s="9" t="s">
        <v>311</v>
      </c>
      <c r="M29" s="9" t="s">
        <v>1708</v>
      </c>
      <c r="N29" s="9" t="s">
        <v>62</v>
      </c>
      <c r="O29" s="9" t="s">
        <v>1259</v>
      </c>
      <c r="P29" s="193">
        <v>2056</v>
      </c>
      <c r="Q29" s="184">
        <v>1</v>
      </c>
      <c r="R29" s="186">
        <v>4659</v>
      </c>
      <c r="S29" s="192"/>
      <c r="T29" s="170">
        <v>95.789000000000001</v>
      </c>
      <c r="U29" s="185">
        <v>2.4000000000000001E-5</v>
      </c>
      <c r="V29" s="185">
        <v>8.6453551417678496E-3</v>
      </c>
      <c r="W29" s="185">
        <v>2.2514642042983399E-3</v>
      </c>
    </row>
    <row r="30" spans="1:23">
      <c r="A30" s="9">
        <v>337</v>
      </c>
      <c r="B30" s="9">
        <v>9962</v>
      </c>
      <c r="C30" s="9" t="s">
        <v>1709</v>
      </c>
      <c r="D30" s="9" t="s">
        <v>1710</v>
      </c>
      <c r="E30" s="5" t="s">
        <v>1346</v>
      </c>
      <c r="F30" s="9" t="s">
        <v>1796</v>
      </c>
      <c r="G30" s="9" t="s">
        <v>1797</v>
      </c>
      <c r="H30" s="9" t="s">
        <v>76</v>
      </c>
      <c r="I30" s="9" t="s">
        <v>236</v>
      </c>
      <c r="J30" s="9" t="s">
        <v>53</v>
      </c>
      <c r="K30" s="9" t="s">
        <v>53</v>
      </c>
      <c r="L30" s="9" t="s">
        <v>311</v>
      </c>
      <c r="M30" s="9" t="s">
        <v>1713</v>
      </c>
      <c r="N30" s="9" t="s">
        <v>62</v>
      </c>
      <c r="O30" s="9" t="s">
        <v>1259</v>
      </c>
      <c r="P30" s="193">
        <v>303768</v>
      </c>
      <c r="Q30" s="184">
        <v>1</v>
      </c>
      <c r="R30" s="186">
        <v>488.99</v>
      </c>
      <c r="S30" s="192"/>
      <c r="T30" s="170">
        <v>1485.395</v>
      </c>
      <c r="U30" s="185">
        <v>1.4469999999999999E-3</v>
      </c>
      <c r="V30" s="185">
        <v>0.13406302577853499</v>
      </c>
      <c r="W30" s="185">
        <v>3.4913326139957103E-2</v>
      </c>
    </row>
    <row r="31" spans="1:23">
      <c r="A31" s="9">
        <v>337</v>
      </c>
      <c r="B31" s="9">
        <v>9962</v>
      </c>
      <c r="C31" s="9" t="s">
        <v>1735</v>
      </c>
      <c r="D31" s="9" t="s">
        <v>1736</v>
      </c>
      <c r="E31" s="5" t="s">
        <v>1346</v>
      </c>
      <c r="F31" s="9" t="s">
        <v>1737</v>
      </c>
      <c r="G31" s="9" t="s">
        <v>1738</v>
      </c>
      <c r="H31" s="9" t="s">
        <v>76</v>
      </c>
      <c r="I31" s="9" t="s">
        <v>235</v>
      </c>
      <c r="J31" s="9" t="s">
        <v>53</v>
      </c>
      <c r="K31" s="9" t="s">
        <v>317</v>
      </c>
      <c r="L31" s="9" t="s">
        <v>311</v>
      </c>
      <c r="M31" s="9" t="s">
        <v>1734</v>
      </c>
      <c r="N31" s="9" t="s">
        <v>62</v>
      </c>
      <c r="O31" s="9" t="s">
        <v>1259</v>
      </c>
      <c r="P31" s="193">
        <v>49536</v>
      </c>
      <c r="Q31" s="184">
        <v>1</v>
      </c>
      <c r="R31" s="186">
        <v>864.7</v>
      </c>
      <c r="S31" s="192"/>
      <c r="T31" s="170">
        <v>428.33800000000002</v>
      </c>
      <c r="U31" s="185">
        <v>9.8999999999999994E-5</v>
      </c>
      <c r="V31" s="185">
        <v>3.86592488293096E-2</v>
      </c>
      <c r="W31" s="185">
        <v>1.00678241063506E-2</v>
      </c>
    </row>
    <row r="32" spans="1:23">
      <c r="A32" s="9">
        <v>337</v>
      </c>
      <c r="B32" s="9">
        <v>9962</v>
      </c>
      <c r="C32" s="9" t="s">
        <v>1735</v>
      </c>
      <c r="D32" s="9" t="s">
        <v>1736</v>
      </c>
      <c r="E32" s="5" t="s">
        <v>1346</v>
      </c>
      <c r="F32" s="9" t="s">
        <v>1739</v>
      </c>
      <c r="G32" s="9" t="s">
        <v>1740</v>
      </c>
      <c r="H32" s="9" t="s">
        <v>76</v>
      </c>
      <c r="I32" s="9" t="s">
        <v>234</v>
      </c>
      <c r="J32" s="9" t="s">
        <v>53</v>
      </c>
      <c r="K32" s="9" t="s">
        <v>53</v>
      </c>
      <c r="L32" s="9" t="s">
        <v>311</v>
      </c>
      <c r="M32" s="9" t="s">
        <v>1708</v>
      </c>
      <c r="N32" s="9" t="s">
        <v>62</v>
      </c>
      <c r="O32" s="9" t="s">
        <v>1259</v>
      </c>
      <c r="P32" s="193">
        <v>15621</v>
      </c>
      <c r="Q32" s="184">
        <v>1</v>
      </c>
      <c r="R32" s="186">
        <v>3032</v>
      </c>
      <c r="S32" s="192"/>
      <c r="T32" s="170">
        <v>473.62900000000002</v>
      </c>
      <c r="U32" s="185">
        <v>6.2000000000000003E-5</v>
      </c>
      <c r="V32" s="185">
        <v>4.27469415054261E-2</v>
      </c>
      <c r="W32" s="185">
        <v>1.1132360332744101E-2</v>
      </c>
    </row>
    <row r="33" spans="1:23">
      <c r="A33" s="9">
        <v>337</v>
      </c>
      <c r="B33" s="9">
        <v>9962</v>
      </c>
      <c r="C33" s="9" t="s">
        <v>1735</v>
      </c>
      <c r="D33" s="9" t="s">
        <v>1736</v>
      </c>
      <c r="E33" s="5" t="s">
        <v>1346</v>
      </c>
      <c r="F33" s="9" t="s">
        <v>1798</v>
      </c>
      <c r="G33" s="9" t="s">
        <v>1799</v>
      </c>
      <c r="H33" s="9" t="s">
        <v>76</v>
      </c>
      <c r="I33" s="9" t="s">
        <v>236</v>
      </c>
      <c r="J33" s="9" t="s">
        <v>53</v>
      </c>
      <c r="K33" s="9" t="s">
        <v>53</v>
      </c>
      <c r="L33" s="9" t="s">
        <v>311</v>
      </c>
      <c r="M33" s="9" t="s">
        <v>1713</v>
      </c>
      <c r="N33" s="9" t="s">
        <v>62</v>
      </c>
      <c r="O33" s="9" t="s">
        <v>1259</v>
      </c>
      <c r="P33" s="193">
        <v>62014</v>
      </c>
      <c r="Q33" s="184">
        <v>1</v>
      </c>
      <c r="R33" s="186">
        <v>415.44</v>
      </c>
      <c r="S33" s="192"/>
      <c r="T33" s="170">
        <v>257.63099999999997</v>
      </c>
      <c r="U33" s="185">
        <v>2.2699999999999999E-4</v>
      </c>
      <c r="V33" s="185">
        <v>2.3252254731304899E-2</v>
      </c>
      <c r="W33" s="185">
        <v>6.05546196058922E-3</v>
      </c>
    </row>
    <row r="34" spans="1:23">
      <c r="A34" s="9">
        <v>337</v>
      </c>
      <c r="B34" s="9">
        <v>9962</v>
      </c>
      <c r="C34" s="9" t="s">
        <v>1735</v>
      </c>
      <c r="D34" s="9" t="s">
        <v>1736</v>
      </c>
      <c r="E34" s="5" t="s">
        <v>1346</v>
      </c>
      <c r="F34" s="9" t="s">
        <v>1741</v>
      </c>
      <c r="G34" s="9" t="s">
        <v>1742</v>
      </c>
      <c r="H34" s="9" t="s">
        <v>76</v>
      </c>
      <c r="I34" s="9" t="s">
        <v>235</v>
      </c>
      <c r="J34" s="9" t="s">
        <v>53</v>
      </c>
      <c r="K34" s="9" t="s">
        <v>313</v>
      </c>
      <c r="L34" s="9" t="s">
        <v>311</v>
      </c>
      <c r="M34" s="9" t="s">
        <v>1729</v>
      </c>
      <c r="N34" s="9" t="s">
        <v>62</v>
      </c>
      <c r="O34" s="9" t="s">
        <v>1259</v>
      </c>
      <c r="P34" s="193">
        <v>13763</v>
      </c>
      <c r="Q34" s="184">
        <v>1</v>
      </c>
      <c r="R34" s="186">
        <v>699.4</v>
      </c>
      <c r="S34" s="192"/>
      <c r="T34" s="170">
        <v>96.257999999999996</v>
      </c>
      <c r="U34" s="185">
        <v>5.8E-5</v>
      </c>
      <c r="V34" s="185">
        <v>8.6877187993131492E-3</v>
      </c>
      <c r="W34" s="185">
        <v>2.2624967480125401E-3</v>
      </c>
    </row>
    <row r="35" spans="1:23">
      <c r="A35" s="9">
        <v>337</v>
      </c>
      <c r="B35" s="9">
        <v>9962</v>
      </c>
      <c r="C35" s="9" t="s">
        <v>1735</v>
      </c>
      <c r="D35" s="9" t="s">
        <v>1736</v>
      </c>
      <c r="E35" s="5" t="s">
        <v>1346</v>
      </c>
      <c r="F35" s="9" t="s">
        <v>1743</v>
      </c>
      <c r="G35" s="9" t="s">
        <v>1744</v>
      </c>
      <c r="H35" s="9" t="s">
        <v>76</v>
      </c>
      <c r="I35" s="9" t="s">
        <v>235</v>
      </c>
      <c r="J35" s="9" t="s">
        <v>53</v>
      </c>
      <c r="K35" s="9" t="s">
        <v>153</v>
      </c>
      <c r="L35" s="9" t="s">
        <v>311</v>
      </c>
      <c r="M35" s="9" t="s">
        <v>1729</v>
      </c>
      <c r="N35" s="9" t="s">
        <v>62</v>
      </c>
      <c r="O35" s="9" t="s">
        <v>1259</v>
      </c>
      <c r="P35" s="193">
        <v>673</v>
      </c>
      <c r="Q35" s="184">
        <v>1</v>
      </c>
      <c r="R35" s="186">
        <v>20650</v>
      </c>
      <c r="S35" s="192"/>
      <c r="T35" s="170">
        <v>138.97499999999999</v>
      </c>
      <c r="U35" s="185">
        <v>5.8999999999999998E-5</v>
      </c>
      <c r="V35" s="185">
        <v>1.2543020664468701E-2</v>
      </c>
      <c r="W35" s="185">
        <v>3.2665126622028898E-3</v>
      </c>
    </row>
    <row r="36" spans="1:23">
      <c r="A36" s="9">
        <v>337</v>
      </c>
      <c r="B36" s="9">
        <v>9962</v>
      </c>
      <c r="C36" s="9" t="s">
        <v>1714</v>
      </c>
      <c r="D36" s="9" t="s">
        <v>1715</v>
      </c>
      <c r="E36" s="5" t="s">
        <v>1346</v>
      </c>
      <c r="F36" s="9" t="s">
        <v>1749</v>
      </c>
      <c r="G36" s="9" t="s">
        <v>1750</v>
      </c>
      <c r="H36" s="9" t="s">
        <v>76</v>
      </c>
      <c r="I36" s="9" t="s">
        <v>235</v>
      </c>
      <c r="J36" s="9" t="s">
        <v>53</v>
      </c>
      <c r="K36" s="9" t="s">
        <v>313</v>
      </c>
      <c r="L36" s="9" t="s">
        <v>311</v>
      </c>
      <c r="M36" s="9" t="s">
        <v>1729</v>
      </c>
      <c r="N36" s="9" t="s">
        <v>62</v>
      </c>
      <c r="O36" s="9" t="s">
        <v>1259</v>
      </c>
      <c r="P36" s="193">
        <v>5531</v>
      </c>
      <c r="Q36" s="184">
        <v>1</v>
      </c>
      <c r="R36" s="186">
        <v>7493</v>
      </c>
      <c r="S36" s="192"/>
      <c r="T36" s="170">
        <v>414.43799999999999</v>
      </c>
      <c r="U36" s="185">
        <v>3.97E-4</v>
      </c>
      <c r="V36" s="185">
        <v>3.7404720044522902E-2</v>
      </c>
      <c r="W36" s="185">
        <v>9.7411137970698797E-3</v>
      </c>
    </row>
    <row r="37" spans="1:23">
      <c r="A37" s="9">
        <v>337</v>
      </c>
      <c r="B37" s="9">
        <v>9962</v>
      </c>
      <c r="C37" s="9" t="s">
        <v>1714</v>
      </c>
      <c r="D37" s="9" t="s">
        <v>1715</v>
      </c>
      <c r="E37" s="5" t="s">
        <v>1346</v>
      </c>
      <c r="F37" s="9" t="s">
        <v>1800</v>
      </c>
      <c r="G37" s="9" t="s">
        <v>1801</v>
      </c>
      <c r="H37" s="9" t="s">
        <v>76</v>
      </c>
      <c r="I37" s="9" t="s">
        <v>234</v>
      </c>
      <c r="J37" s="9" t="s">
        <v>53</v>
      </c>
      <c r="K37" s="9" t="s">
        <v>53</v>
      </c>
      <c r="L37" s="9" t="s">
        <v>311</v>
      </c>
      <c r="M37" s="9" t="s">
        <v>1708</v>
      </c>
      <c r="N37" s="9" t="s">
        <v>62</v>
      </c>
      <c r="O37" s="9" t="s">
        <v>1259</v>
      </c>
      <c r="P37" s="193">
        <v>329</v>
      </c>
      <c r="Q37" s="184">
        <v>1</v>
      </c>
      <c r="R37" s="186">
        <v>29540</v>
      </c>
      <c r="S37" s="192"/>
      <c r="T37" s="170">
        <v>97.186999999999998</v>
      </c>
      <c r="U37" s="185">
        <v>9.0000000000000002E-6</v>
      </c>
      <c r="V37" s="185">
        <v>8.7714906843302208E-3</v>
      </c>
      <c r="W37" s="185">
        <v>2.28431301783023E-3</v>
      </c>
    </row>
    <row r="38" spans="1:23">
      <c r="A38" s="9">
        <v>337</v>
      </c>
      <c r="B38" s="9">
        <v>9962</v>
      </c>
      <c r="C38" s="9" t="s">
        <v>1714</v>
      </c>
      <c r="D38" s="9" t="s">
        <v>1715</v>
      </c>
      <c r="E38" s="5" t="s">
        <v>1346</v>
      </c>
      <c r="F38" s="9" t="s">
        <v>1802</v>
      </c>
      <c r="G38" s="9" t="s">
        <v>1803</v>
      </c>
      <c r="H38" s="9" t="s">
        <v>76</v>
      </c>
      <c r="I38" s="9" t="s">
        <v>236</v>
      </c>
      <c r="J38" s="9" t="s">
        <v>53</v>
      </c>
      <c r="K38" s="9" t="s">
        <v>53</v>
      </c>
      <c r="L38" s="9" t="s">
        <v>311</v>
      </c>
      <c r="M38" s="9" t="s">
        <v>1713</v>
      </c>
      <c r="N38" s="9" t="s">
        <v>62</v>
      </c>
      <c r="O38" s="9" t="s">
        <v>1259</v>
      </c>
      <c r="P38" s="193">
        <v>13000</v>
      </c>
      <c r="Q38" s="184">
        <v>1</v>
      </c>
      <c r="R38" s="186">
        <v>3822.55</v>
      </c>
      <c r="S38" s="192"/>
      <c r="T38" s="170">
        <v>496.93200000000002</v>
      </c>
      <c r="U38" s="185">
        <v>1.8100000000000001E-4</v>
      </c>
      <c r="V38" s="185">
        <v>4.4850113318093701E-2</v>
      </c>
      <c r="W38" s="185">
        <v>1.1680078266138601E-2</v>
      </c>
    </row>
    <row r="39" spans="1:23">
      <c r="A39" s="9">
        <v>337</v>
      </c>
      <c r="B39" s="9">
        <v>9962</v>
      </c>
      <c r="C39" s="9" t="s">
        <v>1751</v>
      </c>
      <c r="D39" s="9" t="s">
        <v>1752</v>
      </c>
      <c r="E39" s="5" t="s">
        <v>429</v>
      </c>
      <c r="F39" s="9" t="s">
        <v>1753</v>
      </c>
      <c r="G39" s="9" t="s">
        <v>1754</v>
      </c>
      <c r="H39" s="9" t="s">
        <v>76</v>
      </c>
      <c r="I39" s="9" t="s">
        <v>235</v>
      </c>
      <c r="J39" s="9" t="s">
        <v>61</v>
      </c>
      <c r="K39" s="9" t="s">
        <v>1755</v>
      </c>
      <c r="L39" s="9" t="s">
        <v>478</v>
      </c>
      <c r="M39" s="9" t="s">
        <v>757</v>
      </c>
      <c r="N39" s="9" t="s">
        <v>62</v>
      </c>
      <c r="O39" s="9" t="s">
        <v>1215</v>
      </c>
      <c r="P39" s="193">
        <v>4210</v>
      </c>
      <c r="Q39" s="184">
        <v>3.3719999999999999</v>
      </c>
      <c r="R39" s="186">
        <v>6036</v>
      </c>
      <c r="S39" s="192"/>
      <c r="T39" s="170">
        <v>856.87800000000004</v>
      </c>
      <c r="U39" s="185">
        <v>0</v>
      </c>
      <c r="V39" s="185">
        <v>7.7336748773783104E-2</v>
      </c>
      <c r="W39" s="185">
        <v>2.0140401254283301E-2</v>
      </c>
    </row>
    <row r="40" spans="1:23">
      <c r="A40" s="9">
        <v>337</v>
      </c>
      <c r="B40" s="9">
        <v>9962</v>
      </c>
      <c r="C40" s="9" t="s">
        <v>1718</v>
      </c>
      <c r="D40" s="9" t="s">
        <v>1719</v>
      </c>
      <c r="E40" s="5" t="s">
        <v>429</v>
      </c>
      <c r="F40" s="9" t="s">
        <v>1756</v>
      </c>
      <c r="G40" s="9" t="s">
        <v>1757</v>
      </c>
      <c r="H40" s="9" t="s">
        <v>76</v>
      </c>
      <c r="I40" s="9" t="s">
        <v>235</v>
      </c>
      <c r="J40" s="9" t="s">
        <v>61</v>
      </c>
      <c r="K40" s="9" t="s">
        <v>314</v>
      </c>
      <c r="L40" s="9" t="s">
        <v>475</v>
      </c>
      <c r="M40" s="9" t="s">
        <v>757</v>
      </c>
      <c r="N40" s="9" t="s">
        <v>62</v>
      </c>
      <c r="O40" s="9" t="s">
        <v>1215</v>
      </c>
      <c r="P40" s="193">
        <v>470</v>
      </c>
      <c r="Q40" s="184">
        <v>3.3719999999999999</v>
      </c>
      <c r="R40" s="186">
        <v>21579</v>
      </c>
      <c r="S40" s="192"/>
      <c r="T40" s="170">
        <v>341.99299999999999</v>
      </c>
      <c r="U40" s="185">
        <v>1.9999999999999999E-6</v>
      </c>
      <c r="V40" s="185">
        <v>3.0866241971805299E-2</v>
      </c>
      <c r="W40" s="185">
        <v>8.0383324665272201E-3</v>
      </c>
    </row>
    <row r="41" spans="1:23">
      <c r="A41" s="9">
        <v>337</v>
      </c>
      <c r="B41" s="9">
        <v>9962</v>
      </c>
      <c r="C41" s="9" t="s">
        <v>1718</v>
      </c>
      <c r="D41" s="9" t="s">
        <v>1719</v>
      </c>
      <c r="E41" s="5" t="s">
        <v>429</v>
      </c>
      <c r="F41" s="9" t="s">
        <v>1762</v>
      </c>
      <c r="G41" s="9" t="s">
        <v>1763</v>
      </c>
      <c r="H41" s="9" t="s">
        <v>76</v>
      </c>
      <c r="I41" s="9" t="s">
        <v>235</v>
      </c>
      <c r="J41" s="9" t="s">
        <v>61</v>
      </c>
      <c r="K41" s="9" t="s">
        <v>314</v>
      </c>
      <c r="L41" s="9" t="s">
        <v>484</v>
      </c>
      <c r="M41" s="9" t="s">
        <v>757</v>
      </c>
      <c r="N41" s="9" t="s">
        <v>62</v>
      </c>
      <c r="O41" s="9" t="s">
        <v>1215</v>
      </c>
      <c r="P41" s="193">
        <v>950</v>
      </c>
      <c r="Q41" s="184">
        <v>3.3719999999999999</v>
      </c>
      <c r="R41" s="186">
        <v>10950</v>
      </c>
      <c r="S41" s="192"/>
      <c r="T41" s="170">
        <v>350.77199999999999</v>
      </c>
      <c r="U41" s="185">
        <v>9.0000000000000002E-6</v>
      </c>
      <c r="V41" s="185">
        <v>3.16586439053438E-2</v>
      </c>
      <c r="W41" s="185">
        <v>8.2446935193149096E-3</v>
      </c>
    </row>
    <row r="42" spans="1:23">
      <c r="A42" s="9">
        <v>337</v>
      </c>
      <c r="B42" s="9">
        <v>9962</v>
      </c>
      <c r="C42" s="9" t="s">
        <v>1718</v>
      </c>
      <c r="D42" s="9" t="s">
        <v>1719</v>
      </c>
      <c r="E42" s="5" t="s">
        <v>429</v>
      </c>
      <c r="F42" s="9" t="s">
        <v>1720</v>
      </c>
      <c r="G42" s="9" t="s">
        <v>1721</v>
      </c>
      <c r="H42" s="9" t="s">
        <v>76</v>
      </c>
      <c r="I42" s="9" t="s">
        <v>237</v>
      </c>
      <c r="J42" s="9" t="s">
        <v>61</v>
      </c>
      <c r="K42" s="9" t="s">
        <v>314</v>
      </c>
      <c r="L42" s="9" t="s">
        <v>475</v>
      </c>
      <c r="M42" s="9" t="s">
        <v>758</v>
      </c>
      <c r="N42" s="9" t="s">
        <v>62</v>
      </c>
      <c r="O42" s="9" t="s">
        <v>1215</v>
      </c>
      <c r="P42" s="193">
        <v>363</v>
      </c>
      <c r="Q42" s="184">
        <v>3.3719999999999999</v>
      </c>
      <c r="R42" s="186">
        <v>8065</v>
      </c>
      <c r="S42" s="192"/>
      <c r="T42" s="170">
        <v>98.718999999999994</v>
      </c>
      <c r="U42" s="185">
        <v>9.9999999999999995E-7</v>
      </c>
      <c r="V42" s="185">
        <v>8.9097512717197808E-3</v>
      </c>
      <c r="W42" s="185">
        <v>2.3203194927833401E-3</v>
      </c>
    </row>
    <row r="43" spans="1:23">
      <c r="A43" s="9">
        <v>337</v>
      </c>
      <c r="B43" s="9">
        <v>9962</v>
      </c>
      <c r="C43" s="9" t="s">
        <v>1766</v>
      </c>
      <c r="D43" s="9" t="s">
        <v>1767</v>
      </c>
      <c r="E43" s="5" t="s">
        <v>429</v>
      </c>
      <c r="F43" s="9" t="s">
        <v>1768</v>
      </c>
      <c r="G43" s="9" t="s">
        <v>1769</v>
      </c>
      <c r="H43" s="9" t="s">
        <v>76</v>
      </c>
      <c r="I43" s="9" t="s">
        <v>235</v>
      </c>
      <c r="J43" s="9" t="s">
        <v>61</v>
      </c>
      <c r="K43" s="9" t="s">
        <v>188</v>
      </c>
      <c r="L43" s="9" t="s">
        <v>475</v>
      </c>
      <c r="M43" s="9" t="s">
        <v>757</v>
      </c>
      <c r="N43" s="9" t="s">
        <v>62</v>
      </c>
      <c r="O43" s="9" t="s">
        <v>1215</v>
      </c>
      <c r="P43" s="193">
        <v>662</v>
      </c>
      <c r="Q43" s="184">
        <v>3.3719999999999999</v>
      </c>
      <c r="R43" s="186">
        <v>3433</v>
      </c>
      <c r="S43" s="192"/>
      <c r="T43" s="170">
        <v>76.634</v>
      </c>
      <c r="U43" s="185">
        <v>3.0000000000000001E-6</v>
      </c>
      <c r="V43" s="185">
        <v>6.91649992183648E-3</v>
      </c>
      <c r="W43" s="185">
        <v>1.8012275652869001E-3</v>
      </c>
    </row>
    <row r="44" spans="1:23">
      <c r="A44" s="9">
        <v>337</v>
      </c>
      <c r="B44" s="9">
        <v>9962</v>
      </c>
      <c r="C44" s="9" t="s">
        <v>1718</v>
      </c>
      <c r="D44" s="9" t="s">
        <v>1719</v>
      </c>
      <c r="E44" s="5" t="s">
        <v>429</v>
      </c>
      <c r="F44" s="9" t="s">
        <v>1774</v>
      </c>
      <c r="G44" s="9" t="s">
        <v>1775</v>
      </c>
      <c r="H44" s="9" t="s">
        <v>76</v>
      </c>
      <c r="I44" s="9" t="s">
        <v>235</v>
      </c>
      <c r="J44" s="9" t="s">
        <v>61</v>
      </c>
      <c r="K44" s="9" t="s">
        <v>188</v>
      </c>
      <c r="L44" s="9" t="s">
        <v>478</v>
      </c>
      <c r="M44" s="9" t="s">
        <v>757</v>
      </c>
      <c r="N44" s="9" t="s">
        <v>62</v>
      </c>
      <c r="O44" s="9" t="s">
        <v>1215</v>
      </c>
      <c r="P44" s="193">
        <v>710</v>
      </c>
      <c r="Q44" s="184">
        <v>3.3719999999999999</v>
      </c>
      <c r="R44" s="186">
        <v>5510</v>
      </c>
      <c r="S44" s="192"/>
      <c r="T44" s="170">
        <v>131.916</v>
      </c>
      <c r="U44" s="185">
        <v>3.9999999999999998E-6</v>
      </c>
      <c r="V44" s="185">
        <v>1.1905963068694601E-2</v>
      </c>
      <c r="W44" s="185">
        <v>3.10060711530035E-3</v>
      </c>
    </row>
    <row r="45" spans="1:23">
      <c r="A45" s="9">
        <v>337</v>
      </c>
      <c r="B45" s="9">
        <v>9962</v>
      </c>
      <c r="C45" s="9" t="s">
        <v>1776</v>
      </c>
      <c r="D45" s="9" t="s">
        <v>1777</v>
      </c>
      <c r="E45" s="5" t="s">
        <v>429</v>
      </c>
      <c r="F45" s="9" t="s">
        <v>1778</v>
      </c>
      <c r="G45" s="9" t="s">
        <v>1779</v>
      </c>
      <c r="H45" s="9" t="s">
        <v>76</v>
      </c>
      <c r="I45" s="9" t="s">
        <v>235</v>
      </c>
      <c r="J45" s="9" t="s">
        <v>61</v>
      </c>
      <c r="K45" s="9" t="s">
        <v>314</v>
      </c>
      <c r="L45" s="9" t="s">
        <v>478</v>
      </c>
      <c r="M45" s="9" t="s">
        <v>757</v>
      </c>
      <c r="N45" s="9" t="s">
        <v>62</v>
      </c>
      <c r="O45" s="9" t="s">
        <v>1215</v>
      </c>
      <c r="P45" s="193">
        <v>710</v>
      </c>
      <c r="Q45" s="184">
        <v>3.3719999999999999</v>
      </c>
      <c r="R45" s="186">
        <v>55164</v>
      </c>
      <c r="S45" s="194">
        <v>0.23699999999999999</v>
      </c>
      <c r="T45" s="170">
        <v>1321.491</v>
      </c>
      <c r="U45" s="185">
        <v>9.9999999999999995E-7</v>
      </c>
      <c r="V45" s="185">
        <v>0.119270039819106</v>
      </c>
      <c r="W45" s="185">
        <v>3.10608668926288E-2</v>
      </c>
    </row>
    <row r="46" spans="1:23">
      <c r="A46" s="9">
        <v>337</v>
      </c>
      <c r="B46" s="9">
        <v>9962</v>
      </c>
      <c r="C46" s="9" t="s">
        <v>1776</v>
      </c>
      <c r="D46" s="9" t="s">
        <v>1777</v>
      </c>
      <c r="E46" s="5" t="s">
        <v>429</v>
      </c>
      <c r="F46" s="9" t="s">
        <v>1780</v>
      </c>
      <c r="G46" s="9" t="s">
        <v>1781</v>
      </c>
      <c r="H46" s="9" t="s">
        <v>76</v>
      </c>
      <c r="I46" s="9" t="s">
        <v>235</v>
      </c>
      <c r="J46" s="9" t="s">
        <v>61</v>
      </c>
      <c r="K46" s="9" t="s">
        <v>314</v>
      </c>
      <c r="L46" s="9" t="s">
        <v>493</v>
      </c>
      <c r="M46" s="9" t="s">
        <v>757</v>
      </c>
      <c r="N46" s="9" t="s">
        <v>62</v>
      </c>
      <c r="O46" s="9" t="s">
        <v>1215</v>
      </c>
      <c r="P46" s="193">
        <v>513</v>
      </c>
      <c r="Q46" s="184">
        <v>3.3719999999999999</v>
      </c>
      <c r="R46" s="186">
        <v>122758</v>
      </c>
      <c r="S46" s="192"/>
      <c r="T46" s="170">
        <v>2123.5120000000002</v>
      </c>
      <c r="U46" s="185">
        <v>1.01E-4</v>
      </c>
      <c r="V46" s="185">
        <v>0.19165570562624501</v>
      </c>
      <c r="W46" s="185">
        <v>4.9911883744638598E-2</v>
      </c>
    </row>
    <row r="47" spans="1:23">
      <c r="A47" s="9">
        <v>337</v>
      </c>
      <c r="B47" s="9">
        <v>9962</v>
      </c>
      <c r="C47" s="9" t="s">
        <v>1722</v>
      </c>
      <c r="D47" s="9" t="s">
        <v>1723</v>
      </c>
      <c r="E47" s="5" t="s">
        <v>429</v>
      </c>
      <c r="F47" s="9" t="s">
        <v>1724</v>
      </c>
      <c r="G47" s="9" t="s">
        <v>1725</v>
      </c>
      <c r="H47" s="9" t="s">
        <v>76</v>
      </c>
      <c r="I47" s="9" t="s">
        <v>237</v>
      </c>
      <c r="J47" s="9" t="s">
        <v>61</v>
      </c>
      <c r="K47" s="9" t="s">
        <v>314</v>
      </c>
      <c r="L47" s="9" t="s">
        <v>1726</v>
      </c>
      <c r="M47" s="9" t="s">
        <v>758</v>
      </c>
      <c r="N47" s="9" t="s">
        <v>62</v>
      </c>
      <c r="O47" s="9" t="s">
        <v>1215</v>
      </c>
      <c r="P47" s="193">
        <v>2754</v>
      </c>
      <c r="Q47" s="184">
        <v>3.3719999999999999</v>
      </c>
      <c r="R47" s="186">
        <v>1125.9000000000001</v>
      </c>
      <c r="S47" s="192"/>
      <c r="T47" s="170">
        <v>104.557</v>
      </c>
      <c r="U47" s="185">
        <v>0</v>
      </c>
      <c r="V47" s="185">
        <v>9.4366606675813699E-3</v>
      </c>
      <c r="W47" s="185">
        <v>2.4575397254097001E-3</v>
      </c>
    </row>
    <row r="48" spans="1:23">
      <c r="A48" s="9">
        <v>337</v>
      </c>
      <c r="B48" s="9">
        <v>9962</v>
      </c>
      <c r="C48" s="9" t="s">
        <v>1784</v>
      </c>
      <c r="D48" s="9" t="s">
        <v>1785</v>
      </c>
      <c r="E48" s="5" t="s">
        <v>429</v>
      </c>
      <c r="F48" s="9" t="s">
        <v>1786</v>
      </c>
      <c r="G48" s="9" t="s">
        <v>1787</v>
      </c>
      <c r="H48" s="9" t="s">
        <v>76</v>
      </c>
      <c r="I48" s="9" t="s">
        <v>235</v>
      </c>
      <c r="J48" s="9" t="s">
        <v>61</v>
      </c>
      <c r="K48" s="9" t="s">
        <v>314</v>
      </c>
      <c r="L48" s="9" t="s">
        <v>478</v>
      </c>
      <c r="M48" s="9" t="s">
        <v>757</v>
      </c>
      <c r="N48" s="9" t="s">
        <v>62</v>
      </c>
      <c r="O48" s="9" t="s">
        <v>1215</v>
      </c>
      <c r="P48" s="193">
        <v>102</v>
      </c>
      <c r="Q48" s="184">
        <v>3.3719999999999999</v>
      </c>
      <c r="R48" s="186">
        <v>27888</v>
      </c>
      <c r="S48" s="192"/>
      <c r="T48" s="170">
        <v>95.918999999999997</v>
      </c>
      <c r="U48" s="185">
        <v>3.9999999999999998E-6</v>
      </c>
      <c r="V48" s="185">
        <v>8.6570938376051201E-3</v>
      </c>
      <c r="W48" s="185">
        <v>2.2545212508914901E-3</v>
      </c>
    </row>
    <row r="49" spans="1:23">
      <c r="A49" s="9">
        <v>337</v>
      </c>
      <c r="B49" s="9">
        <v>9962</v>
      </c>
      <c r="C49" s="9" t="s">
        <v>1788</v>
      </c>
      <c r="D49" s="9" t="s">
        <v>1789</v>
      </c>
      <c r="E49" s="5" t="s">
        <v>429</v>
      </c>
      <c r="F49" s="9" t="s">
        <v>1790</v>
      </c>
      <c r="G49" s="9" t="s">
        <v>1791</v>
      </c>
      <c r="H49" s="9" t="s">
        <v>76</v>
      </c>
      <c r="I49" s="9" t="s">
        <v>235</v>
      </c>
      <c r="J49" s="9" t="s">
        <v>61</v>
      </c>
      <c r="K49" s="9" t="s">
        <v>314</v>
      </c>
      <c r="L49" s="9" t="s">
        <v>475</v>
      </c>
      <c r="M49" s="9" t="s">
        <v>757</v>
      </c>
      <c r="N49" s="9" t="s">
        <v>62</v>
      </c>
      <c r="O49" s="9" t="s">
        <v>1215</v>
      </c>
      <c r="P49" s="193">
        <v>789</v>
      </c>
      <c r="Q49" s="184">
        <v>3.3719999999999999</v>
      </c>
      <c r="R49" s="186">
        <v>56803</v>
      </c>
      <c r="S49" s="194">
        <v>1.032</v>
      </c>
      <c r="T49" s="170">
        <v>1514.7270000000001</v>
      </c>
      <c r="U49" s="185">
        <v>9.9999999999999995E-7</v>
      </c>
      <c r="V49" s="185">
        <v>0.136710312223811</v>
      </c>
      <c r="W49" s="185">
        <v>3.5602744974964698E-2</v>
      </c>
    </row>
    <row r="50" spans="1:23">
      <c r="A50" s="9">
        <v>337</v>
      </c>
      <c r="B50" s="9">
        <v>9963</v>
      </c>
      <c r="C50" s="9" t="s">
        <v>1709</v>
      </c>
      <c r="D50" s="9" t="s">
        <v>1710</v>
      </c>
      <c r="E50" s="5" t="s">
        <v>1346</v>
      </c>
      <c r="F50" s="9" t="s">
        <v>1792</v>
      </c>
      <c r="G50" s="9" t="s">
        <v>1793</v>
      </c>
      <c r="H50" s="9" t="s">
        <v>76</v>
      </c>
      <c r="I50" s="9" t="s">
        <v>235</v>
      </c>
      <c r="J50" s="9" t="s">
        <v>53</v>
      </c>
      <c r="K50" s="9" t="s">
        <v>314</v>
      </c>
      <c r="L50" s="9" t="s">
        <v>311</v>
      </c>
      <c r="M50" s="9" t="s">
        <v>1734</v>
      </c>
      <c r="N50" s="9" t="s">
        <v>62</v>
      </c>
      <c r="O50" s="9" t="s">
        <v>1259</v>
      </c>
      <c r="P50" s="193">
        <v>40700</v>
      </c>
      <c r="Q50" s="184">
        <v>1</v>
      </c>
      <c r="R50" s="186">
        <v>8961</v>
      </c>
      <c r="S50" s="192"/>
      <c r="T50" s="170">
        <v>3647.127</v>
      </c>
      <c r="U50" s="185">
        <v>4.66E-4</v>
      </c>
      <c r="V50" s="185">
        <v>1.8627010762029401E-2</v>
      </c>
      <c r="W50" s="185">
        <v>3.2779286301014999E-3</v>
      </c>
    </row>
    <row r="51" spans="1:23">
      <c r="A51" s="9">
        <v>337</v>
      </c>
      <c r="B51" s="9">
        <v>9963</v>
      </c>
      <c r="C51" s="9" t="s">
        <v>1709</v>
      </c>
      <c r="D51" s="9" t="s">
        <v>1710</v>
      </c>
      <c r="E51" s="5" t="s">
        <v>1346</v>
      </c>
      <c r="F51" s="9" t="s">
        <v>1711</v>
      </c>
      <c r="G51" s="9" t="s">
        <v>1712</v>
      </c>
      <c r="H51" s="9" t="s">
        <v>76</v>
      </c>
      <c r="I51" s="9" t="s">
        <v>236</v>
      </c>
      <c r="J51" s="9" t="s">
        <v>53</v>
      </c>
      <c r="K51" s="9" t="s">
        <v>53</v>
      </c>
      <c r="L51" s="9" t="s">
        <v>311</v>
      </c>
      <c r="M51" s="9" t="s">
        <v>1713</v>
      </c>
      <c r="N51" s="9" t="s">
        <v>62</v>
      </c>
      <c r="O51" s="9" t="s">
        <v>1259</v>
      </c>
      <c r="P51" s="193">
        <v>1077354</v>
      </c>
      <c r="Q51" s="184">
        <v>1</v>
      </c>
      <c r="R51" s="186">
        <v>482.69</v>
      </c>
      <c r="S51" s="192"/>
      <c r="T51" s="170">
        <v>5200.28</v>
      </c>
      <c r="U51" s="185">
        <v>4.3750000000000004E-3</v>
      </c>
      <c r="V51" s="185">
        <v>2.65594458176358E-2</v>
      </c>
      <c r="W51" s="185">
        <v>4.6738560984098997E-3</v>
      </c>
    </row>
    <row r="52" spans="1:23">
      <c r="A52" s="9">
        <v>337</v>
      </c>
      <c r="B52" s="9">
        <v>9963</v>
      </c>
      <c r="C52" s="9" t="s">
        <v>1709</v>
      </c>
      <c r="D52" s="9" t="s">
        <v>1710</v>
      </c>
      <c r="E52" s="5" t="s">
        <v>1346</v>
      </c>
      <c r="F52" s="9" t="s">
        <v>1727</v>
      </c>
      <c r="G52" s="9" t="s">
        <v>1728</v>
      </c>
      <c r="H52" s="9" t="s">
        <v>76</v>
      </c>
      <c r="I52" s="9" t="s">
        <v>235</v>
      </c>
      <c r="J52" s="9" t="s">
        <v>53</v>
      </c>
      <c r="K52" s="9" t="s">
        <v>314</v>
      </c>
      <c r="L52" s="9" t="s">
        <v>311</v>
      </c>
      <c r="M52" s="9" t="s">
        <v>1729</v>
      </c>
      <c r="N52" s="9" t="s">
        <v>62</v>
      </c>
      <c r="O52" s="9" t="s">
        <v>1259</v>
      </c>
      <c r="P52" s="193">
        <v>340258</v>
      </c>
      <c r="Q52" s="184">
        <v>1</v>
      </c>
      <c r="R52" s="186">
        <v>7820</v>
      </c>
      <c r="S52" s="192"/>
      <c r="T52" s="170">
        <v>26608.175999999999</v>
      </c>
      <c r="U52" s="185">
        <v>1.396E-2</v>
      </c>
      <c r="V52" s="185">
        <v>0.135896220027207</v>
      </c>
      <c r="W52" s="185">
        <v>2.3914632145798101E-2</v>
      </c>
    </row>
    <row r="53" spans="1:23">
      <c r="A53" s="9">
        <v>337</v>
      </c>
      <c r="B53" s="9">
        <v>9963</v>
      </c>
      <c r="C53" s="9" t="s">
        <v>1709</v>
      </c>
      <c r="D53" s="9" t="s">
        <v>1710</v>
      </c>
      <c r="E53" s="5" t="s">
        <v>1346</v>
      </c>
      <c r="F53" s="9" t="s">
        <v>1804</v>
      </c>
      <c r="G53" s="9" t="s">
        <v>1805</v>
      </c>
      <c r="H53" s="9" t="s">
        <v>76</v>
      </c>
      <c r="I53" s="9" t="s">
        <v>235</v>
      </c>
      <c r="J53" s="9" t="s">
        <v>53</v>
      </c>
      <c r="K53" s="9" t="s">
        <v>313</v>
      </c>
      <c r="L53" s="9" t="s">
        <v>311</v>
      </c>
      <c r="M53" s="9" t="s">
        <v>1729</v>
      </c>
      <c r="N53" s="9" t="s">
        <v>62</v>
      </c>
      <c r="O53" s="9" t="s">
        <v>1259</v>
      </c>
      <c r="P53" s="193">
        <v>51170</v>
      </c>
      <c r="Q53" s="184">
        <v>1</v>
      </c>
      <c r="R53" s="186">
        <v>8095</v>
      </c>
      <c r="S53" s="192"/>
      <c r="T53" s="170">
        <v>4142.2120000000004</v>
      </c>
      <c r="U53" s="185">
        <v>1.2520999999999999E-2</v>
      </c>
      <c r="V53" s="185">
        <v>2.1155561127731998E-2</v>
      </c>
      <c r="W53" s="185">
        <v>3.7228957663897298E-3</v>
      </c>
    </row>
    <row r="54" spans="1:23">
      <c r="A54" s="9">
        <v>337</v>
      </c>
      <c r="B54" s="9">
        <v>9963</v>
      </c>
      <c r="C54" s="9" t="s">
        <v>1735</v>
      </c>
      <c r="D54" s="9" t="s">
        <v>1736</v>
      </c>
      <c r="E54" s="5" t="s">
        <v>1346</v>
      </c>
      <c r="F54" s="9" t="s">
        <v>1737</v>
      </c>
      <c r="G54" s="9" t="s">
        <v>1738</v>
      </c>
      <c r="H54" s="9" t="s">
        <v>76</v>
      </c>
      <c r="I54" s="9" t="s">
        <v>235</v>
      </c>
      <c r="J54" s="9" t="s">
        <v>53</v>
      </c>
      <c r="K54" s="9" t="s">
        <v>317</v>
      </c>
      <c r="L54" s="9" t="s">
        <v>311</v>
      </c>
      <c r="M54" s="9" t="s">
        <v>1734</v>
      </c>
      <c r="N54" s="9" t="s">
        <v>62</v>
      </c>
      <c r="O54" s="9" t="s">
        <v>1259</v>
      </c>
      <c r="P54" s="193">
        <v>573613</v>
      </c>
      <c r="Q54" s="184">
        <v>1</v>
      </c>
      <c r="R54" s="186">
        <v>864.7</v>
      </c>
      <c r="S54" s="192"/>
      <c r="T54" s="170">
        <v>4960.0320000000002</v>
      </c>
      <c r="U54" s="185">
        <v>1.1410000000000001E-3</v>
      </c>
      <c r="V54" s="185">
        <v>2.5332422533710201E-2</v>
      </c>
      <c r="W54" s="185">
        <v>4.4579280139971497E-3</v>
      </c>
    </row>
    <row r="55" spans="1:23">
      <c r="A55" s="9">
        <v>337</v>
      </c>
      <c r="B55" s="9">
        <v>9963</v>
      </c>
      <c r="C55" s="9" t="s">
        <v>1735</v>
      </c>
      <c r="D55" s="9" t="s">
        <v>1736</v>
      </c>
      <c r="E55" s="5" t="s">
        <v>1346</v>
      </c>
      <c r="F55" s="9" t="s">
        <v>1806</v>
      </c>
      <c r="G55" s="9" t="s">
        <v>1807</v>
      </c>
      <c r="H55" s="9" t="s">
        <v>76</v>
      </c>
      <c r="I55" s="9" t="s">
        <v>236</v>
      </c>
      <c r="J55" s="9" t="s">
        <v>53</v>
      </c>
      <c r="K55" s="9" t="s">
        <v>53</v>
      </c>
      <c r="L55" s="9" t="s">
        <v>311</v>
      </c>
      <c r="M55" s="9" t="s">
        <v>1713</v>
      </c>
      <c r="N55" s="9" t="s">
        <v>62</v>
      </c>
      <c r="O55" s="9" t="s">
        <v>1259</v>
      </c>
      <c r="P55" s="193">
        <v>1202935</v>
      </c>
      <c r="Q55" s="184">
        <v>1</v>
      </c>
      <c r="R55" s="186">
        <v>431.75</v>
      </c>
      <c r="S55" s="192"/>
      <c r="T55" s="170">
        <v>5193.6719999999996</v>
      </c>
      <c r="U55" s="185">
        <v>1.1140000000000001E-2</v>
      </c>
      <c r="V55" s="185">
        <v>2.6525695890830401E-2</v>
      </c>
      <c r="W55" s="185">
        <v>4.6679168818199498E-3</v>
      </c>
    </row>
    <row r="56" spans="1:23">
      <c r="A56" s="9">
        <v>337</v>
      </c>
      <c r="B56" s="9">
        <v>9963</v>
      </c>
      <c r="C56" s="9" t="s">
        <v>1735</v>
      </c>
      <c r="D56" s="9" t="s">
        <v>1736</v>
      </c>
      <c r="E56" s="5" t="s">
        <v>1346</v>
      </c>
      <c r="F56" s="9" t="s">
        <v>1739</v>
      </c>
      <c r="G56" s="9" t="s">
        <v>1740</v>
      </c>
      <c r="H56" s="9" t="s">
        <v>76</v>
      </c>
      <c r="I56" s="9" t="s">
        <v>234</v>
      </c>
      <c r="J56" s="9" t="s">
        <v>53</v>
      </c>
      <c r="K56" s="9" t="s">
        <v>53</v>
      </c>
      <c r="L56" s="9" t="s">
        <v>311</v>
      </c>
      <c r="M56" s="9" t="s">
        <v>1708</v>
      </c>
      <c r="N56" s="9" t="s">
        <v>62</v>
      </c>
      <c r="O56" s="9" t="s">
        <v>1259</v>
      </c>
      <c r="P56" s="193">
        <v>115740</v>
      </c>
      <c r="Q56" s="184">
        <v>1</v>
      </c>
      <c r="R56" s="186">
        <v>3032</v>
      </c>
      <c r="S56" s="192"/>
      <c r="T56" s="170">
        <v>3509.2370000000001</v>
      </c>
      <c r="U56" s="185">
        <v>4.6299999999999998E-4</v>
      </c>
      <c r="V56" s="185">
        <v>1.7922762667740798E-2</v>
      </c>
      <c r="W56" s="185">
        <v>3.1539970438445898E-3</v>
      </c>
    </row>
    <row r="57" spans="1:23">
      <c r="A57" s="9">
        <v>337</v>
      </c>
      <c r="B57" s="9">
        <v>9963</v>
      </c>
      <c r="C57" s="9" t="s">
        <v>1735</v>
      </c>
      <c r="D57" s="9" t="s">
        <v>1736</v>
      </c>
      <c r="E57" s="5" t="s">
        <v>1346</v>
      </c>
      <c r="F57" s="9" t="s">
        <v>1741</v>
      </c>
      <c r="G57" s="9" t="s">
        <v>1742</v>
      </c>
      <c r="H57" s="9" t="s">
        <v>76</v>
      </c>
      <c r="I57" s="9" t="s">
        <v>235</v>
      </c>
      <c r="J57" s="9" t="s">
        <v>53</v>
      </c>
      <c r="K57" s="9" t="s">
        <v>313</v>
      </c>
      <c r="L57" s="9" t="s">
        <v>311</v>
      </c>
      <c r="M57" s="9" t="s">
        <v>1729</v>
      </c>
      <c r="N57" s="9" t="s">
        <v>62</v>
      </c>
      <c r="O57" s="9" t="s">
        <v>1259</v>
      </c>
      <c r="P57" s="193">
        <v>1137800</v>
      </c>
      <c r="Q57" s="184">
        <v>1</v>
      </c>
      <c r="R57" s="186">
        <v>699.4</v>
      </c>
      <c r="S57" s="192"/>
      <c r="T57" s="170">
        <v>7957.7730000000001</v>
      </c>
      <c r="U57" s="185">
        <v>4.8190000000000004E-3</v>
      </c>
      <c r="V57" s="185">
        <v>4.0642820235815502E-2</v>
      </c>
      <c r="W57" s="185">
        <v>7.1522084654947402E-3</v>
      </c>
    </row>
    <row r="58" spans="1:23">
      <c r="A58" s="9">
        <v>337</v>
      </c>
      <c r="B58" s="9">
        <v>9963</v>
      </c>
      <c r="C58" s="9" t="s">
        <v>1735</v>
      </c>
      <c r="D58" s="9" t="s">
        <v>1736</v>
      </c>
      <c r="E58" s="5" t="s">
        <v>1346</v>
      </c>
      <c r="F58" s="9" t="s">
        <v>1743</v>
      </c>
      <c r="G58" s="9" t="s">
        <v>1744</v>
      </c>
      <c r="H58" s="9" t="s">
        <v>76</v>
      </c>
      <c r="I58" s="9" t="s">
        <v>235</v>
      </c>
      <c r="J58" s="9" t="s">
        <v>53</v>
      </c>
      <c r="K58" s="9" t="s">
        <v>153</v>
      </c>
      <c r="L58" s="9" t="s">
        <v>311</v>
      </c>
      <c r="M58" s="9" t="s">
        <v>1729</v>
      </c>
      <c r="N58" s="9" t="s">
        <v>62</v>
      </c>
      <c r="O58" s="9" t="s">
        <v>1259</v>
      </c>
      <c r="P58" s="193">
        <v>16336</v>
      </c>
      <c r="Q58" s="184">
        <v>1</v>
      </c>
      <c r="R58" s="186">
        <v>20650</v>
      </c>
      <c r="S58" s="192"/>
      <c r="T58" s="170">
        <v>3373.384</v>
      </c>
      <c r="U58" s="185">
        <v>1.431E-3</v>
      </c>
      <c r="V58" s="185">
        <v>1.72289202082784E-2</v>
      </c>
      <c r="W58" s="185">
        <v>3.0318966117512001E-3</v>
      </c>
    </row>
    <row r="59" spans="1:23">
      <c r="A59" s="9">
        <v>337</v>
      </c>
      <c r="B59" s="9">
        <v>9963</v>
      </c>
      <c r="C59" s="9" t="s">
        <v>1745</v>
      </c>
      <c r="D59" s="9" t="s">
        <v>1746</v>
      </c>
      <c r="E59" s="5" t="s">
        <v>1346</v>
      </c>
      <c r="F59" s="9" t="s">
        <v>1808</v>
      </c>
      <c r="G59" s="9" t="s">
        <v>1809</v>
      </c>
      <c r="H59" s="9" t="s">
        <v>76</v>
      </c>
      <c r="I59" s="9" t="s">
        <v>236</v>
      </c>
      <c r="J59" s="9" t="s">
        <v>53</v>
      </c>
      <c r="K59" s="9" t="s">
        <v>53</v>
      </c>
      <c r="L59" s="9" t="s">
        <v>311</v>
      </c>
      <c r="M59" s="9" t="s">
        <v>1713</v>
      </c>
      <c r="N59" s="9" t="s">
        <v>62</v>
      </c>
      <c r="O59" s="9" t="s">
        <v>1259</v>
      </c>
      <c r="P59" s="193">
        <v>2832</v>
      </c>
      <c r="Q59" s="184">
        <v>1</v>
      </c>
      <c r="R59" s="186">
        <v>5603.55</v>
      </c>
      <c r="S59" s="192"/>
      <c r="T59" s="170">
        <v>158.69300000000001</v>
      </c>
      <c r="U59" s="185">
        <v>4.7199999999999998E-4</v>
      </c>
      <c r="V59" s="185">
        <v>8.1049208758722502E-4</v>
      </c>
      <c r="W59" s="185">
        <v>1.42628103473724E-4</v>
      </c>
    </row>
    <row r="60" spans="1:23">
      <c r="A60" s="9">
        <v>337</v>
      </c>
      <c r="B60" s="9">
        <v>9963</v>
      </c>
      <c r="C60" s="9" t="s">
        <v>1714</v>
      </c>
      <c r="D60" s="9" t="s">
        <v>1715</v>
      </c>
      <c r="E60" s="5" t="s">
        <v>1346</v>
      </c>
      <c r="F60" s="9" t="s">
        <v>1749</v>
      </c>
      <c r="G60" s="9" t="s">
        <v>1750</v>
      </c>
      <c r="H60" s="9" t="s">
        <v>76</v>
      </c>
      <c r="I60" s="9" t="s">
        <v>235</v>
      </c>
      <c r="J60" s="9" t="s">
        <v>53</v>
      </c>
      <c r="K60" s="9" t="s">
        <v>313</v>
      </c>
      <c r="L60" s="9" t="s">
        <v>311</v>
      </c>
      <c r="M60" s="9" t="s">
        <v>1729</v>
      </c>
      <c r="N60" s="9" t="s">
        <v>62</v>
      </c>
      <c r="O60" s="9" t="s">
        <v>1259</v>
      </c>
      <c r="P60" s="193">
        <v>110633</v>
      </c>
      <c r="Q60" s="184">
        <v>1</v>
      </c>
      <c r="R60" s="186">
        <v>7493</v>
      </c>
      <c r="S60" s="192"/>
      <c r="T60" s="170">
        <v>8289.7309999999998</v>
      </c>
      <c r="U60" s="185">
        <v>7.9450000000000007E-3</v>
      </c>
      <c r="V60" s="185">
        <v>4.2338230277408802E-2</v>
      </c>
      <c r="W60" s="185">
        <v>7.4505619257519903E-3</v>
      </c>
    </row>
    <row r="61" spans="1:23">
      <c r="A61" s="9">
        <v>337</v>
      </c>
      <c r="B61" s="9">
        <v>9963</v>
      </c>
      <c r="C61" s="9" t="s">
        <v>1714</v>
      </c>
      <c r="D61" s="9" t="s">
        <v>1715</v>
      </c>
      <c r="E61" s="5" t="s">
        <v>1346</v>
      </c>
      <c r="F61" s="9" t="s">
        <v>1716</v>
      </c>
      <c r="G61" s="9" t="s">
        <v>1717</v>
      </c>
      <c r="H61" s="9" t="s">
        <v>76</v>
      </c>
      <c r="I61" s="9" t="s">
        <v>236</v>
      </c>
      <c r="J61" s="9" t="s">
        <v>53</v>
      </c>
      <c r="K61" s="9" t="s">
        <v>53</v>
      </c>
      <c r="L61" s="9" t="s">
        <v>311</v>
      </c>
      <c r="M61" s="9" t="s">
        <v>1713</v>
      </c>
      <c r="N61" s="9" t="s">
        <v>62</v>
      </c>
      <c r="O61" s="9" t="s">
        <v>1259</v>
      </c>
      <c r="P61" s="193">
        <v>73572</v>
      </c>
      <c r="Q61" s="184">
        <v>1</v>
      </c>
      <c r="R61" s="186">
        <v>4144.0200000000004</v>
      </c>
      <c r="S61" s="192"/>
      <c r="T61" s="170">
        <v>3048.8380000000002</v>
      </c>
      <c r="U61" s="185">
        <v>1.3619999999999999E-3</v>
      </c>
      <c r="V61" s="185">
        <v>1.557136496321E-2</v>
      </c>
      <c r="W61" s="185">
        <v>2.7402047314383201E-3</v>
      </c>
    </row>
    <row r="62" spans="1:23">
      <c r="A62" s="9">
        <v>337</v>
      </c>
      <c r="B62" s="9">
        <v>9963</v>
      </c>
      <c r="C62" s="9" t="s">
        <v>1714</v>
      </c>
      <c r="D62" s="9" t="s">
        <v>1715</v>
      </c>
      <c r="E62" s="5" t="s">
        <v>1346</v>
      </c>
      <c r="F62" s="9" t="s">
        <v>1810</v>
      </c>
      <c r="G62" s="9" t="s">
        <v>1811</v>
      </c>
      <c r="H62" s="9" t="s">
        <v>76</v>
      </c>
      <c r="I62" s="9" t="s">
        <v>236</v>
      </c>
      <c r="J62" s="9" t="s">
        <v>53</v>
      </c>
      <c r="K62" s="9" t="s">
        <v>53</v>
      </c>
      <c r="L62" s="9" t="s">
        <v>311</v>
      </c>
      <c r="M62" s="9" t="s">
        <v>1713</v>
      </c>
      <c r="N62" s="9" t="s">
        <v>62</v>
      </c>
      <c r="O62" s="9" t="s">
        <v>1259</v>
      </c>
      <c r="P62" s="193">
        <v>3860</v>
      </c>
      <c r="Q62" s="184">
        <v>1</v>
      </c>
      <c r="R62" s="186">
        <v>4200.04</v>
      </c>
      <c r="S62" s="192"/>
      <c r="T62" s="170">
        <v>162.12200000000001</v>
      </c>
      <c r="U62" s="185">
        <v>9.8999999999999994E-5</v>
      </c>
      <c r="V62" s="185">
        <v>8.2800509684604305E-4</v>
      </c>
      <c r="W62" s="185">
        <v>1.4570999327247501E-4</v>
      </c>
    </row>
    <row r="63" spans="1:23">
      <c r="A63" s="9">
        <v>337</v>
      </c>
      <c r="B63" s="9">
        <v>9963</v>
      </c>
      <c r="C63" s="9" t="s">
        <v>1751</v>
      </c>
      <c r="D63" s="9" t="s">
        <v>1752</v>
      </c>
      <c r="E63" s="5" t="s">
        <v>429</v>
      </c>
      <c r="F63" s="9" t="s">
        <v>1753</v>
      </c>
      <c r="G63" s="9" t="s">
        <v>1754</v>
      </c>
      <c r="H63" s="9" t="s">
        <v>76</v>
      </c>
      <c r="I63" s="9" t="s">
        <v>235</v>
      </c>
      <c r="J63" s="9" t="s">
        <v>61</v>
      </c>
      <c r="K63" s="9" t="s">
        <v>1755</v>
      </c>
      <c r="L63" s="9" t="s">
        <v>478</v>
      </c>
      <c r="M63" s="9" t="s">
        <v>757</v>
      </c>
      <c r="N63" s="9" t="s">
        <v>62</v>
      </c>
      <c r="O63" s="9" t="s">
        <v>1215</v>
      </c>
      <c r="P63" s="193">
        <v>90825</v>
      </c>
      <c r="Q63" s="184">
        <v>3.3719999999999999</v>
      </c>
      <c r="R63" s="186">
        <v>6036</v>
      </c>
      <c r="S63" s="192"/>
      <c r="T63" s="170">
        <v>18485.968000000001</v>
      </c>
      <c r="U63" s="185">
        <v>0</v>
      </c>
      <c r="V63" s="185">
        <v>9.4413583670818604E-2</v>
      </c>
      <c r="W63" s="185">
        <v>1.66146352165066E-2</v>
      </c>
    </row>
    <row r="64" spans="1:23">
      <c r="A64" s="9">
        <v>337</v>
      </c>
      <c r="B64" s="9">
        <v>9963</v>
      </c>
      <c r="C64" s="9" t="s">
        <v>1718</v>
      </c>
      <c r="D64" s="9" t="s">
        <v>1719</v>
      </c>
      <c r="E64" s="5" t="s">
        <v>429</v>
      </c>
      <c r="F64" s="9" t="s">
        <v>1756</v>
      </c>
      <c r="G64" s="9" t="s">
        <v>1757</v>
      </c>
      <c r="H64" s="9" t="s">
        <v>76</v>
      </c>
      <c r="I64" s="9" t="s">
        <v>235</v>
      </c>
      <c r="J64" s="9" t="s">
        <v>61</v>
      </c>
      <c r="K64" s="9" t="s">
        <v>314</v>
      </c>
      <c r="L64" s="9" t="s">
        <v>475</v>
      </c>
      <c r="M64" s="9" t="s">
        <v>757</v>
      </c>
      <c r="N64" s="9" t="s">
        <v>62</v>
      </c>
      <c r="O64" s="9" t="s">
        <v>1215</v>
      </c>
      <c r="P64" s="193">
        <v>12661</v>
      </c>
      <c r="Q64" s="184">
        <v>3.3719999999999999</v>
      </c>
      <c r="R64" s="186">
        <v>21579</v>
      </c>
      <c r="S64" s="192"/>
      <c r="T64" s="170">
        <v>9212.6990000000005</v>
      </c>
      <c r="U64" s="185">
        <v>4.3999999999999999E-5</v>
      </c>
      <c r="V64" s="185">
        <v>4.7052117046605002E-2</v>
      </c>
      <c r="W64" s="185">
        <v>8.2800983767268802E-3</v>
      </c>
    </row>
    <row r="65" spans="1:23">
      <c r="A65" s="9">
        <v>337</v>
      </c>
      <c r="B65" s="9">
        <v>9963</v>
      </c>
      <c r="C65" s="9" t="s">
        <v>1718</v>
      </c>
      <c r="D65" s="9" t="s">
        <v>1719</v>
      </c>
      <c r="E65" s="5" t="s">
        <v>429</v>
      </c>
      <c r="F65" s="9" t="s">
        <v>1762</v>
      </c>
      <c r="G65" s="9" t="s">
        <v>1763</v>
      </c>
      <c r="H65" s="9" t="s">
        <v>76</v>
      </c>
      <c r="I65" s="9" t="s">
        <v>235</v>
      </c>
      <c r="J65" s="9" t="s">
        <v>61</v>
      </c>
      <c r="K65" s="9" t="s">
        <v>314</v>
      </c>
      <c r="L65" s="9" t="s">
        <v>484</v>
      </c>
      <c r="M65" s="9" t="s">
        <v>757</v>
      </c>
      <c r="N65" s="9" t="s">
        <v>62</v>
      </c>
      <c r="O65" s="9" t="s">
        <v>1215</v>
      </c>
      <c r="P65" s="193">
        <v>20419</v>
      </c>
      <c r="Q65" s="184">
        <v>3.3719999999999999</v>
      </c>
      <c r="R65" s="186">
        <v>10950</v>
      </c>
      <c r="S65" s="192"/>
      <c r="T65" s="170">
        <v>7539.3890000000001</v>
      </c>
      <c r="U65" s="185">
        <v>1.92E-4</v>
      </c>
      <c r="V65" s="185">
        <v>3.8506002368156697E-2</v>
      </c>
      <c r="W65" s="185">
        <v>6.7761773054124596E-3</v>
      </c>
    </row>
    <row r="66" spans="1:23">
      <c r="A66" s="9">
        <v>337</v>
      </c>
      <c r="B66" s="9">
        <v>9963</v>
      </c>
      <c r="C66" s="9" t="s">
        <v>1718</v>
      </c>
      <c r="D66" s="9" t="s">
        <v>1719</v>
      </c>
      <c r="E66" s="5" t="s">
        <v>429</v>
      </c>
      <c r="F66" s="9" t="s">
        <v>1764</v>
      </c>
      <c r="G66" s="9" t="s">
        <v>1765</v>
      </c>
      <c r="H66" s="9" t="s">
        <v>76</v>
      </c>
      <c r="I66" s="9" t="s">
        <v>235</v>
      </c>
      <c r="J66" s="9" t="s">
        <v>61</v>
      </c>
      <c r="K66" s="9" t="s">
        <v>314</v>
      </c>
      <c r="L66" s="9" t="s">
        <v>475</v>
      </c>
      <c r="M66" s="9" t="s">
        <v>757</v>
      </c>
      <c r="N66" s="9" t="s">
        <v>62</v>
      </c>
      <c r="O66" s="9" t="s">
        <v>1215</v>
      </c>
      <c r="P66" s="193">
        <v>5178</v>
      </c>
      <c r="Q66" s="184">
        <v>3.3719999999999999</v>
      </c>
      <c r="R66" s="186">
        <v>62090</v>
      </c>
      <c r="S66" s="192"/>
      <c r="T66" s="170">
        <v>10841.048000000001</v>
      </c>
      <c r="U66" s="185">
        <v>6.9999999999999999E-6</v>
      </c>
      <c r="V66" s="185">
        <v>5.53686010656078E-2</v>
      </c>
      <c r="W66" s="185">
        <v>9.7436096945622205E-3</v>
      </c>
    </row>
    <row r="67" spans="1:23">
      <c r="A67" s="9">
        <v>337</v>
      </c>
      <c r="B67" s="9">
        <v>9963</v>
      </c>
      <c r="C67" s="9" t="s">
        <v>1766</v>
      </c>
      <c r="D67" s="9" t="s">
        <v>1767</v>
      </c>
      <c r="E67" s="5" t="s">
        <v>429</v>
      </c>
      <c r="F67" s="9" t="s">
        <v>1768</v>
      </c>
      <c r="G67" s="9" t="s">
        <v>1769</v>
      </c>
      <c r="H67" s="9" t="s">
        <v>76</v>
      </c>
      <c r="I67" s="9" t="s">
        <v>235</v>
      </c>
      <c r="J67" s="9" t="s">
        <v>61</v>
      </c>
      <c r="K67" s="9" t="s">
        <v>188</v>
      </c>
      <c r="L67" s="9" t="s">
        <v>475</v>
      </c>
      <c r="M67" s="9" t="s">
        <v>757</v>
      </c>
      <c r="N67" s="9" t="s">
        <v>62</v>
      </c>
      <c r="O67" s="9" t="s">
        <v>1215</v>
      </c>
      <c r="P67" s="193">
        <v>17361</v>
      </c>
      <c r="Q67" s="184">
        <v>3.3719999999999999</v>
      </c>
      <c r="R67" s="186">
        <v>3433</v>
      </c>
      <c r="S67" s="192"/>
      <c r="T67" s="170">
        <v>2009.723</v>
      </c>
      <c r="U67" s="185">
        <v>6.9999999999999994E-5</v>
      </c>
      <c r="V67" s="185">
        <v>1.0264277511794E-2</v>
      </c>
      <c r="W67" s="185">
        <v>1.8062785034624099E-3</v>
      </c>
    </row>
    <row r="68" spans="1:23">
      <c r="A68" s="9">
        <v>337</v>
      </c>
      <c r="B68" s="9">
        <v>9963</v>
      </c>
      <c r="C68" s="9" t="s">
        <v>1770</v>
      </c>
      <c r="D68" s="9" t="s">
        <v>1752</v>
      </c>
      <c r="E68" s="5" t="s">
        <v>429</v>
      </c>
      <c r="F68" s="9" t="s">
        <v>1773</v>
      </c>
      <c r="G68" s="9" t="s">
        <v>1772</v>
      </c>
      <c r="H68" s="9" t="s">
        <v>76</v>
      </c>
      <c r="I68" s="9" t="s">
        <v>235</v>
      </c>
      <c r="J68" s="9" t="s">
        <v>61</v>
      </c>
      <c r="K68" s="9" t="s">
        <v>314</v>
      </c>
      <c r="L68" s="9" t="s">
        <v>493</v>
      </c>
      <c r="M68" s="9" t="s">
        <v>757</v>
      </c>
      <c r="N68" s="9" t="s">
        <v>62</v>
      </c>
      <c r="O68" s="9" t="s">
        <v>1215</v>
      </c>
      <c r="P68" s="193">
        <v>14981</v>
      </c>
      <c r="Q68" s="184">
        <v>3.3719999999999999</v>
      </c>
      <c r="R68" s="186">
        <v>44471</v>
      </c>
      <c r="S68" s="192"/>
      <c r="T68" s="170">
        <v>22464.94</v>
      </c>
      <c r="U68" s="185">
        <v>1.689E-3</v>
      </c>
      <c r="V68" s="185">
        <v>0.11473542911403101</v>
      </c>
      <c r="W68" s="185">
        <v>2.0190816056568899E-2</v>
      </c>
    </row>
    <row r="69" spans="1:23">
      <c r="A69" s="9">
        <v>337</v>
      </c>
      <c r="B69" s="9">
        <v>9963</v>
      </c>
      <c r="C69" s="9" t="s">
        <v>1718</v>
      </c>
      <c r="D69" s="9" t="s">
        <v>1719</v>
      </c>
      <c r="E69" s="5" t="s">
        <v>429</v>
      </c>
      <c r="F69" s="9" t="s">
        <v>1774</v>
      </c>
      <c r="G69" s="9" t="s">
        <v>1775</v>
      </c>
      <c r="H69" s="9" t="s">
        <v>76</v>
      </c>
      <c r="I69" s="9" t="s">
        <v>235</v>
      </c>
      <c r="J69" s="9" t="s">
        <v>61</v>
      </c>
      <c r="K69" s="9" t="s">
        <v>188</v>
      </c>
      <c r="L69" s="9" t="s">
        <v>478</v>
      </c>
      <c r="M69" s="9" t="s">
        <v>757</v>
      </c>
      <c r="N69" s="9" t="s">
        <v>62</v>
      </c>
      <c r="O69" s="9" t="s">
        <v>1215</v>
      </c>
      <c r="P69" s="193">
        <v>20000</v>
      </c>
      <c r="Q69" s="184">
        <v>3.3719999999999999</v>
      </c>
      <c r="R69" s="186">
        <v>5510</v>
      </c>
      <c r="S69" s="192"/>
      <c r="T69" s="170">
        <v>3715.944</v>
      </c>
      <c r="U69" s="185">
        <v>1.26E-4</v>
      </c>
      <c r="V69" s="185">
        <v>1.8978480562672598E-2</v>
      </c>
      <c r="W69" s="185">
        <v>3.3397792907825501E-3</v>
      </c>
    </row>
    <row r="70" spans="1:23">
      <c r="A70" s="9">
        <v>337</v>
      </c>
      <c r="B70" s="9">
        <v>9963</v>
      </c>
      <c r="C70" s="9" t="s">
        <v>1776</v>
      </c>
      <c r="D70" s="9" t="s">
        <v>1777</v>
      </c>
      <c r="E70" s="5" t="s">
        <v>429</v>
      </c>
      <c r="F70" s="9" t="s">
        <v>1778</v>
      </c>
      <c r="G70" s="9" t="s">
        <v>1779</v>
      </c>
      <c r="H70" s="9" t="s">
        <v>76</v>
      </c>
      <c r="I70" s="9" t="s">
        <v>235</v>
      </c>
      <c r="J70" s="9" t="s">
        <v>61</v>
      </c>
      <c r="K70" s="9" t="s">
        <v>314</v>
      </c>
      <c r="L70" s="9" t="s">
        <v>478</v>
      </c>
      <c r="M70" s="9" t="s">
        <v>757</v>
      </c>
      <c r="N70" s="9" t="s">
        <v>62</v>
      </c>
      <c r="O70" s="9" t="s">
        <v>1215</v>
      </c>
      <c r="P70" s="193">
        <v>7373</v>
      </c>
      <c r="Q70" s="184">
        <v>3.3719999999999999</v>
      </c>
      <c r="R70" s="186">
        <v>55164</v>
      </c>
      <c r="S70" s="194">
        <v>2.0049999999999999</v>
      </c>
      <c r="T70" s="170">
        <v>13721.499</v>
      </c>
      <c r="U70" s="185">
        <v>1.2999999999999999E-5</v>
      </c>
      <c r="V70" s="185">
        <v>7.0079956863435502E-2</v>
      </c>
      <c r="W70" s="185">
        <v>1.2332472447334699E-2</v>
      </c>
    </row>
    <row r="71" spans="1:23">
      <c r="A71" s="9">
        <v>337</v>
      </c>
      <c r="B71" s="9">
        <v>9963</v>
      </c>
      <c r="C71" s="9" t="s">
        <v>1776</v>
      </c>
      <c r="D71" s="9" t="s">
        <v>1777</v>
      </c>
      <c r="E71" s="5" t="s">
        <v>429</v>
      </c>
      <c r="F71" s="9" t="s">
        <v>1780</v>
      </c>
      <c r="G71" s="9" t="s">
        <v>1781</v>
      </c>
      <c r="H71" s="9" t="s">
        <v>76</v>
      </c>
      <c r="I71" s="9" t="s">
        <v>235</v>
      </c>
      <c r="J71" s="9" t="s">
        <v>61</v>
      </c>
      <c r="K71" s="9" t="s">
        <v>314</v>
      </c>
      <c r="L71" s="9" t="s">
        <v>493</v>
      </c>
      <c r="M71" s="9" t="s">
        <v>757</v>
      </c>
      <c r="N71" s="9" t="s">
        <v>62</v>
      </c>
      <c r="O71" s="9" t="s">
        <v>1215</v>
      </c>
      <c r="P71" s="193">
        <v>1809</v>
      </c>
      <c r="Q71" s="184">
        <v>3.3719999999999999</v>
      </c>
      <c r="R71" s="186">
        <v>122758</v>
      </c>
      <c r="S71" s="192"/>
      <c r="T71" s="170">
        <v>7488.174</v>
      </c>
      <c r="U71" s="185">
        <v>3.5599999999999998E-4</v>
      </c>
      <c r="V71" s="185">
        <v>3.8244432062566502E-2</v>
      </c>
      <c r="W71" s="185">
        <v>6.7301469034101004E-3</v>
      </c>
    </row>
    <row r="72" spans="1:23">
      <c r="A72" s="9">
        <v>337</v>
      </c>
      <c r="B72" s="9">
        <v>9963</v>
      </c>
      <c r="C72" s="9" t="s">
        <v>1722</v>
      </c>
      <c r="D72" s="9" t="s">
        <v>1723</v>
      </c>
      <c r="E72" s="5" t="s">
        <v>429</v>
      </c>
      <c r="F72" s="9" t="s">
        <v>1724</v>
      </c>
      <c r="G72" s="9" t="s">
        <v>1725</v>
      </c>
      <c r="H72" s="9" t="s">
        <v>76</v>
      </c>
      <c r="I72" s="9" t="s">
        <v>237</v>
      </c>
      <c r="J72" s="9" t="s">
        <v>61</v>
      </c>
      <c r="K72" s="9" t="s">
        <v>314</v>
      </c>
      <c r="L72" s="9" t="s">
        <v>1726</v>
      </c>
      <c r="M72" s="9" t="s">
        <v>758</v>
      </c>
      <c r="N72" s="9" t="s">
        <v>62</v>
      </c>
      <c r="O72" s="9" t="s">
        <v>1215</v>
      </c>
      <c r="P72" s="193">
        <v>323004</v>
      </c>
      <c r="Q72" s="184">
        <v>3.3719999999999999</v>
      </c>
      <c r="R72" s="186">
        <v>1125.9000000000001</v>
      </c>
      <c r="S72" s="192"/>
      <c r="T72" s="170">
        <v>12262.959000000001</v>
      </c>
      <c r="U72" s="185">
        <v>0</v>
      </c>
      <c r="V72" s="185">
        <v>6.2630743105678705E-2</v>
      </c>
      <c r="W72" s="185">
        <v>1.10215808952627E-2</v>
      </c>
    </row>
    <row r="73" spans="1:23">
      <c r="A73" s="9">
        <v>337</v>
      </c>
      <c r="B73" s="9">
        <v>9963</v>
      </c>
      <c r="C73" s="9" t="s">
        <v>1722</v>
      </c>
      <c r="D73" s="9" t="s">
        <v>1723</v>
      </c>
      <c r="E73" s="5" t="s">
        <v>429</v>
      </c>
      <c r="F73" s="9" t="s">
        <v>1782</v>
      </c>
      <c r="G73" s="9" t="s">
        <v>1783</v>
      </c>
      <c r="H73" s="9" t="s">
        <v>76</v>
      </c>
      <c r="I73" s="9" t="s">
        <v>235</v>
      </c>
      <c r="J73" s="9" t="s">
        <v>61</v>
      </c>
      <c r="K73" s="9" t="s">
        <v>314</v>
      </c>
      <c r="L73" s="9" t="s">
        <v>475</v>
      </c>
      <c r="M73" s="9" t="s">
        <v>757</v>
      </c>
      <c r="N73" s="9" t="s">
        <v>62</v>
      </c>
      <c r="O73" s="9" t="s">
        <v>1215</v>
      </c>
      <c r="P73" s="193">
        <v>3750</v>
      </c>
      <c r="Q73" s="184">
        <v>3.3719999999999999</v>
      </c>
      <c r="R73" s="186">
        <v>61785</v>
      </c>
      <c r="S73" s="194">
        <v>4.6189999999999998</v>
      </c>
      <c r="T73" s="170">
        <v>7828.2879999999996</v>
      </c>
      <c r="U73" s="185">
        <v>3.9999999999999998E-6</v>
      </c>
      <c r="V73" s="185">
        <v>3.9981498577253902E-2</v>
      </c>
      <c r="W73" s="185">
        <v>7.0358309518936801E-3</v>
      </c>
    </row>
    <row r="74" spans="1:23">
      <c r="A74" s="9">
        <v>337</v>
      </c>
      <c r="B74" s="9">
        <v>9963</v>
      </c>
      <c r="C74" s="9" t="s">
        <v>1784</v>
      </c>
      <c r="D74" s="9" t="s">
        <v>1785</v>
      </c>
      <c r="E74" s="5" t="s">
        <v>429</v>
      </c>
      <c r="F74" s="9" t="s">
        <v>1786</v>
      </c>
      <c r="G74" s="9" t="s">
        <v>1787</v>
      </c>
      <c r="H74" s="9" t="s">
        <v>76</v>
      </c>
      <c r="I74" s="9" t="s">
        <v>235</v>
      </c>
      <c r="J74" s="9" t="s">
        <v>61</v>
      </c>
      <c r="K74" s="9" t="s">
        <v>314</v>
      </c>
      <c r="L74" s="9" t="s">
        <v>478</v>
      </c>
      <c r="M74" s="9" t="s">
        <v>757</v>
      </c>
      <c r="N74" s="9" t="s">
        <v>62</v>
      </c>
      <c r="O74" s="9" t="s">
        <v>1215</v>
      </c>
      <c r="P74" s="193">
        <v>2548</v>
      </c>
      <c r="Q74" s="184">
        <v>3.3719999999999999</v>
      </c>
      <c r="R74" s="186">
        <v>27888</v>
      </c>
      <c r="S74" s="192"/>
      <c r="T74" s="170">
        <v>2396.0970000000002</v>
      </c>
      <c r="U74" s="185">
        <v>1.11E-4</v>
      </c>
      <c r="V74" s="185">
        <v>1.22376108384234E-2</v>
      </c>
      <c r="W74" s="185">
        <v>2.15354011675775E-3</v>
      </c>
    </row>
    <row r="75" spans="1:23">
      <c r="A75" s="9">
        <v>337</v>
      </c>
      <c r="B75" s="9">
        <v>9963</v>
      </c>
      <c r="C75" s="9" t="s">
        <v>1788</v>
      </c>
      <c r="D75" s="9" t="s">
        <v>1789</v>
      </c>
      <c r="E75" s="5" t="s">
        <v>429</v>
      </c>
      <c r="F75" s="9" t="s">
        <v>1790</v>
      </c>
      <c r="G75" s="9" t="s">
        <v>1791</v>
      </c>
      <c r="H75" s="9" t="s">
        <v>76</v>
      </c>
      <c r="I75" s="9" t="s">
        <v>235</v>
      </c>
      <c r="J75" s="9" t="s">
        <v>61</v>
      </c>
      <c r="K75" s="9" t="s">
        <v>314</v>
      </c>
      <c r="L75" s="9" t="s">
        <v>475</v>
      </c>
      <c r="M75" s="9" t="s">
        <v>757</v>
      </c>
      <c r="N75" s="9" t="s">
        <v>62</v>
      </c>
      <c r="O75" s="9" t="s">
        <v>1215</v>
      </c>
      <c r="P75" s="193">
        <v>823</v>
      </c>
      <c r="Q75" s="184">
        <v>3.3719999999999999</v>
      </c>
      <c r="R75" s="186">
        <v>56803</v>
      </c>
      <c r="S75" s="194">
        <v>1.004</v>
      </c>
      <c r="T75" s="170">
        <v>1579.758</v>
      </c>
      <c r="U75" s="185">
        <v>9.9999999999999995E-7</v>
      </c>
      <c r="V75" s="185">
        <v>8.0683155169242998E-3</v>
      </c>
      <c r="W75" s="185">
        <v>1.4198393272811399E-3</v>
      </c>
    </row>
    <row r="76" spans="1:23">
      <c r="A76" s="9">
        <v>337</v>
      </c>
      <c r="B76" s="9">
        <v>9964</v>
      </c>
      <c r="C76" s="9" t="s">
        <v>1709</v>
      </c>
      <c r="D76" s="9" t="s">
        <v>1710</v>
      </c>
      <c r="E76" s="5" t="s">
        <v>1346</v>
      </c>
      <c r="F76" s="9" t="s">
        <v>1792</v>
      </c>
      <c r="G76" s="9" t="s">
        <v>1793</v>
      </c>
      <c r="H76" s="9" t="s">
        <v>76</v>
      </c>
      <c r="I76" s="9" t="s">
        <v>235</v>
      </c>
      <c r="J76" s="9" t="s">
        <v>53</v>
      </c>
      <c r="K76" s="9" t="s">
        <v>314</v>
      </c>
      <c r="L76" s="9" t="s">
        <v>311</v>
      </c>
      <c r="M76" s="9" t="s">
        <v>1734</v>
      </c>
      <c r="N76" s="9" t="s">
        <v>62</v>
      </c>
      <c r="O76" s="9" t="s">
        <v>1259</v>
      </c>
      <c r="P76" s="193">
        <v>466</v>
      </c>
      <c r="Q76" s="184">
        <v>1</v>
      </c>
      <c r="R76" s="186">
        <v>8961</v>
      </c>
      <c r="S76" s="192"/>
      <c r="T76" s="170">
        <v>41.758000000000003</v>
      </c>
      <c r="U76" s="185">
        <v>5.0000000000000004E-6</v>
      </c>
      <c r="V76" s="185">
        <v>6.4407232488849202E-3</v>
      </c>
      <c r="W76" s="185">
        <v>1.07546067110159E-3</v>
      </c>
    </row>
    <row r="77" spans="1:23">
      <c r="A77" s="9">
        <v>337</v>
      </c>
      <c r="B77" s="9">
        <v>9964</v>
      </c>
      <c r="C77" s="9" t="s">
        <v>1709</v>
      </c>
      <c r="D77" s="9" t="s">
        <v>1710</v>
      </c>
      <c r="E77" s="5" t="s">
        <v>1346</v>
      </c>
      <c r="F77" s="9" t="s">
        <v>1812</v>
      </c>
      <c r="G77" s="9" t="s">
        <v>1813</v>
      </c>
      <c r="H77" s="9" t="s">
        <v>76</v>
      </c>
      <c r="I77" s="9" t="s">
        <v>236</v>
      </c>
      <c r="J77" s="9" t="s">
        <v>53</v>
      </c>
      <c r="K77" s="9" t="s">
        <v>53</v>
      </c>
      <c r="L77" s="9" t="s">
        <v>311</v>
      </c>
      <c r="M77" s="9" t="s">
        <v>1713</v>
      </c>
      <c r="N77" s="9" t="s">
        <v>62</v>
      </c>
      <c r="O77" s="9" t="s">
        <v>1259</v>
      </c>
      <c r="P77" s="193">
        <v>30970</v>
      </c>
      <c r="Q77" s="184">
        <v>1</v>
      </c>
      <c r="R77" s="186">
        <v>433.1</v>
      </c>
      <c r="S77" s="192"/>
      <c r="T77" s="170">
        <v>134.131</v>
      </c>
      <c r="U77" s="185">
        <v>5.8399999999999999E-4</v>
      </c>
      <c r="V77" s="185">
        <v>2.0688148906271801E-2</v>
      </c>
      <c r="W77" s="185">
        <v>3.45447081745682E-3</v>
      </c>
    </row>
    <row r="78" spans="1:23">
      <c r="A78" s="9">
        <v>337</v>
      </c>
      <c r="B78" s="9">
        <v>9964</v>
      </c>
      <c r="C78" s="9" t="s">
        <v>1709</v>
      </c>
      <c r="D78" s="9" t="s">
        <v>1710</v>
      </c>
      <c r="E78" s="5" t="s">
        <v>1346</v>
      </c>
      <c r="F78" s="9" t="s">
        <v>1796</v>
      </c>
      <c r="G78" s="9" t="s">
        <v>1797</v>
      </c>
      <c r="H78" s="9" t="s">
        <v>76</v>
      </c>
      <c r="I78" s="9" t="s">
        <v>236</v>
      </c>
      <c r="J78" s="9" t="s">
        <v>53</v>
      </c>
      <c r="K78" s="9" t="s">
        <v>53</v>
      </c>
      <c r="L78" s="9" t="s">
        <v>311</v>
      </c>
      <c r="M78" s="9" t="s">
        <v>1713</v>
      </c>
      <c r="N78" s="9" t="s">
        <v>62</v>
      </c>
      <c r="O78" s="9" t="s">
        <v>1259</v>
      </c>
      <c r="P78" s="193">
        <v>12861</v>
      </c>
      <c r="Q78" s="184">
        <v>1</v>
      </c>
      <c r="R78" s="186">
        <v>488.99</v>
      </c>
      <c r="S78" s="192"/>
      <c r="T78" s="170">
        <v>62.889000000000003</v>
      </c>
      <c r="U78" s="185">
        <v>6.0999999999999999E-5</v>
      </c>
      <c r="V78" s="185">
        <v>9.69989337481841E-3</v>
      </c>
      <c r="W78" s="185">
        <v>1.6196711821614401E-3</v>
      </c>
    </row>
    <row r="79" spans="1:23">
      <c r="A79" s="9">
        <v>337</v>
      </c>
      <c r="B79" s="9">
        <v>9964</v>
      </c>
      <c r="C79" s="9" t="s">
        <v>1709</v>
      </c>
      <c r="D79" s="9" t="s">
        <v>1710</v>
      </c>
      <c r="E79" s="5" t="s">
        <v>1346</v>
      </c>
      <c r="F79" s="9" t="s">
        <v>1711</v>
      </c>
      <c r="G79" s="9" t="s">
        <v>1712</v>
      </c>
      <c r="H79" s="9" t="s">
        <v>76</v>
      </c>
      <c r="I79" s="9" t="s">
        <v>236</v>
      </c>
      <c r="J79" s="9" t="s">
        <v>53</v>
      </c>
      <c r="K79" s="9" t="s">
        <v>53</v>
      </c>
      <c r="L79" s="9" t="s">
        <v>311</v>
      </c>
      <c r="M79" s="9" t="s">
        <v>1713</v>
      </c>
      <c r="N79" s="9" t="s">
        <v>62</v>
      </c>
      <c r="O79" s="9" t="s">
        <v>1259</v>
      </c>
      <c r="P79" s="193">
        <v>100000</v>
      </c>
      <c r="Q79" s="184">
        <v>1</v>
      </c>
      <c r="R79" s="186">
        <v>482.69</v>
      </c>
      <c r="S79" s="192"/>
      <c r="T79" s="170">
        <v>482.69</v>
      </c>
      <c r="U79" s="185">
        <v>4.06E-4</v>
      </c>
      <c r="V79" s="185">
        <v>7.4449287518308094E-2</v>
      </c>
      <c r="W79" s="185">
        <v>1.2431411446119299E-2</v>
      </c>
    </row>
    <row r="80" spans="1:23">
      <c r="A80" s="9">
        <v>337</v>
      </c>
      <c r="B80" s="9">
        <v>9964</v>
      </c>
      <c r="C80" s="9" t="s">
        <v>1709</v>
      </c>
      <c r="D80" s="9" t="s">
        <v>1710</v>
      </c>
      <c r="E80" s="5" t="s">
        <v>1346</v>
      </c>
      <c r="F80" s="9" t="s">
        <v>1727</v>
      </c>
      <c r="G80" s="9" t="s">
        <v>1728</v>
      </c>
      <c r="H80" s="9" t="s">
        <v>76</v>
      </c>
      <c r="I80" s="9" t="s">
        <v>235</v>
      </c>
      <c r="J80" s="9" t="s">
        <v>53</v>
      </c>
      <c r="K80" s="9" t="s">
        <v>314</v>
      </c>
      <c r="L80" s="9" t="s">
        <v>311</v>
      </c>
      <c r="M80" s="9" t="s">
        <v>1729</v>
      </c>
      <c r="N80" s="9" t="s">
        <v>62</v>
      </c>
      <c r="O80" s="9" t="s">
        <v>1259</v>
      </c>
      <c r="P80" s="193">
        <v>5754</v>
      </c>
      <c r="Q80" s="184">
        <v>1</v>
      </c>
      <c r="R80" s="186">
        <v>7820</v>
      </c>
      <c r="S80" s="192"/>
      <c r="T80" s="170">
        <v>449.96300000000002</v>
      </c>
      <c r="U80" s="185">
        <v>2.3599999999999999E-4</v>
      </c>
      <c r="V80" s="185">
        <v>6.9401499657633203E-2</v>
      </c>
      <c r="W80" s="185">
        <v>1.15885406829392E-2</v>
      </c>
    </row>
    <row r="81" spans="1:23">
      <c r="A81" s="9">
        <v>337</v>
      </c>
      <c r="B81" s="9">
        <v>9964</v>
      </c>
      <c r="C81" s="9" t="s">
        <v>1709</v>
      </c>
      <c r="D81" s="9" t="s">
        <v>1710</v>
      </c>
      <c r="E81" s="5" t="s">
        <v>1346</v>
      </c>
      <c r="F81" s="9" t="s">
        <v>1804</v>
      </c>
      <c r="G81" s="9" t="s">
        <v>1805</v>
      </c>
      <c r="H81" s="9" t="s">
        <v>76</v>
      </c>
      <c r="I81" s="9" t="s">
        <v>235</v>
      </c>
      <c r="J81" s="9" t="s">
        <v>53</v>
      </c>
      <c r="K81" s="9" t="s">
        <v>313</v>
      </c>
      <c r="L81" s="9" t="s">
        <v>311</v>
      </c>
      <c r="M81" s="9" t="s">
        <v>1729</v>
      </c>
      <c r="N81" s="9" t="s">
        <v>62</v>
      </c>
      <c r="O81" s="9" t="s">
        <v>1259</v>
      </c>
      <c r="P81" s="193">
        <v>1057</v>
      </c>
      <c r="Q81" s="184">
        <v>1</v>
      </c>
      <c r="R81" s="186">
        <v>8095</v>
      </c>
      <c r="S81" s="192"/>
      <c r="T81" s="170">
        <v>85.563999999999993</v>
      </c>
      <c r="U81" s="185">
        <v>2.5900000000000001E-4</v>
      </c>
      <c r="V81" s="185">
        <v>1.31972694785673E-2</v>
      </c>
      <c r="W81" s="185">
        <v>2.2036569095847699E-3</v>
      </c>
    </row>
    <row r="82" spans="1:23">
      <c r="A82" s="9">
        <v>337</v>
      </c>
      <c r="B82" s="9">
        <v>9964</v>
      </c>
      <c r="C82" s="9" t="s">
        <v>1735</v>
      </c>
      <c r="D82" s="9" t="s">
        <v>1736</v>
      </c>
      <c r="E82" s="5" t="s">
        <v>1346</v>
      </c>
      <c r="F82" s="9" t="s">
        <v>1737</v>
      </c>
      <c r="G82" s="9" t="s">
        <v>1738</v>
      </c>
      <c r="H82" s="9" t="s">
        <v>76</v>
      </c>
      <c r="I82" s="9" t="s">
        <v>235</v>
      </c>
      <c r="J82" s="9" t="s">
        <v>53</v>
      </c>
      <c r="K82" s="9" t="s">
        <v>317</v>
      </c>
      <c r="L82" s="9" t="s">
        <v>311</v>
      </c>
      <c r="M82" s="9" t="s">
        <v>1734</v>
      </c>
      <c r="N82" s="9" t="s">
        <v>62</v>
      </c>
      <c r="O82" s="9" t="s">
        <v>1259</v>
      </c>
      <c r="P82" s="193">
        <v>46837</v>
      </c>
      <c r="Q82" s="184">
        <v>1</v>
      </c>
      <c r="R82" s="186">
        <v>864.7</v>
      </c>
      <c r="S82" s="192"/>
      <c r="T82" s="170">
        <v>405</v>
      </c>
      <c r="U82" s="185">
        <v>9.2999999999999997E-5</v>
      </c>
      <c r="V82" s="185">
        <v>6.2466442486468002E-2</v>
      </c>
      <c r="W82" s="185">
        <v>1.0430537000554499E-2</v>
      </c>
    </row>
    <row r="83" spans="1:23">
      <c r="A83" s="9">
        <v>337</v>
      </c>
      <c r="B83" s="9">
        <v>9964</v>
      </c>
      <c r="C83" s="9" t="s">
        <v>1735</v>
      </c>
      <c r="D83" s="9" t="s">
        <v>1736</v>
      </c>
      <c r="E83" s="5" t="s">
        <v>1346</v>
      </c>
      <c r="F83" s="9" t="s">
        <v>1739</v>
      </c>
      <c r="G83" s="9" t="s">
        <v>1740</v>
      </c>
      <c r="H83" s="9" t="s">
        <v>76</v>
      </c>
      <c r="I83" s="9" t="s">
        <v>234</v>
      </c>
      <c r="J83" s="9" t="s">
        <v>53</v>
      </c>
      <c r="K83" s="9" t="s">
        <v>53</v>
      </c>
      <c r="L83" s="9" t="s">
        <v>311</v>
      </c>
      <c r="M83" s="9" t="s">
        <v>1708</v>
      </c>
      <c r="N83" s="9" t="s">
        <v>62</v>
      </c>
      <c r="O83" s="9" t="s">
        <v>1259</v>
      </c>
      <c r="P83" s="193">
        <v>2513</v>
      </c>
      <c r="Q83" s="184">
        <v>1</v>
      </c>
      <c r="R83" s="186">
        <v>3032</v>
      </c>
      <c r="S83" s="192"/>
      <c r="T83" s="170">
        <v>76.194000000000003</v>
      </c>
      <c r="U83" s="185">
        <v>1.0000000000000001E-5</v>
      </c>
      <c r="V83" s="185">
        <v>1.1752058101589E-2</v>
      </c>
      <c r="W83" s="185">
        <v>1.9623380487506399E-3</v>
      </c>
    </row>
    <row r="84" spans="1:23">
      <c r="A84" s="9">
        <v>337</v>
      </c>
      <c r="B84" s="9">
        <v>9964</v>
      </c>
      <c r="C84" s="9" t="s">
        <v>1735</v>
      </c>
      <c r="D84" s="9" t="s">
        <v>1736</v>
      </c>
      <c r="E84" s="5" t="s">
        <v>1346</v>
      </c>
      <c r="F84" s="9" t="s">
        <v>1798</v>
      </c>
      <c r="G84" s="9" t="s">
        <v>1799</v>
      </c>
      <c r="H84" s="9" t="s">
        <v>76</v>
      </c>
      <c r="I84" s="9" t="s">
        <v>236</v>
      </c>
      <c r="J84" s="9" t="s">
        <v>53</v>
      </c>
      <c r="K84" s="9" t="s">
        <v>53</v>
      </c>
      <c r="L84" s="9" t="s">
        <v>311</v>
      </c>
      <c r="M84" s="9" t="s">
        <v>1713</v>
      </c>
      <c r="N84" s="9" t="s">
        <v>62</v>
      </c>
      <c r="O84" s="9" t="s">
        <v>1259</v>
      </c>
      <c r="P84" s="193">
        <v>62014</v>
      </c>
      <c r="Q84" s="184">
        <v>1</v>
      </c>
      <c r="R84" s="186">
        <v>415.44</v>
      </c>
      <c r="S84" s="192"/>
      <c r="T84" s="170">
        <v>257.63099999999997</v>
      </c>
      <c r="U84" s="185">
        <v>2.2699999999999999E-4</v>
      </c>
      <c r="V84" s="185">
        <v>3.9736562874260098E-2</v>
      </c>
      <c r="W84" s="185">
        <v>6.6351415710061796E-3</v>
      </c>
    </row>
    <row r="85" spans="1:23">
      <c r="A85" s="9">
        <v>337</v>
      </c>
      <c r="B85" s="9">
        <v>9964</v>
      </c>
      <c r="C85" s="9" t="s">
        <v>1735</v>
      </c>
      <c r="D85" s="9" t="s">
        <v>1736</v>
      </c>
      <c r="E85" s="5" t="s">
        <v>1346</v>
      </c>
      <c r="F85" s="9" t="s">
        <v>1741</v>
      </c>
      <c r="G85" s="9" t="s">
        <v>1742</v>
      </c>
      <c r="H85" s="9" t="s">
        <v>76</v>
      </c>
      <c r="I85" s="9" t="s">
        <v>235</v>
      </c>
      <c r="J85" s="9" t="s">
        <v>53</v>
      </c>
      <c r="K85" s="9" t="s">
        <v>313</v>
      </c>
      <c r="L85" s="9" t="s">
        <v>311</v>
      </c>
      <c r="M85" s="9" t="s">
        <v>1729</v>
      </c>
      <c r="N85" s="9" t="s">
        <v>62</v>
      </c>
      <c r="O85" s="9" t="s">
        <v>1259</v>
      </c>
      <c r="P85" s="193">
        <v>7898</v>
      </c>
      <c r="Q85" s="184">
        <v>1</v>
      </c>
      <c r="R85" s="186">
        <v>699.4</v>
      </c>
      <c r="S85" s="192"/>
      <c r="T85" s="170">
        <v>55.238999999999997</v>
      </c>
      <c r="U85" s="185">
        <v>3.3000000000000003E-5</v>
      </c>
      <c r="V85" s="185">
        <v>8.5199098943426702E-3</v>
      </c>
      <c r="W85" s="185">
        <v>1.4226396102768801E-3</v>
      </c>
    </row>
    <row r="86" spans="1:23">
      <c r="A86" s="9">
        <v>337</v>
      </c>
      <c r="B86" s="9">
        <v>9964</v>
      </c>
      <c r="C86" s="9" t="s">
        <v>1735</v>
      </c>
      <c r="D86" s="9" t="s">
        <v>1736</v>
      </c>
      <c r="E86" s="5" t="s">
        <v>1346</v>
      </c>
      <c r="F86" s="9" t="s">
        <v>1743</v>
      </c>
      <c r="G86" s="9" t="s">
        <v>1744</v>
      </c>
      <c r="H86" s="9" t="s">
        <v>76</v>
      </c>
      <c r="I86" s="9" t="s">
        <v>235</v>
      </c>
      <c r="J86" s="9" t="s">
        <v>53</v>
      </c>
      <c r="K86" s="9" t="s">
        <v>153</v>
      </c>
      <c r="L86" s="9" t="s">
        <v>311</v>
      </c>
      <c r="M86" s="9" t="s">
        <v>1729</v>
      </c>
      <c r="N86" s="9" t="s">
        <v>62</v>
      </c>
      <c r="O86" s="9" t="s">
        <v>1259</v>
      </c>
      <c r="P86" s="193">
        <v>462</v>
      </c>
      <c r="Q86" s="184">
        <v>1</v>
      </c>
      <c r="R86" s="186">
        <v>20650</v>
      </c>
      <c r="S86" s="192"/>
      <c r="T86" s="170">
        <v>95.403000000000006</v>
      </c>
      <c r="U86" s="185">
        <v>4.0000000000000003E-5</v>
      </c>
      <c r="V86" s="185">
        <v>1.47147970273035E-2</v>
      </c>
      <c r="W86" s="185">
        <v>2.4570509979368201E-3</v>
      </c>
    </row>
    <row r="87" spans="1:23">
      <c r="A87" s="9">
        <v>337</v>
      </c>
      <c r="B87" s="9">
        <v>9964</v>
      </c>
      <c r="C87" s="9" t="s">
        <v>1714</v>
      </c>
      <c r="D87" s="9" t="s">
        <v>1715</v>
      </c>
      <c r="E87" s="5" t="s">
        <v>1346</v>
      </c>
      <c r="F87" s="9" t="s">
        <v>1749</v>
      </c>
      <c r="G87" s="9" t="s">
        <v>1750</v>
      </c>
      <c r="H87" s="9" t="s">
        <v>76</v>
      </c>
      <c r="I87" s="9" t="s">
        <v>235</v>
      </c>
      <c r="J87" s="9" t="s">
        <v>53</v>
      </c>
      <c r="K87" s="9" t="s">
        <v>313</v>
      </c>
      <c r="L87" s="9" t="s">
        <v>311</v>
      </c>
      <c r="M87" s="9" t="s">
        <v>1729</v>
      </c>
      <c r="N87" s="9" t="s">
        <v>62</v>
      </c>
      <c r="O87" s="9" t="s">
        <v>1259</v>
      </c>
      <c r="P87" s="193">
        <v>769</v>
      </c>
      <c r="Q87" s="184">
        <v>1</v>
      </c>
      <c r="R87" s="186">
        <v>7493</v>
      </c>
      <c r="S87" s="192"/>
      <c r="T87" s="170">
        <v>57.621000000000002</v>
      </c>
      <c r="U87" s="185">
        <v>5.5000000000000002E-5</v>
      </c>
      <c r="V87" s="185">
        <v>8.8873916022111695E-3</v>
      </c>
      <c r="W87" s="185">
        <v>1.48400106129563E-3</v>
      </c>
    </row>
    <row r="88" spans="1:23">
      <c r="A88" s="9">
        <v>337</v>
      </c>
      <c r="B88" s="9">
        <v>9964</v>
      </c>
      <c r="C88" s="9" t="s">
        <v>1714</v>
      </c>
      <c r="D88" s="9" t="s">
        <v>1715</v>
      </c>
      <c r="E88" s="5" t="s">
        <v>1346</v>
      </c>
      <c r="F88" s="9" t="s">
        <v>1716</v>
      </c>
      <c r="G88" s="9" t="s">
        <v>1717</v>
      </c>
      <c r="H88" s="9" t="s">
        <v>76</v>
      </c>
      <c r="I88" s="9" t="s">
        <v>236</v>
      </c>
      <c r="J88" s="9" t="s">
        <v>53</v>
      </c>
      <c r="K88" s="9" t="s">
        <v>53</v>
      </c>
      <c r="L88" s="9" t="s">
        <v>311</v>
      </c>
      <c r="M88" s="9" t="s">
        <v>1713</v>
      </c>
      <c r="N88" s="9" t="s">
        <v>62</v>
      </c>
      <c r="O88" s="9" t="s">
        <v>1259</v>
      </c>
      <c r="P88" s="193">
        <v>25920</v>
      </c>
      <c r="Q88" s="184">
        <v>1</v>
      </c>
      <c r="R88" s="186">
        <v>4144.0200000000004</v>
      </c>
      <c r="S88" s="192"/>
      <c r="T88" s="170">
        <v>1074.1300000000001</v>
      </c>
      <c r="U88" s="185">
        <v>4.8000000000000001E-4</v>
      </c>
      <c r="V88" s="185">
        <v>0.16567198825509499</v>
      </c>
      <c r="W88" s="185">
        <v>2.76636180109751E-2</v>
      </c>
    </row>
    <row r="89" spans="1:23">
      <c r="A89" s="9">
        <v>337</v>
      </c>
      <c r="B89" s="9">
        <v>9964</v>
      </c>
      <c r="C89" s="9" t="s">
        <v>1751</v>
      </c>
      <c r="D89" s="9" t="s">
        <v>1752</v>
      </c>
      <c r="E89" s="5" t="s">
        <v>429</v>
      </c>
      <c r="F89" s="9" t="s">
        <v>1753</v>
      </c>
      <c r="G89" s="9" t="s">
        <v>1754</v>
      </c>
      <c r="H89" s="9" t="s">
        <v>76</v>
      </c>
      <c r="I89" s="9" t="s">
        <v>235</v>
      </c>
      <c r="J89" s="9" t="s">
        <v>61</v>
      </c>
      <c r="K89" s="9" t="s">
        <v>1755</v>
      </c>
      <c r="L89" s="9" t="s">
        <v>478</v>
      </c>
      <c r="M89" s="9" t="s">
        <v>757</v>
      </c>
      <c r="N89" s="9" t="s">
        <v>62</v>
      </c>
      <c r="O89" s="9" t="s">
        <v>1215</v>
      </c>
      <c r="P89" s="193">
        <v>1971</v>
      </c>
      <c r="Q89" s="184">
        <v>3.3719999999999999</v>
      </c>
      <c r="R89" s="186">
        <v>6036</v>
      </c>
      <c r="S89" s="192"/>
      <c r="T89" s="170">
        <v>401.16500000000002</v>
      </c>
      <c r="U89" s="185">
        <v>0</v>
      </c>
      <c r="V89" s="185">
        <v>6.1875064648226001E-2</v>
      </c>
      <c r="W89" s="185">
        <v>1.0331789766398701E-2</v>
      </c>
    </row>
    <row r="90" spans="1:23">
      <c r="A90" s="9">
        <v>337</v>
      </c>
      <c r="B90" s="9">
        <v>9964</v>
      </c>
      <c r="C90" s="9" t="s">
        <v>1718</v>
      </c>
      <c r="D90" s="9" t="s">
        <v>1719</v>
      </c>
      <c r="E90" s="5" t="s">
        <v>429</v>
      </c>
      <c r="F90" s="9" t="s">
        <v>1756</v>
      </c>
      <c r="G90" s="9" t="s">
        <v>1757</v>
      </c>
      <c r="H90" s="9" t="s">
        <v>76</v>
      </c>
      <c r="I90" s="9" t="s">
        <v>235</v>
      </c>
      <c r="J90" s="9" t="s">
        <v>61</v>
      </c>
      <c r="K90" s="9" t="s">
        <v>314</v>
      </c>
      <c r="L90" s="9" t="s">
        <v>475</v>
      </c>
      <c r="M90" s="9" t="s">
        <v>757</v>
      </c>
      <c r="N90" s="9" t="s">
        <v>62</v>
      </c>
      <c r="O90" s="9" t="s">
        <v>1215</v>
      </c>
      <c r="P90" s="193">
        <v>446</v>
      </c>
      <c r="Q90" s="184">
        <v>3.3719999999999999</v>
      </c>
      <c r="R90" s="186">
        <v>21579</v>
      </c>
      <c r="S90" s="192"/>
      <c r="T90" s="170">
        <v>324.529</v>
      </c>
      <c r="U90" s="185">
        <v>1.9999999999999999E-6</v>
      </c>
      <c r="V90" s="185">
        <v>5.00548292302379E-2</v>
      </c>
      <c r="W90" s="185">
        <v>8.3580675889384191E-3</v>
      </c>
    </row>
    <row r="91" spans="1:23">
      <c r="A91" s="9">
        <v>337</v>
      </c>
      <c r="B91" s="9">
        <v>9964</v>
      </c>
      <c r="C91" s="9" t="s">
        <v>1718</v>
      </c>
      <c r="D91" s="9" t="s">
        <v>1719</v>
      </c>
      <c r="E91" s="5" t="s">
        <v>429</v>
      </c>
      <c r="F91" s="9" t="s">
        <v>1762</v>
      </c>
      <c r="G91" s="9" t="s">
        <v>1763</v>
      </c>
      <c r="H91" s="9" t="s">
        <v>76</v>
      </c>
      <c r="I91" s="9" t="s">
        <v>235</v>
      </c>
      <c r="J91" s="9" t="s">
        <v>61</v>
      </c>
      <c r="K91" s="9" t="s">
        <v>314</v>
      </c>
      <c r="L91" s="9" t="s">
        <v>484</v>
      </c>
      <c r="M91" s="9" t="s">
        <v>757</v>
      </c>
      <c r="N91" s="9" t="s">
        <v>62</v>
      </c>
      <c r="O91" s="9" t="s">
        <v>1215</v>
      </c>
      <c r="P91" s="193">
        <v>119</v>
      </c>
      <c r="Q91" s="184">
        <v>3.3719999999999999</v>
      </c>
      <c r="R91" s="186">
        <v>10950</v>
      </c>
      <c r="S91" s="192"/>
      <c r="T91" s="170">
        <v>43.939</v>
      </c>
      <c r="U91" s="185">
        <v>9.9999999999999995E-7</v>
      </c>
      <c r="V91" s="185">
        <v>6.7770531377833801E-3</v>
      </c>
      <c r="W91" s="185">
        <v>1.1316204460288699E-3</v>
      </c>
    </row>
    <row r="92" spans="1:23">
      <c r="A92" s="9">
        <v>337</v>
      </c>
      <c r="B92" s="9">
        <v>9964</v>
      </c>
      <c r="C92" s="9" t="s">
        <v>1718</v>
      </c>
      <c r="D92" s="9" t="s">
        <v>1719</v>
      </c>
      <c r="E92" s="5" t="s">
        <v>429</v>
      </c>
      <c r="F92" s="9" t="s">
        <v>1720</v>
      </c>
      <c r="G92" s="9" t="s">
        <v>1721</v>
      </c>
      <c r="H92" s="9" t="s">
        <v>76</v>
      </c>
      <c r="I92" s="9" t="s">
        <v>237</v>
      </c>
      <c r="J92" s="9" t="s">
        <v>61</v>
      </c>
      <c r="K92" s="9" t="s">
        <v>314</v>
      </c>
      <c r="L92" s="9" t="s">
        <v>475</v>
      </c>
      <c r="M92" s="9" t="s">
        <v>758</v>
      </c>
      <c r="N92" s="9" t="s">
        <v>62</v>
      </c>
      <c r="O92" s="9" t="s">
        <v>1215</v>
      </c>
      <c r="P92" s="193">
        <v>396</v>
      </c>
      <c r="Q92" s="184">
        <v>3.3719999999999999</v>
      </c>
      <c r="R92" s="186">
        <v>8065</v>
      </c>
      <c r="S92" s="192"/>
      <c r="T92" s="170">
        <v>107.693</v>
      </c>
      <c r="U92" s="185">
        <v>9.9999999999999995E-7</v>
      </c>
      <c r="V92" s="185">
        <v>1.66103723481557E-2</v>
      </c>
      <c r="W92" s="185">
        <v>2.7735708401828299E-3</v>
      </c>
    </row>
    <row r="93" spans="1:23">
      <c r="A93" s="9">
        <v>337</v>
      </c>
      <c r="B93" s="9">
        <v>9964</v>
      </c>
      <c r="C93" s="9" t="s">
        <v>1766</v>
      </c>
      <c r="D93" s="9" t="s">
        <v>1767</v>
      </c>
      <c r="E93" s="5" t="s">
        <v>429</v>
      </c>
      <c r="F93" s="9" t="s">
        <v>1768</v>
      </c>
      <c r="G93" s="9" t="s">
        <v>1769</v>
      </c>
      <c r="H93" s="9" t="s">
        <v>76</v>
      </c>
      <c r="I93" s="9" t="s">
        <v>235</v>
      </c>
      <c r="J93" s="9" t="s">
        <v>61</v>
      </c>
      <c r="K93" s="9" t="s">
        <v>188</v>
      </c>
      <c r="L93" s="9" t="s">
        <v>475</v>
      </c>
      <c r="M93" s="9" t="s">
        <v>757</v>
      </c>
      <c r="N93" s="9" t="s">
        <v>62</v>
      </c>
      <c r="O93" s="9" t="s">
        <v>1215</v>
      </c>
      <c r="P93" s="193">
        <v>517</v>
      </c>
      <c r="Q93" s="184">
        <v>3.3719999999999999</v>
      </c>
      <c r="R93" s="186">
        <v>3433</v>
      </c>
      <c r="S93" s="192"/>
      <c r="T93" s="170">
        <v>59.847999999999999</v>
      </c>
      <c r="U93" s="185">
        <v>1.9999999999999999E-6</v>
      </c>
      <c r="V93" s="185">
        <v>9.2309023515439598E-3</v>
      </c>
      <c r="W93" s="185">
        <v>1.54135988370304E-3</v>
      </c>
    </row>
    <row r="94" spans="1:23">
      <c r="A94" s="9">
        <v>337</v>
      </c>
      <c r="B94" s="9">
        <v>9964</v>
      </c>
      <c r="C94" s="9" t="s">
        <v>1770</v>
      </c>
      <c r="D94" s="9" t="s">
        <v>1752</v>
      </c>
      <c r="E94" s="5" t="s">
        <v>429</v>
      </c>
      <c r="F94" s="9" t="s">
        <v>1814</v>
      </c>
      <c r="G94" s="9" t="s">
        <v>1815</v>
      </c>
      <c r="H94" s="9" t="s">
        <v>76</v>
      </c>
      <c r="I94" s="9" t="s">
        <v>235</v>
      </c>
      <c r="J94" s="9" t="s">
        <v>61</v>
      </c>
      <c r="K94" s="9" t="s">
        <v>313</v>
      </c>
      <c r="L94" s="9" t="s">
        <v>485</v>
      </c>
      <c r="M94" s="9" t="s">
        <v>757</v>
      </c>
      <c r="N94" s="9" t="s">
        <v>62</v>
      </c>
      <c r="O94" s="9" t="s">
        <v>1239</v>
      </c>
      <c r="P94" s="193">
        <v>107</v>
      </c>
      <c r="Q94" s="184">
        <v>3.9552</v>
      </c>
      <c r="R94" s="186">
        <v>25882</v>
      </c>
      <c r="S94" s="192"/>
      <c r="T94" s="170">
        <v>109.53400000000001</v>
      </c>
      <c r="U94" s="185">
        <v>5.0000000000000004E-6</v>
      </c>
      <c r="V94" s="185">
        <v>1.68943817733621E-2</v>
      </c>
      <c r="W94" s="185">
        <v>2.8209942358526402E-3</v>
      </c>
    </row>
    <row r="95" spans="1:23">
      <c r="A95" s="9">
        <v>337</v>
      </c>
      <c r="B95" s="9">
        <v>9964</v>
      </c>
      <c r="C95" s="9" t="s">
        <v>1718</v>
      </c>
      <c r="D95" s="9" t="s">
        <v>1719</v>
      </c>
      <c r="E95" s="5" t="s">
        <v>429</v>
      </c>
      <c r="F95" s="9" t="s">
        <v>1774</v>
      </c>
      <c r="G95" s="9" t="s">
        <v>1775</v>
      </c>
      <c r="H95" s="9" t="s">
        <v>76</v>
      </c>
      <c r="I95" s="9" t="s">
        <v>235</v>
      </c>
      <c r="J95" s="9" t="s">
        <v>61</v>
      </c>
      <c r="K95" s="9" t="s">
        <v>188</v>
      </c>
      <c r="L95" s="9" t="s">
        <v>478</v>
      </c>
      <c r="M95" s="9" t="s">
        <v>757</v>
      </c>
      <c r="N95" s="9" t="s">
        <v>62</v>
      </c>
      <c r="O95" s="9" t="s">
        <v>1215</v>
      </c>
      <c r="P95" s="193">
        <v>360</v>
      </c>
      <c r="Q95" s="184">
        <v>3.3719999999999999</v>
      </c>
      <c r="R95" s="186">
        <v>5510</v>
      </c>
      <c r="S95" s="192"/>
      <c r="T95" s="170">
        <v>66.887</v>
      </c>
      <c r="U95" s="185">
        <v>1.9999999999999999E-6</v>
      </c>
      <c r="V95" s="185">
        <v>1.0316536283417501E-2</v>
      </c>
      <c r="W95" s="185">
        <v>1.72263713345065E-3</v>
      </c>
    </row>
    <row r="96" spans="1:23">
      <c r="A96" s="9">
        <v>337</v>
      </c>
      <c r="B96" s="9">
        <v>9964</v>
      </c>
      <c r="C96" s="9" t="s">
        <v>1776</v>
      </c>
      <c r="D96" s="9" t="s">
        <v>1777</v>
      </c>
      <c r="E96" s="5" t="s">
        <v>429</v>
      </c>
      <c r="F96" s="9" t="s">
        <v>1778</v>
      </c>
      <c r="G96" s="9" t="s">
        <v>1779</v>
      </c>
      <c r="H96" s="9" t="s">
        <v>76</v>
      </c>
      <c r="I96" s="9" t="s">
        <v>235</v>
      </c>
      <c r="J96" s="9" t="s">
        <v>61</v>
      </c>
      <c r="K96" s="9" t="s">
        <v>314</v>
      </c>
      <c r="L96" s="9" t="s">
        <v>478</v>
      </c>
      <c r="M96" s="9" t="s">
        <v>757</v>
      </c>
      <c r="N96" s="9" t="s">
        <v>62</v>
      </c>
      <c r="O96" s="9" t="s">
        <v>1215</v>
      </c>
      <c r="P96" s="193">
        <v>306</v>
      </c>
      <c r="Q96" s="184">
        <v>3.3719999999999999</v>
      </c>
      <c r="R96" s="186">
        <v>55164</v>
      </c>
      <c r="S96" s="194">
        <v>0.108</v>
      </c>
      <c r="T96" s="170">
        <v>569.56399999999996</v>
      </c>
      <c r="U96" s="185">
        <v>9.9999999999999995E-7</v>
      </c>
      <c r="V96" s="185">
        <v>8.7848620664305696E-2</v>
      </c>
      <c r="W96" s="185">
        <v>1.4668808592472901E-2</v>
      </c>
    </row>
    <row r="97" spans="1:23">
      <c r="A97" s="9">
        <v>337</v>
      </c>
      <c r="B97" s="9">
        <v>9964</v>
      </c>
      <c r="C97" s="9" t="s">
        <v>1776</v>
      </c>
      <c r="D97" s="9" t="s">
        <v>1777</v>
      </c>
      <c r="E97" s="5" t="s">
        <v>429</v>
      </c>
      <c r="F97" s="9" t="s">
        <v>1780</v>
      </c>
      <c r="G97" s="9" t="s">
        <v>1781</v>
      </c>
      <c r="H97" s="9" t="s">
        <v>76</v>
      </c>
      <c r="I97" s="9" t="s">
        <v>235</v>
      </c>
      <c r="J97" s="9" t="s">
        <v>61</v>
      </c>
      <c r="K97" s="9" t="s">
        <v>314</v>
      </c>
      <c r="L97" s="9" t="s">
        <v>493</v>
      </c>
      <c r="M97" s="9" t="s">
        <v>757</v>
      </c>
      <c r="N97" s="9" t="s">
        <v>62</v>
      </c>
      <c r="O97" s="9" t="s">
        <v>1215</v>
      </c>
      <c r="P97" s="193">
        <v>177</v>
      </c>
      <c r="Q97" s="184">
        <v>3.3719999999999999</v>
      </c>
      <c r="R97" s="186">
        <v>122758</v>
      </c>
      <c r="S97" s="192"/>
      <c r="T97" s="170">
        <v>732.67399999999998</v>
      </c>
      <c r="U97" s="185">
        <v>3.4999999999999997E-5</v>
      </c>
      <c r="V97" s="185">
        <v>0.11300635859604601</v>
      </c>
      <c r="W97" s="185">
        <v>1.8869603545765199E-2</v>
      </c>
    </row>
    <row r="98" spans="1:23">
      <c r="A98" s="9">
        <v>337</v>
      </c>
      <c r="B98" s="9">
        <v>9964</v>
      </c>
      <c r="C98" s="9" t="s">
        <v>1722</v>
      </c>
      <c r="D98" s="9" t="s">
        <v>1723</v>
      </c>
      <c r="E98" s="5" t="s">
        <v>429</v>
      </c>
      <c r="F98" s="9" t="s">
        <v>1724</v>
      </c>
      <c r="G98" s="9" t="s">
        <v>1725</v>
      </c>
      <c r="H98" s="9" t="s">
        <v>76</v>
      </c>
      <c r="I98" s="9" t="s">
        <v>237</v>
      </c>
      <c r="J98" s="9" t="s">
        <v>61</v>
      </c>
      <c r="K98" s="9" t="s">
        <v>314</v>
      </c>
      <c r="L98" s="9" t="s">
        <v>1726</v>
      </c>
      <c r="M98" s="9" t="s">
        <v>758</v>
      </c>
      <c r="N98" s="9" t="s">
        <v>62</v>
      </c>
      <c r="O98" s="9" t="s">
        <v>1215</v>
      </c>
      <c r="P98" s="193">
        <v>3009</v>
      </c>
      <c r="Q98" s="184">
        <v>3.3719999999999999</v>
      </c>
      <c r="R98" s="186">
        <v>1125.9000000000001</v>
      </c>
      <c r="S98" s="192"/>
      <c r="T98" s="170">
        <v>114.238</v>
      </c>
      <c r="U98" s="185">
        <v>0</v>
      </c>
      <c r="V98" s="185">
        <v>1.7619834189510301E-2</v>
      </c>
      <c r="W98" s="185">
        <v>2.9421290078610698E-3</v>
      </c>
    </row>
    <row r="99" spans="1:23">
      <c r="A99" s="9">
        <v>337</v>
      </c>
      <c r="B99" s="9">
        <v>9964</v>
      </c>
      <c r="C99" s="9" t="s">
        <v>1784</v>
      </c>
      <c r="D99" s="9" t="s">
        <v>1785</v>
      </c>
      <c r="E99" s="5" t="s">
        <v>429</v>
      </c>
      <c r="F99" s="9" t="s">
        <v>1786</v>
      </c>
      <c r="G99" s="9" t="s">
        <v>1787</v>
      </c>
      <c r="H99" s="9" t="s">
        <v>76</v>
      </c>
      <c r="I99" s="9" t="s">
        <v>235</v>
      </c>
      <c r="J99" s="9" t="s">
        <v>61</v>
      </c>
      <c r="K99" s="9" t="s">
        <v>314</v>
      </c>
      <c r="L99" s="9" t="s">
        <v>478</v>
      </c>
      <c r="M99" s="9" t="s">
        <v>757</v>
      </c>
      <c r="N99" s="9" t="s">
        <v>62</v>
      </c>
      <c r="O99" s="9" t="s">
        <v>1215</v>
      </c>
      <c r="P99" s="193">
        <v>79</v>
      </c>
      <c r="Q99" s="184">
        <v>3.3719999999999999</v>
      </c>
      <c r="R99" s="186">
        <v>27888</v>
      </c>
      <c r="S99" s="192"/>
      <c r="T99" s="170">
        <v>74.290000000000006</v>
      </c>
      <c r="U99" s="185">
        <v>3.0000000000000001E-6</v>
      </c>
      <c r="V99" s="185">
        <v>1.14584077162148E-2</v>
      </c>
      <c r="W99" s="185">
        <v>1.9133048224622201E-3</v>
      </c>
    </row>
    <row r="100" spans="1:23">
      <c r="A100" s="9">
        <v>337</v>
      </c>
      <c r="B100" s="9">
        <v>9964</v>
      </c>
      <c r="C100" s="9" t="s">
        <v>1788</v>
      </c>
      <c r="D100" s="9" t="s">
        <v>1789</v>
      </c>
      <c r="E100" s="5" t="s">
        <v>429</v>
      </c>
      <c r="F100" s="9" t="s">
        <v>1790</v>
      </c>
      <c r="G100" s="9" t="s">
        <v>1791</v>
      </c>
      <c r="H100" s="9" t="s">
        <v>76</v>
      </c>
      <c r="I100" s="9" t="s">
        <v>235</v>
      </c>
      <c r="J100" s="9" t="s">
        <v>61</v>
      </c>
      <c r="K100" s="9" t="s">
        <v>314</v>
      </c>
      <c r="L100" s="9" t="s">
        <v>475</v>
      </c>
      <c r="M100" s="9" t="s">
        <v>757</v>
      </c>
      <c r="N100" s="9" t="s">
        <v>62</v>
      </c>
      <c r="O100" s="9" t="s">
        <v>1215</v>
      </c>
      <c r="P100" s="193">
        <v>313</v>
      </c>
      <c r="Q100" s="184">
        <v>3.3719999999999999</v>
      </c>
      <c r="R100" s="186">
        <v>56803</v>
      </c>
      <c r="S100" s="194">
        <v>0.40899999999999997</v>
      </c>
      <c r="T100" s="170">
        <v>600.899</v>
      </c>
      <c r="U100" s="185">
        <v>0</v>
      </c>
      <c r="V100" s="185">
        <v>9.2681666635443402E-2</v>
      </c>
      <c r="W100" s="185">
        <v>1.54758221315944E-2</v>
      </c>
    </row>
    <row r="101" spans="1:23">
      <c r="A101" s="9">
        <v>337</v>
      </c>
      <c r="B101" s="9">
        <v>15372</v>
      </c>
      <c r="C101" s="9" t="s">
        <v>1709</v>
      </c>
      <c r="D101" s="9" t="s">
        <v>1710</v>
      </c>
      <c r="E101" s="5" t="s">
        <v>1346</v>
      </c>
      <c r="F101" s="9" t="s">
        <v>1792</v>
      </c>
      <c r="G101" s="9" t="s">
        <v>1793</v>
      </c>
      <c r="H101" s="9" t="s">
        <v>76</v>
      </c>
      <c r="I101" s="9" t="s">
        <v>235</v>
      </c>
      <c r="J101" s="9" t="s">
        <v>53</v>
      </c>
      <c r="K101" s="9" t="s">
        <v>314</v>
      </c>
      <c r="L101" s="9" t="s">
        <v>311</v>
      </c>
      <c r="M101" s="9" t="s">
        <v>1734</v>
      </c>
      <c r="N101" s="9" t="s">
        <v>62</v>
      </c>
      <c r="O101" s="9" t="s">
        <v>1259</v>
      </c>
      <c r="P101" s="193">
        <v>8550</v>
      </c>
      <c r="Q101" s="184">
        <v>1</v>
      </c>
      <c r="R101" s="186">
        <v>8961</v>
      </c>
      <c r="S101" s="192"/>
      <c r="T101" s="170">
        <v>766.16499999999996</v>
      </c>
      <c r="U101" s="185">
        <v>9.7999999999999997E-5</v>
      </c>
      <c r="V101" s="185">
        <v>0.116269050881287</v>
      </c>
      <c r="W101" s="185">
        <v>0.115766973223415</v>
      </c>
    </row>
    <row r="102" spans="1:23">
      <c r="A102" s="9">
        <v>337</v>
      </c>
      <c r="B102" s="9">
        <v>15372</v>
      </c>
      <c r="C102" s="9" t="s">
        <v>1730</v>
      </c>
      <c r="D102" s="9" t="s">
        <v>1731</v>
      </c>
      <c r="E102" s="5" t="s">
        <v>1346</v>
      </c>
      <c r="F102" s="9" t="s">
        <v>1732</v>
      </c>
      <c r="G102" s="9" t="s">
        <v>1733</v>
      </c>
      <c r="H102" s="9" t="s">
        <v>76</v>
      </c>
      <c r="I102" s="9" t="s">
        <v>235</v>
      </c>
      <c r="J102" s="9" t="s">
        <v>53</v>
      </c>
      <c r="K102" s="9" t="s">
        <v>314</v>
      </c>
      <c r="L102" s="9" t="s">
        <v>311</v>
      </c>
      <c r="M102" s="9" t="s">
        <v>1734</v>
      </c>
      <c r="N102" s="9" t="s">
        <v>62</v>
      </c>
      <c r="O102" s="9" t="s">
        <v>1259</v>
      </c>
      <c r="P102" s="193">
        <v>3467</v>
      </c>
      <c r="Q102" s="184">
        <v>1</v>
      </c>
      <c r="R102" s="186">
        <v>20650</v>
      </c>
      <c r="S102" s="192"/>
      <c r="T102" s="170">
        <v>715.93600000000004</v>
      </c>
      <c r="U102" s="185">
        <v>3.4999999999999997E-5</v>
      </c>
      <c r="V102" s="185">
        <v>0.10864642309947301</v>
      </c>
      <c r="W102" s="185">
        <v>0.108177261777243</v>
      </c>
    </row>
    <row r="103" spans="1:23">
      <c r="A103" s="9">
        <v>337</v>
      </c>
      <c r="B103" s="9">
        <v>15372</v>
      </c>
      <c r="C103" s="9" t="s">
        <v>1735</v>
      </c>
      <c r="D103" s="9" t="s">
        <v>1736</v>
      </c>
      <c r="E103" s="5" t="s">
        <v>1346</v>
      </c>
      <c r="F103" s="9" t="s">
        <v>1816</v>
      </c>
      <c r="G103" s="9" t="s">
        <v>1817</v>
      </c>
      <c r="H103" s="9" t="s">
        <v>76</v>
      </c>
      <c r="I103" s="9" t="s">
        <v>235</v>
      </c>
      <c r="J103" s="9" t="s">
        <v>53</v>
      </c>
      <c r="K103" s="9" t="s">
        <v>314</v>
      </c>
      <c r="L103" s="9" t="s">
        <v>311</v>
      </c>
      <c r="M103" s="9" t="s">
        <v>1734</v>
      </c>
      <c r="N103" s="9" t="s">
        <v>62</v>
      </c>
      <c r="O103" s="9" t="s">
        <v>1259</v>
      </c>
      <c r="P103" s="193">
        <v>29016</v>
      </c>
      <c r="Q103" s="184">
        <v>1</v>
      </c>
      <c r="R103" s="186">
        <v>2432</v>
      </c>
      <c r="S103" s="192"/>
      <c r="T103" s="170">
        <v>705.66899999999998</v>
      </c>
      <c r="U103" s="185">
        <v>7.7000000000000001E-5</v>
      </c>
      <c r="V103" s="185">
        <v>0.107088453889705</v>
      </c>
      <c r="W103" s="185">
        <v>0.106626020252322</v>
      </c>
    </row>
    <row r="104" spans="1:23">
      <c r="A104" s="9">
        <v>337</v>
      </c>
      <c r="B104" s="9">
        <v>15372</v>
      </c>
      <c r="C104" s="9" t="s">
        <v>1745</v>
      </c>
      <c r="D104" s="9" t="s">
        <v>1746</v>
      </c>
      <c r="E104" s="5" t="s">
        <v>1346</v>
      </c>
      <c r="F104" s="9" t="s">
        <v>1818</v>
      </c>
      <c r="G104" s="9" t="s">
        <v>1819</v>
      </c>
      <c r="H104" s="9" t="s">
        <v>76</v>
      </c>
      <c r="I104" s="9" t="s">
        <v>235</v>
      </c>
      <c r="J104" s="9" t="s">
        <v>53</v>
      </c>
      <c r="K104" s="9" t="s">
        <v>314</v>
      </c>
      <c r="L104" s="9" t="s">
        <v>311</v>
      </c>
      <c r="M104" s="9" t="s">
        <v>1734</v>
      </c>
      <c r="N104" s="9" t="s">
        <v>62</v>
      </c>
      <c r="O104" s="9" t="s">
        <v>1259</v>
      </c>
      <c r="P104" s="193">
        <v>7300</v>
      </c>
      <c r="Q104" s="184">
        <v>1</v>
      </c>
      <c r="R104" s="186">
        <v>10390</v>
      </c>
      <c r="S104" s="192"/>
      <c r="T104" s="170">
        <v>758.47</v>
      </c>
      <c r="U104" s="185">
        <v>1.07E-4</v>
      </c>
      <c r="V104" s="185">
        <v>0.11510122424192901</v>
      </c>
      <c r="W104" s="185">
        <v>0.11460418953967901</v>
      </c>
    </row>
    <row r="105" spans="1:23">
      <c r="A105" s="9">
        <v>337</v>
      </c>
      <c r="B105" s="9">
        <v>15372</v>
      </c>
      <c r="C105" s="9" t="s">
        <v>1714</v>
      </c>
      <c r="D105" s="9" t="s">
        <v>1715</v>
      </c>
      <c r="E105" s="5" t="s">
        <v>1346</v>
      </c>
      <c r="F105" s="9" t="s">
        <v>1820</v>
      </c>
      <c r="G105" s="9" t="s">
        <v>1821</v>
      </c>
      <c r="H105" s="9" t="s">
        <v>76</v>
      </c>
      <c r="I105" s="9" t="s">
        <v>235</v>
      </c>
      <c r="J105" s="9" t="s">
        <v>53</v>
      </c>
      <c r="K105" s="9" t="s">
        <v>314</v>
      </c>
      <c r="L105" s="9" t="s">
        <v>311</v>
      </c>
      <c r="M105" s="9" t="s">
        <v>1734</v>
      </c>
      <c r="N105" s="9" t="s">
        <v>62</v>
      </c>
      <c r="O105" s="9" t="s">
        <v>1259</v>
      </c>
      <c r="P105" s="193">
        <v>3187</v>
      </c>
      <c r="Q105" s="184">
        <v>1</v>
      </c>
      <c r="R105" s="186">
        <v>22980</v>
      </c>
      <c r="S105" s="192"/>
      <c r="T105" s="170">
        <v>732.37300000000005</v>
      </c>
      <c r="U105" s="185">
        <v>1.0900000000000001E-4</v>
      </c>
      <c r="V105" s="185">
        <v>0.111140826744953</v>
      </c>
      <c r="W105" s="185">
        <v>0.110660893989305</v>
      </c>
    </row>
    <row r="106" spans="1:23">
      <c r="A106" s="9">
        <v>337</v>
      </c>
      <c r="B106" s="9">
        <v>15372</v>
      </c>
      <c r="C106" s="9" t="s">
        <v>1718</v>
      </c>
      <c r="D106" s="9" t="s">
        <v>1719</v>
      </c>
      <c r="E106" s="5" t="s">
        <v>429</v>
      </c>
      <c r="F106" s="9" t="s">
        <v>1764</v>
      </c>
      <c r="G106" s="9" t="s">
        <v>1765</v>
      </c>
      <c r="H106" s="9" t="s">
        <v>76</v>
      </c>
      <c r="I106" s="9" t="s">
        <v>235</v>
      </c>
      <c r="J106" s="9" t="s">
        <v>61</v>
      </c>
      <c r="K106" s="9" t="s">
        <v>314</v>
      </c>
      <c r="L106" s="9" t="s">
        <v>475</v>
      </c>
      <c r="M106" s="9" t="s">
        <v>757</v>
      </c>
      <c r="N106" s="9" t="s">
        <v>62</v>
      </c>
      <c r="O106" s="9" t="s">
        <v>1215</v>
      </c>
      <c r="P106" s="193">
        <v>417</v>
      </c>
      <c r="Q106" s="184">
        <v>3.3719999999999999</v>
      </c>
      <c r="R106" s="186">
        <v>62090</v>
      </c>
      <c r="S106" s="192"/>
      <c r="T106" s="170">
        <v>873.06200000000001</v>
      </c>
      <c r="U106" s="185">
        <v>9.9999999999999995E-7</v>
      </c>
      <c r="V106" s="185">
        <v>0.13249113361470599</v>
      </c>
      <c r="W106" s="185">
        <v>0.13191900511146401</v>
      </c>
    </row>
    <row r="107" spans="1:23">
      <c r="A107" s="9">
        <v>337</v>
      </c>
      <c r="B107" s="9">
        <v>15372</v>
      </c>
      <c r="C107" s="9" t="s">
        <v>1776</v>
      </c>
      <c r="D107" s="9" t="s">
        <v>1777</v>
      </c>
      <c r="E107" s="5" t="s">
        <v>429</v>
      </c>
      <c r="F107" s="9" t="s">
        <v>1780</v>
      </c>
      <c r="G107" s="9" t="s">
        <v>1781</v>
      </c>
      <c r="H107" s="9" t="s">
        <v>76</v>
      </c>
      <c r="I107" s="9" t="s">
        <v>235</v>
      </c>
      <c r="J107" s="9" t="s">
        <v>61</v>
      </c>
      <c r="K107" s="9" t="s">
        <v>314</v>
      </c>
      <c r="L107" s="9" t="s">
        <v>493</v>
      </c>
      <c r="M107" s="9" t="s">
        <v>757</v>
      </c>
      <c r="N107" s="9" t="s">
        <v>62</v>
      </c>
      <c r="O107" s="9" t="s">
        <v>1215</v>
      </c>
      <c r="P107" s="193">
        <v>167</v>
      </c>
      <c r="Q107" s="184">
        <v>3.3719999999999999</v>
      </c>
      <c r="R107" s="186">
        <v>122758</v>
      </c>
      <c r="S107" s="192"/>
      <c r="T107" s="170">
        <v>691.28</v>
      </c>
      <c r="U107" s="185">
        <v>3.3000000000000003E-5</v>
      </c>
      <c r="V107" s="185">
        <v>0.10490480396121001</v>
      </c>
      <c r="W107" s="185">
        <v>0.104451799848136</v>
      </c>
    </row>
    <row r="108" spans="1:23">
      <c r="A108" s="9">
        <v>337</v>
      </c>
      <c r="B108" s="9">
        <v>15372</v>
      </c>
      <c r="C108" s="9" t="s">
        <v>1722</v>
      </c>
      <c r="D108" s="9" t="s">
        <v>1723</v>
      </c>
      <c r="E108" s="5" t="s">
        <v>429</v>
      </c>
      <c r="F108" s="9" t="s">
        <v>1782</v>
      </c>
      <c r="G108" s="9" t="s">
        <v>1783</v>
      </c>
      <c r="H108" s="9" t="s">
        <v>76</v>
      </c>
      <c r="I108" s="9" t="s">
        <v>235</v>
      </c>
      <c r="J108" s="9" t="s">
        <v>61</v>
      </c>
      <c r="K108" s="9" t="s">
        <v>314</v>
      </c>
      <c r="L108" s="9" t="s">
        <v>475</v>
      </c>
      <c r="M108" s="9" t="s">
        <v>757</v>
      </c>
      <c r="N108" s="9" t="s">
        <v>62</v>
      </c>
      <c r="O108" s="9" t="s">
        <v>1215</v>
      </c>
      <c r="P108" s="193">
        <v>245</v>
      </c>
      <c r="Q108" s="184">
        <v>3.3719999999999999</v>
      </c>
      <c r="R108" s="186">
        <v>61785</v>
      </c>
      <c r="S108" s="194">
        <v>0.32300000000000001</v>
      </c>
      <c r="T108" s="170">
        <v>511.52100000000002</v>
      </c>
      <c r="U108" s="185">
        <v>0</v>
      </c>
      <c r="V108" s="185">
        <v>7.7625576939261698E-2</v>
      </c>
      <c r="W108" s="185">
        <v>7.7290371073511402E-2</v>
      </c>
    </row>
    <row r="109" spans="1:23">
      <c r="A109" s="9">
        <v>337</v>
      </c>
      <c r="B109" s="9">
        <v>15372</v>
      </c>
      <c r="C109" s="9" t="s">
        <v>1788</v>
      </c>
      <c r="D109" s="9" t="s">
        <v>1789</v>
      </c>
      <c r="E109" s="5" t="s">
        <v>429</v>
      </c>
      <c r="F109" s="9" t="s">
        <v>1790</v>
      </c>
      <c r="G109" s="9" t="s">
        <v>1791</v>
      </c>
      <c r="H109" s="9" t="s">
        <v>76</v>
      </c>
      <c r="I109" s="9" t="s">
        <v>235</v>
      </c>
      <c r="J109" s="9" t="s">
        <v>61</v>
      </c>
      <c r="K109" s="9" t="s">
        <v>314</v>
      </c>
      <c r="L109" s="9" t="s">
        <v>475</v>
      </c>
      <c r="M109" s="9" t="s">
        <v>757</v>
      </c>
      <c r="N109" s="9" t="s">
        <v>62</v>
      </c>
      <c r="O109" s="9" t="s">
        <v>1215</v>
      </c>
      <c r="P109" s="193">
        <v>435</v>
      </c>
      <c r="Q109" s="184">
        <v>3.3719999999999999</v>
      </c>
      <c r="R109" s="186">
        <v>56803</v>
      </c>
      <c r="S109" s="194">
        <v>0.56899999999999995</v>
      </c>
      <c r="T109" s="170">
        <v>835.11500000000001</v>
      </c>
      <c r="U109" s="185">
        <v>9.9999999999999995E-7</v>
      </c>
      <c r="V109" s="185">
        <v>0.12673250662747601</v>
      </c>
      <c r="W109" s="185">
        <v>0.126185245257219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329DBFAC-114E-4D3C-8EB7-5AAF7E21D8EA}">
      <formula1>israel_abroad</formula1>
    </dataValidation>
    <dataValidation type="list" allowBlank="1" showInputMessage="1" showErrorMessage="1" sqref="N2:N20" xr:uid="{388B7690-A951-479D-81CD-F435FA93C14E}">
      <formula1>Holding_interest</formula1>
    </dataValidation>
    <dataValidation type="list" allowBlank="1" showInputMessage="1" showErrorMessage="1" sqref="K3:K20" xr:uid="{77724431-1683-47F3-A2C9-8FDD4BBD656D}">
      <formula1>Country_list</formula1>
    </dataValidation>
    <dataValidation type="list" allowBlank="1" showInputMessage="1" showErrorMessage="1" sqref="M2:M20" xr:uid="{11D15D89-3EC9-4F5E-B064-FF62B91F63E5}">
      <formula1>Fund_type</formula1>
    </dataValidation>
    <dataValidation type="list" allowBlank="1" showInputMessage="1" showErrorMessage="1" sqref="E2:E20" xr:uid="{3B70C5A2-0A47-4B73-90FF-F9AEB36A390F}">
      <formula1>Issuer_Type_TFunds</formula1>
    </dataValidation>
    <dataValidation type="list" allowBlank="1" showInputMessage="1" showErrorMessage="1" sqref="H2:H20" xr:uid="{59DB5B97-8CCC-4AA2-BCC6-901A323E1127}">
      <formula1>Security_ID_Number_Type</formula1>
    </dataValidation>
    <dataValidation type="list" allowBlank="1" showInputMessage="1" showErrorMessage="1" sqref="K2" xr:uid="{29536AEC-5472-4328-81BF-E80A58BEC2B8}">
      <formula1>Country_list_funds</formula1>
    </dataValidation>
    <dataValidation type="list" allowBlank="1" showInputMessage="1" showErrorMessage="1" sqref="L2:L20" xr:uid="{01517006-50AD-46E1-A372-C76685CDE993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:W6"/>
    </sheetView>
  </sheetViews>
  <sheetFormatPr defaultColWidth="0" defaultRowHeight="14.25" zeroHeight="1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16384" width="0" style="5" hidden="1"/>
  </cols>
  <sheetData>
    <row r="1" spans="1:23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5</v>
      </c>
      <c r="N1" s="22" t="s">
        <v>300</v>
      </c>
      <c r="O1" s="22" t="s">
        <v>604</v>
      </c>
      <c r="P1" s="22" t="s">
        <v>396</v>
      </c>
      <c r="Q1" s="22" t="s">
        <v>771</v>
      </c>
      <c r="R1" s="22" t="s">
        <v>11</v>
      </c>
      <c r="S1" s="22" t="s">
        <v>15</v>
      </c>
      <c r="T1" s="22" t="s">
        <v>1151</v>
      </c>
      <c r="U1" s="22" t="s">
        <v>18</v>
      </c>
      <c r="V1" s="22" t="s">
        <v>19</v>
      </c>
      <c r="W1" s="22" t="s">
        <v>30</v>
      </c>
    </row>
    <row r="2" spans="1:23">
      <c r="A2" s="168">
        <v>337</v>
      </c>
      <c r="B2" s="168">
        <v>1477</v>
      </c>
      <c r="C2" s="168" t="s">
        <v>1700</v>
      </c>
      <c r="D2" s="168" t="s">
        <v>1701</v>
      </c>
      <c r="E2" s="168" t="s">
        <v>429</v>
      </c>
      <c r="F2" s="168" t="s">
        <v>1702</v>
      </c>
      <c r="G2" s="168" t="s">
        <v>1703</v>
      </c>
      <c r="H2" s="168" t="s">
        <v>76</v>
      </c>
      <c r="I2" s="168" t="s">
        <v>73</v>
      </c>
      <c r="J2" s="168" t="s">
        <v>61</v>
      </c>
      <c r="K2" s="168" t="s">
        <v>157</v>
      </c>
      <c r="L2" s="5" t="s">
        <v>803</v>
      </c>
      <c r="M2" s="168" t="s">
        <v>102</v>
      </c>
      <c r="N2" s="167" t="s">
        <v>757</v>
      </c>
      <c r="O2" s="167" t="s">
        <v>62</v>
      </c>
      <c r="P2" s="168" t="s">
        <v>1215</v>
      </c>
      <c r="Q2" s="188">
        <v>2695.22</v>
      </c>
      <c r="R2" s="189">
        <v>3.3719999999999999</v>
      </c>
      <c r="S2" s="187">
        <v>1512.41</v>
      </c>
      <c r="T2" s="188">
        <v>137.452</v>
      </c>
      <c r="U2" s="190">
        <v>1.17E-4</v>
      </c>
      <c r="V2" s="190">
        <v>1</v>
      </c>
      <c r="W2" s="190">
        <v>7.9112163107697107E-3</v>
      </c>
    </row>
    <row r="3" spans="1:23">
      <c r="A3" s="168">
        <v>337</v>
      </c>
      <c r="B3" s="168">
        <v>9962</v>
      </c>
      <c r="C3" s="168" t="s">
        <v>1700</v>
      </c>
      <c r="D3" s="168" t="s">
        <v>1701</v>
      </c>
      <c r="E3" s="168" t="s">
        <v>429</v>
      </c>
      <c r="F3" s="168" t="s">
        <v>1702</v>
      </c>
      <c r="G3" s="168" t="s">
        <v>1703</v>
      </c>
      <c r="H3" s="168" t="s">
        <v>76</v>
      </c>
      <c r="I3" s="168" t="s">
        <v>73</v>
      </c>
      <c r="J3" s="168" t="s">
        <v>61</v>
      </c>
      <c r="K3" s="168" t="s">
        <v>157</v>
      </c>
      <c r="L3" s="5" t="s">
        <v>803</v>
      </c>
      <c r="M3" s="168" t="s">
        <v>102</v>
      </c>
      <c r="N3" s="167" t="s">
        <v>757</v>
      </c>
      <c r="O3" s="167" t="s">
        <v>62</v>
      </c>
      <c r="P3" s="168" t="s">
        <v>1215</v>
      </c>
      <c r="Q3" s="188">
        <v>4716.63</v>
      </c>
      <c r="R3" s="189">
        <v>3.3719999999999999</v>
      </c>
      <c r="S3" s="187">
        <v>1512.41</v>
      </c>
      <c r="T3" s="188">
        <v>240.541</v>
      </c>
      <c r="U3" s="190">
        <v>2.05E-4</v>
      </c>
      <c r="V3" s="190">
        <v>1</v>
      </c>
      <c r="W3" s="190">
        <v>5.6537700510207196E-3</v>
      </c>
    </row>
    <row r="4" spans="1:23">
      <c r="A4" s="168">
        <v>337</v>
      </c>
      <c r="B4" s="168">
        <v>9963</v>
      </c>
      <c r="C4" s="168" t="s">
        <v>1704</v>
      </c>
      <c r="D4" s="168" t="s">
        <v>1705</v>
      </c>
      <c r="E4" s="168" t="s">
        <v>1346</v>
      </c>
      <c r="F4" s="168" t="s">
        <v>1706</v>
      </c>
      <c r="G4" s="168" t="s">
        <v>1707</v>
      </c>
      <c r="H4" s="168" t="s">
        <v>76</v>
      </c>
      <c r="I4" s="168" t="s">
        <v>73</v>
      </c>
      <c r="J4" s="168" t="s">
        <v>53</v>
      </c>
      <c r="K4" s="168" t="s">
        <v>53</v>
      </c>
      <c r="L4" s="5" t="s">
        <v>803</v>
      </c>
      <c r="M4" s="168" t="s">
        <v>311</v>
      </c>
      <c r="N4" s="167" t="s">
        <v>1708</v>
      </c>
      <c r="O4" s="167" t="s">
        <v>62</v>
      </c>
      <c r="P4" s="168" t="s">
        <v>1259</v>
      </c>
      <c r="Q4" s="188">
        <v>3697494.06</v>
      </c>
      <c r="R4" s="189">
        <v>1</v>
      </c>
      <c r="S4" s="187">
        <v>74.8</v>
      </c>
      <c r="T4" s="188">
        <v>2765.7260000000001</v>
      </c>
      <c r="U4" s="190">
        <v>1.1941E-2</v>
      </c>
      <c r="V4" s="190">
        <v>0.35195993985087598</v>
      </c>
      <c r="W4" s="190">
        <v>2.48575138345892E-3</v>
      </c>
    </row>
    <row r="5" spans="1:23">
      <c r="A5" s="168">
        <v>337</v>
      </c>
      <c r="B5" s="168">
        <v>9963</v>
      </c>
      <c r="C5" s="168" t="s">
        <v>1700</v>
      </c>
      <c r="D5" s="168" t="s">
        <v>1701</v>
      </c>
      <c r="E5" s="168" t="s">
        <v>429</v>
      </c>
      <c r="F5" s="168" t="s">
        <v>1702</v>
      </c>
      <c r="G5" s="168" t="s">
        <v>1703</v>
      </c>
      <c r="H5" s="168" t="s">
        <v>76</v>
      </c>
      <c r="I5" s="168" t="s">
        <v>73</v>
      </c>
      <c r="J5" s="168" t="s">
        <v>61</v>
      </c>
      <c r="K5" s="168" t="s">
        <v>157</v>
      </c>
      <c r="L5" s="5" t="s">
        <v>803</v>
      </c>
      <c r="M5" s="168" t="s">
        <v>102</v>
      </c>
      <c r="N5" s="167" t="s">
        <v>757</v>
      </c>
      <c r="O5" s="167" t="s">
        <v>62</v>
      </c>
      <c r="P5" s="168" t="s">
        <v>1215</v>
      </c>
      <c r="Q5" s="188">
        <v>99852.88</v>
      </c>
      <c r="R5" s="189">
        <v>3.3719999999999999</v>
      </c>
      <c r="S5" s="187">
        <v>1512.41</v>
      </c>
      <c r="T5" s="188">
        <v>5092.3440000000001</v>
      </c>
      <c r="U5" s="190">
        <v>4.3499999999999997E-3</v>
      </c>
      <c r="V5" s="190">
        <v>0.64804006014912396</v>
      </c>
      <c r="W5" s="190">
        <v>4.5768460942884597E-3</v>
      </c>
    </row>
    <row r="6" spans="1:23">
      <c r="A6" s="168">
        <v>337</v>
      </c>
      <c r="B6" s="168">
        <v>9964</v>
      </c>
      <c r="C6" s="168" t="s">
        <v>1700</v>
      </c>
      <c r="D6" s="168" t="s">
        <v>1701</v>
      </c>
      <c r="E6" s="168" t="s">
        <v>429</v>
      </c>
      <c r="F6" s="168" t="s">
        <v>1702</v>
      </c>
      <c r="G6" s="168" t="s">
        <v>1703</v>
      </c>
      <c r="H6" s="168" t="s">
        <v>76</v>
      </c>
      <c r="I6" s="168" t="s">
        <v>73</v>
      </c>
      <c r="J6" s="168" t="s">
        <v>61</v>
      </c>
      <c r="K6" s="168" t="s">
        <v>157</v>
      </c>
      <c r="L6" s="5" t="s">
        <v>803</v>
      </c>
      <c r="M6" s="168" t="s">
        <v>102</v>
      </c>
      <c r="N6" s="167" t="s">
        <v>757</v>
      </c>
      <c r="O6" s="167" t="s">
        <v>62</v>
      </c>
      <c r="P6" s="168" t="s">
        <v>1215</v>
      </c>
      <c r="Q6" s="188">
        <v>2493.08</v>
      </c>
      <c r="R6" s="189">
        <v>3.3719999999999999</v>
      </c>
      <c r="S6" s="187">
        <v>1512.41</v>
      </c>
      <c r="T6" s="188">
        <v>127.143</v>
      </c>
      <c r="U6" s="190">
        <v>1.0900000000000001E-4</v>
      </c>
      <c r="V6" s="190">
        <v>1</v>
      </c>
      <c r="W6" s="190">
        <v>3.2745035081701802E-3</v>
      </c>
    </row>
    <row r="7" spans="1:23" hidden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 hidden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 hidden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 hidden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 hidden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 hidden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 hidden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 hidden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 hidden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 hidden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 hidden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 hidden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 hidden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 hidden="1">
      <c r="E20" s="21"/>
      <c r="H20" s="21"/>
      <c r="I20" s="21"/>
      <c r="J20" s="21"/>
      <c r="K20" s="21"/>
      <c r="L20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I7:I20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D26" sqref="D26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16384" width="0" style="3" hidden="1"/>
  </cols>
  <sheetData>
    <row r="1" spans="1:25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602</v>
      </c>
      <c r="J1" s="22" t="s">
        <v>603</v>
      </c>
      <c r="K1" s="22" t="s">
        <v>607</v>
      </c>
      <c r="L1" s="22" t="s">
        <v>5</v>
      </c>
      <c r="M1" s="22" t="s">
        <v>736</v>
      </c>
      <c r="N1" s="22" t="s">
        <v>9</v>
      </c>
      <c r="O1" s="22" t="s">
        <v>664</v>
      </c>
      <c r="P1" s="22" t="s">
        <v>604</v>
      </c>
      <c r="Q1" s="22" t="s">
        <v>396</v>
      </c>
      <c r="R1" s="22" t="s">
        <v>23</v>
      </c>
      <c r="S1" s="22" t="s">
        <v>611</v>
      </c>
      <c r="T1" s="22" t="s">
        <v>771</v>
      </c>
      <c r="U1" s="22" t="s">
        <v>11</v>
      </c>
      <c r="V1" s="22" t="s">
        <v>15</v>
      </c>
      <c r="W1" s="22" t="s">
        <v>1151</v>
      </c>
      <c r="X1" s="22" t="s">
        <v>19</v>
      </c>
      <c r="Y1" s="22" t="s">
        <v>30</v>
      </c>
    </row>
    <row r="2" spans="1:25">
      <c r="A2" s="167">
        <v>337</v>
      </c>
      <c r="B2" s="167">
        <v>1405</v>
      </c>
      <c r="C2" s="167" t="s">
        <v>1687</v>
      </c>
      <c r="D2" s="167" t="s">
        <v>1688</v>
      </c>
      <c r="E2" s="168" t="s">
        <v>1346</v>
      </c>
      <c r="F2" s="167" t="s">
        <v>1689</v>
      </c>
      <c r="G2" s="167" t="s">
        <v>1690</v>
      </c>
      <c r="H2" s="168" t="s">
        <v>76</v>
      </c>
      <c r="I2" s="168" t="s">
        <v>53</v>
      </c>
      <c r="J2" s="168" t="s">
        <v>53</v>
      </c>
      <c r="K2" s="167" t="s">
        <v>803</v>
      </c>
      <c r="L2" s="168" t="s">
        <v>1691</v>
      </c>
      <c r="M2" s="167" t="s">
        <v>1692</v>
      </c>
      <c r="N2" s="167" t="s">
        <v>633</v>
      </c>
      <c r="O2" s="169" t="s">
        <v>1693</v>
      </c>
      <c r="P2" s="167" t="s">
        <v>62</v>
      </c>
      <c r="Q2" s="168" t="s">
        <v>1259</v>
      </c>
      <c r="R2" s="187">
        <v>58000</v>
      </c>
      <c r="S2" s="188">
        <v>1</v>
      </c>
      <c r="T2" s="172">
        <v>34</v>
      </c>
      <c r="U2" s="171">
        <v>1</v>
      </c>
      <c r="V2" s="178">
        <v>9800</v>
      </c>
      <c r="W2" s="172">
        <v>3.3319999999999999</v>
      </c>
      <c r="X2" s="173">
        <v>1</v>
      </c>
      <c r="Y2" s="173">
        <v>3.6950821292303402E-4</v>
      </c>
    </row>
    <row r="3" spans="1:25">
      <c r="A3" s="167">
        <v>337</v>
      </c>
      <c r="B3" s="167">
        <v>1477</v>
      </c>
      <c r="C3" s="167" t="s">
        <v>1694</v>
      </c>
      <c r="D3" s="167" t="s">
        <v>1695</v>
      </c>
      <c r="E3" s="168" t="s">
        <v>1346</v>
      </c>
      <c r="F3" s="167" t="s">
        <v>1696</v>
      </c>
      <c r="G3" s="167" t="s">
        <v>1697</v>
      </c>
      <c r="H3" s="168" t="s">
        <v>76</v>
      </c>
      <c r="I3" s="168" t="s">
        <v>53</v>
      </c>
      <c r="J3" s="168" t="s">
        <v>53</v>
      </c>
      <c r="K3" s="167" t="s">
        <v>803</v>
      </c>
      <c r="L3" s="168" t="s">
        <v>311</v>
      </c>
      <c r="M3" s="167" t="s">
        <v>1698</v>
      </c>
      <c r="N3" s="167" t="s">
        <v>629</v>
      </c>
      <c r="O3" s="169" t="s">
        <v>1699</v>
      </c>
      <c r="P3" s="167" t="s">
        <v>62</v>
      </c>
      <c r="Q3" s="168" t="s">
        <v>1259</v>
      </c>
      <c r="R3" s="187">
        <v>8000</v>
      </c>
      <c r="S3" s="188">
        <v>0</v>
      </c>
      <c r="T3" s="172">
        <v>102</v>
      </c>
      <c r="U3" s="171">
        <v>1</v>
      </c>
      <c r="V3" s="178">
        <v>327.10000000000002</v>
      </c>
      <c r="W3" s="172">
        <v>0.33400000000000002</v>
      </c>
      <c r="X3" s="173">
        <v>1</v>
      </c>
      <c r="Y3" s="173">
        <v>1.9203157693367501E-5</v>
      </c>
    </row>
    <row r="4" spans="1:25">
      <c r="A4" s="167">
        <v>337</v>
      </c>
      <c r="B4" s="167">
        <v>9962</v>
      </c>
      <c r="C4" s="167" t="s">
        <v>1694</v>
      </c>
      <c r="D4" s="167" t="s">
        <v>1695</v>
      </c>
      <c r="E4" s="168" t="s">
        <v>1346</v>
      </c>
      <c r="F4" s="167" t="s">
        <v>1696</v>
      </c>
      <c r="G4" s="167" t="s">
        <v>1697</v>
      </c>
      <c r="H4" s="168" t="s">
        <v>76</v>
      </c>
      <c r="I4" s="168" t="s">
        <v>53</v>
      </c>
      <c r="J4" s="168" t="s">
        <v>53</v>
      </c>
      <c r="K4" s="167" t="s">
        <v>803</v>
      </c>
      <c r="L4" s="168" t="s">
        <v>311</v>
      </c>
      <c r="M4" s="167" t="s">
        <v>1698</v>
      </c>
      <c r="N4" s="167" t="s">
        <v>629</v>
      </c>
      <c r="O4" s="169" t="s">
        <v>1699</v>
      </c>
      <c r="P4" s="167" t="s">
        <v>62</v>
      </c>
      <c r="Q4" s="168" t="s">
        <v>1259</v>
      </c>
      <c r="R4" s="187">
        <v>8000</v>
      </c>
      <c r="S4" s="188">
        <v>0</v>
      </c>
      <c r="T4" s="172">
        <v>156</v>
      </c>
      <c r="U4" s="171">
        <v>1</v>
      </c>
      <c r="V4" s="178">
        <v>327.10000000000002</v>
      </c>
      <c r="W4" s="172">
        <v>0.51</v>
      </c>
      <c r="X4" s="173">
        <v>4.85686840893957E-2</v>
      </c>
      <c r="Y4" s="173">
        <v>1.19937327726903E-5</v>
      </c>
    </row>
    <row r="5" spans="1:25">
      <c r="A5" s="167">
        <v>337</v>
      </c>
      <c r="B5" s="167">
        <v>9962</v>
      </c>
      <c r="C5" s="167" t="s">
        <v>1687</v>
      </c>
      <c r="D5" s="167" t="s">
        <v>1688</v>
      </c>
      <c r="E5" s="168" t="s">
        <v>1346</v>
      </c>
      <c r="F5" s="167" t="s">
        <v>1689</v>
      </c>
      <c r="G5" s="167" t="s">
        <v>1690</v>
      </c>
      <c r="H5" s="168" t="s">
        <v>76</v>
      </c>
      <c r="I5" s="168" t="s">
        <v>53</v>
      </c>
      <c r="J5" s="168" t="s">
        <v>53</v>
      </c>
      <c r="K5" s="167" t="s">
        <v>803</v>
      </c>
      <c r="L5" s="168" t="s">
        <v>1691</v>
      </c>
      <c r="M5" s="167" t="s">
        <v>1692</v>
      </c>
      <c r="N5" s="167" t="s">
        <v>633</v>
      </c>
      <c r="O5" s="169" t="s">
        <v>1693</v>
      </c>
      <c r="P5" s="167" t="s">
        <v>62</v>
      </c>
      <c r="Q5" s="168" t="s">
        <v>1259</v>
      </c>
      <c r="R5" s="187">
        <v>58000</v>
      </c>
      <c r="S5" s="188">
        <v>1</v>
      </c>
      <c r="T5" s="172">
        <v>102</v>
      </c>
      <c r="U5" s="171">
        <v>1</v>
      </c>
      <c r="V5" s="178">
        <v>9800</v>
      </c>
      <c r="W5" s="172">
        <v>9.9960000000000004</v>
      </c>
      <c r="X5" s="173">
        <v>0.95143131591060404</v>
      </c>
      <c r="Y5" s="173">
        <v>2.3495001292596899E-4</v>
      </c>
    </row>
    <row r="6" spans="1:25">
      <c r="A6" s="167">
        <v>337</v>
      </c>
      <c r="B6" s="167">
        <v>9963</v>
      </c>
      <c r="C6" s="167" t="s">
        <v>1694</v>
      </c>
      <c r="D6" s="167" t="s">
        <v>1695</v>
      </c>
      <c r="E6" s="168" t="s">
        <v>1346</v>
      </c>
      <c r="F6" s="167" t="s">
        <v>1696</v>
      </c>
      <c r="G6" s="167" t="s">
        <v>1697</v>
      </c>
      <c r="H6" s="168" t="s">
        <v>76</v>
      </c>
      <c r="I6" s="168" t="s">
        <v>53</v>
      </c>
      <c r="J6" s="168" t="s">
        <v>53</v>
      </c>
      <c r="K6" s="167" t="s">
        <v>803</v>
      </c>
      <c r="L6" s="168" t="s">
        <v>311</v>
      </c>
      <c r="M6" s="167" t="s">
        <v>1698</v>
      </c>
      <c r="N6" s="167" t="s">
        <v>629</v>
      </c>
      <c r="O6" s="169" t="s">
        <v>1699</v>
      </c>
      <c r="P6" s="167" t="s">
        <v>62</v>
      </c>
      <c r="Q6" s="168" t="s">
        <v>1259</v>
      </c>
      <c r="R6" s="187">
        <v>8000</v>
      </c>
      <c r="S6" s="188">
        <v>0</v>
      </c>
      <c r="T6" s="172">
        <v>5766</v>
      </c>
      <c r="U6" s="171">
        <v>1</v>
      </c>
      <c r="V6" s="178">
        <v>327.10000000000002</v>
      </c>
      <c r="W6" s="172">
        <v>18.861000000000001</v>
      </c>
      <c r="X6" s="173">
        <v>3.8994370483629297E-2</v>
      </c>
      <c r="Y6" s="173">
        <v>1.6951330411551801E-5</v>
      </c>
    </row>
    <row r="7" spans="1:25">
      <c r="A7" s="167">
        <v>337</v>
      </c>
      <c r="B7" s="167">
        <v>9963</v>
      </c>
      <c r="C7" s="167" t="s">
        <v>1687</v>
      </c>
      <c r="D7" s="167" t="s">
        <v>1688</v>
      </c>
      <c r="E7" s="168" t="s">
        <v>1346</v>
      </c>
      <c r="F7" s="167" t="s">
        <v>1689</v>
      </c>
      <c r="G7" s="167" t="s">
        <v>1690</v>
      </c>
      <c r="H7" s="168" t="s">
        <v>76</v>
      </c>
      <c r="I7" s="168" t="s">
        <v>53</v>
      </c>
      <c r="J7" s="168" t="s">
        <v>53</v>
      </c>
      <c r="K7" s="167" t="s">
        <v>803</v>
      </c>
      <c r="L7" s="168" t="s">
        <v>1691</v>
      </c>
      <c r="M7" s="167" t="s">
        <v>1692</v>
      </c>
      <c r="N7" s="167" t="s">
        <v>633</v>
      </c>
      <c r="O7" s="169" t="s">
        <v>1693</v>
      </c>
      <c r="P7" s="167" t="s">
        <v>62</v>
      </c>
      <c r="Q7" s="168" t="s">
        <v>1259</v>
      </c>
      <c r="R7" s="187">
        <v>58000</v>
      </c>
      <c r="S7" s="188">
        <v>1</v>
      </c>
      <c r="T7" s="172">
        <v>4743</v>
      </c>
      <c r="U7" s="171">
        <v>1</v>
      </c>
      <c r="V7" s="178">
        <v>9800</v>
      </c>
      <c r="W7" s="172">
        <v>464.81400000000002</v>
      </c>
      <c r="X7" s="173">
        <v>0.96100562951637103</v>
      </c>
      <c r="Y7" s="173">
        <v>4.1776091654389898E-4</v>
      </c>
    </row>
    <row r="8" spans="1:25">
      <c r="A8" s="167">
        <v>337</v>
      </c>
      <c r="B8" s="167">
        <v>9964</v>
      </c>
      <c r="C8" s="167" t="s">
        <v>1694</v>
      </c>
      <c r="D8" s="167" t="s">
        <v>1695</v>
      </c>
      <c r="E8" s="168" t="s">
        <v>1346</v>
      </c>
      <c r="F8" s="167" t="s">
        <v>1696</v>
      </c>
      <c r="G8" s="167" t="s">
        <v>1697</v>
      </c>
      <c r="H8" s="168" t="s">
        <v>76</v>
      </c>
      <c r="I8" s="168" t="s">
        <v>53</v>
      </c>
      <c r="J8" s="168" t="s">
        <v>53</v>
      </c>
      <c r="K8" s="167" t="s">
        <v>803</v>
      </c>
      <c r="L8" s="168" t="s">
        <v>311</v>
      </c>
      <c r="M8" s="167" t="s">
        <v>1698</v>
      </c>
      <c r="N8" s="167" t="s">
        <v>629</v>
      </c>
      <c r="O8" s="169" t="s">
        <v>1699</v>
      </c>
      <c r="P8" s="167" t="s">
        <v>62</v>
      </c>
      <c r="Q8" s="168" t="s">
        <v>1259</v>
      </c>
      <c r="R8" s="187">
        <v>8000</v>
      </c>
      <c r="S8" s="188">
        <v>0</v>
      </c>
      <c r="T8" s="172">
        <v>204</v>
      </c>
      <c r="U8" s="171">
        <v>1</v>
      </c>
      <c r="V8" s="178">
        <v>327.10000000000002</v>
      </c>
      <c r="W8" s="172">
        <v>0.66700000000000004</v>
      </c>
      <c r="X8" s="173">
        <v>6.2577719959442099E-2</v>
      </c>
      <c r="Y8" s="173">
        <v>1.7185526850384898E-5</v>
      </c>
    </row>
    <row r="9" spans="1:25">
      <c r="A9" s="167">
        <v>337</v>
      </c>
      <c r="B9" s="167">
        <v>9964</v>
      </c>
      <c r="C9" s="167" t="s">
        <v>1687</v>
      </c>
      <c r="D9" s="167" t="s">
        <v>1688</v>
      </c>
      <c r="E9" s="168" t="s">
        <v>1346</v>
      </c>
      <c r="F9" s="167" t="s">
        <v>1689</v>
      </c>
      <c r="G9" s="167" t="s">
        <v>1690</v>
      </c>
      <c r="H9" s="168" t="s">
        <v>76</v>
      </c>
      <c r="I9" s="168" t="s">
        <v>53</v>
      </c>
      <c r="J9" s="168" t="s">
        <v>53</v>
      </c>
      <c r="K9" s="167" t="s">
        <v>803</v>
      </c>
      <c r="L9" s="168" t="s">
        <v>1691</v>
      </c>
      <c r="M9" s="167" t="s">
        <v>1692</v>
      </c>
      <c r="N9" s="167" t="s">
        <v>633</v>
      </c>
      <c r="O9" s="169" t="s">
        <v>1693</v>
      </c>
      <c r="P9" s="167" t="s">
        <v>62</v>
      </c>
      <c r="Q9" s="168" t="s">
        <v>1259</v>
      </c>
      <c r="R9" s="187">
        <v>58000</v>
      </c>
      <c r="S9" s="188">
        <v>1</v>
      </c>
      <c r="T9" s="172">
        <v>102</v>
      </c>
      <c r="U9" s="171">
        <v>1</v>
      </c>
      <c r="V9" s="178">
        <v>9800</v>
      </c>
      <c r="W9" s="172">
        <v>9.9960000000000004</v>
      </c>
      <c r="X9" s="173">
        <v>0.93742228004055805</v>
      </c>
      <c r="Y9" s="173">
        <v>2.5744139885932802E-4</v>
      </c>
    </row>
    <row r="10" spans="1:25" hidden="1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 hidden="1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 hidden="1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 hidden="1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 hidden="1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 hidden="1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 hidden="1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 hidden="1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 hidden="1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 hidden="1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 hidden="1">
      <c r="E20" s="21"/>
      <c r="H20" s="21"/>
      <c r="I20" s="21"/>
      <c r="J20" s="21"/>
      <c r="K20" s="23"/>
      <c r="L20" s="21"/>
      <c r="N20" s="23"/>
      <c r="P20" s="23"/>
    </row>
    <row r="21" spans="1:25" customFormat="1" hidden="1">
      <c r="H21" s="45"/>
      <c r="L21" s="45"/>
    </row>
    <row r="22" spans="1:25" hidden="1">
      <c r="L22" s="5"/>
    </row>
    <row r="23" spans="1:25" hidden="1">
      <c r="H23" s="42"/>
    </row>
    <row r="24" spans="1:25" hidden="1">
      <c r="H24" s="42"/>
    </row>
    <row r="25" spans="1:25" hidden="1">
      <c r="H25" s="42"/>
    </row>
    <row r="26" spans="1:25" hidden="1">
      <c r="H26" s="42"/>
    </row>
    <row r="27" spans="1:25" hidden="1">
      <c r="H27" s="42"/>
    </row>
    <row r="28" spans="1:25" hidden="1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16384" width="0" style="3" hidden="1"/>
  </cols>
  <sheetData>
    <row r="1" spans="1:24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5</v>
      </c>
      <c r="M1" s="22" t="s">
        <v>9</v>
      </c>
      <c r="N1" s="22" t="s">
        <v>10</v>
      </c>
      <c r="O1" s="22" t="s">
        <v>664</v>
      </c>
      <c r="P1" s="22" t="s">
        <v>604</v>
      </c>
      <c r="Q1" s="22" t="s">
        <v>396</v>
      </c>
      <c r="R1" s="22" t="s">
        <v>23</v>
      </c>
      <c r="S1" s="22" t="s">
        <v>771</v>
      </c>
      <c r="T1" s="22" t="s">
        <v>11</v>
      </c>
      <c r="U1" s="22" t="s">
        <v>15</v>
      </c>
      <c r="V1" s="22" t="s">
        <v>1151</v>
      </c>
      <c r="W1" s="22" t="s">
        <v>19</v>
      </c>
      <c r="X1" s="22" t="s">
        <v>30</v>
      </c>
    </row>
    <row r="2" spans="1:24">
      <c r="A2" s="9">
        <v>337</v>
      </c>
      <c r="B2" s="9">
        <v>1405</v>
      </c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9">
        <v>337</v>
      </c>
      <c r="B3" s="9">
        <v>1477</v>
      </c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9">
        <v>337</v>
      </c>
      <c r="B4" s="9">
        <v>9962</v>
      </c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9">
        <v>337</v>
      </c>
      <c r="B5" s="9">
        <v>9963</v>
      </c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9">
        <v>337</v>
      </c>
      <c r="B6" s="9">
        <v>9964</v>
      </c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9">
        <v>337</v>
      </c>
      <c r="B7" s="9">
        <v>15372</v>
      </c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 hidden="1">
      <c r="E20" s="21"/>
      <c r="H20" s="21"/>
      <c r="I20" s="23"/>
      <c r="J20" s="21"/>
      <c r="K20" s="21"/>
      <c r="L20" s="21"/>
      <c r="M20" s="23"/>
      <c r="P20" s="23"/>
    </row>
    <row r="21" spans="1:24" s="42" customFormat="1" hidden="1">
      <c r="E21" s="41"/>
      <c r="H21" s="45"/>
      <c r="L21" s="45"/>
    </row>
    <row r="22" spans="1:24" hidden="1">
      <c r="L22" s="5"/>
    </row>
    <row r="23" spans="1:24" hidden="1">
      <c r="H23" s="42"/>
    </row>
    <row r="24" spans="1:24" hidden="1">
      <c r="H24" s="42"/>
    </row>
    <row r="25" spans="1:24" hidden="1">
      <c r="H25" s="42"/>
    </row>
    <row r="26" spans="1:24" hidden="1">
      <c r="H26" s="42"/>
    </row>
    <row r="27" spans="1:24" hidden="1">
      <c r="H27" s="42"/>
    </row>
    <row r="30" spans="1:24" hidden="1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E23" sqref="E23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6" width="28.5" style="3" customWidth="1"/>
    <col min="7" max="20" width="11.625" style="3" customWidth="1"/>
    <col min="21" max="16384" width="0" style="3" hidden="1"/>
  </cols>
  <sheetData>
    <row r="1" spans="1:20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602</v>
      </c>
      <c r="J1" s="22" t="s">
        <v>603</v>
      </c>
      <c r="K1" s="22" t="s">
        <v>5</v>
      </c>
      <c r="L1" s="22" t="s">
        <v>10</v>
      </c>
      <c r="M1" s="22" t="s">
        <v>604</v>
      </c>
      <c r="N1" s="22" t="s">
        <v>396</v>
      </c>
      <c r="O1" s="22" t="s">
        <v>771</v>
      </c>
      <c r="P1" s="22" t="s">
        <v>11</v>
      </c>
      <c r="Q1" s="22" t="s">
        <v>15</v>
      </c>
      <c r="R1" s="22" t="s">
        <v>1151</v>
      </c>
      <c r="S1" s="22" t="s">
        <v>19</v>
      </c>
      <c r="T1" s="22" t="s">
        <v>30</v>
      </c>
    </row>
    <row r="2" spans="1:20">
      <c r="A2" s="167">
        <v>337</v>
      </c>
      <c r="B2" s="167">
        <v>1477</v>
      </c>
      <c r="C2" s="9" t="s">
        <v>1674</v>
      </c>
      <c r="D2" s="9" t="s">
        <v>1675</v>
      </c>
      <c r="E2" s="168" t="s">
        <v>78</v>
      </c>
      <c r="F2" s="167" t="s">
        <v>1676</v>
      </c>
      <c r="G2" s="167" t="s">
        <v>1677</v>
      </c>
      <c r="H2" s="168" t="s">
        <v>102</v>
      </c>
      <c r="I2" s="168" t="s">
        <v>61</v>
      </c>
      <c r="J2" s="168" t="s">
        <v>314</v>
      </c>
      <c r="K2" s="168" t="s">
        <v>1678</v>
      </c>
      <c r="L2" s="167" t="s">
        <v>97</v>
      </c>
      <c r="M2" s="167" t="s">
        <v>62</v>
      </c>
      <c r="N2" s="168" t="s">
        <v>1215</v>
      </c>
      <c r="O2" s="172">
        <v>15</v>
      </c>
      <c r="P2" s="171">
        <v>3.3719999999999999</v>
      </c>
      <c r="Q2" s="178">
        <v>6253.75</v>
      </c>
      <c r="R2" s="172">
        <v>56.06</v>
      </c>
      <c r="S2" s="173">
        <v>1</v>
      </c>
      <c r="T2" s="173">
        <v>3.2265767594768799E-3</v>
      </c>
    </row>
    <row r="3" spans="1:20">
      <c r="A3" s="167">
        <v>337</v>
      </c>
      <c r="B3" s="167">
        <v>9962</v>
      </c>
      <c r="C3" s="9" t="s">
        <v>1674</v>
      </c>
      <c r="D3" s="9" t="s">
        <v>1675</v>
      </c>
      <c r="E3" s="168" t="s">
        <v>78</v>
      </c>
      <c r="F3" s="167" t="s">
        <v>1676</v>
      </c>
      <c r="G3" s="167" t="s">
        <v>1677</v>
      </c>
      <c r="H3" s="168" t="s">
        <v>102</v>
      </c>
      <c r="I3" s="168" t="s">
        <v>61</v>
      </c>
      <c r="J3" s="168" t="s">
        <v>314</v>
      </c>
      <c r="K3" s="168" t="s">
        <v>1678</v>
      </c>
      <c r="L3" s="167" t="s">
        <v>97</v>
      </c>
      <c r="M3" s="167" t="s">
        <v>62</v>
      </c>
      <c r="N3" s="168" t="s">
        <v>1215</v>
      </c>
      <c r="O3" s="172">
        <v>36</v>
      </c>
      <c r="P3" s="171">
        <v>3.3719999999999999</v>
      </c>
      <c r="Q3" s="178">
        <v>6253.75</v>
      </c>
      <c r="R3" s="172">
        <v>134.54300000000001</v>
      </c>
      <c r="S3" s="173">
        <v>0.86448236305597004</v>
      </c>
      <c r="T3" s="173">
        <v>3.1623543812233602E-3</v>
      </c>
    </row>
    <row r="4" spans="1:20">
      <c r="A4" s="167">
        <v>337</v>
      </c>
      <c r="B4" s="167">
        <v>9962</v>
      </c>
      <c r="C4" s="9" t="s">
        <v>1674</v>
      </c>
      <c r="D4" s="9" t="s">
        <v>1675</v>
      </c>
      <c r="E4" s="168" t="s">
        <v>78</v>
      </c>
      <c r="F4" s="167" t="s">
        <v>1679</v>
      </c>
      <c r="G4" s="167" t="s">
        <v>1680</v>
      </c>
      <c r="H4" s="168" t="s">
        <v>102</v>
      </c>
      <c r="I4" s="168" t="s">
        <v>61</v>
      </c>
      <c r="J4" s="168" t="s">
        <v>314</v>
      </c>
      <c r="K4" s="168" t="s">
        <v>1678</v>
      </c>
      <c r="L4" s="167" t="s">
        <v>97</v>
      </c>
      <c r="M4" s="167" t="s">
        <v>62</v>
      </c>
      <c r="N4" s="168" t="s">
        <v>1215</v>
      </c>
      <c r="O4" s="172">
        <v>2</v>
      </c>
      <c r="P4" s="171">
        <v>3.3719999999999999</v>
      </c>
      <c r="Q4" s="178">
        <v>22893.25</v>
      </c>
      <c r="R4" s="172">
        <v>13.872999999999999</v>
      </c>
      <c r="S4" s="173">
        <v>8.9139007148930097E-2</v>
      </c>
      <c r="T4" s="173">
        <v>3.2607852032843501E-4</v>
      </c>
    </row>
    <row r="5" spans="1:20">
      <c r="A5" s="167">
        <v>337</v>
      </c>
      <c r="B5" s="167">
        <v>9962</v>
      </c>
      <c r="C5" s="9" t="s">
        <v>1674</v>
      </c>
      <c r="D5" s="9" t="s">
        <v>1675</v>
      </c>
      <c r="E5" s="168" t="s">
        <v>78</v>
      </c>
      <c r="F5" s="167" t="s">
        <v>1681</v>
      </c>
      <c r="G5" s="167" t="s">
        <v>1682</v>
      </c>
      <c r="H5" s="168" t="s">
        <v>102</v>
      </c>
      <c r="I5" s="168" t="s">
        <v>61</v>
      </c>
      <c r="J5" s="168" t="s">
        <v>314</v>
      </c>
      <c r="K5" s="168" t="s">
        <v>484</v>
      </c>
      <c r="L5" s="167" t="s">
        <v>382</v>
      </c>
      <c r="M5" s="167" t="s">
        <v>62</v>
      </c>
      <c r="N5" s="168" t="s">
        <v>1215</v>
      </c>
      <c r="O5" s="172">
        <v>1</v>
      </c>
      <c r="P5" s="171">
        <v>3.3719999999999999</v>
      </c>
      <c r="Q5" s="178">
        <v>114.26600000000001</v>
      </c>
      <c r="R5" s="172">
        <v>7.218</v>
      </c>
      <c r="S5" s="173">
        <v>4.63786297950999E-2</v>
      </c>
      <c r="T5" s="173">
        <v>1.6965720689685699E-4</v>
      </c>
    </row>
    <row r="6" spans="1:20">
      <c r="A6" s="167">
        <v>337</v>
      </c>
      <c r="B6" s="167">
        <v>9963</v>
      </c>
      <c r="C6" s="9" t="s">
        <v>1674</v>
      </c>
      <c r="D6" s="9" t="s">
        <v>1675</v>
      </c>
      <c r="E6" s="168" t="s">
        <v>78</v>
      </c>
      <c r="F6" s="167" t="s">
        <v>1683</v>
      </c>
      <c r="G6" s="167" t="s">
        <v>1684</v>
      </c>
      <c r="H6" s="168" t="s">
        <v>102</v>
      </c>
      <c r="I6" s="168" t="s">
        <v>61</v>
      </c>
      <c r="J6" s="168" t="s">
        <v>314</v>
      </c>
      <c r="K6" s="168" t="s">
        <v>1678</v>
      </c>
      <c r="L6" s="167" t="s">
        <v>97</v>
      </c>
      <c r="M6" s="167" t="s">
        <v>62</v>
      </c>
      <c r="N6" s="168" t="s">
        <v>1215</v>
      </c>
      <c r="O6" s="172">
        <v>87</v>
      </c>
      <c r="P6" s="171">
        <v>3.3719999999999999</v>
      </c>
      <c r="Q6" s="178">
        <v>6253.75</v>
      </c>
      <c r="R6" s="172">
        <v>3252.6729999999998</v>
      </c>
      <c r="S6" s="173">
        <v>0.78271746211590298</v>
      </c>
      <c r="T6" s="173">
        <v>2.92340549104355E-3</v>
      </c>
    </row>
    <row r="7" spans="1:20">
      <c r="A7" s="167">
        <v>337</v>
      </c>
      <c r="B7" s="167">
        <v>9963</v>
      </c>
      <c r="C7" s="9" t="s">
        <v>1674</v>
      </c>
      <c r="D7" s="9" t="s">
        <v>1675</v>
      </c>
      <c r="E7" s="168" t="s">
        <v>78</v>
      </c>
      <c r="F7" s="167" t="s">
        <v>1685</v>
      </c>
      <c r="G7" s="167" t="s">
        <v>1686</v>
      </c>
      <c r="H7" s="168" t="s">
        <v>102</v>
      </c>
      <c r="I7" s="168" t="s">
        <v>61</v>
      </c>
      <c r="J7" s="168" t="s">
        <v>314</v>
      </c>
      <c r="K7" s="168" t="s">
        <v>1678</v>
      </c>
      <c r="L7" s="167" t="s">
        <v>97</v>
      </c>
      <c r="M7" s="167" t="s">
        <v>62</v>
      </c>
      <c r="N7" s="168" t="s">
        <v>1215</v>
      </c>
      <c r="O7" s="172">
        <v>10</v>
      </c>
      <c r="P7" s="171">
        <v>3.3719999999999999</v>
      </c>
      <c r="Q7" s="178">
        <v>22893.25</v>
      </c>
      <c r="R7" s="172">
        <v>693.61800000000005</v>
      </c>
      <c r="S7" s="173">
        <v>0.16691094827401601</v>
      </c>
      <c r="T7" s="173">
        <v>6.23402959965254E-4</v>
      </c>
    </row>
    <row r="8" spans="1:20">
      <c r="A8" s="167">
        <v>337</v>
      </c>
      <c r="B8" s="167">
        <v>9963</v>
      </c>
      <c r="C8" s="9" t="s">
        <v>1674</v>
      </c>
      <c r="D8" s="9" t="s">
        <v>1675</v>
      </c>
      <c r="E8" s="168" t="s">
        <v>78</v>
      </c>
      <c r="F8" s="167" t="s">
        <v>1681</v>
      </c>
      <c r="G8" s="167" t="s">
        <v>1682</v>
      </c>
      <c r="H8" s="168" t="s">
        <v>102</v>
      </c>
      <c r="I8" s="168" t="s">
        <v>61</v>
      </c>
      <c r="J8" s="168" t="s">
        <v>314</v>
      </c>
      <c r="K8" s="168" t="s">
        <v>484</v>
      </c>
      <c r="L8" s="167" t="s">
        <v>382</v>
      </c>
      <c r="M8" s="167" t="s">
        <v>62</v>
      </c>
      <c r="N8" s="168" t="s">
        <v>1215</v>
      </c>
      <c r="O8" s="172">
        <v>29</v>
      </c>
      <c r="P8" s="171">
        <v>3.3719999999999999</v>
      </c>
      <c r="Q8" s="178">
        <v>114.26600000000001</v>
      </c>
      <c r="R8" s="172">
        <v>209.32499999999999</v>
      </c>
      <c r="S8" s="173">
        <v>5.0371589610080598E-2</v>
      </c>
      <c r="T8" s="173">
        <v>1.8813504078550399E-4</v>
      </c>
    </row>
    <row r="9" spans="1:20">
      <c r="A9" s="167">
        <v>337</v>
      </c>
      <c r="B9" s="167">
        <v>9964</v>
      </c>
      <c r="C9" s="9" t="s">
        <v>1674</v>
      </c>
      <c r="D9" s="9" t="s">
        <v>1675</v>
      </c>
      <c r="E9" s="168" t="s">
        <v>78</v>
      </c>
      <c r="F9" s="167" t="s">
        <v>1676</v>
      </c>
      <c r="G9" s="167" t="s">
        <v>1677</v>
      </c>
      <c r="H9" s="168" t="s">
        <v>102</v>
      </c>
      <c r="I9" s="168" t="s">
        <v>61</v>
      </c>
      <c r="J9" s="168" t="s">
        <v>314</v>
      </c>
      <c r="K9" s="168" t="s">
        <v>1678</v>
      </c>
      <c r="L9" s="167" t="s">
        <v>97</v>
      </c>
      <c r="M9" s="167" t="s">
        <v>62</v>
      </c>
      <c r="N9" s="168" t="s">
        <v>1215</v>
      </c>
      <c r="O9" s="172">
        <v>6</v>
      </c>
      <c r="P9" s="171">
        <v>3.3719999999999999</v>
      </c>
      <c r="Q9" s="178">
        <v>6253.75</v>
      </c>
      <c r="R9" s="172">
        <v>22.423999999999999</v>
      </c>
      <c r="S9" s="173">
        <v>0.75649024703965395</v>
      </c>
      <c r="T9" s="173">
        <v>5.7751357792546398E-4</v>
      </c>
    </row>
    <row r="10" spans="1:20">
      <c r="A10" s="167">
        <v>337</v>
      </c>
      <c r="B10" s="167">
        <v>9964</v>
      </c>
      <c r="C10" s="9" t="s">
        <v>1674</v>
      </c>
      <c r="D10" s="9" t="s">
        <v>1675</v>
      </c>
      <c r="E10" s="168" t="s">
        <v>78</v>
      </c>
      <c r="F10" s="167" t="s">
        <v>1681</v>
      </c>
      <c r="G10" s="167" t="s">
        <v>1682</v>
      </c>
      <c r="H10" s="168" t="s">
        <v>102</v>
      </c>
      <c r="I10" s="168" t="s">
        <v>61</v>
      </c>
      <c r="J10" s="168" t="s">
        <v>314</v>
      </c>
      <c r="K10" s="168" t="s">
        <v>484</v>
      </c>
      <c r="L10" s="167" t="s">
        <v>382</v>
      </c>
      <c r="M10" s="167" t="s">
        <v>62</v>
      </c>
      <c r="N10" s="168" t="s">
        <v>1215</v>
      </c>
      <c r="O10" s="172">
        <v>1</v>
      </c>
      <c r="P10" s="171">
        <v>3.3719999999999999</v>
      </c>
      <c r="Q10" s="178">
        <v>114.26600000000001</v>
      </c>
      <c r="R10" s="172">
        <v>7.218</v>
      </c>
      <c r="S10" s="173">
        <v>0.24350975296034599</v>
      </c>
      <c r="T10" s="173">
        <v>1.8589821777901101E-4</v>
      </c>
    </row>
    <row r="11" spans="1:20" hidden="1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 hidden="1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 hidden="1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 hidden="1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 hidden="1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 hidden="1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 hidden="1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 hidden="1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 hidden="1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 hidden="1">
      <c r="E20" s="21"/>
      <c r="H20" s="21"/>
      <c r="J20" s="21"/>
      <c r="K20" s="21"/>
      <c r="L20" s="24"/>
      <c r="M20" s="23"/>
    </row>
    <row r="21" spans="1:20" s="42" customFormat="1" hidden="1">
      <c r="E21" s="41"/>
      <c r="H21" s="45"/>
      <c r="K21" s="45"/>
    </row>
    <row r="22" spans="1:20" hidden="1">
      <c r="K22" s="5"/>
    </row>
    <row r="23" spans="1:20" hidden="1">
      <c r="H23" s="42"/>
    </row>
    <row r="24" spans="1:20" hidden="1">
      <c r="H24" s="42"/>
    </row>
    <row r="25" spans="1:20" hidden="1">
      <c r="H25" s="42"/>
    </row>
    <row r="26" spans="1:20" hidden="1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8" width="11.625" style="3" customWidth="1"/>
    <col min="29" max="16384" width="0" style="3" hidden="1"/>
  </cols>
  <sheetData>
    <row r="1" spans="1:28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5</v>
      </c>
      <c r="N1" s="22" t="s">
        <v>10</v>
      </c>
      <c r="O1" s="22" t="s">
        <v>604</v>
      </c>
      <c r="P1" s="22" t="s">
        <v>13</v>
      </c>
      <c r="Q1" s="22" t="s">
        <v>14</v>
      </c>
      <c r="R1" s="22" t="s">
        <v>619</v>
      </c>
      <c r="S1" s="22" t="s">
        <v>6</v>
      </c>
      <c r="T1" s="22" t="s">
        <v>8</v>
      </c>
      <c r="U1" s="22" t="s">
        <v>1144</v>
      </c>
      <c r="V1" s="22" t="s">
        <v>396</v>
      </c>
      <c r="W1" s="22" t="s">
        <v>771</v>
      </c>
      <c r="X1" s="22" t="s">
        <v>11</v>
      </c>
      <c r="Y1" s="22" t="s">
        <v>15</v>
      </c>
      <c r="Z1" s="22" t="s">
        <v>1151</v>
      </c>
      <c r="AA1" s="22" t="s">
        <v>19</v>
      </c>
      <c r="AB1" s="22" t="s">
        <v>30</v>
      </c>
    </row>
    <row r="2" spans="1:28">
      <c r="A2" s="9">
        <v>337</v>
      </c>
      <c r="B2" s="9">
        <v>1405</v>
      </c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9">
        <v>337</v>
      </c>
      <c r="B3" s="9">
        <v>1477</v>
      </c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9">
        <v>337</v>
      </c>
      <c r="B4" s="9">
        <v>9962</v>
      </c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9">
        <v>337</v>
      </c>
      <c r="B5" s="9">
        <v>9963</v>
      </c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9">
        <v>337</v>
      </c>
      <c r="B6" s="9">
        <v>9964</v>
      </c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9">
        <v>337</v>
      </c>
      <c r="B7" s="9">
        <v>15372</v>
      </c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 hidden="1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 hidden="1">
      <c r="E21" s="41"/>
      <c r="H21" s="45"/>
      <c r="M21" s="45"/>
      <c r="N21" s="24"/>
    </row>
    <row r="22" spans="1:28" hidden="1">
      <c r="M22" s="5"/>
    </row>
    <row r="23" spans="1:28" hidden="1">
      <c r="H23" s="42"/>
    </row>
    <row r="24" spans="1:28" hidden="1">
      <c r="H24" s="42"/>
    </row>
    <row r="25" spans="1:28" hidden="1">
      <c r="H25" s="42"/>
    </row>
    <row r="26" spans="1:28" hidden="1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:B7"/>
    </sheetView>
  </sheetViews>
  <sheetFormatPr defaultColWidth="0" defaultRowHeight="14.25" zeroHeight="1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</cols>
  <sheetData>
    <row r="1" spans="1:25" ht="51">
      <c r="A1" s="22" t="s">
        <v>649</v>
      </c>
      <c r="B1" s="22" t="s">
        <v>0</v>
      </c>
      <c r="C1" s="22" t="s">
        <v>722</v>
      </c>
      <c r="D1" s="22" t="s">
        <v>1143</v>
      </c>
      <c r="E1" s="22" t="s">
        <v>29</v>
      </c>
      <c r="F1" s="22" t="s">
        <v>28</v>
      </c>
      <c r="G1" s="22" t="s">
        <v>1</v>
      </c>
      <c r="H1" s="22" t="s">
        <v>602</v>
      </c>
      <c r="I1" s="22" t="s">
        <v>603</v>
      </c>
      <c r="J1" s="22" t="s">
        <v>12</v>
      </c>
      <c r="K1" s="22" t="s">
        <v>6</v>
      </c>
      <c r="L1" s="22" t="s">
        <v>8</v>
      </c>
      <c r="M1" s="22" t="s">
        <v>396</v>
      </c>
      <c r="N1" s="22" t="s">
        <v>13</v>
      </c>
      <c r="O1" s="22" t="s">
        <v>420</v>
      </c>
      <c r="P1" s="22" t="s">
        <v>14</v>
      </c>
      <c r="Q1" s="22" t="s">
        <v>619</v>
      </c>
      <c r="R1" s="22" t="s">
        <v>771</v>
      </c>
      <c r="S1" s="22" t="s">
        <v>11</v>
      </c>
      <c r="T1" s="22" t="s">
        <v>15</v>
      </c>
      <c r="U1" s="22" t="s">
        <v>1151</v>
      </c>
      <c r="V1" s="22" t="s">
        <v>1152</v>
      </c>
      <c r="W1" s="22" t="s">
        <v>26</v>
      </c>
      <c r="X1" s="22" t="s">
        <v>19</v>
      </c>
      <c r="Y1" s="22" t="s">
        <v>30</v>
      </c>
    </row>
    <row r="2" spans="1:25">
      <c r="A2" s="9">
        <v>337</v>
      </c>
      <c r="B2" s="9">
        <v>1405</v>
      </c>
      <c r="C2" s="23"/>
      <c r="D2" s="23"/>
      <c r="E2" s="23"/>
      <c r="F2" s="23"/>
      <c r="G2" s="23"/>
      <c r="H2" s="32"/>
      <c r="I2" s="21"/>
      <c r="J2" s="23"/>
      <c r="K2" s="40"/>
      <c r="L2" s="24"/>
      <c r="M2" s="32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9">
        <v>337</v>
      </c>
      <c r="B3" s="9">
        <v>1477</v>
      </c>
      <c r="C3" s="23"/>
      <c r="D3" s="23"/>
      <c r="E3" s="23"/>
      <c r="F3" s="23"/>
      <c r="G3" s="23"/>
      <c r="H3" s="32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9">
        <v>337</v>
      </c>
      <c r="B4" s="9">
        <v>9962</v>
      </c>
      <c r="C4" s="23"/>
      <c r="D4" s="23"/>
      <c r="E4" s="23"/>
      <c r="F4" s="23"/>
      <c r="G4" s="23"/>
      <c r="H4" s="32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9">
        <v>337</v>
      </c>
      <c r="B5" s="9">
        <v>9963</v>
      </c>
      <c r="C5" s="23"/>
      <c r="D5" s="23"/>
      <c r="E5" s="23"/>
      <c r="F5" s="23"/>
      <c r="G5" s="23"/>
      <c r="H5" s="32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9">
        <v>337</v>
      </c>
      <c r="B6" s="9">
        <v>9964</v>
      </c>
      <c r="C6" s="23"/>
      <c r="D6" s="23"/>
      <c r="E6" s="23"/>
      <c r="F6" s="23"/>
      <c r="G6" s="23"/>
      <c r="H6" s="32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9">
        <v>337</v>
      </c>
      <c r="B7" s="9">
        <v>15372</v>
      </c>
      <c r="C7" s="23"/>
      <c r="D7" s="23"/>
      <c r="E7" s="23"/>
      <c r="F7" s="23"/>
      <c r="G7" s="23"/>
      <c r="H7" s="32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 hidden="1">
      <c r="A8" s="23"/>
      <c r="B8" s="23"/>
      <c r="C8" s="23"/>
      <c r="D8" s="23"/>
      <c r="E8" s="23"/>
      <c r="F8" s="23"/>
      <c r="G8" s="23"/>
      <c r="H8" s="32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 hidden="1">
      <c r="A9" s="23"/>
      <c r="B9" s="23"/>
      <c r="C9" s="23"/>
      <c r="D9" s="23"/>
      <c r="E9" s="23"/>
      <c r="F9" s="23"/>
      <c r="G9" s="23"/>
      <c r="H9" s="32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 hidden="1">
      <c r="A10" s="23"/>
      <c r="B10" s="23"/>
      <c r="C10" s="23"/>
      <c r="D10" s="23"/>
      <c r="E10" s="23"/>
      <c r="F10" s="23"/>
      <c r="G10" s="23"/>
      <c r="H10" s="32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 hidden="1">
      <c r="A11" s="23"/>
      <c r="B11" s="23"/>
      <c r="C11" s="23"/>
      <c r="D11" s="23"/>
      <c r="E11" s="23"/>
      <c r="F11" s="23"/>
      <c r="G11" s="23"/>
      <c r="H11" s="32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 hidden="1">
      <c r="A12" s="23"/>
      <c r="B12" s="23"/>
      <c r="C12" s="23"/>
      <c r="D12" s="23"/>
      <c r="E12" s="23"/>
      <c r="F12" s="23"/>
      <c r="G12" s="23"/>
      <c r="H12" s="32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 hidden="1">
      <c r="A13" s="23"/>
      <c r="B13" s="23"/>
      <c r="C13" s="23"/>
      <c r="D13" s="23"/>
      <c r="E13" s="23"/>
      <c r="F13" s="23"/>
      <c r="G13" s="23"/>
      <c r="H13" s="32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 hidden="1">
      <c r="A14" s="23"/>
      <c r="B14" s="23"/>
      <c r="C14" s="23"/>
      <c r="D14" s="23"/>
      <c r="E14" s="23"/>
      <c r="F14" s="23"/>
      <c r="G14" s="23"/>
      <c r="H14" s="32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 hidden="1">
      <c r="A15" s="23"/>
      <c r="B15" s="23"/>
      <c r="C15" s="23"/>
      <c r="D15" s="23"/>
      <c r="E15" s="23"/>
      <c r="F15" s="23"/>
      <c r="G15" s="23"/>
      <c r="H15" s="32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 hidden="1">
      <c r="A16" s="23"/>
      <c r="B16" s="23"/>
      <c r="C16" s="23"/>
      <c r="D16" s="23"/>
      <c r="E16" s="23"/>
      <c r="F16" s="23"/>
      <c r="G16" s="23"/>
      <c r="H16" s="32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 hidden="1">
      <c r="A17" s="23"/>
      <c r="B17" s="23"/>
      <c r="C17" s="23"/>
      <c r="D17" s="23"/>
      <c r="E17" s="23"/>
      <c r="F17" s="23"/>
      <c r="G17" s="23"/>
      <c r="H17" s="32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 hidden="1">
      <c r="A18" s="23"/>
      <c r="B18" s="23"/>
      <c r="C18" s="23"/>
      <c r="D18" s="23"/>
      <c r="E18" s="23"/>
      <c r="F18" s="23"/>
      <c r="G18" s="23"/>
      <c r="H18" s="32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 hidden="1">
      <c r="A19" s="23"/>
      <c r="B19" s="23"/>
      <c r="C19" s="23"/>
      <c r="D19" s="23"/>
      <c r="E19" s="23"/>
      <c r="F19" s="23"/>
      <c r="G19" s="23"/>
      <c r="H19" s="32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 hidden="1">
      <c r="F20" s="23"/>
      <c r="G20" s="23"/>
      <c r="H20" s="32"/>
      <c r="I20" s="21"/>
      <c r="L20" s="24"/>
      <c r="W20" s="21"/>
    </row>
    <row r="21" spans="1:25" hidden="1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:B7"/>
    </sheetView>
  </sheetViews>
  <sheetFormatPr defaultColWidth="0" defaultRowHeight="14.25" zeroHeight="1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6384" width="0" style="3" hidden="1"/>
  </cols>
  <sheetData>
    <row r="1" spans="1:18" ht="51">
      <c r="A1" s="22" t="s">
        <v>649</v>
      </c>
      <c r="B1" s="22" t="s">
        <v>0</v>
      </c>
      <c r="C1" s="22" t="s">
        <v>1</v>
      </c>
      <c r="D1" s="22" t="s">
        <v>1143</v>
      </c>
      <c r="E1" s="22" t="s">
        <v>29</v>
      </c>
      <c r="F1" s="22" t="s">
        <v>12</v>
      </c>
      <c r="G1" s="22" t="s">
        <v>13</v>
      </c>
      <c r="H1" s="22" t="s">
        <v>282</v>
      </c>
      <c r="I1" s="22" t="s">
        <v>420</v>
      </c>
      <c r="J1" s="22" t="s">
        <v>14</v>
      </c>
      <c r="K1" s="22" t="s">
        <v>619</v>
      </c>
      <c r="L1" s="22" t="s">
        <v>771</v>
      </c>
      <c r="M1" s="22" t="s">
        <v>15</v>
      </c>
      <c r="N1" s="22" t="s">
        <v>1151</v>
      </c>
      <c r="O1" s="22" t="s">
        <v>1152</v>
      </c>
      <c r="P1" s="22" t="s">
        <v>26</v>
      </c>
      <c r="Q1" s="22" t="s">
        <v>19</v>
      </c>
      <c r="R1" s="22" t="s">
        <v>30</v>
      </c>
    </row>
    <row r="2" spans="1:18">
      <c r="A2" s="9">
        <v>337</v>
      </c>
      <c r="B2" s="9">
        <v>1405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9">
        <v>337</v>
      </c>
      <c r="B3" s="9">
        <v>1477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9">
        <v>337</v>
      </c>
      <c r="B4" s="9">
        <v>9962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9">
        <v>337</v>
      </c>
      <c r="B5" s="9">
        <v>9963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9">
        <v>337</v>
      </c>
      <c r="B6" s="9">
        <v>9964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9">
        <v>337</v>
      </c>
      <c r="B7" s="9">
        <v>15372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 hidden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 hidden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 hidden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 hidden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 hidden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 hidden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 hidden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 hidden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 hidden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 hidden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 hidden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 hidden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 hidden="1">
      <c r="C20" s="23"/>
      <c r="H20" s="23"/>
      <c r="P20" s="21"/>
    </row>
    <row r="21" spans="1:18" s="42" customFormat="1" hidden="1">
      <c r="C21" s="41"/>
      <c r="P21"/>
    </row>
    <row r="22" spans="1:18" hidden="1">
      <c r="C22"/>
      <c r="H22" s="3"/>
    </row>
    <row r="23" spans="1:18" hidden="1">
      <c r="C23"/>
      <c r="H23" s="3"/>
    </row>
    <row r="24" spans="1:18" hidden="1">
      <c r="C24"/>
      <c r="H24" s="3"/>
    </row>
    <row r="25" spans="1:18" hidden="1">
      <c r="C25"/>
    </row>
    <row r="26" spans="1:18" hidden="1">
      <c r="C26"/>
    </row>
    <row r="27" spans="1:18" hidden="1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zeroHeight="1"/>
  <cols>
    <col min="1" max="3" width="11.625" style="3" customWidth="1"/>
    <col min="4" max="6" width="11.625" customWidth="1"/>
    <col min="7" max="7" width="11.625" style="3" customWidth="1"/>
    <col min="8" max="16384" width="0" style="3" hidden="1"/>
  </cols>
  <sheetData>
    <row r="1" spans="1:7" ht="38.25">
      <c r="A1" s="22" t="s">
        <v>782</v>
      </c>
      <c r="B1" s="22" t="s">
        <v>0</v>
      </c>
      <c r="C1" s="22" t="s">
        <v>1</v>
      </c>
      <c r="D1" s="22" t="s">
        <v>756</v>
      </c>
      <c r="E1" s="22" t="s">
        <v>755</v>
      </c>
      <c r="F1" s="22" t="s">
        <v>1159</v>
      </c>
      <c r="G1" s="22" t="s">
        <v>30</v>
      </c>
    </row>
    <row r="2" spans="1:7" hidden="1">
      <c r="A2" s="23"/>
      <c r="B2" s="23"/>
      <c r="C2" s="24"/>
      <c r="D2" s="140"/>
      <c r="E2" s="41"/>
      <c r="F2" s="41"/>
      <c r="G2" s="30"/>
    </row>
    <row r="3" spans="1:7" hidden="1">
      <c r="A3" s="23"/>
      <c r="B3" s="23"/>
      <c r="C3" s="24"/>
      <c r="G3" s="23"/>
    </row>
    <row r="4" spans="1:7" hidden="1">
      <c r="A4" s="23"/>
      <c r="B4" s="23"/>
      <c r="C4" s="24"/>
      <c r="G4" s="23"/>
    </row>
    <row r="5" spans="1:7" hidden="1">
      <c r="A5" s="23"/>
      <c r="B5" s="23"/>
      <c r="C5" s="24"/>
      <c r="G5" s="23"/>
    </row>
    <row r="6" spans="1:7" hidden="1">
      <c r="A6" s="23"/>
      <c r="B6" s="23"/>
      <c r="C6" s="24"/>
      <c r="G6" s="23"/>
    </row>
    <row r="7" spans="1:7" hidden="1">
      <c r="A7" s="23"/>
      <c r="B7" s="23"/>
      <c r="C7" s="24"/>
      <c r="G7" s="23"/>
    </row>
    <row r="8" spans="1:7" hidden="1">
      <c r="A8" s="23"/>
      <c r="B8" s="23"/>
      <c r="C8" s="24"/>
      <c r="G8" s="23"/>
    </row>
    <row r="9" spans="1:7" hidden="1">
      <c r="A9" s="23"/>
      <c r="B9" s="23"/>
      <c r="C9" s="24"/>
      <c r="G9" s="23"/>
    </row>
    <row r="10" spans="1:7" hidden="1">
      <c r="A10" s="23"/>
      <c r="B10" s="23"/>
      <c r="C10" s="24"/>
      <c r="G10" s="23"/>
    </row>
    <row r="11" spans="1:7" hidden="1">
      <c r="A11" s="23"/>
      <c r="B11" s="23"/>
      <c r="C11" s="24"/>
      <c r="G11" s="23"/>
    </row>
    <row r="12" spans="1:7" hidden="1">
      <c r="A12" s="23"/>
      <c r="B12" s="23"/>
      <c r="C12" s="24"/>
      <c r="G12" s="23"/>
    </row>
    <row r="13" spans="1:7" hidden="1">
      <c r="A13" s="23"/>
      <c r="B13" s="23"/>
      <c r="C13" s="24"/>
      <c r="G13" s="23"/>
    </row>
    <row r="14" spans="1:7" hidden="1">
      <c r="A14" s="23"/>
      <c r="B14" s="23"/>
      <c r="C14" s="24"/>
      <c r="G14" s="23"/>
    </row>
    <row r="15" spans="1:7" hidden="1">
      <c r="A15" s="23"/>
      <c r="B15" s="23"/>
      <c r="C15" s="24"/>
      <c r="G15" s="23"/>
    </row>
    <row r="16" spans="1:7" hidden="1">
      <c r="A16" s="23"/>
      <c r="B16" s="23"/>
      <c r="C16" s="24"/>
      <c r="G16" s="23"/>
    </row>
    <row r="17" spans="1:7" hidden="1">
      <c r="A17" s="23"/>
      <c r="B17" s="23"/>
      <c r="C17" s="24"/>
      <c r="G17" s="23"/>
    </row>
    <row r="18" spans="1:7" hidden="1">
      <c r="A18" s="23"/>
      <c r="B18" s="23"/>
      <c r="C18" s="24"/>
      <c r="G18" s="23"/>
    </row>
    <row r="19" spans="1:7" hidden="1">
      <c r="A19" s="23"/>
      <c r="B19" s="23"/>
      <c r="C19" s="24"/>
      <c r="G19" s="23"/>
    </row>
    <row r="20" spans="1:7" hidden="1">
      <c r="C20" s="24"/>
    </row>
    <row r="21" spans="1:7" hidden="1">
      <c r="C21"/>
    </row>
    <row r="22" spans="1:7" hidden="1">
      <c r="C22"/>
    </row>
    <row r="23" spans="1:7" hidden="1">
      <c r="C23"/>
    </row>
    <row r="24" spans="1:7" hidden="1">
      <c r="C24"/>
    </row>
    <row r="25" spans="1:7" hidden="1">
      <c r="C25"/>
    </row>
    <row r="26" spans="1:7" hidden="1">
      <c r="C26"/>
    </row>
    <row r="27" spans="1:7" hidden="1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</cols>
  <sheetData>
    <row r="1" spans="1:40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9</v>
      </c>
      <c r="M1" s="22" t="s">
        <v>604</v>
      </c>
      <c r="N1" s="22" t="s">
        <v>12</v>
      </c>
      <c r="O1" s="22" t="s">
        <v>6</v>
      </c>
      <c r="P1" s="22" t="s">
        <v>8</v>
      </c>
      <c r="Q1" s="22" t="s">
        <v>1144</v>
      </c>
      <c r="R1" s="22" t="s">
        <v>396</v>
      </c>
      <c r="S1" s="22" t="s">
        <v>13</v>
      </c>
      <c r="T1" s="22" t="s">
        <v>282</v>
      </c>
      <c r="U1" s="22" t="s">
        <v>309</v>
      </c>
      <c r="V1" s="22" t="s">
        <v>420</v>
      </c>
      <c r="W1" s="22" t="s">
        <v>14</v>
      </c>
      <c r="X1" s="22" t="s">
        <v>619</v>
      </c>
      <c r="Y1" s="22" t="s">
        <v>923</v>
      </c>
      <c r="Z1" s="22" t="s">
        <v>667</v>
      </c>
      <c r="AA1" s="22" t="s">
        <v>915</v>
      </c>
      <c r="AB1" s="22" t="s">
        <v>372</v>
      </c>
      <c r="AC1" s="22" t="s">
        <v>729</v>
      </c>
      <c r="AD1" s="22" t="s">
        <v>16</v>
      </c>
      <c r="AE1" s="22" t="s">
        <v>1145</v>
      </c>
      <c r="AF1" s="22" t="s">
        <v>771</v>
      </c>
      <c r="AG1" s="22" t="s">
        <v>11</v>
      </c>
      <c r="AH1" s="22" t="s">
        <v>15</v>
      </c>
      <c r="AI1" s="22" t="s">
        <v>1151</v>
      </c>
      <c r="AJ1" s="22" t="s">
        <v>1152</v>
      </c>
      <c r="AK1" s="22" t="s">
        <v>786</v>
      </c>
      <c r="AL1" s="22" t="s">
        <v>26</v>
      </c>
      <c r="AM1" s="22" t="s">
        <v>19</v>
      </c>
      <c r="AN1" s="22" t="s">
        <v>30</v>
      </c>
    </row>
    <row r="2" spans="1:40">
      <c r="A2" s="9">
        <v>337</v>
      </c>
      <c r="B2" s="9">
        <v>1405</v>
      </c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9">
        <v>337</v>
      </c>
      <c r="B3" s="9">
        <v>1477</v>
      </c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9">
        <v>337</v>
      </c>
      <c r="B4" s="9">
        <v>9962</v>
      </c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9">
        <v>337</v>
      </c>
      <c r="B5" s="9">
        <v>9963</v>
      </c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9">
        <v>337</v>
      </c>
      <c r="B6" s="9">
        <v>9964</v>
      </c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9">
        <v>337</v>
      </c>
      <c r="B7" s="9">
        <v>15372</v>
      </c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 hidden="1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 hidden="1">
      <c r="E21"/>
      <c r="L21"/>
      <c r="Y21" s="45"/>
      <c r="Z21"/>
      <c r="AL21" s="3"/>
    </row>
    <row r="22" spans="1:38" hidden="1">
      <c r="T22" s="3"/>
      <c r="U22" s="3"/>
      <c r="AL22" s="3"/>
    </row>
    <row r="23" spans="1:38" hidden="1">
      <c r="T23" s="3"/>
      <c r="U23" s="3"/>
    </row>
    <row r="24" spans="1:38" hidden="1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0"/>
  <sheetViews>
    <sheetView rightToLeft="1" workbookViewId="0">
      <selection activeCell="A2" sqref="A2:AL40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16384" width="0" style="3" hidden="1"/>
  </cols>
  <sheetData>
    <row r="1" spans="1:38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9</v>
      </c>
      <c r="N1" s="22" t="s">
        <v>604</v>
      </c>
      <c r="O1" s="22" t="s">
        <v>12</v>
      </c>
      <c r="P1" s="22" t="s">
        <v>6</v>
      </c>
      <c r="Q1" s="22" t="s">
        <v>8</v>
      </c>
      <c r="R1" s="22" t="s">
        <v>1144</v>
      </c>
      <c r="S1" s="22" t="s">
        <v>396</v>
      </c>
      <c r="T1" s="22" t="s">
        <v>13</v>
      </c>
      <c r="U1" s="22" t="s">
        <v>420</v>
      </c>
      <c r="V1" s="22" t="s">
        <v>619</v>
      </c>
      <c r="W1" s="22" t="s">
        <v>14</v>
      </c>
      <c r="X1" s="22" t="s">
        <v>923</v>
      </c>
      <c r="Y1" s="22" t="s">
        <v>667</v>
      </c>
      <c r="Z1" s="22" t="s">
        <v>915</v>
      </c>
      <c r="AA1" s="22" t="s">
        <v>372</v>
      </c>
      <c r="AB1" s="22" t="s">
        <v>16</v>
      </c>
      <c r="AC1" s="22" t="s">
        <v>1145</v>
      </c>
      <c r="AD1" s="22" t="s">
        <v>771</v>
      </c>
      <c r="AE1" s="22" t="s">
        <v>11</v>
      </c>
      <c r="AF1" s="22" t="s">
        <v>15</v>
      </c>
      <c r="AG1" s="22" t="s">
        <v>1151</v>
      </c>
      <c r="AH1" s="22" t="s">
        <v>1152</v>
      </c>
      <c r="AI1" s="22" t="s">
        <v>786</v>
      </c>
      <c r="AJ1" s="22" t="s">
        <v>26</v>
      </c>
      <c r="AK1" s="22" t="s">
        <v>19</v>
      </c>
      <c r="AL1" s="22" t="s">
        <v>30</v>
      </c>
    </row>
    <row r="2" spans="1:38">
      <c r="A2" s="9">
        <v>337</v>
      </c>
      <c r="B2" s="167">
        <v>1405</v>
      </c>
      <c r="C2" s="167" t="s">
        <v>1602</v>
      </c>
      <c r="D2" s="167" t="s">
        <v>1603</v>
      </c>
      <c r="E2" s="168" t="s">
        <v>431</v>
      </c>
      <c r="F2" s="167" t="s">
        <v>1604</v>
      </c>
      <c r="G2" s="167" t="s">
        <v>1605</v>
      </c>
      <c r="H2" s="167" t="s">
        <v>76</v>
      </c>
      <c r="I2" s="167" t="s">
        <v>228</v>
      </c>
      <c r="J2" s="168" t="s">
        <v>53</v>
      </c>
      <c r="K2" s="168" t="s">
        <v>53</v>
      </c>
      <c r="L2" s="167" t="s">
        <v>956</v>
      </c>
      <c r="M2" s="167" t="s">
        <v>690</v>
      </c>
      <c r="N2" s="167" t="s">
        <v>62</v>
      </c>
      <c r="O2" s="169" t="s">
        <v>1606</v>
      </c>
      <c r="P2" s="167" t="s">
        <v>1607</v>
      </c>
      <c r="Q2" s="167" t="s">
        <v>65</v>
      </c>
      <c r="R2" s="167" t="s">
        <v>57</v>
      </c>
      <c r="S2" s="168" t="s">
        <v>1259</v>
      </c>
      <c r="T2" s="172">
        <v>1.91</v>
      </c>
      <c r="U2" s="167" t="s">
        <v>1608</v>
      </c>
      <c r="V2" s="173">
        <v>5.0999999999999997E-2</v>
      </c>
      <c r="W2" s="185">
        <v>2.86E-2</v>
      </c>
      <c r="X2" s="168" t="s">
        <v>618</v>
      </c>
      <c r="Y2" s="168" t="s">
        <v>62</v>
      </c>
      <c r="Z2" s="167" t="s">
        <v>773</v>
      </c>
      <c r="AA2" s="167" t="s">
        <v>305</v>
      </c>
      <c r="AB2" s="176" t="s">
        <v>1319</v>
      </c>
      <c r="AC2" s="167"/>
      <c r="AD2" s="172">
        <v>7428.58</v>
      </c>
      <c r="AE2" s="171">
        <v>1</v>
      </c>
      <c r="AF2" s="178">
        <v>97.29</v>
      </c>
      <c r="AG2" s="172">
        <v>7.2270000000000003</v>
      </c>
      <c r="AH2" s="167"/>
      <c r="AI2" s="167"/>
      <c r="AJ2" s="167" t="s">
        <v>17</v>
      </c>
      <c r="AK2" s="185">
        <v>4.1593674095772797E-2</v>
      </c>
      <c r="AL2" s="185">
        <v>8.0148077808347897E-4</v>
      </c>
    </row>
    <row r="3" spans="1:38">
      <c r="A3" s="167">
        <v>337</v>
      </c>
      <c r="B3" s="167">
        <v>1405</v>
      </c>
      <c r="C3" s="167" t="s">
        <v>1609</v>
      </c>
      <c r="D3" s="167" t="s">
        <v>1610</v>
      </c>
      <c r="E3" s="168" t="s">
        <v>1346</v>
      </c>
      <c r="F3" s="167" t="s">
        <v>1611</v>
      </c>
      <c r="G3" s="167" t="s">
        <v>1612</v>
      </c>
      <c r="H3" s="167" t="s">
        <v>76</v>
      </c>
      <c r="I3" s="167" t="s">
        <v>228</v>
      </c>
      <c r="J3" s="168" t="s">
        <v>53</v>
      </c>
      <c r="K3" s="168" t="s">
        <v>53</v>
      </c>
      <c r="L3" s="167" t="s">
        <v>956</v>
      </c>
      <c r="M3" s="167" t="s">
        <v>690</v>
      </c>
      <c r="N3" s="167" t="s">
        <v>62</v>
      </c>
      <c r="O3" s="169" t="s">
        <v>1613</v>
      </c>
      <c r="P3" s="167" t="s">
        <v>1614</v>
      </c>
      <c r="Q3" s="167" t="s">
        <v>96</v>
      </c>
      <c r="R3" s="167" t="s">
        <v>57</v>
      </c>
      <c r="S3" s="168" t="s">
        <v>1259</v>
      </c>
      <c r="T3" s="172">
        <v>1.72</v>
      </c>
      <c r="U3" s="167" t="s">
        <v>1615</v>
      </c>
      <c r="V3" s="173">
        <v>5.21E-2</v>
      </c>
      <c r="W3" s="185">
        <v>4.4699999999999997E-2</v>
      </c>
      <c r="X3" s="168" t="s">
        <v>618</v>
      </c>
      <c r="Y3" s="168" t="s">
        <v>62</v>
      </c>
      <c r="Z3" s="167" t="s">
        <v>773</v>
      </c>
      <c r="AA3" s="167" t="s">
        <v>1370</v>
      </c>
      <c r="AB3" s="176" t="s">
        <v>1319</v>
      </c>
      <c r="AC3" s="167"/>
      <c r="AD3" s="172">
        <v>30377.74</v>
      </c>
      <c r="AE3" s="171">
        <v>1</v>
      </c>
      <c r="AF3" s="178">
        <v>98.87</v>
      </c>
      <c r="AG3" s="172">
        <v>30.033999999999999</v>
      </c>
      <c r="AH3" s="167"/>
      <c r="AI3" s="167"/>
      <c r="AJ3" s="167" t="s">
        <v>17</v>
      </c>
      <c r="AK3" s="185">
        <v>0.17285154722787799</v>
      </c>
      <c r="AL3" s="185">
        <v>3.3307274622131201E-3</v>
      </c>
    </row>
    <row r="4" spans="1:38">
      <c r="A4" s="167">
        <v>337</v>
      </c>
      <c r="B4" s="167">
        <v>1405</v>
      </c>
      <c r="C4" s="167" t="s">
        <v>1616</v>
      </c>
      <c r="D4" s="167" t="s">
        <v>1617</v>
      </c>
      <c r="E4" s="168" t="s">
        <v>1346</v>
      </c>
      <c r="F4" s="167" t="s">
        <v>1618</v>
      </c>
      <c r="G4" s="167" t="s">
        <v>1619</v>
      </c>
      <c r="H4" s="167" t="s">
        <v>76</v>
      </c>
      <c r="I4" s="167" t="s">
        <v>228</v>
      </c>
      <c r="J4" s="168" t="s">
        <v>53</v>
      </c>
      <c r="K4" s="168" t="s">
        <v>53</v>
      </c>
      <c r="L4" s="167" t="s">
        <v>102</v>
      </c>
      <c r="M4" s="167" t="s">
        <v>690</v>
      </c>
      <c r="N4" s="167" t="s">
        <v>62</v>
      </c>
      <c r="O4" s="176" t="s">
        <v>1620</v>
      </c>
      <c r="P4" s="167" t="s">
        <v>1621</v>
      </c>
      <c r="Q4" s="167" t="s">
        <v>70</v>
      </c>
      <c r="R4" s="167" t="s">
        <v>57</v>
      </c>
      <c r="S4" s="167" t="s">
        <v>1259</v>
      </c>
      <c r="T4" s="172">
        <v>1.59</v>
      </c>
      <c r="U4" s="167" t="s">
        <v>1622</v>
      </c>
      <c r="V4" s="173">
        <v>4.7500000000000001E-2</v>
      </c>
      <c r="W4" s="185">
        <v>2.1000000000000001E-2</v>
      </c>
      <c r="X4" s="168" t="s">
        <v>618</v>
      </c>
      <c r="Y4" s="168" t="s">
        <v>62</v>
      </c>
      <c r="Z4" s="167" t="s">
        <v>773</v>
      </c>
      <c r="AA4" s="167" t="s">
        <v>1370</v>
      </c>
      <c r="AB4" s="176" t="s">
        <v>1319</v>
      </c>
      <c r="AC4" s="9"/>
      <c r="AD4" s="170">
        <v>22714.32</v>
      </c>
      <c r="AE4" s="171">
        <v>1</v>
      </c>
      <c r="AF4" s="178">
        <v>96.74</v>
      </c>
      <c r="AG4" s="172">
        <v>21.974</v>
      </c>
      <c r="AH4" s="167"/>
      <c r="AI4" s="167"/>
      <c r="AJ4" s="167" t="s">
        <v>17</v>
      </c>
      <c r="AK4" s="185">
        <v>0.12646172438261599</v>
      </c>
      <c r="AL4" s="185">
        <v>2.4368282788045001E-3</v>
      </c>
    </row>
    <row r="5" spans="1:38">
      <c r="A5" s="167">
        <v>337</v>
      </c>
      <c r="B5" s="167">
        <v>1405</v>
      </c>
      <c r="C5" s="167" t="s">
        <v>1623</v>
      </c>
      <c r="D5" s="167" t="s">
        <v>1624</v>
      </c>
      <c r="E5" s="168" t="s">
        <v>1346</v>
      </c>
      <c r="F5" s="167" t="s">
        <v>1625</v>
      </c>
      <c r="G5" s="167" t="s">
        <v>1626</v>
      </c>
      <c r="H5" s="167" t="s">
        <v>76</v>
      </c>
      <c r="I5" s="167" t="s">
        <v>228</v>
      </c>
      <c r="J5" s="168" t="s">
        <v>53</v>
      </c>
      <c r="K5" s="168" t="s">
        <v>53</v>
      </c>
      <c r="L5" s="167" t="s">
        <v>102</v>
      </c>
      <c r="M5" s="167" t="s">
        <v>633</v>
      </c>
      <c r="N5" s="167" t="s">
        <v>62</v>
      </c>
      <c r="O5" s="169" t="s">
        <v>1627</v>
      </c>
      <c r="P5" s="167" t="s">
        <v>1628</v>
      </c>
      <c r="Q5" s="167" t="s">
        <v>70</v>
      </c>
      <c r="R5" s="167" t="s">
        <v>57</v>
      </c>
      <c r="S5" s="168" t="s">
        <v>1259</v>
      </c>
      <c r="T5" s="172">
        <v>1.46</v>
      </c>
      <c r="U5" s="167" t="s">
        <v>1629</v>
      </c>
      <c r="V5" s="173">
        <v>4.6300000000000001E-2</v>
      </c>
      <c r="W5" s="185">
        <v>3.1E-2</v>
      </c>
      <c r="X5" s="168" t="s">
        <v>618</v>
      </c>
      <c r="Y5" s="168" t="s">
        <v>62</v>
      </c>
      <c r="Z5" s="167" t="s">
        <v>773</v>
      </c>
      <c r="AA5" s="167" t="s">
        <v>1370</v>
      </c>
      <c r="AB5" s="176" t="s">
        <v>1319</v>
      </c>
      <c r="AC5" s="167"/>
      <c r="AD5" s="172">
        <v>7260.92</v>
      </c>
      <c r="AE5" s="171">
        <v>1</v>
      </c>
      <c r="AF5" s="178">
        <v>97.91</v>
      </c>
      <c r="AG5" s="170">
        <v>7.109</v>
      </c>
      <c r="AH5" s="9"/>
      <c r="AI5" s="9"/>
      <c r="AJ5" s="167" t="s">
        <v>17</v>
      </c>
      <c r="AK5" s="185">
        <v>4.0914003580402203E-2</v>
      </c>
      <c r="AL5" s="185">
        <v>7.8838400639061703E-4</v>
      </c>
    </row>
    <row r="6" spans="1:38">
      <c r="A6" s="167">
        <v>337</v>
      </c>
      <c r="B6" s="167">
        <v>1405</v>
      </c>
      <c r="C6" s="167" t="s">
        <v>1630</v>
      </c>
      <c r="D6" s="167" t="s">
        <v>1631</v>
      </c>
      <c r="E6" s="168" t="s">
        <v>1346</v>
      </c>
      <c r="F6" s="167" t="s">
        <v>1632</v>
      </c>
      <c r="G6" s="167" t="s">
        <v>1633</v>
      </c>
      <c r="H6" s="167" t="s">
        <v>76</v>
      </c>
      <c r="I6" s="167" t="s">
        <v>228</v>
      </c>
      <c r="J6" s="168" t="s">
        <v>53</v>
      </c>
      <c r="K6" s="168" t="s">
        <v>53</v>
      </c>
      <c r="L6" s="167" t="s">
        <v>102</v>
      </c>
      <c r="M6" s="167" t="s">
        <v>257</v>
      </c>
      <c r="N6" s="167" t="s">
        <v>62</v>
      </c>
      <c r="O6" s="169" t="s">
        <v>1634</v>
      </c>
      <c r="P6" s="167" t="s">
        <v>1628</v>
      </c>
      <c r="Q6" s="167" t="s">
        <v>70</v>
      </c>
      <c r="R6" s="167" t="s">
        <v>57</v>
      </c>
      <c r="S6" s="168" t="s">
        <v>1259</v>
      </c>
      <c r="T6" s="172">
        <v>0.46</v>
      </c>
      <c r="U6" s="167" t="s">
        <v>1635</v>
      </c>
      <c r="V6" s="173">
        <v>5.1999999999999998E-2</v>
      </c>
      <c r="W6" s="185">
        <v>6.5000000000000002E-2</v>
      </c>
      <c r="X6" s="168" t="s">
        <v>618</v>
      </c>
      <c r="Y6" s="168" t="s">
        <v>62</v>
      </c>
      <c r="Z6" s="167" t="s">
        <v>773</v>
      </c>
      <c r="AA6" s="167" t="s">
        <v>305</v>
      </c>
      <c r="AB6" s="176" t="s">
        <v>1319</v>
      </c>
      <c r="AC6" s="167"/>
      <c r="AD6" s="172">
        <v>3778.25</v>
      </c>
      <c r="AE6" s="171">
        <v>1</v>
      </c>
      <c r="AF6" s="178">
        <v>100.81</v>
      </c>
      <c r="AG6" s="170">
        <v>3.8090000000000002</v>
      </c>
      <c r="AH6" s="9"/>
      <c r="AI6" s="9"/>
      <c r="AJ6" s="167" t="s">
        <v>17</v>
      </c>
      <c r="AK6" s="185">
        <v>2.19203549489159E-2</v>
      </c>
      <c r="AL6" s="185">
        <v>4.2238978696302899E-4</v>
      </c>
    </row>
    <row r="7" spans="1:38">
      <c r="A7" s="167">
        <v>337</v>
      </c>
      <c r="B7" s="167">
        <v>1405</v>
      </c>
      <c r="C7" s="167" t="s">
        <v>1636</v>
      </c>
      <c r="D7" s="167" t="s">
        <v>1637</v>
      </c>
      <c r="E7" s="168" t="s">
        <v>1346</v>
      </c>
      <c r="F7" s="167" t="s">
        <v>1638</v>
      </c>
      <c r="G7" s="167" t="s">
        <v>1639</v>
      </c>
      <c r="H7" s="167" t="s">
        <v>76</v>
      </c>
      <c r="I7" s="167" t="s">
        <v>229</v>
      </c>
      <c r="J7" s="168" t="s">
        <v>53</v>
      </c>
      <c r="K7" s="168" t="s">
        <v>53</v>
      </c>
      <c r="L7" s="167" t="s">
        <v>102</v>
      </c>
      <c r="M7" s="167" t="s">
        <v>636</v>
      </c>
      <c r="N7" s="167" t="s">
        <v>62</v>
      </c>
      <c r="O7" s="169" t="s">
        <v>1640</v>
      </c>
      <c r="P7" s="167" t="s">
        <v>1641</v>
      </c>
      <c r="Q7" s="167" t="s">
        <v>65</v>
      </c>
      <c r="R7" s="167" t="s">
        <v>57</v>
      </c>
      <c r="S7" s="168" t="s">
        <v>1259</v>
      </c>
      <c r="T7" s="172">
        <v>4.38</v>
      </c>
      <c r="U7" s="167" t="s">
        <v>1642</v>
      </c>
      <c r="V7" s="173">
        <v>2.4899999999999999E-2</v>
      </c>
      <c r="W7" s="185">
        <v>2.3217999999999999E-2</v>
      </c>
      <c r="X7" s="168" t="s">
        <v>618</v>
      </c>
      <c r="Y7" s="168" t="s">
        <v>62</v>
      </c>
      <c r="Z7" s="167" t="s">
        <v>773</v>
      </c>
      <c r="AA7" s="167" t="s">
        <v>1370</v>
      </c>
      <c r="AB7" s="176" t="s">
        <v>1319</v>
      </c>
      <c r="AC7" s="167"/>
      <c r="AD7" s="172">
        <v>27154.48</v>
      </c>
      <c r="AE7" s="171">
        <v>1</v>
      </c>
      <c r="AF7" s="178">
        <v>117.69</v>
      </c>
      <c r="AG7" s="172">
        <v>31.957999999999998</v>
      </c>
      <c r="AH7" s="167"/>
      <c r="AI7" s="167"/>
      <c r="AJ7" s="167" t="s">
        <v>17</v>
      </c>
      <c r="AK7" s="185">
        <v>0.18392227487455601</v>
      </c>
      <c r="AL7" s="185">
        <v>3.54405257958023E-3</v>
      </c>
    </row>
    <row r="8" spans="1:38">
      <c r="A8" s="167">
        <v>337</v>
      </c>
      <c r="B8" s="167">
        <v>1405</v>
      </c>
      <c r="C8" s="167" t="s">
        <v>1636</v>
      </c>
      <c r="D8" s="167" t="s">
        <v>1637</v>
      </c>
      <c r="E8" s="168" t="s">
        <v>1346</v>
      </c>
      <c r="F8" s="167" t="s">
        <v>1643</v>
      </c>
      <c r="G8" s="167" t="s">
        <v>1644</v>
      </c>
      <c r="H8" s="167" t="s">
        <v>76</v>
      </c>
      <c r="I8" s="167" t="s">
        <v>228</v>
      </c>
      <c r="J8" s="168" t="s">
        <v>53</v>
      </c>
      <c r="K8" s="168" t="s">
        <v>53</v>
      </c>
      <c r="L8" s="167" t="s">
        <v>956</v>
      </c>
      <c r="M8" s="167" t="s">
        <v>636</v>
      </c>
      <c r="N8" s="167" t="s">
        <v>62</v>
      </c>
      <c r="O8" s="169" t="s">
        <v>1640</v>
      </c>
      <c r="P8" s="167" t="s">
        <v>1641</v>
      </c>
      <c r="Q8" s="167" t="s">
        <v>65</v>
      </c>
      <c r="R8" s="167" t="s">
        <v>57</v>
      </c>
      <c r="S8" s="168" t="s">
        <v>1259</v>
      </c>
      <c r="T8" s="172">
        <v>0.7</v>
      </c>
      <c r="U8" s="167" t="s">
        <v>1635</v>
      </c>
      <c r="V8" s="173">
        <v>4.7199999999999999E-2</v>
      </c>
      <c r="W8" s="185">
        <v>2.5000000000000001E-2</v>
      </c>
      <c r="X8" s="168" t="s">
        <v>618</v>
      </c>
      <c r="Y8" s="168" t="s">
        <v>62</v>
      </c>
      <c r="Z8" s="167" t="s">
        <v>773</v>
      </c>
      <c r="AA8" s="167" t="s">
        <v>1370</v>
      </c>
      <c r="AB8" s="176" t="s">
        <v>1319</v>
      </c>
      <c r="AC8" s="167"/>
      <c r="AD8" s="172">
        <v>15973.12</v>
      </c>
      <c r="AE8" s="171">
        <v>1</v>
      </c>
      <c r="AF8" s="178">
        <v>99.24</v>
      </c>
      <c r="AG8" s="172">
        <v>15.852</v>
      </c>
      <c r="AH8" s="167"/>
      <c r="AI8" s="167"/>
      <c r="AJ8" s="167" t="s">
        <v>17</v>
      </c>
      <c r="AK8" s="185">
        <v>9.1228342937343096E-2</v>
      </c>
      <c r="AL8" s="185">
        <v>1.7579058563648099E-3</v>
      </c>
    </row>
    <row r="9" spans="1:38">
      <c r="A9" s="167">
        <v>337</v>
      </c>
      <c r="B9" s="167">
        <v>1405</v>
      </c>
      <c r="C9" s="167" t="s">
        <v>1636</v>
      </c>
      <c r="D9" s="167" t="s">
        <v>1637</v>
      </c>
      <c r="E9" s="168" t="s">
        <v>1346</v>
      </c>
      <c r="F9" s="167" t="s">
        <v>1645</v>
      </c>
      <c r="G9" s="167" t="s">
        <v>1646</v>
      </c>
      <c r="H9" s="167" t="s">
        <v>76</v>
      </c>
      <c r="I9" s="167" t="s">
        <v>228</v>
      </c>
      <c r="J9" s="168" t="s">
        <v>53</v>
      </c>
      <c r="K9" s="168" t="s">
        <v>53</v>
      </c>
      <c r="L9" s="167" t="s">
        <v>956</v>
      </c>
      <c r="M9" s="167" t="s">
        <v>636</v>
      </c>
      <c r="N9" s="167" t="s">
        <v>62</v>
      </c>
      <c r="O9" s="169" t="s">
        <v>1640</v>
      </c>
      <c r="P9" s="167" t="s">
        <v>1641</v>
      </c>
      <c r="Q9" s="167" t="s">
        <v>65</v>
      </c>
      <c r="R9" s="167" t="s">
        <v>57</v>
      </c>
      <c r="S9" s="168" t="s">
        <v>1259</v>
      </c>
      <c r="T9" s="172">
        <v>4.13</v>
      </c>
      <c r="U9" s="167" t="s">
        <v>1642</v>
      </c>
      <c r="V9" s="173">
        <v>4.65E-2</v>
      </c>
      <c r="W9" s="185">
        <v>3.7400000000000003E-2</v>
      </c>
      <c r="X9" s="168" t="s">
        <v>618</v>
      </c>
      <c r="Y9" s="168" t="s">
        <v>62</v>
      </c>
      <c r="Z9" s="167" t="s">
        <v>773</v>
      </c>
      <c r="AA9" s="167" t="s">
        <v>1370</v>
      </c>
      <c r="AB9" s="176" t="s">
        <v>1319</v>
      </c>
      <c r="AC9" s="167"/>
      <c r="AD9" s="172">
        <v>57167.360000000001</v>
      </c>
      <c r="AE9" s="171">
        <v>1</v>
      </c>
      <c r="AF9" s="178">
        <v>97.6</v>
      </c>
      <c r="AG9" s="172">
        <v>55.795000000000002</v>
      </c>
      <c r="AH9" s="167"/>
      <c r="AI9" s="167"/>
      <c r="AJ9" s="167" t="s">
        <v>17</v>
      </c>
      <c r="AK9" s="185">
        <v>0.321108077952516</v>
      </c>
      <c r="AL9" s="185">
        <v>6.1875262948321401E-3</v>
      </c>
    </row>
    <row r="10" spans="1:38">
      <c r="A10" s="167">
        <v>337</v>
      </c>
      <c r="B10" s="167">
        <v>1477</v>
      </c>
      <c r="C10" s="167" t="s">
        <v>1602</v>
      </c>
      <c r="D10" s="167" t="s">
        <v>1603</v>
      </c>
      <c r="E10" s="168" t="s">
        <v>431</v>
      </c>
      <c r="F10" s="167" t="s">
        <v>1604</v>
      </c>
      <c r="G10" s="167" t="s">
        <v>1605</v>
      </c>
      <c r="H10" s="167" t="s">
        <v>76</v>
      </c>
      <c r="I10" s="167" t="s">
        <v>228</v>
      </c>
      <c r="J10" s="168" t="s">
        <v>53</v>
      </c>
      <c r="K10" s="168" t="s">
        <v>53</v>
      </c>
      <c r="L10" s="167" t="s">
        <v>956</v>
      </c>
      <c r="M10" s="167" t="s">
        <v>690</v>
      </c>
      <c r="N10" s="167" t="s">
        <v>62</v>
      </c>
      <c r="O10" s="169" t="s">
        <v>1606</v>
      </c>
      <c r="P10" s="167" t="s">
        <v>1607</v>
      </c>
      <c r="Q10" s="167" t="s">
        <v>65</v>
      </c>
      <c r="R10" s="167" t="s">
        <v>57</v>
      </c>
      <c r="S10" s="168" t="s">
        <v>1259</v>
      </c>
      <c r="T10" s="172">
        <v>1.91</v>
      </c>
      <c r="U10" s="167" t="s">
        <v>1608</v>
      </c>
      <c r="V10" s="173">
        <v>5.0999999999999997E-2</v>
      </c>
      <c r="W10" s="185">
        <v>2.86E-2</v>
      </c>
      <c r="X10" s="168" t="s">
        <v>618</v>
      </c>
      <c r="Y10" s="168" t="s">
        <v>62</v>
      </c>
      <c r="Z10" s="167" t="s">
        <v>773</v>
      </c>
      <c r="AA10" s="167" t="s">
        <v>305</v>
      </c>
      <c r="AB10" s="176" t="s">
        <v>1319</v>
      </c>
      <c r="AC10" s="167"/>
      <c r="AD10" s="172">
        <v>4571.42</v>
      </c>
      <c r="AE10" s="171">
        <v>1</v>
      </c>
      <c r="AF10" s="178">
        <v>97.29</v>
      </c>
      <c r="AG10" s="172">
        <v>4.4480000000000004</v>
      </c>
      <c r="AH10" s="167"/>
      <c r="AI10" s="167"/>
      <c r="AJ10" s="167" t="s">
        <v>17</v>
      </c>
      <c r="AK10" s="185">
        <v>0.52880954929392898</v>
      </c>
      <c r="AL10" s="185">
        <v>2.5598307975569401E-4</v>
      </c>
    </row>
    <row r="11" spans="1:38">
      <c r="A11" s="167">
        <v>337</v>
      </c>
      <c r="B11" s="167">
        <v>1477</v>
      </c>
      <c r="C11" s="167" t="s">
        <v>1636</v>
      </c>
      <c r="D11" s="167" t="s">
        <v>1637</v>
      </c>
      <c r="E11" s="168" t="s">
        <v>1346</v>
      </c>
      <c r="F11" s="167" t="s">
        <v>1643</v>
      </c>
      <c r="G11" s="167" t="s">
        <v>1644</v>
      </c>
      <c r="H11" s="167" t="s">
        <v>76</v>
      </c>
      <c r="I11" s="167" t="s">
        <v>228</v>
      </c>
      <c r="J11" s="168" t="s">
        <v>53</v>
      </c>
      <c r="K11" s="168" t="s">
        <v>53</v>
      </c>
      <c r="L11" s="167" t="s">
        <v>956</v>
      </c>
      <c r="M11" s="167" t="s">
        <v>636</v>
      </c>
      <c r="N11" s="167" t="s">
        <v>62</v>
      </c>
      <c r="O11" s="169" t="s">
        <v>1640</v>
      </c>
      <c r="P11" s="167" t="s">
        <v>1641</v>
      </c>
      <c r="Q11" s="167" t="s">
        <v>65</v>
      </c>
      <c r="R11" s="167" t="s">
        <v>57</v>
      </c>
      <c r="S11" s="168" t="s">
        <v>1259</v>
      </c>
      <c r="T11" s="172">
        <v>0.7</v>
      </c>
      <c r="U11" s="167" t="s">
        <v>1635</v>
      </c>
      <c r="V11" s="173">
        <v>4.7199999999999999E-2</v>
      </c>
      <c r="W11" s="185">
        <v>2.5000000000000001E-2</v>
      </c>
      <c r="X11" s="168" t="s">
        <v>618</v>
      </c>
      <c r="Y11" s="168" t="s">
        <v>62</v>
      </c>
      <c r="Z11" s="167" t="s">
        <v>773</v>
      </c>
      <c r="AA11" s="167" t="s">
        <v>1370</v>
      </c>
      <c r="AB11" s="176" t="s">
        <v>1319</v>
      </c>
      <c r="AC11" s="167"/>
      <c r="AD11" s="172">
        <v>3993.28</v>
      </c>
      <c r="AE11" s="171">
        <v>1</v>
      </c>
      <c r="AF11" s="178">
        <v>99.24</v>
      </c>
      <c r="AG11" s="172">
        <v>3.9630000000000001</v>
      </c>
      <c r="AH11" s="167"/>
      <c r="AI11" s="167"/>
      <c r="AJ11" s="167" t="s">
        <v>17</v>
      </c>
      <c r="AK11" s="185">
        <v>0.47119045070607102</v>
      </c>
      <c r="AL11" s="185">
        <v>2.28091158497916E-4</v>
      </c>
    </row>
    <row r="12" spans="1:38">
      <c r="A12" s="167">
        <v>337</v>
      </c>
      <c r="B12" s="167">
        <v>9962</v>
      </c>
      <c r="C12" s="167" t="s">
        <v>1602</v>
      </c>
      <c r="D12" s="167" t="s">
        <v>1603</v>
      </c>
      <c r="E12" s="168" t="s">
        <v>431</v>
      </c>
      <c r="F12" s="167" t="s">
        <v>1604</v>
      </c>
      <c r="G12" s="167" t="s">
        <v>1605</v>
      </c>
      <c r="H12" s="167" t="s">
        <v>76</v>
      </c>
      <c r="I12" s="167" t="s">
        <v>228</v>
      </c>
      <c r="J12" s="168" t="s">
        <v>53</v>
      </c>
      <c r="K12" s="168" t="s">
        <v>53</v>
      </c>
      <c r="L12" s="167" t="s">
        <v>956</v>
      </c>
      <c r="M12" s="167" t="s">
        <v>690</v>
      </c>
      <c r="N12" s="167" t="s">
        <v>62</v>
      </c>
      <c r="O12" s="169" t="s">
        <v>1606</v>
      </c>
      <c r="P12" s="167" t="s">
        <v>1607</v>
      </c>
      <c r="Q12" s="167" t="s">
        <v>65</v>
      </c>
      <c r="R12" s="167" t="s">
        <v>57</v>
      </c>
      <c r="S12" s="168" t="s">
        <v>1259</v>
      </c>
      <c r="T12" s="172">
        <v>1.91</v>
      </c>
      <c r="U12" s="167" t="s">
        <v>1608</v>
      </c>
      <c r="V12" s="173">
        <v>5.0999999999999997E-2</v>
      </c>
      <c r="W12" s="185">
        <v>2.86E-2</v>
      </c>
      <c r="X12" s="168" t="s">
        <v>618</v>
      </c>
      <c r="Y12" s="168" t="s">
        <v>62</v>
      </c>
      <c r="Z12" s="167" t="s">
        <v>773</v>
      </c>
      <c r="AA12" s="167" t="s">
        <v>305</v>
      </c>
      <c r="AB12" s="176" t="s">
        <v>1319</v>
      </c>
      <c r="AC12" s="167"/>
      <c r="AD12" s="172">
        <v>10857.15</v>
      </c>
      <c r="AE12" s="171">
        <v>1</v>
      </c>
      <c r="AF12" s="178">
        <v>97.29</v>
      </c>
      <c r="AG12" s="172">
        <v>10.563000000000001</v>
      </c>
      <c r="AH12" s="167"/>
      <c r="AI12" s="167"/>
      <c r="AJ12" s="167" t="s">
        <v>17</v>
      </c>
      <c r="AK12" s="185">
        <v>4.8521717493298602E-2</v>
      </c>
      <c r="AL12" s="185">
        <v>2.48275158133178E-4</v>
      </c>
    </row>
    <row r="13" spans="1:38">
      <c r="A13" s="167">
        <v>337</v>
      </c>
      <c r="B13" s="167">
        <v>9962</v>
      </c>
      <c r="C13" s="167" t="s">
        <v>1609</v>
      </c>
      <c r="D13" s="167" t="s">
        <v>1610</v>
      </c>
      <c r="E13" s="168" t="s">
        <v>1346</v>
      </c>
      <c r="F13" s="167" t="s">
        <v>1611</v>
      </c>
      <c r="G13" s="167" t="s">
        <v>1612</v>
      </c>
      <c r="H13" s="167" t="s">
        <v>76</v>
      </c>
      <c r="I13" s="167" t="s">
        <v>228</v>
      </c>
      <c r="J13" s="168" t="s">
        <v>53</v>
      </c>
      <c r="K13" s="168" t="s">
        <v>53</v>
      </c>
      <c r="L13" s="167" t="s">
        <v>956</v>
      </c>
      <c r="M13" s="167" t="s">
        <v>690</v>
      </c>
      <c r="N13" s="167" t="s">
        <v>62</v>
      </c>
      <c r="O13" s="169" t="s">
        <v>1613</v>
      </c>
      <c r="P13" s="167" t="s">
        <v>1614</v>
      </c>
      <c r="Q13" s="167" t="s">
        <v>96</v>
      </c>
      <c r="R13" s="167" t="s">
        <v>57</v>
      </c>
      <c r="S13" s="168" t="s">
        <v>1259</v>
      </c>
      <c r="T13" s="172">
        <v>1.72</v>
      </c>
      <c r="U13" s="167" t="s">
        <v>1615</v>
      </c>
      <c r="V13" s="173">
        <v>5.21E-2</v>
      </c>
      <c r="W13" s="185">
        <v>4.4699999999999997E-2</v>
      </c>
      <c r="X13" s="168" t="s">
        <v>618</v>
      </c>
      <c r="Y13" s="168" t="s">
        <v>62</v>
      </c>
      <c r="Z13" s="167" t="s">
        <v>773</v>
      </c>
      <c r="AA13" s="167" t="s">
        <v>1370</v>
      </c>
      <c r="AB13" s="176" t="s">
        <v>1319</v>
      </c>
      <c r="AC13" s="167"/>
      <c r="AD13" s="172">
        <v>68383.89</v>
      </c>
      <c r="AE13" s="171">
        <v>1</v>
      </c>
      <c r="AF13" s="178">
        <v>98.87</v>
      </c>
      <c r="AG13" s="172">
        <v>67.611000000000004</v>
      </c>
      <c r="AH13" s="167"/>
      <c r="AI13" s="167"/>
      <c r="AJ13" s="167" t="s">
        <v>17</v>
      </c>
      <c r="AK13" s="185">
        <v>0.31057783598316402</v>
      </c>
      <c r="AL13" s="185">
        <v>1.5891597685516699E-3</v>
      </c>
    </row>
    <row r="14" spans="1:38">
      <c r="A14" s="167">
        <v>337</v>
      </c>
      <c r="B14" s="167">
        <v>9962</v>
      </c>
      <c r="C14" s="167" t="s">
        <v>1616</v>
      </c>
      <c r="D14" s="167" t="s">
        <v>1617</v>
      </c>
      <c r="E14" s="168" t="s">
        <v>1346</v>
      </c>
      <c r="F14" s="167" t="s">
        <v>1618</v>
      </c>
      <c r="G14" s="167" t="s">
        <v>1619</v>
      </c>
      <c r="H14" s="167" t="s">
        <v>76</v>
      </c>
      <c r="I14" s="167" t="s">
        <v>228</v>
      </c>
      <c r="J14" s="168" t="s">
        <v>53</v>
      </c>
      <c r="K14" s="168" t="s">
        <v>53</v>
      </c>
      <c r="L14" s="167" t="s">
        <v>102</v>
      </c>
      <c r="M14" s="167" t="s">
        <v>690</v>
      </c>
      <c r="N14" s="167" t="s">
        <v>62</v>
      </c>
      <c r="O14" s="169" t="s">
        <v>1620</v>
      </c>
      <c r="P14" s="167" t="s">
        <v>1621</v>
      </c>
      <c r="Q14" s="167" t="s">
        <v>70</v>
      </c>
      <c r="R14" s="167" t="s">
        <v>57</v>
      </c>
      <c r="S14" s="168" t="s">
        <v>1259</v>
      </c>
      <c r="T14" s="172">
        <v>1.59</v>
      </c>
      <c r="U14" s="167" t="s">
        <v>1622</v>
      </c>
      <c r="V14" s="173">
        <v>4.7500000000000001E-2</v>
      </c>
      <c r="W14" s="185">
        <v>2.1000000000000001E-2</v>
      </c>
      <c r="X14" s="168" t="s">
        <v>618</v>
      </c>
      <c r="Y14" s="168" t="s">
        <v>62</v>
      </c>
      <c r="Z14" s="167" t="s">
        <v>773</v>
      </c>
      <c r="AA14" s="167" t="s">
        <v>1370</v>
      </c>
      <c r="AB14" s="176" t="s">
        <v>1319</v>
      </c>
      <c r="AC14" s="167"/>
      <c r="AD14" s="172">
        <v>8571.44</v>
      </c>
      <c r="AE14" s="171">
        <v>1</v>
      </c>
      <c r="AF14" s="178">
        <v>96.74</v>
      </c>
      <c r="AG14" s="172">
        <v>8.2919999999999998</v>
      </c>
      <c r="AH14" s="167"/>
      <c r="AI14" s="167"/>
      <c r="AJ14" s="167" t="s">
        <v>17</v>
      </c>
      <c r="AK14" s="185">
        <v>3.8090089754469397E-2</v>
      </c>
      <c r="AL14" s="185">
        <v>1.9489876998694301E-4</v>
      </c>
    </row>
    <row r="15" spans="1:38">
      <c r="A15" s="167">
        <v>337</v>
      </c>
      <c r="B15" s="167">
        <v>9962</v>
      </c>
      <c r="C15" s="167" t="s">
        <v>1623</v>
      </c>
      <c r="D15" s="167" t="s">
        <v>1624</v>
      </c>
      <c r="E15" s="168" t="s">
        <v>1346</v>
      </c>
      <c r="F15" s="167" t="s">
        <v>1625</v>
      </c>
      <c r="G15" s="167" t="s">
        <v>1626</v>
      </c>
      <c r="H15" s="167" t="s">
        <v>76</v>
      </c>
      <c r="I15" s="167" t="s">
        <v>228</v>
      </c>
      <c r="J15" s="168" t="s">
        <v>53</v>
      </c>
      <c r="K15" s="168" t="s">
        <v>53</v>
      </c>
      <c r="L15" s="167" t="s">
        <v>102</v>
      </c>
      <c r="M15" s="167" t="s">
        <v>633</v>
      </c>
      <c r="N15" s="167" t="s">
        <v>62</v>
      </c>
      <c r="O15" s="169" t="s">
        <v>1627</v>
      </c>
      <c r="P15" s="167" t="s">
        <v>1628</v>
      </c>
      <c r="Q15" s="167" t="s">
        <v>70</v>
      </c>
      <c r="R15" s="167" t="s">
        <v>57</v>
      </c>
      <c r="S15" s="168" t="s">
        <v>1259</v>
      </c>
      <c r="T15" s="172">
        <v>1.46</v>
      </c>
      <c r="U15" s="167" t="s">
        <v>1629</v>
      </c>
      <c r="V15" s="173">
        <v>4.6300000000000001E-2</v>
      </c>
      <c r="W15" s="185">
        <v>3.1E-2</v>
      </c>
      <c r="X15" s="168" t="s">
        <v>618</v>
      </c>
      <c r="Y15" s="168" t="s">
        <v>62</v>
      </c>
      <c r="Z15" s="167" t="s">
        <v>773</v>
      </c>
      <c r="AA15" s="167" t="s">
        <v>1370</v>
      </c>
      <c r="AB15" s="176" t="s">
        <v>1319</v>
      </c>
      <c r="AC15" s="167"/>
      <c r="AD15" s="172">
        <v>20133.54</v>
      </c>
      <c r="AE15" s="171">
        <v>1</v>
      </c>
      <c r="AF15" s="178">
        <v>97.91</v>
      </c>
      <c r="AG15" s="172">
        <v>19.713000000000001</v>
      </c>
      <c r="AH15" s="167"/>
      <c r="AI15" s="167"/>
      <c r="AJ15" s="167" t="s">
        <v>17</v>
      </c>
      <c r="AK15" s="185">
        <v>9.0552264605011007E-2</v>
      </c>
      <c r="AL15" s="185">
        <v>4.6333639812381799E-4</v>
      </c>
    </row>
    <row r="16" spans="1:38">
      <c r="A16" s="167">
        <v>337</v>
      </c>
      <c r="B16" s="167">
        <v>9962</v>
      </c>
      <c r="C16" s="167" t="s">
        <v>1630</v>
      </c>
      <c r="D16" s="167" t="s">
        <v>1631</v>
      </c>
      <c r="E16" s="168" t="s">
        <v>1346</v>
      </c>
      <c r="F16" s="167" t="s">
        <v>1632</v>
      </c>
      <c r="G16" s="167" t="s">
        <v>1633</v>
      </c>
      <c r="H16" s="167" t="s">
        <v>76</v>
      </c>
      <c r="I16" s="167" t="s">
        <v>228</v>
      </c>
      <c r="J16" s="168" t="s">
        <v>53</v>
      </c>
      <c r="K16" s="168" t="s">
        <v>53</v>
      </c>
      <c r="L16" s="167" t="s">
        <v>102</v>
      </c>
      <c r="M16" s="167" t="s">
        <v>257</v>
      </c>
      <c r="N16" s="167" t="s">
        <v>62</v>
      </c>
      <c r="O16" s="169" t="s">
        <v>1634</v>
      </c>
      <c r="P16" s="167" t="s">
        <v>1628</v>
      </c>
      <c r="Q16" s="167" t="s">
        <v>70</v>
      </c>
      <c r="R16" s="167" t="s">
        <v>57</v>
      </c>
      <c r="S16" s="168" t="s">
        <v>1259</v>
      </c>
      <c r="T16" s="172">
        <v>0.46</v>
      </c>
      <c r="U16" s="167" t="s">
        <v>1635</v>
      </c>
      <c r="V16" s="173">
        <v>5.1999999999999998E-2</v>
      </c>
      <c r="W16" s="185">
        <v>6.5000000000000002E-2</v>
      </c>
      <c r="X16" s="168" t="s">
        <v>618</v>
      </c>
      <c r="Y16" s="168" t="s">
        <v>62</v>
      </c>
      <c r="Z16" s="167" t="s">
        <v>773</v>
      </c>
      <c r="AA16" s="167" t="s">
        <v>305</v>
      </c>
      <c r="AB16" s="176" t="s">
        <v>1319</v>
      </c>
      <c r="AC16" s="167"/>
      <c r="AD16" s="172">
        <v>7847.14</v>
      </c>
      <c r="AE16" s="171">
        <v>1</v>
      </c>
      <c r="AF16" s="178">
        <v>100.81</v>
      </c>
      <c r="AG16" s="172">
        <v>7.9109999999999996</v>
      </c>
      <c r="AH16" s="167"/>
      <c r="AI16" s="167"/>
      <c r="AJ16" s="167" t="s">
        <v>17</v>
      </c>
      <c r="AK16" s="185">
        <v>3.6338511953608002E-2</v>
      </c>
      <c r="AL16" s="185">
        <v>1.8593632434491699E-4</v>
      </c>
    </row>
    <row r="17" spans="1:38">
      <c r="A17" s="167">
        <v>337</v>
      </c>
      <c r="B17" s="167">
        <v>9962</v>
      </c>
      <c r="C17" s="167" t="s">
        <v>1636</v>
      </c>
      <c r="D17" s="167" t="s">
        <v>1637</v>
      </c>
      <c r="E17" s="168" t="s">
        <v>1346</v>
      </c>
      <c r="F17" s="167" t="s">
        <v>1638</v>
      </c>
      <c r="G17" s="167" t="s">
        <v>1639</v>
      </c>
      <c r="H17" s="167" t="s">
        <v>76</v>
      </c>
      <c r="I17" s="167" t="s">
        <v>229</v>
      </c>
      <c r="J17" s="168" t="s">
        <v>53</v>
      </c>
      <c r="K17" s="168" t="s">
        <v>53</v>
      </c>
      <c r="L17" s="167" t="s">
        <v>102</v>
      </c>
      <c r="M17" s="167" t="s">
        <v>636</v>
      </c>
      <c r="N17" s="167" t="s">
        <v>62</v>
      </c>
      <c r="O17" s="169" t="s">
        <v>1640</v>
      </c>
      <c r="P17" s="167" t="s">
        <v>1641</v>
      </c>
      <c r="Q17" s="167" t="s">
        <v>65</v>
      </c>
      <c r="R17" s="167" t="s">
        <v>57</v>
      </c>
      <c r="S17" s="168" t="s">
        <v>1259</v>
      </c>
      <c r="T17" s="172">
        <v>4.38</v>
      </c>
      <c r="U17" s="167" t="s">
        <v>1642</v>
      </c>
      <c r="V17" s="173">
        <v>2.4899999999999999E-2</v>
      </c>
      <c r="W17" s="185">
        <v>2.3217999999999999E-2</v>
      </c>
      <c r="X17" s="168" t="s">
        <v>618</v>
      </c>
      <c r="Y17" s="168" t="s">
        <v>62</v>
      </c>
      <c r="Z17" s="167" t="s">
        <v>773</v>
      </c>
      <c r="AA17" s="167" t="s">
        <v>1370</v>
      </c>
      <c r="AB17" s="176" t="s">
        <v>1319</v>
      </c>
      <c r="AC17" s="167"/>
      <c r="AD17" s="172">
        <v>27154.48</v>
      </c>
      <c r="AE17" s="171">
        <v>1</v>
      </c>
      <c r="AF17" s="178">
        <v>117.69</v>
      </c>
      <c r="AG17" s="172">
        <v>31.957999999999998</v>
      </c>
      <c r="AH17" s="167"/>
      <c r="AI17" s="167"/>
      <c r="AJ17" s="167" t="s">
        <v>17</v>
      </c>
      <c r="AK17" s="185">
        <v>0.146802407195809</v>
      </c>
      <c r="AL17" s="185">
        <v>7.5115623979930997E-4</v>
      </c>
    </row>
    <row r="18" spans="1:38">
      <c r="A18" s="167">
        <v>337</v>
      </c>
      <c r="B18" s="167">
        <v>9962</v>
      </c>
      <c r="C18" s="167" t="s">
        <v>1636</v>
      </c>
      <c r="D18" s="167" t="s">
        <v>1637</v>
      </c>
      <c r="E18" s="168" t="s">
        <v>1346</v>
      </c>
      <c r="F18" s="167" t="s">
        <v>1643</v>
      </c>
      <c r="G18" s="167" t="s">
        <v>1644</v>
      </c>
      <c r="H18" s="167" t="s">
        <v>76</v>
      </c>
      <c r="I18" s="167" t="s">
        <v>228</v>
      </c>
      <c r="J18" s="168" t="s">
        <v>53</v>
      </c>
      <c r="K18" s="168" t="s">
        <v>53</v>
      </c>
      <c r="L18" s="167" t="s">
        <v>956</v>
      </c>
      <c r="M18" s="167" t="s">
        <v>636</v>
      </c>
      <c r="N18" s="167" t="s">
        <v>62</v>
      </c>
      <c r="O18" s="169" t="s">
        <v>1640</v>
      </c>
      <c r="P18" s="167" t="s">
        <v>1641</v>
      </c>
      <c r="Q18" s="167" t="s">
        <v>65</v>
      </c>
      <c r="R18" s="167" t="s">
        <v>57</v>
      </c>
      <c r="S18" s="168" t="s">
        <v>1259</v>
      </c>
      <c r="T18" s="172">
        <v>0.7</v>
      </c>
      <c r="U18" s="167" t="s">
        <v>1635</v>
      </c>
      <c r="V18" s="173">
        <v>4.7199999999999999E-2</v>
      </c>
      <c r="W18" s="185">
        <v>2.5000000000000001E-2</v>
      </c>
      <c r="X18" s="168" t="s">
        <v>618</v>
      </c>
      <c r="Y18" s="168" t="s">
        <v>62</v>
      </c>
      <c r="Z18" s="167" t="s">
        <v>773</v>
      </c>
      <c r="AA18" s="167" t="s">
        <v>1370</v>
      </c>
      <c r="AB18" s="176" t="s">
        <v>1319</v>
      </c>
      <c r="AC18" s="167"/>
      <c r="AD18" s="172">
        <v>15973.12</v>
      </c>
      <c r="AE18" s="171">
        <v>1</v>
      </c>
      <c r="AF18" s="178">
        <v>99.24</v>
      </c>
      <c r="AG18" s="172">
        <v>15.852</v>
      </c>
      <c r="AH18" s="167"/>
      <c r="AI18" s="167"/>
      <c r="AJ18" s="167" t="s">
        <v>17</v>
      </c>
      <c r="AK18" s="185">
        <v>7.2816304369990606E-2</v>
      </c>
      <c r="AL18" s="185">
        <v>3.7258531676315502E-4</v>
      </c>
    </row>
    <row r="19" spans="1:38">
      <c r="A19" s="167">
        <v>337</v>
      </c>
      <c r="B19" s="167">
        <v>9962</v>
      </c>
      <c r="C19" s="167" t="s">
        <v>1636</v>
      </c>
      <c r="D19" s="167" t="s">
        <v>1637</v>
      </c>
      <c r="E19" s="168" t="s">
        <v>1346</v>
      </c>
      <c r="F19" s="167" t="s">
        <v>1645</v>
      </c>
      <c r="G19" s="167" t="s">
        <v>1646</v>
      </c>
      <c r="H19" s="167" t="s">
        <v>76</v>
      </c>
      <c r="I19" s="167" t="s">
        <v>228</v>
      </c>
      <c r="J19" s="168" t="s">
        <v>53</v>
      </c>
      <c r="K19" s="168" t="s">
        <v>53</v>
      </c>
      <c r="L19" s="167" t="s">
        <v>956</v>
      </c>
      <c r="M19" s="167" t="s">
        <v>636</v>
      </c>
      <c r="N19" s="167" t="s">
        <v>62</v>
      </c>
      <c r="O19" s="169" t="s">
        <v>1640</v>
      </c>
      <c r="P19" s="167" t="s">
        <v>1641</v>
      </c>
      <c r="Q19" s="167" t="s">
        <v>65</v>
      </c>
      <c r="R19" s="167" t="s">
        <v>57</v>
      </c>
      <c r="S19" s="168" t="s">
        <v>1259</v>
      </c>
      <c r="T19" s="172">
        <v>4.13</v>
      </c>
      <c r="U19" s="167" t="s">
        <v>1642</v>
      </c>
      <c r="V19" s="173">
        <v>4.65E-2</v>
      </c>
      <c r="W19" s="185">
        <v>3.7400000000000003E-2</v>
      </c>
      <c r="X19" s="168" t="s">
        <v>618</v>
      </c>
      <c r="Y19" s="168" t="s">
        <v>62</v>
      </c>
      <c r="Z19" s="167" t="s">
        <v>773</v>
      </c>
      <c r="AA19" s="167" t="s">
        <v>1370</v>
      </c>
      <c r="AB19" s="176" t="s">
        <v>1319</v>
      </c>
      <c r="AC19" s="167"/>
      <c r="AD19" s="172">
        <v>57167.360000000001</v>
      </c>
      <c r="AE19" s="171">
        <v>1</v>
      </c>
      <c r="AF19" s="178">
        <v>97.6</v>
      </c>
      <c r="AG19" s="172">
        <v>55.795000000000002</v>
      </c>
      <c r="AH19" s="167"/>
      <c r="AI19" s="167"/>
      <c r="AJ19" s="167" t="s">
        <v>17</v>
      </c>
      <c r="AK19" s="185">
        <v>0.25630086864465002</v>
      </c>
      <c r="AL19" s="185">
        <v>1.31143623885963E-3</v>
      </c>
    </row>
    <row r="20" spans="1:38">
      <c r="A20" s="9">
        <v>337</v>
      </c>
      <c r="B20" s="9">
        <v>9963</v>
      </c>
      <c r="C20" s="9" t="s">
        <v>1647</v>
      </c>
      <c r="D20" s="9" t="s">
        <v>1648</v>
      </c>
      <c r="E20" s="168" t="s">
        <v>1346</v>
      </c>
      <c r="F20" s="9" t="s">
        <v>1649</v>
      </c>
      <c r="G20" s="9" t="s">
        <v>1650</v>
      </c>
      <c r="H20" s="167" t="s">
        <v>76</v>
      </c>
      <c r="I20" s="167" t="s">
        <v>229</v>
      </c>
      <c r="J20" s="168" t="s">
        <v>53</v>
      </c>
      <c r="K20" s="168" t="s">
        <v>53</v>
      </c>
      <c r="L20" s="167" t="s">
        <v>102</v>
      </c>
      <c r="M20" s="167" t="s">
        <v>690</v>
      </c>
      <c r="N20" s="167" t="s">
        <v>62</v>
      </c>
      <c r="O20" s="176" t="s">
        <v>1651</v>
      </c>
      <c r="P20" s="9" t="s">
        <v>298</v>
      </c>
      <c r="Q20" s="9" t="s">
        <v>298</v>
      </c>
      <c r="R20" s="9" t="s">
        <v>298</v>
      </c>
      <c r="S20" s="9" t="s">
        <v>1259</v>
      </c>
      <c r="T20" s="170">
        <v>0.01</v>
      </c>
      <c r="U20" s="9" t="s">
        <v>1652</v>
      </c>
      <c r="V20" s="185">
        <v>1E-4</v>
      </c>
      <c r="W20" s="185">
        <v>5.3499999999999999E-2</v>
      </c>
      <c r="X20" s="168" t="s">
        <v>618</v>
      </c>
      <c r="Y20" s="5" t="s">
        <v>55</v>
      </c>
      <c r="Z20" s="9" t="s">
        <v>102</v>
      </c>
      <c r="AA20" s="167" t="s">
        <v>304</v>
      </c>
      <c r="AB20" s="176" t="s">
        <v>1319</v>
      </c>
      <c r="AC20" s="9"/>
      <c r="AD20" s="170">
        <v>127573.24</v>
      </c>
      <c r="AE20" s="184">
        <v>1</v>
      </c>
      <c r="AF20" s="186">
        <v>0</v>
      </c>
      <c r="AG20" s="170">
        <v>0</v>
      </c>
      <c r="AH20" s="9"/>
      <c r="AI20" s="9"/>
      <c r="AJ20" s="167" t="s">
        <v>17</v>
      </c>
      <c r="AK20" s="185">
        <v>1.03510742582135E-10</v>
      </c>
      <c r="AL20" s="185">
        <v>1.1465901127951099E-12</v>
      </c>
    </row>
    <row r="21" spans="1:38" customFormat="1">
      <c r="A21" s="9">
        <v>337</v>
      </c>
      <c r="B21" s="9">
        <v>9963</v>
      </c>
      <c r="C21" s="9" t="s">
        <v>1653</v>
      </c>
      <c r="D21" s="9" t="s">
        <v>1654</v>
      </c>
      <c r="E21" s="5" t="s">
        <v>1346</v>
      </c>
      <c r="F21" s="9" t="s">
        <v>1655</v>
      </c>
      <c r="G21" s="9" t="s">
        <v>1656</v>
      </c>
      <c r="H21" s="9" t="s">
        <v>78</v>
      </c>
      <c r="I21" s="9" t="s">
        <v>102</v>
      </c>
      <c r="J21" s="9" t="s">
        <v>53</v>
      </c>
      <c r="K21" s="9" t="s">
        <v>53</v>
      </c>
      <c r="L21" s="9" t="s">
        <v>102</v>
      </c>
      <c r="M21" s="9" t="s">
        <v>414</v>
      </c>
      <c r="N21" s="9" t="s">
        <v>62</v>
      </c>
      <c r="O21" s="176" t="s">
        <v>1325</v>
      </c>
      <c r="P21" s="9" t="s">
        <v>298</v>
      </c>
      <c r="Q21" s="9" t="s">
        <v>298</v>
      </c>
      <c r="R21" s="9" t="s">
        <v>298</v>
      </c>
      <c r="S21" s="9" t="s">
        <v>1259</v>
      </c>
      <c r="T21" s="170">
        <v>0.01</v>
      </c>
      <c r="U21" s="9" t="s">
        <v>1657</v>
      </c>
      <c r="V21" s="185">
        <v>1E-4</v>
      </c>
      <c r="W21" s="185">
        <v>8.7999999999999995E-2</v>
      </c>
      <c r="X21" s="5" t="s">
        <v>618</v>
      </c>
      <c r="Y21" s="5" t="s">
        <v>55</v>
      </c>
      <c r="Z21" s="9" t="s">
        <v>102</v>
      </c>
      <c r="AA21" s="167" t="s">
        <v>304</v>
      </c>
      <c r="AB21" s="176" t="s">
        <v>1319</v>
      </c>
      <c r="AC21" s="9"/>
      <c r="AD21" s="170">
        <v>187658.1</v>
      </c>
      <c r="AE21" s="184">
        <v>1</v>
      </c>
      <c r="AF21" s="186">
        <v>0</v>
      </c>
      <c r="AG21" s="170">
        <v>0</v>
      </c>
      <c r="AH21" s="9"/>
      <c r="AI21" s="9"/>
      <c r="AJ21" s="9" t="s">
        <v>17</v>
      </c>
      <c r="AK21" s="185">
        <v>1.52262569192038E-10</v>
      </c>
      <c r="AL21" s="185">
        <v>1.68661485783317E-12</v>
      </c>
    </row>
    <row r="22" spans="1:38">
      <c r="A22" s="9">
        <v>337</v>
      </c>
      <c r="B22" s="9">
        <v>9963</v>
      </c>
      <c r="C22" s="9" t="s">
        <v>1658</v>
      </c>
      <c r="D22" s="9" t="s">
        <v>1659</v>
      </c>
      <c r="E22" s="5" t="s">
        <v>1346</v>
      </c>
      <c r="F22" s="9" t="s">
        <v>1660</v>
      </c>
      <c r="G22" s="9" t="s">
        <v>1661</v>
      </c>
      <c r="H22" s="9" t="s">
        <v>76</v>
      </c>
      <c r="I22" s="9" t="s">
        <v>229</v>
      </c>
      <c r="J22" s="9" t="s">
        <v>53</v>
      </c>
      <c r="K22" s="9" t="s">
        <v>53</v>
      </c>
      <c r="L22" s="9" t="s">
        <v>102</v>
      </c>
      <c r="M22" s="9" t="s">
        <v>257</v>
      </c>
      <c r="N22" s="9" t="s">
        <v>62</v>
      </c>
      <c r="O22" s="176" t="s">
        <v>1325</v>
      </c>
      <c r="P22" s="9" t="s">
        <v>1331</v>
      </c>
      <c r="Q22" s="9" t="s">
        <v>65</v>
      </c>
      <c r="R22" s="9" t="s">
        <v>57</v>
      </c>
      <c r="S22" s="9" t="s">
        <v>1259</v>
      </c>
      <c r="T22" s="170">
        <v>0.19</v>
      </c>
      <c r="U22" s="9" t="s">
        <v>1662</v>
      </c>
      <c r="V22" s="185">
        <v>2.93E-2</v>
      </c>
      <c r="W22" s="185">
        <v>7.7499999999999999E-2</v>
      </c>
      <c r="X22" s="5" t="s">
        <v>618</v>
      </c>
      <c r="Y22" s="5" t="s">
        <v>62</v>
      </c>
      <c r="Z22" s="9" t="s">
        <v>773</v>
      </c>
      <c r="AA22" s="9" t="s">
        <v>1370</v>
      </c>
      <c r="AB22" s="176" t="s">
        <v>1319</v>
      </c>
      <c r="AC22" s="9"/>
      <c r="AD22" s="170">
        <v>61310.69</v>
      </c>
      <c r="AE22" s="184">
        <v>1</v>
      </c>
      <c r="AF22" s="186">
        <v>147</v>
      </c>
      <c r="AG22" s="170">
        <v>90.126999999999995</v>
      </c>
      <c r="AH22" s="9"/>
      <c r="AI22" s="9"/>
      <c r="AJ22" s="9" t="s">
        <v>17</v>
      </c>
      <c r="AK22" s="185">
        <v>7.3127272801732403E-3</v>
      </c>
      <c r="AL22" s="185">
        <v>8.1003194333772405E-5</v>
      </c>
    </row>
    <row r="23" spans="1:38">
      <c r="A23" s="9">
        <v>337</v>
      </c>
      <c r="B23" s="9">
        <v>9963</v>
      </c>
      <c r="C23" s="9" t="s">
        <v>1602</v>
      </c>
      <c r="D23" s="9" t="s">
        <v>1603</v>
      </c>
      <c r="E23" s="5" t="s">
        <v>431</v>
      </c>
      <c r="F23" s="9" t="s">
        <v>1604</v>
      </c>
      <c r="G23" s="9" t="s">
        <v>1605</v>
      </c>
      <c r="H23" s="9" t="s">
        <v>76</v>
      </c>
      <c r="I23" s="9" t="s">
        <v>228</v>
      </c>
      <c r="J23" s="9" t="s">
        <v>53</v>
      </c>
      <c r="K23" s="9" t="s">
        <v>53</v>
      </c>
      <c r="L23" s="9" t="s">
        <v>956</v>
      </c>
      <c r="M23" s="9" t="s">
        <v>690</v>
      </c>
      <c r="N23" s="9" t="s">
        <v>62</v>
      </c>
      <c r="O23" s="176" t="s">
        <v>1606</v>
      </c>
      <c r="P23" s="9" t="s">
        <v>1607</v>
      </c>
      <c r="Q23" s="9" t="s">
        <v>65</v>
      </c>
      <c r="R23" s="9" t="s">
        <v>57</v>
      </c>
      <c r="S23" s="9" t="s">
        <v>1259</v>
      </c>
      <c r="T23" s="170">
        <v>1.91</v>
      </c>
      <c r="U23" s="9" t="s">
        <v>1608</v>
      </c>
      <c r="V23" s="185">
        <v>5.0999999999999997E-2</v>
      </c>
      <c r="W23" s="185">
        <v>2.86E-2</v>
      </c>
      <c r="X23" s="5" t="s">
        <v>618</v>
      </c>
      <c r="Y23" s="5" t="s">
        <v>62</v>
      </c>
      <c r="Z23" s="9" t="s">
        <v>773</v>
      </c>
      <c r="AA23" s="9" t="s">
        <v>305</v>
      </c>
      <c r="AB23" s="176" t="s">
        <v>1319</v>
      </c>
      <c r="AC23" s="9"/>
      <c r="AD23" s="170">
        <v>604571.56999999995</v>
      </c>
      <c r="AE23" s="184">
        <v>1</v>
      </c>
      <c r="AF23" s="186">
        <v>97.29</v>
      </c>
      <c r="AG23" s="170">
        <v>588.18799999999999</v>
      </c>
      <c r="AH23" s="9"/>
      <c r="AI23" s="9"/>
      <c r="AJ23" s="9" t="s">
        <v>17</v>
      </c>
      <c r="AK23" s="185">
        <v>4.7724541276331398E-2</v>
      </c>
      <c r="AL23" s="185">
        <v>5.28645489348159E-4</v>
      </c>
    </row>
    <row r="24" spans="1:38">
      <c r="A24" s="9">
        <v>337</v>
      </c>
      <c r="B24" s="9">
        <v>9963</v>
      </c>
      <c r="C24" s="9" t="s">
        <v>1609</v>
      </c>
      <c r="D24" s="9" t="s">
        <v>1610</v>
      </c>
      <c r="E24" s="5" t="s">
        <v>1346</v>
      </c>
      <c r="F24" s="9" t="s">
        <v>1611</v>
      </c>
      <c r="G24" s="9" t="s">
        <v>1612</v>
      </c>
      <c r="H24" s="9" t="s">
        <v>76</v>
      </c>
      <c r="I24" s="9" t="s">
        <v>228</v>
      </c>
      <c r="J24" s="9" t="s">
        <v>53</v>
      </c>
      <c r="K24" s="9" t="s">
        <v>53</v>
      </c>
      <c r="L24" s="9" t="s">
        <v>956</v>
      </c>
      <c r="M24" s="9" t="s">
        <v>690</v>
      </c>
      <c r="N24" s="9" t="s">
        <v>62</v>
      </c>
      <c r="O24" s="176" t="s">
        <v>1613</v>
      </c>
      <c r="P24" s="9" t="s">
        <v>1614</v>
      </c>
      <c r="Q24" s="9" t="s">
        <v>96</v>
      </c>
      <c r="R24" s="9" t="s">
        <v>57</v>
      </c>
      <c r="S24" s="9" t="s">
        <v>1259</v>
      </c>
      <c r="T24" s="170">
        <v>1.72</v>
      </c>
      <c r="U24" s="9" t="s">
        <v>1615</v>
      </c>
      <c r="V24" s="185">
        <v>5.21E-2</v>
      </c>
      <c r="W24" s="185">
        <v>4.4699999999999997E-2</v>
      </c>
      <c r="X24" s="5" t="s">
        <v>618</v>
      </c>
      <c r="Y24" s="5" t="s">
        <v>62</v>
      </c>
      <c r="Z24" s="9" t="s">
        <v>773</v>
      </c>
      <c r="AA24" s="9" t="s">
        <v>1370</v>
      </c>
      <c r="AB24" s="176" t="s">
        <v>1319</v>
      </c>
      <c r="AC24" s="9"/>
      <c r="AD24" s="170">
        <v>2714211.14</v>
      </c>
      <c r="AE24" s="184">
        <v>1</v>
      </c>
      <c r="AF24" s="186">
        <v>98.87</v>
      </c>
      <c r="AG24" s="170">
        <v>2683.5410000000002</v>
      </c>
      <c r="AH24" s="9"/>
      <c r="AI24" s="9"/>
      <c r="AJ24" s="9" t="s">
        <v>17</v>
      </c>
      <c r="AK24" s="185">
        <v>0.21773788570865399</v>
      </c>
      <c r="AL24" s="185">
        <v>2.41188596184938E-3</v>
      </c>
    </row>
    <row r="25" spans="1:38">
      <c r="A25" s="9">
        <v>337</v>
      </c>
      <c r="B25" s="9">
        <v>9963</v>
      </c>
      <c r="C25" s="9" t="s">
        <v>1663</v>
      </c>
      <c r="D25" s="9" t="s">
        <v>1664</v>
      </c>
      <c r="E25" s="5" t="s">
        <v>1346</v>
      </c>
      <c r="F25" s="9" t="s">
        <v>1665</v>
      </c>
      <c r="G25" s="9" t="s">
        <v>1666</v>
      </c>
      <c r="H25" s="9" t="s">
        <v>78</v>
      </c>
      <c r="I25" s="9" t="s">
        <v>229</v>
      </c>
      <c r="J25" s="9" t="s">
        <v>53</v>
      </c>
      <c r="K25" s="9" t="s">
        <v>53</v>
      </c>
      <c r="L25" s="9" t="s">
        <v>102</v>
      </c>
      <c r="M25" s="9" t="s">
        <v>256</v>
      </c>
      <c r="N25" s="9" t="s">
        <v>62</v>
      </c>
      <c r="O25" s="176" t="s">
        <v>1325</v>
      </c>
      <c r="P25" s="9" t="s">
        <v>1331</v>
      </c>
      <c r="Q25" s="9" t="s">
        <v>65</v>
      </c>
      <c r="R25" s="9" t="s">
        <v>57</v>
      </c>
      <c r="S25" s="9" t="s">
        <v>1259</v>
      </c>
      <c r="T25" s="170">
        <v>1.05</v>
      </c>
      <c r="U25" s="9" t="s">
        <v>1667</v>
      </c>
      <c r="V25" s="185">
        <v>2.4410000000000001E-2</v>
      </c>
      <c r="W25" s="185">
        <v>6.6000000000000003E-2</v>
      </c>
      <c r="X25" s="5" t="s">
        <v>618</v>
      </c>
      <c r="Y25" s="5" t="s">
        <v>62</v>
      </c>
      <c r="Z25" s="9" t="s">
        <v>773</v>
      </c>
      <c r="AA25" s="9" t="s">
        <v>1370</v>
      </c>
      <c r="AB25" s="176" t="s">
        <v>1319</v>
      </c>
      <c r="AC25" s="9"/>
      <c r="AD25" s="170">
        <v>350000</v>
      </c>
      <c r="AE25" s="184">
        <v>1</v>
      </c>
      <c r="AF25" s="186">
        <v>153.44999999999999</v>
      </c>
      <c r="AG25" s="170">
        <v>537.07500000000005</v>
      </c>
      <c r="AH25" s="9"/>
      <c r="AI25" s="9"/>
      <c r="AJ25" s="9" t="s">
        <v>17</v>
      </c>
      <c r="AK25" s="185">
        <v>4.3577345901303403E-2</v>
      </c>
      <c r="AL25" s="185">
        <v>4.8270694138475699E-4</v>
      </c>
    </row>
    <row r="26" spans="1:38">
      <c r="A26" s="9">
        <v>337</v>
      </c>
      <c r="B26" s="9">
        <v>9963</v>
      </c>
      <c r="C26" s="9" t="s">
        <v>1616</v>
      </c>
      <c r="D26" s="9" t="s">
        <v>1617</v>
      </c>
      <c r="E26" s="5" t="s">
        <v>1346</v>
      </c>
      <c r="F26" s="9" t="s">
        <v>1618</v>
      </c>
      <c r="G26" s="9" t="s">
        <v>1619</v>
      </c>
      <c r="H26" s="9" t="s">
        <v>76</v>
      </c>
      <c r="I26" s="9" t="s">
        <v>228</v>
      </c>
      <c r="J26" s="9" t="s">
        <v>53</v>
      </c>
      <c r="K26" s="9" t="s">
        <v>53</v>
      </c>
      <c r="L26" s="5" t="s">
        <v>102</v>
      </c>
      <c r="M26" s="9" t="s">
        <v>690</v>
      </c>
      <c r="N26" s="9" t="s">
        <v>62</v>
      </c>
      <c r="O26" s="176" t="s">
        <v>1620</v>
      </c>
      <c r="P26" s="9" t="s">
        <v>1621</v>
      </c>
      <c r="Q26" s="9" t="s">
        <v>70</v>
      </c>
      <c r="R26" s="9" t="s">
        <v>57</v>
      </c>
      <c r="S26" s="9" t="s">
        <v>1259</v>
      </c>
      <c r="T26" s="170">
        <v>1.59</v>
      </c>
      <c r="U26" s="9" t="s">
        <v>1622</v>
      </c>
      <c r="V26" s="185">
        <v>4.7500000000000001E-2</v>
      </c>
      <c r="W26" s="185">
        <v>2.1000000000000001E-2</v>
      </c>
      <c r="X26" s="5" t="s">
        <v>618</v>
      </c>
      <c r="Y26" s="5" t="s">
        <v>62</v>
      </c>
      <c r="Z26" s="9" t="s">
        <v>773</v>
      </c>
      <c r="AA26" s="9" t="s">
        <v>1370</v>
      </c>
      <c r="AB26" s="176" t="s">
        <v>1319</v>
      </c>
      <c r="AC26" s="9"/>
      <c r="AD26" s="170">
        <v>934715.53</v>
      </c>
      <c r="AE26" s="184">
        <v>1</v>
      </c>
      <c r="AF26" s="186">
        <v>96.74</v>
      </c>
      <c r="AG26" s="170">
        <v>904.24400000000003</v>
      </c>
      <c r="AH26" s="9"/>
      <c r="AI26" s="9"/>
      <c r="AJ26" s="9" t="s">
        <v>17</v>
      </c>
      <c r="AK26" s="185">
        <v>7.33687939559724E-2</v>
      </c>
      <c r="AL26" s="185">
        <v>8.1270727693667495E-4</v>
      </c>
    </row>
    <row r="27" spans="1:38">
      <c r="A27" s="9">
        <v>337</v>
      </c>
      <c r="B27" s="9">
        <v>9963</v>
      </c>
      <c r="C27" s="9" t="s">
        <v>1668</v>
      </c>
      <c r="D27" s="9" t="s">
        <v>1669</v>
      </c>
      <c r="E27" s="5" t="s">
        <v>1346</v>
      </c>
      <c r="F27" s="9" t="s">
        <v>1670</v>
      </c>
      <c r="G27" s="9" t="s">
        <v>1671</v>
      </c>
      <c r="H27" s="9" t="s">
        <v>76</v>
      </c>
      <c r="I27" s="9" t="s">
        <v>102</v>
      </c>
      <c r="J27" s="9" t="s">
        <v>53</v>
      </c>
      <c r="K27" s="9" t="s">
        <v>53</v>
      </c>
      <c r="L27" s="5" t="s">
        <v>102</v>
      </c>
      <c r="M27" s="9" t="s">
        <v>258</v>
      </c>
      <c r="N27" s="9" t="s">
        <v>62</v>
      </c>
      <c r="O27" s="176" t="s">
        <v>1325</v>
      </c>
      <c r="P27" s="9" t="s">
        <v>298</v>
      </c>
      <c r="Q27" s="9" t="s">
        <v>298</v>
      </c>
      <c r="R27" s="9" t="s">
        <v>298</v>
      </c>
      <c r="S27" s="9" t="s">
        <v>1259</v>
      </c>
      <c r="T27" s="170">
        <v>0.01</v>
      </c>
      <c r="U27" s="9" t="s">
        <v>1672</v>
      </c>
      <c r="V27" s="185">
        <v>1E-4</v>
      </c>
      <c r="W27" s="185">
        <v>7.3999999999999996E-2</v>
      </c>
      <c r="X27" s="5" t="s">
        <v>618</v>
      </c>
      <c r="Y27" s="5" t="s">
        <v>55</v>
      </c>
      <c r="Z27" s="9" t="s">
        <v>102</v>
      </c>
      <c r="AA27" s="167" t="s">
        <v>304</v>
      </c>
      <c r="AB27" s="176" t="s">
        <v>1673</v>
      </c>
      <c r="AC27" s="9"/>
      <c r="AD27" s="170">
        <v>94232.8</v>
      </c>
      <c r="AE27" s="184">
        <v>1</v>
      </c>
      <c r="AF27" s="186">
        <v>0</v>
      </c>
      <c r="AG27" s="170">
        <v>0</v>
      </c>
      <c r="AH27" s="9"/>
      <c r="AI27" s="9"/>
      <c r="AJ27" s="9" t="s">
        <v>17</v>
      </c>
      <c r="AK27" s="185">
        <v>7.6458880432869605E-9</v>
      </c>
      <c r="AL27" s="185">
        <v>8.4693621311961097E-11</v>
      </c>
    </row>
    <row r="28" spans="1:38">
      <c r="A28" s="9">
        <v>337</v>
      </c>
      <c r="B28" s="9">
        <v>9963</v>
      </c>
      <c r="C28" s="9" t="s">
        <v>1623</v>
      </c>
      <c r="D28" s="9" t="s">
        <v>1624</v>
      </c>
      <c r="E28" s="5" t="s">
        <v>1346</v>
      </c>
      <c r="F28" s="9" t="s">
        <v>1625</v>
      </c>
      <c r="G28" s="9" t="s">
        <v>1626</v>
      </c>
      <c r="H28" s="9" t="s">
        <v>76</v>
      </c>
      <c r="I28" s="9" t="s">
        <v>228</v>
      </c>
      <c r="J28" s="9" t="s">
        <v>53</v>
      </c>
      <c r="K28" s="9" t="s">
        <v>53</v>
      </c>
      <c r="L28" s="5" t="s">
        <v>102</v>
      </c>
      <c r="M28" s="9" t="s">
        <v>633</v>
      </c>
      <c r="N28" s="9" t="s">
        <v>62</v>
      </c>
      <c r="O28" s="176" t="s">
        <v>1627</v>
      </c>
      <c r="P28" s="9" t="s">
        <v>1628</v>
      </c>
      <c r="Q28" s="9" t="s">
        <v>70</v>
      </c>
      <c r="R28" s="9" t="s">
        <v>57</v>
      </c>
      <c r="S28" s="9" t="s">
        <v>1259</v>
      </c>
      <c r="T28" s="170">
        <v>1.46</v>
      </c>
      <c r="U28" s="9" t="s">
        <v>1629</v>
      </c>
      <c r="V28" s="185">
        <v>4.6300000000000001E-2</v>
      </c>
      <c r="W28" s="185">
        <v>3.1E-2</v>
      </c>
      <c r="X28" s="5" t="s">
        <v>618</v>
      </c>
      <c r="Y28" s="5" t="s">
        <v>62</v>
      </c>
      <c r="Z28" s="9" t="s">
        <v>773</v>
      </c>
      <c r="AA28" s="9" t="s">
        <v>1370</v>
      </c>
      <c r="AB28" s="176" t="s">
        <v>1319</v>
      </c>
      <c r="AC28" s="9"/>
      <c r="AD28" s="170">
        <v>693112.61</v>
      </c>
      <c r="AE28" s="184">
        <v>1</v>
      </c>
      <c r="AF28" s="186">
        <v>97.91</v>
      </c>
      <c r="AG28" s="170">
        <v>678.62699999999995</v>
      </c>
      <c r="AH28" s="9"/>
      <c r="AI28" s="9"/>
      <c r="AJ28" s="9" t="s">
        <v>17</v>
      </c>
      <c r="AK28" s="185">
        <v>5.5062596822186102E-2</v>
      </c>
      <c r="AL28" s="185">
        <v>6.0992924527660398E-4</v>
      </c>
    </row>
    <row r="29" spans="1:38">
      <c r="A29" s="9">
        <v>337</v>
      </c>
      <c r="B29" s="9">
        <v>9963</v>
      </c>
      <c r="C29" s="9" t="s">
        <v>1630</v>
      </c>
      <c r="D29" s="9" t="s">
        <v>1631</v>
      </c>
      <c r="E29" s="5" t="s">
        <v>1346</v>
      </c>
      <c r="F29" s="9" t="s">
        <v>1632</v>
      </c>
      <c r="G29" s="9" t="s">
        <v>1633</v>
      </c>
      <c r="H29" s="9" t="s">
        <v>76</v>
      </c>
      <c r="I29" s="9" t="s">
        <v>228</v>
      </c>
      <c r="J29" s="9" t="s">
        <v>53</v>
      </c>
      <c r="K29" s="9" t="s">
        <v>53</v>
      </c>
      <c r="L29" s="5" t="s">
        <v>102</v>
      </c>
      <c r="M29" s="9" t="s">
        <v>257</v>
      </c>
      <c r="N29" s="9" t="s">
        <v>62</v>
      </c>
      <c r="O29" s="176" t="s">
        <v>1634</v>
      </c>
      <c r="P29" s="9" t="s">
        <v>1628</v>
      </c>
      <c r="Q29" s="9" t="s">
        <v>70</v>
      </c>
      <c r="R29" s="9" t="s">
        <v>57</v>
      </c>
      <c r="S29" s="9" t="s">
        <v>1259</v>
      </c>
      <c r="T29" s="170">
        <v>0.46</v>
      </c>
      <c r="U29" s="9" t="s">
        <v>1635</v>
      </c>
      <c r="V29" s="185">
        <v>5.1999999999999998E-2</v>
      </c>
      <c r="W29" s="185">
        <v>6.5000000000000002E-2</v>
      </c>
      <c r="X29" s="5" t="s">
        <v>618</v>
      </c>
      <c r="Y29" s="5" t="s">
        <v>62</v>
      </c>
      <c r="Z29" s="9" t="s">
        <v>773</v>
      </c>
      <c r="AA29" s="9" t="s">
        <v>305</v>
      </c>
      <c r="AB29" s="176" t="s">
        <v>1319</v>
      </c>
      <c r="AC29" s="9"/>
      <c r="AD29" s="170">
        <v>323185.90000000002</v>
      </c>
      <c r="AE29" s="184">
        <v>1</v>
      </c>
      <c r="AF29" s="186">
        <v>100.81</v>
      </c>
      <c r="AG29" s="170">
        <v>325.80399999999997</v>
      </c>
      <c r="AH29" s="9"/>
      <c r="AI29" s="9"/>
      <c r="AJ29" s="9" t="s">
        <v>17</v>
      </c>
      <c r="AK29" s="185">
        <v>2.64351548352415E-2</v>
      </c>
      <c r="AL29" s="185">
        <v>2.9282262312285999E-4</v>
      </c>
    </row>
    <row r="30" spans="1:38">
      <c r="A30" s="9">
        <v>337</v>
      </c>
      <c r="B30" s="9">
        <v>9963</v>
      </c>
      <c r="C30" s="9" t="s">
        <v>1636</v>
      </c>
      <c r="D30" s="9" t="s">
        <v>1637</v>
      </c>
      <c r="E30" s="5" t="s">
        <v>1346</v>
      </c>
      <c r="F30" s="9" t="s">
        <v>1638</v>
      </c>
      <c r="G30" s="9" t="s">
        <v>1639</v>
      </c>
      <c r="H30" s="9" t="s">
        <v>76</v>
      </c>
      <c r="I30" s="9" t="s">
        <v>229</v>
      </c>
      <c r="J30" s="9" t="s">
        <v>53</v>
      </c>
      <c r="K30" s="9" t="s">
        <v>53</v>
      </c>
      <c r="L30" s="5" t="s">
        <v>102</v>
      </c>
      <c r="M30" s="9" t="s">
        <v>636</v>
      </c>
      <c r="N30" s="9" t="s">
        <v>62</v>
      </c>
      <c r="O30" s="176" t="s">
        <v>1640</v>
      </c>
      <c r="P30" s="9" t="s">
        <v>1641</v>
      </c>
      <c r="Q30" s="9" t="s">
        <v>65</v>
      </c>
      <c r="R30" s="9" t="s">
        <v>57</v>
      </c>
      <c r="S30" s="9" t="s">
        <v>1259</v>
      </c>
      <c r="T30" s="170">
        <v>4.38</v>
      </c>
      <c r="U30" s="9" t="s">
        <v>1642</v>
      </c>
      <c r="V30" s="185">
        <v>2.4899999999999999E-2</v>
      </c>
      <c r="W30" s="185">
        <v>2.3217999999999999E-2</v>
      </c>
      <c r="X30" s="5" t="s">
        <v>618</v>
      </c>
      <c r="Y30" s="5" t="s">
        <v>62</v>
      </c>
      <c r="Z30" s="9" t="s">
        <v>773</v>
      </c>
      <c r="AA30" s="9" t="s">
        <v>1370</v>
      </c>
      <c r="AB30" s="176" t="s">
        <v>1319</v>
      </c>
      <c r="AC30" s="9"/>
      <c r="AD30" s="170">
        <v>1702157.71</v>
      </c>
      <c r="AE30" s="184">
        <v>1</v>
      </c>
      <c r="AF30" s="186">
        <v>117.69</v>
      </c>
      <c r="AG30" s="170">
        <v>2003.269</v>
      </c>
      <c r="AH30" s="9"/>
      <c r="AI30" s="9"/>
      <c r="AJ30" s="9" t="s">
        <v>17</v>
      </c>
      <c r="AK30" s="185">
        <v>0.162541849769755</v>
      </c>
      <c r="AL30" s="185">
        <v>1.8004786093921399E-3</v>
      </c>
    </row>
    <row r="31" spans="1:38">
      <c r="A31" s="9">
        <v>337</v>
      </c>
      <c r="B31" s="9">
        <v>9963</v>
      </c>
      <c r="C31" s="9" t="s">
        <v>1636</v>
      </c>
      <c r="D31" s="9" t="s">
        <v>1637</v>
      </c>
      <c r="E31" s="5" t="s">
        <v>1346</v>
      </c>
      <c r="F31" s="9" t="s">
        <v>1643</v>
      </c>
      <c r="G31" s="9" t="s">
        <v>1644</v>
      </c>
      <c r="H31" s="9" t="s">
        <v>76</v>
      </c>
      <c r="I31" s="9" t="s">
        <v>228</v>
      </c>
      <c r="J31" s="9" t="s">
        <v>53</v>
      </c>
      <c r="K31" s="9" t="s">
        <v>53</v>
      </c>
      <c r="L31" s="5" t="s">
        <v>956</v>
      </c>
      <c r="M31" s="9" t="s">
        <v>636</v>
      </c>
      <c r="N31" s="9" t="s">
        <v>62</v>
      </c>
      <c r="O31" s="176" t="s">
        <v>1640</v>
      </c>
      <c r="P31" s="9" t="s">
        <v>1641</v>
      </c>
      <c r="Q31" s="9" t="s">
        <v>65</v>
      </c>
      <c r="R31" s="9" t="s">
        <v>57</v>
      </c>
      <c r="S31" s="9" t="s">
        <v>1259</v>
      </c>
      <c r="T31" s="170">
        <v>0.7</v>
      </c>
      <c r="U31" s="9" t="s">
        <v>1635</v>
      </c>
      <c r="V31" s="185">
        <v>4.7199999999999999E-2</v>
      </c>
      <c r="W31" s="185">
        <v>2.5000000000000001E-2</v>
      </c>
      <c r="X31" s="5" t="s">
        <v>618</v>
      </c>
      <c r="Y31" s="5" t="s">
        <v>62</v>
      </c>
      <c r="Z31" s="9" t="s">
        <v>773</v>
      </c>
      <c r="AA31" s="9" t="s">
        <v>1370</v>
      </c>
      <c r="AB31" s="176" t="s">
        <v>1319</v>
      </c>
      <c r="AC31" s="9"/>
      <c r="AD31" s="170">
        <v>1006306.36</v>
      </c>
      <c r="AE31" s="184">
        <v>1</v>
      </c>
      <c r="AF31" s="186">
        <v>99.24</v>
      </c>
      <c r="AG31" s="170">
        <v>998.65800000000002</v>
      </c>
      <c r="AH31" s="9"/>
      <c r="AI31" s="9"/>
      <c r="AJ31" s="9" t="s">
        <v>17</v>
      </c>
      <c r="AK31" s="185">
        <v>8.1029435207140996E-2</v>
      </c>
      <c r="AL31" s="185">
        <v>8.9756431976284001E-4</v>
      </c>
    </row>
    <row r="32" spans="1:38">
      <c r="A32" s="9">
        <v>337</v>
      </c>
      <c r="B32" s="9">
        <v>9963</v>
      </c>
      <c r="C32" s="9" t="s">
        <v>1636</v>
      </c>
      <c r="D32" s="9" t="s">
        <v>1637</v>
      </c>
      <c r="E32" s="5" t="s">
        <v>1346</v>
      </c>
      <c r="F32" s="9" t="s">
        <v>1645</v>
      </c>
      <c r="G32" s="9" t="s">
        <v>1646</v>
      </c>
      <c r="H32" s="9" t="s">
        <v>76</v>
      </c>
      <c r="I32" s="9" t="s">
        <v>228</v>
      </c>
      <c r="J32" s="9" t="s">
        <v>53</v>
      </c>
      <c r="K32" s="9" t="s">
        <v>53</v>
      </c>
      <c r="L32" s="5" t="s">
        <v>956</v>
      </c>
      <c r="M32" s="9" t="s">
        <v>636</v>
      </c>
      <c r="N32" s="9" t="s">
        <v>62</v>
      </c>
      <c r="O32" s="176" t="s">
        <v>1640</v>
      </c>
      <c r="P32" s="9" t="s">
        <v>1641</v>
      </c>
      <c r="Q32" s="9" t="s">
        <v>65</v>
      </c>
      <c r="R32" s="9" t="s">
        <v>57</v>
      </c>
      <c r="S32" s="9" t="s">
        <v>1259</v>
      </c>
      <c r="T32" s="170">
        <v>4.13</v>
      </c>
      <c r="U32" s="9" t="s">
        <v>1642</v>
      </c>
      <c r="V32" s="185">
        <v>4.65E-2</v>
      </c>
      <c r="W32" s="185">
        <v>3.7400000000000003E-2</v>
      </c>
      <c r="X32" s="5" t="s">
        <v>618</v>
      </c>
      <c r="Y32" s="5" t="s">
        <v>62</v>
      </c>
      <c r="Z32" s="9" t="s">
        <v>773</v>
      </c>
      <c r="AA32" s="9" t="s">
        <v>1370</v>
      </c>
      <c r="AB32" s="176" t="s">
        <v>1319</v>
      </c>
      <c r="AC32" s="9"/>
      <c r="AD32" s="170">
        <v>3601542.77</v>
      </c>
      <c r="AE32" s="184">
        <v>1</v>
      </c>
      <c r="AF32" s="186">
        <v>97.6</v>
      </c>
      <c r="AG32" s="170">
        <v>3515.1060000000002</v>
      </c>
      <c r="AH32" s="9"/>
      <c r="AI32" s="9"/>
      <c r="AJ32" s="9" t="s">
        <v>17</v>
      </c>
      <c r="AK32" s="185">
        <v>0.28520966134157999</v>
      </c>
      <c r="AL32" s="185">
        <v>3.1592718746888799E-3</v>
      </c>
    </row>
    <row r="33" spans="1:38">
      <c r="A33" s="9">
        <v>337</v>
      </c>
      <c r="B33" s="9">
        <v>9964</v>
      </c>
      <c r="C33" s="9" t="s">
        <v>1602</v>
      </c>
      <c r="D33" s="9" t="s">
        <v>1603</v>
      </c>
      <c r="E33" s="5" t="s">
        <v>431</v>
      </c>
      <c r="F33" s="9" t="s">
        <v>1604</v>
      </c>
      <c r="G33" s="9" t="s">
        <v>1605</v>
      </c>
      <c r="H33" s="9" t="s">
        <v>76</v>
      </c>
      <c r="I33" s="9" t="s">
        <v>228</v>
      </c>
      <c r="J33" s="9" t="s">
        <v>53</v>
      </c>
      <c r="K33" s="9" t="s">
        <v>53</v>
      </c>
      <c r="L33" s="5" t="s">
        <v>956</v>
      </c>
      <c r="M33" s="9" t="s">
        <v>690</v>
      </c>
      <c r="N33" s="9" t="s">
        <v>62</v>
      </c>
      <c r="O33" s="176" t="s">
        <v>1606</v>
      </c>
      <c r="P33" s="9" t="s">
        <v>1607</v>
      </c>
      <c r="Q33" s="9" t="s">
        <v>65</v>
      </c>
      <c r="R33" s="9" t="s">
        <v>57</v>
      </c>
      <c r="S33" s="9" t="s">
        <v>1259</v>
      </c>
      <c r="T33" s="170">
        <v>1.91</v>
      </c>
      <c r="U33" s="9" t="s">
        <v>1608</v>
      </c>
      <c r="V33" s="185">
        <v>5.0999999999999997E-2</v>
      </c>
      <c r="W33" s="185">
        <v>2.86E-2</v>
      </c>
      <c r="X33" s="5" t="s">
        <v>618</v>
      </c>
      <c r="Y33" s="5" t="s">
        <v>62</v>
      </c>
      <c r="Z33" s="9" t="s">
        <v>773</v>
      </c>
      <c r="AA33" s="9" t="s">
        <v>305</v>
      </c>
      <c r="AB33" s="176" t="s">
        <v>1319</v>
      </c>
      <c r="AC33" s="9"/>
      <c r="AD33" s="170">
        <v>18285.71</v>
      </c>
      <c r="AE33" s="184">
        <v>1</v>
      </c>
      <c r="AF33" s="186">
        <v>97.29</v>
      </c>
      <c r="AG33" s="170">
        <v>17.79</v>
      </c>
      <c r="AH33" s="9"/>
      <c r="AI33" s="9"/>
      <c r="AJ33" s="9" t="s">
        <v>17</v>
      </c>
      <c r="AK33" s="185">
        <v>4.8733867810003599E-2</v>
      </c>
      <c r="AL33" s="185">
        <v>4.5817582483977299E-4</v>
      </c>
    </row>
    <row r="34" spans="1:38">
      <c r="A34" s="9">
        <v>337</v>
      </c>
      <c r="B34" s="9">
        <v>9964</v>
      </c>
      <c r="C34" s="9" t="s">
        <v>1609</v>
      </c>
      <c r="D34" s="9" t="s">
        <v>1610</v>
      </c>
      <c r="E34" s="5" t="s">
        <v>1346</v>
      </c>
      <c r="F34" s="9" t="s">
        <v>1611</v>
      </c>
      <c r="G34" s="9" t="s">
        <v>1612</v>
      </c>
      <c r="H34" s="9" t="s">
        <v>76</v>
      </c>
      <c r="I34" s="9" t="s">
        <v>228</v>
      </c>
      <c r="J34" s="9" t="s">
        <v>53</v>
      </c>
      <c r="K34" s="9" t="s">
        <v>53</v>
      </c>
      <c r="L34" s="5" t="s">
        <v>956</v>
      </c>
      <c r="M34" s="9" t="s">
        <v>690</v>
      </c>
      <c r="N34" s="9" t="s">
        <v>62</v>
      </c>
      <c r="O34" s="176" t="s">
        <v>1613</v>
      </c>
      <c r="P34" s="9" t="s">
        <v>1614</v>
      </c>
      <c r="Q34" s="9" t="s">
        <v>96</v>
      </c>
      <c r="R34" s="9" t="s">
        <v>57</v>
      </c>
      <c r="S34" s="9" t="s">
        <v>1259</v>
      </c>
      <c r="T34" s="170">
        <v>1.72</v>
      </c>
      <c r="U34" s="9" t="s">
        <v>1615</v>
      </c>
      <c r="V34" s="185">
        <v>5.21E-2</v>
      </c>
      <c r="W34" s="185">
        <v>4.4699999999999997E-2</v>
      </c>
      <c r="X34" s="5" t="s">
        <v>618</v>
      </c>
      <c r="Y34" s="5" t="s">
        <v>62</v>
      </c>
      <c r="Z34" s="9" t="s">
        <v>773</v>
      </c>
      <c r="AA34" s="9" t="s">
        <v>1370</v>
      </c>
      <c r="AB34" s="176" t="s">
        <v>1319</v>
      </c>
      <c r="AC34" s="9"/>
      <c r="AD34" s="170">
        <v>88160.13</v>
      </c>
      <c r="AE34" s="184">
        <v>1</v>
      </c>
      <c r="AF34" s="186">
        <v>98.87</v>
      </c>
      <c r="AG34" s="170">
        <v>87.164000000000001</v>
      </c>
      <c r="AH34" s="9"/>
      <c r="AI34" s="9"/>
      <c r="AJ34" s="9" t="s">
        <v>17</v>
      </c>
      <c r="AK34" s="185">
        <v>0.23877431387332501</v>
      </c>
      <c r="AL34" s="185">
        <v>2.2448581063989502E-3</v>
      </c>
    </row>
    <row r="35" spans="1:38">
      <c r="A35" s="9">
        <v>337</v>
      </c>
      <c r="B35" s="9">
        <v>9964</v>
      </c>
      <c r="C35" s="9" t="s">
        <v>1616</v>
      </c>
      <c r="D35" s="9" t="s">
        <v>1617</v>
      </c>
      <c r="E35" s="5" t="s">
        <v>1346</v>
      </c>
      <c r="F35" s="9" t="s">
        <v>1618</v>
      </c>
      <c r="G35" s="9" t="s">
        <v>1619</v>
      </c>
      <c r="H35" s="9" t="s">
        <v>76</v>
      </c>
      <c r="I35" s="9" t="s">
        <v>228</v>
      </c>
      <c r="J35" s="9" t="s">
        <v>53</v>
      </c>
      <c r="K35" s="9" t="s">
        <v>53</v>
      </c>
      <c r="L35" s="5" t="s">
        <v>102</v>
      </c>
      <c r="M35" s="9" t="s">
        <v>690</v>
      </c>
      <c r="N35" s="9" t="s">
        <v>62</v>
      </c>
      <c r="O35" s="176" t="s">
        <v>1620</v>
      </c>
      <c r="P35" s="9" t="s">
        <v>1621</v>
      </c>
      <c r="Q35" s="9" t="s">
        <v>70</v>
      </c>
      <c r="R35" s="9" t="s">
        <v>57</v>
      </c>
      <c r="S35" s="9" t="s">
        <v>1259</v>
      </c>
      <c r="T35" s="170">
        <v>1.59</v>
      </c>
      <c r="U35" s="9" t="s">
        <v>1622</v>
      </c>
      <c r="V35" s="185">
        <v>4.7500000000000001E-2</v>
      </c>
      <c r="W35" s="185">
        <v>2.1000000000000001E-2</v>
      </c>
      <c r="X35" s="5" t="s">
        <v>618</v>
      </c>
      <c r="Y35" s="5" t="s">
        <v>62</v>
      </c>
      <c r="Z35" s="9" t="s">
        <v>773</v>
      </c>
      <c r="AA35" s="9" t="s">
        <v>1370</v>
      </c>
      <c r="AB35" s="176" t="s">
        <v>1319</v>
      </c>
      <c r="AC35" s="9"/>
      <c r="AD35" s="170">
        <v>34285.760000000002</v>
      </c>
      <c r="AE35" s="184">
        <v>1</v>
      </c>
      <c r="AF35" s="186">
        <v>96.74</v>
      </c>
      <c r="AG35" s="170">
        <v>33.167999999999999</v>
      </c>
      <c r="AH35" s="9"/>
      <c r="AI35" s="9"/>
      <c r="AJ35" s="9" t="s">
        <v>17</v>
      </c>
      <c r="AK35" s="185">
        <v>9.0859577608020103E-2</v>
      </c>
      <c r="AL35" s="185">
        <v>8.5422446002947198E-4</v>
      </c>
    </row>
    <row r="36" spans="1:38">
      <c r="A36" s="9">
        <v>337</v>
      </c>
      <c r="B36" s="9">
        <v>9964</v>
      </c>
      <c r="C36" s="9" t="s">
        <v>1623</v>
      </c>
      <c r="D36" s="9" t="s">
        <v>1624</v>
      </c>
      <c r="E36" s="5" t="s">
        <v>1346</v>
      </c>
      <c r="F36" s="9" t="s">
        <v>1625</v>
      </c>
      <c r="G36" s="9" t="s">
        <v>1626</v>
      </c>
      <c r="H36" s="9" t="s">
        <v>76</v>
      </c>
      <c r="I36" s="9" t="s">
        <v>228</v>
      </c>
      <c r="J36" s="9" t="s">
        <v>53</v>
      </c>
      <c r="K36" s="9" t="s">
        <v>53</v>
      </c>
      <c r="L36" s="5" t="s">
        <v>102</v>
      </c>
      <c r="M36" s="9" t="s">
        <v>633</v>
      </c>
      <c r="N36" s="9" t="s">
        <v>62</v>
      </c>
      <c r="O36" s="176" t="s">
        <v>1627</v>
      </c>
      <c r="P36" s="9" t="s">
        <v>1628</v>
      </c>
      <c r="Q36" s="9" t="s">
        <v>70</v>
      </c>
      <c r="R36" s="9" t="s">
        <v>57</v>
      </c>
      <c r="S36" s="9" t="s">
        <v>1259</v>
      </c>
      <c r="T36" s="170">
        <v>1.46</v>
      </c>
      <c r="U36" s="9" t="s">
        <v>1629</v>
      </c>
      <c r="V36" s="185">
        <v>4.6300000000000001E-2</v>
      </c>
      <c r="W36" s="185">
        <v>3.1E-2</v>
      </c>
      <c r="X36" s="5" t="s">
        <v>618</v>
      </c>
      <c r="Y36" s="5" t="s">
        <v>62</v>
      </c>
      <c r="Z36" s="9" t="s">
        <v>773</v>
      </c>
      <c r="AA36" s="9" t="s">
        <v>1370</v>
      </c>
      <c r="AB36" s="176" t="s">
        <v>1319</v>
      </c>
      <c r="AC36" s="9"/>
      <c r="AD36" s="170">
        <v>23104</v>
      </c>
      <c r="AE36" s="184">
        <v>1</v>
      </c>
      <c r="AF36" s="186">
        <v>97.91</v>
      </c>
      <c r="AG36" s="170">
        <v>22.620999999999999</v>
      </c>
      <c r="AH36" s="9"/>
      <c r="AI36" s="9"/>
      <c r="AJ36" s="9" t="s">
        <v>17</v>
      </c>
      <c r="AK36" s="185">
        <v>6.1967657056921303E-2</v>
      </c>
      <c r="AL36" s="185">
        <v>5.8259448021105102E-4</v>
      </c>
    </row>
    <row r="37" spans="1:38">
      <c r="A37" s="9">
        <v>337</v>
      </c>
      <c r="B37" s="9">
        <v>9964</v>
      </c>
      <c r="C37" s="9" t="s">
        <v>1630</v>
      </c>
      <c r="D37" s="9" t="s">
        <v>1631</v>
      </c>
      <c r="E37" s="5" t="s">
        <v>1346</v>
      </c>
      <c r="F37" s="9" t="s">
        <v>1632</v>
      </c>
      <c r="G37" s="9" t="s">
        <v>1633</v>
      </c>
      <c r="H37" s="9" t="s">
        <v>76</v>
      </c>
      <c r="I37" s="9" t="s">
        <v>228</v>
      </c>
      <c r="J37" s="9" t="s">
        <v>53</v>
      </c>
      <c r="K37" s="9" t="s">
        <v>53</v>
      </c>
      <c r="L37" s="5" t="s">
        <v>102</v>
      </c>
      <c r="M37" s="9" t="s">
        <v>257</v>
      </c>
      <c r="N37" s="9" t="s">
        <v>62</v>
      </c>
      <c r="O37" s="176" t="s">
        <v>1634</v>
      </c>
      <c r="P37" s="9" t="s">
        <v>1628</v>
      </c>
      <c r="Q37" s="9" t="s">
        <v>70</v>
      </c>
      <c r="R37" s="9" t="s">
        <v>57</v>
      </c>
      <c r="S37" s="9" t="s">
        <v>1259</v>
      </c>
      <c r="T37" s="170">
        <v>0.46</v>
      </c>
      <c r="U37" s="9" t="s">
        <v>1635</v>
      </c>
      <c r="V37" s="185">
        <v>5.1999999999999998E-2</v>
      </c>
      <c r="W37" s="185">
        <v>6.5000000000000002E-2</v>
      </c>
      <c r="X37" s="5" t="s">
        <v>618</v>
      </c>
      <c r="Y37" s="5" t="s">
        <v>62</v>
      </c>
      <c r="Z37" s="9" t="s">
        <v>773</v>
      </c>
      <c r="AA37" s="9" t="s">
        <v>305</v>
      </c>
      <c r="AB37" s="176" t="s">
        <v>1319</v>
      </c>
      <c r="AC37" s="9"/>
      <c r="AD37" s="170">
        <v>10172.219999999999</v>
      </c>
      <c r="AE37" s="184">
        <v>1</v>
      </c>
      <c r="AF37" s="186">
        <v>100.81</v>
      </c>
      <c r="AG37" s="170">
        <v>10.255000000000001</v>
      </c>
      <c r="AH37" s="9"/>
      <c r="AI37" s="9"/>
      <c r="AJ37" s="9" t="s">
        <v>17</v>
      </c>
      <c r="AK37" s="185">
        <v>2.8091194630137602E-2</v>
      </c>
      <c r="AL37" s="185">
        <v>2.6410188332632098E-4</v>
      </c>
    </row>
    <row r="38" spans="1:38">
      <c r="A38" s="9">
        <v>337</v>
      </c>
      <c r="B38" s="9">
        <v>9964</v>
      </c>
      <c r="C38" s="9" t="s">
        <v>1636</v>
      </c>
      <c r="D38" s="9" t="s">
        <v>1637</v>
      </c>
      <c r="E38" s="5" t="s">
        <v>1346</v>
      </c>
      <c r="F38" s="9" t="s">
        <v>1638</v>
      </c>
      <c r="G38" s="9" t="s">
        <v>1639</v>
      </c>
      <c r="H38" s="9" t="s">
        <v>76</v>
      </c>
      <c r="I38" s="9" t="s">
        <v>229</v>
      </c>
      <c r="J38" s="9" t="s">
        <v>53</v>
      </c>
      <c r="K38" s="9" t="s">
        <v>53</v>
      </c>
      <c r="L38" s="5" t="s">
        <v>102</v>
      </c>
      <c r="M38" s="9" t="s">
        <v>636</v>
      </c>
      <c r="N38" s="9" t="s">
        <v>62</v>
      </c>
      <c r="O38" s="176" t="s">
        <v>1640</v>
      </c>
      <c r="P38" s="9" t="s">
        <v>1641</v>
      </c>
      <c r="Q38" s="9" t="s">
        <v>65</v>
      </c>
      <c r="R38" s="9" t="s">
        <v>57</v>
      </c>
      <c r="S38" s="9" t="s">
        <v>1259</v>
      </c>
      <c r="T38" s="170">
        <v>4.38</v>
      </c>
      <c r="U38" s="9" t="s">
        <v>1642</v>
      </c>
      <c r="V38" s="185">
        <v>2.4899999999999999E-2</v>
      </c>
      <c r="W38" s="185">
        <v>2.3217999999999999E-2</v>
      </c>
      <c r="X38" s="5" t="s">
        <v>618</v>
      </c>
      <c r="Y38" s="5" t="s">
        <v>62</v>
      </c>
      <c r="Z38" s="9" t="s">
        <v>773</v>
      </c>
      <c r="AA38" s="9" t="s">
        <v>1370</v>
      </c>
      <c r="AB38" s="176" t="s">
        <v>1319</v>
      </c>
      <c r="AC38" s="9"/>
      <c r="AD38" s="170">
        <v>50736.02</v>
      </c>
      <c r="AE38" s="184">
        <v>1</v>
      </c>
      <c r="AF38" s="186">
        <v>117.69</v>
      </c>
      <c r="AG38" s="170">
        <v>59.710999999999999</v>
      </c>
      <c r="AH38" s="9"/>
      <c r="AI38" s="9"/>
      <c r="AJ38" s="9" t="s">
        <v>17</v>
      </c>
      <c r="AK38" s="185">
        <v>0.163571188192631</v>
      </c>
      <c r="AL38" s="185">
        <v>1.53782918200465E-3</v>
      </c>
    </row>
    <row r="39" spans="1:38">
      <c r="A39" s="9">
        <v>337</v>
      </c>
      <c r="B39" s="9">
        <v>9964</v>
      </c>
      <c r="C39" s="9" t="s">
        <v>1636</v>
      </c>
      <c r="D39" s="9" t="s">
        <v>1637</v>
      </c>
      <c r="E39" s="5" t="s">
        <v>1346</v>
      </c>
      <c r="F39" s="9" t="s">
        <v>1643</v>
      </c>
      <c r="G39" s="9" t="s">
        <v>1644</v>
      </c>
      <c r="H39" s="9" t="s">
        <v>76</v>
      </c>
      <c r="I39" s="9" t="s">
        <v>228</v>
      </c>
      <c r="J39" s="9" t="s">
        <v>53</v>
      </c>
      <c r="K39" s="9" t="s">
        <v>53</v>
      </c>
      <c r="L39" s="5" t="s">
        <v>956</v>
      </c>
      <c r="M39" s="9" t="s">
        <v>636</v>
      </c>
      <c r="N39" s="9" t="s">
        <v>62</v>
      </c>
      <c r="O39" s="176" t="s">
        <v>1640</v>
      </c>
      <c r="P39" s="9" t="s">
        <v>1641</v>
      </c>
      <c r="Q39" s="9" t="s">
        <v>65</v>
      </c>
      <c r="R39" s="9" t="s">
        <v>57</v>
      </c>
      <c r="S39" s="9" t="s">
        <v>1259</v>
      </c>
      <c r="T39" s="170">
        <v>0.7</v>
      </c>
      <c r="U39" s="9" t="s">
        <v>1635</v>
      </c>
      <c r="V39" s="185">
        <v>4.7199999999999999E-2</v>
      </c>
      <c r="W39" s="185">
        <v>2.5000000000000001E-2</v>
      </c>
      <c r="X39" s="5" t="s">
        <v>618</v>
      </c>
      <c r="Y39" s="5" t="s">
        <v>62</v>
      </c>
      <c r="Z39" s="9" t="s">
        <v>773</v>
      </c>
      <c r="AA39" s="9" t="s">
        <v>1370</v>
      </c>
      <c r="AB39" s="176" t="s">
        <v>1319</v>
      </c>
      <c r="AC39" s="9"/>
      <c r="AD39" s="170">
        <v>29949.599999999999</v>
      </c>
      <c r="AE39" s="184">
        <v>1</v>
      </c>
      <c r="AF39" s="186">
        <v>99.24</v>
      </c>
      <c r="AG39" s="170">
        <v>29.722000000000001</v>
      </c>
      <c r="AH39" s="9"/>
      <c r="AI39" s="9"/>
      <c r="AJ39" s="9" t="s">
        <v>17</v>
      </c>
      <c r="AK39" s="185">
        <v>8.14195376263116E-2</v>
      </c>
      <c r="AL39" s="185">
        <v>7.6547307830040199E-4</v>
      </c>
    </row>
    <row r="40" spans="1:38">
      <c r="A40" s="9">
        <v>337</v>
      </c>
      <c r="B40" s="9">
        <v>9964</v>
      </c>
      <c r="C40" s="9" t="s">
        <v>1636</v>
      </c>
      <c r="D40" s="9" t="s">
        <v>1637</v>
      </c>
      <c r="E40" s="5" t="s">
        <v>1346</v>
      </c>
      <c r="F40" s="9" t="s">
        <v>1645</v>
      </c>
      <c r="G40" s="9" t="s">
        <v>1646</v>
      </c>
      <c r="H40" s="9" t="s">
        <v>76</v>
      </c>
      <c r="I40" s="9" t="s">
        <v>228</v>
      </c>
      <c r="J40" s="9" t="s">
        <v>53</v>
      </c>
      <c r="K40" s="9" t="s">
        <v>53</v>
      </c>
      <c r="L40" s="5" t="s">
        <v>956</v>
      </c>
      <c r="M40" s="9" t="s">
        <v>636</v>
      </c>
      <c r="N40" s="9" t="s">
        <v>62</v>
      </c>
      <c r="O40" s="176" t="s">
        <v>1640</v>
      </c>
      <c r="P40" s="9" t="s">
        <v>1641</v>
      </c>
      <c r="Q40" s="9" t="s">
        <v>65</v>
      </c>
      <c r="R40" s="9" t="s">
        <v>57</v>
      </c>
      <c r="S40" s="9" t="s">
        <v>1259</v>
      </c>
      <c r="T40" s="170">
        <v>4.13</v>
      </c>
      <c r="U40" s="9" t="s">
        <v>1642</v>
      </c>
      <c r="V40" s="185">
        <v>4.65E-2</v>
      </c>
      <c r="W40" s="185">
        <v>3.7400000000000003E-2</v>
      </c>
      <c r="X40" s="5" t="s">
        <v>618</v>
      </c>
      <c r="Y40" s="5" t="s">
        <v>62</v>
      </c>
      <c r="Z40" s="9" t="s">
        <v>773</v>
      </c>
      <c r="AA40" s="9" t="s">
        <v>1370</v>
      </c>
      <c r="AB40" s="176" t="s">
        <v>1319</v>
      </c>
      <c r="AC40" s="9"/>
      <c r="AD40" s="170">
        <v>107188.76</v>
      </c>
      <c r="AE40" s="184">
        <v>1</v>
      </c>
      <c r="AF40" s="186">
        <v>97.6</v>
      </c>
      <c r="AG40" s="170">
        <v>104.616</v>
      </c>
      <c r="AH40" s="9"/>
      <c r="AI40" s="9"/>
      <c r="AJ40" s="9" t="s">
        <v>17</v>
      </c>
      <c r="AK40" s="185">
        <v>0.28658266320265002</v>
      </c>
      <c r="AL40" s="185">
        <v>2.6943325863148502E-3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728A36DF-48FE-4129-A60C-5E34D391AB72}">
      <formula1>israel_abroad</formula1>
    </dataValidation>
    <dataValidation type="list" allowBlank="1" showInputMessage="1" showErrorMessage="1" sqref="N2:N20" xr:uid="{9D84D542-C674-4120-9F9D-9B9D2F316CAA}">
      <formula1>Holding_interest</formula1>
    </dataValidation>
    <dataValidation type="list" allowBlank="1" showInputMessage="1" showErrorMessage="1" sqref="K2:K20" xr:uid="{15C65909-8263-4422-9645-3AADEBF95A66}">
      <formula1>Country_list</formula1>
    </dataValidation>
    <dataValidation type="list" allowBlank="1" showInputMessage="1" showErrorMessage="1" sqref="E3:E20" xr:uid="{BD22CB00-FD34-4F15-A2B9-24EB97C8CB7A}">
      <formula1>Issuer_Number_Type_2</formula1>
    </dataValidation>
    <dataValidation type="list" allowBlank="1" showInputMessage="1" showErrorMessage="1" sqref="Q2:Q19" xr:uid="{A818C5A5-1DEF-4C38-985A-228BB215D368}">
      <formula1>Rating_Agency</formula1>
    </dataValidation>
    <dataValidation type="list" allowBlank="1" showInputMessage="1" showErrorMessage="1" sqref="P4 R2:R19" xr:uid="{98A74FAF-1881-4291-A340-83C21EDBF9F1}">
      <formula1>What_is_rated</formula1>
    </dataValidation>
    <dataValidation type="list" allowBlank="1" showInputMessage="1" showErrorMessage="1" sqref="V4 X2:X20" xr:uid="{F25F6BE9-B5F9-4137-8058-7687B5CCA1A4}">
      <formula1>Subordination_Risk</formula1>
    </dataValidation>
    <dataValidation type="list" allowBlank="1" showInputMessage="1" showErrorMessage="1" sqref="Z2:Z19" xr:uid="{23EA55E3-96E1-4F0C-9229-EBA369B81C06}">
      <formula1>Valuation</formula1>
    </dataValidation>
    <dataValidation type="list" allowBlank="1" showInputMessage="1" showErrorMessage="1" sqref="AA2:AA21 AA27" xr:uid="{131B0BE3-0C27-442A-841A-55C3E209ED85}">
      <formula1>Dependence_Independence</formula1>
    </dataValidation>
    <dataValidation type="list" allowBlank="1" showInputMessage="1" showErrorMessage="1" sqref="AE4" xr:uid="{324D27E6-09CD-4C53-95C6-62F87CB84D6D}">
      <formula1>Info_Provider</formula1>
    </dataValidation>
    <dataValidation type="list" allowBlank="1" showInputMessage="1" showErrorMessage="1" sqref="Y2:Y19" xr:uid="{FCA4347B-99BC-4BF2-9994-6307B60AEB55}">
      <formula1>Yes_No_Bad_Debt</formula1>
    </dataValidation>
    <dataValidation type="list" allowBlank="1" showInputMessage="1" showErrorMessage="1" sqref="H2:H20" xr:uid="{F43F7F7F-0293-4764-9E9F-A022EEE09496}">
      <formula1>Type_of_Security_ID_Fund</formula1>
    </dataValidation>
    <dataValidation type="list" allowBlank="1" showInputMessage="1" showErrorMessage="1" sqref="E2" xr:uid="{94E54A26-2533-47AD-B7BA-9F54B01B9C56}">
      <formula1>Issuer_Number_Type_3</formula1>
    </dataValidation>
    <dataValidation type="list" allowBlank="1" showInputMessage="1" showErrorMessage="1" sqref="AJ2:AJ20" xr:uid="{455B6C31-1F72-49E0-8AAC-32750ABA5A21}">
      <formula1>In_the_books</formula1>
    </dataValidation>
    <dataValidation type="list" allowBlank="1" showInputMessage="1" showErrorMessage="1" sqref="M2:M20" xr:uid="{ECB83697-FF16-48F1-AD2A-B2293E3F5109}">
      <formula1>Industry_Sector</formula1>
    </dataValidation>
    <dataValidation type="list" allowBlank="1" showInputMessage="1" showErrorMessage="1" sqref="L2:L20" xr:uid="{08D9F283-8931-42F6-A12A-A2D82E26934F}">
      <formula1>tradeable_status_bonds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C22" sqref="C22"/>
    </sheetView>
  </sheetViews>
  <sheetFormatPr defaultColWidth="0" defaultRowHeight="14.25" zeroHeight="1"/>
  <cols>
    <col min="1" max="2" width="11.625" style="3" customWidth="1"/>
    <col min="3" max="3" width="26.75" style="3" customWidth="1"/>
    <col min="4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16384" width="0" style="3" hidden="1"/>
  </cols>
  <sheetData>
    <row r="1" spans="1:26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607</v>
      </c>
      <c r="M1" s="22" t="s">
        <v>9</v>
      </c>
      <c r="N1" s="22" t="s">
        <v>604</v>
      </c>
      <c r="O1" s="22" t="s">
        <v>12</v>
      </c>
      <c r="P1" s="22" t="s">
        <v>396</v>
      </c>
      <c r="Q1" s="22" t="s">
        <v>915</v>
      </c>
      <c r="R1" s="22" t="s">
        <v>372</v>
      </c>
      <c r="S1" s="22" t="s">
        <v>16</v>
      </c>
      <c r="T1" s="22" t="s">
        <v>1145</v>
      </c>
      <c r="U1" s="22" t="s">
        <v>771</v>
      </c>
      <c r="V1" s="22" t="s">
        <v>11</v>
      </c>
      <c r="W1" s="22" t="s">
        <v>15</v>
      </c>
      <c r="X1" s="22" t="s">
        <v>1151</v>
      </c>
      <c r="Y1" s="22" t="s">
        <v>19</v>
      </c>
      <c r="Z1" s="22" t="s">
        <v>30</v>
      </c>
    </row>
    <row r="2" spans="1:26">
      <c r="A2" s="167">
        <v>337</v>
      </c>
      <c r="B2" s="167">
        <v>1405</v>
      </c>
      <c r="C2" s="167" t="s">
        <v>1550</v>
      </c>
      <c r="D2" s="167" t="s">
        <v>1551</v>
      </c>
      <c r="E2" s="168" t="s">
        <v>429</v>
      </c>
      <c r="F2" s="167" t="s">
        <v>1552</v>
      </c>
      <c r="G2" s="167" t="s">
        <v>1553</v>
      </c>
      <c r="H2" s="168" t="s">
        <v>76</v>
      </c>
      <c r="I2" s="167" t="s">
        <v>464</v>
      </c>
      <c r="J2" s="168" t="s">
        <v>61</v>
      </c>
      <c r="K2" s="168" t="s">
        <v>314</v>
      </c>
      <c r="L2" s="167" t="s">
        <v>102</v>
      </c>
      <c r="M2" s="167" t="s">
        <v>257</v>
      </c>
      <c r="N2" s="167" t="s">
        <v>62</v>
      </c>
      <c r="O2" s="169" t="s">
        <v>1554</v>
      </c>
      <c r="P2" s="168" t="s">
        <v>1215</v>
      </c>
      <c r="Q2" s="167" t="s">
        <v>102</v>
      </c>
      <c r="R2" s="167" t="s">
        <v>1370</v>
      </c>
      <c r="S2" s="169">
        <v>45700</v>
      </c>
      <c r="T2" s="167"/>
      <c r="U2" s="172">
        <v>570</v>
      </c>
      <c r="V2" s="171">
        <v>3.3719999999999999</v>
      </c>
      <c r="W2" s="178">
        <v>2500</v>
      </c>
      <c r="X2" s="172">
        <v>48.051000000000002</v>
      </c>
      <c r="Y2" s="173">
        <v>1</v>
      </c>
      <c r="Z2" s="173">
        <v>5.3287032230386298E-3</v>
      </c>
    </row>
    <row r="3" spans="1:26">
      <c r="A3" s="167">
        <v>337</v>
      </c>
      <c r="B3" s="167">
        <v>1477</v>
      </c>
      <c r="C3" s="167" t="s">
        <v>1555</v>
      </c>
      <c r="D3" s="167" t="s">
        <v>1556</v>
      </c>
      <c r="E3" s="168" t="s">
        <v>78</v>
      </c>
      <c r="F3" s="167" t="s">
        <v>1557</v>
      </c>
      <c r="G3" s="167" t="s">
        <v>1558</v>
      </c>
      <c r="H3" s="168" t="s">
        <v>76</v>
      </c>
      <c r="I3" s="167" t="s">
        <v>464</v>
      </c>
      <c r="J3" s="168" t="s">
        <v>53</v>
      </c>
      <c r="K3" s="168" t="s">
        <v>53</v>
      </c>
      <c r="L3" s="167" t="s">
        <v>102</v>
      </c>
      <c r="M3" s="167" t="s">
        <v>122</v>
      </c>
      <c r="N3" s="167" t="s">
        <v>62</v>
      </c>
      <c r="O3" s="169" t="s">
        <v>1559</v>
      </c>
      <c r="P3" s="168" t="s">
        <v>1259</v>
      </c>
      <c r="Q3" s="167" t="s">
        <v>102</v>
      </c>
      <c r="R3" s="167" t="s">
        <v>305</v>
      </c>
      <c r="S3" s="169">
        <v>45657</v>
      </c>
      <c r="T3" s="167"/>
      <c r="U3" s="172">
        <v>9693</v>
      </c>
      <c r="V3" s="171">
        <v>1</v>
      </c>
      <c r="W3" s="178">
        <v>0</v>
      </c>
      <c r="X3" s="172">
        <v>0</v>
      </c>
      <c r="Y3" s="173">
        <v>9.5818504419959709E-9</v>
      </c>
      <c r="Z3" s="173">
        <v>5.5789201455994996E-12</v>
      </c>
    </row>
    <row r="4" spans="1:26">
      <c r="A4" s="167">
        <v>337</v>
      </c>
      <c r="B4" s="167">
        <v>1477</v>
      </c>
      <c r="C4" s="167" t="s">
        <v>1550</v>
      </c>
      <c r="D4" s="167" t="s">
        <v>1551</v>
      </c>
      <c r="E4" s="168" t="s">
        <v>429</v>
      </c>
      <c r="F4" s="167" t="s">
        <v>1552</v>
      </c>
      <c r="G4" s="167" t="s">
        <v>1553</v>
      </c>
      <c r="H4" s="168" t="s">
        <v>76</v>
      </c>
      <c r="I4" s="167" t="s">
        <v>464</v>
      </c>
      <c r="J4" s="168" t="s">
        <v>61</v>
      </c>
      <c r="K4" s="168" t="s">
        <v>314</v>
      </c>
      <c r="L4" s="167" t="s">
        <v>102</v>
      </c>
      <c r="M4" s="167" t="s">
        <v>257</v>
      </c>
      <c r="N4" s="167" t="s">
        <v>62</v>
      </c>
      <c r="O4" s="176" t="s">
        <v>1554</v>
      </c>
      <c r="P4" s="168" t="s">
        <v>1215</v>
      </c>
      <c r="Q4" s="167" t="s">
        <v>102</v>
      </c>
      <c r="R4" s="167" t="s">
        <v>1370</v>
      </c>
      <c r="S4" s="169">
        <v>45700</v>
      </c>
      <c r="T4" s="167"/>
      <c r="U4" s="172">
        <v>120</v>
      </c>
      <c r="V4" s="171">
        <v>3.3719999999999999</v>
      </c>
      <c r="W4" s="178">
        <v>2500</v>
      </c>
      <c r="X4" s="172">
        <v>10.116</v>
      </c>
      <c r="Y4" s="173">
        <v>0.99999999041815002</v>
      </c>
      <c r="Z4" s="173">
        <v>5.8223827703378296E-4</v>
      </c>
    </row>
    <row r="5" spans="1:26">
      <c r="A5" s="167">
        <v>337</v>
      </c>
      <c r="B5" s="167">
        <v>9962</v>
      </c>
      <c r="C5" s="167" t="s">
        <v>1555</v>
      </c>
      <c r="D5" s="167" t="s">
        <v>1556</v>
      </c>
      <c r="E5" s="168" t="s">
        <v>78</v>
      </c>
      <c r="F5" s="167" t="s">
        <v>1557</v>
      </c>
      <c r="G5" s="167" t="s">
        <v>1558</v>
      </c>
      <c r="H5" s="168" t="s">
        <v>76</v>
      </c>
      <c r="I5" s="167" t="s">
        <v>464</v>
      </c>
      <c r="J5" s="168" t="s">
        <v>53</v>
      </c>
      <c r="K5" s="168" t="s">
        <v>53</v>
      </c>
      <c r="L5" s="167" t="s">
        <v>102</v>
      </c>
      <c r="M5" s="167" t="s">
        <v>122</v>
      </c>
      <c r="N5" s="167" t="s">
        <v>62</v>
      </c>
      <c r="O5" s="169" t="s">
        <v>1559</v>
      </c>
      <c r="P5" s="168" t="s">
        <v>1259</v>
      </c>
      <c r="Q5" s="167" t="s">
        <v>102</v>
      </c>
      <c r="R5" s="167" t="s">
        <v>305</v>
      </c>
      <c r="S5" s="169">
        <v>45657</v>
      </c>
      <c r="T5" s="167"/>
      <c r="U5" s="172">
        <v>30695</v>
      </c>
      <c r="V5" s="171">
        <v>1</v>
      </c>
      <c r="W5" s="178">
        <v>0</v>
      </c>
      <c r="X5" s="172">
        <v>0</v>
      </c>
      <c r="Y5" s="173">
        <v>8.0914721897014006E-9</v>
      </c>
      <c r="Z5" s="173">
        <v>7.21467651736957E-12</v>
      </c>
    </row>
    <row r="6" spans="1:26">
      <c r="A6" s="167">
        <v>337</v>
      </c>
      <c r="B6" s="167">
        <v>9962</v>
      </c>
      <c r="C6" s="167" t="s">
        <v>1550</v>
      </c>
      <c r="D6" s="167" t="s">
        <v>1551</v>
      </c>
      <c r="E6" s="168" t="s">
        <v>429</v>
      </c>
      <c r="F6" s="167" t="s">
        <v>1552</v>
      </c>
      <c r="G6" s="167" t="s">
        <v>1553</v>
      </c>
      <c r="H6" s="168" t="s">
        <v>76</v>
      </c>
      <c r="I6" s="167" t="s">
        <v>464</v>
      </c>
      <c r="J6" s="168" t="s">
        <v>61</v>
      </c>
      <c r="K6" s="168" t="s">
        <v>314</v>
      </c>
      <c r="L6" s="167" t="s">
        <v>102</v>
      </c>
      <c r="M6" s="167" t="s">
        <v>257</v>
      </c>
      <c r="N6" s="167" t="s">
        <v>62</v>
      </c>
      <c r="O6" s="169" t="s">
        <v>1554</v>
      </c>
      <c r="P6" s="168" t="s">
        <v>1215</v>
      </c>
      <c r="Q6" s="167" t="s">
        <v>102</v>
      </c>
      <c r="R6" s="167" t="s">
        <v>1370</v>
      </c>
      <c r="S6" s="169">
        <v>45700</v>
      </c>
      <c r="T6" s="167"/>
      <c r="U6" s="172">
        <v>450</v>
      </c>
      <c r="V6" s="171">
        <v>3.3719999999999999</v>
      </c>
      <c r="W6" s="178">
        <v>2500</v>
      </c>
      <c r="X6" s="172">
        <v>37.935000000000002</v>
      </c>
      <c r="Y6" s="173">
        <v>0.99999999190852795</v>
      </c>
      <c r="Z6" s="173">
        <v>8.9163952984660198E-4</v>
      </c>
    </row>
    <row r="7" spans="1:26">
      <c r="A7" s="167">
        <v>337</v>
      </c>
      <c r="B7" s="167">
        <v>9963</v>
      </c>
      <c r="C7" s="167" t="s">
        <v>1560</v>
      </c>
      <c r="D7" s="167" t="s">
        <v>1561</v>
      </c>
      <c r="E7" s="168" t="s">
        <v>1346</v>
      </c>
      <c r="F7" s="167" t="s">
        <v>1562</v>
      </c>
      <c r="G7" s="167" t="s">
        <v>1563</v>
      </c>
      <c r="H7" s="168" t="s">
        <v>78</v>
      </c>
      <c r="I7" s="167" t="s">
        <v>464</v>
      </c>
      <c r="J7" s="168" t="s">
        <v>53</v>
      </c>
      <c r="K7" s="168" t="s">
        <v>53</v>
      </c>
      <c r="L7" s="167" t="s">
        <v>102</v>
      </c>
      <c r="M7" s="167" t="s">
        <v>1564</v>
      </c>
      <c r="N7" s="167" t="s">
        <v>62</v>
      </c>
      <c r="O7" s="169" t="s">
        <v>1565</v>
      </c>
      <c r="P7" s="168" t="s">
        <v>1215</v>
      </c>
      <c r="Q7" s="167" t="s">
        <v>303</v>
      </c>
      <c r="R7" s="167" t="s">
        <v>1370</v>
      </c>
      <c r="S7" s="169" t="s">
        <v>1566</v>
      </c>
      <c r="T7" s="167"/>
      <c r="U7" s="172">
        <v>237368</v>
      </c>
      <c r="V7" s="171">
        <v>3.3719999999999999</v>
      </c>
      <c r="W7" s="178">
        <v>27.384</v>
      </c>
      <c r="X7" s="172">
        <v>219.18299999999999</v>
      </c>
      <c r="Y7" s="173">
        <v>1.5126296817765001E-2</v>
      </c>
      <c r="Z7" s="173">
        <v>1.9699501191776299E-4</v>
      </c>
    </row>
    <row r="8" spans="1:26">
      <c r="A8" s="167">
        <v>337</v>
      </c>
      <c r="B8" s="167">
        <v>9963</v>
      </c>
      <c r="C8" s="167" t="s">
        <v>1567</v>
      </c>
      <c r="D8" s="167" t="s">
        <v>1568</v>
      </c>
      <c r="E8" s="168" t="s">
        <v>1346</v>
      </c>
      <c r="F8" s="167" t="s">
        <v>1567</v>
      </c>
      <c r="G8" s="167" t="s">
        <v>1569</v>
      </c>
      <c r="H8" s="168" t="s">
        <v>78</v>
      </c>
      <c r="I8" s="167" t="s">
        <v>464</v>
      </c>
      <c r="J8" s="168" t="s">
        <v>53</v>
      </c>
      <c r="K8" s="168" t="s">
        <v>53</v>
      </c>
      <c r="L8" s="167" t="s">
        <v>102</v>
      </c>
      <c r="M8" s="167" t="s">
        <v>1570</v>
      </c>
      <c r="N8" s="167" t="s">
        <v>62</v>
      </c>
      <c r="O8" s="169" t="s">
        <v>1484</v>
      </c>
      <c r="P8" s="168" t="s">
        <v>1215</v>
      </c>
      <c r="Q8" s="167" t="s">
        <v>303</v>
      </c>
      <c r="R8" s="167" t="s">
        <v>1370</v>
      </c>
      <c r="S8" s="169">
        <v>45544</v>
      </c>
      <c r="T8" s="169"/>
      <c r="U8" s="172">
        <v>167852</v>
      </c>
      <c r="V8" s="171">
        <v>3.3719999999999999</v>
      </c>
      <c r="W8" s="178">
        <v>830.05</v>
      </c>
      <c r="X8" s="172">
        <v>4698.058</v>
      </c>
      <c r="Y8" s="173">
        <v>0.32422338504327802</v>
      </c>
      <c r="Z8" s="173">
        <v>4.2224736411099403E-3</v>
      </c>
    </row>
    <row r="9" spans="1:26">
      <c r="A9" s="167">
        <v>337</v>
      </c>
      <c r="B9" s="167">
        <v>9963</v>
      </c>
      <c r="C9" s="167" t="s">
        <v>1571</v>
      </c>
      <c r="D9" s="167" t="s">
        <v>1572</v>
      </c>
      <c r="E9" s="168" t="s">
        <v>1346</v>
      </c>
      <c r="F9" s="167" t="s">
        <v>1573</v>
      </c>
      <c r="G9" s="167" t="s">
        <v>1574</v>
      </c>
      <c r="H9" s="168" t="s">
        <v>76</v>
      </c>
      <c r="I9" s="167" t="s">
        <v>464</v>
      </c>
      <c r="J9" s="168" t="s">
        <v>53</v>
      </c>
      <c r="K9" s="168" t="s">
        <v>53</v>
      </c>
      <c r="L9" s="167" t="s">
        <v>102</v>
      </c>
      <c r="M9" s="167" t="s">
        <v>66</v>
      </c>
      <c r="N9" s="167" t="s">
        <v>62</v>
      </c>
      <c r="O9" s="169" t="s">
        <v>1325</v>
      </c>
      <c r="P9" s="168" t="s">
        <v>1259</v>
      </c>
      <c r="Q9" s="167" t="s">
        <v>302</v>
      </c>
      <c r="R9" s="167" t="s">
        <v>305</v>
      </c>
      <c r="S9" s="169">
        <v>45657</v>
      </c>
      <c r="T9" s="169"/>
      <c r="U9" s="172">
        <v>20165</v>
      </c>
      <c r="V9" s="171">
        <v>1</v>
      </c>
      <c r="W9" s="178">
        <v>0</v>
      </c>
      <c r="X9" s="172">
        <v>0</v>
      </c>
      <c r="Y9" s="173">
        <v>1.3916314079543599E-11</v>
      </c>
      <c r="Z9" s="173">
        <v>1.81236986883091E-13</v>
      </c>
    </row>
    <row r="10" spans="1:26">
      <c r="A10" s="167">
        <v>337</v>
      </c>
      <c r="B10" s="167">
        <v>9963</v>
      </c>
      <c r="C10" s="167" t="s">
        <v>1575</v>
      </c>
      <c r="D10" s="167" t="s">
        <v>1576</v>
      </c>
      <c r="E10" s="168" t="s">
        <v>1346</v>
      </c>
      <c r="F10" s="167" t="s">
        <v>1575</v>
      </c>
      <c r="G10" s="167" t="s">
        <v>1577</v>
      </c>
      <c r="H10" s="168" t="s">
        <v>78</v>
      </c>
      <c r="I10" s="167" t="s">
        <v>464</v>
      </c>
      <c r="J10" s="168" t="s">
        <v>53</v>
      </c>
      <c r="K10" s="168" t="s">
        <v>53</v>
      </c>
      <c r="L10" s="167" t="s">
        <v>102</v>
      </c>
      <c r="M10" s="167" t="s">
        <v>633</v>
      </c>
      <c r="N10" s="167" t="s">
        <v>62</v>
      </c>
      <c r="O10" s="169" t="s">
        <v>1578</v>
      </c>
      <c r="P10" s="168" t="s">
        <v>1259</v>
      </c>
      <c r="Q10" s="167" t="s">
        <v>303</v>
      </c>
      <c r="R10" s="167" t="s">
        <v>305</v>
      </c>
      <c r="S10" s="169" t="s">
        <v>1319</v>
      </c>
      <c r="T10" s="169"/>
      <c r="U10" s="172">
        <v>396.62</v>
      </c>
      <c r="V10" s="171">
        <v>1</v>
      </c>
      <c r="W10" s="178">
        <v>159065.17600000001</v>
      </c>
      <c r="X10" s="172">
        <v>630.88400000000001</v>
      </c>
      <c r="Y10" s="173">
        <v>4.35387259449607E-2</v>
      </c>
      <c r="Z10" s="173">
        <v>5.6701993486856796E-4</v>
      </c>
    </row>
    <row r="11" spans="1:26">
      <c r="A11" s="167">
        <v>337</v>
      </c>
      <c r="B11" s="167">
        <v>9963</v>
      </c>
      <c r="C11" s="167" t="s">
        <v>1579</v>
      </c>
      <c r="D11" s="167" t="s">
        <v>1580</v>
      </c>
      <c r="E11" s="168" t="s">
        <v>1346</v>
      </c>
      <c r="F11" s="167" t="s">
        <v>1581</v>
      </c>
      <c r="G11" s="167" t="s">
        <v>1582</v>
      </c>
      <c r="H11" s="168" t="s">
        <v>78</v>
      </c>
      <c r="I11" s="167" t="s">
        <v>464</v>
      </c>
      <c r="J11" s="168" t="s">
        <v>53</v>
      </c>
      <c r="K11" s="168" t="s">
        <v>53</v>
      </c>
      <c r="L11" s="167" t="s">
        <v>102</v>
      </c>
      <c r="M11" s="167" t="s">
        <v>633</v>
      </c>
      <c r="N11" s="167" t="s">
        <v>62</v>
      </c>
      <c r="O11" s="169" t="s">
        <v>1583</v>
      </c>
      <c r="P11" s="168" t="s">
        <v>1259</v>
      </c>
      <c r="Q11" s="167" t="s">
        <v>303</v>
      </c>
      <c r="R11" s="167" t="s">
        <v>1370</v>
      </c>
      <c r="S11" s="169" t="s">
        <v>1319</v>
      </c>
      <c r="T11" s="167"/>
      <c r="U11" s="172">
        <v>38</v>
      </c>
      <c r="V11" s="171">
        <v>1</v>
      </c>
      <c r="W11" s="178">
        <v>680012.79</v>
      </c>
      <c r="X11" s="172">
        <v>258.40499999999997</v>
      </c>
      <c r="Y11" s="173">
        <v>1.7833092954246298E-2</v>
      </c>
      <c r="Z11" s="173">
        <v>2.3224655719610401E-4</v>
      </c>
    </row>
    <row r="12" spans="1:26">
      <c r="A12" s="167">
        <v>337</v>
      </c>
      <c r="B12" s="167">
        <v>9963</v>
      </c>
      <c r="C12" s="167" t="s">
        <v>1555</v>
      </c>
      <c r="D12" s="167" t="s">
        <v>1556</v>
      </c>
      <c r="E12" s="168" t="s">
        <v>78</v>
      </c>
      <c r="F12" s="167" t="s">
        <v>1557</v>
      </c>
      <c r="G12" s="167" t="s">
        <v>1558</v>
      </c>
      <c r="H12" s="168" t="s">
        <v>76</v>
      </c>
      <c r="I12" s="167" t="s">
        <v>464</v>
      </c>
      <c r="J12" s="168" t="s">
        <v>53</v>
      </c>
      <c r="K12" s="168" t="s">
        <v>53</v>
      </c>
      <c r="L12" s="167" t="s">
        <v>102</v>
      </c>
      <c r="M12" s="167" t="s">
        <v>122</v>
      </c>
      <c r="N12" s="167" t="s">
        <v>62</v>
      </c>
      <c r="O12" s="169" t="s">
        <v>1559</v>
      </c>
      <c r="P12" s="168" t="s">
        <v>1259</v>
      </c>
      <c r="Q12" s="167" t="s">
        <v>302</v>
      </c>
      <c r="R12" s="167" t="s">
        <v>304</v>
      </c>
      <c r="S12" s="169">
        <v>45657</v>
      </c>
      <c r="T12" s="167"/>
      <c r="U12" s="172">
        <v>2116317</v>
      </c>
      <c r="V12" s="171">
        <v>1</v>
      </c>
      <c r="W12" s="178">
        <v>0</v>
      </c>
      <c r="X12" s="172">
        <v>0</v>
      </c>
      <c r="Y12" s="173">
        <v>1.4605173351786502E-9</v>
      </c>
      <c r="Z12" s="173">
        <v>1.9020824020305597E-11</v>
      </c>
    </row>
    <row r="13" spans="1:26">
      <c r="A13" s="167">
        <v>337</v>
      </c>
      <c r="B13" s="167">
        <v>9963</v>
      </c>
      <c r="C13" s="167" t="s">
        <v>1584</v>
      </c>
      <c r="D13" s="167" t="s">
        <v>1585</v>
      </c>
      <c r="E13" s="168" t="s">
        <v>78</v>
      </c>
      <c r="F13" s="167" t="s">
        <v>1586</v>
      </c>
      <c r="G13" s="167" t="s">
        <v>1587</v>
      </c>
      <c r="H13" s="168" t="s">
        <v>78</v>
      </c>
      <c r="I13" s="167" t="s">
        <v>464</v>
      </c>
      <c r="J13" s="168" t="s">
        <v>61</v>
      </c>
      <c r="K13" s="168" t="s">
        <v>317</v>
      </c>
      <c r="L13" s="167" t="s">
        <v>102</v>
      </c>
      <c r="M13" s="167" t="s">
        <v>690</v>
      </c>
      <c r="N13" s="167" t="s">
        <v>62</v>
      </c>
      <c r="O13" s="169" t="s">
        <v>1588</v>
      </c>
      <c r="P13" s="168" t="s">
        <v>1215</v>
      </c>
      <c r="Q13" s="167" t="s">
        <v>303</v>
      </c>
      <c r="R13" s="167" t="s">
        <v>305</v>
      </c>
      <c r="S13" s="169" t="s">
        <v>1319</v>
      </c>
      <c r="T13" s="167"/>
      <c r="U13" s="172">
        <v>8941</v>
      </c>
      <c r="V13" s="171">
        <v>3.3719999999999999</v>
      </c>
      <c r="W13" s="178">
        <v>5228.8999999999996</v>
      </c>
      <c r="X13" s="172">
        <v>1576.4639999999999</v>
      </c>
      <c r="Y13" s="173">
        <v>0.10879526455687701</v>
      </c>
      <c r="Z13" s="173">
        <v>1.4168784796558501E-3</v>
      </c>
    </row>
    <row r="14" spans="1:26">
      <c r="A14" s="167">
        <v>337</v>
      </c>
      <c r="B14" s="167">
        <v>9963</v>
      </c>
      <c r="C14" s="167" t="s">
        <v>1589</v>
      </c>
      <c r="D14" s="167" t="s">
        <v>1590</v>
      </c>
      <c r="E14" s="168" t="s">
        <v>78</v>
      </c>
      <c r="F14" s="167" t="s">
        <v>1591</v>
      </c>
      <c r="G14" s="167" t="s">
        <v>1592</v>
      </c>
      <c r="H14" s="168" t="s">
        <v>78</v>
      </c>
      <c r="I14" s="167" t="s">
        <v>464</v>
      </c>
      <c r="J14" s="168" t="s">
        <v>61</v>
      </c>
      <c r="K14" s="168" t="s">
        <v>153</v>
      </c>
      <c r="L14" s="167" t="s">
        <v>102</v>
      </c>
      <c r="M14" s="167" t="s">
        <v>899</v>
      </c>
      <c r="N14" s="167" t="s">
        <v>62</v>
      </c>
      <c r="O14" s="169" t="s">
        <v>1593</v>
      </c>
      <c r="P14" s="168" t="s">
        <v>1215</v>
      </c>
      <c r="Q14" s="167" t="s">
        <v>303</v>
      </c>
      <c r="R14" s="167" t="s">
        <v>305</v>
      </c>
      <c r="S14" s="169" t="s">
        <v>1379</v>
      </c>
      <c r="T14" s="167"/>
      <c r="U14" s="172">
        <v>301500</v>
      </c>
      <c r="V14" s="171">
        <v>3.3719999999999999</v>
      </c>
      <c r="W14" s="178">
        <v>157.821</v>
      </c>
      <c r="X14" s="172">
        <v>1604.5029999999999</v>
      </c>
      <c r="Y14" s="173">
        <v>0.110730304539672</v>
      </c>
      <c r="Z14" s="173">
        <v>1.4420791767639799E-3</v>
      </c>
    </row>
    <row r="15" spans="1:26">
      <c r="A15" s="167">
        <v>337</v>
      </c>
      <c r="B15" s="167">
        <v>9963</v>
      </c>
      <c r="C15" s="167" t="s">
        <v>1594</v>
      </c>
      <c r="D15" s="167" t="s">
        <v>1595</v>
      </c>
      <c r="E15" s="168" t="s">
        <v>78</v>
      </c>
      <c r="F15" s="167" t="s">
        <v>1596</v>
      </c>
      <c r="G15" s="167" t="s">
        <v>1597</v>
      </c>
      <c r="H15" s="168" t="s">
        <v>78</v>
      </c>
      <c r="I15" s="167" t="s">
        <v>464</v>
      </c>
      <c r="J15" s="168" t="s">
        <v>61</v>
      </c>
      <c r="K15" s="168" t="s">
        <v>153</v>
      </c>
      <c r="L15" s="167" t="s">
        <v>102</v>
      </c>
      <c r="M15" s="167" t="s">
        <v>899</v>
      </c>
      <c r="N15" s="167" t="s">
        <v>62</v>
      </c>
      <c r="O15" s="169" t="s">
        <v>1593</v>
      </c>
      <c r="P15" s="168" t="s">
        <v>1239</v>
      </c>
      <c r="Q15" s="167" t="s">
        <v>303</v>
      </c>
      <c r="R15" s="167" t="s">
        <v>1370</v>
      </c>
      <c r="S15" s="169" t="s">
        <v>1379</v>
      </c>
      <c r="T15" s="167"/>
      <c r="U15" s="172">
        <v>502500</v>
      </c>
      <c r="V15" s="171">
        <v>3.9552</v>
      </c>
      <c r="W15" s="178">
        <v>99.906999999999996</v>
      </c>
      <c r="X15" s="172">
        <v>1985.6479999999999</v>
      </c>
      <c r="Y15" s="173">
        <v>0.13703394723343501</v>
      </c>
      <c r="Z15" s="173">
        <v>1.78464064229418E-3</v>
      </c>
    </row>
    <row r="16" spans="1:26">
      <c r="A16" s="167">
        <v>337</v>
      </c>
      <c r="B16" s="167">
        <v>9963</v>
      </c>
      <c r="C16" s="167" t="s">
        <v>1598</v>
      </c>
      <c r="D16" s="167" t="s">
        <v>1599</v>
      </c>
      <c r="E16" s="168" t="s">
        <v>78</v>
      </c>
      <c r="F16" s="167" t="s">
        <v>1598</v>
      </c>
      <c r="G16" s="167" t="s">
        <v>1600</v>
      </c>
      <c r="H16" s="168" t="s">
        <v>78</v>
      </c>
      <c r="I16" s="167" t="s">
        <v>464</v>
      </c>
      <c r="J16" s="168" t="s">
        <v>61</v>
      </c>
      <c r="K16" s="168" t="s">
        <v>317</v>
      </c>
      <c r="L16" s="167" t="s">
        <v>102</v>
      </c>
      <c r="M16" s="167" t="s">
        <v>899</v>
      </c>
      <c r="N16" s="167" t="s">
        <v>62</v>
      </c>
      <c r="O16" s="169" t="s">
        <v>1601</v>
      </c>
      <c r="P16" s="168" t="s">
        <v>1215</v>
      </c>
      <c r="Q16" s="167" t="s">
        <v>303</v>
      </c>
      <c r="R16" s="167" t="s">
        <v>1370</v>
      </c>
      <c r="S16" s="169">
        <v>45838</v>
      </c>
      <c r="T16" s="167"/>
      <c r="U16" s="172">
        <v>65700</v>
      </c>
      <c r="V16" s="171">
        <v>3.3719999999999999</v>
      </c>
      <c r="W16" s="178">
        <v>381.3</v>
      </c>
      <c r="X16" s="172">
        <v>844.73400000000004</v>
      </c>
      <c r="Y16" s="173">
        <v>5.8296936913114598E-2</v>
      </c>
      <c r="Z16" s="173">
        <v>7.5922123704993602E-4</v>
      </c>
    </row>
    <row r="17" spans="1:26">
      <c r="A17" s="167">
        <v>337</v>
      </c>
      <c r="B17" s="167">
        <v>9963</v>
      </c>
      <c r="C17" s="167" t="s">
        <v>1550</v>
      </c>
      <c r="D17" s="167" t="s">
        <v>1551</v>
      </c>
      <c r="E17" s="168" t="s">
        <v>429</v>
      </c>
      <c r="F17" s="167" t="s">
        <v>1552</v>
      </c>
      <c r="G17" s="167" t="s">
        <v>1553</v>
      </c>
      <c r="H17" s="168" t="s">
        <v>76</v>
      </c>
      <c r="I17" s="167" t="s">
        <v>464</v>
      </c>
      <c r="J17" s="168" t="s">
        <v>61</v>
      </c>
      <c r="K17" s="168" t="s">
        <v>314</v>
      </c>
      <c r="L17" s="167" t="s">
        <v>102</v>
      </c>
      <c r="M17" s="167" t="s">
        <v>257</v>
      </c>
      <c r="N17" s="167" t="s">
        <v>62</v>
      </c>
      <c r="O17" s="169" t="s">
        <v>1554</v>
      </c>
      <c r="P17" s="168" t="s">
        <v>1215</v>
      </c>
      <c r="Q17" s="167" t="s">
        <v>301</v>
      </c>
      <c r="R17" s="167" t="s">
        <v>1370</v>
      </c>
      <c r="S17" s="169">
        <v>45700</v>
      </c>
      <c r="T17" s="167"/>
      <c r="U17" s="172">
        <v>31700</v>
      </c>
      <c r="V17" s="171">
        <v>3.3719999999999999</v>
      </c>
      <c r="W17" s="178">
        <v>2500</v>
      </c>
      <c r="X17" s="172">
        <v>2672.31</v>
      </c>
      <c r="Y17" s="173">
        <v>0.184422044522218</v>
      </c>
      <c r="Z17" s="173">
        <v>2.4017922758123198E-3</v>
      </c>
    </row>
    <row r="18" spans="1:26">
      <c r="A18" s="167">
        <v>337</v>
      </c>
      <c r="B18" s="167">
        <v>9964</v>
      </c>
      <c r="C18" s="167" t="s">
        <v>1555</v>
      </c>
      <c r="D18" s="167" t="s">
        <v>1556</v>
      </c>
      <c r="E18" s="168" t="s">
        <v>78</v>
      </c>
      <c r="F18" s="167" t="s">
        <v>1557</v>
      </c>
      <c r="G18" s="167" t="s">
        <v>1558</v>
      </c>
      <c r="H18" s="168" t="s">
        <v>76</v>
      </c>
      <c r="I18" s="167" t="s">
        <v>464</v>
      </c>
      <c r="J18" s="168" t="s">
        <v>53</v>
      </c>
      <c r="K18" s="168" t="s">
        <v>53</v>
      </c>
      <c r="L18" s="167" t="s">
        <v>102</v>
      </c>
      <c r="M18" s="167" t="s">
        <v>122</v>
      </c>
      <c r="N18" s="167" t="s">
        <v>62</v>
      </c>
      <c r="O18" s="169" t="s">
        <v>1559</v>
      </c>
      <c r="P18" s="168" t="s">
        <v>1259</v>
      </c>
      <c r="Q18" s="167" t="s">
        <v>302</v>
      </c>
      <c r="R18" s="167" t="s">
        <v>304</v>
      </c>
      <c r="S18" s="169">
        <v>45657</v>
      </c>
      <c r="T18" s="167"/>
      <c r="U18" s="172">
        <v>24232</v>
      </c>
      <c r="V18" s="171">
        <v>1</v>
      </c>
      <c r="W18" s="178">
        <v>0</v>
      </c>
      <c r="X18" s="172">
        <v>0</v>
      </c>
      <c r="Y18" s="173">
        <v>3.3817598099299704E-9</v>
      </c>
      <c r="Z18" s="173">
        <v>6.2408163036806996E-12</v>
      </c>
    </row>
    <row r="19" spans="1:26">
      <c r="A19" s="5">
        <v>337</v>
      </c>
      <c r="B19" s="167">
        <v>9964</v>
      </c>
      <c r="C19" s="167" t="s">
        <v>1550</v>
      </c>
      <c r="D19" s="167" t="s">
        <v>1551</v>
      </c>
      <c r="E19" s="168" t="s">
        <v>429</v>
      </c>
      <c r="F19" s="167" t="s">
        <v>1552</v>
      </c>
      <c r="G19" s="167" t="s">
        <v>1553</v>
      </c>
      <c r="H19" s="168" t="s">
        <v>76</v>
      </c>
      <c r="I19" s="167" t="s">
        <v>464</v>
      </c>
      <c r="J19" s="168" t="s">
        <v>61</v>
      </c>
      <c r="K19" s="168" t="s">
        <v>314</v>
      </c>
      <c r="L19" s="167" t="s">
        <v>102</v>
      </c>
      <c r="M19" s="167" t="s">
        <v>257</v>
      </c>
      <c r="N19" s="167" t="s">
        <v>62</v>
      </c>
      <c r="O19" s="169" t="s">
        <v>1554</v>
      </c>
      <c r="P19" s="168" t="s">
        <v>1215</v>
      </c>
      <c r="Q19" s="167" t="s">
        <v>301</v>
      </c>
      <c r="R19" s="167" t="s">
        <v>1370</v>
      </c>
      <c r="S19" s="169">
        <v>45700</v>
      </c>
      <c r="T19" s="167"/>
      <c r="U19" s="172">
        <v>850</v>
      </c>
      <c r="V19" s="171">
        <v>3.3719999999999999</v>
      </c>
      <c r="W19" s="178">
        <v>2500</v>
      </c>
      <c r="X19" s="172">
        <v>71.655000000000001</v>
      </c>
      <c r="Y19" s="173">
        <v>0.99999999661824002</v>
      </c>
      <c r="Z19" s="173">
        <v>1.8454345173334499E-3</v>
      </c>
    </row>
    <row r="20" spans="1:26" hidden="1">
      <c r="E20" s="21"/>
      <c r="H20" s="5"/>
      <c r="I20" s="23"/>
      <c r="J20" s="21"/>
      <c r="K20" s="21"/>
      <c r="L20" s="23"/>
      <c r="M20" s="23"/>
      <c r="N20" s="23"/>
      <c r="R20" s="23"/>
    </row>
    <row r="21" spans="1:26" customFormat="1" hidden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5E4126B1-169B-41E0-A540-4F3F9B4CFE85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9A43738B-8E74-45DC-9351-4D7E469355F8}">
      <formula1>Type_of_Security_ID</formula1>
    </dataValidation>
    <dataValidation type="list" allowBlank="1" showInputMessage="1" showErrorMessage="1" sqref="H3:H19" xr:uid="{51019644-E73B-4346-8B2A-F7B8AFEEAAD8}">
      <formula1>Type_of_Security_ID_Traded</formula1>
    </dataValidation>
    <dataValidation type="list" allowBlank="1" showInputMessage="1" showErrorMessage="1" sqref="E2" xr:uid="{5D1E5E0A-C217-4585-A9EC-B90CCDE649B9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2"/>
  <sheetViews>
    <sheetView rightToLeft="1" workbookViewId="0">
      <selection activeCell="A2" sqref="A2:Z62"/>
    </sheetView>
  </sheetViews>
  <sheetFormatPr defaultColWidth="0" defaultRowHeight="14.25" zeroHeight="1"/>
  <cols>
    <col min="1" max="15" width="11.625" style="3" customWidth="1"/>
    <col min="16" max="16" width="11.625" customWidth="1"/>
    <col min="17" max="26" width="11.625" style="3" customWidth="1"/>
    <col min="27" max="16384" width="0" style="3" hidden="1"/>
  </cols>
  <sheetData>
    <row r="1" spans="1:26" ht="51">
      <c r="A1" s="22" t="s">
        <v>649</v>
      </c>
      <c r="B1" s="22" t="s">
        <v>0</v>
      </c>
      <c r="C1" s="22" t="s">
        <v>778</v>
      </c>
      <c r="D1" s="22" t="s">
        <v>791</v>
      </c>
      <c r="E1" s="22" t="s">
        <v>779</v>
      </c>
      <c r="F1" s="22" t="s">
        <v>745</v>
      </c>
      <c r="G1" s="22" t="s">
        <v>744</v>
      </c>
      <c r="H1" s="22" t="s">
        <v>749</v>
      </c>
      <c r="I1" s="22" t="s">
        <v>1</v>
      </c>
      <c r="J1" s="22" t="s">
        <v>289</v>
      </c>
      <c r="K1" s="22" t="s">
        <v>602</v>
      </c>
      <c r="L1" s="22" t="s">
        <v>737</v>
      </c>
      <c r="M1" s="22" t="s">
        <v>752</v>
      </c>
      <c r="N1" s="22" t="s">
        <v>603</v>
      </c>
      <c r="O1" s="22" t="s">
        <v>604</v>
      </c>
      <c r="P1" s="31" t="s">
        <v>12</v>
      </c>
      <c r="Q1" s="22" t="s">
        <v>396</v>
      </c>
      <c r="R1" s="22" t="s">
        <v>915</v>
      </c>
      <c r="S1" s="22" t="s">
        <v>372</v>
      </c>
      <c r="T1" s="22" t="s">
        <v>16</v>
      </c>
      <c r="U1" s="22" t="s">
        <v>11</v>
      </c>
      <c r="V1" s="120" t="s">
        <v>934</v>
      </c>
      <c r="W1" s="22" t="s">
        <v>1151</v>
      </c>
      <c r="X1" s="22" t="s">
        <v>734</v>
      </c>
      <c r="Y1" s="22" t="s">
        <v>19</v>
      </c>
      <c r="Z1" s="22" t="s">
        <v>30</v>
      </c>
    </row>
    <row r="2" spans="1:26">
      <c r="A2" s="167">
        <v>337</v>
      </c>
      <c r="B2" s="167">
        <v>9962</v>
      </c>
      <c r="C2" s="167" t="s">
        <v>1230</v>
      </c>
      <c r="D2" s="167" t="s">
        <v>1340</v>
      </c>
      <c r="E2" s="167" t="s">
        <v>78</v>
      </c>
      <c r="F2" s="167" t="s">
        <v>1230</v>
      </c>
      <c r="G2" s="167">
        <v>62019286</v>
      </c>
      <c r="H2" s="167" t="s">
        <v>78</v>
      </c>
      <c r="I2" s="9" t="s">
        <v>280</v>
      </c>
      <c r="J2" s="167" t="s">
        <v>130</v>
      </c>
      <c r="K2" s="168" t="s">
        <v>61</v>
      </c>
      <c r="L2" s="167" t="s">
        <v>1341</v>
      </c>
      <c r="M2" s="167" t="s">
        <v>313</v>
      </c>
      <c r="N2" s="168" t="s">
        <v>313</v>
      </c>
      <c r="O2" s="167" t="s">
        <v>62</v>
      </c>
      <c r="P2" s="183" t="s">
        <v>1342</v>
      </c>
      <c r="Q2" s="168" t="s">
        <v>1215</v>
      </c>
      <c r="R2" s="167" t="s">
        <v>303</v>
      </c>
      <c r="S2" s="167" t="s">
        <v>305</v>
      </c>
      <c r="T2" s="169" t="s">
        <v>1343</v>
      </c>
      <c r="U2" s="171">
        <v>3.3719999999999999</v>
      </c>
      <c r="V2" s="172">
        <v>16.315000000000001</v>
      </c>
      <c r="W2" s="172">
        <v>55.014000000000003</v>
      </c>
      <c r="X2" s="173">
        <v>0</v>
      </c>
      <c r="Y2" s="173">
        <v>1</v>
      </c>
      <c r="Z2" s="173">
        <v>1.29307862003293E-3</v>
      </c>
    </row>
    <row r="3" spans="1:26">
      <c r="A3" s="167">
        <v>337</v>
      </c>
      <c r="B3" s="167">
        <v>9963</v>
      </c>
      <c r="C3" s="167" t="s">
        <v>1344</v>
      </c>
      <c r="D3" s="9" t="s">
        <v>1345</v>
      </c>
      <c r="E3" s="167" t="s">
        <v>1346</v>
      </c>
      <c r="F3" s="167" t="s">
        <v>1347</v>
      </c>
      <c r="G3" s="167">
        <v>62018528</v>
      </c>
      <c r="H3" s="167" t="s">
        <v>78</v>
      </c>
      <c r="I3" s="9" t="s">
        <v>747</v>
      </c>
      <c r="J3" s="167" t="s">
        <v>130</v>
      </c>
      <c r="K3" s="168" t="s">
        <v>53</v>
      </c>
      <c r="L3" s="167" t="s">
        <v>53</v>
      </c>
      <c r="M3" s="167" t="s">
        <v>53</v>
      </c>
      <c r="N3" s="168" t="s">
        <v>313</v>
      </c>
      <c r="O3" s="167" t="s">
        <v>62</v>
      </c>
      <c r="P3" s="183" t="s">
        <v>1348</v>
      </c>
      <c r="Q3" s="168" t="s">
        <v>1239</v>
      </c>
      <c r="R3" s="167" t="s">
        <v>303</v>
      </c>
      <c r="S3" s="167" t="s">
        <v>305</v>
      </c>
      <c r="T3" s="169" t="s">
        <v>1349</v>
      </c>
      <c r="U3" s="171">
        <v>3.9552</v>
      </c>
      <c r="V3" s="172">
        <v>366.40699999999998</v>
      </c>
      <c r="W3" s="172">
        <v>1449.213</v>
      </c>
      <c r="X3" s="173">
        <v>0</v>
      </c>
      <c r="Y3" s="173">
        <v>9.8062368322340502E-3</v>
      </c>
      <c r="Z3" s="173">
        <v>1.30250943035739E-3</v>
      </c>
    </row>
    <row r="4" spans="1:26">
      <c r="A4" s="167">
        <v>337</v>
      </c>
      <c r="B4" s="167">
        <v>9963</v>
      </c>
      <c r="C4" s="167" t="s">
        <v>1350</v>
      </c>
      <c r="D4" s="9" t="s">
        <v>1351</v>
      </c>
      <c r="E4" s="167" t="s">
        <v>1346</v>
      </c>
      <c r="F4" s="167" t="s">
        <v>1255</v>
      </c>
      <c r="G4" s="167">
        <v>62018080</v>
      </c>
      <c r="H4" s="167" t="s">
        <v>78</v>
      </c>
      <c r="I4" s="9" t="s">
        <v>747</v>
      </c>
      <c r="J4" s="167" t="s">
        <v>130</v>
      </c>
      <c r="K4" s="168" t="s">
        <v>53</v>
      </c>
      <c r="L4" s="167" t="s">
        <v>53</v>
      </c>
      <c r="M4" s="167" t="s">
        <v>53</v>
      </c>
      <c r="N4" s="168" t="s">
        <v>53</v>
      </c>
      <c r="O4" s="167" t="s">
        <v>62</v>
      </c>
      <c r="P4" s="183" t="s">
        <v>1352</v>
      </c>
      <c r="Q4" s="168" t="s">
        <v>1215</v>
      </c>
      <c r="R4" s="167" t="s">
        <v>303</v>
      </c>
      <c r="S4" s="167" t="s">
        <v>305</v>
      </c>
      <c r="T4" s="169" t="s">
        <v>1353</v>
      </c>
      <c r="U4" s="171">
        <v>3.3719999999999999</v>
      </c>
      <c r="V4" s="172">
        <v>739.06399999999996</v>
      </c>
      <c r="W4" s="172">
        <v>2492.1239999999998</v>
      </c>
      <c r="X4" s="173">
        <v>0</v>
      </c>
      <c r="Y4" s="173">
        <v>1.6863191240194201E-2</v>
      </c>
      <c r="Z4" s="173">
        <v>2.2398465376722099E-3</v>
      </c>
    </row>
    <row r="5" spans="1:26">
      <c r="A5" s="167">
        <v>337</v>
      </c>
      <c r="B5" s="167">
        <v>9963</v>
      </c>
      <c r="C5" s="167" t="s">
        <v>1260</v>
      </c>
      <c r="D5" s="9" t="s">
        <v>1257</v>
      </c>
      <c r="E5" s="167" t="s">
        <v>765</v>
      </c>
      <c r="F5" s="167" t="s">
        <v>1354</v>
      </c>
      <c r="G5" s="167">
        <v>50000967</v>
      </c>
      <c r="H5" s="167" t="s">
        <v>78</v>
      </c>
      <c r="I5" s="9" t="s">
        <v>280</v>
      </c>
      <c r="J5" s="167" t="s">
        <v>130</v>
      </c>
      <c r="K5" s="168" t="s">
        <v>53</v>
      </c>
      <c r="L5" s="167" t="s">
        <v>109</v>
      </c>
      <c r="M5" s="167" t="s">
        <v>109</v>
      </c>
      <c r="N5" s="168" t="s">
        <v>53</v>
      </c>
      <c r="O5" s="167" t="s">
        <v>62</v>
      </c>
      <c r="P5" s="183" t="s">
        <v>1355</v>
      </c>
      <c r="Q5" s="168" t="s">
        <v>1259</v>
      </c>
      <c r="R5" s="167" t="s">
        <v>303</v>
      </c>
      <c r="S5" s="167" t="s">
        <v>305</v>
      </c>
      <c r="T5" s="169" t="s">
        <v>1319</v>
      </c>
      <c r="U5" s="171">
        <v>1</v>
      </c>
      <c r="V5" s="172">
        <v>1039.5</v>
      </c>
      <c r="W5" s="172">
        <v>1039.5</v>
      </c>
      <c r="X5" s="173">
        <v>0</v>
      </c>
      <c r="Y5" s="173">
        <v>7.0338742858407398E-3</v>
      </c>
      <c r="Z5" s="173">
        <v>9.3427149945436803E-4</v>
      </c>
    </row>
    <row r="6" spans="1:26">
      <c r="A6" s="167">
        <v>337</v>
      </c>
      <c r="B6" s="167">
        <v>9963</v>
      </c>
      <c r="C6" s="167" t="s">
        <v>1260</v>
      </c>
      <c r="D6" s="9" t="s">
        <v>1257</v>
      </c>
      <c r="E6" s="167" t="s">
        <v>765</v>
      </c>
      <c r="F6" s="167" t="s">
        <v>1356</v>
      </c>
      <c r="G6" s="167">
        <v>50007947</v>
      </c>
      <c r="H6" s="167" t="s">
        <v>78</v>
      </c>
      <c r="I6" s="9" t="s">
        <v>280</v>
      </c>
      <c r="J6" s="167" t="s">
        <v>130</v>
      </c>
      <c r="K6" s="168" t="s">
        <v>53</v>
      </c>
      <c r="L6" s="167" t="s">
        <v>109</v>
      </c>
      <c r="M6" s="167" t="s">
        <v>109</v>
      </c>
      <c r="N6" s="168" t="s">
        <v>53</v>
      </c>
      <c r="O6" s="167" t="s">
        <v>62</v>
      </c>
      <c r="P6" s="183" t="s">
        <v>1357</v>
      </c>
      <c r="Q6" s="168" t="s">
        <v>1259</v>
      </c>
      <c r="R6" s="167" t="s">
        <v>303</v>
      </c>
      <c r="S6" s="167" t="s">
        <v>305</v>
      </c>
      <c r="T6" s="169" t="s">
        <v>1319</v>
      </c>
      <c r="U6" s="171">
        <v>1</v>
      </c>
      <c r="V6" s="172">
        <v>2054.0030000000002</v>
      </c>
      <c r="W6" s="172">
        <v>2054.0030000000002</v>
      </c>
      <c r="X6" s="173">
        <v>0</v>
      </c>
      <c r="Y6" s="173">
        <v>1.38986053790424E-2</v>
      </c>
      <c r="Z6" s="173">
        <v>1.8460766229418701E-3</v>
      </c>
    </row>
    <row r="7" spans="1:26">
      <c r="A7" s="167">
        <v>337</v>
      </c>
      <c r="B7" s="167">
        <v>9963</v>
      </c>
      <c r="C7" s="167" t="s">
        <v>1358</v>
      </c>
      <c r="D7" s="9" t="s">
        <v>1359</v>
      </c>
      <c r="E7" s="167" t="s">
        <v>78</v>
      </c>
      <c r="F7" s="167" t="s">
        <v>1358</v>
      </c>
      <c r="G7" s="167">
        <v>62018569</v>
      </c>
      <c r="H7" s="167" t="s">
        <v>78</v>
      </c>
      <c r="I7" s="9" t="s">
        <v>747</v>
      </c>
      <c r="J7" s="167" t="s">
        <v>130</v>
      </c>
      <c r="K7" s="168" t="s">
        <v>53</v>
      </c>
      <c r="L7" s="167" t="s">
        <v>53</v>
      </c>
      <c r="M7" s="167" t="s">
        <v>53</v>
      </c>
      <c r="N7" s="168" t="s">
        <v>317</v>
      </c>
      <c r="O7" s="167" t="s">
        <v>62</v>
      </c>
      <c r="P7" s="183" t="s">
        <v>1360</v>
      </c>
      <c r="Q7" s="168" t="s">
        <v>1215</v>
      </c>
      <c r="R7" s="167" t="s">
        <v>303</v>
      </c>
      <c r="S7" s="167" t="s">
        <v>305</v>
      </c>
      <c r="T7" s="169" t="s">
        <v>1361</v>
      </c>
      <c r="U7" s="171">
        <v>3.3719999999999999</v>
      </c>
      <c r="V7" s="172">
        <v>329.34199999999998</v>
      </c>
      <c r="W7" s="172">
        <v>1110.5409999999999</v>
      </c>
      <c r="X7" s="173">
        <v>0</v>
      </c>
      <c r="Y7" s="173">
        <v>7.5145799060477398E-3</v>
      </c>
      <c r="Z7" s="173">
        <v>9.9812102850992601E-4</v>
      </c>
    </row>
    <row r="8" spans="1:26">
      <c r="A8" s="167">
        <v>337</v>
      </c>
      <c r="B8" s="167">
        <v>9963</v>
      </c>
      <c r="C8" s="167" t="s">
        <v>1362</v>
      </c>
      <c r="D8" s="9" t="s">
        <v>1363</v>
      </c>
      <c r="E8" s="167" t="s">
        <v>431</v>
      </c>
      <c r="F8" s="167" t="s">
        <v>1364</v>
      </c>
      <c r="G8" s="167">
        <v>62018254</v>
      </c>
      <c r="H8" s="167" t="s">
        <v>78</v>
      </c>
      <c r="I8" s="9" t="s">
        <v>747</v>
      </c>
      <c r="J8" s="167" t="s">
        <v>394</v>
      </c>
      <c r="K8" s="168" t="s">
        <v>61</v>
      </c>
      <c r="L8" s="167" t="s">
        <v>109</v>
      </c>
      <c r="M8" s="167" t="s">
        <v>109</v>
      </c>
      <c r="N8" s="168" t="s">
        <v>53</v>
      </c>
      <c r="O8" s="167" t="s">
        <v>62</v>
      </c>
      <c r="P8" s="183" t="s">
        <v>1365</v>
      </c>
      <c r="Q8" s="168" t="s">
        <v>1215</v>
      </c>
      <c r="R8" s="167" t="s">
        <v>303</v>
      </c>
      <c r="S8" s="167" t="s">
        <v>305</v>
      </c>
      <c r="T8" s="169" t="s">
        <v>1319</v>
      </c>
      <c r="U8" s="171">
        <v>3.3719999999999999</v>
      </c>
      <c r="V8" s="172">
        <v>338.81799999999998</v>
      </c>
      <c r="W8" s="172">
        <v>1142.4929999999999</v>
      </c>
      <c r="X8" s="173">
        <v>0</v>
      </c>
      <c r="Y8" s="173">
        <v>7.7307888071426103E-3</v>
      </c>
      <c r="Z8" s="173">
        <v>1.0268388881151101E-3</v>
      </c>
    </row>
    <row r="9" spans="1:26">
      <c r="A9" s="167">
        <v>337</v>
      </c>
      <c r="B9" s="167">
        <v>9963</v>
      </c>
      <c r="C9" s="167" t="s">
        <v>1366</v>
      </c>
      <c r="D9" s="9" t="s">
        <v>1367</v>
      </c>
      <c r="E9" s="167" t="s">
        <v>1346</v>
      </c>
      <c r="F9" s="167" t="s">
        <v>1368</v>
      </c>
      <c r="G9" s="167">
        <v>50008341</v>
      </c>
      <c r="H9" s="167" t="s">
        <v>78</v>
      </c>
      <c r="I9" s="9" t="s">
        <v>281</v>
      </c>
      <c r="J9" s="167" t="s">
        <v>130</v>
      </c>
      <c r="K9" s="168" t="s">
        <v>53</v>
      </c>
      <c r="L9" s="167" t="s">
        <v>53</v>
      </c>
      <c r="M9" s="167" t="s">
        <v>53</v>
      </c>
      <c r="N9" s="168" t="s">
        <v>53</v>
      </c>
      <c r="O9" s="167" t="s">
        <v>62</v>
      </c>
      <c r="P9" s="183" t="s">
        <v>1369</v>
      </c>
      <c r="Q9" s="168" t="s">
        <v>1259</v>
      </c>
      <c r="R9" s="167" t="s">
        <v>303</v>
      </c>
      <c r="S9" s="167" t="s">
        <v>1370</v>
      </c>
      <c r="T9" s="169" t="s">
        <v>1371</v>
      </c>
      <c r="U9" s="171">
        <v>1</v>
      </c>
      <c r="V9" s="172">
        <v>2822.1669999999999</v>
      </c>
      <c r="W9" s="172">
        <v>2822.1669999999999</v>
      </c>
      <c r="X9" s="173">
        <v>0</v>
      </c>
      <c r="Y9" s="173">
        <v>1.9096460514861E-2</v>
      </c>
      <c r="Z9" s="173">
        <v>2.5364796233855102E-3</v>
      </c>
    </row>
    <row r="10" spans="1:26">
      <c r="A10" s="167">
        <v>337</v>
      </c>
      <c r="B10" s="167">
        <v>9963</v>
      </c>
      <c r="C10" s="167" t="s">
        <v>1372</v>
      </c>
      <c r="D10" s="9" t="s">
        <v>1373</v>
      </c>
      <c r="E10" s="167" t="s">
        <v>431</v>
      </c>
      <c r="F10" s="167" t="s">
        <v>1374</v>
      </c>
      <c r="G10" s="167">
        <v>50006691</v>
      </c>
      <c r="H10" s="167" t="s">
        <v>78</v>
      </c>
      <c r="I10" s="9" t="s">
        <v>280</v>
      </c>
      <c r="J10" s="167" t="s">
        <v>130</v>
      </c>
      <c r="K10" s="168" t="s">
        <v>53</v>
      </c>
      <c r="L10" s="167" t="s">
        <v>53</v>
      </c>
      <c r="M10" s="167" t="s">
        <v>53</v>
      </c>
      <c r="N10" s="168" t="s">
        <v>53</v>
      </c>
      <c r="O10" s="167" t="s">
        <v>62</v>
      </c>
      <c r="P10" s="183" t="s">
        <v>1352</v>
      </c>
      <c r="Q10" s="168" t="s">
        <v>1259</v>
      </c>
      <c r="R10" s="167" t="s">
        <v>303</v>
      </c>
      <c r="S10" s="167" t="s">
        <v>305</v>
      </c>
      <c r="T10" s="169" t="s">
        <v>1375</v>
      </c>
      <c r="U10" s="171">
        <v>1</v>
      </c>
      <c r="V10" s="172">
        <v>3320.81</v>
      </c>
      <c r="W10" s="172">
        <v>3320.81</v>
      </c>
      <c r="X10" s="173">
        <v>1.688E-3</v>
      </c>
      <c r="Y10" s="173">
        <v>2.2470570512358599E-2</v>
      </c>
      <c r="Z10" s="173">
        <v>2.98464441544495E-3</v>
      </c>
    </row>
    <row r="11" spans="1:26">
      <c r="A11" s="167">
        <v>337</v>
      </c>
      <c r="B11" s="167">
        <v>9963</v>
      </c>
      <c r="C11" s="167" t="s">
        <v>1376</v>
      </c>
      <c r="D11" s="9" t="s">
        <v>1377</v>
      </c>
      <c r="E11" s="167" t="s">
        <v>78</v>
      </c>
      <c r="F11" s="167" t="s">
        <v>1306</v>
      </c>
      <c r="G11" s="167">
        <v>62020158</v>
      </c>
      <c r="H11" s="167" t="s">
        <v>78</v>
      </c>
      <c r="I11" s="9" t="s">
        <v>747</v>
      </c>
      <c r="J11" s="167" t="s">
        <v>130</v>
      </c>
      <c r="K11" s="168" t="s">
        <v>53</v>
      </c>
      <c r="L11" s="167" t="s">
        <v>53</v>
      </c>
      <c r="M11" s="167" t="s">
        <v>53</v>
      </c>
      <c r="N11" s="168" t="s">
        <v>53</v>
      </c>
      <c r="O11" s="167" t="s">
        <v>62</v>
      </c>
      <c r="P11" s="183" t="s">
        <v>1378</v>
      </c>
      <c r="Q11" s="168" t="s">
        <v>1259</v>
      </c>
      <c r="R11" s="167" t="s">
        <v>303</v>
      </c>
      <c r="S11" s="167" t="s">
        <v>305</v>
      </c>
      <c r="T11" s="169" t="s">
        <v>1379</v>
      </c>
      <c r="U11" s="171">
        <v>1</v>
      </c>
      <c r="V11" s="172">
        <v>2746.5749999999998</v>
      </c>
      <c r="W11" s="172">
        <v>2746.5749999999998</v>
      </c>
      <c r="X11" s="173">
        <v>0</v>
      </c>
      <c r="Y11" s="173">
        <v>1.8584959685455201E-2</v>
      </c>
      <c r="Z11" s="173">
        <v>2.468539733157E-3</v>
      </c>
    </row>
    <row r="12" spans="1:26">
      <c r="A12" s="167">
        <v>337</v>
      </c>
      <c r="B12" s="167">
        <v>9963</v>
      </c>
      <c r="C12" s="167" t="s">
        <v>1380</v>
      </c>
      <c r="D12" s="9" t="s">
        <v>1381</v>
      </c>
      <c r="E12" s="167" t="s">
        <v>78</v>
      </c>
      <c r="F12" s="167" t="s">
        <v>1382</v>
      </c>
      <c r="G12" s="167">
        <v>50005</v>
      </c>
      <c r="H12" s="167" t="s">
        <v>78</v>
      </c>
      <c r="I12" s="9" t="s">
        <v>281</v>
      </c>
      <c r="J12" s="167" t="s">
        <v>130</v>
      </c>
      <c r="K12" s="168" t="s">
        <v>53</v>
      </c>
      <c r="L12" s="167" t="s">
        <v>53</v>
      </c>
      <c r="M12" s="167" t="s">
        <v>53</v>
      </c>
      <c r="N12" s="168" t="s">
        <v>53</v>
      </c>
      <c r="O12" s="167" t="s">
        <v>62</v>
      </c>
      <c r="P12" s="183" t="s">
        <v>1383</v>
      </c>
      <c r="Q12" s="168" t="s">
        <v>1259</v>
      </c>
      <c r="R12" s="167" t="s">
        <v>303</v>
      </c>
      <c r="S12" s="167" t="s">
        <v>305</v>
      </c>
      <c r="T12" s="169" t="s">
        <v>1371</v>
      </c>
      <c r="U12" s="171">
        <v>1</v>
      </c>
      <c r="V12" s="172">
        <v>9808.6280000000006</v>
      </c>
      <c r="W12" s="172">
        <v>9808.6280000000006</v>
      </c>
      <c r="X12" s="173">
        <v>0</v>
      </c>
      <c r="Y12" s="173">
        <v>6.6370999868882202E-2</v>
      </c>
      <c r="Z12" s="173">
        <v>8.8157011410639006E-3</v>
      </c>
    </row>
    <row r="13" spans="1:26">
      <c r="A13" s="167">
        <v>337</v>
      </c>
      <c r="B13" s="167">
        <v>9963</v>
      </c>
      <c r="C13" s="167" t="s">
        <v>1384</v>
      </c>
      <c r="D13" s="9" t="s">
        <v>1385</v>
      </c>
      <c r="E13" s="167" t="s">
        <v>1346</v>
      </c>
      <c r="F13" s="167" t="s">
        <v>1386</v>
      </c>
      <c r="G13" s="167">
        <v>62017520</v>
      </c>
      <c r="H13" s="167" t="s">
        <v>78</v>
      </c>
      <c r="I13" s="9" t="s">
        <v>747</v>
      </c>
      <c r="J13" s="167" t="s">
        <v>130</v>
      </c>
      <c r="K13" s="168" t="s">
        <v>53</v>
      </c>
      <c r="L13" s="167" t="s">
        <v>53</v>
      </c>
      <c r="M13" s="167" t="s">
        <v>53</v>
      </c>
      <c r="N13" s="168" t="s">
        <v>53</v>
      </c>
      <c r="O13" s="167" t="s">
        <v>62</v>
      </c>
      <c r="P13" s="183" t="s">
        <v>1387</v>
      </c>
      <c r="Q13" s="168" t="s">
        <v>1215</v>
      </c>
      <c r="R13" s="167" t="s">
        <v>303</v>
      </c>
      <c r="S13" s="167" t="s">
        <v>305</v>
      </c>
      <c r="T13" s="169" t="s">
        <v>1388</v>
      </c>
      <c r="U13" s="171">
        <v>3.3719999999999999</v>
      </c>
      <c r="V13" s="172">
        <v>883.976</v>
      </c>
      <c r="W13" s="172">
        <v>2980.7669999999998</v>
      </c>
      <c r="X13" s="173">
        <v>0</v>
      </c>
      <c r="Y13" s="173">
        <v>2.0169642632287401E-2</v>
      </c>
      <c r="Z13" s="173">
        <v>2.6790246029075098E-3</v>
      </c>
    </row>
    <row r="14" spans="1:26">
      <c r="A14" s="167">
        <v>337</v>
      </c>
      <c r="B14" s="167">
        <v>9963</v>
      </c>
      <c r="C14" s="167" t="s">
        <v>1389</v>
      </c>
      <c r="D14" s="9" t="s">
        <v>1390</v>
      </c>
      <c r="E14" s="167" t="s">
        <v>765</v>
      </c>
      <c r="F14" s="167" t="s">
        <v>1391</v>
      </c>
      <c r="G14" s="167">
        <v>62000073</v>
      </c>
      <c r="H14" s="167" t="s">
        <v>78</v>
      </c>
      <c r="I14" s="9" t="s">
        <v>241</v>
      </c>
      <c r="J14" s="167" t="s">
        <v>130</v>
      </c>
      <c r="K14" s="168" t="s">
        <v>61</v>
      </c>
      <c r="L14" s="167" t="s">
        <v>109</v>
      </c>
      <c r="M14" s="167" t="s">
        <v>53</v>
      </c>
      <c r="N14" s="168" t="s">
        <v>314</v>
      </c>
      <c r="O14" s="167" t="s">
        <v>62</v>
      </c>
      <c r="P14" s="183" t="s">
        <v>1392</v>
      </c>
      <c r="Q14" s="168" t="s">
        <v>1215</v>
      </c>
      <c r="R14" s="167" t="s">
        <v>303</v>
      </c>
      <c r="S14" s="167" t="s">
        <v>305</v>
      </c>
      <c r="T14" s="169" t="s">
        <v>1379</v>
      </c>
      <c r="U14" s="171">
        <v>3.3719999999999999</v>
      </c>
      <c r="V14" s="172">
        <v>973.88300000000004</v>
      </c>
      <c r="W14" s="172">
        <v>3283.933</v>
      </c>
      <c r="X14" s="173">
        <v>0</v>
      </c>
      <c r="Y14" s="173">
        <v>2.2221043539089502E-2</v>
      </c>
      <c r="Z14" s="173">
        <v>2.95150109641524E-3</v>
      </c>
    </row>
    <row r="15" spans="1:26">
      <c r="A15" s="167">
        <v>337</v>
      </c>
      <c r="B15" s="167">
        <v>9963</v>
      </c>
      <c r="C15" s="167" t="s">
        <v>1389</v>
      </c>
      <c r="D15" s="9" t="s">
        <v>1390</v>
      </c>
      <c r="E15" s="167" t="s">
        <v>765</v>
      </c>
      <c r="F15" s="167" t="s">
        <v>1389</v>
      </c>
      <c r="G15" s="167">
        <v>60388022</v>
      </c>
      <c r="H15" s="167" t="s">
        <v>78</v>
      </c>
      <c r="I15" s="9" t="s">
        <v>241</v>
      </c>
      <c r="J15" s="167" t="s">
        <v>130</v>
      </c>
      <c r="K15" s="168" t="s">
        <v>61</v>
      </c>
      <c r="L15" s="167" t="s">
        <v>109</v>
      </c>
      <c r="M15" s="167" t="s">
        <v>53</v>
      </c>
      <c r="N15" s="168" t="s">
        <v>314</v>
      </c>
      <c r="O15" s="167" t="s">
        <v>62</v>
      </c>
      <c r="P15" s="183" t="s">
        <v>1393</v>
      </c>
      <c r="Q15" s="168" t="s">
        <v>1215</v>
      </c>
      <c r="R15" s="167" t="s">
        <v>303</v>
      </c>
      <c r="S15" s="167" t="s">
        <v>305</v>
      </c>
      <c r="T15" s="169" t="s">
        <v>1388</v>
      </c>
      <c r="U15" s="171">
        <v>3.3719999999999999</v>
      </c>
      <c r="V15" s="172">
        <v>363.01900000000001</v>
      </c>
      <c r="W15" s="172">
        <v>1224.0989999999999</v>
      </c>
      <c r="X15" s="173">
        <v>6.8800000000000003E-4</v>
      </c>
      <c r="Y15" s="173">
        <v>8.2829822626696407E-3</v>
      </c>
      <c r="Z15" s="173">
        <v>1.1001837599054201E-3</v>
      </c>
    </row>
    <row r="16" spans="1:26">
      <c r="A16" s="167">
        <v>337</v>
      </c>
      <c r="B16" s="167">
        <v>9963</v>
      </c>
      <c r="C16" s="167" t="s">
        <v>1394</v>
      </c>
      <c r="D16" s="9" t="s">
        <v>1395</v>
      </c>
      <c r="E16" s="167" t="s">
        <v>78</v>
      </c>
      <c r="F16" s="167" t="s">
        <v>1396</v>
      </c>
      <c r="G16" s="167">
        <v>60397874</v>
      </c>
      <c r="H16" s="167" t="s">
        <v>78</v>
      </c>
      <c r="I16" s="9" t="s">
        <v>747</v>
      </c>
      <c r="J16" s="167" t="s">
        <v>130</v>
      </c>
      <c r="K16" s="168" t="s">
        <v>61</v>
      </c>
      <c r="L16" s="167" t="s">
        <v>1397</v>
      </c>
      <c r="M16" s="167" t="s">
        <v>313</v>
      </c>
      <c r="N16" s="168" t="s">
        <v>314</v>
      </c>
      <c r="O16" s="167" t="s">
        <v>62</v>
      </c>
      <c r="P16" s="183" t="s">
        <v>1398</v>
      </c>
      <c r="Q16" s="168" t="s">
        <v>1215</v>
      </c>
      <c r="R16" s="167" t="s">
        <v>303</v>
      </c>
      <c r="S16" s="167" t="s">
        <v>305</v>
      </c>
      <c r="T16" s="169" t="s">
        <v>1388</v>
      </c>
      <c r="U16" s="171">
        <v>3.3719999999999999</v>
      </c>
      <c r="V16" s="172">
        <v>622.80200000000002</v>
      </c>
      <c r="W16" s="172">
        <v>2100.0880000000002</v>
      </c>
      <c r="X16" s="173">
        <v>1.3290000000000001E-3</v>
      </c>
      <c r="Y16" s="173">
        <v>1.4210444807205401E-2</v>
      </c>
      <c r="Z16" s="173">
        <v>1.8874965685222601E-3</v>
      </c>
    </row>
    <row r="17" spans="1:26">
      <c r="A17" s="167">
        <v>337</v>
      </c>
      <c r="B17" s="167">
        <v>9963</v>
      </c>
      <c r="C17" s="167" t="s">
        <v>1399</v>
      </c>
      <c r="D17" s="9" t="s">
        <v>1400</v>
      </c>
      <c r="E17" s="167" t="s">
        <v>78</v>
      </c>
      <c r="F17" s="167" t="s">
        <v>1401</v>
      </c>
      <c r="G17" s="167">
        <v>62020409</v>
      </c>
      <c r="H17" s="167" t="s">
        <v>78</v>
      </c>
      <c r="I17" s="9" t="s">
        <v>747</v>
      </c>
      <c r="J17" s="167" t="s">
        <v>130</v>
      </c>
      <c r="K17" s="168" t="s">
        <v>61</v>
      </c>
      <c r="L17" s="167" t="s">
        <v>314</v>
      </c>
      <c r="M17" s="167" t="s">
        <v>314</v>
      </c>
      <c r="N17" s="168" t="s">
        <v>314</v>
      </c>
      <c r="O17" s="167" t="s">
        <v>62</v>
      </c>
      <c r="P17" s="183" t="s">
        <v>1402</v>
      </c>
      <c r="Q17" s="168" t="s">
        <v>1215</v>
      </c>
      <c r="R17" s="167" t="s">
        <v>303</v>
      </c>
      <c r="S17" s="167" t="s">
        <v>305</v>
      </c>
      <c r="T17" s="169" t="s">
        <v>1388</v>
      </c>
      <c r="U17" s="171">
        <v>3.3719999999999999</v>
      </c>
      <c r="V17" s="172">
        <v>1441.703</v>
      </c>
      <c r="W17" s="172">
        <v>4861.4210000000003</v>
      </c>
      <c r="X17" s="173">
        <v>0</v>
      </c>
      <c r="Y17" s="173">
        <v>3.2895262472929301E-2</v>
      </c>
      <c r="Z17" s="173">
        <v>4.3692998974113996E-3</v>
      </c>
    </row>
    <row r="18" spans="1:26">
      <c r="A18" s="167">
        <v>337</v>
      </c>
      <c r="B18" s="167">
        <v>9963</v>
      </c>
      <c r="C18" s="167" t="s">
        <v>1403</v>
      </c>
      <c r="D18" s="9" t="s">
        <v>1404</v>
      </c>
      <c r="E18" s="167" t="s">
        <v>765</v>
      </c>
      <c r="F18" s="167" t="s">
        <v>1312</v>
      </c>
      <c r="G18" s="167">
        <v>62022132</v>
      </c>
      <c r="H18" s="167" t="s">
        <v>78</v>
      </c>
      <c r="I18" s="9" t="s">
        <v>747</v>
      </c>
      <c r="J18" s="167" t="s">
        <v>130</v>
      </c>
      <c r="K18" s="168" t="s">
        <v>61</v>
      </c>
      <c r="L18" s="167" t="s">
        <v>109</v>
      </c>
      <c r="M18" s="167" t="s">
        <v>314</v>
      </c>
      <c r="N18" s="168" t="s">
        <v>314</v>
      </c>
      <c r="O18" s="167" t="s">
        <v>62</v>
      </c>
      <c r="P18" s="183" t="s">
        <v>1405</v>
      </c>
      <c r="Q18" s="168" t="s">
        <v>1215</v>
      </c>
      <c r="R18" s="167" t="s">
        <v>303</v>
      </c>
      <c r="S18" s="167" t="s">
        <v>305</v>
      </c>
      <c r="T18" s="169" t="s">
        <v>1405</v>
      </c>
      <c r="U18" s="171">
        <v>3.3719999999999999</v>
      </c>
      <c r="V18" s="172">
        <v>371.53100000000001</v>
      </c>
      <c r="W18" s="172">
        <v>1252.8019999999999</v>
      </c>
      <c r="X18" s="173">
        <v>2.32E-4</v>
      </c>
      <c r="Y18" s="173">
        <v>8.4771999502960202E-3</v>
      </c>
      <c r="Z18" s="173">
        <v>1.1259806455001099E-3</v>
      </c>
    </row>
    <row r="19" spans="1:26">
      <c r="A19" s="167">
        <v>337</v>
      </c>
      <c r="B19" s="167">
        <v>9963</v>
      </c>
      <c r="C19" s="167" t="s">
        <v>1313</v>
      </c>
      <c r="D19" s="9" t="s">
        <v>1314</v>
      </c>
      <c r="E19" s="167" t="s">
        <v>765</v>
      </c>
      <c r="F19" s="167" t="s">
        <v>1315</v>
      </c>
      <c r="G19" s="167">
        <v>62022363</v>
      </c>
      <c r="H19" s="167" t="s">
        <v>78</v>
      </c>
      <c r="I19" s="9" t="s">
        <v>241</v>
      </c>
      <c r="J19" s="167" t="s">
        <v>386</v>
      </c>
      <c r="K19" s="168" t="s">
        <v>61</v>
      </c>
      <c r="L19" s="167" t="s">
        <v>314</v>
      </c>
      <c r="M19" s="167" t="s">
        <v>192</v>
      </c>
      <c r="N19" s="168" t="s">
        <v>192</v>
      </c>
      <c r="O19" s="167" t="s">
        <v>62</v>
      </c>
      <c r="P19" s="183" t="s">
        <v>1343</v>
      </c>
      <c r="Q19" s="168" t="s">
        <v>1239</v>
      </c>
      <c r="R19" s="167" t="s">
        <v>303</v>
      </c>
      <c r="S19" s="167" t="s">
        <v>1370</v>
      </c>
      <c r="T19" s="169" t="s">
        <v>1319</v>
      </c>
      <c r="U19" s="171">
        <v>3.9552</v>
      </c>
      <c r="V19" s="172">
        <v>196.25200000000001</v>
      </c>
      <c r="W19" s="172">
        <v>776.21500000000003</v>
      </c>
      <c r="X19" s="173">
        <v>1.58E-3</v>
      </c>
      <c r="Y19" s="173">
        <v>5.2523319018177202E-3</v>
      </c>
      <c r="Z19" s="173">
        <v>6.97638854794618E-4</v>
      </c>
    </row>
    <row r="20" spans="1:26">
      <c r="A20" s="9">
        <v>337</v>
      </c>
      <c r="B20" s="9">
        <v>9963</v>
      </c>
      <c r="C20" s="9" t="s">
        <v>1406</v>
      </c>
      <c r="D20" s="9" t="s">
        <v>1407</v>
      </c>
      <c r="E20" s="167" t="s">
        <v>429</v>
      </c>
      <c r="F20" s="9" t="s">
        <v>1222</v>
      </c>
      <c r="G20" s="9">
        <v>62020128</v>
      </c>
      <c r="H20" s="167" t="s">
        <v>78</v>
      </c>
      <c r="I20" s="9" t="s">
        <v>747</v>
      </c>
      <c r="J20" s="167" t="s">
        <v>130</v>
      </c>
      <c r="K20" s="168" t="s">
        <v>61</v>
      </c>
      <c r="L20" s="167" t="s">
        <v>53</v>
      </c>
      <c r="M20" s="167" t="s">
        <v>53</v>
      </c>
      <c r="N20" s="168" t="s">
        <v>314</v>
      </c>
      <c r="O20" s="167" t="s">
        <v>62</v>
      </c>
      <c r="P20" s="183" t="s">
        <v>1408</v>
      </c>
      <c r="Q20" s="9" t="s">
        <v>1215</v>
      </c>
      <c r="R20" s="167" t="s">
        <v>303</v>
      </c>
      <c r="S20" s="167" t="s">
        <v>305</v>
      </c>
      <c r="T20" s="176" t="s">
        <v>1409</v>
      </c>
      <c r="U20" s="184">
        <v>3.3719999999999999</v>
      </c>
      <c r="V20" s="170">
        <v>81.129000000000005</v>
      </c>
      <c r="W20" s="170">
        <v>273.56599999999997</v>
      </c>
      <c r="X20" s="185">
        <v>0</v>
      </c>
      <c r="Y20" s="185">
        <v>1.85110888403265E-3</v>
      </c>
      <c r="Z20" s="185">
        <v>2.4587278681108298E-4</v>
      </c>
    </row>
    <row r="21" spans="1:26">
      <c r="A21" s="9">
        <v>337</v>
      </c>
      <c r="B21" s="9">
        <v>9963</v>
      </c>
      <c r="C21" s="9" t="s">
        <v>1410</v>
      </c>
      <c r="D21" s="9" t="s">
        <v>1411</v>
      </c>
      <c r="E21" s="9" t="s">
        <v>78</v>
      </c>
      <c r="F21" s="9" t="s">
        <v>1224</v>
      </c>
      <c r="G21" s="9">
        <v>62019567</v>
      </c>
      <c r="H21" s="9" t="s">
        <v>78</v>
      </c>
      <c r="I21" s="9" t="s">
        <v>747</v>
      </c>
      <c r="J21" s="9" t="s">
        <v>130</v>
      </c>
      <c r="K21" s="9" t="s">
        <v>61</v>
      </c>
      <c r="L21" s="9" t="s">
        <v>109</v>
      </c>
      <c r="M21" s="9" t="s">
        <v>109</v>
      </c>
      <c r="N21" s="9" t="s">
        <v>314</v>
      </c>
      <c r="O21" s="9" t="s">
        <v>62</v>
      </c>
      <c r="P21" s="183" t="s">
        <v>1412</v>
      </c>
      <c r="Q21" s="9" t="s">
        <v>1215</v>
      </c>
      <c r="R21" s="9" t="s">
        <v>303</v>
      </c>
      <c r="S21" s="9" t="s">
        <v>305</v>
      </c>
      <c r="T21" s="176" t="s">
        <v>1413</v>
      </c>
      <c r="U21" s="184">
        <v>3.3719999999999999</v>
      </c>
      <c r="V21" s="170">
        <v>401.93799999999999</v>
      </c>
      <c r="W21" s="170">
        <v>1355.335</v>
      </c>
      <c r="X21" s="185">
        <v>0</v>
      </c>
      <c r="Y21" s="185">
        <v>9.1709982527213105E-3</v>
      </c>
      <c r="Z21" s="185">
        <v>1.2181341236523399E-3</v>
      </c>
    </row>
    <row r="22" spans="1:26">
      <c r="A22" s="9">
        <v>337</v>
      </c>
      <c r="B22" s="9">
        <v>9963</v>
      </c>
      <c r="C22" s="9" t="s">
        <v>1410</v>
      </c>
      <c r="D22" s="9" t="s">
        <v>1411</v>
      </c>
      <c r="E22" s="9" t="s">
        <v>78</v>
      </c>
      <c r="F22" s="9" t="s">
        <v>1225</v>
      </c>
      <c r="G22" s="9">
        <v>62019575</v>
      </c>
      <c r="H22" s="9" t="s">
        <v>78</v>
      </c>
      <c r="I22" s="9" t="s">
        <v>747</v>
      </c>
      <c r="J22" s="9" t="s">
        <v>130</v>
      </c>
      <c r="K22" s="9" t="s">
        <v>61</v>
      </c>
      <c r="L22" s="9" t="s">
        <v>109</v>
      </c>
      <c r="M22" s="9" t="s">
        <v>109</v>
      </c>
      <c r="N22" s="9" t="s">
        <v>314</v>
      </c>
      <c r="O22" s="9" t="s">
        <v>62</v>
      </c>
      <c r="P22" s="183" t="s">
        <v>1412</v>
      </c>
      <c r="Q22" s="9" t="s">
        <v>1215</v>
      </c>
      <c r="R22" s="9" t="s">
        <v>303</v>
      </c>
      <c r="S22" s="9" t="s">
        <v>305</v>
      </c>
      <c r="T22" s="176" t="s">
        <v>1413</v>
      </c>
      <c r="U22" s="184">
        <v>3.3719999999999999</v>
      </c>
      <c r="V22" s="170">
        <v>401.29500000000002</v>
      </c>
      <c r="W22" s="170">
        <v>1353.1659999999999</v>
      </c>
      <c r="X22" s="185">
        <v>0</v>
      </c>
      <c r="Y22" s="185">
        <v>9.1563224937543704E-3</v>
      </c>
      <c r="Z22" s="185">
        <v>1.21618482191925E-3</v>
      </c>
    </row>
    <row r="23" spans="1:26">
      <c r="A23" s="9">
        <v>337</v>
      </c>
      <c r="B23" s="9">
        <v>9963</v>
      </c>
      <c r="C23" s="9" t="s">
        <v>1414</v>
      </c>
      <c r="D23" s="9" t="s">
        <v>1415</v>
      </c>
      <c r="E23" s="9" t="s">
        <v>78</v>
      </c>
      <c r="F23" s="9" t="s">
        <v>1228</v>
      </c>
      <c r="G23" s="9">
        <v>62017934</v>
      </c>
      <c r="H23" s="9" t="s">
        <v>78</v>
      </c>
      <c r="I23" s="9" t="s">
        <v>747</v>
      </c>
      <c r="J23" s="9" t="s">
        <v>130</v>
      </c>
      <c r="K23" s="9" t="s">
        <v>61</v>
      </c>
      <c r="L23" s="9" t="s">
        <v>109</v>
      </c>
      <c r="M23" s="9" t="s">
        <v>314</v>
      </c>
      <c r="N23" s="9" t="s">
        <v>314</v>
      </c>
      <c r="O23" s="9" t="s">
        <v>62</v>
      </c>
      <c r="P23" s="183" t="s">
        <v>1416</v>
      </c>
      <c r="Q23" s="9" t="s">
        <v>1215</v>
      </c>
      <c r="R23" s="9" t="s">
        <v>303</v>
      </c>
      <c r="S23" s="9" t="s">
        <v>305</v>
      </c>
      <c r="T23" s="176" t="s">
        <v>1417</v>
      </c>
      <c r="U23" s="184">
        <v>3.3719999999999999</v>
      </c>
      <c r="V23" s="170">
        <v>1352.126</v>
      </c>
      <c r="W23" s="170">
        <v>4559.3670000000002</v>
      </c>
      <c r="X23" s="185">
        <v>0</v>
      </c>
      <c r="Y23" s="185">
        <v>3.08513858995785E-2</v>
      </c>
      <c r="Z23" s="185">
        <v>4.0978228204428804E-3</v>
      </c>
    </row>
    <row r="24" spans="1:26">
      <c r="A24" s="9">
        <v>337</v>
      </c>
      <c r="B24" s="9">
        <v>9963</v>
      </c>
      <c r="C24" s="9" t="s">
        <v>1230</v>
      </c>
      <c r="D24" s="9" t="s">
        <v>1340</v>
      </c>
      <c r="E24" s="9" t="s">
        <v>78</v>
      </c>
      <c r="F24" s="9" t="s">
        <v>1230</v>
      </c>
      <c r="G24" s="9">
        <v>62019286</v>
      </c>
      <c r="H24" s="9" t="s">
        <v>78</v>
      </c>
      <c r="I24" s="9" t="s">
        <v>280</v>
      </c>
      <c r="J24" s="9" t="s">
        <v>130</v>
      </c>
      <c r="K24" s="9" t="s">
        <v>61</v>
      </c>
      <c r="L24" s="9" t="s">
        <v>1341</v>
      </c>
      <c r="M24" s="9" t="s">
        <v>313</v>
      </c>
      <c r="N24" s="9" t="s">
        <v>313</v>
      </c>
      <c r="O24" s="9" t="s">
        <v>62</v>
      </c>
      <c r="P24" s="183" t="s">
        <v>1342</v>
      </c>
      <c r="Q24" s="9" t="s">
        <v>1215</v>
      </c>
      <c r="R24" s="9" t="s">
        <v>303</v>
      </c>
      <c r="S24" s="9" t="s">
        <v>305</v>
      </c>
      <c r="T24" s="176" t="s">
        <v>1343</v>
      </c>
      <c r="U24" s="184">
        <v>3.3719999999999999</v>
      </c>
      <c r="V24" s="170">
        <v>775.00400000000002</v>
      </c>
      <c r="W24" s="170">
        <v>2613.3130000000001</v>
      </c>
      <c r="X24" s="185">
        <v>0</v>
      </c>
      <c r="Y24" s="185">
        <v>1.7683227040083901E-2</v>
      </c>
      <c r="Z24" s="185">
        <v>2.3487674602299998E-3</v>
      </c>
    </row>
    <row r="25" spans="1:26">
      <c r="A25" s="9">
        <v>337</v>
      </c>
      <c r="B25" s="9">
        <v>9963</v>
      </c>
      <c r="C25" s="9" t="s">
        <v>1418</v>
      </c>
      <c r="D25" s="9" t="s">
        <v>1419</v>
      </c>
      <c r="E25" s="9" t="s">
        <v>78</v>
      </c>
      <c r="F25" s="9" t="s">
        <v>1418</v>
      </c>
      <c r="G25" s="9">
        <v>62019765</v>
      </c>
      <c r="H25" s="9" t="s">
        <v>78</v>
      </c>
      <c r="I25" s="9" t="s">
        <v>747</v>
      </c>
      <c r="J25" s="9" t="s">
        <v>130</v>
      </c>
      <c r="K25" s="9" t="s">
        <v>61</v>
      </c>
      <c r="L25" s="9" t="s">
        <v>173</v>
      </c>
      <c r="M25" s="9" t="s">
        <v>173</v>
      </c>
      <c r="N25" s="9" t="s">
        <v>313</v>
      </c>
      <c r="O25" s="9" t="s">
        <v>62</v>
      </c>
      <c r="P25" s="183" t="s">
        <v>1420</v>
      </c>
      <c r="Q25" s="9" t="s">
        <v>1239</v>
      </c>
      <c r="R25" s="9" t="s">
        <v>303</v>
      </c>
      <c r="S25" s="9" t="s">
        <v>305</v>
      </c>
      <c r="T25" s="176" t="s">
        <v>1371</v>
      </c>
      <c r="U25" s="184">
        <v>3.9552</v>
      </c>
      <c r="V25" s="170">
        <v>634.28300000000002</v>
      </c>
      <c r="W25" s="170">
        <v>2508.7159999999999</v>
      </c>
      <c r="X25" s="185">
        <v>0</v>
      </c>
      <c r="Y25" s="185">
        <v>1.69754609115963E-2</v>
      </c>
      <c r="Z25" s="185">
        <v>2.25475871124563E-3</v>
      </c>
    </row>
    <row r="26" spans="1:26">
      <c r="A26" s="9">
        <v>337</v>
      </c>
      <c r="B26" s="9">
        <v>9963</v>
      </c>
      <c r="C26" s="9" t="s">
        <v>1421</v>
      </c>
      <c r="D26" s="9" t="s">
        <v>1422</v>
      </c>
      <c r="E26" s="9" t="s">
        <v>78</v>
      </c>
      <c r="F26" s="9" t="s">
        <v>1423</v>
      </c>
      <c r="G26" s="9">
        <v>62021078</v>
      </c>
      <c r="H26" s="9" t="s">
        <v>78</v>
      </c>
      <c r="I26" s="9" t="s">
        <v>747</v>
      </c>
      <c r="J26" s="9" t="s">
        <v>130</v>
      </c>
      <c r="K26" s="9" t="s">
        <v>61</v>
      </c>
      <c r="L26" s="9" t="s">
        <v>109</v>
      </c>
      <c r="M26" s="9" t="s">
        <v>314</v>
      </c>
      <c r="N26" s="9" t="s">
        <v>314</v>
      </c>
      <c r="O26" s="9" t="s">
        <v>62</v>
      </c>
      <c r="P26" s="183" t="s">
        <v>1424</v>
      </c>
      <c r="Q26" s="9" t="s">
        <v>1215</v>
      </c>
      <c r="R26" s="9" t="s">
        <v>303</v>
      </c>
      <c r="S26" s="9" t="s">
        <v>305</v>
      </c>
      <c r="T26" s="176" t="s">
        <v>1425</v>
      </c>
      <c r="U26" s="184">
        <v>3.3719999999999999</v>
      </c>
      <c r="V26" s="170">
        <v>385.70299999999997</v>
      </c>
      <c r="W26" s="170">
        <v>1300.5899999999999</v>
      </c>
      <c r="X26" s="185">
        <v>0</v>
      </c>
      <c r="Y26" s="185">
        <v>8.8005651135995705E-3</v>
      </c>
      <c r="Z26" s="185">
        <v>1.1689314921763201E-3</v>
      </c>
    </row>
    <row r="27" spans="1:26">
      <c r="A27" s="9">
        <v>337</v>
      </c>
      <c r="B27" s="9">
        <v>9963</v>
      </c>
      <c r="C27" s="9" t="s">
        <v>1426</v>
      </c>
      <c r="D27" s="9" t="s">
        <v>1427</v>
      </c>
      <c r="E27" s="9" t="s">
        <v>765</v>
      </c>
      <c r="F27" s="9" t="s">
        <v>1428</v>
      </c>
      <c r="G27" s="9">
        <v>62009865</v>
      </c>
      <c r="H27" s="9" t="s">
        <v>78</v>
      </c>
      <c r="I27" s="9" t="s">
        <v>241</v>
      </c>
      <c r="J27" s="9" t="s">
        <v>130</v>
      </c>
      <c r="K27" s="9" t="s">
        <v>61</v>
      </c>
      <c r="L27" s="9" t="s">
        <v>314</v>
      </c>
      <c r="M27" s="9" t="s">
        <v>314</v>
      </c>
      <c r="N27" s="9" t="s">
        <v>314</v>
      </c>
      <c r="O27" s="9" t="s">
        <v>62</v>
      </c>
      <c r="P27" s="183" t="s">
        <v>1429</v>
      </c>
      <c r="Q27" s="9" t="s">
        <v>1215</v>
      </c>
      <c r="R27" s="9" t="s">
        <v>303</v>
      </c>
      <c r="S27" s="9" t="s">
        <v>305</v>
      </c>
      <c r="T27" s="176" t="s">
        <v>1371</v>
      </c>
      <c r="U27" s="184">
        <v>3.3719999999999999</v>
      </c>
      <c r="V27" s="170">
        <v>468.46100000000001</v>
      </c>
      <c r="W27" s="170">
        <v>1579.65</v>
      </c>
      <c r="X27" s="185">
        <v>0</v>
      </c>
      <c r="Y27" s="185">
        <v>1.0688852361548999E-2</v>
      </c>
      <c r="Z27" s="185">
        <v>1.41974248009709E-3</v>
      </c>
    </row>
    <row r="28" spans="1:26">
      <c r="A28" s="9">
        <v>337</v>
      </c>
      <c r="B28" s="9">
        <v>9963</v>
      </c>
      <c r="C28" s="9" t="s">
        <v>1430</v>
      </c>
      <c r="D28" s="9" t="s">
        <v>1431</v>
      </c>
      <c r="E28" s="9" t="s">
        <v>78</v>
      </c>
      <c r="F28" s="9" t="s">
        <v>1236</v>
      </c>
      <c r="G28" s="9">
        <v>62020359</v>
      </c>
      <c r="H28" s="9" t="s">
        <v>78</v>
      </c>
      <c r="I28" s="9" t="s">
        <v>241</v>
      </c>
      <c r="J28" s="9" t="s">
        <v>130</v>
      </c>
      <c r="K28" s="9" t="s">
        <v>61</v>
      </c>
      <c r="L28" s="9" t="s">
        <v>109</v>
      </c>
      <c r="M28" s="9" t="s">
        <v>314</v>
      </c>
      <c r="N28" s="9" t="s">
        <v>314</v>
      </c>
      <c r="O28" s="9" t="s">
        <v>62</v>
      </c>
      <c r="P28" s="183" t="s">
        <v>1432</v>
      </c>
      <c r="Q28" s="9" t="s">
        <v>1215</v>
      </c>
      <c r="R28" s="9" t="s">
        <v>303</v>
      </c>
      <c r="S28" s="9" t="s">
        <v>305</v>
      </c>
      <c r="T28" s="176" t="s">
        <v>1375</v>
      </c>
      <c r="U28" s="184">
        <v>3.3719999999999999</v>
      </c>
      <c r="V28" s="170">
        <v>1614.0350000000001</v>
      </c>
      <c r="W28" s="170">
        <v>5442.5249999999996</v>
      </c>
      <c r="X28" s="185">
        <v>0</v>
      </c>
      <c r="Y28" s="185">
        <v>3.6827358469019002E-2</v>
      </c>
      <c r="Z28" s="185">
        <v>4.8915789534446199E-3</v>
      </c>
    </row>
    <row r="29" spans="1:26">
      <c r="A29" s="9">
        <v>337</v>
      </c>
      <c r="B29" s="9">
        <v>9963</v>
      </c>
      <c r="C29" s="9" t="s">
        <v>1433</v>
      </c>
      <c r="D29" s="9" t="s">
        <v>1427</v>
      </c>
      <c r="E29" s="9" t="s">
        <v>765</v>
      </c>
      <c r="F29" s="9" t="s">
        <v>1434</v>
      </c>
      <c r="G29" s="9">
        <v>62016969</v>
      </c>
      <c r="H29" s="9" t="s">
        <v>78</v>
      </c>
      <c r="I29" s="9" t="s">
        <v>280</v>
      </c>
      <c r="J29" s="9" t="s">
        <v>130</v>
      </c>
      <c r="K29" s="9" t="s">
        <v>61</v>
      </c>
      <c r="L29" s="9" t="s">
        <v>314</v>
      </c>
      <c r="M29" s="9" t="s">
        <v>314</v>
      </c>
      <c r="N29" s="9" t="s">
        <v>314</v>
      </c>
      <c r="O29" s="9" t="s">
        <v>62</v>
      </c>
      <c r="P29" s="183" t="s">
        <v>1435</v>
      </c>
      <c r="Q29" s="9" t="s">
        <v>1215</v>
      </c>
      <c r="R29" s="9" t="s">
        <v>303</v>
      </c>
      <c r="S29" s="9" t="s">
        <v>305</v>
      </c>
      <c r="T29" s="176" t="s">
        <v>1353</v>
      </c>
      <c r="U29" s="184">
        <v>3.3719999999999999</v>
      </c>
      <c r="V29" s="170">
        <v>781.75699999999995</v>
      </c>
      <c r="W29" s="170">
        <v>2636.0859999999998</v>
      </c>
      <c r="X29" s="185">
        <v>0</v>
      </c>
      <c r="Y29" s="185">
        <v>1.78373218015918E-2</v>
      </c>
      <c r="Z29" s="185">
        <v>2.3692350344347102E-3</v>
      </c>
    </row>
    <row r="30" spans="1:26">
      <c r="A30" s="9">
        <v>337</v>
      </c>
      <c r="B30" s="9">
        <v>9963</v>
      </c>
      <c r="C30" s="9" t="s">
        <v>1436</v>
      </c>
      <c r="D30" s="9" t="s">
        <v>1437</v>
      </c>
      <c r="E30" s="9" t="s">
        <v>1346</v>
      </c>
      <c r="F30" s="9" t="s">
        <v>1438</v>
      </c>
      <c r="G30" s="9">
        <v>62018891</v>
      </c>
      <c r="H30" s="9" t="s">
        <v>78</v>
      </c>
      <c r="I30" s="9" t="s">
        <v>747</v>
      </c>
      <c r="J30" s="9" t="s">
        <v>130</v>
      </c>
      <c r="K30" s="9" t="s">
        <v>61</v>
      </c>
      <c r="L30" s="9" t="s">
        <v>173</v>
      </c>
      <c r="M30" s="9" t="s">
        <v>173</v>
      </c>
      <c r="N30" s="9" t="s">
        <v>317</v>
      </c>
      <c r="O30" s="9" t="s">
        <v>62</v>
      </c>
      <c r="P30" s="183" t="s">
        <v>1439</v>
      </c>
      <c r="Q30" s="9" t="s">
        <v>1239</v>
      </c>
      <c r="R30" s="9" t="s">
        <v>303</v>
      </c>
      <c r="S30" s="9" t="s">
        <v>305</v>
      </c>
      <c r="T30" s="176" t="s">
        <v>1425</v>
      </c>
      <c r="U30" s="184">
        <v>3.9552</v>
      </c>
      <c r="V30" s="170">
        <v>1201.0940000000001</v>
      </c>
      <c r="W30" s="170">
        <v>4750.5659999999998</v>
      </c>
      <c r="X30" s="185">
        <v>0</v>
      </c>
      <c r="Y30" s="185">
        <v>3.2145147217898601E-2</v>
      </c>
      <c r="Z30" s="185">
        <v>4.2696661428685001E-3</v>
      </c>
    </row>
    <row r="31" spans="1:26">
      <c r="A31" s="9">
        <v>337</v>
      </c>
      <c r="B31" s="9">
        <v>9963</v>
      </c>
      <c r="C31" s="9" t="s">
        <v>1440</v>
      </c>
      <c r="D31" s="9" t="s">
        <v>1441</v>
      </c>
      <c r="E31" s="9" t="s">
        <v>1346</v>
      </c>
      <c r="F31" s="9" t="s">
        <v>1241</v>
      </c>
      <c r="G31" s="9">
        <v>62017942</v>
      </c>
      <c r="H31" s="9" t="s">
        <v>78</v>
      </c>
      <c r="I31" s="9" t="s">
        <v>241</v>
      </c>
      <c r="J31" s="9" t="s">
        <v>130</v>
      </c>
      <c r="K31" s="9" t="s">
        <v>61</v>
      </c>
      <c r="L31" s="9" t="s">
        <v>109</v>
      </c>
      <c r="M31" s="9" t="s">
        <v>53</v>
      </c>
      <c r="N31" s="9" t="s">
        <v>313</v>
      </c>
      <c r="O31" s="9" t="s">
        <v>62</v>
      </c>
      <c r="P31" s="183" t="s">
        <v>1416</v>
      </c>
      <c r="Q31" s="9" t="s">
        <v>1239</v>
      </c>
      <c r="R31" s="9" t="s">
        <v>303</v>
      </c>
      <c r="S31" s="9" t="s">
        <v>305</v>
      </c>
      <c r="T31" s="176" t="s">
        <v>1442</v>
      </c>
      <c r="U31" s="184">
        <v>3.9552</v>
      </c>
      <c r="V31" s="170">
        <v>733.62300000000005</v>
      </c>
      <c r="W31" s="170">
        <v>2901.6260000000002</v>
      </c>
      <c r="X31" s="185">
        <v>0</v>
      </c>
      <c r="Y31" s="185">
        <v>1.9634124679045999E-2</v>
      </c>
      <c r="Z31" s="185">
        <v>2.6078946479456198E-3</v>
      </c>
    </row>
    <row r="32" spans="1:26">
      <c r="A32" s="9">
        <v>337</v>
      </c>
      <c r="B32" s="9">
        <v>9963</v>
      </c>
      <c r="C32" s="9" t="s">
        <v>1443</v>
      </c>
      <c r="D32" s="9" t="s">
        <v>1444</v>
      </c>
      <c r="E32" s="9" t="s">
        <v>78</v>
      </c>
      <c r="F32" s="9" t="s">
        <v>1445</v>
      </c>
      <c r="G32" s="9">
        <v>62017959</v>
      </c>
      <c r="H32" s="9" t="s">
        <v>78</v>
      </c>
      <c r="I32" s="9" t="s">
        <v>747</v>
      </c>
      <c r="J32" s="9" t="s">
        <v>130</v>
      </c>
      <c r="K32" s="9" t="s">
        <v>61</v>
      </c>
      <c r="L32" s="9" t="s">
        <v>314</v>
      </c>
      <c r="M32" s="9" t="s">
        <v>314</v>
      </c>
      <c r="N32" s="9" t="s">
        <v>314</v>
      </c>
      <c r="O32" s="9" t="s">
        <v>62</v>
      </c>
      <c r="P32" s="183" t="s">
        <v>1446</v>
      </c>
      <c r="Q32" s="9" t="s">
        <v>1215</v>
      </c>
      <c r="R32" s="9" t="s">
        <v>303</v>
      </c>
      <c r="S32" s="9" t="s">
        <v>305</v>
      </c>
      <c r="T32" s="176" t="s">
        <v>1349</v>
      </c>
      <c r="U32" s="184">
        <v>3.3719999999999999</v>
      </c>
      <c r="V32" s="170">
        <v>262.78100000000001</v>
      </c>
      <c r="W32" s="170">
        <v>886.09900000000005</v>
      </c>
      <c r="X32" s="185">
        <v>0</v>
      </c>
      <c r="Y32" s="185">
        <v>5.99587213189066E-3</v>
      </c>
      <c r="Z32" s="185">
        <v>7.9639928431399004E-4</v>
      </c>
    </row>
    <row r="33" spans="1:26">
      <c r="A33" s="9">
        <v>337</v>
      </c>
      <c r="B33" s="9">
        <v>9963</v>
      </c>
      <c r="C33" s="9" t="s">
        <v>1443</v>
      </c>
      <c r="D33" s="9" t="s">
        <v>1444</v>
      </c>
      <c r="E33" s="9" t="s">
        <v>78</v>
      </c>
      <c r="F33" s="9" t="s">
        <v>1447</v>
      </c>
      <c r="G33" s="9">
        <v>62018130</v>
      </c>
      <c r="H33" s="9" t="s">
        <v>78</v>
      </c>
      <c r="I33" s="9" t="s">
        <v>747</v>
      </c>
      <c r="J33" s="9" t="s">
        <v>130</v>
      </c>
      <c r="K33" s="9" t="s">
        <v>61</v>
      </c>
      <c r="L33" s="9" t="s">
        <v>109</v>
      </c>
      <c r="M33" s="9" t="s">
        <v>109</v>
      </c>
      <c r="N33" s="9" t="s">
        <v>314</v>
      </c>
      <c r="O33" s="9" t="s">
        <v>62</v>
      </c>
      <c r="P33" s="183" t="s">
        <v>1448</v>
      </c>
      <c r="Q33" s="9" t="s">
        <v>1215</v>
      </c>
      <c r="R33" s="9" t="s">
        <v>303</v>
      </c>
      <c r="S33" s="9" t="s">
        <v>305</v>
      </c>
      <c r="T33" s="176" t="s">
        <v>1349</v>
      </c>
      <c r="U33" s="184">
        <v>3.3719999999999999</v>
      </c>
      <c r="V33" s="170">
        <v>220.779</v>
      </c>
      <c r="W33" s="170">
        <v>744.46600000000001</v>
      </c>
      <c r="X33" s="185">
        <v>0</v>
      </c>
      <c r="Y33" s="185">
        <v>5.0375007232898502E-3</v>
      </c>
      <c r="Z33" s="185">
        <v>6.6910399063066603E-4</v>
      </c>
    </row>
    <row r="34" spans="1:26">
      <c r="A34" s="9">
        <v>337</v>
      </c>
      <c r="B34" s="9">
        <v>9963</v>
      </c>
      <c r="C34" s="9" t="s">
        <v>1449</v>
      </c>
      <c r="D34" s="9" t="s">
        <v>1450</v>
      </c>
      <c r="E34" s="9" t="s">
        <v>78</v>
      </c>
      <c r="F34" s="9" t="s">
        <v>1451</v>
      </c>
      <c r="G34" s="9">
        <v>62020540</v>
      </c>
      <c r="H34" s="9" t="s">
        <v>78</v>
      </c>
      <c r="I34" s="9" t="s">
        <v>747</v>
      </c>
      <c r="J34" s="9" t="s">
        <v>130</v>
      </c>
      <c r="K34" s="9" t="s">
        <v>61</v>
      </c>
      <c r="L34" s="9" t="s">
        <v>314</v>
      </c>
      <c r="M34" s="9" t="s">
        <v>314</v>
      </c>
      <c r="N34" s="9" t="s">
        <v>314</v>
      </c>
      <c r="O34" s="9" t="s">
        <v>62</v>
      </c>
      <c r="P34" s="183" t="s">
        <v>1452</v>
      </c>
      <c r="Q34" s="9" t="s">
        <v>1215</v>
      </c>
      <c r="R34" s="9" t="s">
        <v>303</v>
      </c>
      <c r="S34" s="9" t="s">
        <v>305</v>
      </c>
      <c r="T34" s="176" t="s">
        <v>1349</v>
      </c>
      <c r="U34" s="184">
        <v>3.3719999999999999</v>
      </c>
      <c r="V34" s="170">
        <v>444.43099999999998</v>
      </c>
      <c r="W34" s="170">
        <v>1498.6210000000001</v>
      </c>
      <c r="X34" s="185">
        <v>0</v>
      </c>
      <c r="Y34" s="185">
        <v>1.0140557294586201E-2</v>
      </c>
      <c r="Z34" s="185">
        <v>1.3469154101868599E-3</v>
      </c>
    </row>
    <row r="35" spans="1:26">
      <c r="A35" s="9">
        <v>337</v>
      </c>
      <c r="B35" s="9">
        <v>9963</v>
      </c>
      <c r="C35" s="9" t="s">
        <v>1453</v>
      </c>
      <c r="D35" s="9" t="s">
        <v>1454</v>
      </c>
      <c r="E35" s="9" t="s">
        <v>78</v>
      </c>
      <c r="F35" s="9" t="s">
        <v>1455</v>
      </c>
      <c r="G35" s="9">
        <v>62017876</v>
      </c>
      <c r="H35" s="9" t="s">
        <v>78</v>
      </c>
      <c r="I35" s="9" t="s">
        <v>747</v>
      </c>
      <c r="J35" s="9" t="s">
        <v>130</v>
      </c>
      <c r="K35" s="9" t="s">
        <v>61</v>
      </c>
      <c r="L35" s="9" t="s">
        <v>109</v>
      </c>
      <c r="M35" s="9" t="s">
        <v>109</v>
      </c>
      <c r="N35" s="9" t="s">
        <v>314</v>
      </c>
      <c r="O35" s="9" t="s">
        <v>62</v>
      </c>
      <c r="P35" s="183" t="s">
        <v>1456</v>
      </c>
      <c r="Q35" s="9" t="s">
        <v>1215</v>
      </c>
      <c r="R35" s="9" t="s">
        <v>303</v>
      </c>
      <c r="S35" s="9" t="s">
        <v>305</v>
      </c>
      <c r="T35" s="176" t="s">
        <v>1371</v>
      </c>
      <c r="U35" s="184">
        <v>3.3719999999999999</v>
      </c>
      <c r="V35" s="170">
        <v>412.387</v>
      </c>
      <c r="W35" s="170">
        <v>1390.5709999999999</v>
      </c>
      <c r="X35" s="185">
        <v>0</v>
      </c>
      <c r="Y35" s="185">
        <v>9.4094267798748004E-3</v>
      </c>
      <c r="Z35" s="185">
        <v>1.24980329607767E-3</v>
      </c>
    </row>
    <row r="36" spans="1:26">
      <c r="A36" s="9">
        <v>337</v>
      </c>
      <c r="B36" s="9">
        <v>9963</v>
      </c>
      <c r="C36" s="9" t="s">
        <v>1457</v>
      </c>
      <c r="D36" s="9" t="s">
        <v>1458</v>
      </c>
      <c r="E36" s="9" t="s">
        <v>78</v>
      </c>
      <c r="F36" s="9" t="s">
        <v>1459</v>
      </c>
      <c r="G36" s="9">
        <v>62018734</v>
      </c>
      <c r="H36" s="9" t="s">
        <v>78</v>
      </c>
      <c r="I36" s="9" t="s">
        <v>747</v>
      </c>
      <c r="J36" s="9" t="s">
        <v>130</v>
      </c>
      <c r="K36" s="9" t="s">
        <v>61</v>
      </c>
      <c r="L36" s="9" t="s">
        <v>314</v>
      </c>
      <c r="M36" s="9" t="s">
        <v>314</v>
      </c>
      <c r="N36" s="9" t="s">
        <v>314</v>
      </c>
      <c r="O36" s="9" t="s">
        <v>62</v>
      </c>
      <c r="P36" s="183" t="s">
        <v>1460</v>
      </c>
      <c r="Q36" s="9" t="s">
        <v>1215</v>
      </c>
      <c r="R36" s="9" t="s">
        <v>303</v>
      </c>
      <c r="S36" s="9" t="s">
        <v>305</v>
      </c>
      <c r="T36" s="176" t="s">
        <v>1371</v>
      </c>
      <c r="U36" s="184">
        <v>3.3719999999999999</v>
      </c>
      <c r="V36" s="170">
        <v>545.99599999999998</v>
      </c>
      <c r="W36" s="170">
        <v>1841.1</v>
      </c>
      <c r="X36" s="185">
        <v>0</v>
      </c>
      <c r="Y36" s="185">
        <v>1.24579740450381E-2</v>
      </c>
      <c r="Z36" s="185">
        <v>1.6547253502456E-3</v>
      </c>
    </row>
    <row r="37" spans="1:26">
      <c r="A37" s="9">
        <v>337</v>
      </c>
      <c r="B37" s="9">
        <v>9963</v>
      </c>
      <c r="C37" s="9" t="s">
        <v>1461</v>
      </c>
      <c r="D37" s="9" t="s">
        <v>1462</v>
      </c>
      <c r="E37" s="9" t="s">
        <v>429</v>
      </c>
      <c r="F37" s="9" t="s">
        <v>1463</v>
      </c>
      <c r="G37" s="9">
        <v>62015433</v>
      </c>
      <c r="H37" s="9" t="s">
        <v>78</v>
      </c>
      <c r="I37" s="9" t="s">
        <v>747</v>
      </c>
      <c r="J37" s="9" t="s">
        <v>130</v>
      </c>
      <c r="K37" s="9" t="s">
        <v>61</v>
      </c>
      <c r="L37" s="9" t="s">
        <v>314</v>
      </c>
      <c r="M37" s="9" t="s">
        <v>314</v>
      </c>
      <c r="N37" s="9" t="s">
        <v>314</v>
      </c>
      <c r="O37" s="9" t="s">
        <v>62</v>
      </c>
      <c r="P37" s="183" t="s">
        <v>1464</v>
      </c>
      <c r="Q37" s="9" t="s">
        <v>1215</v>
      </c>
      <c r="R37" s="9" t="s">
        <v>303</v>
      </c>
      <c r="S37" s="9" t="s">
        <v>305</v>
      </c>
      <c r="T37" s="176" t="s">
        <v>1465</v>
      </c>
      <c r="U37" s="184">
        <v>3.3719999999999999</v>
      </c>
      <c r="V37" s="170">
        <v>1546.3430000000001</v>
      </c>
      <c r="W37" s="170">
        <v>5214.2700000000004</v>
      </c>
      <c r="X37" s="185">
        <v>0</v>
      </c>
      <c r="Y37" s="185">
        <v>3.5282846834209701E-2</v>
      </c>
      <c r="Z37" s="185">
        <v>4.6864298219222097E-3</v>
      </c>
    </row>
    <row r="38" spans="1:26">
      <c r="A38" s="9">
        <v>337</v>
      </c>
      <c r="B38" s="9">
        <v>9963</v>
      </c>
      <c r="C38" s="9" t="s">
        <v>1466</v>
      </c>
      <c r="D38" s="9" t="s">
        <v>1467</v>
      </c>
      <c r="E38" s="9" t="s">
        <v>78</v>
      </c>
      <c r="F38" s="9" t="s">
        <v>1468</v>
      </c>
      <c r="G38" s="9">
        <v>62014352</v>
      </c>
      <c r="H38" s="9" t="s">
        <v>78</v>
      </c>
      <c r="I38" s="9" t="s">
        <v>747</v>
      </c>
      <c r="J38" s="9" t="s">
        <v>130</v>
      </c>
      <c r="K38" s="9" t="s">
        <v>61</v>
      </c>
      <c r="L38" s="9" t="s">
        <v>314</v>
      </c>
      <c r="M38" s="9" t="s">
        <v>314</v>
      </c>
      <c r="N38" s="9" t="s">
        <v>314</v>
      </c>
      <c r="O38" s="9" t="s">
        <v>62</v>
      </c>
      <c r="P38" s="183" t="s">
        <v>1469</v>
      </c>
      <c r="Q38" s="9" t="s">
        <v>1215</v>
      </c>
      <c r="R38" s="9" t="s">
        <v>303</v>
      </c>
      <c r="S38" s="9" t="s">
        <v>305</v>
      </c>
      <c r="T38" s="176" t="s">
        <v>1465</v>
      </c>
      <c r="U38" s="184">
        <v>3.3719999999999999</v>
      </c>
      <c r="V38" s="170">
        <v>1083.307</v>
      </c>
      <c r="W38" s="170">
        <v>3652.91</v>
      </c>
      <c r="X38" s="185">
        <v>0</v>
      </c>
      <c r="Y38" s="185">
        <v>2.47177578566052E-2</v>
      </c>
      <c r="Z38" s="185">
        <v>3.2831261631057502E-3</v>
      </c>
    </row>
    <row r="39" spans="1:26">
      <c r="A39" s="9">
        <v>337</v>
      </c>
      <c r="B39" s="9">
        <v>9963</v>
      </c>
      <c r="C39" s="9" t="s">
        <v>1470</v>
      </c>
      <c r="D39" s="9" t="s">
        <v>1471</v>
      </c>
      <c r="E39" s="9" t="s">
        <v>78</v>
      </c>
      <c r="F39" s="9" t="s">
        <v>1470</v>
      </c>
      <c r="G39" s="9">
        <v>62021076</v>
      </c>
      <c r="H39" s="9" t="s">
        <v>78</v>
      </c>
      <c r="I39" s="9" t="s">
        <v>747</v>
      </c>
      <c r="J39" s="9" t="s">
        <v>130</v>
      </c>
      <c r="K39" s="9" t="s">
        <v>61</v>
      </c>
      <c r="L39" s="9" t="s">
        <v>314</v>
      </c>
      <c r="M39" s="9" t="s">
        <v>314</v>
      </c>
      <c r="N39" s="9" t="s">
        <v>314</v>
      </c>
      <c r="O39" s="9" t="s">
        <v>62</v>
      </c>
      <c r="P39" s="183" t="s">
        <v>1472</v>
      </c>
      <c r="Q39" s="9" t="s">
        <v>1215</v>
      </c>
      <c r="R39" s="9" t="s">
        <v>303</v>
      </c>
      <c r="S39" s="9" t="s">
        <v>305</v>
      </c>
      <c r="T39" s="176" t="s">
        <v>1473</v>
      </c>
      <c r="U39" s="184">
        <v>3.3719999999999999</v>
      </c>
      <c r="V39" s="170">
        <v>907.47</v>
      </c>
      <c r="W39" s="170">
        <v>3059.99</v>
      </c>
      <c r="X39" s="185">
        <v>0</v>
      </c>
      <c r="Y39" s="185">
        <v>2.0705706166696002E-2</v>
      </c>
      <c r="Z39" s="185">
        <v>2.7502270244667E-3</v>
      </c>
    </row>
    <row r="40" spans="1:26">
      <c r="A40" s="9">
        <v>337</v>
      </c>
      <c r="B40" s="9">
        <v>9963</v>
      </c>
      <c r="C40" s="9" t="s">
        <v>1474</v>
      </c>
      <c r="D40" s="9" t="s">
        <v>1475</v>
      </c>
      <c r="E40" s="9" t="s">
        <v>765</v>
      </c>
      <c r="F40" s="9" t="s">
        <v>1476</v>
      </c>
      <c r="G40" s="9">
        <v>62000395</v>
      </c>
      <c r="H40" s="9" t="s">
        <v>78</v>
      </c>
      <c r="I40" s="9" t="s">
        <v>747</v>
      </c>
      <c r="J40" s="9" t="s">
        <v>130</v>
      </c>
      <c r="K40" s="9" t="s">
        <v>61</v>
      </c>
      <c r="L40" s="9" t="s">
        <v>109</v>
      </c>
      <c r="M40" s="9" t="s">
        <v>53</v>
      </c>
      <c r="N40" s="9" t="s">
        <v>314</v>
      </c>
      <c r="O40" s="9" t="s">
        <v>62</v>
      </c>
      <c r="P40" s="183" t="s">
        <v>1477</v>
      </c>
      <c r="Q40" s="9" t="s">
        <v>1215</v>
      </c>
      <c r="R40" s="9" t="s">
        <v>303</v>
      </c>
      <c r="S40" s="9" t="s">
        <v>305</v>
      </c>
      <c r="T40" s="176" t="s">
        <v>1371</v>
      </c>
      <c r="U40" s="184">
        <v>3.3719999999999999</v>
      </c>
      <c r="V40" s="170">
        <v>945.48800000000006</v>
      </c>
      <c r="W40" s="170">
        <v>3188.1869999999999</v>
      </c>
      <c r="X40" s="185">
        <v>0</v>
      </c>
      <c r="Y40" s="185">
        <v>2.1573165154605101E-2</v>
      </c>
      <c r="Z40" s="185">
        <v>2.8654469127408601E-3</v>
      </c>
    </row>
    <row r="41" spans="1:26">
      <c r="A41" s="9">
        <v>337</v>
      </c>
      <c r="B41" s="9">
        <v>9963</v>
      </c>
      <c r="C41" s="9" t="s">
        <v>1478</v>
      </c>
      <c r="D41" s="9" t="s">
        <v>1479</v>
      </c>
      <c r="E41" s="9" t="s">
        <v>78</v>
      </c>
      <c r="F41" s="9" t="s">
        <v>1264</v>
      </c>
      <c r="G41" s="9">
        <v>62019021</v>
      </c>
      <c r="H41" s="9" t="s">
        <v>78</v>
      </c>
      <c r="I41" s="9" t="s">
        <v>747</v>
      </c>
      <c r="J41" s="9" t="s">
        <v>130</v>
      </c>
      <c r="K41" s="9" t="s">
        <v>61</v>
      </c>
      <c r="L41" s="9" t="s">
        <v>314</v>
      </c>
      <c r="M41" s="9" t="s">
        <v>314</v>
      </c>
      <c r="N41" s="9" t="s">
        <v>314</v>
      </c>
      <c r="O41" s="9" t="s">
        <v>62</v>
      </c>
      <c r="P41" s="183" t="s">
        <v>1480</v>
      </c>
      <c r="Q41" s="9" t="s">
        <v>1215</v>
      </c>
      <c r="R41" s="9" t="s">
        <v>303</v>
      </c>
      <c r="S41" s="9" t="s">
        <v>305</v>
      </c>
      <c r="T41" s="176" t="s">
        <v>1409</v>
      </c>
      <c r="U41" s="184">
        <v>3.3719999999999999</v>
      </c>
      <c r="V41" s="170">
        <v>1177.402</v>
      </c>
      <c r="W41" s="170">
        <v>3970.1990000000001</v>
      </c>
      <c r="X41" s="185">
        <v>0</v>
      </c>
      <c r="Y41" s="185">
        <v>2.6864725794934399E-2</v>
      </c>
      <c r="Z41" s="185">
        <v>3.5682963088192001E-3</v>
      </c>
    </row>
    <row r="42" spans="1:26">
      <c r="A42" s="9">
        <v>337</v>
      </c>
      <c r="B42" s="9">
        <v>9963</v>
      </c>
      <c r="C42" s="9" t="s">
        <v>1481</v>
      </c>
      <c r="D42" s="9" t="s">
        <v>1482</v>
      </c>
      <c r="E42" s="9" t="s">
        <v>429</v>
      </c>
      <c r="F42" s="9" t="s">
        <v>1266</v>
      </c>
      <c r="G42" s="9">
        <v>62010970</v>
      </c>
      <c r="H42" s="9" t="s">
        <v>78</v>
      </c>
      <c r="I42" s="9" t="s">
        <v>747</v>
      </c>
      <c r="J42" s="9" t="s">
        <v>130</v>
      </c>
      <c r="K42" s="9" t="s">
        <v>61</v>
      </c>
      <c r="L42" s="9" t="s">
        <v>314</v>
      </c>
      <c r="M42" s="9" t="s">
        <v>314</v>
      </c>
      <c r="N42" s="9" t="s">
        <v>317</v>
      </c>
      <c r="O42" s="9" t="s">
        <v>62</v>
      </c>
      <c r="P42" s="183" t="s">
        <v>1483</v>
      </c>
      <c r="Q42" s="9" t="s">
        <v>1215</v>
      </c>
      <c r="R42" s="9" t="s">
        <v>303</v>
      </c>
      <c r="S42" s="9" t="s">
        <v>305</v>
      </c>
      <c r="T42" s="176" t="s">
        <v>1484</v>
      </c>
      <c r="U42" s="184">
        <v>3.3719999999999999</v>
      </c>
      <c r="V42" s="170">
        <v>1695.806</v>
      </c>
      <c r="W42" s="170">
        <v>5718.2569999999996</v>
      </c>
      <c r="X42" s="185">
        <v>0</v>
      </c>
      <c r="Y42" s="185">
        <v>3.8693120973282202E-2</v>
      </c>
      <c r="Z42" s="185">
        <v>5.1393981014200996E-3</v>
      </c>
    </row>
    <row r="43" spans="1:26">
      <c r="A43" s="9">
        <v>337</v>
      </c>
      <c r="B43" s="9">
        <v>9963</v>
      </c>
      <c r="C43" s="9" t="s">
        <v>1485</v>
      </c>
      <c r="D43" s="9" t="s">
        <v>1486</v>
      </c>
      <c r="E43" s="9" t="s">
        <v>765</v>
      </c>
      <c r="F43" s="9" t="s">
        <v>1268</v>
      </c>
      <c r="G43" s="9">
        <v>62021001</v>
      </c>
      <c r="H43" s="9" t="s">
        <v>78</v>
      </c>
      <c r="I43" s="9" t="s">
        <v>747</v>
      </c>
      <c r="J43" s="9" t="s">
        <v>130</v>
      </c>
      <c r="K43" s="9" t="s">
        <v>61</v>
      </c>
      <c r="L43" s="9" t="s">
        <v>314</v>
      </c>
      <c r="M43" s="9" t="s">
        <v>314</v>
      </c>
      <c r="N43" s="9" t="s">
        <v>314</v>
      </c>
      <c r="O43" s="9" t="s">
        <v>62</v>
      </c>
      <c r="P43" s="183" t="s">
        <v>1487</v>
      </c>
      <c r="Q43" s="9" t="s">
        <v>1215</v>
      </c>
      <c r="R43" s="9" t="s">
        <v>303</v>
      </c>
      <c r="S43" s="9" t="s">
        <v>305</v>
      </c>
      <c r="T43" s="176" t="s">
        <v>1388</v>
      </c>
      <c r="U43" s="184">
        <v>3.3719999999999999</v>
      </c>
      <c r="V43" s="170">
        <v>449.55900000000003</v>
      </c>
      <c r="W43" s="170">
        <v>1515.912</v>
      </c>
      <c r="X43" s="185">
        <v>0</v>
      </c>
      <c r="Y43" s="185">
        <v>1.0257562883919999E-2</v>
      </c>
      <c r="Z43" s="185">
        <v>1.3624566301389199E-3</v>
      </c>
    </row>
    <row r="44" spans="1:26">
      <c r="A44" s="9">
        <v>337</v>
      </c>
      <c r="B44" s="9">
        <v>9963</v>
      </c>
      <c r="C44" s="9" t="s">
        <v>1488</v>
      </c>
      <c r="D44" s="9" t="s">
        <v>1489</v>
      </c>
      <c r="E44" s="9" t="s">
        <v>78</v>
      </c>
      <c r="F44" s="9" t="s">
        <v>1269</v>
      </c>
      <c r="G44" s="9">
        <v>62021175</v>
      </c>
      <c r="H44" s="9" t="s">
        <v>78</v>
      </c>
      <c r="I44" s="9" t="s">
        <v>241</v>
      </c>
      <c r="J44" s="9" t="s">
        <v>130</v>
      </c>
      <c r="K44" s="9" t="s">
        <v>61</v>
      </c>
      <c r="L44" s="9" t="s">
        <v>314</v>
      </c>
      <c r="M44" s="9" t="s">
        <v>314</v>
      </c>
      <c r="N44" s="9" t="s">
        <v>314</v>
      </c>
      <c r="O44" s="9" t="s">
        <v>62</v>
      </c>
      <c r="P44" s="183" t="s">
        <v>1490</v>
      </c>
      <c r="Q44" s="9" t="s">
        <v>1215</v>
      </c>
      <c r="R44" s="9" t="s">
        <v>303</v>
      </c>
      <c r="S44" s="9" t="s">
        <v>305</v>
      </c>
      <c r="T44" s="176" t="s">
        <v>1491</v>
      </c>
      <c r="U44" s="184">
        <v>3.3719999999999999</v>
      </c>
      <c r="V44" s="170">
        <v>311.61799999999999</v>
      </c>
      <c r="W44" s="170">
        <v>1050.7750000000001</v>
      </c>
      <c r="X44" s="185">
        <v>0.204766</v>
      </c>
      <c r="Y44" s="185">
        <v>7.1101657658059801E-3</v>
      </c>
      <c r="Z44" s="185">
        <v>9.4440488434101495E-4</v>
      </c>
    </row>
    <row r="45" spans="1:26">
      <c r="A45" s="9">
        <v>337</v>
      </c>
      <c r="B45" s="9">
        <v>9963</v>
      </c>
      <c r="C45" s="9" t="s">
        <v>1492</v>
      </c>
      <c r="D45" s="9" t="s">
        <v>1493</v>
      </c>
      <c r="E45" s="9" t="s">
        <v>765</v>
      </c>
      <c r="F45" s="9" t="s">
        <v>1494</v>
      </c>
      <c r="G45" s="9">
        <v>62019740</v>
      </c>
      <c r="H45" s="9" t="s">
        <v>78</v>
      </c>
      <c r="I45" s="9" t="s">
        <v>747</v>
      </c>
      <c r="J45" s="9" t="s">
        <v>130</v>
      </c>
      <c r="K45" s="9" t="s">
        <v>61</v>
      </c>
      <c r="L45" s="9" t="s">
        <v>314</v>
      </c>
      <c r="M45" s="9" t="s">
        <v>314</v>
      </c>
      <c r="N45" s="9" t="s">
        <v>314</v>
      </c>
      <c r="O45" s="9" t="s">
        <v>62</v>
      </c>
      <c r="P45" s="183" t="s">
        <v>1495</v>
      </c>
      <c r="Q45" s="9" t="s">
        <v>1215</v>
      </c>
      <c r="R45" s="9" t="s">
        <v>303</v>
      </c>
      <c r="S45" s="9" t="s">
        <v>305</v>
      </c>
      <c r="T45" s="176" t="s">
        <v>1319</v>
      </c>
      <c r="U45" s="184">
        <v>3.3719999999999999</v>
      </c>
      <c r="V45" s="170">
        <v>1844.57</v>
      </c>
      <c r="W45" s="170">
        <v>6219.8879999999999</v>
      </c>
      <c r="X45" s="185">
        <v>0</v>
      </c>
      <c r="Y45" s="185">
        <v>4.2087458343312803E-2</v>
      </c>
      <c r="Z45" s="185">
        <v>5.5902495860330999E-3</v>
      </c>
    </row>
    <row r="46" spans="1:26">
      <c r="A46" s="9">
        <v>337</v>
      </c>
      <c r="B46" s="9">
        <v>9963</v>
      </c>
      <c r="C46" s="9" t="s">
        <v>1496</v>
      </c>
      <c r="D46" s="9" t="s">
        <v>1497</v>
      </c>
      <c r="E46" s="9" t="s">
        <v>78</v>
      </c>
      <c r="F46" s="9" t="s">
        <v>1498</v>
      </c>
      <c r="G46" s="9">
        <v>62018866</v>
      </c>
      <c r="H46" s="9" t="s">
        <v>78</v>
      </c>
      <c r="I46" s="9" t="s">
        <v>747</v>
      </c>
      <c r="J46" s="9" t="s">
        <v>130</v>
      </c>
      <c r="K46" s="9" t="s">
        <v>61</v>
      </c>
      <c r="L46" s="9" t="s">
        <v>314</v>
      </c>
      <c r="M46" s="9" t="s">
        <v>314</v>
      </c>
      <c r="N46" s="9" t="s">
        <v>314</v>
      </c>
      <c r="O46" s="9" t="s">
        <v>62</v>
      </c>
      <c r="P46" s="183" t="s">
        <v>1499</v>
      </c>
      <c r="Q46" s="9" t="s">
        <v>1215</v>
      </c>
      <c r="R46" s="9" t="s">
        <v>303</v>
      </c>
      <c r="S46" s="9" t="s">
        <v>305</v>
      </c>
      <c r="T46" s="176" t="s">
        <v>1388</v>
      </c>
      <c r="U46" s="184">
        <v>3.3719999999999999</v>
      </c>
      <c r="V46" s="170">
        <v>853.99400000000003</v>
      </c>
      <c r="W46" s="170">
        <v>2879.6680000000001</v>
      </c>
      <c r="X46" s="185">
        <v>0</v>
      </c>
      <c r="Y46" s="185">
        <v>1.94855421524802E-2</v>
      </c>
      <c r="Z46" s="185">
        <v>2.5881592341116199E-3</v>
      </c>
    </row>
    <row r="47" spans="1:26">
      <c r="A47" s="9">
        <v>337</v>
      </c>
      <c r="B47" s="9">
        <v>9963</v>
      </c>
      <c r="C47" s="9" t="s">
        <v>1500</v>
      </c>
      <c r="D47" s="9" t="s">
        <v>1501</v>
      </c>
      <c r="E47" s="9" t="s">
        <v>78</v>
      </c>
      <c r="F47" s="9" t="s">
        <v>1502</v>
      </c>
      <c r="G47" s="9">
        <v>62018486</v>
      </c>
      <c r="H47" s="9" t="s">
        <v>78</v>
      </c>
      <c r="I47" s="9" t="s">
        <v>747</v>
      </c>
      <c r="J47" s="9" t="s">
        <v>130</v>
      </c>
      <c r="K47" s="9" t="s">
        <v>61</v>
      </c>
      <c r="L47" s="9" t="s">
        <v>314</v>
      </c>
      <c r="M47" s="9" t="s">
        <v>314</v>
      </c>
      <c r="N47" s="9" t="s">
        <v>314</v>
      </c>
      <c r="O47" s="9" t="s">
        <v>62</v>
      </c>
      <c r="P47" s="183" t="s">
        <v>1503</v>
      </c>
      <c r="Q47" s="9" t="s">
        <v>1215</v>
      </c>
      <c r="R47" s="9" t="s">
        <v>303</v>
      </c>
      <c r="S47" s="9" t="s">
        <v>305</v>
      </c>
      <c r="T47" s="176" t="s">
        <v>1343</v>
      </c>
      <c r="U47" s="184">
        <v>3.3719999999999999</v>
      </c>
      <c r="V47" s="170">
        <v>1214.086</v>
      </c>
      <c r="W47" s="170">
        <v>4093.8969999999999</v>
      </c>
      <c r="X47" s="185">
        <v>0</v>
      </c>
      <c r="Y47" s="185">
        <v>2.7701735764785199E-2</v>
      </c>
      <c r="Z47" s="185">
        <v>3.6794718186182501E-3</v>
      </c>
    </row>
    <row r="48" spans="1:26">
      <c r="A48" s="9">
        <v>337</v>
      </c>
      <c r="B48" s="9">
        <v>9963</v>
      </c>
      <c r="C48" s="9" t="s">
        <v>1274</v>
      </c>
      <c r="D48" s="9" t="s">
        <v>1504</v>
      </c>
      <c r="E48" s="9" t="s">
        <v>78</v>
      </c>
      <c r="F48" s="9" t="s">
        <v>1505</v>
      </c>
      <c r="G48" s="9">
        <v>62021282</v>
      </c>
      <c r="H48" s="9" t="s">
        <v>78</v>
      </c>
      <c r="I48" s="9" t="s">
        <v>747</v>
      </c>
      <c r="J48" s="9" t="s">
        <v>130</v>
      </c>
      <c r="K48" s="9" t="s">
        <v>61</v>
      </c>
      <c r="L48" s="9" t="s">
        <v>173</v>
      </c>
      <c r="M48" s="9" t="s">
        <v>173</v>
      </c>
      <c r="N48" s="9" t="s">
        <v>173</v>
      </c>
      <c r="O48" s="9" t="s">
        <v>62</v>
      </c>
      <c r="P48" s="183" t="s">
        <v>1506</v>
      </c>
      <c r="Q48" s="9" t="s">
        <v>1215</v>
      </c>
      <c r="R48" s="9" t="s">
        <v>303</v>
      </c>
      <c r="S48" s="9" t="s">
        <v>305</v>
      </c>
      <c r="T48" s="176" t="s">
        <v>1319</v>
      </c>
      <c r="U48" s="184">
        <v>3.3719999999999999</v>
      </c>
      <c r="V48" s="170">
        <v>474.33600000000001</v>
      </c>
      <c r="W48" s="170">
        <v>1599.46</v>
      </c>
      <c r="X48" s="185">
        <v>0</v>
      </c>
      <c r="Y48" s="185">
        <v>1.08228987816406E-2</v>
      </c>
      <c r="Z48" s="185">
        <v>1.4375471414837301E-3</v>
      </c>
    </row>
    <row r="49" spans="1:26">
      <c r="A49" s="9">
        <v>337</v>
      </c>
      <c r="B49" s="9">
        <v>9963</v>
      </c>
      <c r="C49" s="9" t="s">
        <v>1507</v>
      </c>
      <c r="D49" s="9" t="s">
        <v>1508</v>
      </c>
      <c r="E49" s="9" t="s">
        <v>78</v>
      </c>
      <c r="F49" s="9" t="s">
        <v>1509</v>
      </c>
      <c r="G49" s="9">
        <v>62018668</v>
      </c>
      <c r="H49" s="9" t="s">
        <v>78</v>
      </c>
      <c r="I49" s="9" t="s">
        <v>747</v>
      </c>
      <c r="J49" s="9" t="s">
        <v>130</v>
      </c>
      <c r="K49" s="9" t="s">
        <v>61</v>
      </c>
      <c r="L49" s="9" t="s">
        <v>314</v>
      </c>
      <c r="M49" s="9" t="s">
        <v>314</v>
      </c>
      <c r="N49" s="9" t="s">
        <v>317</v>
      </c>
      <c r="O49" s="9" t="s">
        <v>62</v>
      </c>
      <c r="P49" s="183" t="s">
        <v>1510</v>
      </c>
      <c r="Q49" s="9" t="s">
        <v>1215</v>
      </c>
      <c r="R49" s="9" t="s">
        <v>303</v>
      </c>
      <c r="S49" s="9" t="s">
        <v>305</v>
      </c>
      <c r="T49" s="176" t="s">
        <v>1511</v>
      </c>
      <c r="U49" s="184">
        <v>3.3719999999999999</v>
      </c>
      <c r="V49" s="170">
        <v>33.801000000000002</v>
      </c>
      <c r="W49" s="170">
        <v>113.977</v>
      </c>
      <c r="X49" s="185">
        <v>0</v>
      </c>
      <c r="Y49" s="185">
        <v>7.7123740699556499E-4</v>
      </c>
      <c r="Z49" s="185">
        <v>1.02439295811628E-4</v>
      </c>
    </row>
    <row r="50" spans="1:26">
      <c r="A50" s="9">
        <v>337</v>
      </c>
      <c r="B50" s="9">
        <v>9963</v>
      </c>
      <c r="C50" s="9" t="s">
        <v>1512</v>
      </c>
      <c r="D50" s="9" t="s">
        <v>1513</v>
      </c>
      <c r="E50" s="9" t="s">
        <v>429</v>
      </c>
      <c r="F50" s="9" t="s">
        <v>1514</v>
      </c>
      <c r="G50" s="9">
        <v>62014592</v>
      </c>
      <c r="H50" s="9" t="s">
        <v>78</v>
      </c>
      <c r="I50" s="9" t="s">
        <v>747</v>
      </c>
      <c r="J50" s="9" t="s">
        <v>130</v>
      </c>
      <c r="K50" s="9" t="s">
        <v>61</v>
      </c>
      <c r="L50" s="9" t="s">
        <v>173</v>
      </c>
      <c r="M50" s="9" t="s">
        <v>315</v>
      </c>
      <c r="N50" s="9" t="s">
        <v>314</v>
      </c>
      <c r="O50" s="9" t="s">
        <v>62</v>
      </c>
      <c r="P50" s="183" t="s">
        <v>1515</v>
      </c>
      <c r="Q50" s="9" t="s">
        <v>1215</v>
      </c>
      <c r="R50" s="9" t="s">
        <v>303</v>
      </c>
      <c r="S50" s="9" t="s">
        <v>305</v>
      </c>
      <c r="T50" s="176" t="s">
        <v>1491</v>
      </c>
      <c r="U50" s="184">
        <v>3.3719999999999999</v>
      </c>
      <c r="V50" s="170">
        <v>1214.569</v>
      </c>
      <c r="W50" s="170">
        <v>4095.527</v>
      </c>
      <c r="X50" s="185">
        <v>0</v>
      </c>
      <c r="Y50" s="185">
        <v>2.7712768100085002E-2</v>
      </c>
      <c r="Z50" s="185">
        <v>3.68093718408032E-3</v>
      </c>
    </row>
    <row r="51" spans="1:26">
      <c r="A51" s="9">
        <v>337</v>
      </c>
      <c r="B51" s="9">
        <v>9963</v>
      </c>
      <c r="C51" s="9" t="s">
        <v>1516</v>
      </c>
      <c r="D51" s="9" t="s">
        <v>1517</v>
      </c>
      <c r="E51" s="9" t="s">
        <v>78</v>
      </c>
      <c r="F51" s="9" t="s">
        <v>1283</v>
      </c>
      <c r="G51" s="9">
        <v>60407392</v>
      </c>
      <c r="H51" s="9" t="s">
        <v>78</v>
      </c>
      <c r="I51" s="9" t="s">
        <v>747</v>
      </c>
      <c r="J51" s="9" t="s">
        <v>130</v>
      </c>
      <c r="K51" s="9" t="s">
        <v>61</v>
      </c>
      <c r="L51" s="9" t="s">
        <v>53</v>
      </c>
      <c r="M51" s="9" t="s">
        <v>53</v>
      </c>
      <c r="N51" s="9" t="s">
        <v>314</v>
      </c>
      <c r="O51" s="9" t="s">
        <v>62</v>
      </c>
      <c r="P51" s="183" t="s">
        <v>1518</v>
      </c>
      <c r="Q51" s="9" t="s">
        <v>1215</v>
      </c>
      <c r="R51" s="9" t="s">
        <v>303</v>
      </c>
      <c r="S51" s="9" t="s">
        <v>305</v>
      </c>
      <c r="T51" s="176" t="s">
        <v>1319</v>
      </c>
      <c r="U51" s="184">
        <v>3.3719999999999999</v>
      </c>
      <c r="V51" s="170">
        <v>225.70099999999999</v>
      </c>
      <c r="W51" s="170">
        <v>761.06399999999996</v>
      </c>
      <c r="X51" s="185">
        <v>5.6239999999999997E-3</v>
      </c>
      <c r="Y51" s="185">
        <v>5.1498132832881096E-3</v>
      </c>
      <c r="Z51" s="185">
        <v>6.8402186086448E-4</v>
      </c>
    </row>
    <row r="52" spans="1:26">
      <c r="A52" s="9">
        <v>337</v>
      </c>
      <c r="B52" s="9">
        <v>9963</v>
      </c>
      <c r="C52" s="9" t="s">
        <v>1286</v>
      </c>
      <c r="D52" s="9" t="s">
        <v>1519</v>
      </c>
      <c r="E52" s="9" t="s">
        <v>78</v>
      </c>
      <c r="F52" s="9" t="s">
        <v>1286</v>
      </c>
      <c r="G52" s="9">
        <v>620211181</v>
      </c>
      <c r="H52" s="9" t="s">
        <v>78</v>
      </c>
      <c r="I52" s="9" t="s">
        <v>241</v>
      </c>
      <c r="J52" s="9" t="s">
        <v>130</v>
      </c>
      <c r="K52" s="9" t="s">
        <v>61</v>
      </c>
      <c r="L52" s="9" t="s">
        <v>1520</v>
      </c>
      <c r="M52" s="9" t="s">
        <v>313</v>
      </c>
      <c r="N52" s="9" t="s">
        <v>313</v>
      </c>
      <c r="O52" s="9" t="s">
        <v>62</v>
      </c>
      <c r="P52" s="183" t="s">
        <v>1521</v>
      </c>
      <c r="Q52" s="9" t="s">
        <v>1287</v>
      </c>
      <c r="R52" s="9" t="s">
        <v>303</v>
      </c>
      <c r="S52" s="9" t="s">
        <v>305</v>
      </c>
      <c r="T52" s="176" t="s">
        <v>1388</v>
      </c>
      <c r="U52" s="184">
        <v>4.6235999999999997</v>
      </c>
      <c r="V52" s="170">
        <v>193.702</v>
      </c>
      <c r="W52" s="170">
        <v>895.601</v>
      </c>
      <c r="X52" s="185">
        <v>0</v>
      </c>
      <c r="Y52" s="185">
        <v>6.0601648883592298E-3</v>
      </c>
      <c r="Z52" s="185">
        <v>8.0493894361823102E-4</v>
      </c>
    </row>
    <row r="53" spans="1:26">
      <c r="A53" s="9">
        <v>337</v>
      </c>
      <c r="B53" s="9">
        <v>9963</v>
      </c>
      <c r="C53" s="9" t="s">
        <v>1522</v>
      </c>
      <c r="D53" s="9" t="s">
        <v>1523</v>
      </c>
      <c r="E53" s="9" t="s">
        <v>78</v>
      </c>
      <c r="F53" s="9" t="s">
        <v>1290</v>
      </c>
      <c r="G53" s="9">
        <v>62019716</v>
      </c>
      <c r="H53" s="9" t="s">
        <v>78</v>
      </c>
      <c r="I53" s="9" t="s">
        <v>747</v>
      </c>
      <c r="J53" s="9" t="s">
        <v>130</v>
      </c>
      <c r="K53" s="9" t="s">
        <v>61</v>
      </c>
      <c r="L53" s="9" t="s">
        <v>173</v>
      </c>
      <c r="M53" s="9" t="s">
        <v>173</v>
      </c>
      <c r="N53" s="9" t="s">
        <v>313</v>
      </c>
      <c r="O53" s="9" t="s">
        <v>62</v>
      </c>
      <c r="P53" s="183" t="s">
        <v>1524</v>
      </c>
      <c r="Q53" s="9" t="s">
        <v>1239</v>
      </c>
      <c r="R53" s="9" t="s">
        <v>303</v>
      </c>
      <c r="S53" s="9" t="s">
        <v>305</v>
      </c>
      <c r="T53" s="176" t="s">
        <v>1525</v>
      </c>
      <c r="U53" s="184">
        <v>3.9552</v>
      </c>
      <c r="V53" s="170">
        <v>508.14100000000002</v>
      </c>
      <c r="W53" s="170">
        <v>2009.8009999999999</v>
      </c>
      <c r="X53" s="185">
        <v>0</v>
      </c>
      <c r="Y53" s="185">
        <v>1.35995047419853E-2</v>
      </c>
      <c r="Z53" s="185">
        <v>1.8063487021239401E-3</v>
      </c>
    </row>
    <row r="54" spans="1:26">
      <c r="A54" s="9">
        <v>337</v>
      </c>
      <c r="B54" s="9">
        <v>9963</v>
      </c>
      <c r="C54" s="9" t="s">
        <v>1507</v>
      </c>
      <c r="D54" s="9" t="s">
        <v>1508</v>
      </c>
      <c r="E54" s="9" t="s">
        <v>78</v>
      </c>
      <c r="F54" s="9" t="s">
        <v>1292</v>
      </c>
      <c r="G54" s="9">
        <v>62018965</v>
      </c>
      <c r="H54" s="9" t="s">
        <v>78</v>
      </c>
      <c r="I54" s="9" t="s">
        <v>747</v>
      </c>
      <c r="J54" s="9" t="s">
        <v>130</v>
      </c>
      <c r="K54" s="9" t="s">
        <v>61</v>
      </c>
      <c r="L54" s="9" t="s">
        <v>109</v>
      </c>
      <c r="M54" s="9" t="s">
        <v>109</v>
      </c>
      <c r="N54" s="9" t="s">
        <v>314</v>
      </c>
      <c r="O54" s="9" t="s">
        <v>62</v>
      </c>
      <c r="P54" s="183" t="s">
        <v>1526</v>
      </c>
      <c r="Q54" s="9" t="s">
        <v>1215</v>
      </c>
      <c r="R54" s="9" t="s">
        <v>303</v>
      </c>
      <c r="S54" s="9" t="s">
        <v>305</v>
      </c>
      <c r="T54" s="176" t="s">
        <v>1361</v>
      </c>
      <c r="U54" s="184">
        <v>3.3719999999999999</v>
      </c>
      <c r="V54" s="170">
        <v>577.93700000000001</v>
      </c>
      <c r="W54" s="170">
        <v>1948.8050000000001</v>
      </c>
      <c r="X54" s="185">
        <v>0</v>
      </c>
      <c r="Y54" s="185">
        <v>1.31867722106715E-2</v>
      </c>
      <c r="Z54" s="185">
        <v>1.7515276710343801E-3</v>
      </c>
    </row>
    <row r="55" spans="1:26">
      <c r="A55" s="9">
        <v>337</v>
      </c>
      <c r="B55" s="9">
        <v>9963</v>
      </c>
      <c r="C55" s="9" t="s">
        <v>1527</v>
      </c>
      <c r="D55" s="9" t="s">
        <v>1528</v>
      </c>
      <c r="E55" s="9" t="s">
        <v>429</v>
      </c>
      <c r="F55" s="9" t="s">
        <v>1295</v>
      </c>
      <c r="G55" s="9">
        <v>62018098</v>
      </c>
      <c r="H55" s="9" t="s">
        <v>78</v>
      </c>
      <c r="I55" s="9" t="s">
        <v>747</v>
      </c>
      <c r="J55" s="9" t="s">
        <v>130</v>
      </c>
      <c r="K55" s="9" t="s">
        <v>61</v>
      </c>
      <c r="L55" s="9" t="s">
        <v>109</v>
      </c>
      <c r="M55" s="9" t="s">
        <v>314</v>
      </c>
      <c r="N55" s="9" t="s">
        <v>314</v>
      </c>
      <c r="O55" s="9" t="s">
        <v>62</v>
      </c>
      <c r="P55" s="183" t="s">
        <v>1529</v>
      </c>
      <c r="Q55" s="9" t="s">
        <v>1215</v>
      </c>
      <c r="R55" s="9" t="s">
        <v>303</v>
      </c>
      <c r="S55" s="9" t="s">
        <v>305</v>
      </c>
      <c r="T55" s="176" t="s">
        <v>1353</v>
      </c>
      <c r="U55" s="184">
        <v>3.3719999999999999</v>
      </c>
      <c r="V55" s="170">
        <v>579.82600000000002</v>
      </c>
      <c r="W55" s="170">
        <v>1955.172</v>
      </c>
      <c r="X55" s="185">
        <v>0</v>
      </c>
      <c r="Y55" s="185">
        <v>1.3229855965817499E-2</v>
      </c>
      <c r="Z55" s="185">
        <v>1.75725025333919E-3</v>
      </c>
    </row>
    <row r="56" spans="1:26">
      <c r="A56" s="9">
        <v>337</v>
      </c>
      <c r="B56" s="9">
        <v>9963</v>
      </c>
      <c r="C56" s="9" t="s">
        <v>1297</v>
      </c>
      <c r="D56" s="9" t="s">
        <v>1530</v>
      </c>
      <c r="E56" s="9" t="s">
        <v>78</v>
      </c>
      <c r="F56" s="9" t="s">
        <v>1297</v>
      </c>
      <c r="G56" s="9">
        <v>62020938</v>
      </c>
      <c r="H56" s="9" t="s">
        <v>78</v>
      </c>
      <c r="I56" s="9" t="s">
        <v>747</v>
      </c>
      <c r="J56" s="9" t="s">
        <v>130</v>
      </c>
      <c r="K56" s="9" t="s">
        <v>61</v>
      </c>
      <c r="L56" s="9" t="s">
        <v>53</v>
      </c>
      <c r="M56" s="9" t="s">
        <v>53</v>
      </c>
      <c r="N56" s="9" t="s">
        <v>314</v>
      </c>
      <c r="O56" s="9" t="s">
        <v>62</v>
      </c>
      <c r="P56" s="183" t="s">
        <v>1531</v>
      </c>
      <c r="Q56" s="9" t="s">
        <v>1215</v>
      </c>
      <c r="R56" s="9" t="s">
        <v>303</v>
      </c>
      <c r="S56" s="9" t="s">
        <v>305</v>
      </c>
      <c r="T56" s="176" t="s">
        <v>1465</v>
      </c>
      <c r="U56" s="184">
        <v>3.3719999999999999</v>
      </c>
      <c r="V56" s="170">
        <v>166.892</v>
      </c>
      <c r="W56" s="170">
        <v>562.76099999999997</v>
      </c>
      <c r="X56" s="185">
        <v>0</v>
      </c>
      <c r="Y56" s="185">
        <v>3.8079718457150399E-3</v>
      </c>
      <c r="Z56" s="185">
        <v>5.0579231609780898E-4</v>
      </c>
    </row>
    <row r="57" spans="1:26">
      <c r="A57" s="9">
        <v>337</v>
      </c>
      <c r="B57" s="9">
        <v>9963</v>
      </c>
      <c r="C57" s="9" t="s">
        <v>1532</v>
      </c>
      <c r="D57" s="9" t="s">
        <v>1533</v>
      </c>
      <c r="E57" s="9" t="s">
        <v>78</v>
      </c>
      <c r="F57" s="9" t="s">
        <v>1534</v>
      </c>
      <c r="G57" s="9">
        <v>62020284</v>
      </c>
      <c r="H57" s="9" t="s">
        <v>78</v>
      </c>
      <c r="I57" s="9" t="s">
        <v>747</v>
      </c>
      <c r="J57" s="9" t="s">
        <v>130</v>
      </c>
      <c r="K57" s="9" t="s">
        <v>61</v>
      </c>
      <c r="L57" s="9" t="s">
        <v>109</v>
      </c>
      <c r="M57" s="9" t="s">
        <v>109</v>
      </c>
      <c r="N57" s="9" t="s">
        <v>314</v>
      </c>
      <c r="O57" s="9" t="s">
        <v>62</v>
      </c>
      <c r="P57" s="183" t="s">
        <v>1535</v>
      </c>
      <c r="Q57" s="9" t="s">
        <v>1215</v>
      </c>
      <c r="R57" s="9" t="s">
        <v>303</v>
      </c>
      <c r="S57" s="9" t="s">
        <v>305</v>
      </c>
      <c r="T57" s="176" t="s">
        <v>1319</v>
      </c>
      <c r="U57" s="184">
        <v>3.3719999999999999</v>
      </c>
      <c r="V57" s="170">
        <v>352.42599999999999</v>
      </c>
      <c r="W57" s="170">
        <v>1188.3820000000001</v>
      </c>
      <c r="X57" s="185">
        <v>0</v>
      </c>
      <c r="Y57" s="185">
        <v>8.0412980940433205E-3</v>
      </c>
      <c r="Z57" s="185">
        <v>1.06808215822177E-3</v>
      </c>
    </row>
    <row r="58" spans="1:26">
      <c r="A58" s="9">
        <v>337</v>
      </c>
      <c r="B58" s="9">
        <v>9963</v>
      </c>
      <c r="C58" s="9" t="s">
        <v>1536</v>
      </c>
      <c r="D58" s="9" t="s">
        <v>1537</v>
      </c>
      <c r="E58" s="9" t="s">
        <v>78</v>
      </c>
      <c r="F58" s="9" t="s">
        <v>1538</v>
      </c>
      <c r="G58" s="9">
        <v>62000698</v>
      </c>
      <c r="H58" s="9" t="s">
        <v>78</v>
      </c>
      <c r="I58" s="9" t="s">
        <v>747</v>
      </c>
      <c r="J58" s="9" t="s">
        <v>130</v>
      </c>
      <c r="K58" s="9" t="s">
        <v>61</v>
      </c>
      <c r="L58" s="9" t="s">
        <v>109</v>
      </c>
      <c r="M58" s="9" t="s">
        <v>314</v>
      </c>
      <c r="N58" s="9" t="s">
        <v>317</v>
      </c>
      <c r="O58" s="9" t="s">
        <v>62</v>
      </c>
      <c r="P58" s="183" t="s">
        <v>1539</v>
      </c>
      <c r="Q58" s="9" t="s">
        <v>1215</v>
      </c>
      <c r="R58" s="9" t="s">
        <v>303</v>
      </c>
      <c r="S58" s="9" t="s">
        <v>305</v>
      </c>
      <c r="T58" s="176" t="s">
        <v>1388</v>
      </c>
      <c r="U58" s="184">
        <v>3.3719999999999999</v>
      </c>
      <c r="V58" s="170">
        <v>946.66200000000003</v>
      </c>
      <c r="W58" s="170">
        <v>3192.143</v>
      </c>
      <c r="X58" s="185">
        <v>0</v>
      </c>
      <c r="Y58" s="185">
        <v>2.15999366263155E-2</v>
      </c>
      <c r="Z58" s="185">
        <v>2.8690028226137101E-3</v>
      </c>
    </row>
    <row r="59" spans="1:26">
      <c r="A59" s="9">
        <v>337</v>
      </c>
      <c r="B59" s="9">
        <v>9963</v>
      </c>
      <c r="C59" s="9" t="s">
        <v>1540</v>
      </c>
      <c r="D59" s="9" t="s">
        <v>1541</v>
      </c>
      <c r="E59" s="9" t="s">
        <v>78</v>
      </c>
      <c r="F59" s="9" t="s">
        <v>1542</v>
      </c>
      <c r="G59" s="9">
        <v>11811062</v>
      </c>
      <c r="H59" s="9" t="s">
        <v>78</v>
      </c>
      <c r="I59" s="9" t="s">
        <v>747</v>
      </c>
      <c r="J59" s="9" t="s">
        <v>130</v>
      </c>
      <c r="K59" s="9" t="s">
        <v>61</v>
      </c>
      <c r="L59" s="9" t="s">
        <v>109</v>
      </c>
      <c r="M59" s="9"/>
      <c r="N59" s="9" t="s">
        <v>314</v>
      </c>
      <c r="O59" s="9" t="s">
        <v>62</v>
      </c>
      <c r="P59" s="183" t="s">
        <v>1353</v>
      </c>
      <c r="Q59" s="9" t="s">
        <v>1215</v>
      </c>
      <c r="R59" s="9" t="s">
        <v>303</v>
      </c>
      <c r="S59" s="9" t="s">
        <v>305</v>
      </c>
      <c r="T59" s="176" t="s">
        <v>1413</v>
      </c>
      <c r="U59" s="184">
        <v>3.3719999999999999</v>
      </c>
      <c r="V59" s="170">
        <v>523.94299999999998</v>
      </c>
      <c r="W59" s="170">
        <v>1766.7370000000001</v>
      </c>
      <c r="X59" s="185">
        <v>7.2989999999999999E-3</v>
      </c>
      <c r="Y59" s="185">
        <v>1.19547906089545E-2</v>
      </c>
      <c r="Z59" s="185">
        <v>1.58789021441203E-3</v>
      </c>
    </row>
    <row r="60" spans="1:26">
      <c r="A60" s="9">
        <v>337</v>
      </c>
      <c r="B60" s="9">
        <v>9963</v>
      </c>
      <c r="C60" s="9" t="s">
        <v>1543</v>
      </c>
      <c r="D60" s="9" t="s">
        <v>1544</v>
      </c>
      <c r="E60" s="9" t="s">
        <v>78</v>
      </c>
      <c r="F60" s="9" t="s">
        <v>1545</v>
      </c>
      <c r="G60" s="9">
        <v>62014261</v>
      </c>
      <c r="H60" s="9" t="s">
        <v>78</v>
      </c>
      <c r="I60" s="9" t="s">
        <v>747</v>
      </c>
      <c r="J60" s="9" t="s">
        <v>130</v>
      </c>
      <c r="K60" s="9" t="s">
        <v>61</v>
      </c>
      <c r="L60" s="9" t="s">
        <v>173</v>
      </c>
      <c r="M60" s="9" t="s">
        <v>315</v>
      </c>
      <c r="N60" s="9" t="s">
        <v>317</v>
      </c>
      <c r="O60" s="9" t="s">
        <v>62</v>
      </c>
      <c r="P60" s="183" t="s">
        <v>1546</v>
      </c>
      <c r="Q60" s="9" t="s">
        <v>1215</v>
      </c>
      <c r="R60" s="9" t="s">
        <v>303</v>
      </c>
      <c r="S60" s="9" t="s">
        <v>305</v>
      </c>
      <c r="T60" s="176" t="s">
        <v>1319</v>
      </c>
      <c r="U60" s="184">
        <v>3.3719999999999999</v>
      </c>
      <c r="V60" s="170">
        <v>1428.731</v>
      </c>
      <c r="W60" s="170">
        <v>4817.6819999999998</v>
      </c>
      <c r="X60" s="185">
        <v>0</v>
      </c>
      <c r="Y60" s="185">
        <v>3.25993001282288E-2</v>
      </c>
      <c r="Z60" s="185">
        <v>4.3299888190030198E-3</v>
      </c>
    </row>
    <row r="61" spans="1:26">
      <c r="A61" s="9">
        <v>337</v>
      </c>
      <c r="B61" s="9">
        <v>9963</v>
      </c>
      <c r="C61" s="9" t="s">
        <v>1547</v>
      </c>
      <c r="D61" s="9" t="s">
        <v>1548</v>
      </c>
      <c r="E61" s="9" t="s">
        <v>1346</v>
      </c>
      <c r="F61" s="9" t="s">
        <v>1549</v>
      </c>
      <c r="G61" s="9">
        <v>9840688</v>
      </c>
      <c r="H61" s="9" t="s">
        <v>78</v>
      </c>
      <c r="I61" s="9" t="s">
        <v>241</v>
      </c>
      <c r="J61" s="9" t="s">
        <v>130</v>
      </c>
      <c r="K61" s="9" t="s">
        <v>61</v>
      </c>
      <c r="L61" s="9" t="s">
        <v>53</v>
      </c>
      <c r="M61" s="9" t="s">
        <v>53</v>
      </c>
      <c r="N61" s="9" t="s">
        <v>313</v>
      </c>
      <c r="O61" s="9" t="s">
        <v>62</v>
      </c>
      <c r="P61" s="183" t="s">
        <v>1325</v>
      </c>
      <c r="Q61" s="9" t="s">
        <v>1239</v>
      </c>
      <c r="R61" s="9" t="s">
        <v>303</v>
      </c>
      <c r="S61" s="9" t="s">
        <v>305</v>
      </c>
      <c r="T61" s="176" t="s">
        <v>1349</v>
      </c>
      <c r="U61" s="184">
        <v>3.9552</v>
      </c>
      <c r="V61" s="170">
        <v>53.862000000000002</v>
      </c>
      <c r="W61" s="170">
        <v>213.035</v>
      </c>
      <c r="X61" s="185">
        <v>4.5499999999999999E-2</v>
      </c>
      <c r="Y61" s="185">
        <v>1.4415209297586301E-3</v>
      </c>
      <c r="Z61" s="185">
        <v>1.9146943289155999E-4</v>
      </c>
    </row>
    <row r="62" spans="1:26">
      <c r="A62" s="9">
        <v>337</v>
      </c>
      <c r="B62" s="9">
        <v>9964</v>
      </c>
      <c r="C62" s="9" t="s">
        <v>1230</v>
      </c>
      <c r="D62" s="9" t="s">
        <v>1340</v>
      </c>
      <c r="E62" s="9" t="s">
        <v>78</v>
      </c>
      <c r="F62" s="9" t="s">
        <v>1230</v>
      </c>
      <c r="G62" s="9">
        <v>62019286</v>
      </c>
      <c r="H62" s="9" t="s">
        <v>78</v>
      </c>
      <c r="I62" s="9" t="s">
        <v>280</v>
      </c>
      <c r="J62" s="9" t="s">
        <v>130</v>
      </c>
      <c r="K62" s="9" t="s">
        <v>61</v>
      </c>
      <c r="L62" s="9" t="s">
        <v>1341</v>
      </c>
      <c r="M62" s="9" t="s">
        <v>313</v>
      </c>
      <c r="N62" s="9" t="s">
        <v>313</v>
      </c>
      <c r="O62" s="9" t="s">
        <v>62</v>
      </c>
      <c r="P62" s="183" t="s">
        <v>1342</v>
      </c>
      <c r="Q62" s="9" t="s">
        <v>1215</v>
      </c>
      <c r="R62" s="9" t="s">
        <v>303</v>
      </c>
      <c r="S62" s="9" t="s">
        <v>305</v>
      </c>
      <c r="T62" s="176" t="s">
        <v>1343</v>
      </c>
      <c r="U62" s="184">
        <v>3.3719999999999999</v>
      </c>
      <c r="V62" s="170">
        <v>24.474</v>
      </c>
      <c r="W62" s="170">
        <v>82.525000000000006</v>
      </c>
      <c r="X62" s="185">
        <v>0</v>
      </c>
      <c r="Y62" s="185">
        <v>1</v>
      </c>
      <c r="Z62" s="185">
        <v>2.1253896802274001E-3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AC81BA78-5E4D-42D1-B79F-1C1DA8510FFF}">
      <formula1>Fund_Strategy</formula1>
    </dataValidation>
    <dataValidation type="list" allowBlank="1" showInputMessage="1" showErrorMessage="1" sqref="K2:K20" xr:uid="{B4D98B5D-C070-4E5D-AAB8-EF751ABE28CE}">
      <formula1>israel_abroad</formula1>
    </dataValidation>
    <dataValidation type="list" allowBlank="1" showInputMessage="1" showErrorMessage="1" sqref="O2:O20" xr:uid="{3A495ABC-E40A-47C6-927F-AB14B5116B36}">
      <formula1>Holding_interest</formula1>
    </dataValidation>
    <dataValidation type="list" allowBlank="1" showInputMessage="1" showErrorMessage="1" sqref="R2:R20" xr:uid="{B92A979C-8A1B-4812-BD29-602313351AF1}">
      <formula1>Valuation</formula1>
    </dataValidation>
    <dataValidation type="list" allowBlank="1" showInputMessage="1" showErrorMessage="1" sqref="S2:S20" xr:uid="{853545A5-DE21-4700-8136-2324766BB15D}">
      <formula1>Dependence_Independence</formula1>
    </dataValidation>
    <dataValidation type="list" allowBlank="1" showInputMessage="1" showErrorMessage="1" sqref="L2:M20" xr:uid="{9DB52A9C-8E7B-4D88-8ECB-2F512BF39578}">
      <formula1>Country_list</formula1>
    </dataValidation>
    <dataValidation type="list" allowBlank="1" showInputMessage="1" showErrorMessage="1" sqref="E2:E20" xr:uid="{5E98BD74-32F8-4B54-B16E-6E153E276581}">
      <formula1>Issuer_Number_Fund</formula1>
    </dataValidation>
    <dataValidation type="list" allowBlank="1" showInputMessage="1" showErrorMessage="1" sqref="H2:H20" xr:uid="{FDD5E9B1-5AA0-4CD3-BFF8-38824A81FC79}">
      <formula1>Type_of_Security_ID_Fund</formula1>
    </dataValidation>
    <dataValidation type="list" allowBlank="1" showInputMessage="1" showErrorMessage="1" sqref="N2:N20" xr:uid="{899667E3-DE85-4313-B6E4-AF6B8C64BD99}">
      <formula1>Country_list_funds</formula1>
    </dataValidation>
    <dataValidation type="list" allowBlank="1" showInputMessage="1" showErrorMessage="1" sqref="L63:L1048576" xr:uid="{00000000-0002-0000-1300-000009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16384" width="0" style="3" hidden="1"/>
  </cols>
  <sheetData>
    <row r="1" spans="1:28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602</v>
      </c>
      <c r="J1" s="22" t="s">
        <v>603</v>
      </c>
      <c r="K1" s="22" t="s">
        <v>607</v>
      </c>
      <c r="L1" s="22" t="s">
        <v>736</v>
      </c>
      <c r="M1" s="22" t="s">
        <v>9</v>
      </c>
      <c r="N1" s="22" t="s">
        <v>664</v>
      </c>
      <c r="O1" s="22" t="s">
        <v>604</v>
      </c>
      <c r="P1" s="22" t="s">
        <v>12</v>
      </c>
      <c r="Q1" s="22" t="s">
        <v>396</v>
      </c>
      <c r="R1" s="22" t="s">
        <v>915</v>
      </c>
      <c r="S1" s="22" t="s">
        <v>372</v>
      </c>
      <c r="T1" s="22" t="s">
        <v>16</v>
      </c>
      <c r="U1" s="22" t="s">
        <v>23</v>
      </c>
      <c r="V1" s="22" t="s">
        <v>611</v>
      </c>
      <c r="W1" s="22" t="s">
        <v>771</v>
      </c>
      <c r="X1" s="22" t="s">
        <v>15</v>
      </c>
      <c r="Y1" s="22" t="s">
        <v>11</v>
      </c>
      <c r="Z1" s="22" t="s">
        <v>1151</v>
      </c>
      <c r="AA1" s="22" t="s">
        <v>19</v>
      </c>
      <c r="AB1" s="22" t="s">
        <v>30</v>
      </c>
    </row>
    <row r="2" spans="1:28">
      <c r="A2" s="9">
        <v>337</v>
      </c>
      <c r="B2" s="9">
        <v>1405</v>
      </c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9">
        <v>337</v>
      </c>
      <c r="B3" s="9">
        <v>1477</v>
      </c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9">
        <v>337</v>
      </c>
      <c r="B4" s="9">
        <v>9962</v>
      </c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9">
        <v>337</v>
      </c>
      <c r="B5" s="9">
        <v>9963</v>
      </c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9">
        <v>337</v>
      </c>
      <c r="B6" s="9">
        <v>9964</v>
      </c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9">
        <v>337</v>
      </c>
      <c r="B7" s="9">
        <v>15372</v>
      </c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idden="1">
      <c r="E20" s="21"/>
      <c r="H20" s="23"/>
      <c r="I20" s="21"/>
      <c r="J20" s="21"/>
      <c r="K20" s="23"/>
      <c r="M20" s="23"/>
      <c r="O20" s="23"/>
      <c r="S20" s="23"/>
    </row>
    <row r="21" spans="1:28" hidden="1">
      <c r="E21"/>
      <c r="H21"/>
      <c r="K21"/>
    </row>
    <row r="23" spans="1:28" hidden="1">
      <c r="H23" s="42"/>
    </row>
    <row r="24" spans="1:28" hidden="1">
      <c r="H24" s="42"/>
      <c r="K24" s="3"/>
    </row>
    <row r="25" spans="1:28" hidden="1">
      <c r="H25" s="42"/>
    </row>
    <row r="26" spans="1:28" hidden="1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B10" sqref="B10:B11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16384" width="0" style="3" hidden="1"/>
  </cols>
  <sheetData>
    <row r="1" spans="1:28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9</v>
      </c>
      <c r="M1" s="22" t="s">
        <v>10</v>
      </c>
      <c r="N1" s="22" t="s">
        <v>664</v>
      </c>
      <c r="O1" s="22" t="s">
        <v>604</v>
      </c>
      <c r="P1" s="22" t="s">
        <v>12</v>
      </c>
      <c r="Q1" s="22" t="s">
        <v>396</v>
      </c>
      <c r="R1" s="22" t="s">
        <v>915</v>
      </c>
      <c r="S1" s="22" t="s">
        <v>372</v>
      </c>
      <c r="T1" s="22" t="s">
        <v>16</v>
      </c>
      <c r="U1" s="22" t="s">
        <v>23</v>
      </c>
      <c r="V1" s="22" t="s">
        <v>611</v>
      </c>
      <c r="W1" s="22" t="s">
        <v>771</v>
      </c>
      <c r="X1" s="22" t="s">
        <v>15</v>
      </c>
      <c r="Y1" s="22" t="s">
        <v>11</v>
      </c>
      <c r="Z1" s="22" t="s">
        <v>769</v>
      </c>
      <c r="AA1" s="22" t="s">
        <v>19</v>
      </c>
      <c r="AB1" s="22" t="s">
        <v>30</v>
      </c>
    </row>
    <row r="2" spans="1:28">
      <c r="A2" s="9">
        <v>337</v>
      </c>
      <c r="B2" s="9">
        <v>1405</v>
      </c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9">
        <v>337</v>
      </c>
      <c r="B3" s="9">
        <v>1477</v>
      </c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9">
        <v>337</v>
      </c>
      <c r="B4" s="9">
        <v>9962</v>
      </c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9">
        <v>337</v>
      </c>
      <c r="B5" s="9">
        <v>9963</v>
      </c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9">
        <v>337</v>
      </c>
      <c r="B6" s="9">
        <v>9964</v>
      </c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9">
        <v>337</v>
      </c>
      <c r="B7" s="9">
        <v>15372</v>
      </c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idden="1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 hidden="1">
      <c r="E21"/>
      <c r="H21" s="41"/>
    </row>
    <row r="23" spans="1:28" hidden="1">
      <c r="H23" s="42"/>
    </row>
    <row r="24" spans="1:28" hidden="1">
      <c r="H24" s="42"/>
    </row>
    <row r="25" spans="1:28" hidden="1">
      <c r="H25" s="42"/>
    </row>
    <row r="26" spans="1:28" hidden="1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16" sqref="A16"/>
    </sheetView>
  </sheetViews>
  <sheetFormatPr defaultColWidth="0" defaultRowHeight="14.25" zeroHeight="1"/>
  <cols>
    <col min="1" max="6" width="11.625" style="9" customWidth="1"/>
    <col min="7" max="7" width="15.125" style="9" customWidth="1"/>
    <col min="8" max="13" width="11.625" style="9" customWidth="1"/>
    <col min="14" max="14" width="16.25" style="9" customWidth="1"/>
    <col min="15" max="33" width="11.625" style="9" customWidth="1"/>
    <col min="34" max="34" width="11.625" customWidth="1"/>
    <col min="35" max="39" width="11.625" style="9" customWidth="1"/>
    <col min="40" max="41" width="11.625" style="3" customWidth="1"/>
    <col min="42" max="16384" width="0" style="9" hidden="1"/>
  </cols>
  <sheetData>
    <row r="1" spans="1:41" ht="51">
      <c r="A1" s="22" t="s">
        <v>649</v>
      </c>
      <c r="B1" s="22" t="s">
        <v>0</v>
      </c>
      <c r="C1" s="22" t="s">
        <v>1</v>
      </c>
      <c r="D1" s="22" t="s">
        <v>417</v>
      </c>
      <c r="E1" s="22" t="s">
        <v>796</v>
      </c>
      <c r="F1" s="22" t="s">
        <v>11</v>
      </c>
      <c r="G1" s="22" t="s">
        <v>326</v>
      </c>
      <c r="H1" s="22" t="s">
        <v>330</v>
      </c>
      <c r="I1" s="22" t="s">
        <v>328</v>
      </c>
      <c r="J1" s="22" t="s">
        <v>329</v>
      </c>
      <c r="K1" s="22" t="s">
        <v>418</v>
      </c>
      <c r="L1" s="22" t="s">
        <v>797</v>
      </c>
      <c r="M1" s="22" t="s">
        <v>11</v>
      </c>
      <c r="N1" s="22" t="s">
        <v>327</v>
      </c>
      <c r="O1" s="22" t="s">
        <v>331</v>
      </c>
      <c r="P1" s="22" t="s">
        <v>941</v>
      </c>
      <c r="Q1" s="22" t="s">
        <v>348</v>
      </c>
      <c r="R1" s="22" t="s">
        <v>1153</v>
      </c>
      <c r="S1" s="22" t="s">
        <v>602</v>
      </c>
      <c r="T1" s="22" t="s">
        <v>603</v>
      </c>
      <c r="U1" s="22" t="s">
        <v>463</v>
      </c>
      <c r="V1" s="22" t="s">
        <v>343</v>
      </c>
      <c r="W1" s="22" t="s">
        <v>462</v>
      </c>
      <c r="X1" s="22" t="s">
        <v>99</v>
      </c>
      <c r="Y1" s="22" t="s">
        <v>604</v>
      </c>
      <c r="Z1" s="22" t="s">
        <v>365</v>
      </c>
      <c r="AA1" s="22" t="s">
        <v>366</v>
      </c>
      <c r="AB1" s="22" t="s">
        <v>610</v>
      </c>
      <c r="AC1" s="22" t="s">
        <v>308</v>
      </c>
      <c r="AD1" s="22" t="s">
        <v>368</v>
      </c>
      <c r="AE1" s="22" t="s">
        <v>735</v>
      </c>
      <c r="AF1" s="22" t="s">
        <v>309</v>
      </c>
      <c r="AG1" s="22" t="s">
        <v>310</v>
      </c>
      <c r="AH1" s="22" t="s">
        <v>349</v>
      </c>
      <c r="AI1" s="22" t="s">
        <v>367</v>
      </c>
      <c r="AJ1" s="22" t="s">
        <v>615</v>
      </c>
      <c r="AK1" s="22" t="s">
        <v>364</v>
      </c>
      <c r="AL1" s="22" t="s">
        <v>457</v>
      </c>
      <c r="AM1" s="22" t="s">
        <v>435</v>
      </c>
      <c r="AN1" s="22" t="s">
        <v>19</v>
      </c>
      <c r="AO1" s="22" t="s">
        <v>30</v>
      </c>
    </row>
    <row r="2" spans="1:41">
      <c r="A2">
        <v>337</v>
      </c>
      <c r="B2">
        <v>1405</v>
      </c>
      <c r="C2" t="s">
        <v>353</v>
      </c>
      <c r="D2">
        <v>9941677</v>
      </c>
      <c r="E2" t="s">
        <v>1215</v>
      </c>
      <c r="F2">
        <v>3.3719999999999999</v>
      </c>
      <c r="G2" s="179">
        <v>-1000</v>
      </c>
      <c r="H2">
        <v>-3.5590000000000002</v>
      </c>
      <c r="I2">
        <v>5.72</v>
      </c>
      <c r="J2">
        <v>0.04</v>
      </c>
      <c r="K2">
        <v>9941677</v>
      </c>
      <c r="L2" t="s">
        <v>1259</v>
      </c>
      <c r="M2">
        <v>1</v>
      </c>
      <c r="N2" s="179">
        <v>3576</v>
      </c>
      <c r="O2">
        <v>3.3559999999999999</v>
      </c>
      <c r="P2">
        <v>5.58</v>
      </c>
      <c r="Q2">
        <v>0.04</v>
      </c>
      <c r="R2">
        <v>0.20399999999999999</v>
      </c>
      <c r="S2" t="s">
        <v>53</v>
      </c>
      <c r="T2" t="s">
        <v>53</v>
      </c>
      <c r="U2" t="s">
        <v>72</v>
      </c>
      <c r="V2" t="s">
        <v>376</v>
      </c>
      <c r="W2" t="s">
        <v>689</v>
      </c>
      <c r="X2" t="s">
        <v>1336</v>
      </c>
      <c r="Y2" t="s">
        <v>62</v>
      </c>
      <c r="Z2" s="157">
        <v>45784</v>
      </c>
      <c r="AA2" s="157">
        <v>45876</v>
      </c>
      <c r="AB2" t="s">
        <v>362</v>
      </c>
      <c r="AC2" t="s">
        <v>1337</v>
      </c>
      <c r="AD2" t="s">
        <v>62</v>
      </c>
      <c r="AE2" t="s">
        <v>341</v>
      </c>
      <c r="AF2" t="s">
        <v>362</v>
      </c>
      <c r="AG2" t="s">
        <v>358</v>
      </c>
      <c r="AH2" t="s">
        <v>362</v>
      </c>
      <c r="AI2">
        <v>3.5590000000000002</v>
      </c>
      <c r="AJ2">
        <v>3.3559999999999999</v>
      </c>
      <c r="AK2" t="s">
        <v>62</v>
      </c>
      <c r="AL2" t="s">
        <v>1318</v>
      </c>
      <c r="AM2" t="s">
        <v>1338</v>
      </c>
      <c r="AN2" s="180">
        <v>2.8769774813049344E-5</v>
      </c>
      <c r="AO2" s="180">
        <v>1.6530100151622744E-7</v>
      </c>
    </row>
    <row r="3" spans="1:41">
      <c r="A3">
        <v>337</v>
      </c>
      <c r="B3">
        <v>1405</v>
      </c>
      <c r="C3" t="s">
        <v>353</v>
      </c>
      <c r="D3">
        <v>9941678</v>
      </c>
      <c r="E3" t="s">
        <v>1239</v>
      </c>
      <c r="F3">
        <v>3.9552</v>
      </c>
      <c r="G3" s="179">
        <v>-14400</v>
      </c>
      <c r="H3">
        <v>-58.628999999999998</v>
      </c>
      <c r="I3">
        <v>94.28</v>
      </c>
      <c r="J3">
        <v>0.66</v>
      </c>
      <c r="K3">
        <v>9941678</v>
      </c>
      <c r="L3" t="s">
        <v>1259</v>
      </c>
      <c r="M3">
        <v>1</v>
      </c>
      <c r="N3" s="179">
        <v>58890.239999999998</v>
      </c>
      <c r="O3">
        <v>56.823999999999998</v>
      </c>
      <c r="P3">
        <v>94.42</v>
      </c>
      <c r="Q3">
        <v>0.64</v>
      </c>
      <c r="R3">
        <v>1.8049999999999999</v>
      </c>
      <c r="S3" t="s">
        <v>53</v>
      </c>
      <c r="T3" t="s">
        <v>53</v>
      </c>
      <c r="U3" t="s">
        <v>72</v>
      </c>
      <c r="V3" t="s">
        <v>376</v>
      </c>
      <c r="W3" t="s">
        <v>689</v>
      </c>
      <c r="X3" t="s">
        <v>1339</v>
      </c>
      <c r="Y3" t="s">
        <v>62</v>
      </c>
      <c r="Z3" s="157">
        <v>45784</v>
      </c>
      <c r="AA3" s="157">
        <v>45876</v>
      </c>
      <c r="AB3" t="s">
        <v>362</v>
      </c>
      <c r="AC3" t="s">
        <v>1337</v>
      </c>
      <c r="AD3" t="s">
        <v>62</v>
      </c>
      <c r="AE3" t="s">
        <v>341</v>
      </c>
      <c r="AF3" t="s">
        <v>362</v>
      </c>
      <c r="AG3" t="s">
        <v>358</v>
      </c>
      <c r="AH3" t="s">
        <v>362</v>
      </c>
      <c r="AI3">
        <v>4.0709999999999997</v>
      </c>
      <c r="AJ3">
        <v>3.9460000000000002</v>
      </c>
      <c r="AK3" t="s">
        <v>62</v>
      </c>
      <c r="AL3" t="s">
        <v>1318</v>
      </c>
      <c r="AM3" t="s">
        <v>1338</v>
      </c>
      <c r="AN3" s="180">
        <v>2.5455609577232385E-4</v>
      </c>
      <c r="AO3" s="180">
        <v>1.4625897438077968E-6</v>
      </c>
    </row>
    <row r="4" spans="1:41">
      <c r="A4">
        <v>337</v>
      </c>
      <c r="B4">
        <v>9963</v>
      </c>
      <c r="C4" t="s">
        <v>353</v>
      </c>
      <c r="D4">
        <v>9941677</v>
      </c>
      <c r="E4" t="s">
        <v>1215</v>
      </c>
      <c r="F4">
        <v>3.3719999999999999</v>
      </c>
      <c r="G4" s="179">
        <v>-28744000</v>
      </c>
      <c r="H4" s="179">
        <v>-102325.91</v>
      </c>
      <c r="I4">
        <v>80.25</v>
      </c>
      <c r="J4">
        <v>9.58</v>
      </c>
      <c r="K4">
        <v>9941677</v>
      </c>
      <c r="L4" t="s">
        <v>1259</v>
      </c>
      <c r="M4">
        <v>1</v>
      </c>
      <c r="N4" s="179">
        <v>102788544</v>
      </c>
      <c r="O4" s="179">
        <v>96465.41</v>
      </c>
      <c r="P4">
        <v>79.81</v>
      </c>
      <c r="Q4">
        <v>9.0299999999999994</v>
      </c>
      <c r="R4" s="179">
        <v>5860.51</v>
      </c>
      <c r="S4" t="s">
        <v>53</v>
      </c>
      <c r="T4" t="s">
        <v>53</v>
      </c>
      <c r="U4" t="s">
        <v>72</v>
      </c>
      <c r="V4" t="s">
        <v>376</v>
      </c>
      <c r="W4" t="s">
        <v>689</v>
      </c>
      <c r="X4" t="s">
        <v>1336</v>
      </c>
      <c r="Y4" t="s">
        <v>62</v>
      </c>
      <c r="Z4" s="157">
        <v>45784</v>
      </c>
      <c r="AA4" s="157">
        <v>45876</v>
      </c>
      <c r="AB4" t="s">
        <v>362</v>
      </c>
      <c r="AC4" t="s">
        <v>1337</v>
      </c>
      <c r="AD4" t="s">
        <v>62</v>
      </c>
      <c r="AE4" t="s">
        <v>341</v>
      </c>
      <c r="AF4" t="s">
        <v>362</v>
      </c>
      <c r="AG4" t="s">
        <v>358</v>
      </c>
      <c r="AH4" t="s">
        <v>362</v>
      </c>
      <c r="AI4">
        <v>3.5590000000000002</v>
      </c>
      <c r="AJ4">
        <v>3.3559999999999999</v>
      </c>
      <c r="AK4" t="s">
        <v>62</v>
      </c>
      <c r="AL4" t="s">
        <v>1318</v>
      </c>
      <c r="AM4" t="s">
        <v>1338</v>
      </c>
      <c r="AN4" s="180">
        <v>0.82649780877266588</v>
      </c>
      <c r="AO4" s="180">
        <v>4.7487655509601285E-3</v>
      </c>
    </row>
    <row r="5" spans="1:41">
      <c r="A5">
        <v>337</v>
      </c>
      <c r="B5">
        <v>9963</v>
      </c>
      <c r="C5" t="s">
        <v>353</v>
      </c>
      <c r="D5">
        <v>9941678</v>
      </c>
      <c r="E5" t="s">
        <v>1239</v>
      </c>
      <c r="F5">
        <v>3.9552</v>
      </c>
      <c r="G5" s="179">
        <v>-6185000</v>
      </c>
      <c r="H5" s="179">
        <v>-25182.36</v>
      </c>
      <c r="I5">
        <v>19.75</v>
      </c>
      <c r="J5">
        <v>2.36</v>
      </c>
      <c r="K5">
        <v>9941678</v>
      </c>
      <c r="L5" t="s">
        <v>1259</v>
      </c>
      <c r="M5">
        <v>1</v>
      </c>
      <c r="N5" s="179">
        <v>25294176</v>
      </c>
      <c r="O5" s="179">
        <v>24407.01</v>
      </c>
      <c r="P5">
        <v>20.190000000000001</v>
      </c>
      <c r="Q5">
        <v>2.29</v>
      </c>
      <c r="R5">
        <v>775.35400000000004</v>
      </c>
      <c r="S5" t="s">
        <v>53</v>
      </c>
      <c r="T5" t="s">
        <v>53</v>
      </c>
      <c r="U5" t="s">
        <v>72</v>
      </c>
      <c r="V5" t="s">
        <v>376</v>
      </c>
      <c r="W5" t="s">
        <v>689</v>
      </c>
      <c r="X5" t="s">
        <v>1339</v>
      </c>
      <c r="Y5" t="s">
        <v>62</v>
      </c>
      <c r="Z5" s="157">
        <v>45784</v>
      </c>
      <c r="AA5" s="157">
        <v>45876</v>
      </c>
      <c r="AB5" t="s">
        <v>362</v>
      </c>
      <c r="AC5" t="s">
        <v>1337</v>
      </c>
      <c r="AD5" t="s">
        <v>62</v>
      </c>
      <c r="AE5" t="s">
        <v>341</v>
      </c>
      <c r="AF5" t="s">
        <v>362</v>
      </c>
      <c r="AG5" t="s">
        <v>358</v>
      </c>
      <c r="AH5" t="s">
        <v>362</v>
      </c>
      <c r="AI5">
        <v>4.0709999999999997</v>
      </c>
      <c r="AJ5">
        <v>3.9460000000000002</v>
      </c>
      <c r="AK5" t="s">
        <v>62</v>
      </c>
      <c r="AL5" t="s">
        <v>1318</v>
      </c>
      <c r="AM5" t="s">
        <v>1338</v>
      </c>
      <c r="AN5" s="180">
        <v>0.10934686264900521</v>
      </c>
      <c r="AO5" s="180">
        <v>6.2826859181182857E-4</v>
      </c>
    </row>
    <row r="6" spans="1:41">
      <c r="A6">
        <v>337</v>
      </c>
      <c r="B6">
        <v>1477</v>
      </c>
      <c r="C6" t="s">
        <v>353</v>
      </c>
      <c r="D6">
        <v>9941677</v>
      </c>
      <c r="E6" t="s">
        <v>1215</v>
      </c>
      <c r="F6">
        <v>3.3719999999999999</v>
      </c>
      <c r="G6" s="179">
        <v>-1094000</v>
      </c>
      <c r="H6" s="179">
        <v>-3894.54</v>
      </c>
      <c r="I6" s="181">
        <v>98.986809434620696</v>
      </c>
      <c r="J6">
        <v>22.86</v>
      </c>
      <c r="K6">
        <v>9941677</v>
      </c>
      <c r="L6" t="s">
        <v>1259</v>
      </c>
      <c r="M6">
        <v>1</v>
      </c>
      <c r="N6" s="179">
        <v>3912144</v>
      </c>
      <c r="O6" s="179">
        <v>3671.48</v>
      </c>
      <c r="P6">
        <v>98.94</v>
      </c>
      <c r="Q6">
        <v>21.55</v>
      </c>
      <c r="R6">
        <v>223.05199999999999</v>
      </c>
      <c r="S6" t="s">
        <v>53</v>
      </c>
      <c r="T6" t="s">
        <v>53</v>
      </c>
      <c r="U6" t="s">
        <v>72</v>
      </c>
      <c r="V6" t="s">
        <v>376</v>
      </c>
      <c r="W6" t="s">
        <v>689</v>
      </c>
      <c r="X6" t="s">
        <v>1336</v>
      </c>
      <c r="Y6" t="s">
        <v>62</v>
      </c>
      <c r="Z6" s="157">
        <v>45784</v>
      </c>
      <c r="AA6" s="157">
        <v>45876</v>
      </c>
      <c r="AB6" t="s">
        <v>362</v>
      </c>
      <c r="AC6" t="s">
        <v>1337</v>
      </c>
      <c r="AD6" t="s">
        <v>62</v>
      </c>
      <c r="AE6" t="s">
        <v>341</v>
      </c>
      <c r="AF6" t="s">
        <v>362</v>
      </c>
      <c r="AG6" t="s">
        <v>358</v>
      </c>
      <c r="AH6" t="s">
        <v>362</v>
      </c>
      <c r="AI6">
        <v>3.5590000000000002</v>
      </c>
      <c r="AJ6">
        <v>3.3559999999999999</v>
      </c>
      <c r="AK6" t="s">
        <v>62</v>
      </c>
      <c r="AL6" t="s">
        <v>1318</v>
      </c>
      <c r="AM6" t="s">
        <v>1338</v>
      </c>
      <c r="AN6" s="180">
        <v>3.1456646135295502E-2</v>
      </c>
      <c r="AO6" s="180">
        <v>1.8073881857939985E-4</v>
      </c>
    </row>
    <row r="7" spans="1:41">
      <c r="A7">
        <v>337</v>
      </c>
      <c r="B7">
        <v>1477</v>
      </c>
      <c r="C7" t="s">
        <v>353</v>
      </c>
      <c r="D7">
        <v>9941678</v>
      </c>
      <c r="E7" t="s">
        <v>1239</v>
      </c>
      <c r="F7">
        <v>3.9552</v>
      </c>
      <c r="G7" s="179">
        <v>-95000</v>
      </c>
      <c r="H7">
        <v>-386.79399999999998</v>
      </c>
      <c r="I7" s="181">
        <v>9.8310722109555098</v>
      </c>
      <c r="J7">
        <v>2.27</v>
      </c>
      <c r="K7">
        <v>9941678</v>
      </c>
      <c r="L7" t="s">
        <v>1259</v>
      </c>
      <c r="M7">
        <v>1</v>
      </c>
      <c r="N7" s="179">
        <v>388512</v>
      </c>
      <c r="O7">
        <v>374.88499999999999</v>
      </c>
      <c r="P7">
        <v>10.1</v>
      </c>
      <c r="Q7">
        <v>2.2000000000000002</v>
      </c>
      <c r="R7">
        <v>11.909000000000001</v>
      </c>
      <c r="S7" t="s">
        <v>53</v>
      </c>
      <c r="T7" t="s">
        <v>53</v>
      </c>
      <c r="U7" t="s">
        <v>72</v>
      </c>
      <c r="V7" t="s">
        <v>376</v>
      </c>
      <c r="W7" t="s">
        <v>689</v>
      </c>
      <c r="X7" t="s">
        <v>1339</v>
      </c>
      <c r="Y7" t="s">
        <v>62</v>
      </c>
      <c r="Z7" s="157">
        <v>45784</v>
      </c>
      <c r="AA7" s="157">
        <v>45876</v>
      </c>
      <c r="AB7" t="s">
        <v>362</v>
      </c>
      <c r="AC7" t="s">
        <v>1337</v>
      </c>
      <c r="AD7" t="s">
        <v>62</v>
      </c>
      <c r="AE7" t="s">
        <v>341</v>
      </c>
      <c r="AF7" t="s">
        <v>362</v>
      </c>
      <c r="AG7" t="s">
        <v>358</v>
      </c>
      <c r="AH7" t="s">
        <v>362</v>
      </c>
      <c r="AI7">
        <v>4.0709999999999997</v>
      </c>
      <c r="AJ7">
        <v>3.9460000000000002</v>
      </c>
      <c r="AK7" t="s">
        <v>62</v>
      </c>
      <c r="AL7" t="s">
        <v>1318</v>
      </c>
      <c r="AM7" t="s">
        <v>1338</v>
      </c>
      <c r="AN7" s="180">
        <v>1.6795061188657093E-3</v>
      </c>
      <c r="AO7" s="180">
        <v>9.6498511130232991E-6</v>
      </c>
    </row>
    <row r="8" spans="1:41">
      <c r="A8">
        <v>337</v>
      </c>
      <c r="B8">
        <v>1477</v>
      </c>
      <c r="C8" t="s">
        <v>353</v>
      </c>
      <c r="D8">
        <v>9942531</v>
      </c>
      <c r="E8" t="s">
        <v>1215</v>
      </c>
      <c r="F8">
        <v>3.3719999999999999</v>
      </c>
      <c r="G8" s="179">
        <v>100000</v>
      </c>
      <c r="H8">
        <v>346.93099999999998</v>
      </c>
      <c r="I8" s="182">
        <v>-8.8178816455762199</v>
      </c>
      <c r="J8">
        <v>2.04</v>
      </c>
      <c r="K8">
        <v>9942531</v>
      </c>
      <c r="L8" t="s">
        <v>1259</v>
      </c>
      <c r="M8">
        <v>1</v>
      </c>
      <c r="N8" s="179">
        <v>-348500</v>
      </c>
      <c r="O8">
        <v>-335.60300000000001</v>
      </c>
      <c r="P8">
        <v>-9.0399999999999991</v>
      </c>
      <c r="Q8">
        <v>1.97</v>
      </c>
      <c r="R8">
        <v>-11.329000000000001</v>
      </c>
      <c r="S8" t="s">
        <v>53</v>
      </c>
      <c r="T8" t="s">
        <v>53</v>
      </c>
      <c r="U8" t="s">
        <v>72</v>
      </c>
      <c r="V8" t="s">
        <v>376</v>
      </c>
      <c r="W8" t="s">
        <v>689</v>
      </c>
      <c r="X8" t="s">
        <v>1336</v>
      </c>
      <c r="Y8" t="s">
        <v>62</v>
      </c>
      <c r="Z8" s="157">
        <v>45818</v>
      </c>
      <c r="AA8" s="157">
        <v>45876</v>
      </c>
      <c r="AB8" t="s">
        <v>362</v>
      </c>
      <c r="AC8" t="s">
        <v>1337</v>
      </c>
      <c r="AD8" t="s">
        <v>62</v>
      </c>
      <c r="AE8" t="s">
        <v>341</v>
      </c>
      <c r="AF8" t="s">
        <v>362</v>
      </c>
      <c r="AG8" t="s">
        <v>358</v>
      </c>
      <c r="AH8" t="s">
        <v>362</v>
      </c>
      <c r="AI8">
        <v>3.4689999999999999</v>
      </c>
      <c r="AJ8">
        <v>3.3559999999999999</v>
      </c>
      <c r="AK8" t="s">
        <v>62</v>
      </c>
      <c r="AL8" t="s">
        <v>1318</v>
      </c>
      <c r="AM8" t="s">
        <v>1338</v>
      </c>
      <c r="AN8" s="180">
        <v>-1.5977097002795885E-3</v>
      </c>
      <c r="AO8" s="180">
        <v>-9.1798776773399069E-6</v>
      </c>
    </row>
    <row r="9" spans="1:41">
      <c r="A9">
        <v>337</v>
      </c>
      <c r="B9">
        <v>9962</v>
      </c>
      <c r="C9" t="s">
        <v>353</v>
      </c>
      <c r="D9">
        <v>9941677</v>
      </c>
      <c r="E9" t="s">
        <v>1215</v>
      </c>
      <c r="F9">
        <v>3.3719999999999999</v>
      </c>
      <c r="G9" s="179">
        <v>-637000</v>
      </c>
      <c r="H9" s="179">
        <v>-2267.66</v>
      </c>
      <c r="I9">
        <v>85.3</v>
      </c>
      <c r="J9">
        <v>5.33</v>
      </c>
      <c r="K9">
        <v>9941677</v>
      </c>
      <c r="L9" t="s">
        <v>1259</v>
      </c>
      <c r="M9">
        <v>1</v>
      </c>
      <c r="N9" s="179">
        <v>2277912</v>
      </c>
      <c r="O9" s="179">
        <v>2137.7800000000002</v>
      </c>
      <c r="P9">
        <v>84.95</v>
      </c>
      <c r="Q9">
        <v>5.0199999999999996</v>
      </c>
      <c r="R9">
        <v>129.876</v>
      </c>
      <c r="S9" t="s">
        <v>53</v>
      </c>
      <c r="T9" t="s">
        <v>53</v>
      </c>
      <c r="U9" t="s">
        <v>72</v>
      </c>
      <c r="V9" t="s">
        <v>376</v>
      </c>
      <c r="W9" t="s">
        <v>689</v>
      </c>
      <c r="X9" t="s">
        <v>1336</v>
      </c>
      <c r="Y9" t="s">
        <v>62</v>
      </c>
      <c r="Z9" s="157">
        <v>45784</v>
      </c>
      <c r="AA9" s="157">
        <v>45876</v>
      </c>
      <c r="AB9" t="s">
        <v>362</v>
      </c>
      <c r="AC9" t="s">
        <v>1337</v>
      </c>
      <c r="AD9" t="s">
        <v>62</v>
      </c>
      <c r="AE9" t="s">
        <v>341</v>
      </c>
      <c r="AF9" t="s">
        <v>362</v>
      </c>
      <c r="AG9" t="s">
        <v>358</v>
      </c>
      <c r="AH9" t="s">
        <v>362</v>
      </c>
      <c r="AI9">
        <v>3.5590000000000002</v>
      </c>
      <c r="AJ9">
        <v>3.3559999999999999</v>
      </c>
      <c r="AK9" t="s">
        <v>62</v>
      </c>
      <c r="AL9" t="s">
        <v>1318</v>
      </c>
      <c r="AM9" t="s">
        <v>1338</v>
      </c>
      <c r="AN9" s="180">
        <v>1.8316192517743125E-2</v>
      </c>
      <c r="AO9" s="180">
        <v>1.0523839643589E-4</v>
      </c>
    </row>
    <row r="10" spans="1:41">
      <c r="A10">
        <v>337</v>
      </c>
      <c r="B10">
        <v>9962</v>
      </c>
      <c r="C10" t="s">
        <v>353</v>
      </c>
      <c r="D10">
        <v>9941678</v>
      </c>
      <c r="E10" t="s">
        <v>1239</v>
      </c>
      <c r="F10">
        <v>3.9552</v>
      </c>
      <c r="G10" s="179">
        <v>-96000</v>
      </c>
      <c r="H10">
        <v>-390.86599999999999</v>
      </c>
      <c r="I10">
        <v>14.7</v>
      </c>
      <c r="J10">
        <v>0.92</v>
      </c>
      <c r="K10">
        <v>9941678</v>
      </c>
      <c r="L10" t="s">
        <v>1259</v>
      </c>
      <c r="M10">
        <v>1</v>
      </c>
      <c r="N10" s="179">
        <v>392601.59999999998</v>
      </c>
      <c r="O10">
        <v>378.83100000000002</v>
      </c>
      <c r="P10">
        <v>15.05</v>
      </c>
      <c r="Q10">
        <v>0.89</v>
      </c>
      <c r="R10">
        <v>12.035</v>
      </c>
      <c r="S10" t="s">
        <v>53</v>
      </c>
      <c r="T10" t="s">
        <v>53</v>
      </c>
      <c r="U10" t="s">
        <v>72</v>
      </c>
      <c r="V10" t="s">
        <v>376</v>
      </c>
      <c r="W10" t="s">
        <v>689</v>
      </c>
      <c r="X10" t="s">
        <v>1339</v>
      </c>
      <c r="Y10" t="s">
        <v>62</v>
      </c>
      <c r="Z10" s="157">
        <v>45784</v>
      </c>
      <c r="AA10" s="157">
        <v>45876</v>
      </c>
      <c r="AB10" t="s">
        <v>362</v>
      </c>
      <c r="AC10" t="s">
        <v>1337</v>
      </c>
      <c r="AD10" t="s">
        <v>62</v>
      </c>
      <c r="AE10" t="s">
        <v>341</v>
      </c>
      <c r="AF10" t="s">
        <v>362</v>
      </c>
      <c r="AG10" t="s">
        <v>358</v>
      </c>
      <c r="AH10" t="s">
        <v>362</v>
      </c>
      <c r="AI10">
        <v>4.0709999999999997</v>
      </c>
      <c r="AJ10">
        <v>3.9460000000000002</v>
      </c>
      <c r="AK10" t="s">
        <v>62</v>
      </c>
      <c r="AL10" t="s">
        <v>1318</v>
      </c>
      <c r="AM10" t="s">
        <v>1338</v>
      </c>
      <c r="AN10" s="180">
        <v>1.6972756856620044E-3</v>
      </c>
      <c r="AO10" s="180">
        <v>9.7519487904303808E-6</v>
      </c>
    </row>
    <row r="11" spans="1:41">
      <c r="A11">
        <v>337</v>
      </c>
      <c r="B11">
        <v>9964</v>
      </c>
      <c r="C11" t="s">
        <v>353</v>
      </c>
      <c r="D11">
        <v>9941677</v>
      </c>
      <c r="E11" t="s">
        <v>1215</v>
      </c>
      <c r="F11">
        <v>3.3719999999999999</v>
      </c>
      <c r="G11" s="179">
        <v>-351000</v>
      </c>
      <c r="H11" s="179">
        <v>-1249.53</v>
      </c>
      <c r="I11">
        <v>70.900000000000006</v>
      </c>
      <c r="J11">
        <v>3.23</v>
      </c>
      <c r="K11">
        <v>9941677</v>
      </c>
      <c r="L11" t="s">
        <v>1259</v>
      </c>
      <c r="M11">
        <v>1</v>
      </c>
      <c r="N11" s="179">
        <v>1255176</v>
      </c>
      <c r="O11" s="179">
        <v>1177.96</v>
      </c>
      <c r="P11">
        <v>70.319999999999993</v>
      </c>
      <c r="Q11">
        <v>3.04</v>
      </c>
      <c r="R11">
        <v>71.563999999999993</v>
      </c>
      <c r="S11" t="s">
        <v>53</v>
      </c>
      <c r="T11" t="s">
        <v>53</v>
      </c>
      <c r="U11" t="s">
        <v>72</v>
      </c>
      <c r="V11" t="s">
        <v>376</v>
      </c>
      <c r="W11" t="s">
        <v>689</v>
      </c>
      <c r="X11" t="s">
        <v>1336</v>
      </c>
      <c r="Y11" t="s">
        <v>62</v>
      </c>
      <c r="Z11" s="157">
        <v>45784</v>
      </c>
      <c r="AA11" s="157">
        <v>45876</v>
      </c>
      <c r="AB11" t="s">
        <v>362</v>
      </c>
      <c r="AC11" t="s">
        <v>1337</v>
      </c>
      <c r="AD11" t="s">
        <v>62</v>
      </c>
      <c r="AE11" t="s">
        <v>341</v>
      </c>
      <c r="AF11" t="s">
        <v>362</v>
      </c>
      <c r="AG11" t="s">
        <v>358</v>
      </c>
      <c r="AH11" t="s">
        <v>362</v>
      </c>
      <c r="AI11">
        <v>3.5590000000000002</v>
      </c>
      <c r="AJ11">
        <v>3.3559999999999999</v>
      </c>
      <c r="AK11" t="s">
        <v>62</v>
      </c>
      <c r="AL11" t="s">
        <v>1318</v>
      </c>
      <c r="AM11" t="s">
        <v>1338</v>
      </c>
      <c r="AN11" s="180">
        <v>1.0092549827064036E-2</v>
      </c>
      <c r="AO11" s="180">
        <v>5.7988239571114223E-5</v>
      </c>
    </row>
    <row r="12" spans="1:41">
      <c r="A12">
        <v>337</v>
      </c>
      <c r="B12">
        <v>9964</v>
      </c>
      <c r="C12" t="s">
        <v>353</v>
      </c>
      <c r="D12">
        <v>9941678</v>
      </c>
      <c r="E12" t="s">
        <v>1239</v>
      </c>
      <c r="F12">
        <v>3.9552</v>
      </c>
      <c r="G12" s="179">
        <v>-126000</v>
      </c>
      <c r="H12">
        <v>-513.01099999999997</v>
      </c>
      <c r="I12">
        <v>29.1</v>
      </c>
      <c r="J12">
        <v>1.32</v>
      </c>
      <c r="K12">
        <v>9941678</v>
      </c>
      <c r="L12" t="s">
        <v>1259</v>
      </c>
      <c r="M12">
        <v>1</v>
      </c>
      <c r="N12" s="179">
        <v>515289.59999999998</v>
      </c>
      <c r="O12">
        <v>497.21600000000001</v>
      </c>
      <c r="P12">
        <v>29.68</v>
      </c>
      <c r="Q12">
        <v>1.28</v>
      </c>
      <c r="R12">
        <v>15.795</v>
      </c>
      <c r="S12" t="s">
        <v>53</v>
      </c>
      <c r="T12" t="s">
        <v>53</v>
      </c>
      <c r="U12" t="s">
        <v>72</v>
      </c>
      <c r="V12" t="s">
        <v>376</v>
      </c>
      <c r="W12" t="s">
        <v>689</v>
      </c>
      <c r="X12" t="s">
        <v>1339</v>
      </c>
      <c r="Y12" t="s">
        <v>62</v>
      </c>
      <c r="Z12" s="157">
        <v>45784</v>
      </c>
      <c r="AA12" s="157">
        <v>45876</v>
      </c>
      <c r="AB12" t="s">
        <v>362</v>
      </c>
      <c r="AC12" t="s">
        <v>1337</v>
      </c>
      <c r="AD12" t="s">
        <v>62</v>
      </c>
      <c r="AE12" t="s">
        <v>341</v>
      </c>
      <c r="AF12" t="s">
        <v>362</v>
      </c>
      <c r="AG12" t="s">
        <v>358</v>
      </c>
      <c r="AH12" t="s">
        <v>362</v>
      </c>
      <c r="AI12">
        <v>4.0709999999999997</v>
      </c>
      <c r="AJ12">
        <v>3.9460000000000002</v>
      </c>
      <c r="AK12" t="s">
        <v>62</v>
      </c>
      <c r="AL12" t="s">
        <v>1318</v>
      </c>
      <c r="AM12" t="s">
        <v>1338</v>
      </c>
      <c r="AN12" s="180">
        <v>2.2275421233927178E-3</v>
      </c>
      <c r="AO12" s="180">
        <v>1.2798673132102023E-5</v>
      </c>
    </row>
    <row r="13" spans="1:41" hidden="1">
      <c r="A13" s="11"/>
      <c r="B13" s="11"/>
      <c r="C13" s="11"/>
      <c r="D13" s="2"/>
      <c r="E13" s="11"/>
      <c r="F13" s="11"/>
      <c r="G13" s="11"/>
      <c r="H13" s="14"/>
      <c r="I13"/>
      <c r="J13" s="12"/>
      <c r="K13"/>
      <c r="L13" s="11"/>
      <c r="M13"/>
      <c r="N13"/>
      <c r="O13"/>
      <c r="P13"/>
      <c r="Q13"/>
      <c r="R13" s="13"/>
      <c r="S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M13"/>
      <c r="AN13" s="23"/>
      <c r="AO13" s="23"/>
    </row>
    <row r="14" spans="1:41" hidden="1">
      <c r="A14" s="11"/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3"/>
      <c r="AO14" s="23"/>
    </row>
    <row r="15" spans="1:41" hidden="1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3"/>
      <c r="AO15" s="23"/>
    </row>
    <row r="16" spans="1:41" hidden="1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3"/>
      <c r="AO16" s="23"/>
    </row>
    <row r="17" spans="1:41" hidden="1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3"/>
      <c r="AO17" s="23"/>
    </row>
    <row r="18" spans="1:41" hidden="1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3"/>
      <c r="AO18" s="23"/>
    </row>
    <row r="19" spans="1:41" hidden="1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3"/>
      <c r="AO19" s="23"/>
    </row>
    <row r="20" spans="1:41" hidden="1">
      <c r="C20" s="11"/>
      <c r="E20" s="11"/>
      <c r="S20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1" spans="1:41" customFormat="1" hidden="1"/>
    <row r="22" spans="1:41" hidden="1">
      <c r="C22" s="11"/>
      <c r="E22" s="11"/>
      <c r="S22"/>
      <c r="T22" s="21"/>
      <c r="AE22" s="10"/>
      <c r="AF22" s="10"/>
    </row>
    <row r="23" spans="1:41" hidden="1">
      <c r="C23" s="11"/>
      <c r="E23" s="11"/>
      <c r="S23"/>
      <c r="T23" s="21"/>
      <c r="AE23" s="10"/>
      <c r="AF23" s="10"/>
    </row>
    <row r="24" spans="1:41" hidden="1">
      <c r="C24" s="11"/>
      <c r="E24" s="11"/>
      <c r="S24"/>
      <c r="T24" s="21"/>
      <c r="AE24" s="10"/>
      <c r="AF24" s="10"/>
    </row>
    <row r="25" spans="1:41" hidden="1">
      <c r="C25" s="11"/>
      <c r="E25" s="11"/>
      <c r="S25"/>
      <c r="T25" s="21"/>
      <c r="AE25" s="10"/>
      <c r="AF25" s="10"/>
    </row>
    <row r="26" spans="1:41" hidden="1">
      <c r="C26" s="11"/>
      <c r="E26" s="11"/>
      <c r="T26" s="21"/>
      <c r="AE26" s="10"/>
      <c r="AF26" s="10"/>
    </row>
    <row r="27" spans="1:41" hidden="1">
      <c r="C27" s="11"/>
      <c r="E27" s="11"/>
      <c r="T27" s="21"/>
    </row>
    <row r="28" spans="1:41" hidden="1">
      <c r="C28" s="11"/>
      <c r="E28" s="11"/>
      <c r="T28" s="21"/>
    </row>
    <row r="29" spans="1:41" hidden="1">
      <c r="C29" s="11"/>
      <c r="E29" s="11"/>
      <c r="T29" s="21"/>
    </row>
    <row r="30" spans="1:41" hidden="1">
      <c r="C30" s="11"/>
      <c r="E30" s="11"/>
      <c r="T30" s="21"/>
    </row>
    <row r="31" spans="1:41" hidden="1">
      <c r="C31" s="11"/>
      <c r="E31" s="11"/>
      <c r="T31" s="21"/>
    </row>
    <row r="32" spans="1:41" hidden="1">
      <c r="C32" s="11"/>
      <c r="E32" s="11"/>
      <c r="T32" s="21"/>
    </row>
    <row r="33" spans="3:20" hidden="1">
      <c r="C33" s="11"/>
      <c r="T33" s="21"/>
    </row>
    <row r="34" spans="3:20" hidden="1">
      <c r="C34" s="11"/>
      <c r="T34" s="21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13:AE20" xr:uid="{00000000-0002-0000-1600-00000D000000}">
      <formula1>#REF!</formula1>
    </dataValidation>
    <dataValidation type="list" allowBlank="1" showInputMessage="1" showErrorMessage="1" sqref="AE3:AE12" xr:uid="{21A05D5A-E27D-4541-AFFE-3BFE1320084E}">
      <formula1>$C$533:$C$534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C13:C20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topLeftCell="AP1" workbookViewId="0">
      <selection activeCell="BA13" sqref="BA13"/>
    </sheetView>
  </sheetViews>
  <sheetFormatPr defaultColWidth="0" defaultRowHeight="14.25" zeroHeight="1"/>
  <cols>
    <col min="1" max="27" width="11.625" style="3" customWidth="1"/>
    <col min="28" max="28" width="11.625" style="5" customWidth="1"/>
    <col min="29" max="42" width="11.625" style="3" customWidth="1"/>
    <col min="43" max="43" width="15.5" style="3" customWidth="1"/>
    <col min="44" max="49" width="11.625" style="3" customWidth="1"/>
    <col min="50" max="50" width="11.625" style="5" customWidth="1"/>
    <col min="51" max="53" width="11.625" style="3" customWidth="1"/>
    <col min="54" max="16384" width="0" style="3" hidden="1"/>
  </cols>
  <sheetData>
    <row r="1" spans="1:53" ht="51">
      <c r="A1" s="22" t="s">
        <v>649</v>
      </c>
      <c r="B1" s="22" t="s">
        <v>0</v>
      </c>
      <c r="C1" s="22" t="s">
        <v>723</v>
      </c>
      <c r="D1" s="22" t="s">
        <v>724</v>
      </c>
      <c r="E1" s="22" t="s">
        <v>725</v>
      </c>
      <c r="F1" s="22" t="s">
        <v>726</v>
      </c>
      <c r="G1" s="22" t="s">
        <v>1</v>
      </c>
      <c r="H1" s="22" t="s">
        <v>914</v>
      </c>
      <c r="I1" s="22" t="s">
        <v>602</v>
      </c>
      <c r="J1" s="22" t="s">
        <v>603</v>
      </c>
      <c r="K1" s="22" t="s">
        <v>9</v>
      </c>
      <c r="L1" s="22" t="s">
        <v>604</v>
      </c>
      <c r="M1" s="22" t="s">
        <v>297</v>
      </c>
      <c r="N1" s="22" t="s">
        <v>590</v>
      </c>
      <c r="O1" s="22" t="s">
        <v>730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439</v>
      </c>
      <c r="V1" s="22" t="s">
        <v>14</v>
      </c>
      <c r="W1" s="22" t="s">
        <v>282</v>
      </c>
      <c r="X1" s="22" t="s">
        <v>309</v>
      </c>
      <c r="Y1" s="22" t="s">
        <v>671</v>
      </c>
      <c r="Z1" s="22" t="s">
        <v>619</v>
      </c>
      <c r="AA1" s="22" t="s">
        <v>420</v>
      </c>
      <c r="AB1" s="22" t="s">
        <v>923</v>
      </c>
      <c r="AC1" s="22" t="s">
        <v>20</v>
      </c>
      <c r="AD1" s="22" t="s">
        <v>766</v>
      </c>
      <c r="AE1" s="22" t="s">
        <v>656</v>
      </c>
      <c r="AF1" s="22" t="s">
        <v>657</v>
      </c>
      <c r="AG1" s="22" t="s">
        <v>848</v>
      </c>
      <c r="AH1" s="22" t="s">
        <v>419</v>
      </c>
      <c r="AI1" s="22" t="s">
        <v>21</v>
      </c>
      <c r="AJ1" s="22" t="s">
        <v>672</v>
      </c>
      <c r="AK1" s="22" t="s">
        <v>915</v>
      </c>
      <c r="AL1" s="22" t="s">
        <v>729</v>
      </c>
      <c r="AM1" s="22" t="s">
        <v>372</v>
      </c>
      <c r="AN1" s="22" t="s">
        <v>16</v>
      </c>
      <c r="AO1" s="22" t="s">
        <v>1145</v>
      </c>
      <c r="AP1" s="22" t="s">
        <v>620</v>
      </c>
      <c r="AQ1" s="22" t="s">
        <v>946</v>
      </c>
      <c r="AR1" s="22" t="s">
        <v>727</v>
      </c>
      <c r="AS1" s="22" t="s">
        <v>11</v>
      </c>
      <c r="AT1" s="22" t="s">
        <v>1151</v>
      </c>
      <c r="AU1" s="22" t="s">
        <v>785</v>
      </c>
      <c r="AV1" s="22" t="s">
        <v>1152</v>
      </c>
      <c r="AW1" s="22" t="s">
        <v>786</v>
      </c>
      <c r="AX1" s="22" t="s">
        <v>667</v>
      </c>
      <c r="AY1" s="22" t="s">
        <v>26</v>
      </c>
      <c r="AZ1" s="22" t="s">
        <v>19</v>
      </c>
      <c r="BA1" s="22" t="s">
        <v>30</v>
      </c>
    </row>
    <row r="2" spans="1:53">
      <c r="A2" s="167">
        <v>337</v>
      </c>
      <c r="B2" s="167">
        <v>9963</v>
      </c>
      <c r="C2" s="167" t="s">
        <v>1328</v>
      </c>
      <c r="D2" s="167" t="s">
        <v>78</v>
      </c>
      <c r="E2" s="167" t="s">
        <v>1329</v>
      </c>
      <c r="F2" s="167" t="s">
        <v>1330</v>
      </c>
      <c r="G2" s="167" t="s">
        <v>626</v>
      </c>
      <c r="H2" s="9"/>
      <c r="I2" s="168" t="s">
        <v>53</v>
      </c>
      <c r="J2" s="168" t="s">
        <v>53</v>
      </c>
      <c r="K2" s="167" t="s">
        <v>257</v>
      </c>
      <c r="L2" s="167" t="s">
        <v>62</v>
      </c>
      <c r="M2" s="167" t="s">
        <v>62</v>
      </c>
      <c r="N2" s="167"/>
      <c r="O2" s="169" t="s">
        <v>1325</v>
      </c>
      <c r="P2" s="167" t="s">
        <v>1331</v>
      </c>
      <c r="Q2" s="167" t="s">
        <v>78</v>
      </c>
      <c r="R2" s="167" t="s">
        <v>777</v>
      </c>
      <c r="S2" s="168" t="s">
        <v>1259</v>
      </c>
      <c r="T2" s="172">
        <v>2</v>
      </c>
      <c r="U2" s="167" t="s">
        <v>1332</v>
      </c>
      <c r="V2" s="174">
        <v>5.5E-2</v>
      </c>
      <c r="W2" s="167" t="s">
        <v>283</v>
      </c>
      <c r="X2" s="167" t="s">
        <v>684</v>
      </c>
      <c r="Y2" s="175">
        <v>-5.0000000000000001E-3</v>
      </c>
      <c r="Z2" s="173">
        <v>5.0799999999999998E-2</v>
      </c>
      <c r="AA2" s="167" t="s">
        <v>1333</v>
      </c>
      <c r="AB2" s="168" t="s">
        <v>618</v>
      </c>
      <c r="AC2" s="167" t="s">
        <v>91</v>
      </c>
      <c r="AD2" s="167"/>
      <c r="AE2" s="173">
        <v>0</v>
      </c>
      <c r="AF2" s="167"/>
      <c r="AG2" s="167" t="s">
        <v>55</v>
      </c>
      <c r="AH2" s="167" t="s">
        <v>421</v>
      </c>
      <c r="AI2" t="s">
        <v>1334</v>
      </c>
      <c r="AJ2" s="9" t="s">
        <v>62</v>
      </c>
      <c r="AK2" s="167" t="s">
        <v>773</v>
      </c>
      <c r="AL2" s="19" t="s">
        <v>1335</v>
      </c>
      <c r="AM2" s="167" t="s">
        <v>305</v>
      </c>
      <c r="AN2" s="176" t="s">
        <v>1319</v>
      </c>
      <c r="AO2" s="9"/>
      <c r="AP2" s="177">
        <v>0</v>
      </c>
      <c r="AQ2" s="170">
        <v>42203732.710000001</v>
      </c>
      <c r="AR2" s="178">
        <v>100.09699999999999</v>
      </c>
      <c r="AS2" s="171">
        <v>1</v>
      </c>
      <c r="AT2" s="172">
        <v>42244.724000000002</v>
      </c>
      <c r="AU2" s="172">
        <v>42244.724000000002</v>
      </c>
      <c r="AV2" s="167"/>
      <c r="AW2" s="167"/>
      <c r="AX2" s="168" t="s">
        <v>62</v>
      </c>
      <c r="AY2" s="167" t="s">
        <v>17</v>
      </c>
      <c r="AZ2" s="173">
        <v>1</v>
      </c>
      <c r="BA2" s="173">
        <v>3.7968293578954898E-2</v>
      </c>
    </row>
    <row r="3" spans="1:53">
      <c r="A3" s="9">
        <v>337</v>
      </c>
      <c r="B3" s="9">
        <v>1405</v>
      </c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Q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A4" s="9">
        <v>337</v>
      </c>
      <c r="B4" s="9">
        <v>1477</v>
      </c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Q4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A5" s="9">
        <v>337</v>
      </c>
      <c r="B5" s="9">
        <v>9962</v>
      </c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Q5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A6" s="9">
        <v>337</v>
      </c>
      <c r="B6" s="9">
        <v>9964</v>
      </c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Q6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A7" s="9">
        <v>337</v>
      </c>
      <c r="B7" s="9">
        <v>15372</v>
      </c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Q7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 hidden="1">
      <c r="A8"/>
      <c r="B8"/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Q8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 hidden="1">
      <c r="A9"/>
      <c r="B9"/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Q9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 hidden="1">
      <c r="A10"/>
      <c r="B10"/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Q10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 hidden="1">
      <c r="A11"/>
      <c r="B11"/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Q11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 hidden="1">
      <c r="A12"/>
      <c r="B12"/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Q12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 hidden="1">
      <c r="A13"/>
      <c r="B13"/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Q1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 hidden="1">
      <c r="A14"/>
      <c r="B14"/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Q14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 hidden="1">
      <c r="A15"/>
      <c r="B15"/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Q15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 hidden="1">
      <c r="A16"/>
      <c r="B16"/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Q16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1:53" hidden="1">
      <c r="A17"/>
      <c r="B17"/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Q17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1:53" hidden="1">
      <c r="A18"/>
      <c r="B18"/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Q18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1:53" hidden="1">
      <c r="A19"/>
      <c r="B19"/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Q19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1:53" hidden="1">
      <c r="A20"/>
      <c r="B20"/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Q20"/>
      <c r="AX20" s="21"/>
      <c r="AY20" s="23"/>
    </row>
    <row r="21" spans="1:53" s="42" customFormat="1" hidden="1">
      <c r="D21" s="45"/>
      <c r="I21"/>
      <c r="S21" s="32"/>
      <c r="AB21" s="45"/>
      <c r="AQ21" s="41"/>
      <c r="AX21" s="45"/>
    </row>
    <row r="22" spans="1:53" hidden="1">
      <c r="D22" s="5"/>
      <c r="S22" s="21"/>
      <c r="AQ22"/>
    </row>
    <row r="23" spans="1:53" hidden="1">
      <c r="D23" s="5"/>
      <c r="AQ23"/>
    </row>
    <row r="24" spans="1:53" hidden="1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G3:G20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16384" width="0" style="3" hidden="1"/>
  </cols>
  <sheetData>
    <row r="1" spans="1:30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604</v>
      </c>
      <c r="M1" s="22" t="s">
        <v>10</v>
      </c>
      <c r="N1" s="22" t="s">
        <v>12</v>
      </c>
      <c r="O1" s="22" t="s">
        <v>6</v>
      </c>
      <c r="P1" s="22" t="s">
        <v>8</v>
      </c>
      <c r="Q1" s="22" t="s">
        <v>1144</v>
      </c>
      <c r="R1" s="22" t="s">
        <v>396</v>
      </c>
      <c r="S1" s="22" t="s">
        <v>13</v>
      </c>
      <c r="T1" s="22" t="s">
        <v>14</v>
      </c>
      <c r="U1" s="22" t="s">
        <v>619</v>
      </c>
      <c r="V1" s="22" t="s">
        <v>915</v>
      </c>
      <c r="W1" s="22" t="s">
        <v>372</v>
      </c>
      <c r="X1" s="22" t="s">
        <v>16</v>
      </c>
      <c r="Y1" s="22" t="s">
        <v>771</v>
      </c>
      <c r="Z1" s="22" t="s">
        <v>11</v>
      </c>
      <c r="AA1" s="22" t="s">
        <v>15</v>
      </c>
      <c r="AB1" s="22" t="s">
        <v>1151</v>
      </c>
      <c r="AC1" s="22" t="s">
        <v>19</v>
      </c>
      <c r="AD1" s="22" t="s">
        <v>30</v>
      </c>
    </row>
    <row r="2" spans="1:30">
      <c r="A2" s="9">
        <v>337</v>
      </c>
      <c r="B2" s="9">
        <v>1405</v>
      </c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9">
        <v>337</v>
      </c>
      <c r="B3" s="9">
        <v>1477</v>
      </c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9">
        <v>337</v>
      </c>
      <c r="B4" s="9">
        <v>9962</v>
      </c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9">
        <v>337</v>
      </c>
      <c r="B5" s="9">
        <v>9963</v>
      </c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9">
        <v>337</v>
      </c>
      <c r="B6" s="9">
        <v>9964</v>
      </c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9">
        <v>337</v>
      </c>
      <c r="B7" s="9">
        <v>15372</v>
      </c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 hidden="1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 hidden="1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 hidden="1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  <row r="21" spans="1:30" customFormat="1" hidden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:B7"/>
    </sheetView>
  </sheetViews>
  <sheetFormatPr defaultColWidth="0" defaultRowHeight="14.25" zeroHeight="1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16384" width="0" style="3" hidden="1"/>
  </cols>
  <sheetData>
    <row r="1" spans="1:22" ht="51">
      <c r="A1" s="22" t="s">
        <v>649</v>
      </c>
      <c r="B1" s="22" t="s">
        <v>0</v>
      </c>
      <c r="C1" s="22" t="s">
        <v>721</v>
      </c>
      <c r="D1" s="22" t="s">
        <v>739</v>
      </c>
      <c r="E1" s="22" t="s">
        <v>740</v>
      </c>
      <c r="F1" s="22" t="s">
        <v>1</v>
      </c>
      <c r="G1" s="22" t="s">
        <v>623</v>
      </c>
      <c r="H1" s="22" t="s">
        <v>602</v>
      </c>
      <c r="I1" s="22" t="s">
        <v>603</v>
      </c>
      <c r="J1" s="22" t="s">
        <v>604</v>
      </c>
      <c r="K1" s="22" t="s">
        <v>770</v>
      </c>
      <c r="L1" s="22" t="s">
        <v>8</v>
      </c>
      <c r="M1" s="22" t="s">
        <v>396</v>
      </c>
      <c r="N1" s="22" t="s">
        <v>13</v>
      </c>
      <c r="O1" s="22" t="s">
        <v>14</v>
      </c>
      <c r="P1" s="22" t="s">
        <v>619</v>
      </c>
      <c r="Q1" s="22" t="s">
        <v>920</v>
      </c>
      <c r="R1" s="22" t="s">
        <v>11</v>
      </c>
      <c r="S1" s="22" t="s">
        <v>793</v>
      </c>
      <c r="T1" s="22" t="s">
        <v>1151</v>
      </c>
      <c r="U1" s="22" t="s">
        <v>19</v>
      </c>
      <c r="V1" s="22" t="s">
        <v>30</v>
      </c>
    </row>
    <row r="2" spans="1:22">
      <c r="A2" s="9">
        <v>337</v>
      </c>
      <c r="B2" s="9">
        <v>1405</v>
      </c>
      <c r="C2" s="24"/>
      <c r="D2" s="42"/>
      <c r="E2" s="32"/>
      <c r="F2" s="23"/>
      <c r="G2" s="23"/>
      <c r="H2" s="32"/>
      <c r="I2" s="32"/>
      <c r="J2" s="23"/>
      <c r="K2" s="24"/>
      <c r="M2" s="21"/>
      <c r="N2" s="23"/>
      <c r="O2" s="24"/>
      <c r="P2" s="23"/>
      <c r="Q2"/>
      <c r="R2" s="23"/>
      <c r="S2" s="24"/>
      <c r="T2" s="23"/>
      <c r="U2" s="23"/>
      <c r="V2" s="23"/>
    </row>
    <row r="3" spans="1:22">
      <c r="A3" s="9">
        <v>337</v>
      </c>
      <c r="B3" s="9">
        <v>1477</v>
      </c>
      <c r="C3" s="24"/>
      <c r="E3" s="21"/>
      <c r="F3" s="23"/>
      <c r="G3" s="23"/>
      <c r="H3" s="32"/>
      <c r="I3" s="32"/>
      <c r="J3" s="23"/>
      <c r="K3" s="23"/>
      <c r="M3" s="21"/>
      <c r="N3" s="23"/>
      <c r="O3" s="23"/>
      <c r="P3" s="23"/>
      <c r="R3" s="23"/>
      <c r="S3"/>
      <c r="T3" s="23"/>
      <c r="U3" s="23"/>
      <c r="V3" s="23"/>
    </row>
    <row r="4" spans="1:22">
      <c r="A4" s="9">
        <v>337</v>
      </c>
      <c r="B4" s="9">
        <v>9962</v>
      </c>
      <c r="C4" s="24"/>
      <c r="E4" s="21"/>
      <c r="F4" s="23"/>
      <c r="G4" s="23"/>
      <c r="H4" s="32"/>
      <c r="I4" s="32"/>
      <c r="J4" s="23"/>
      <c r="K4" s="23"/>
      <c r="M4" s="21"/>
      <c r="N4" s="23"/>
      <c r="O4" s="23"/>
      <c r="P4" s="23"/>
      <c r="R4" s="23"/>
      <c r="S4"/>
      <c r="T4" s="23"/>
      <c r="U4" s="23"/>
      <c r="V4" s="23"/>
    </row>
    <row r="5" spans="1:22">
      <c r="A5" s="9">
        <v>337</v>
      </c>
      <c r="B5" s="9">
        <v>9963</v>
      </c>
      <c r="C5" s="24"/>
      <c r="E5" s="21"/>
      <c r="F5" s="23"/>
      <c r="G5" s="23"/>
      <c r="H5" s="32"/>
      <c r="I5" s="32"/>
      <c r="J5" s="23"/>
      <c r="K5" s="23"/>
      <c r="M5" s="21"/>
      <c r="N5" s="23"/>
      <c r="O5" s="23"/>
      <c r="P5" s="23"/>
      <c r="R5" s="23"/>
      <c r="S5"/>
      <c r="T5" s="23"/>
      <c r="U5" s="23"/>
      <c r="V5" s="23"/>
    </row>
    <row r="6" spans="1:22">
      <c r="A6" s="9">
        <v>337</v>
      </c>
      <c r="B6" s="9">
        <v>9964</v>
      </c>
      <c r="C6" s="24"/>
      <c r="E6" s="21"/>
      <c r="F6" s="23"/>
      <c r="G6" s="23"/>
      <c r="H6" s="32"/>
      <c r="I6" s="32"/>
      <c r="J6" s="23"/>
      <c r="K6" s="23"/>
      <c r="M6" s="21"/>
      <c r="N6" s="23"/>
      <c r="O6" s="23"/>
      <c r="P6" s="23"/>
      <c r="R6" s="23"/>
      <c r="S6"/>
      <c r="T6" s="23"/>
      <c r="U6" s="23"/>
      <c r="V6" s="23"/>
    </row>
    <row r="7" spans="1:22">
      <c r="A7" s="9">
        <v>337</v>
      </c>
      <c r="B7" s="9">
        <v>15372</v>
      </c>
      <c r="C7" s="24"/>
      <c r="E7" s="21"/>
      <c r="F7" s="23"/>
      <c r="G7" s="23"/>
      <c r="H7" s="32"/>
      <c r="I7" s="32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 hidden="1">
      <c r="A8" s="23"/>
      <c r="B8" s="23"/>
      <c r="C8" s="24"/>
      <c r="E8" s="21"/>
      <c r="F8" s="23"/>
      <c r="G8" s="23"/>
      <c r="H8" s="32"/>
      <c r="I8" s="32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 hidden="1">
      <c r="A9" s="23"/>
      <c r="B9" s="23"/>
      <c r="C9" s="24"/>
      <c r="E9" s="21"/>
      <c r="F9" s="23"/>
      <c r="G9" s="23"/>
      <c r="H9" s="32"/>
      <c r="I9" s="32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 hidden="1">
      <c r="A10" s="23"/>
      <c r="B10" s="23"/>
      <c r="C10" s="24"/>
      <c r="E10" s="21"/>
      <c r="F10" s="23"/>
      <c r="G10" s="23"/>
      <c r="H10" s="32"/>
      <c r="I10" s="32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 hidden="1">
      <c r="A11" s="23"/>
      <c r="B11" s="23"/>
      <c r="C11" s="24"/>
      <c r="E11" s="21"/>
      <c r="F11" s="23"/>
      <c r="G11" s="23"/>
      <c r="H11" s="32"/>
      <c r="I11" s="32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 hidden="1">
      <c r="A12" s="23"/>
      <c r="B12" s="23"/>
      <c r="C12" s="24"/>
      <c r="E12" s="21"/>
      <c r="F12" s="23"/>
      <c r="G12" s="23"/>
      <c r="H12" s="32"/>
      <c r="I12" s="32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 hidden="1">
      <c r="A13" s="23"/>
      <c r="B13" s="23"/>
      <c r="C13" s="24"/>
      <c r="E13" s="21"/>
      <c r="F13" s="23"/>
      <c r="G13" s="23"/>
      <c r="H13" s="32"/>
      <c r="I13" s="32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 hidden="1">
      <c r="A14" s="23"/>
      <c r="B14" s="23"/>
      <c r="C14" s="24"/>
      <c r="E14" s="21"/>
      <c r="F14" s="23"/>
      <c r="G14" s="23"/>
      <c r="H14" s="32"/>
      <c r="I14" s="32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 hidden="1">
      <c r="A15" s="23"/>
      <c r="B15" s="23"/>
      <c r="C15" s="24"/>
      <c r="E15" s="21"/>
      <c r="F15" s="23"/>
      <c r="G15" s="23"/>
      <c r="H15" s="32"/>
      <c r="I15" s="32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 hidden="1">
      <c r="A16" s="23"/>
      <c r="B16" s="23"/>
      <c r="C16" s="24"/>
      <c r="E16" s="21"/>
      <c r="F16" s="23"/>
      <c r="G16" s="23"/>
      <c r="H16" s="32"/>
      <c r="I16" s="32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 hidden="1">
      <c r="A17" s="23"/>
      <c r="B17" s="23"/>
      <c r="C17" s="24"/>
      <c r="E17" s="21"/>
      <c r="F17" s="23"/>
      <c r="G17" s="23"/>
      <c r="H17" s="32"/>
      <c r="I17" s="32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 hidden="1">
      <c r="A18" s="23"/>
      <c r="B18" s="23"/>
      <c r="C18" s="24"/>
      <c r="E18" s="21"/>
      <c r="F18" s="23"/>
      <c r="G18" s="23"/>
      <c r="H18" s="32"/>
      <c r="I18" s="32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 hidden="1">
      <c r="A19" s="23"/>
      <c r="B19" s="23"/>
      <c r="C19" s="24"/>
      <c r="E19" s="21"/>
      <c r="F19" s="23"/>
      <c r="G19" s="23"/>
      <c r="H19" s="32"/>
      <c r="I19" s="32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 hidden="1">
      <c r="E20" s="21"/>
      <c r="F20" s="23"/>
      <c r="H20" s="32"/>
      <c r="I20" s="32"/>
      <c r="J20" s="23"/>
    </row>
    <row r="21" spans="1:22" s="42" customFormat="1" hidden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B18" sqref="B18"/>
    </sheetView>
  </sheetViews>
  <sheetFormatPr defaultColWidth="0" defaultRowHeight="14.25" zeroHeight="1"/>
  <cols>
    <col min="1" max="24" width="11.625" style="3" customWidth="1"/>
    <col min="25" max="16384" width="0" style="3" hidden="1"/>
  </cols>
  <sheetData>
    <row r="1" spans="1:24" ht="51">
      <c r="A1" s="22" t="s">
        <v>649</v>
      </c>
      <c r="B1" s="22" t="s">
        <v>0</v>
      </c>
      <c r="C1" s="22" t="s">
        <v>299</v>
      </c>
      <c r="D1" s="22" t="s">
        <v>1</v>
      </c>
      <c r="E1" s="22" t="s">
        <v>780</v>
      </c>
      <c r="F1" s="22" t="s">
        <v>604</v>
      </c>
      <c r="G1" s="22" t="s">
        <v>12</v>
      </c>
      <c r="H1" s="22" t="s">
        <v>24</v>
      </c>
      <c r="I1" s="22" t="s">
        <v>286</v>
      </c>
      <c r="J1" s="22" t="s">
        <v>25</v>
      </c>
      <c r="K1" s="22" t="s">
        <v>947</v>
      </c>
      <c r="L1" s="22" t="s">
        <v>1147</v>
      </c>
      <c r="M1" s="22" t="s">
        <v>915</v>
      </c>
      <c r="N1" s="22" t="s">
        <v>729</v>
      </c>
      <c r="O1" s="22" t="s">
        <v>372</v>
      </c>
      <c r="P1" s="22" t="s">
        <v>16</v>
      </c>
      <c r="Q1" s="22" t="s">
        <v>396</v>
      </c>
      <c r="R1" s="22" t="s">
        <v>785</v>
      </c>
      <c r="S1" s="22" t="s">
        <v>1151</v>
      </c>
      <c r="T1" s="22" t="s">
        <v>1152</v>
      </c>
      <c r="U1" s="22" t="s">
        <v>786</v>
      </c>
      <c r="V1" s="22" t="s">
        <v>26</v>
      </c>
      <c r="W1" s="22" t="s">
        <v>19</v>
      </c>
      <c r="X1" s="22" t="s">
        <v>30</v>
      </c>
    </row>
    <row r="2" spans="1:24">
      <c r="A2" s="167">
        <v>337</v>
      </c>
      <c r="B2" s="167">
        <v>9963</v>
      </c>
      <c r="C2" s="167" t="s">
        <v>1324</v>
      </c>
      <c r="D2" s="167" t="s">
        <v>733</v>
      </c>
      <c r="E2" s="167" t="s">
        <v>53</v>
      </c>
      <c r="F2" s="167" t="s">
        <v>62</v>
      </c>
      <c r="G2" s="169" t="s">
        <v>1325</v>
      </c>
      <c r="H2" s="167" t="s">
        <v>68</v>
      </c>
      <c r="I2" s="167" t="s">
        <v>102</v>
      </c>
      <c r="J2" s="19" t="s">
        <v>1326</v>
      </c>
      <c r="K2" s="167"/>
      <c r="L2" s="167" t="s">
        <v>102</v>
      </c>
      <c r="M2" s="167" t="s">
        <v>301</v>
      </c>
      <c r="N2" s="19" t="s">
        <v>1327</v>
      </c>
      <c r="O2" s="167" t="s">
        <v>305</v>
      </c>
      <c r="P2" s="169">
        <v>46022</v>
      </c>
      <c r="Q2" s="168" t="s">
        <v>1259</v>
      </c>
      <c r="R2" s="172">
        <v>5100</v>
      </c>
      <c r="S2" s="172">
        <v>5100</v>
      </c>
      <c r="T2" s="167"/>
      <c r="U2" s="167"/>
      <c r="V2" s="167" t="s">
        <v>17</v>
      </c>
      <c r="W2" s="173">
        <v>1</v>
      </c>
      <c r="X2" s="173">
        <v>4.5837274413135396E-3</v>
      </c>
    </row>
    <row r="3" spans="1:24">
      <c r="A3" s="9">
        <v>337</v>
      </c>
      <c r="B3" s="9">
        <v>1405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8"/>
      <c r="R3" s="167"/>
      <c r="S3" s="167"/>
      <c r="T3" s="167"/>
      <c r="U3" s="167"/>
      <c r="V3" s="167"/>
      <c r="W3" s="167"/>
      <c r="X3" s="167"/>
    </row>
    <row r="4" spans="1:24">
      <c r="A4" s="9">
        <v>337</v>
      </c>
      <c r="B4" s="9">
        <v>1477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8"/>
      <c r="R4" s="167"/>
      <c r="S4" s="167"/>
      <c r="T4" s="167"/>
      <c r="U4" s="167"/>
      <c r="V4" s="167"/>
      <c r="W4" s="167"/>
      <c r="X4" s="167"/>
    </row>
    <row r="5" spans="1:24">
      <c r="A5" s="9">
        <v>337</v>
      </c>
      <c r="B5" s="9">
        <v>9962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8"/>
      <c r="R5" s="167"/>
      <c r="S5" s="167"/>
      <c r="T5" s="167"/>
      <c r="U5" s="167"/>
      <c r="V5" s="167"/>
      <c r="W5" s="167"/>
      <c r="X5" s="167"/>
    </row>
    <row r="6" spans="1:24">
      <c r="A6" s="9">
        <v>337</v>
      </c>
      <c r="B6" s="9">
        <v>9964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8"/>
      <c r="R6" s="167"/>
      <c r="S6" s="167"/>
      <c r="T6" s="167"/>
      <c r="U6" s="167"/>
      <c r="V6" s="167"/>
      <c r="W6" s="167"/>
      <c r="X6" s="167"/>
    </row>
    <row r="7" spans="1:24">
      <c r="A7" s="9">
        <v>337</v>
      </c>
      <c r="B7" s="9">
        <v>15372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8"/>
      <c r="R7" s="167"/>
      <c r="S7" s="167"/>
      <c r="T7" s="167"/>
      <c r="U7" s="167"/>
      <c r="V7" s="167"/>
      <c r="W7" s="167"/>
      <c r="X7" s="167"/>
    </row>
    <row r="8" spans="1:24" hidden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 hidden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 hidden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 hidden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 hidden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 hidden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 hidden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 hidden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 hidden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 hidden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 hidden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 hidden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 hidden="1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 hidden="1">
      <c r="D21" s="23"/>
      <c r="E21" s="24"/>
    </row>
    <row r="22" spans="1:24" hidden="1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D8:D21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:B7"/>
    </sheetView>
  </sheetViews>
  <sheetFormatPr defaultColWidth="0" defaultRowHeight="14.25" zeroHeight="1"/>
  <cols>
    <col min="1" max="4" width="11.625" style="3" customWidth="1"/>
    <col min="5" max="5" width="11.625" style="5" customWidth="1"/>
    <col min="6" max="23" width="11.625" style="3" customWidth="1"/>
    <col min="24" max="16384" width="0" style="3" hidden="1"/>
  </cols>
  <sheetData>
    <row r="1" spans="1:23" ht="51">
      <c r="A1" s="22" t="s">
        <v>649</v>
      </c>
      <c r="B1" s="22" t="s">
        <v>0</v>
      </c>
      <c r="C1" s="22" t="s">
        <v>722</v>
      </c>
      <c r="D1" s="22" t="s">
        <v>2</v>
      </c>
      <c r="E1" s="22" t="s">
        <v>738</v>
      </c>
      <c r="F1" s="22" t="s">
        <v>1143</v>
      </c>
      <c r="G1" s="22" t="s">
        <v>29</v>
      </c>
      <c r="H1" s="22" t="s">
        <v>28</v>
      </c>
      <c r="I1" s="22" t="s">
        <v>1</v>
      </c>
      <c r="J1" s="22" t="s">
        <v>602</v>
      </c>
      <c r="K1" s="22" t="s">
        <v>603</v>
      </c>
      <c r="L1" s="22" t="s">
        <v>9</v>
      </c>
      <c r="M1" s="22" t="s">
        <v>604</v>
      </c>
      <c r="N1" s="22" t="s">
        <v>396</v>
      </c>
      <c r="O1" s="22" t="s">
        <v>915</v>
      </c>
      <c r="P1" s="22" t="s">
        <v>372</v>
      </c>
      <c r="Q1" s="22" t="s">
        <v>16</v>
      </c>
      <c r="R1" s="22" t="s">
        <v>1145</v>
      </c>
      <c r="S1" s="22" t="s">
        <v>616</v>
      </c>
      <c r="T1" s="22" t="s">
        <v>1154</v>
      </c>
      <c r="U1" s="22" t="s">
        <v>1151</v>
      </c>
      <c r="V1" s="22" t="s">
        <v>19</v>
      </c>
      <c r="W1" s="22" t="s">
        <v>30</v>
      </c>
    </row>
    <row r="2" spans="1:23">
      <c r="A2" s="9">
        <v>337</v>
      </c>
      <c r="B2" s="9">
        <v>1405</v>
      </c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9">
        <v>337</v>
      </c>
      <c r="B3" s="9">
        <v>1477</v>
      </c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9">
        <v>337</v>
      </c>
      <c r="B4" s="9">
        <v>9962</v>
      </c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9">
        <v>337</v>
      </c>
      <c r="B5" s="9">
        <v>9963</v>
      </c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9">
        <v>337</v>
      </c>
      <c r="B6" s="9">
        <v>9964</v>
      </c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9">
        <v>337</v>
      </c>
      <c r="B7" s="9">
        <v>15372</v>
      </c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 hidden="1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 hidden="1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 hidden="1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1" spans="1:23" customFormat="1" hidden="1"/>
    <row r="22" spans="1:23" hidden="1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A2" sqref="A2:R12"/>
    </sheetView>
  </sheetViews>
  <sheetFormatPr defaultColWidth="0" defaultRowHeight="14.25" zeroHeight="1"/>
  <cols>
    <col min="1" max="18" width="11.625" style="3" customWidth="1"/>
    <col min="19" max="16384" width="0" style="3" hidden="1"/>
  </cols>
  <sheetData>
    <row r="1" spans="1:18" ht="51">
      <c r="A1" s="22" t="s">
        <v>649</v>
      </c>
      <c r="B1" s="22" t="s">
        <v>0</v>
      </c>
      <c r="C1" s="22" t="s">
        <v>783</v>
      </c>
      <c r="D1" s="22" t="s">
        <v>784</v>
      </c>
      <c r="E1" s="22" t="s">
        <v>1</v>
      </c>
      <c r="F1" s="22" t="s">
        <v>602</v>
      </c>
      <c r="G1" s="22" t="s">
        <v>603</v>
      </c>
      <c r="H1" s="22" t="s">
        <v>604</v>
      </c>
      <c r="I1" s="22" t="s">
        <v>792</v>
      </c>
      <c r="J1" s="22" t="s">
        <v>396</v>
      </c>
      <c r="K1" s="22" t="s">
        <v>16</v>
      </c>
      <c r="L1" s="22" t="s">
        <v>920</v>
      </c>
      <c r="M1" s="22" t="s">
        <v>11</v>
      </c>
      <c r="N1" s="22" t="s">
        <v>1151</v>
      </c>
      <c r="O1" s="22" t="s">
        <v>1152</v>
      </c>
      <c r="P1" s="22" t="s">
        <v>26</v>
      </c>
      <c r="Q1" s="22" t="s">
        <v>19</v>
      </c>
      <c r="R1" s="22" t="s">
        <v>30</v>
      </c>
    </row>
    <row r="2" spans="1:18">
      <c r="A2" s="167">
        <v>337</v>
      </c>
      <c r="B2" s="167">
        <v>1405</v>
      </c>
      <c r="C2" s="167" t="s">
        <v>1316</v>
      </c>
      <c r="D2" s="167" t="s">
        <v>1317</v>
      </c>
      <c r="E2" s="167" t="s">
        <v>703</v>
      </c>
      <c r="F2" s="168" t="s">
        <v>53</v>
      </c>
      <c r="G2" s="168" t="s">
        <v>53</v>
      </c>
      <c r="H2" s="167" t="s">
        <v>62</v>
      </c>
      <c r="I2" s="19" t="s">
        <v>1318</v>
      </c>
      <c r="J2" s="168" t="s">
        <v>1259</v>
      </c>
      <c r="K2" s="169" t="s">
        <v>1319</v>
      </c>
      <c r="L2" s="170">
        <v>-28.327999999999999</v>
      </c>
      <c r="M2" s="171">
        <v>1</v>
      </c>
      <c r="N2" s="172">
        <v>-28.327999999999999</v>
      </c>
      <c r="O2" s="167"/>
      <c r="P2" s="168" t="s">
        <v>17</v>
      </c>
      <c r="Q2" s="173">
        <v>1.5127468466640323E-2</v>
      </c>
      <c r="R2" s="173">
        <v>-2.2954150837998488E-5</v>
      </c>
    </row>
    <row r="3" spans="1:18">
      <c r="A3" s="167">
        <v>337</v>
      </c>
      <c r="B3" s="167">
        <v>1405</v>
      </c>
      <c r="C3" s="167" t="s">
        <v>1320</v>
      </c>
      <c r="D3" s="167" t="s">
        <v>1321</v>
      </c>
      <c r="E3" s="167" t="s">
        <v>705</v>
      </c>
      <c r="F3" s="168" t="s">
        <v>53</v>
      </c>
      <c r="G3" s="168" t="s">
        <v>53</v>
      </c>
      <c r="H3" s="167" t="s">
        <v>62</v>
      </c>
      <c r="I3" s="19" t="s">
        <v>1318</v>
      </c>
      <c r="J3" s="168" t="s">
        <v>1259</v>
      </c>
      <c r="K3" s="169" t="s">
        <v>1319</v>
      </c>
      <c r="L3" s="170">
        <v>-5.7619999999999996</v>
      </c>
      <c r="M3" s="171">
        <v>1</v>
      </c>
      <c r="N3" s="172">
        <v>-5.7619999999999996</v>
      </c>
      <c r="O3" s="167"/>
      <c r="P3" s="168" t="s">
        <v>17</v>
      </c>
      <c r="Q3" s="173">
        <v>3.0769723702619859E-3</v>
      </c>
      <c r="R3" s="173">
        <v>-4.6689429938063854E-6</v>
      </c>
    </row>
    <row r="4" spans="1:18">
      <c r="A4" s="167">
        <v>999</v>
      </c>
      <c r="B4" s="167">
        <v>1477</v>
      </c>
      <c r="C4" s="167" t="s">
        <v>1316</v>
      </c>
      <c r="D4" s="167" t="s">
        <v>1317</v>
      </c>
      <c r="E4" s="167" t="s">
        <v>703</v>
      </c>
      <c r="F4" s="168" t="s">
        <v>53</v>
      </c>
      <c r="G4" s="168" t="s">
        <v>53</v>
      </c>
      <c r="H4" s="167" t="s">
        <v>62</v>
      </c>
      <c r="I4" s="19" t="s">
        <v>1318</v>
      </c>
      <c r="J4" s="168" t="s">
        <v>1259</v>
      </c>
      <c r="K4" s="169" t="s">
        <v>1319</v>
      </c>
      <c r="L4" s="170">
        <v>-48.582999999999998</v>
      </c>
      <c r="M4" s="171">
        <v>1</v>
      </c>
      <c r="N4" s="172">
        <v>-48.582999999999998</v>
      </c>
      <c r="O4" s="167"/>
      <c r="P4" s="168" t="s">
        <v>17</v>
      </c>
      <c r="Q4" s="173">
        <v>2.5943864745650479E-2</v>
      </c>
      <c r="R4" s="173">
        <v>-3.9366757630700387E-5</v>
      </c>
    </row>
    <row r="5" spans="1:18">
      <c r="A5" s="167">
        <v>337</v>
      </c>
      <c r="B5" s="167">
        <v>9962</v>
      </c>
      <c r="C5" s="167" t="s">
        <v>1316</v>
      </c>
      <c r="D5" s="167" t="s">
        <v>1317</v>
      </c>
      <c r="E5" s="167" t="s">
        <v>703</v>
      </c>
      <c r="F5" s="168" t="s">
        <v>53</v>
      </c>
      <c r="G5" s="168" t="s">
        <v>53</v>
      </c>
      <c r="H5" s="167" t="s">
        <v>62</v>
      </c>
      <c r="I5" s="19" t="s">
        <v>1318</v>
      </c>
      <c r="J5" s="168" t="s">
        <v>1259</v>
      </c>
      <c r="K5" s="169" t="s">
        <v>1319</v>
      </c>
      <c r="L5" s="170">
        <v>-149.35599999999999</v>
      </c>
      <c r="M5" s="171">
        <v>1</v>
      </c>
      <c r="N5" s="172">
        <v>-149.35599999999999</v>
      </c>
      <c r="O5" s="167"/>
      <c r="P5" s="168" t="s">
        <v>17</v>
      </c>
      <c r="Q5" s="173">
        <v>7.9757772532601384E-2</v>
      </c>
      <c r="R5" s="173">
        <v>-1.2102302148263563E-4</v>
      </c>
    </row>
    <row r="6" spans="1:18">
      <c r="A6" s="167">
        <v>337</v>
      </c>
      <c r="B6" s="167">
        <v>9962</v>
      </c>
      <c r="C6" s="167" t="s">
        <v>1320</v>
      </c>
      <c r="D6" s="167" t="s">
        <v>1321</v>
      </c>
      <c r="E6" s="167" t="s">
        <v>705</v>
      </c>
      <c r="F6" s="168" t="s">
        <v>53</v>
      </c>
      <c r="G6" s="168" t="s">
        <v>53</v>
      </c>
      <c r="H6" s="167" t="s">
        <v>62</v>
      </c>
      <c r="I6" s="19" t="s">
        <v>1318</v>
      </c>
      <c r="J6" s="168" t="s">
        <v>1259</v>
      </c>
      <c r="K6" s="169" t="s">
        <v>1319</v>
      </c>
      <c r="L6" s="170">
        <v>-17.856000000000002</v>
      </c>
      <c r="M6" s="171">
        <v>1</v>
      </c>
      <c r="N6" s="172">
        <v>-17.856000000000002</v>
      </c>
      <c r="O6" s="167"/>
      <c r="P6" s="168" t="s">
        <v>17</v>
      </c>
      <c r="Q6" s="173">
        <v>9.535303478548772E-3</v>
      </c>
      <c r="R6" s="173">
        <v>-1.4468699426832147E-5</v>
      </c>
    </row>
    <row r="7" spans="1:18">
      <c r="A7" s="167">
        <v>337</v>
      </c>
      <c r="B7" s="167">
        <v>9963</v>
      </c>
      <c r="C7" s="167" t="s">
        <v>1322</v>
      </c>
      <c r="D7" s="167" t="s">
        <v>1323</v>
      </c>
      <c r="E7" s="167" t="s">
        <v>703</v>
      </c>
      <c r="F7" s="168" t="s">
        <v>53</v>
      </c>
      <c r="G7" s="168" t="s">
        <v>53</v>
      </c>
      <c r="H7" s="167" t="s">
        <v>62</v>
      </c>
      <c r="I7" s="19" t="s">
        <v>1318</v>
      </c>
      <c r="J7" s="168" t="s">
        <v>1259</v>
      </c>
      <c r="K7" s="169" t="s">
        <v>1319</v>
      </c>
      <c r="L7" s="170">
        <v>-1457.7149999999999</v>
      </c>
      <c r="M7" s="171">
        <v>1</v>
      </c>
      <c r="N7" s="172">
        <v>-1457.7149999999999</v>
      </c>
      <c r="O7" s="167"/>
      <c r="P7" s="168" t="s">
        <v>17</v>
      </c>
      <c r="Q7" s="173">
        <v>0.77843609488310495</v>
      </c>
      <c r="R7" s="173">
        <v>-1.1811850462020957E-3</v>
      </c>
    </row>
    <row r="8" spans="1:18">
      <c r="A8" s="167">
        <v>337</v>
      </c>
      <c r="B8" s="167">
        <v>9963</v>
      </c>
      <c r="C8" s="167" t="s">
        <v>1316</v>
      </c>
      <c r="D8" s="167" t="s">
        <v>1317</v>
      </c>
      <c r="E8" s="167" t="s">
        <v>703</v>
      </c>
      <c r="F8" s="168" t="s">
        <v>53</v>
      </c>
      <c r="G8" s="168" t="s">
        <v>53</v>
      </c>
      <c r="H8" s="167" t="s">
        <v>62</v>
      </c>
      <c r="I8" s="19" t="s">
        <v>1318</v>
      </c>
      <c r="J8" s="168" t="s">
        <v>1259</v>
      </c>
      <c r="K8" s="169" t="s">
        <v>1319</v>
      </c>
      <c r="L8" s="170">
        <v>21.17</v>
      </c>
      <c r="M8" s="171">
        <v>1</v>
      </c>
      <c r="N8" s="172">
        <v>21.17</v>
      </c>
      <c r="O8" s="167"/>
      <c r="P8" s="168" t="s">
        <v>17</v>
      </c>
      <c r="Q8" s="173">
        <v>-1.1305016500945201E-2</v>
      </c>
      <c r="R8" s="173">
        <v>1.7154030402443802E-5</v>
      </c>
    </row>
    <row r="9" spans="1:18">
      <c r="A9" s="167">
        <v>337</v>
      </c>
      <c r="B9" s="167">
        <v>9963</v>
      </c>
      <c r="C9" s="167" t="s">
        <v>1320</v>
      </c>
      <c r="D9" s="167" t="s">
        <v>1321</v>
      </c>
      <c r="E9" s="167" t="s">
        <v>705</v>
      </c>
      <c r="F9" s="168" t="s">
        <v>53</v>
      </c>
      <c r="G9" s="168" t="s">
        <v>53</v>
      </c>
      <c r="H9" s="167" t="s">
        <v>62</v>
      </c>
      <c r="I9" s="19" t="s">
        <v>1318</v>
      </c>
      <c r="J9" s="168" t="s">
        <v>1259</v>
      </c>
      <c r="K9" s="169" t="s">
        <v>1319</v>
      </c>
      <c r="L9" s="170">
        <v>-67.581999999999994</v>
      </c>
      <c r="M9" s="171">
        <v>1</v>
      </c>
      <c r="N9" s="172">
        <v>-67.581999999999994</v>
      </c>
      <c r="O9" s="167"/>
      <c r="P9" s="168" t="s">
        <v>17</v>
      </c>
      <c r="Q9" s="173">
        <v>3.6089542993239417E-2</v>
      </c>
      <c r="R9" s="173">
        <v>-5.4761628845439628E-5</v>
      </c>
    </row>
    <row r="10" spans="1:18">
      <c r="A10" s="167">
        <v>337</v>
      </c>
      <c r="B10" s="167">
        <v>9964</v>
      </c>
      <c r="C10" s="167" t="s">
        <v>1316</v>
      </c>
      <c r="D10" s="167" t="s">
        <v>1317</v>
      </c>
      <c r="E10" s="167" t="s">
        <v>703</v>
      </c>
      <c r="F10" s="168" t="s">
        <v>53</v>
      </c>
      <c r="G10" s="168" t="s">
        <v>53</v>
      </c>
      <c r="H10" s="167" t="s">
        <v>62</v>
      </c>
      <c r="I10" s="19" t="s">
        <v>1318</v>
      </c>
      <c r="J10" s="168" t="s">
        <v>1259</v>
      </c>
      <c r="K10" s="169" t="s">
        <v>1319</v>
      </c>
      <c r="L10" s="170">
        <v>-101.547</v>
      </c>
      <c r="M10" s="171">
        <v>1</v>
      </c>
      <c r="N10" s="172">
        <v>-101.547</v>
      </c>
      <c r="O10" s="167"/>
      <c r="P10" s="168" t="s">
        <v>17</v>
      </c>
      <c r="Q10" s="173">
        <v>5.4227232433702512E-2</v>
      </c>
      <c r="R10" s="173">
        <v>-8.2283435298864457E-5</v>
      </c>
    </row>
    <row r="11" spans="1:18">
      <c r="A11" s="167">
        <v>337</v>
      </c>
      <c r="B11" s="167">
        <v>9964</v>
      </c>
      <c r="C11" s="167" t="s">
        <v>1320</v>
      </c>
      <c r="D11" s="167" t="s">
        <v>1321</v>
      </c>
      <c r="E11" s="167" t="s">
        <v>705</v>
      </c>
      <c r="F11" s="168" t="s">
        <v>53</v>
      </c>
      <c r="G11" s="168" t="s">
        <v>53</v>
      </c>
      <c r="H11" s="167" t="s">
        <v>62</v>
      </c>
      <c r="I11" s="19" t="s">
        <v>1318</v>
      </c>
      <c r="J11" s="168" t="s">
        <v>1259</v>
      </c>
      <c r="K11" s="169" t="s">
        <v>1319</v>
      </c>
      <c r="L11" s="170">
        <v>-1.161</v>
      </c>
      <c r="M11" s="171">
        <v>1</v>
      </c>
      <c r="N11" s="172">
        <v>-1.161</v>
      </c>
      <c r="O11" s="167"/>
      <c r="P11" s="168" t="s">
        <v>17</v>
      </c>
      <c r="Q11" s="173">
        <v>6.1998697012741514E-4</v>
      </c>
      <c r="R11" s="173">
        <v>-9.4075717039382396E-7</v>
      </c>
    </row>
    <row r="12" spans="1:18">
      <c r="A12" s="167">
        <v>337</v>
      </c>
      <c r="B12" s="167">
        <v>15372</v>
      </c>
      <c r="C12" s="167" t="s">
        <v>1316</v>
      </c>
      <c r="D12" s="167" t="s">
        <v>1317</v>
      </c>
      <c r="E12" s="167" t="s">
        <v>703</v>
      </c>
      <c r="F12" s="168" t="s">
        <v>53</v>
      </c>
      <c r="G12" s="168" t="s">
        <v>53</v>
      </c>
      <c r="H12" s="167" t="s">
        <v>62</v>
      </c>
      <c r="I12" s="19" t="s">
        <v>1318</v>
      </c>
      <c r="J12" s="168" t="s">
        <v>1259</v>
      </c>
      <c r="K12" s="169" t="s">
        <v>1319</v>
      </c>
      <c r="L12" s="170">
        <v>-15.9</v>
      </c>
      <c r="M12" s="171">
        <v>1</v>
      </c>
      <c r="N12" s="172">
        <v>-15.9</v>
      </c>
      <c r="O12" s="167"/>
      <c r="P12" s="168" t="s">
        <v>17</v>
      </c>
      <c r="Q12" s="173">
        <v>8.4907776270679598E-3</v>
      </c>
      <c r="R12" s="173">
        <v>-1.2883754529941258E-5</v>
      </c>
    </row>
    <row r="13" spans="1:18" hidden="1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 hidden="1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 hidden="1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 hidden="1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 hidden="1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 hidden="1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 hidden="1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 hidden="1">
      <c r="E20" s="40"/>
      <c r="F20" s="21"/>
      <c r="G20" s="21"/>
      <c r="H20" s="23"/>
      <c r="P20" s="21"/>
    </row>
    <row r="21" spans="1:18" s="42" customFormat="1" hidden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D16" sqref="D16"/>
    </sheetView>
  </sheetViews>
  <sheetFormatPr defaultColWidth="0" defaultRowHeight="14.1" customHeight="1" zeroHeight="1"/>
  <cols>
    <col min="1" max="20" width="11.625" style="3" customWidth="1"/>
    <col min="21" max="16384" width="0" style="3" hidden="1"/>
  </cols>
  <sheetData>
    <row r="1" spans="1:20" ht="63.75">
      <c r="A1" s="22" t="s">
        <v>649</v>
      </c>
      <c r="B1" s="22" t="s">
        <v>0</v>
      </c>
      <c r="C1" s="22" t="s">
        <v>723</v>
      </c>
      <c r="D1" s="22" t="s">
        <v>724</v>
      </c>
      <c r="E1" s="22" t="s">
        <v>725</v>
      </c>
      <c r="F1" s="22" t="s">
        <v>726</v>
      </c>
      <c r="G1" s="22" t="s">
        <v>731</v>
      </c>
      <c r="H1" s="22" t="s">
        <v>602</v>
      </c>
      <c r="I1" s="22" t="s">
        <v>603</v>
      </c>
      <c r="J1" s="22" t="s">
        <v>604</v>
      </c>
      <c r="K1" s="22" t="s">
        <v>6</v>
      </c>
      <c r="L1" s="22" t="s">
        <v>8</v>
      </c>
      <c r="M1" s="22" t="s">
        <v>1146</v>
      </c>
      <c r="N1" s="22" t="s">
        <v>396</v>
      </c>
      <c r="O1" s="22" t="s">
        <v>11</v>
      </c>
      <c r="P1" s="22" t="s">
        <v>14</v>
      </c>
      <c r="Q1" s="22" t="s">
        <v>439</v>
      </c>
      <c r="R1" s="22" t="s">
        <v>794</v>
      </c>
      <c r="S1" s="22" t="s">
        <v>1155</v>
      </c>
      <c r="T1" s="22" t="s">
        <v>746</v>
      </c>
    </row>
    <row r="2" spans="1:20" ht="14.1" customHeight="1">
      <c r="A2" s="6">
        <v>337</v>
      </c>
      <c r="B2" s="6">
        <v>1405</v>
      </c>
      <c r="C2" s="44"/>
      <c r="D2" s="24"/>
      <c r="E2" s="44"/>
      <c r="F2" s="44"/>
      <c r="G2" s="32"/>
      <c r="H2" s="21"/>
      <c r="I2" s="32"/>
      <c r="J2" s="23"/>
      <c r="K2" s="23"/>
      <c r="L2" s="23"/>
      <c r="M2" s="23"/>
      <c r="N2" s="6"/>
      <c r="O2" s="6"/>
      <c r="P2"/>
      <c r="Q2" s="24"/>
      <c r="R2" s="32"/>
      <c r="S2" s="32"/>
      <c r="T2" s="32"/>
    </row>
    <row r="3" spans="1:20" ht="14.1" customHeight="1">
      <c r="A3" s="6">
        <v>337</v>
      </c>
      <c r="B3" s="6">
        <v>1477</v>
      </c>
      <c r="C3" s="6"/>
      <c r="D3" s="24"/>
      <c r="E3" s="6"/>
      <c r="F3" s="6"/>
      <c r="G3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>
        <v>337</v>
      </c>
      <c r="B4" s="6">
        <v>9962</v>
      </c>
      <c r="C4" s="6"/>
      <c r="D4" s="24"/>
      <c r="E4" s="6"/>
      <c r="F4" s="6"/>
      <c r="G4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>
        <v>337</v>
      </c>
      <c r="B5" s="6">
        <v>9963</v>
      </c>
      <c r="C5" s="6"/>
      <c r="D5" s="24"/>
      <c r="E5" s="6"/>
      <c r="F5" s="6"/>
      <c r="G5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>
        <v>337</v>
      </c>
      <c r="B6" s="6">
        <v>9964</v>
      </c>
      <c r="C6" s="6"/>
      <c r="D6" s="24"/>
      <c r="E6" s="6"/>
      <c r="F6" s="6"/>
      <c r="G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>
        <v>337</v>
      </c>
      <c r="B7" s="6">
        <v>15372</v>
      </c>
      <c r="C7" s="6"/>
      <c r="D7" s="24"/>
      <c r="E7" s="6"/>
      <c r="F7" s="6"/>
      <c r="G7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hidden="1" customHeight="1">
      <c r="A8" s="6"/>
      <c r="B8" s="6"/>
      <c r="C8" s="6"/>
      <c r="D8" s="24"/>
      <c r="E8" s="6"/>
      <c r="F8" s="6"/>
      <c r="G8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hidden="1" customHeight="1">
      <c r="A9" s="6"/>
      <c r="B9" s="6"/>
      <c r="C9" s="6"/>
      <c r="D9" s="24"/>
      <c r="E9" s="6"/>
      <c r="F9" s="6"/>
      <c r="G9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hidden="1" customHeight="1">
      <c r="A10" s="6"/>
      <c r="B10" s="6"/>
      <c r="C10" s="6"/>
      <c r="D10" s="24"/>
      <c r="E10" s="6"/>
      <c r="F10" s="6"/>
      <c r="G10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hidden="1" customHeight="1">
      <c r="A11" s="6"/>
      <c r="B11" s="6"/>
      <c r="C11" s="6"/>
      <c r="D11" s="24"/>
      <c r="E11" s="6"/>
      <c r="F11" s="6"/>
      <c r="G11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hidden="1" customHeight="1">
      <c r="A12" s="6"/>
      <c r="B12" s="6"/>
      <c r="C12" s="6"/>
      <c r="D12" s="24"/>
      <c r="E12" s="6"/>
      <c r="F12" s="6"/>
      <c r="G12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hidden="1" customHeight="1">
      <c r="A13" s="6"/>
      <c r="B13" s="6"/>
      <c r="C13" s="6"/>
      <c r="D13" s="24"/>
      <c r="E13" s="6"/>
      <c r="F13" s="6"/>
      <c r="G13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hidden="1" customHeight="1">
      <c r="A14" s="6"/>
      <c r="B14" s="6"/>
      <c r="C14" s="6"/>
      <c r="D14" s="24"/>
      <c r="E14" s="6"/>
      <c r="F14" s="6"/>
      <c r="G14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hidden="1" customHeight="1">
      <c r="A15" s="6"/>
      <c r="B15" s="6"/>
      <c r="C15" s="6"/>
      <c r="D15" s="24"/>
      <c r="E15" s="6"/>
      <c r="F15" s="6"/>
      <c r="G15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hidden="1" customHeight="1">
      <c r="A16" s="6"/>
      <c r="B16" s="6"/>
      <c r="C16" s="6"/>
      <c r="D16" s="24"/>
      <c r="E16" s="6"/>
      <c r="F16" s="6"/>
      <c r="G1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hidden="1" customHeight="1">
      <c r="A17" s="6"/>
      <c r="B17" s="6"/>
      <c r="C17" s="6"/>
      <c r="D17" s="24"/>
      <c r="E17" s="6"/>
      <c r="F17" s="6"/>
      <c r="G17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hidden="1" customHeight="1">
      <c r="D18" s="24"/>
      <c r="G18"/>
      <c r="H18" s="21"/>
      <c r="I18" s="21"/>
      <c r="J18" s="23"/>
      <c r="K18" s="23"/>
      <c r="L18" s="23"/>
      <c r="M18" s="23"/>
      <c r="Q18" s="23"/>
    </row>
    <row r="19" spans="1:20" ht="14.1" hidden="1" customHeight="1">
      <c r="D19" s="24"/>
      <c r="G19"/>
      <c r="H19" s="21"/>
      <c r="I19" s="21"/>
      <c r="J19" s="23"/>
      <c r="K19" s="23"/>
      <c r="L19" s="23"/>
      <c r="M19" s="23"/>
      <c r="Q19" s="23"/>
    </row>
    <row r="20" spans="1:20" ht="14.1" hidden="1" customHeight="1">
      <c r="D20" s="24"/>
      <c r="G20"/>
      <c r="H20" s="21"/>
      <c r="I20" s="21"/>
      <c r="J20" s="23"/>
      <c r="L20" s="23"/>
      <c r="M20" s="23"/>
      <c r="Q20" s="23"/>
    </row>
    <row r="21" spans="1:20" s="42" customFormat="1" ht="14.1" hidden="1" customHeight="1">
      <c r="D21" s="45"/>
      <c r="J21"/>
    </row>
    <row r="22" spans="1:20" ht="14.1" hidden="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7"/>
  <sheetViews>
    <sheetView rightToLeft="1" topLeftCell="E1" workbookViewId="0">
      <selection activeCell="A2" sqref="A2:Q47"/>
    </sheetView>
  </sheetViews>
  <sheetFormatPr defaultColWidth="0" defaultRowHeight="14.1" customHeight="1" zeroHeight="1"/>
  <cols>
    <col min="1" max="8" width="11.625" style="3" customWidth="1"/>
    <col min="9" max="9" width="12.625" style="3" customWidth="1"/>
    <col min="10" max="17" width="11.625" style="3" customWidth="1"/>
    <col min="18" max="16384" width="0" style="3" hidden="1"/>
  </cols>
  <sheetData>
    <row r="1" spans="1:17" ht="76.5">
      <c r="A1" s="22" t="s">
        <v>649</v>
      </c>
      <c r="B1" s="22" t="s">
        <v>0</v>
      </c>
      <c r="C1" s="22" t="s">
        <v>1</v>
      </c>
      <c r="D1" s="22" t="s">
        <v>778</v>
      </c>
      <c r="E1" s="22" t="s">
        <v>791</v>
      </c>
      <c r="F1" s="22" t="s">
        <v>779</v>
      </c>
      <c r="G1" s="22" t="s">
        <v>745</v>
      </c>
      <c r="H1" s="22" t="s">
        <v>744</v>
      </c>
      <c r="I1" s="22" t="s">
        <v>749</v>
      </c>
      <c r="J1" s="22" t="s">
        <v>396</v>
      </c>
      <c r="K1" s="22" t="s">
        <v>743</v>
      </c>
      <c r="L1" s="22" t="s">
        <v>921</v>
      </c>
      <c r="M1" s="22" t="s">
        <v>1156</v>
      </c>
      <c r="N1" s="22" t="s">
        <v>922</v>
      </c>
      <c r="O1" s="22" t="s">
        <v>1157</v>
      </c>
      <c r="P1" s="22" t="s">
        <v>22</v>
      </c>
      <c r="Q1" s="22" t="s">
        <v>795</v>
      </c>
    </row>
    <row r="2" spans="1:17" ht="14.1" customHeight="1">
      <c r="A2" s="9">
        <v>337</v>
      </c>
      <c r="B2">
        <v>9963</v>
      </c>
      <c r="C2" t="s">
        <v>924</v>
      </c>
      <c r="D2" t="s">
        <v>1212</v>
      </c>
      <c r="E2" t="s">
        <v>1213</v>
      </c>
      <c r="F2" t="s">
        <v>765</v>
      </c>
      <c r="G2" t="s">
        <v>1214</v>
      </c>
      <c r="H2">
        <v>62000698</v>
      </c>
      <c r="I2" t="s">
        <v>78</v>
      </c>
      <c r="J2" t="s">
        <v>1215</v>
      </c>
      <c r="K2" s="157">
        <v>42793</v>
      </c>
      <c r="L2" s="158">
        <v>1200000</v>
      </c>
      <c r="M2" s="158">
        <v>4046.4</v>
      </c>
      <c r="N2" s="158">
        <v>312537.39</v>
      </c>
      <c r="O2" s="158">
        <v>1053.87607908</v>
      </c>
      <c r="P2" s="159">
        <v>0.26044782499999997</v>
      </c>
      <c r="Q2" s="157">
        <v>46424</v>
      </c>
    </row>
    <row r="3" spans="1:17" ht="14.1" customHeight="1">
      <c r="A3" s="9">
        <v>337</v>
      </c>
      <c r="B3">
        <v>9963</v>
      </c>
      <c r="C3" t="s">
        <v>241</v>
      </c>
      <c r="D3" t="s">
        <v>1216</v>
      </c>
      <c r="E3" t="s">
        <v>1217</v>
      </c>
      <c r="F3" t="s">
        <v>765</v>
      </c>
      <c r="G3" t="s">
        <v>1218</v>
      </c>
      <c r="H3">
        <v>62000073</v>
      </c>
      <c r="I3" t="s">
        <v>78</v>
      </c>
      <c r="J3" t="s">
        <v>1215</v>
      </c>
      <c r="K3" s="160">
        <v>42758</v>
      </c>
      <c r="L3" s="158">
        <v>1327000</v>
      </c>
      <c r="M3" s="158">
        <v>4474.6440000000002</v>
      </c>
      <c r="N3" s="158">
        <v>67000</v>
      </c>
      <c r="O3" s="158">
        <v>225.92400000000001</v>
      </c>
      <c r="P3" s="159">
        <v>5.0489826676714394E-2</v>
      </c>
      <c r="Q3" s="157">
        <v>46022</v>
      </c>
    </row>
    <row r="4" spans="1:17" ht="13.7" customHeight="1">
      <c r="A4" s="9">
        <v>337</v>
      </c>
      <c r="B4">
        <v>9963</v>
      </c>
      <c r="C4" t="s">
        <v>281</v>
      </c>
      <c r="D4" t="s">
        <v>1219</v>
      </c>
      <c r="E4">
        <v>2030</v>
      </c>
      <c r="F4" t="s">
        <v>765</v>
      </c>
      <c r="G4" t="s">
        <v>1220</v>
      </c>
      <c r="H4">
        <v>60397874</v>
      </c>
      <c r="I4" t="s">
        <v>78</v>
      </c>
      <c r="J4" t="s">
        <v>1215</v>
      </c>
      <c r="K4" s="160">
        <v>42354</v>
      </c>
      <c r="L4" s="158">
        <v>880000</v>
      </c>
      <c r="M4" s="158">
        <v>2967.36</v>
      </c>
      <c r="N4" s="158">
        <v>435460.93400000001</v>
      </c>
      <c r="O4" s="158">
        <v>1468.3742694479999</v>
      </c>
      <c r="P4" s="159">
        <v>0.49484197045454542</v>
      </c>
      <c r="Q4" s="157">
        <v>46022</v>
      </c>
    </row>
    <row r="5" spans="1:17" ht="13.7" customHeight="1">
      <c r="A5" s="9">
        <v>337</v>
      </c>
      <c r="B5">
        <v>9963</v>
      </c>
      <c r="C5" t="s">
        <v>924</v>
      </c>
      <c r="D5" t="s">
        <v>1221</v>
      </c>
      <c r="E5">
        <v>540303633</v>
      </c>
      <c r="F5" t="s">
        <v>431</v>
      </c>
      <c r="G5" t="s">
        <v>1222</v>
      </c>
      <c r="H5">
        <v>62020128</v>
      </c>
      <c r="I5" t="s">
        <v>78</v>
      </c>
      <c r="J5" t="s">
        <v>1215</v>
      </c>
      <c r="K5" s="157">
        <v>44581</v>
      </c>
      <c r="L5" s="158">
        <v>300000</v>
      </c>
      <c r="M5" s="158">
        <v>1011.6</v>
      </c>
      <c r="N5" s="158">
        <v>195017</v>
      </c>
      <c r="O5" s="158">
        <v>657.59732400000007</v>
      </c>
      <c r="P5" s="159">
        <v>0.65005666666666673</v>
      </c>
      <c r="Q5" s="157">
        <v>46022</v>
      </c>
    </row>
    <row r="6" spans="1:17" ht="14.1" customHeight="1">
      <c r="A6" s="9">
        <v>337</v>
      </c>
      <c r="B6">
        <v>9963</v>
      </c>
      <c r="C6" t="s">
        <v>280</v>
      </c>
      <c r="D6" t="s">
        <v>1223</v>
      </c>
      <c r="E6">
        <v>362595</v>
      </c>
      <c r="F6" t="s">
        <v>765</v>
      </c>
      <c r="G6" t="s">
        <v>1224</v>
      </c>
      <c r="H6">
        <v>62019567</v>
      </c>
      <c r="I6" t="s">
        <v>78</v>
      </c>
      <c r="J6" t="s">
        <v>1215</v>
      </c>
      <c r="K6" s="157">
        <v>44481</v>
      </c>
      <c r="L6" s="158">
        <v>450000</v>
      </c>
      <c r="M6" s="158">
        <v>1517.4</v>
      </c>
      <c r="N6" s="158">
        <v>41622.000000000022</v>
      </c>
      <c r="O6" s="158">
        <v>140.34938400000007</v>
      </c>
      <c r="P6" s="159">
        <v>9.2493333333333372E-2</v>
      </c>
      <c r="Q6" s="157">
        <v>46022</v>
      </c>
    </row>
    <row r="7" spans="1:17" ht="14.1" customHeight="1">
      <c r="A7" s="9">
        <v>337</v>
      </c>
      <c r="B7">
        <v>9963</v>
      </c>
      <c r="C7" t="s">
        <v>280</v>
      </c>
      <c r="D7" t="s">
        <v>1223</v>
      </c>
      <c r="E7">
        <v>362595</v>
      </c>
      <c r="F7" t="s">
        <v>765</v>
      </c>
      <c r="G7" t="s">
        <v>1225</v>
      </c>
      <c r="H7">
        <v>62019575</v>
      </c>
      <c r="I7" t="s">
        <v>78</v>
      </c>
      <c r="J7" t="s">
        <v>1215</v>
      </c>
      <c r="K7" s="157">
        <v>44481</v>
      </c>
      <c r="L7" s="158">
        <v>450000</v>
      </c>
      <c r="M7" s="158">
        <v>1517.4</v>
      </c>
      <c r="N7" s="158">
        <v>41622.000000000022</v>
      </c>
      <c r="O7" s="158">
        <v>140.34938400000007</v>
      </c>
      <c r="P7" s="159">
        <v>9.2493333333333372E-2</v>
      </c>
      <c r="Q7" s="157">
        <v>46022</v>
      </c>
    </row>
    <row r="8" spans="1:17" ht="14.1" customHeight="1">
      <c r="A8" s="9">
        <v>337</v>
      </c>
      <c r="B8">
        <v>9963</v>
      </c>
      <c r="C8" t="s">
        <v>924</v>
      </c>
      <c r="D8" t="s">
        <v>1226</v>
      </c>
      <c r="E8" t="s">
        <v>1227</v>
      </c>
      <c r="F8" t="s">
        <v>765</v>
      </c>
      <c r="G8" t="s">
        <v>1228</v>
      </c>
      <c r="H8">
        <v>62017934</v>
      </c>
      <c r="I8" t="s">
        <v>78</v>
      </c>
      <c r="J8" t="s">
        <v>1215</v>
      </c>
      <c r="K8" s="160">
        <v>44262</v>
      </c>
      <c r="L8" s="158">
        <v>1000000</v>
      </c>
      <c r="M8" s="158">
        <v>3372</v>
      </c>
      <c r="N8" s="158">
        <v>199120.12</v>
      </c>
      <c r="O8" s="158">
        <v>671.43304463999993</v>
      </c>
      <c r="P8" s="159">
        <v>0.19912011999999998</v>
      </c>
      <c r="Q8" s="160">
        <v>46819</v>
      </c>
    </row>
    <row r="9" spans="1:17" ht="14.1" customHeight="1">
      <c r="A9" s="9">
        <v>337</v>
      </c>
      <c r="B9">
        <v>9963</v>
      </c>
      <c r="C9" t="s">
        <v>280</v>
      </c>
      <c r="D9" t="s">
        <v>1229</v>
      </c>
      <c r="E9">
        <v>3935</v>
      </c>
      <c r="F9" t="s">
        <v>765</v>
      </c>
      <c r="G9" t="s">
        <v>1230</v>
      </c>
      <c r="H9">
        <v>62019286</v>
      </c>
      <c r="I9" t="s">
        <v>78</v>
      </c>
      <c r="J9" t="s">
        <v>1215</v>
      </c>
      <c r="K9" s="157">
        <v>44441</v>
      </c>
      <c r="L9" s="158">
        <v>950000</v>
      </c>
      <c r="M9" s="158">
        <v>3203.4</v>
      </c>
      <c r="N9" s="158">
        <v>246946.65000000005</v>
      </c>
      <c r="O9" s="158">
        <v>832.70410380000021</v>
      </c>
      <c r="P9" s="159">
        <v>0.25994384210526322</v>
      </c>
      <c r="Q9" s="157">
        <v>45987</v>
      </c>
    </row>
    <row r="10" spans="1:17" ht="14.1" customHeight="1">
      <c r="A10" s="9">
        <v>337</v>
      </c>
      <c r="B10">
        <v>9963</v>
      </c>
      <c r="C10" t="s">
        <v>924</v>
      </c>
      <c r="D10" t="s">
        <v>1231</v>
      </c>
      <c r="E10" t="s">
        <v>1232</v>
      </c>
      <c r="F10" t="s">
        <v>765</v>
      </c>
      <c r="G10" t="s">
        <v>1233</v>
      </c>
      <c r="H10">
        <v>62021078</v>
      </c>
      <c r="I10" t="s">
        <v>78</v>
      </c>
      <c r="J10" t="s">
        <v>1215</v>
      </c>
      <c r="K10" s="157">
        <v>45099</v>
      </c>
      <c r="L10" s="158">
        <v>900000</v>
      </c>
      <c r="M10" s="158">
        <v>3034.8</v>
      </c>
      <c r="N10" s="158">
        <v>576000</v>
      </c>
      <c r="O10" s="158">
        <v>1942.2719999999999</v>
      </c>
      <c r="P10" s="159">
        <v>0.6399999999999999</v>
      </c>
      <c r="Q10" s="160">
        <v>46607</v>
      </c>
    </row>
    <row r="11" spans="1:17" ht="14.1" customHeight="1">
      <c r="A11" s="9">
        <v>337</v>
      </c>
      <c r="B11">
        <v>9963</v>
      </c>
      <c r="C11" t="s">
        <v>241</v>
      </c>
      <c r="D11" t="s">
        <v>1234</v>
      </c>
      <c r="E11" t="s">
        <v>1235</v>
      </c>
      <c r="F11" t="s">
        <v>765</v>
      </c>
      <c r="G11" t="s">
        <v>1236</v>
      </c>
      <c r="H11">
        <v>62020359</v>
      </c>
      <c r="I11" t="s">
        <v>78</v>
      </c>
      <c r="J11" t="s">
        <v>1215</v>
      </c>
      <c r="K11" s="157">
        <v>44635</v>
      </c>
      <c r="L11" s="158">
        <v>2500000</v>
      </c>
      <c r="M11" s="158">
        <v>8430</v>
      </c>
      <c r="N11" s="158">
        <v>918568</v>
      </c>
      <c r="O11" s="158">
        <v>3097.4112960000002</v>
      </c>
      <c r="P11" s="159">
        <v>0.36742720000000001</v>
      </c>
      <c r="Q11" s="160">
        <v>47208</v>
      </c>
    </row>
    <row r="12" spans="1:17" ht="14.1" customHeight="1">
      <c r="A12" s="9">
        <v>337</v>
      </c>
      <c r="B12">
        <v>9963</v>
      </c>
      <c r="C12" t="s">
        <v>241</v>
      </c>
      <c r="D12" t="s">
        <v>1237</v>
      </c>
      <c r="E12">
        <v>516190006</v>
      </c>
      <c r="F12" t="s">
        <v>428</v>
      </c>
      <c r="G12" t="s">
        <v>1238</v>
      </c>
      <c r="H12">
        <v>62018528</v>
      </c>
      <c r="I12" t="s">
        <v>78</v>
      </c>
      <c r="J12" t="s">
        <v>1239</v>
      </c>
      <c r="K12" s="157">
        <v>44382</v>
      </c>
      <c r="L12" s="158">
        <v>580000</v>
      </c>
      <c r="M12" s="158">
        <v>2294.0160000000001</v>
      </c>
      <c r="N12" s="158">
        <v>95197.999999999971</v>
      </c>
      <c r="O12" s="158">
        <v>376.52712959999985</v>
      </c>
      <c r="P12" s="159">
        <v>0.16413448275862061</v>
      </c>
      <c r="Q12" s="160">
        <v>46939</v>
      </c>
    </row>
    <row r="13" spans="1:17" ht="14.1" customHeight="1">
      <c r="A13" s="9">
        <v>337</v>
      </c>
      <c r="B13">
        <v>9963</v>
      </c>
      <c r="C13" t="s">
        <v>241</v>
      </c>
      <c r="D13" t="s">
        <v>1240</v>
      </c>
      <c r="E13">
        <v>515527968</v>
      </c>
      <c r="F13" t="s">
        <v>428</v>
      </c>
      <c r="G13" t="s">
        <v>1241</v>
      </c>
      <c r="H13">
        <v>62017942</v>
      </c>
      <c r="I13" t="s">
        <v>78</v>
      </c>
      <c r="J13" t="s">
        <v>1239</v>
      </c>
      <c r="K13" s="160">
        <v>44262</v>
      </c>
      <c r="L13" s="158">
        <v>1200000</v>
      </c>
      <c r="M13" s="158">
        <v>4746.24</v>
      </c>
      <c r="N13" s="158">
        <v>7401.9999999999791</v>
      </c>
      <c r="O13" s="158">
        <v>29.276390399999915</v>
      </c>
      <c r="P13" s="159">
        <v>6.1683333333333156E-3</v>
      </c>
      <c r="Q13" s="157">
        <v>45814</v>
      </c>
    </row>
    <row r="14" spans="1:17" ht="14.1" customHeight="1">
      <c r="A14" s="9">
        <v>337</v>
      </c>
      <c r="B14">
        <v>9963</v>
      </c>
      <c r="C14" t="s">
        <v>242</v>
      </c>
      <c r="D14" t="s">
        <v>1242</v>
      </c>
      <c r="E14" t="s">
        <v>1243</v>
      </c>
      <c r="F14" t="s">
        <v>765</v>
      </c>
      <c r="G14" t="s">
        <v>1244</v>
      </c>
      <c r="H14">
        <v>62018891</v>
      </c>
      <c r="I14" t="s">
        <v>78</v>
      </c>
      <c r="J14" t="s">
        <v>1239</v>
      </c>
      <c r="K14" s="157">
        <v>44417</v>
      </c>
      <c r="L14" s="158">
        <v>1150000</v>
      </c>
      <c r="M14" s="158">
        <v>4548.4799999999996</v>
      </c>
      <c r="N14" s="158">
        <v>107546.88999999998</v>
      </c>
      <c r="O14" s="158">
        <v>425.36945932799995</v>
      </c>
      <c r="P14" s="159">
        <v>9.3519034782608687E-2</v>
      </c>
      <c r="Q14" s="157">
        <v>46688</v>
      </c>
    </row>
    <row r="15" spans="1:17" ht="14.1" customHeight="1">
      <c r="A15" s="9">
        <v>337</v>
      </c>
      <c r="B15">
        <v>9963</v>
      </c>
      <c r="C15" t="s">
        <v>924</v>
      </c>
      <c r="D15" t="s">
        <v>1245</v>
      </c>
      <c r="E15">
        <v>104909</v>
      </c>
      <c r="F15" t="s">
        <v>765</v>
      </c>
      <c r="G15" t="s">
        <v>1246</v>
      </c>
      <c r="H15">
        <v>62018734</v>
      </c>
      <c r="I15" t="s">
        <v>78</v>
      </c>
      <c r="J15" t="s">
        <v>1215</v>
      </c>
      <c r="K15" s="157">
        <v>44403</v>
      </c>
      <c r="L15" s="158">
        <v>650000</v>
      </c>
      <c r="M15" s="158">
        <v>2191.8000000000002</v>
      </c>
      <c r="N15" s="158">
        <v>130000</v>
      </c>
      <c r="O15" s="158">
        <v>438.36</v>
      </c>
      <c r="P15" s="159">
        <v>0.19999999999999998</v>
      </c>
      <c r="Q15" s="160">
        <v>46948</v>
      </c>
    </row>
    <row r="16" spans="1:17" ht="14.1" customHeight="1">
      <c r="A16" s="9">
        <v>337</v>
      </c>
      <c r="B16">
        <v>9963</v>
      </c>
      <c r="C16" t="s">
        <v>924</v>
      </c>
      <c r="D16" t="s">
        <v>1247</v>
      </c>
      <c r="E16" t="s">
        <v>1232</v>
      </c>
      <c r="F16" t="s">
        <v>765</v>
      </c>
      <c r="G16" t="s">
        <v>1248</v>
      </c>
      <c r="H16">
        <v>62014352</v>
      </c>
      <c r="I16" t="s">
        <v>78</v>
      </c>
      <c r="J16" t="s">
        <v>1215</v>
      </c>
      <c r="K16" s="160">
        <v>43765</v>
      </c>
      <c r="L16" s="158">
        <v>1000000</v>
      </c>
      <c r="M16" s="158">
        <v>3372</v>
      </c>
      <c r="N16" s="158">
        <v>225000</v>
      </c>
      <c r="O16" s="158">
        <v>758.7</v>
      </c>
      <c r="P16" s="159">
        <v>0.22500000000000001</v>
      </c>
      <c r="Q16" s="157">
        <v>47392</v>
      </c>
    </row>
    <row r="17" spans="1:17" ht="14.1" customHeight="1">
      <c r="A17" s="9">
        <v>337</v>
      </c>
      <c r="B17">
        <v>9963</v>
      </c>
      <c r="C17" t="s">
        <v>924</v>
      </c>
      <c r="D17" t="s">
        <v>1231</v>
      </c>
      <c r="E17" t="s">
        <v>1232</v>
      </c>
      <c r="F17" t="s">
        <v>765</v>
      </c>
      <c r="G17" t="s">
        <v>1249</v>
      </c>
      <c r="H17">
        <v>62015433</v>
      </c>
      <c r="I17" t="s">
        <v>78</v>
      </c>
      <c r="J17" t="s">
        <v>1215</v>
      </c>
      <c r="K17" s="160">
        <v>43865</v>
      </c>
      <c r="L17" s="158">
        <v>1750000</v>
      </c>
      <c r="M17" s="158">
        <v>5901</v>
      </c>
      <c r="N17" s="158">
        <v>350000</v>
      </c>
      <c r="O17" s="158">
        <v>1180.2</v>
      </c>
      <c r="P17" s="159">
        <v>0.2</v>
      </c>
      <c r="Q17" s="160">
        <v>47392</v>
      </c>
    </row>
    <row r="18" spans="1:17" ht="14.1" customHeight="1">
      <c r="A18" s="9">
        <v>337</v>
      </c>
      <c r="B18">
        <v>9963</v>
      </c>
      <c r="C18" t="s">
        <v>280</v>
      </c>
      <c r="D18" t="s">
        <v>1250</v>
      </c>
      <c r="E18">
        <v>6196719</v>
      </c>
      <c r="F18" t="s">
        <v>765</v>
      </c>
      <c r="G18" t="s">
        <v>1251</v>
      </c>
      <c r="H18">
        <v>62021076</v>
      </c>
      <c r="I18" t="s">
        <v>78</v>
      </c>
      <c r="J18" t="s">
        <v>1215</v>
      </c>
      <c r="K18" s="157">
        <v>44938</v>
      </c>
      <c r="L18" s="158">
        <v>1000000</v>
      </c>
      <c r="M18" s="158">
        <v>3372</v>
      </c>
      <c r="N18" s="158">
        <v>90000</v>
      </c>
      <c r="O18" s="158">
        <v>303.48</v>
      </c>
      <c r="P18" s="159">
        <v>9.0000000000000011E-2</v>
      </c>
      <c r="Q18" s="157">
        <v>46203</v>
      </c>
    </row>
    <row r="19" spans="1:17" ht="14.1" customHeight="1">
      <c r="A19" s="9">
        <v>337</v>
      </c>
      <c r="B19">
        <v>9963</v>
      </c>
      <c r="C19" t="s">
        <v>924</v>
      </c>
      <c r="D19" t="s">
        <v>1252</v>
      </c>
      <c r="E19">
        <v>515333862</v>
      </c>
      <c r="F19" t="s">
        <v>428</v>
      </c>
      <c r="G19" t="s">
        <v>1253</v>
      </c>
      <c r="H19">
        <v>62000395</v>
      </c>
      <c r="I19" t="s">
        <v>78</v>
      </c>
      <c r="J19" t="s">
        <v>1215</v>
      </c>
      <c r="K19" s="160">
        <v>42762</v>
      </c>
      <c r="L19" s="158">
        <v>1200000</v>
      </c>
      <c r="M19" s="158">
        <v>4046.4</v>
      </c>
      <c r="N19" s="158">
        <v>66000</v>
      </c>
      <c r="O19" s="158">
        <v>222.55199999999999</v>
      </c>
      <c r="P19" s="159">
        <v>5.5E-2</v>
      </c>
      <c r="Q19" s="157">
        <v>46006</v>
      </c>
    </row>
    <row r="20" spans="1:17" ht="14.1" customHeight="1">
      <c r="A20" s="9">
        <v>337</v>
      </c>
      <c r="B20">
        <v>9963</v>
      </c>
      <c r="C20" t="s">
        <v>924</v>
      </c>
      <c r="D20" t="s">
        <v>1254</v>
      </c>
      <c r="E20">
        <v>540285145</v>
      </c>
      <c r="F20" t="s">
        <v>431</v>
      </c>
      <c r="G20" t="s">
        <v>1255</v>
      </c>
      <c r="H20">
        <v>62018080</v>
      </c>
      <c r="I20" t="s">
        <v>78</v>
      </c>
      <c r="J20" t="s">
        <v>1215</v>
      </c>
      <c r="K20" s="160">
        <v>43572</v>
      </c>
      <c r="L20" s="158">
        <v>875000</v>
      </c>
      <c r="M20" s="158">
        <v>2950.5</v>
      </c>
      <c r="N20" s="158">
        <v>268945</v>
      </c>
      <c r="O20" s="158">
        <v>906.88254000000006</v>
      </c>
      <c r="P20" s="159">
        <v>0.3073657142857143</v>
      </c>
      <c r="Q20" s="160">
        <v>46112</v>
      </c>
    </row>
    <row r="21" spans="1:17" ht="14.1" customHeight="1">
      <c r="A21" s="9">
        <v>337</v>
      </c>
      <c r="B21">
        <v>9963</v>
      </c>
      <c r="C21" t="s">
        <v>924</v>
      </c>
      <c r="D21" t="s">
        <v>1256</v>
      </c>
      <c r="E21" t="s">
        <v>1257</v>
      </c>
      <c r="F21" t="s">
        <v>765</v>
      </c>
      <c r="G21" t="s">
        <v>1258</v>
      </c>
      <c r="H21">
        <v>50000967</v>
      </c>
      <c r="I21" t="s">
        <v>78</v>
      </c>
      <c r="J21" t="s">
        <v>1259</v>
      </c>
      <c r="K21" s="157">
        <v>43782</v>
      </c>
      <c r="L21" s="158">
        <v>3600000</v>
      </c>
      <c r="M21" s="158">
        <v>3600</v>
      </c>
      <c r="N21" s="158">
        <v>1080000</v>
      </c>
      <c r="O21" s="158">
        <v>1080</v>
      </c>
      <c r="P21" s="159">
        <v>0.3</v>
      </c>
      <c r="Q21" s="157">
        <v>46691</v>
      </c>
    </row>
    <row r="22" spans="1:17" ht="14.1" customHeight="1">
      <c r="A22" s="9">
        <v>337</v>
      </c>
      <c r="B22">
        <v>9963</v>
      </c>
      <c r="C22" t="s">
        <v>924</v>
      </c>
      <c r="D22" t="s">
        <v>1260</v>
      </c>
      <c r="E22" t="s">
        <v>1261</v>
      </c>
      <c r="F22" t="s">
        <v>765</v>
      </c>
      <c r="G22" t="s">
        <v>1262</v>
      </c>
      <c r="H22">
        <v>50007947</v>
      </c>
      <c r="I22" t="s">
        <v>78</v>
      </c>
      <c r="J22" t="s">
        <v>1259</v>
      </c>
      <c r="K22" s="157">
        <v>45039</v>
      </c>
      <c r="L22" s="158">
        <v>5000000</v>
      </c>
      <c r="M22" s="158">
        <v>5000</v>
      </c>
      <c r="N22" s="158">
        <v>3150000</v>
      </c>
      <c r="O22" s="158">
        <v>3150</v>
      </c>
      <c r="P22" s="159">
        <v>0.63</v>
      </c>
      <c r="Q22" s="157">
        <v>47923</v>
      </c>
    </row>
    <row r="23" spans="1:17" ht="14.1" customHeight="1">
      <c r="A23" s="9">
        <v>337</v>
      </c>
      <c r="B23">
        <v>9963</v>
      </c>
      <c r="C23" t="s">
        <v>747</v>
      </c>
      <c r="D23" t="s">
        <v>1263</v>
      </c>
      <c r="E23">
        <v>4352472</v>
      </c>
      <c r="F23" t="s">
        <v>765</v>
      </c>
      <c r="G23" t="s">
        <v>1264</v>
      </c>
      <c r="H23">
        <v>62019021</v>
      </c>
      <c r="I23" t="s">
        <v>78</v>
      </c>
      <c r="J23" t="s">
        <v>1215</v>
      </c>
      <c r="K23" s="157">
        <v>44431</v>
      </c>
      <c r="L23" s="158">
        <v>1500000</v>
      </c>
      <c r="M23" s="158">
        <v>5058</v>
      </c>
      <c r="N23" s="158">
        <v>499434.1</v>
      </c>
      <c r="O23" s="158">
        <v>1684.0917851999998</v>
      </c>
      <c r="P23" s="159">
        <v>0.33295606666666661</v>
      </c>
      <c r="Q23" s="157">
        <v>46727</v>
      </c>
    </row>
    <row r="24" spans="1:17" ht="14.1" customHeight="1">
      <c r="A24" s="9">
        <v>337</v>
      </c>
      <c r="B24">
        <v>9963</v>
      </c>
      <c r="C24" t="s">
        <v>924</v>
      </c>
      <c r="D24" t="s">
        <v>1265</v>
      </c>
      <c r="E24">
        <v>11744</v>
      </c>
      <c r="F24" t="s">
        <v>765</v>
      </c>
      <c r="G24" t="s">
        <v>1266</v>
      </c>
      <c r="H24">
        <v>62010970</v>
      </c>
      <c r="I24" t="s">
        <v>78</v>
      </c>
      <c r="J24" t="s">
        <v>1215</v>
      </c>
      <c r="K24" s="160">
        <v>43507</v>
      </c>
      <c r="L24" s="158">
        <v>1300000</v>
      </c>
      <c r="M24" s="158">
        <v>4383.6000000000004</v>
      </c>
      <c r="N24" s="158">
        <v>74467.790000000081</v>
      </c>
      <c r="O24" s="158">
        <v>251.10538788000028</v>
      </c>
      <c r="P24" s="159">
        <v>5.728291538461544E-2</v>
      </c>
      <c r="Q24" s="157">
        <v>47119</v>
      </c>
    </row>
    <row r="25" spans="1:17" ht="14.1" customHeight="1">
      <c r="A25" s="9">
        <v>337</v>
      </c>
      <c r="B25">
        <v>9963</v>
      </c>
      <c r="C25" t="s">
        <v>280</v>
      </c>
      <c r="D25" t="s">
        <v>1267</v>
      </c>
      <c r="E25">
        <v>6589505</v>
      </c>
      <c r="F25" t="s">
        <v>765</v>
      </c>
      <c r="G25" t="s">
        <v>1268</v>
      </c>
      <c r="H25">
        <v>62021001</v>
      </c>
      <c r="I25" t="s">
        <v>78</v>
      </c>
      <c r="J25" t="s">
        <v>1215</v>
      </c>
      <c r="K25" s="157">
        <v>44887</v>
      </c>
      <c r="L25" s="158">
        <v>1000000</v>
      </c>
      <c r="M25" s="158">
        <v>3372</v>
      </c>
      <c r="N25" s="158">
        <v>396143.06000000006</v>
      </c>
      <c r="O25" s="158">
        <v>1335.7943983200003</v>
      </c>
      <c r="P25" s="159">
        <v>0.3961430600000001</v>
      </c>
      <c r="Q25" s="157">
        <v>46608</v>
      </c>
    </row>
    <row r="26" spans="1:17" ht="14.1" customHeight="1">
      <c r="A26" s="9">
        <v>337</v>
      </c>
      <c r="B26">
        <v>9963</v>
      </c>
      <c r="C26" t="s">
        <v>241</v>
      </c>
      <c r="D26" t="s">
        <v>1269</v>
      </c>
      <c r="E26">
        <v>6858778</v>
      </c>
      <c r="F26" t="s">
        <v>765</v>
      </c>
      <c r="G26" t="s">
        <v>1269</v>
      </c>
      <c r="H26">
        <v>62021175</v>
      </c>
      <c r="I26" t="s">
        <v>78</v>
      </c>
      <c r="J26" t="s">
        <v>1215</v>
      </c>
      <c r="K26" s="157">
        <v>45057</v>
      </c>
      <c r="L26" s="158">
        <v>800000</v>
      </c>
      <c r="M26" s="158">
        <v>2697.6</v>
      </c>
      <c r="N26" s="158">
        <v>472373.88</v>
      </c>
      <c r="O26" s="158">
        <v>1592.84472336</v>
      </c>
      <c r="P26" s="159">
        <v>0.59046735000000006</v>
      </c>
      <c r="Q26" s="157">
        <v>46022</v>
      </c>
    </row>
    <row r="27" spans="1:17" ht="14.1" customHeight="1">
      <c r="A27" s="9">
        <v>337</v>
      </c>
      <c r="B27">
        <v>9963</v>
      </c>
      <c r="C27" t="s">
        <v>747</v>
      </c>
      <c r="D27" t="s">
        <v>1270</v>
      </c>
      <c r="E27">
        <v>310223474</v>
      </c>
      <c r="F27" t="s">
        <v>765</v>
      </c>
      <c r="G27" t="s">
        <v>1271</v>
      </c>
      <c r="H27">
        <v>62019740</v>
      </c>
      <c r="I27" t="s">
        <v>78</v>
      </c>
      <c r="J27" t="s">
        <v>1215</v>
      </c>
      <c r="K27" s="157">
        <v>44518</v>
      </c>
      <c r="L27" s="158">
        <v>1250000</v>
      </c>
      <c r="M27" s="158">
        <v>4215</v>
      </c>
      <c r="N27" s="158">
        <v>55302.000000000015</v>
      </c>
      <c r="O27" s="158">
        <v>186.47834400000005</v>
      </c>
      <c r="P27" s="159">
        <v>4.4241600000000013E-2</v>
      </c>
      <c r="Q27" s="157">
        <v>49041</v>
      </c>
    </row>
    <row r="28" spans="1:17" ht="14.1" customHeight="1">
      <c r="A28" s="9">
        <v>337</v>
      </c>
      <c r="B28">
        <v>9963</v>
      </c>
      <c r="C28" t="s">
        <v>242</v>
      </c>
      <c r="D28" t="s">
        <v>1272</v>
      </c>
      <c r="E28" t="s">
        <v>1273</v>
      </c>
      <c r="F28" t="s">
        <v>765</v>
      </c>
      <c r="G28" t="s">
        <v>1274</v>
      </c>
      <c r="H28">
        <v>62021282</v>
      </c>
      <c r="I28" t="s">
        <v>78</v>
      </c>
      <c r="J28" t="s">
        <v>1215</v>
      </c>
      <c r="K28" s="157">
        <v>45132</v>
      </c>
      <c r="L28" s="158">
        <v>650000</v>
      </c>
      <c r="M28" s="158">
        <v>2191.8000000000002</v>
      </c>
      <c r="N28" s="158">
        <v>197933.00000000003</v>
      </c>
      <c r="O28" s="158">
        <v>667.4300760000001</v>
      </c>
      <c r="P28" s="159">
        <v>0.30451230769230769</v>
      </c>
      <c r="Q28" s="157">
        <v>46310</v>
      </c>
    </row>
    <row r="29" spans="1:17" ht="14.1" customHeight="1">
      <c r="A29" s="9">
        <v>337</v>
      </c>
      <c r="B29">
        <v>9963</v>
      </c>
      <c r="C29" t="s">
        <v>924</v>
      </c>
      <c r="D29" t="s">
        <v>1275</v>
      </c>
      <c r="E29">
        <v>540297413</v>
      </c>
      <c r="F29" t="s">
        <v>431</v>
      </c>
      <c r="G29" t="s">
        <v>1276</v>
      </c>
      <c r="H29">
        <v>62018569</v>
      </c>
      <c r="I29" t="s">
        <v>78</v>
      </c>
      <c r="J29" t="s">
        <v>1215</v>
      </c>
      <c r="K29" s="157">
        <v>44384</v>
      </c>
      <c r="L29" s="158">
        <v>600000</v>
      </c>
      <c r="M29" s="158">
        <v>2023.2</v>
      </c>
      <c r="N29" s="158">
        <v>152606</v>
      </c>
      <c r="O29" s="158">
        <v>514.58743200000004</v>
      </c>
      <c r="P29" s="159">
        <v>0.25434333333333337</v>
      </c>
      <c r="Q29" s="157">
        <v>46022</v>
      </c>
    </row>
    <row r="30" spans="1:17" ht="14.1" customHeight="1">
      <c r="A30" s="9">
        <v>337</v>
      </c>
      <c r="B30">
        <v>9963</v>
      </c>
      <c r="C30" t="s">
        <v>747</v>
      </c>
      <c r="D30" t="s">
        <v>1277</v>
      </c>
      <c r="E30" t="s">
        <v>1278</v>
      </c>
      <c r="F30" t="s">
        <v>765</v>
      </c>
      <c r="G30" t="s">
        <v>1279</v>
      </c>
      <c r="H30">
        <v>62014592</v>
      </c>
      <c r="I30" t="s">
        <v>78</v>
      </c>
      <c r="J30" t="s">
        <v>1215</v>
      </c>
      <c r="K30" s="160">
        <v>43787</v>
      </c>
      <c r="L30" s="158">
        <v>1000000</v>
      </c>
      <c r="M30" s="158">
        <v>3372</v>
      </c>
      <c r="N30" s="158">
        <v>86751</v>
      </c>
      <c r="O30" s="158">
        <v>292.52437199999997</v>
      </c>
      <c r="P30" s="159">
        <v>8.6750999999999995E-2</v>
      </c>
      <c r="Q30" s="157">
        <v>46997</v>
      </c>
    </row>
    <row r="31" spans="1:17" ht="14.1" customHeight="1">
      <c r="A31" s="9">
        <v>337</v>
      </c>
      <c r="B31">
        <v>9963</v>
      </c>
      <c r="C31" t="s">
        <v>924</v>
      </c>
      <c r="D31" t="s">
        <v>1280</v>
      </c>
      <c r="E31">
        <v>111401</v>
      </c>
      <c r="F31" t="s">
        <v>765</v>
      </c>
      <c r="G31" t="s">
        <v>1281</v>
      </c>
      <c r="H31">
        <v>62018254</v>
      </c>
      <c r="I31" t="s">
        <v>78</v>
      </c>
      <c r="J31" t="s">
        <v>1215</v>
      </c>
      <c r="K31" s="157">
        <v>44327</v>
      </c>
      <c r="L31" s="158">
        <v>450000</v>
      </c>
      <c r="M31" s="158">
        <v>1517.4</v>
      </c>
      <c r="N31" s="158">
        <v>67500</v>
      </c>
      <c r="O31" s="158">
        <v>227.61</v>
      </c>
      <c r="P31" s="159">
        <v>0.15</v>
      </c>
      <c r="Q31" s="157">
        <v>46022</v>
      </c>
    </row>
    <row r="32" spans="1:17" ht="14.1" customHeight="1">
      <c r="A32" s="9">
        <v>337</v>
      </c>
      <c r="B32">
        <v>9963</v>
      </c>
      <c r="C32" t="s">
        <v>924</v>
      </c>
      <c r="D32" t="s">
        <v>1282</v>
      </c>
      <c r="E32">
        <v>550256168</v>
      </c>
      <c r="F32" t="s">
        <v>431</v>
      </c>
      <c r="G32" t="s">
        <v>1283</v>
      </c>
      <c r="H32">
        <v>60407392</v>
      </c>
      <c r="I32" t="s">
        <v>78</v>
      </c>
      <c r="J32" t="s">
        <v>1215</v>
      </c>
      <c r="K32" s="160">
        <v>42516</v>
      </c>
      <c r="L32" s="158">
        <v>425000</v>
      </c>
      <c r="M32" s="158">
        <v>1433.1</v>
      </c>
      <c r="N32" s="158">
        <v>3187.0000000000041</v>
      </c>
      <c r="O32" s="158">
        <v>10.746564000000014</v>
      </c>
      <c r="P32" s="159">
        <v>7.4988235294117748E-3</v>
      </c>
      <c r="Q32" s="157">
        <v>44469</v>
      </c>
    </row>
    <row r="33" spans="1:17" ht="14.1" customHeight="1">
      <c r="A33" s="9">
        <v>337</v>
      </c>
      <c r="B33">
        <v>9963</v>
      </c>
      <c r="C33" t="s">
        <v>241</v>
      </c>
      <c r="D33" t="s">
        <v>1284</v>
      </c>
      <c r="E33" t="s">
        <v>1285</v>
      </c>
      <c r="F33" t="s">
        <v>765</v>
      </c>
      <c r="G33" t="s">
        <v>1286</v>
      </c>
      <c r="H33">
        <v>620211181</v>
      </c>
      <c r="I33" t="s">
        <v>78</v>
      </c>
      <c r="J33" t="s">
        <v>1287</v>
      </c>
      <c r="K33" s="157">
        <v>44950</v>
      </c>
      <c r="L33" s="158">
        <v>750000</v>
      </c>
      <c r="M33" s="158">
        <v>3467.7</v>
      </c>
      <c r="N33" s="158">
        <v>602601.15000000014</v>
      </c>
      <c r="O33" s="158">
        <v>2786.1866771400005</v>
      </c>
      <c r="P33" s="159">
        <v>0.80346820000000019</v>
      </c>
      <c r="Q33" s="157">
        <v>45939</v>
      </c>
    </row>
    <row r="34" spans="1:17" ht="14.1" customHeight="1">
      <c r="A34" s="9">
        <v>337</v>
      </c>
      <c r="B34">
        <v>9963</v>
      </c>
      <c r="C34" t="s">
        <v>924</v>
      </c>
      <c r="D34" t="s">
        <v>1288</v>
      </c>
      <c r="E34" t="s">
        <v>1289</v>
      </c>
      <c r="F34" t="s">
        <v>765</v>
      </c>
      <c r="G34" t="s">
        <v>1290</v>
      </c>
      <c r="H34">
        <v>62019716</v>
      </c>
      <c r="I34" t="s">
        <v>78</v>
      </c>
      <c r="J34" t="s">
        <v>1239</v>
      </c>
      <c r="K34" s="157">
        <v>44508</v>
      </c>
      <c r="L34" s="158">
        <v>650000</v>
      </c>
      <c r="M34" s="158">
        <v>2570.88</v>
      </c>
      <c r="N34" s="158">
        <v>78000.000000000029</v>
      </c>
      <c r="O34" s="158">
        <v>308.50560000000007</v>
      </c>
      <c r="P34" s="159">
        <v>0.12000000000000002</v>
      </c>
      <c r="Q34" s="157">
        <v>47066</v>
      </c>
    </row>
    <row r="35" spans="1:17" ht="14.1" customHeight="1">
      <c r="A35" s="9">
        <v>337</v>
      </c>
      <c r="B35">
        <v>9963</v>
      </c>
      <c r="C35" t="s">
        <v>924</v>
      </c>
      <c r="D35" t="s">
        <v>1291</v>
      </c>
      <c r="E35">
        <v>107746</v>
      </c>
      <c r="F35" t="s">
        <v>765</v>
      </c>
      <c r="G35" t="s">
        <v>1292</v>
      </c>
      <c r="H35">
        <v>62018965</v>
      </c>
      <c r="I35" t="s">
        <v>78</v>
      </c>
      <c r="J35" t="s">
        <v>1215</v>
      </c>
      <c r="K35" s="157">
        <v>44431</v>
      </c>
      <c r="L35" s="158">
        <v>800000</v>
      </c>
      <c r="M35" s="158">
        <v>2697.6</v>
      </c>
      <c r="N35" s="158">
        <v>120000</v>
      </c>
      <c r="O35" s="158">
        <v>404.64</v>
      </c>
      <c r="P35" s="159">
        <v>0.15</v>
      </c>
      <c r="Q35" s="157">
        <v>46023</v>
      </c>
    </row>
    <row r="36" spans="1:17" ht="14.1" customHeight="1">
      <c r="A36" s="9">
        <v>337</v>
      </c>
      <c r="B36">
        <v>9963</v>
      </c>
      <c r="C36" t="s">
        <v>924</v>
      </c>
      <c r="D36" t="s">
        <v>1293</v>
      </c>
      <c r="E36" t="s">
        <v>1294</v>
      </c>
      <c r="F36" t="s">
        <v>765</v>
      </c>
      <c r="G36" t="s">
        <v>1295</v>
      </c>
      <c r="H36">
        <v>62018098</v>
      </c>
      <c r="I36" t="s">
        <v>78</v>
      </c>
      <c r="J36" t="s">
        <v>1215</v>
      </c>
      <c r="K36" s="160">
        <v>44286</v>
      </c>
      <c r="L36" s="158">
        <v>850000</v>
      </c>
      <c r="M36" s="158">
        <v>2866.2</v>
      </c>
      <c r="N36" s="158">
        <v>369134.89871794864</v>
      </c>
      <c r="O36" s="158">
        <v>1244.7228784769229</v>
      </c>
      <c r="P36" s="159">
        <v>0.43427635143288079</v>
      </c>
      <c r="Q36" s="160">
        <v>46843</v>
      </c>
    </row>
    <row r="37" spans="1:17" ht="14.1" customHeight="1">
      <c r="A37" s="9">
        <v>337</v>
      </c>
      <c r="B37">
        <v>9963</v>
      </c>
      <c r="C37" t="s">
        <v>280</v>
      </c>
      <c r="D37" t="s">
        <v>1296</v>
      </c>
      <c r="E37">
        <v>540327830</v>
      </c>
      <c r="F37" t="s">
        <v>431</v>
      </c>
      <c r="G37" t="s">
        <v>1297</v>
      </c>
      <c r="H37">
        <v>62020938</v>
      </c>
      <c r="I37" t="s">
        <v>78</v>
      </c>
      <c r="J37" t="s">
        <v>1215</v>
      </c>
      <c r="K37" s="157">
        <v>44858</v>
      </c>
      <c r="L37" s="158">
        <v>536911</v>
      </c>
      <c r="M37" s="158">
        <v>1810.463892</v>
      </c>
      <c r="N37" s="158">
        <v>280428</v>
      </c>
      <c r="O37" s="158">
        <v>945.60321599999997</v>
      </c>
      <c r="P37" s="159">
        <v>0.52229885400001119</v>
      </c>
      <c r="Q37" s="157">
        <v>47026</v>
      </c>
    </row>
    <row r="38" spans="1:17" ht="14.1" customHeight="1">
      <c r="A38" s="9">
        <v>337</v>
      </c>
      <c r="B38">
        <v>9963</v>
      </c>
      <c r="C38" t="s">
        <v>924</v>
      </c>
      <c r="D38" t="s">
        <v>1298</v>
      </c>
      <c r="E38">
        <v>382566</v>
      </c>
      <c r="F38" t="s">
        <v>765</v>
      </c>
      <c r="G38" t="s">
        <v>1299</v>
      </c>
      <c r="H38">
        <v>62020284</v>
      </c>
      <c r="I38" t="s">
        <v>78</v>
      </c>
      <c r="J38" t="s">
        <v>1215</v>
      </c>
      <c r="K38" s="157">
        <v>44620</v>
      </c>
      <c r="L38" s="158">
        <v>750000</v>
      </c>
      <c r="M38" s="158">
        <v>2529</v>
      </c>
      <c r="N38" s="158">
        <v>388125</v>
      </c>
      <c r="O38" s="158">
        <v>1308.7574999999999</v>
      </c>
      <c r="P38" s="159">
        <v>0.51749999999999996</v>
      </c>
      <c r="Q38" s="157">
        <v>46739</v>
      </c>
    </row>
    <row r="39" spans="1:17" ht="14.1" customHeight="1">
      <c r="A39" s="9">
        <v>337</v>
      </c>
      <c r="B39">
        <v>9963</v>
      </c>
      <c r="C39" t="s">
        <v>241</v>
      </c>
      <c r="D39" t="s">
        <v>1300</v>
      </c>
      <c r="E39">
        <v>550257125</v>
      </c>
      <c r="F39" t="s">
        <v>431</v>
      </c>
      <c r="G39" t="s">
        <v>1301</v>
      </c>
      <c r="H39">
        <v>50006691</v>
      </c>
      <c r="I39" t="s">
        <v>78</v>
      </c>
      <c r="J39" t="s">
        <v>1259</v>
      </c>
      <c r="K39" s="160">
        <v>43801</v>
      </c>
      <c r="L39" s="158">
        <v>4800000</v>
      </c>
      <c r="M39" s="158">
        <v>4800</v>
      </c>
      <c r="N39" s="158">
        <v>1423512</v>
      </c>
      <c r="O39" s="158">
        <v>1423.5119999999999</v>
      </c>
      <c r="P39" s="159">
        <v>0.29656499999999997</v>
      </c>
      <c r="Q39" s="157">
        <v>46721</v>
      </c>
    </row>
    <row r="40" spans="1:17" ht="14.1" customHeight="1">
      <c r="A40" s="9">
        <v>337</v>
      </c>
      <c r="B40">
        <v>9963</v>
      </c>
      <c r="C40" t="s">
        <v>747</v>
      </c>
      <c r="D40" t="s">
        <v>1302</v>
      </c>
      <c r="E40" t="s">
        <v>1303</v>
      </c>
      <c r="F40" t="s">
        <v>765</v>
      </c>
      <c r="G40" t="s">
        <v>1304</v>
      </c>
      <c r="H40">
        <v>62014261</v>
      </c>
      <c r="I40" t="s">
        <v>78</v>
      </c>
      <c r="J40" t="s">
        <v>1215</v>
      </c>
      <c r="K40" s="160">
        <v>43762</v>
      </c>
      <c r="L40" s="158">
        <v>1750000</v>
      </c>
      <c r="M40" s="158">
        <v>5901</v>
      </c>
      <c r="N40" s="158">
        <v>511460.00000000006</v>
      </c>
      <c r="O40" s="158">
        <v>1724.6431200000002</v>
      </c>
      <c r="P40" s="159">
        <v>0.29226285714285716</v>
      </c>
      <c r="Q40" s="157">
        <v>47392</v>
      </c>
    </row>
    <row r="41" spans="1:17" ht="14.1" customHeight="1">
      <c r="A41" s="9">
        <v>337</v>
      </c>
      <c r="B41">
        <v>9963</v>
      </c>
      <c r="C41" t="s">
        <v>924</v>
      </c>
      <c r="D41" t="s">
        <v>1305</v>
      </c>
      <c r="E41">
        <v>516445962</v>
      </c>
      <c r="F41" t="s">
        <v>428</v>
      </c>
      <c r="G41" t="s">
        <v>1306</v>
      </c>
      <c r="H41">
        <v>62020158</v>
      </c>
      <c r="I41" t="s">
        <v>78</v>
      </c>
      <c r="J41" t="s">
        <v>1259</v>
      </c>
      <c r="K41" s="157">
        <v>44598</v>
      </c>
      <c r="L41" s="158">
        <v>4770559</v>
      </c>
      <c r="M41" s="158">
        <v>4770.5590000000002</v>
      </c>
      <c r="N41" s="158">
        <v>1717713</v>
      </c>
      <c r="O41" s="158">
        <v>1717.713</v>
      </c>
      <c r="P41" s="159">
        <v>0.36006535083205132</v>
      </c>
      <c r="Q41" s="157">
        <v>46284</v>
      </c>
    </row>
    <row r="42" spans="1:17" ht="14.1" customHeight="1">
      <c r="A42" s="9">
        <v>337</v>
      </c>
      <c r="B42">
        <v>9963</v>
      </c>
      <c r="C42" t="s">
        <v>241</v>
      </c>
      <c r="D42" t="s">
        <v>1307</v>
      </c>
      <c r="E42">
        <v>0</v>
      </c>
      <c r="F42" t="s">
        <v>765</v>
      </c>
      <c r="G42" t="s">
        <v>1308</v>
      </c>
      <c r="H42">
        <v>9840688</v>
      </c>
      <c r="I42" t="s">
        <v>78</v>
      </c>
      <c r="J42" t="s">
        <v>1239</v>
      </c>
      <c r="K42" s="157">
        <v>41988</v>
      </c>
      <c r="L42" s="158">
        <v>500000</v>
      </c>
      <c r="M42" s="158">
        <v>1977.6</v>
      </c>
      <c r="N42" s="158">
        <v>45000</v>
      </c>
      <c r="O42" s="158">
        <v>177.98400000000001</v>
      </c>
      <c r="P42" s="159">
        <v>9.0000000000000011E-2</v>
      </c>
      <c r="Q42" s="157">
        <v>46022</v>
      </c>
    </row>
    <row r="43" spans="1:17" ht="14.1" customHeight="1">
      <c r="A43" s="9">
        <v>337</v>
      </c>
      <c r="B43">
        <v>9963</v>
      </c>
      <c r="C43" t="s">
        <v>924</v>
      </c>
      <c r="D43" t="s">
        <v>1309</v>
      </c>
      <c r="E43">
        <v>540294501</v>
      </c>
      <c r="F43" t="s">
        <v>431</v>
      </c>
      <c r="G43" t="s">
        <v>1310</v>
      </c>
      <c r="H43">
        <v>62017520</v>
      </c>
      <c r="I43" t="s">
        <v>78</v>
      </c>
      <c r="J43" t="s">
        <v>1215</v>
      </c>
      <c r="K43" s="160">
        <v>44117</v>
      </c>
      <c r="L43" s="158">
        <v>1200000</v>
      </c>
      <c r="M43" s="158">
        <v>4046.4</v>
      </c>
      <c r="N43" s="158">
        <v>168000</v>
      </c>
      <c r="O43" s="158">
        <v>566.49599999999998</v>
      </c>
      <c r="P43" s="159">
        <v>0.13999999999999999</v>
      </c>
      <c r="Q43" s="161">
        <v>46996</v>
      </c>
    </row>
    <row r="44" spans="1:17" ht="14.1" customHeight="1">
      <c r="A44" s="9">
        <v>337</v>
      </c>
      <c r="B44">
        <v>9963</v>
      </c>
      <c r="C44" s="162" t="s">
        <v>242</v>
      </c>
      <c r="D44" s="162" t="s">
        <v>1311</v>
      </c>
      <c r="E44" s="162">
        <v>1987624</v>
      </c>
      <c r="F44" s="162" t="s">
        <v>765</v>
      </c>
      <c r="G44" s="163" t="s">
        <v>1312</v>
      </c>
      <c r="H44">
        <v>62022132</v>
      </c>
      <c r="I44" t="s">
        <v>78</v>
      </c>
      <c r="J44" s="163" t="s">
        <v>1215</v>
      </c>
      <c r="K44" s="164">
        <v>45107</v>
      </c>
      <c r="L44" s="158">
        <v>850000</v>
      </c>
      <c r="M44" s="158">
        <v>2866.2</v>
      </c>
      <c r="N44" s="158">
        <v>478469.26000000007</v>
      </c>
      <c r="O44" s="158">
        <v>1613.3983447200001</v>
      </c>
      <c r="P44" s="159">
        <v>0.56290501176470598</v>
      </c>
      <c r="Q44" s="157">
        <v>47299</v>
      </c>
    </row>
    <row r="45" spans="1:17" ht="14.1" customHeight="1">
      <c r="A45" s="9">
        <v>337</v>
      </c>
      <c r="B45">
        <v>9963</v>
      </c>
      <c r="C45" t="s">
        <v>241</v>
      </c>
      <c r="D45" s="165" t="s">
        <v>1313</v>
      </c>
      <c r="E45" s="162" t="s">
        <v>1314</v>
      </c>
      <c r="F45" t="s">
        <v>765</v>
      </c>
      <c r="G45" s="163" t="s">
        <v>1315</v>
      </c>
      <c r="H45">
        <v>62022363</v>
      </c>
      <c r="I45" s="166" t="s">
        <v>78</v>
      </c>
      <c r="J45" t="s">
        <v>1239</v>
      </c>
      <c r="K45" s="160">
        <v>45777</v>
      </c>
      <c r="L45" s="158">
        <v>500000</v>
      </c>
      <c r="M45" s="158">
        <v>1977.6</v>
      </c>
      <c r="N45" s="158">
        <v>303748.21999999997</v>
      </c>
      <c r="O45" s="158">
        <v>1201.3849597439998</v>
      </c>
      <c r="P45" s="159">
        <v>0.60749643999999992</v>
      </c>
      <c r="Q45" s="157">
        <v>48699</v>
      </c>
    </row>
    <row r="46" spans="1:17" ht="14.1" customHeight="1">
      <c r="A46" s="9">
        <v>337</v>
      </c>
      <c r="B46">
        <v>9962</v>
      </c>
      <c r="C46" t="s">
        <v>280</v>
      </c>
      <c r="D46" t="s">
        <v>1229</v>
      </c>
      <c r="E46">
        <v>3935</v>
      </c>
      <c r="F46" t="s">
        <v>765</v>
      </c>
      <c r="G46" t="s">
        <v>1230</v>
      </c>
      <c r="H46">
        <v>62019286</v>
      </c>
      <c r="I46" t="s">
        <v>78</v>
      </c>
      <c r="J46" t="s">
        <v>1215</v>
      </c>
      <c r="K46" s="157">
        <v>44441</v>
      </c>
      <c r="L46" s="158">
        <v>20000</v>
      </c>
      <c r="M46" s="158">
        <v>67.44</v>
      </c>
      <c r="N46" s="158">
        <v>5199.63</v>
      </c>
      <c r="O46" s="158">
        <v>17.533149999999999</v>
      </c>
      <c r="P46" s="159">
        <v>0.25998146500593117</v>
      </c>
      <c r="Q46" s="157">
        <v>45987</v>
      </c>
    </row>
    <row r="47" spans="1:17" ht="14.1" customHeight="1">
      <c r="A47" s="9">
        <v>337</v>
      </c>
      <c r="B47">
        <v>9964</v>
      </c>
      <c r="C47" t="s">
        <v>280</v>
      </c>
      <c r="D47" t="s">
        <v>1229</v>
      </c>
      <c r="E47">
        <v>3935</v>
      </c>
      <c r="F47" t="s">
        <v>765</v>
      </c>
      <c r="G47" t="s">
        <v>1230</v>
      </c>
      <c r="H47">
        <v>62019286</v>
      </c>
      <c r="I47" t="s">
        <v>78</v>
      </c>
      <c r="J47" t="s">
        <v>1215</v>
      </c>
      <c r="K47" s="157">
        <v>44441</v>
      </c>
      <c r="L47" s="158">
        <v>30000</v>
      </c>
      <c r="M47" s="158">
        <v>101.16</v>
      </c>
      <c r="N47" s="158">
        <v>7798.45</v>
      </c>
      <c r="O47" s="158">
        <v>26.29637</v>
      </c>
      <c r="P47" s="159">
        <v>0.25994829972321076</v>
      </c>
      <c r="Q47" s="157">
        <v>45987</v>
      </c>
    </row>
  </sheetData>
  <sheetProtection formatColumns="0"/>
  <dataConsolidate/>
  <dataValidations count="2">
    <dataValidation type="list" allowBlank="1" showInputMessage="1" showErrorMessage="1" sqref="F20 F2:F14" xr:uid="{A0875A12-0704-4074-9020-87CB559F7134}">
      <formula1>Issuer_Number_Fund</formula1>
    </dataValidation>
    <dataValidation type="list" allowBlank="1" showInputMessage="1" showErrorMessage="1" sqref="I46:I47 I2:I44" xr:uid="{D33D0BA2-5EEF-4254-8117-76D8314F995C}">
      <formula1>Type_of_Security_ID_Fund</formula1>
    </dataValidation>
  </dataValidations>
  <hyperlinks>
    <hyperlink ref="E44" display="https://www.sec.gov/cgi-bin/browse-edgar?action=getcompany&amp;CIK=0001987624" xr:uid="{79833507-8EB5-478C-A4E2-1712AF63F7C5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zeroHeight="1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hidden="1" customWidth="1"/>
    <col min="6" max="16384" width="0" style="18" hidden="1"/>
  </cols>
  <sheetData>
    <row r="1" spans="1:5" s="61" customFormat="1" ht="45">
      <c r="A1" s="60" t="s">
        <v>588</v>
      </c>
      <c r="B1" s="60" t="s">
        <v>334</v>
      </c>
      <c r="C1" s="60" t="s">
        <v>335</v>
      </c>
      <c r="D1" s="60" t="s">
        <v>373</v>
      </c>
      <c r="E1" s="18"/>
    </row>
    <row r="2" spans="1:5">
      <c r="A2" s="96"/>
      <c r="B2" s="96" t="s">
        <v>668</v>
      </c>
      <c r="C2" s="25" t="s">
        <v>53</v>
      </c>
      <c r="D2" s="25"/>
    </row>
    <row r="3" spans="1:5">
      <c r="A3" s="97"/>
      <c r="B3" s="97"/>
      <c r="C3" s="25" t="s">
        <v>61</v>
      </c>
      <c r="D3" s="25"/>
    </row>
    <row r="4" spans="1:5" ht="42.75">
      <c r="A4" s="89"/>
      <c r="B4" s="117" t="s">
        <v>781</v>
      </c>
      <c r="C4" s="26" t="s">
        <v>53</v>
      </c>
      <c r="D4" s="26"/>
    </row>
    <row r="5" spans="1:5">
      <c r="A5" s="90"/>
      <c r="B5" s="118"/>
      <c r="C5" s="26" t="s">
        <v>59</v>
      </c>
      <c r="D5" s="26"/>
    </row>
    <row r="6" spans="1:5">
      <c r="A6" s="90"/>
      <c r="B6" s="118"/>
      <c r="C6" s="26" t="s">
        <v>67</v>
      </c>
      <c r="D6" s="26"/>
    </row>
    <row r="7" spans="1:5">
      <c r="A7" s="90"/>
      <c r="B7" s="118"/>
      <c r="C7" s="26" t="s">
        <v>74</v>
      </c>
      <c r="D7" s="26"/>
    </row>
    <row r="8" spans="1:5">
      <c r="A8" s="90"/>
      <c r="B8" s="118"/>
      <c r="C8" s="26" t="s">
        <v>81</v>
      </c>
      <c r="D8" s="26"/>
    </row>
    <row r="9" spans="1:5">
      <c r="A9" s="90"/>
      <c r="B9" s="118"/>
      <c r="C9" s="26" t="s">
        <v>927</v>
      </c>
      <c r="D9" s="26"/>
    </row>
    <row r="10" spans="1:5">
      <c r="A10" s="90"/>
      <c r="B10" s="118"/>
      <c r="C10" s="26" t="s">
        <v>92</v>
      </c>
      <c r="D10" s="26"/>
    </row>
    <row r="11" spans="1:5">
      <c r="A11" s="90"/>
      <c r="B11" s="118"/>
      <c r="C11" s="26" t="s">
        <v>958</v>
      </c>
      <c r="D11" s="26"/>
      <c r="E11" s="18" t="s">
        <v>1180</v>
      </c>
    </row>
    <row r="12" spans="1:5">
      <c r="A12" s="90"/>
      <c r="B12" s="118"/>
      <c r="C12" s="26" t="s">
        <v>959</v>
      </c>
      <c r="D12" s="26"/>
      <c r="E12" s="18" t="s">
        <v>1180</v>
      </c>
    </row>
    <row r="13" spans="1:5">
      <c r="A13" s="90"/>
      <c r="B13" s="118"/>
      <c r="C13" s="26" t="s">
        <v>104</v>
      </c>
      <c r="D13" s="26"/>
    </row>
    <row r="14" spans="1:5">
      <c r="A14" s="90"/>
      <c r="B14" s="118"/>
      <c r="C14" s="26" t="s">
        <v>109</v>
      </c>
      <c r="D14" s="26"/>
    </row>
    <row r="15" spans="1:5">
      <c r="A15" s="90"/>
      <c r="B15" s="118"/>
      <c r="C15" s="26" t="s">
        <v>111</v>
      </c>
      <c r="D15" s="26"/>
    </row>
    <row r="16" spans="1:5">
      <c r="A16" s="90"/>
      <c r="B16" s="118"/>
      <c r="C16" s="26" t="s">
        <v>114</v>
      </c>
      <c r="D16" s="26"/>
    </row>
    <row r="17" spans="1:4">
      <c r="A17" s="90"/>
      <c r="B17" s="118"/>
      <c r="C17" s="26" t="s">
        <v>117</v>
      </c>
      <c r="D17" s="26"/>
    </row>
    <row r="18" spans="1:4">
      <c r="A18" s="90"/>
      <c r="B18" s="118"/>
      <c r="C18" s="26" t="s">
        <v>120</v>
      </c>
      <c r="D18" s="26"/>
    </row>
    <row r="19" spans="1:4">
      <c r="A19" s="90"/>
      <c r="B19" s="118"/>
      <c r="C19" s="26" t="s">
        <v>123</v>
      </c>
      <c r="D19" s="26"/>
    </row>
    <row r="20" spans="1:4">
      <c r="A20" s="90"/>
      <c r="B20" s="118"/>
      <c r="C20" s="26" t="s">
        <v>125</v>
      </c>
      <c r="D20" s="26"/>
    </row>
    <row r="21" spans="1:4">
      <c r="A21" s="90"/>
      <c r="B21" s="118"/>
      <c r="C21" s="26" t="s">
        <v>314</v>
      </c>
      <c r="D21" s="26"/>
    </row>
    <row r="22" spans="1:4">
      <c r="A22" s="90"/>
      <c r="B22" s="118"/>
      <c r="C22" s="26" t="s">
        <v>128</v>
      </c>
      <c r="D22" s="26"/>
    </row>
    <row r="23" spans="1:4">
      <c r="A23" s="90"/>
      <c r="B23" s="118"/>
      <c r="C23" s="26" t="s">
        <v>131</v>
      </c>
      <c r="D23" s="26"/>
    </row>
    <row r="24" spans="1:4">
      <c r="A24" s="90"/>
      <c r="B24" s="118"/>
      <c r="C24" s="26" t="s">
        <v>132</v>
      </c>
      <c r="D24" s="26"/>
    </row>
    <row r="25" spans="1:4">
      <c r="A25" s="90"/>
      <c r="B25" s="118"/>
      <c r="C25" s="26" t="s">
        <v>134</v>
      </c>
      <c r="D25" s="26"/>
    </row>
    <row r="26" spans="1:4">
      <c r="A26" s="90"/>
      <c r="B26" s="118"/>
      <c r="C26" s="26" t="s">
        <v>136</v>
      </c>
      <c r="D26" s="26"/>
    </row>
    <row r="27" spans="1:4">
      <c r="A27" s="90"/>
      <c r="B27" s="118"/>
      <c r="C27" s="26" t="s">
        <v>138</v>
      </c>
      <c r="D27" s="26"/>
    </row>
    <row r="28" spans="1:4">
      <c r="A28" s="90"/>
      <c r="B28" s="118"/>
      <c r="C28" s="26" t="s">
        <v>141</v>
      </c>
      <c r="D28" s="26"/>
    </row>
    <row r="29" spans="1:4">
      <c r="A29" s="90"/>
      <c r="B29" s="118"/>
      <c r="C29" s="26" t="s">
        <v>143</v>
      </c>
      <c r="D29" s="26"/>
    </row>
    <row r="30" spans="1:4">
      <c r="A30" s="90"/>
      <c r="B30" s="118"/>
      <c r="C30" s="26" t="s">
        <v>315</v>
      </c>
      <c r="D30" s="26"/>
    </row>
    <row r="31" spans="1:4">
      <c r="A31" s="90"/>
      <c r="B31" s="118"/>
      <c r="C31" s="26" t="s">
        <v>145</v>
      </c>
      <c r="D31" s="26"/>
    </row>
    <row r="32" spans="1:4">
      <c r="A32" s="90"/>
      <c r="B32" s="118"/>
      <c r="C32" s="26" t="s">
        <v>147</v>
      </c>
      <c r="D32" s="26"/>
    </row>
    <row r="33" spans="1:5">
      <c r="A33" s="90"/>
      <c r="B33" s="118"/>
      <c r="C33" s="26" t="s">
        <v>149</v>
      </c>
      <c r="D33" s="26"/>
    </row>
    <row r="34" spans="1:5">
      <c r="A34" s="90"/>
      <c r="B34" s="118"/>
      <c r="C34" s="26" t="s">
        <v>151</v>
      </c>
      <c r="D34" s="26"/>
    </row>
    <row r="35" spans="1:5">
      <c r="A35" s="90"/>
      <c r="B35" s="118"/>
      <c r="C35" s="26" t="s">
        <v>153</v>
      </c>
      <c r="D35" s="26"/>
    </row>
    <row r="36" spans="1:5">
      <c r="A36" s="90"/>
      <c r="B36" s="118"/>
      <c r="C36" s="26" t="s">
        <v>1122</v>
      </c>
      <c r="D36" s="26"/>
      <c r="E36" s="18" t="s">
        <v>1180</v>
      </c>
    </row>
    <row r="37" spans="1:5">
      <c r="A37" s="90"/>
      <c r="B37" s="118"/>
      <c r="C37" s="9" t="s">
        <v>1121</v>
      </c>
      <c r="D37" s="26"/>
      <c r="E37" s="18" t="s">
        <v>1180</v>
      </c>
    </row>
    <row r="38" spans="1:5">
      <c r="A38" s="90"/>
      <c r="B38" s="118"/>
      <c r="C38" s="26" t="s">
        <v>154</v>
      </c>
      <c r="D38" s="26"/>
    </row>
    <row r="39" spans="1:5">
      <c r="A39" s="90"/>
      <c r="B39" s="118"/>
      <c r="C39" s="26" t="s">
        <v>155</v>
      </c>
      <c r="D39" s="26"/>
    </row>
    <row r="40" spans="1:5">
      <c r="A40" s="90"/>
      <c r="B40" s="118"/>
      <c r="C40" s="26" t="s">
        <v>952</v>
      </c>
      <c r="D40" s="26"/>
      <c r="E40" s="18" t="s">
        <v>1180</v>
      </c>
    </row>
    <row r="41" spans="1:5">
      <c r="A41" s="90"/>
      <c r="B41" s="118"/>
      <c r="C41" s="26" t="s">
        <v>157</v>
      </c>
      <c r="D41" s="26"/>
    </row>
    <row r="42" spans="1:5">
      <c r="A42" s="90"/>
      <c r="B42" s="118"/>
      <c r="C42" s="26" t="s">
        <v>158</v>
      </c>
      <c r="D42" s="26"/>
    </row>
    <row r="43" spans="1:5">
      <c r="A43" s="90"/>
      <c r="B43" s="118"/>
      <c r="C43" s="26" t="s">
        <v>159</v>
      </c>
      <c r="D43" s="26"/>
    </row>
    <row r="44" spans="1:5">
      <c r="A44" s="90"/>
      <c r="B44" s="118"/>
      <c r="C44" s="26" t="s">
        <v>160</v>
      </c>
      <c r="D44" s="26"/>
    </row>
    <row r="45" spans="1:5">
      <c r="A45" s="90"/>
      <c r="B45" s="118"/>
      <c r="C45" s="26" t="s">
        <v>161</v>
      </c>
      <c r="D45" s="26"/>
    </row>
    <row r="46" spans="1:5">
      <c r="A46" s="90"/>
      <c r="B46" s="118"/>
      <c r="C46" s="26" t="s">
        <v>954</v>
      </c>
      <c r="D46" s="26"/>
      <c r="E46" s="18" t="s">
        <v>1180</v>
      </c>
    </row>
    <row r="47" spans="1:5">
      <c r="A47" s="90"/>
      <c r="B47" s="118"/>
      <c r="C47" s="26" t="s">
        <v>164</v>
      </c>
      <c r="D47" s="26"/>
    </row>
    <row r="48" spans="1:5">
      <c r="A48" s="90"/>
      <c r="B48" s="118"/>
      <c r="C48" s="26" t="s">
        <v>166</v>
      </c>
      <c r="D48" s="26"/>
    </row>
    <row r="49" spans="1:5">
      <c r="A49" s="90"/>
      <c r="B49" s="118"/>
      <c r="C49" s="26" t="s">
        <v>168</v>
      </c>
      <c r="D49" s="26"/>
    </row>
    <row r="50" spans="1:5">
      <c r="A50" s="90"/>
      <c r="B50" s="118"/>
      <c r="C50" s="26" t="s">
        <v>173</v>
      </c>
      <c r="D50" s="26"/>
    </row>
    <row r="51" spans="1:5">
      <c r="A51" s="90"/>
      <c r="B51" s="118"/>
      <c r="C51" s="26" t="s">
        <v>175</v>
      </c>
      <c r="D51" s="26"/>
    </row>
    <row r="52" spans="1:5">
      <c r="A52" s="90"/>
      <c r="B52" s="118"/>
      <c r="C52" s="26" t="s">
        <v>177</v>
      </c>
      <c r="D52" s="26"/>
    </row>
    <row r="53" spans="1:5">
      <c r="A53" s="90"/>
      <c r="B53" s="118"/>
      <c r="C53" s="26" t="s">
        <v>178</v>
      </c>
      <c r="D53" s="26"/>
    </row>
    <row r="54" spans="1:5">
      <c r="A54" s="90"/>
      <c r="B54" s="118"/>
      <c r="C54" s="26" t="s">
        <v>179</v>
      </c>
      <c r="D54" s="26"/>
    </row>
    <row r="55" spans="1:5">
      <c r="A55" s="90"/>
      <c r="B55" s="118"/>
      <c r="C55" s="26" t="s">
        <v>180</v>
      </c>
      <c r="D55" s="26"/>
    </row>
    <row r="56" spans="1:5">
      <c r="A56" s="90"/>
      <c r="B56" s="118"/>
      <c r="C56" s="26" t="s">
        <v>181</v>
      </c>
      <c r="D56" s="26"/>
    </row>
    <row r="57" spans="1:5">
      <c r="A57" s="90"/>
      <c r="B57" s="118"/>
      <c r="C57" s="26" t="s">
        <v>182</v>
      </c>
      <c r="D57" s="26"/>
    </row>
    <row r="58" spans="1:5">
      <c r="A58" s="90"/>
      <c r="B58" s="118"/>
      <c r="C58" s="26" t="s">
        <v>183</v>
      </c>
      <c r="D58" s="26"/>
    </row>
    <row r="59" spans="1:5">
      <c r="A59" s="90"/>
      <c r="B59" s="118"/>
      <c r="C59" s="26" t="s">
        <v>508</v>
      </c>
      <c r="D59" s="26"/>
    </row>
    <row r="60" spans="1:5">
      <c r="A60" s="90"/>
      <c r="B60" s="118"/>
      <c r="C60" s="26" t="s">
        <v>184</v>
      </c>
      <c r="D60" s="26"/>
    </row>
    <row r="61" spans="1:5">
      <c r="A61" s="90"/>
      <c r="B61" s="118"/>
      <c r="C61" s="26" t="s">
        <v>185</v>
      </c>
      <c r="D61" s="26"/>
    </row>
    <row r="62" spans="1:5">
      <c r="A62" s="90"/>
      <c r="B62" s="118"/>
      <c r="C62" s="26" t="s">
        <v>186</v>
      </c>
      <c r="D62" s="26"/>
    </row>
    <row r="63" spans="1:5">
      <c r="A63" s="90"/>
      <c r="B63" s="118"/>
      <c r="C63" s="26" t="s">
        <v>953</v>
      </c>
      <c r="D63" s="26"/>
      <c r="E63" s="18" t="s">
        <v>1180</v>
      </c>
    </row>
    <row r="64" spans="1:5">
      <c r="A64" s="90"/>
      <c r="B64" s="118"/>
      <c r="C64" s="26" t="s">
        <v>187</v>
      </c>
      <c r="D64" s="26"/>
    </row>
    <row r="65" spans="1:4">
      <c r="A65" s="90"/>
      <c r="B65" s="118"/>
      <c r="C65" s="26" t="s">
        <v>188</v>
      </c>
      <c r="D65" s="26"/>
    </row>
    <row r="66" spans="1:4">
      <c r="A66" s="90"/>
      <c r="B66" s="118"/>
      <c r="C66" s="26" t="s">
        <v>189</v>
      </c>
      <c r="D66" s="26"/>
    </row>
    <row r="67" spans="1:4">
      <c r="A67" s="90"/>
      <c r="B67" s="118"/>
      <c r="C67" s="26" t="s">
        <v>190</v>
      </c>
      <c r="D67" s="26"/>
    </row>
    <row r="68" spans="1:4">
      <c r="A68" s="90"/>
      <c r="B68" s="118"/>
      <c r="C68" s="26" t="s">
        <v>191</v>
      </c>
      <c r="D68" s="26"/>
    </row>
    <row r="69" spans="1:4">
      <c r="A69" s="90"/>
      <c r="B69" s="118"/>
      <c r="C69" s="26" t="s">
        <v>192</v>
      </c>
      <c r="D69" s="26"/>
    </row>
    <row r="70" spans="1:4">
      <c r="A70" s="90"/>
      <c r="B70" s="118"/>
      <c r="C70" s="26" t="s">
        <v>193</v>
      </c>
      <c r="D70" s="26"/>
    </row>
    <row r="71" spans="1:4">
      <c r="A71" s="90"/>
      <c r="B71" s="118"/>
      <c r="C71" s="26" t="s">
        <v>194</v>
      </c>
      <c r="D71" s="26"/>
    </row>
    <row r="72" spans="1:4">
      <c r="A72" s="90"/>
      <c r="B72" s="118"/>
      <c r="C72" s="26" t="s">
        <v>196</v>
      </c>
      <c r="D72" s="26"/>
    </row>
    <row r="73" spans="1:4">
      <c r="A73" s="90"/>
      <c r="B73" s="118"/>
      <c r="C73" s="26" t="s">
        <v>197</v>
      </c>
      <c r="D73" s="26"/>
    </row>
    <row r="74" spans="1:4">
      <c r="A74" s="90"/>
      <c r="B74" s="118"/>
      <c r="C74" s="26" t="s">
        <v>198</v>
      </c>
      <c r="D74" s="26"/>
    </row>
    <row r="75" spans="1:4">
      <c r="A75" s="90"/>
      <c r="B75" s="118"/>
      <c r="C75" s="26" t="s">
        <v>199</v>
      </c>
      <c r="D75" s="26"/>
    </row>
    <row r="76" spans="1:4">
      <c r="A76" s="90"/>
      <c r="B76" s="118"/>
      <c r="C76" s="26" t="s">
        <v>200</v>
      </c>
      <c r="D76" s="26"/>
    </row>
    <row r="77" spans="1:4">
      <c r="A77" s="90"/>
      <c r="B77" s="118"/>
      <c r="C77" s="26" t="s">
        <v>201</v>
      </c>
      <c r="D77" s="26"/>
    </row>
    <row r="78" spans="1:4">
      <c r="A78" s="90"/>
      <c r="B78" s="118"/>
      <c r="C78" s="26" t="s">
        <v>203</v>
      </c>
      <c r="D78" s="26"/>
    </row>
    <row r="79" spans="1:4">
      <c r="A79" s="90"/>
      <c r="B79" s="118"/>
      <c r="C79" s="26" t="s">
        <v>204</v>
      </c>
      <c r="D79" s="26"/>
    </row>
    <row r="80" spans="1:4">
      <c r="A80" s="90"/>
      <c r="B80" s="118"/>
      <c r="C80" s="26" t="s">
        <v>205</v>
      </c>
      <c r="D80" s="26"/>
    </row>
    <row r="81" spans="1:5">
      <c r="A81" s="90"/>
      <c r="B81" s="118"/>
      <c r="C81" s="26" t="s">
        <v>206</v>
      </c>
      <c r="D81" s="26"/>
    </row>
    <row r="82" spans="1:5">
      <c r="A82" s="90"/>
      <c r="B82" s="118"/>
      <c r="C82" s="26" t="s">
        <v>207</v>
      </c>
      <c r="D82" s="26"/>
    </row>
    <row r="83" spans="1:5">
      <c r="A83" s="90"/>
      <c r="B83" s="118"/>
      <c r="C83" s="26" t="s">
        <v>208</v>
      </c>
      <c r="D83" s="26"/>
    </row>
    <row r="84" spans="1:5">
      <c r="A84" s="90"/>
      <c r="B84" s="118"/>
      <c r="C84" s="26" t="s">
        <v>209</v>
      </c>
      <c r="D84" s="26"/>
    </row>
    <row r="85" spans="1:5">
      <c r="A85" s="90"/>
      <c r="B85" s="118"/>
      <c r="C85" s="26" t="s">
        <v>210</v>
      </c>
      <c r="D85" s="26"/>
    </row>
    <row r="86" spans="1:5">
      <c r="A86" s="90"/>
      <c r="B86" s="118"/>
      <c r="C86" s="26" t="s">
        <v>316</v>
      </c>
      <c r="D86" s="26"/>
    </row>
    <row r="87" spans="1:5">
      <c r="A87" s="90"/>
      <c r="B87" s="118"/>
      <c r="C87" s="26" t="s">
        <v>318</v>
      </c>
      <c r="D87" s="26"/>
    </row>
    <row r="88" spans="1:5">
      <c r="A88" s="90"/>
      <c r="B88" s="118"/>
      <c r="C88" s="26" t="s">
        <v>928</v>
      </c>
      <c r="D88" s="26"/>
    </row>
    <row r="89" spans="1:5">
      <c r="A89" s="90"/>
      <c r="B89" s="118"/>
      <c r="C89" s="26" t="s">
        <v>929</v>
      </c>
      <c r="D89" s="26"/>
    </row>
    <row r="90" spans="1:5">
      <c r="A90" s="90"/>
      <c r="B90" s="118"/>
      <c r="C90" s="26" t="s">
        <v>313</v>
      </c>
      <c r="D90" s="26"/>
    </row>
    <row r="91" spans="1:5">
      <c r="A91" s="90"/>
      <c r="B91" s="118"/>
      <c r="C91" s="26" t="s">
        <v>930</v>
      </c>
      <c r="D91" s="26"/>
    </row>
    <row r="92" spans="1:5">
      <c r="A92" s="90"/>
      <c r="B92" s="118"/>
      <c r="C92" s="26" t="s">
        <v>938</v>
      </c>
      <c r="D92" s="26"/>
    </row>
    <row r="93" spans="1:5">
      <c r="A93" s="90"/>
      <c r="B93" s="118"/>
      <c r="C93" s="26" t="s">
        <v>317</v>
      </c>
      <c r="D93" s="26"/>
    </row>
    <row r="94" spans="1:5">
      <c r="A94" s="90"/>
      <c r="B94" s="118"/>
      <c r="C94" s="26" t="s">
        <v>1166</v>
      </c>
      <c r="D94" s="26" t="s">
        <v>1165</v>
      </c>
      <c r="E94" s="18" t="s">
        <v>1180</v>
      </c>
    </row>
    <row r="95" spans="1:5">
      <c r="A95" s="90"/>
      <c r="B95" s="118"/>
      <c r="C95" s="26" t="s">
        <v>1167</v>
      </c>
      <c r="D95" s="26" t="s">
        <v>944</v>
      </c>
      <c r="E95" s="18" t="s">
        <v>1180</v>
      </c>
    </row>
    <row r="96" spans="1:5">
      <c r="A96" s="90"/>
      <c r="B96" s="118"/>
      <c r="C96" s="26" t="s">
        <v>1168</v>
      </c>
      <c r="D96" s="26" t="s">
        <v>944</v>
      </c>
      <c r="E96" s="18" t="s">
        <v>1180</v>
      </c>
    </row>
    <row r="97" spans="1:5">
      <c r="A97" s="90"/>
      <c r="B97" s="118"/>
      <c r="C97" s="26" t="s">
        <v>1162</v>
      </c>
      <c r="D97" s="26" t="s">
        <v>944</v>
      </c>
      <c r="E97" s="18" t="s">
        <v>1180</v>
      </c>
    </row>
    <row r="98" spans="1:5">
      <c r="A98" s="90"/>
      <c r="B98" s="118"/>
      <c r="C98" s="26" t="s">
        <v>1163</v>
      </c>
      <c r="D98" s="26" t="s">
        <v>944</v>
      </c>
      <c r="E98" s="18" t="s">
        <v>1180</v>
      </c>
    </row>
    <row r="99" spans="1:5">
      <c r="A99" s="90"/>
      <c r="B99" s="118"/>
      <c r="C99" s="26" t="s">
        <v>1164</v>
      </c>
      <c r="D99" s="26" t="s">
        <v>944</v>
      </c>
      <c r="E99" s="18" t="s">
        <v>1180</v>
      </c>
    </row>
    <row r="100" spans="1:5">
      <c r="A100" s="90"/>
      <c r="B100" s="118"/>
      <c r="C100" s="26" t="s">
        <v>1169</v>
      </c>
      <c r="D100" s="26" t="s">
        <v>944</v>
      </c>
      <c r="E100" s="18" t="s">
        <v>1180</v>
      </c>
    </row>
    <row r="101" spans="1:5">
      <c r="A101" s="90"/>
      <c r="B101" s="118"/>
      <c r="C101" s="26" t="s">
        <v>1170</v>
      </c>
      <c r="D101" s="26" t="s">
        <v>944</v>
      </c>
      <c r="E101" s="18" t="s">
        <v>1180</v>
      </c>
    </row>
    <row r="102" spans="1:5">
      <c r="A102" s="90"/>
      <c r="B102" s="118"/>
      <c r="C102" s="26" t="s">
        <v>1171</v>
      </c>
      <c r="D102" s="26" t="s">
        <v>944</v>
      </c>
      <c r="E102" s="18" t="s">
        <v>1180</v>
      </c>
    </row>
    <row r="103" spans="1:5">
      <c r="A103" s="90"/>
      <c r="B103" s="118"/>
      <c r="C103" s="26" t="s">
        <v>1172</v>
      </c>
      <c r="D103" s="26" t="s">
        <v>944</v>
      </c>
      <c r="E103" s="18" t="s">
        <v>1180</v>
      </c>
    </row>
    <row r="104" spans="1:5">
      <c r="A104" s="85"/>
      <c r="B104" s="85" t="s">
        <v>738</v>
      </c>
      <c r="C104" s="25" t="s">
        <v>428</v>
      </c>
      <c r="D104" s="25"/>
    </row>
    <row r="105" spans="1:5">
      <c r="A105" s="86"/>
      <c r="B105" s="86"/>
      <c r="C105" s="25" t="s">
        <v>2</v>
      </c>
      <c r="D105" s="25"/>
    </row>
    <row r="106" spans="1:5">
      <c r="A106" s="86"/>
      <c r="B106" s="86"/>
      <c r="C106" s="25" t="s">
        <v>431</v>
      </c>
      <c r="D106" s="25"/>
    </row>
    <row r="107" spans="1:5">
      <c r="A107" s="86"/>
      <c r="B107" s="86"/>
      <c r="C107" s="25" t="s">
        <v>765</v>
      </c>
      <c r="D107" s="25"/>
    </row>
    <row r="108" spans="1:5">
      <c r="A108" s="86"/>
      <c r="B108" s="86"/>
      <c r="C108" s="25" t="s">
        <v>78</v>
      </c>
      <c r="D108" s="25"/>
    </row>
    <row r="109" spans="1:5">
      <c r="A109" s="86"/>
      <c r="B109" s="86"/>
      <c r="C109" s="25" t="s">
        <v>429</v>
      </c>
      <c r="D109" s="25"/>
    </row>
    <row r="110" spans="1:5">
      <c r="A110" s="87"/>
      <c r="B110" s="87"/>
      <c r="C110" s="25" t="s">
        <v>102</v>
      </c>
      <c r="D110" s="25"/>
    </row>
    <row r="111" spans="1:5">
      <c r="A111" s="90"/>
      <c r="B111" s="76" t="s">
        <v>740</v>
      </c>
      <c r="C111" s="26" t="s">
        <v>428</v>
      </c>
      <c r="D111" s="26"/>
    </row>
    <row r="112" spans="1:5">
      <c r="A112" s="90"/>
      <c r="B112" s="77"/>
      <c r="C112" s="26" t="s">
        <v>774</v>
      </c>
      <c r="D112" s="26"/>
    </row>
    <row r="113" spans="1:4">
      <c r="A113" s="90"/>
      <c r="B113" s="78"/>
      <c r="C113" s="26" t="s">
        <v>430</v>
      </c>
      <c r="D113" s="26"/>
    </row>
    <row r="114" spans="1:4">
      <c r="A114" s="103"/>
      <c r="B114" s="103" t="s">
        <v>750</v>
      </c>
      <c r="C114" s="25" t="s">
        <v>428</v>
      </c>
      <c r="D114" s="25"/>
    </row>
    <row r="115" spans="1:4">
      <c r="A115" s="103"/>
      <c r="B115" s="103"/>
      <c r="C115" s="25" t="s">
        <v>431</v>
      </c>
      <c r="D115" s="25"/>
    </row>
    <row r="116" spans="1:4">
      <c r="A116" s="103"/>
      <c r="B116" s="103"/>
      <c r="C116" s="25" t="s">
        <v>765</v>
      </c>
      <c r="D116" s="25"/>
    </row>
    <row r="117" spans="1:4">
      <c r="A117" s="103"/>
      <c r="B117" s="103"/>
      <c r="C117" s="25" t="s">
        <v>429</v>
      </c>
      <c r="D117" s="25"/>
    </row>
    <row r="118" spans="1:4">
      <c r="A118" s="89"/>
      <c r="B118" s="104" t="s">
        <v>724</v>
      </c>
      <c r="C118" s="26" t="s">
        <v>428</v>
      </c>
      <c r="D118" s="26"/>
    </row>
    <row r="119" spans="1:4">
      <c r="A119" s="128"/>
      <c r="B119" s="127"/>
      <c r="C119" s="26" t="s">
        <v>432</v>
      </c>
      <c r="D119" s="26"/>
    </row>
    <row r="120" spans="1:4">
      <c r="A120" s="128"/>
      <c r="B120" s="127"/>
      <c r="C120" s="26" t="s">
        <v>765</v>
      </c>
      <c r="D120" s="26"/>
    </row>
    <row r="121" spans="1:4">
      <c r="A121" s="128"/>
      <c r="B121" s="127"/>
      <c r="C121" s="26" t="s">
        <v>78</v>
      </c>
      <c r="D121" s="26"/>
    </row>
    <row r="122" spans="1:4">
      <c r="A122" s="128"/>
      <c r="B122" s="127"/>
      <c r="C122" s="26" t="s">
        <v>431</v>
      </c>
      <c r="D122" s="26"/>
    </row>
    <row r="123" spans="1:4">
      <c r="A123" s="128"/>
      <c r="B123" s="127"/>
      <c r="C123" s="26" t="s">
        <v>434</v>
      </c>
      <c r="D123" s="26"/>
    </row>
    <row r="124" spans="1:4">
      <c r="A124" s="128"/>
      <c r="B124" s="127"/>
      <c r="C124" s="26" t="s">
        <v>433</v>
      </c>
      <c r="D124" s="26"/>
    </row>
    <row r="125" spans="1:4">
      <c r="A125" s="128"/>
      <c r="B125" s="127"/>
      <c r="C125" s="26" t="s">
        <v>429</v>
      </c>
      <c r="D125" s="26"/>
    </row>
    <row r="126" spans="1:4">
      <c r="A126" s="90"/>
      <c r="B126" s="105"/>
      <c r="C126" s="26" t="s">
        <v>102</v>
      </c>
      <c r="D126" s="26"/>
    </row>
    <row r="127" spans="1:4">
      <c r="A127" s="85"/>
      <c r="B127" s="85" t="s">
        <v>28</v>
      </c>
      <c r="C127" s="25" t="s">
        <v>76</v>
      </c>
      <c r="D127" s="25"/>
    </row>
    <row r="128" spans="1:4">
      <c r="A128" s="86"/>
      <c r="B128" s="86"/>
      <c r="C128" s="25" t="s">
        <v>88</v>
      </c>
      <c r="D128" s="25"/>
    </row>
    <row r="129" spans="1:5">
      <c r="A129" s="86"/>
      <c r="B129" s="86"/>
      <c r="C129" s="25" t="s">
        <v>94</v>
      </c>
      <c r="D129" s="25"/>
    </row>
    <row r="130" spans="1:5">
      <c r="A130" s="86"/>
      <c r="B130" s="86"/>
      <c r="C130" s="25" t="s">
        <v>99</v>
      </c>
      <c r="D130" s="25"/>
    </row>
    <row r="131" spans="1:5">
      <c r="A131" s="86"/>
      <c r="B131" s="86"/>
      <c r="C131" s="25" t="s">
        <v>78</v>
      </c>
      <c r="D131" s="25"/>
    </row>
    <row r="132" spans="1:5">
      <c r="A132" s="90"/>
      <c r="B132" s="77" t="s">
        <v>751</v>
      </c>
      <c r="C132" s="26" t="s">
        <v>76</v>
      </c>
      <c r="D132" s="26"/>
    </row>
    <row r="133" spans="1:5">
      <c r="A133" s="90"/>
      <c r="B133" s="77"/>
      <c r="C133" s="26" t="s">
        <v>78</v>
      </c>
      <c r="D133" s="26"/>
    </row>
    <row r="134" spans="1:5">
      <c r="A134" s="91"/>
      <c r="B134" s="78"/>
      <c r="C134" s="26" t="s">
        <v>102</v>
      </c>
      <c r="D134" s="26"/>
    </row>
    <row r="135" spans="1:5">
      <c r="A135" s="92"/>
      <c r="B135" s="92" t="s">
        <v>607</v>
      </c>
      <c r="C135" s="25" t="s">
        <v>803</v>
      </c>
      <c r="D135" s="25"/>
    </row>
    <row r="136" spans="1:5">
      <c r="A136" s="93"/>
      <c r="B136" s="93"/>
      <c r="C136" s="25" t="s">
        <v>956</v>
      </c>
      <c r="D136" s="25"/>
      <c r="E136" s="18" t="s">
        <v>1180</v>
      </c>
    </row>
    <row r="137" spans="1:5">
      <c r="A137" s="93"/>
      <c r="B137" s="93"/>
      <c r="C137" s="25" t="s">
        <v>54</v>
      </c>
      <c r="D137" s="25" t="s">
        <v>680</v>
      </c>
    </row>
    <row r="138" spans="1:5">
      <c r="A138" s="93"/>
      <c r="B138" s="93"/>
      <c r="C138" s="25" t="s">
        <v>69</v>
      </c>
      <c r="D138" s="25" t="s">
        <v>681</v>
      </c>
    </row>
    <row r="139" spans="1:5">
      <c r="A139" s="93"/>
      <c r="B139" s="93"/>
      <c r="C139" s="25" t="s">
        <v>606</v>
      </c>
      <c r="D139" s="25"/>
    </row>
    <row r="140" spans="1:5">
      <c r="A140" s="93"/>
      <c r="B140" s="93"/>
      <c r="C140" s="25" t="s">
        <v>676</v>
      </c>
      <c r="D140" s="25"/>
    </row>
    <row r="141" spans="1:5">
      <c r="A141" s="93"/>
      <c r="B141" s="93"/>
      <c r="C141" s="25" t="s">
        <v>677</v>
      </c>
      <c r="D141" s="25"/>
    </row>
    <row r="142" spans="1:5">
      <c r="A142" s="93"/>
      <c r="B142" s="93"/>
      <c r="C142" s="25" t="s">
        <v>678</v>
      </c>
      <c r="D142" s="25"/>
    </row>
    <row r="143" spans="1:5">
      <c r="A143" s="93"/>
      <c r="B143" s="93"/>
      <c r="C143" s="25" t="s">
        <v>679</v>
      </c>
      <c r="D143" s="25"/>
    </row>
    <row r="144" spans="1:5">
      <c r="A144" s="93"/>
      <c r="B144" s="93"/>
      <c r="C144" s="25" t="s">
        <v>937</v>
      </c>
      <c r="D144" s="25"/>
    </row>
    <row r="145" spans="1:4">
      <c r="A145" s="93"/>
      <c r="B145" s="93"/>
      <c r="C145" s="25" t="s">
        <v>102</v>
      </c>
      <c r="D145" s="25"/>
    </row>
    <row r="146" spans="1:4">
      <c r="A146" s="89"/>
      <c r="B146" s="82" t="s">
        <v>4</v>
      </c>
      <c r="C146" s="26" t="s">
        <v>55</v>
      </c>
      <c r="D146" s="26"/>
    </row>
    <row r="147" spans="1:4">
      <c r="A147" s="91"/>
      <c r="B147" s="84"/>
      <c r="C147" s="26" t="s">
        <v>62</v>
      </c>
      <c r="D147" s="26"/>
    </row>
    <row r="148" spans="1:4">
      <c r="A148" s="71"/>
      <c r="B148" s="126" t="s">
        <v>5</v>
      </c>
      <c r="C148" s="25" t="s">
        <v>311</v>
      </c>
      <c r="D148" s="25" t="s">
        <v>56</v>
      </c>
    </row>
    <row r="149" spans="1:4">
      <c r="A149" s="72"/>
      <c r="B149" s="72"/>
      <c r="C149" s="25" t="s">
        <v>925</v>
      </c>
      <c r="D149" s="25" t="s">
        <v>931</v>
      </c>
    </row>
    <row r="150" spans="1:4">
      <c r="A150" s="72"/>
      <c r="B150" s="72"/>
      <c r="C150" s="25" t="s">
        <v>475</v>
      </c>
      <c r="D150" s="25" t="s">
        <v>63</v>
      </c>
    </row>
    <row r="151" spans="1:4">
      <c r="A151" s="72"/>
      <c r="B151" s="72"/>
      <c r="C151" s="25" t="s">
        <v>478</v>
      </c>
      <c r="D151" s="25" t="s">
        <v>250</v>
      </c>
    </row>
    <row r="152" spans="1:4">
      <c r="A152" s="72"/>
      <c r="B152" s="72"/>
      <c r="C152" s="25" t="s">
        <v>479</v>
      </c>
      <c r="D152" s="25" t="s">
        <v>77</v>
      </c>
    </row>
    <row r="153" spans="1:4">
      <c r="A153" s="72"/>
      <c r="B153" s="72"/>
      <c r="C153" s="25" t="s">
        <v>476</v>
      </c>
      <c r="D153" s="25" t="s">
        <v>83</v>
      </c>
    </row>
    <row r="154" spans="1:4">
      <c r="A154" s="72"/>
      <c r="B154" s="72"/>
      <c r="C154" s="25" t="s">
        <v>480</v>
      </c>
      <c r="D154" s="25" t="s">
        <v>89</v>
      </c>
    </row>
    <row r="155" spans="1:4">
      <c r="A155" s="72"/>
      <c r="B155" s="72"/>
      <c r="C155" s="25" t="s">
        <v>477</v>
      </c>
      <c r="D155" s="25" t="s">
        <v>95</v>
      </c>
    </row>
    <row r="156" spans="1:4">
      <c r="A156" s="72"/>
      <c r="B156" s="72"/>
      <c r="C156" s="25" t="s">
        <v>481</v>
      </c>
      <c r="D156" s="25" t="s">
        <v>100</v>
      </c>
    </row>
    <row r="157" spans="1:4">
      <c r="A157" s="72"/>
      <c r="B157" s="72"/>
      <c r="C157" s="25" t="s">
        <v>482</v>
      </c>
      <c r="D157" s="25" t="s">
        <v>106</v>
      </c>
    </row>
    <row r="158" spans="1:4">
      <c r="A158" s="72"/>
      <c r="B158" s="72"/>
      <c r="C158" s="25" t="s">
        <v>484</v>
      </c>
      <c r="D158" s="25" t="s">
        <v>374</v>
      </c>
    </row>
    <row r="159" spans="1:4">
      <c r="A159" s="72"/>
      <c r="B159" s="72"/>
      <c r="C159" s="25" t="s">
        <v>483</v>
      </c>
      <c r="D159" s="25" t="s">
        <v>110</v>
      </c>
    </row>
    <row r="160" spans="1:4">
      <c r="A160" s="72"/>
      <c r="B160" s="72"/>
      <c r="C160" s="25" t="s">
        <v>485</v>
      </c>
      <c r="D160" s="25" t="s">
        <v>113</v>
      </c>
    </row>
    <row r="161" spans="1:4">
      <c r="A161" s="72"/>
      <c r="B161" s="72"/>
      <c r="C161" s="25" t="s">
        <v>486</v>
      </c>
      <c r="D161" s="25" t="s">
        <v>115</v>
      </c>
    </row>
    <row r="162" spans="1:4">
      <c r="A162" s="72"/>
      <c r="B162" s="72"/>
      <c r="C162" s="25" t="s">
        <v>487</v>
      </c>
      <c r="D162" s="25" t="s">
        <v>118</v>
      </c>
    </row>
    <row r="163" spans="1:4">
      <c r="A163" s="72"/>
      <c r="B163" s="72"/>
      <c r="C163" s="25" t="s">
        <v>488</v>
      </c>
      <c r="D163" s="25" t="s">
        <v>121</v>
      </c>
    </row>
    <row r="164" spans="1:4">
      <c r="A164" s="72"/>
      <c r="B164" s="72"/>
      <c r="C164" s="25" t="s">
        <v>489</v>
      </c>
      <c r="D164" s="25" t="s">
        <v>375</v>
      </c>
    </row>
    <row r="165" spans="1:4">
      <c r="A165" s="72"/>
      <c r="B165" s="72"/>
      <c r="C165" s="25" t="s">
        <v>490</v>
      </c>
      <c r="D165" s="25" t="s">
        <v>124</v>
      </c>
    </row>
    <row r="166" spans="1:4">
      <c r="A166" s="72"/>
      <c r="B166" s="72"/>
      <c r="C166" s="25" t="s">
        <v>491</v>
      </c>
      <c r="D166" s="25" t="s">
        <v>126</v>
      </c>
    </row>
    <row r="167" spans="1:4">
      <c r="A167" s="72"/>
      <c r="B167" s="72"/>
      <c r="C167" s="25" t="s">
        <v>492</v>
      </c>
      <c r="D167" s="25" t="s">
        <v>127</v>
      </c>
    </row>
    <row r="168" spans="1:4">
      <c r="A168" s="72"/>
      <c r="B168" s="72"/>
      <c r="C168" s="25" t="s">
        <v>493</v>
      </c>
      <c r="D168" s="25" t="s">
        <v>129</v>
      </c>
    </row>
    <row r="169" spans="1:4">
      <c r="A169" s="72"/>
      <c r="B169" s="72"/>
      <c r="C169" s="25" t="s">
        <v>494</v>
      </c>
      <c r="D169" s="25" t="s">
        <v>251</v>
      </c>
    </row>
    <row r="170" spans="1:4">
      <c r="A170" s="72"/>
      <c r="B170" s="72"/>
      <c r="C170" s="25" t="s">
        <v>591</v>
      </c>
      <c r="D170" s="25" t="s">
        <v>133</v>
      </c>
    </row>
    <row r="171" spans="1:4">
      <c r="A171" s="72"/>
      <c r="B171" s="72"/>
      <c r="C171" s="25" t="s">
        <v>495</v>
      </c>
      <c r="D171" s="25" t="s">
        <v>135</v>
      </c>
    </row>
    <row r="172" spans="1:4">
      <c r="A172" s="72"/>
      <c r="B172" s="72"/>
      <c r="C172" s="25" t="s">
        <v>496</v>
      </c>
      <c r="D172" s="25" t="s">
        <v>137</v>
      </c>
    </row>
    <row r="173" spans="1:4">
      <c r="A173" s="72"/>
      <c r="B173" s="72"/>
      <c r="C173" s="25" t="s">
        <v>497</v>
      </c>
      <c r="D173" s="25" t="s">
        <v>139</v>
      </c>
    </row>
    <row r="174" spans="1:4">
      <c r="A174" s="72"/>
      <c r="B174" s="72"/>
      <c r="C174" s="25" t="s">
        <v>498</v>
      </c>
      <c r="D174" s="25" t="s">
        <v>142</v>
      </c>
    </row>
    <row r="175" spans="1:4">
      <c r="A175" s="72"/>
      <c r="B175" s="72"/>
      <c r="C175" s="25" t="s">
        <v>499</v>
      </c>
      <c r="D175" s="25" t="s">
        <v>144</v>
      </c>
    </row>
    <row r="176" spans="1:4">
      <c r="A176" s="72"/>
      <c r="B176" s="72"/>
      <c r="C176" s="25" t="s">
        <v>500</v>
      </c>
      <c r="D176" s="25" t="s">
        <v>146</v>
      </c>
    </row>
    <row r="177" spans="1:5">
      <c r="A177" s="72"/>
      <c r="B177" s="72"/>
      <c r="C177" s="25" t="s">
        <v>501</v>
      </c>
      <c r="D177" s="25" t="s">
        <v>148</v>
      </c>
    </row>
    <row r="178" spans="1:5">
      <c r="A178" s="72"/>
      <c r="B178" s="72"/>
      <c r="C178" s="25" t="s">
        <v>502</v>
      </c>
      <c r="D178" s="25" t="s">
        <v>150</v>
      </c>
    </row>
    <row r="179" spans="1:5">
      <c r="A179" s="72"/>
      <c r="B179" s="72"/>
      <c r="C179" s="25" t="s">
        <v>503</v>
      </c>
      <c r="D179" s="25" t="s">
        <v>152</v>
      </c>
    </row>
    <row r="180" spans="1:5">
      <c r="A180" s="72"/>
      <c r="B180" s="72"/>
      <c r="C180" s="25" t="s">
        <v>1148</v>
      </c>
      <c r="D180" s="25" t="s">
        <v>1123</v>
      </c>
      <c r="E180" s="18" t="s">
        <v>1180</v>
      </c>
    </row>
    <row r="181" spans="1:5">
      <c r="A181" s="72"/>
      <c r="B181" s="72"/>
      <c r="C181" s="25" t="s">
        <v>102</v>
      </c>
      <c r="D181" s="25" t="s">
        <v>102</v>
      </c>
    </row>
    <row r="182" spans="1:5">
      <c r="A182" s="89"/>
      <c r="B182" s="82" t="s">
        <v>776</v>
      </c>
      <c r="C182" s="63" t="s">
        <v>57</v>
      </c>
      <c r="D182" s="63"/>
    </row>
    <row r="183" spans="1:5">
      <c r="A183" s="90"/>
      <c r="B183" s="83"/>
      <c r="C183" s="63" t="s">
        <v>777</v>
      </c>
      <c r="D183" s="63"/>
    </row>
    <row r="184" spans="1:5">
      <c r="A184" s="90"/>
      <c r="B184" s="83"/>
      <c r="C184" s="63" t="s">
        <v>64</v>
      </c>
      <c r="D184" s="63"/>
    </row>
    <row r="185" spans="1:5">
      <c r="A185" s="91"/>
      <c r="B185" s="84"/>
      <c r="C185" s="65" t="s">
        <v>298</v>
      </c>
      <c r="D185" s="65"/>
    </row>
    <row r="186" spans="1:5">
      <c r="A186" s="85"/>
      <c r="B186" s="85" t="s">
        <v>923</v>
      </c>
      <c r="C186" s="62" t="s">
        <v>617</v>
      </c>
      <c r="D186" s="62"/>
    </row>
    <row r="187" spans="1:5">
      <c r="A187" s="86"/>
      <c r="B187" s="86"/>
      <c r="C187" s="62" t="s">
        <v>618</v>
      </c>
      <c r="D187" s="62"/>
    </row>
    <row r="188" spans="1:5">
      <c r="A188" s="89"/>
      <c r="B188" s="82" t="s">
        <v>8</v>
      </c>
      <c r="C188" s="65" t="s">
        <v>65</v>
      </c>
      <c r="D188" s="65" t="s">
        <v>401</v>
      </c>
    </row>
    <row r="189" spans="1:5">
      <c r="A189" s="90"/>
      <c r="B189" s="83"/>
      <c r="C189" s="65" t="s">
        <v>70</v>
      </c>
      <c r="D189" s="65" t="s">
        <v>402</v>
      </c>
    </row>
    <row r="190" spans="1:5">
      <c r="A190" s="90"/>
      <c r="B190" s="83"/>
      <c r="C190" s="65" t="s">
        <v>78</v>
      </c>
      <c r="D190" s="65" t="s">
        <v>78</v>
      </c>
    </row>
    <row r="191" spans="1:5">
      <c r="A191" s="90"/>
      <c r="B191" s="83"/>
      <c r="C191" s="65" t="s">
        <v>90</v>
      </c>
      <c r="D191" s="65" t="s">
        <v>404</v>
      </c>
    </row>
    <row r="192" spans="1:5">
      <c r="A192" s="90"/>
      <c r="B192" s="83"/>
      <c r="C192" s="65" t="s">
        <v>107</v>
      </c>
      <c r="D192" s="65" t="s">
        <v>407</v>
      </c>
    </row>
    <row r="193" spans="1:4">
      <c r="A193" s="90"/>
      <c r="B193" s="83"/>
      <c r="C193" s="65" t="s">
        <v>413</v>
      </c>
      <c r="D193" s="65" t="s">
        <v>408</v>
      </c>
    </row>
    <row r="194" spans="1:4">
      <c r="A194" s="90"/>
      <c r="B194" s="83"/>
      <c r="C194" s="65" t="s">
        <v>101</v>
      </c>
      <c r="D194" s="65" t="s">
        <v>406</v>
      </c>
    </row>
    <row r="195" spans="1:4">
      <c r="A195" s="90"/>
      <c r="B195" s="83"/>
      <c r="C195" s="65" t="s">
        <v>437</v>
      </c>
      <c r="D195" s="65" t="s">
        <v>409</v>
      </c>
    </row>
    <row r="196" spans="1:4">
      <c r="A196" s="90"/>
      <c r="B196" s="83"/>
      <c r="C196" s="65" t="s">
        <v>119</v>
      </c>
      <c r="D196" s="65" t="s">
        <v>411</v>
      </c>
    </row>
    <row r="197" spans="1:4">
      <c r="A197" s="90"/>
      <c r="B197" s="83"/>
      <c r="C197" s="65" t="s">
        <v>116</v>
      </c>
      <c r="D197" s="65" t="s">
        <v>410</v>
      </c>
    </row>
    <row r="198" spans="1:4">
      <c r="A198" s="90"/>
      <c r="B198" s="83"/>
      <c r="C198" s="65" t="s">
        <v>84</v>
      </c>
      <c r="D198" s="65" t="s">
        <v>403</v>
      </c>
    </row>
    <row r="199" spans="1:4">
      <c r="A199" s="90"/>
      <c r="B199" s="83"/>
      <c r="C199" s="65" t="s">
        <v>96</v>
      </c>
      <c r="D199" s="65" t="s">
        <v>405</v>
      </c>
    </row>
    <row r="200" spans="1:4">
      <c r="A200" s="90"/>
      <c r="B200" s="83"/>
      <c r="C200" s="65" t="s">
        <v>102</v>
      </c>
      <c r="D200" s="65" t="s">
        <v>102</v>
      </c>
    </row>
    <row r="201" spans="1:4">
      <c r="A201" s="91"/>
      <c r="B201" s="84"/>
      <c r="C201" s="65" t="s">
        <v>298</v>
      </c>
      <c r="D201" s="65" t="s">
        <v>412</v>
      </c>
    </row>
    <row r="202" spans="1:4">
      <c r="A202" s="126"/>
      <c r="B202" s="126" t="s">
        <v>9</v>
      </c>
      <c r="C202" s="25" t="s">
        <v>414</v>
      </c>
      <c r="D202" s="25"/>
    </row>
    <row r="203" spans="1:4">
      <c r="A203" s="72"/>
      <c r="B203" s="72"/>
      <c r="C203" s="25" t="s">
        <v>262</v>
      </c>
      <c r="D203" s="25"/>
    </row>
    <row r="204" spans="1:4">
      <c r="A204" s="72"/>
      <c r="B204" s="72"/>
      <c r="C204" s="25" t="s">
        <v>172</v>
      </c>
      <c r="D204" s="25"/>
    </row>
    <row r="205" spans="1:4">
      <c r="A205" s="72"/>
      <c r="B205" s="72"/>
      <c r="C205" s="25" t="s">
        <v>635</v>
      </c>
      <c r="D205" s="25"/>
    </row>
    <row r="206" spans="1:4">
      <c r="A206" s="72"/>
      <c r="B206" s="72"/>
      <c r="C206" s="25" t="s">
        <v>156</v>
      </c>
      <c r="D206" s="25"/>
    </row>
    <row r="207" spans="1:4">
      <c r="A207" s="72"/>
      <c r="B207" s="72"/>
      <c r="C207" s="25" t="s">
        <v>629</v>
      </c>
      <c r="D207" s="25"/>
    </row>
    <row r="208" spans="1:4">
      <c r="A208" s="72"/>
      <c r="B208" s="72"/>
      <c r="C208" s="25" t="s">
        <v>176</v>
      </c>
      <c r="D208" s="25"/>
    </row>
    <row r="209" spans="1:5">
      <c r="A209" s="72"/>
      <c r="B209" s="72"/>
      <c r="C209" s="25" t="s">
        <v>631</v>
      </c>
      <c r="D209" s="25"/>
    </row>
    <row r="210" spans="1:5">
      <c r="A210" s="72"/>
      <c r="B210" s="72"/>
      <c r="C210" s="25" t="s">
        <v>66</v>
      </c>
      <c r="D210" s="25"/>
    </row>
    <row r="211" spans="1:5">
      <c r="A211" s="72"/>
      <c r="B211" s="72"/>
      <c r="C211" s="25" t="s">
        <v>269</v>
      </c>
      <c r="D211" s="25"/>
    </row>
    <row r="212" spans="1:5">
      <c r="A212" s="72"/>
      <c r="B212" s="72"/>
      <c r="C212" s="25" t="s">
        <v>636</v>
      </c>
      <c r="D212" s="25"/>
    </row>
    <row r="213" spans="1:5">
      <c r="A213" s="72"/>
      <c r="B213" s="72"/>
      <c r="C213" s="25" t="s">
        <v>140</v>
      </c>
      <c r="D213" s="25"/>
    </row>
    <row r="214" spans="1:5">
      <c r="A214" s="72"/>
      <c r="B214" s="72"/>
      <c r="C214" s="25" t="s">
        <v>256</v>
      </c>
      <c r="D214" s="25"/>
    </row>
    <row r="215" spans="1:5">
      <c r="A215" s="72"/>
      <c r="B215" s="72"/>
      <c r="C215" s="25" t="s">
        <v>122</v>
      </c>
      <c r="D215" s="25"/>
    </row>
    <row r="216" spans="1:5">
      <c r="A216" s="72"/>
      <c r="B216" s="72"/>
      <c r="C216" s="25" t="s">
        <v>270</v>
      </c>
      <c r="D216" s="25"/>
    </row>
    <row r="217" spans="1:5">
      <c r="A217" s="72"/>
      <c r="B217" s="72"/>
      <c r="C217" s="25" t="s">
        <v>690</v>
      </c>
      <c r="D217" s="25"/>
    </row>
    <row r="218" spans="1:5">
      <c r="A218" s="72"/>
      <c r="B218" s="72"/>
      <c r="C218" s="25" t="s">
        <v>1150</v>
      </c>
      <c r="D218" s="25" t="s">
        <v>637</v>
      </c>
      <c r="E218" s="18" t="s">
        <v>1180</v>
      </c>
    </row>
    <row r="219" spans="1:5">
      <c r="A219" s="72"/>
      <c r="B219" s="72"/>
      <c r="C219" s="25" t="s">
        <v>267</v>
      </c>
      <c r="D219" s="25"/>
    </row>
    <row r="220" spans="1:5">
      <c r="A220" s="72"/>
      <c r="B220" s="72"/>
      <c r="C220" s="25" t="s">
        <v>264</v>
      </c>
      <c r="D220" s="25"/>
    </row>
    <row r="221" spans="1:5">
      <c r="A221" s="72"/>
      <c r="B221" s="72"/>
      <c r="C221" s="25" t="s">
        <v>265</v>
      </c>
      <c r="D221" s="25"/>
    </row>
    <row r="222" spans="1:5">
      <c r="A222" s="72"/>
      <c r="B222" s="72"/>
      <c r="C222" s="25" t="s">
        <v>167</v>
      </c>
      <c r="D222" s="25"/>
    </row>
    <row r="223" spans="1:5">
      <c r="A223" s="72"/>
      <c r="B223" s="72"/>
      <c r="C223" s="25" t="s">
        <v>254</v>
      </c>
      <c r="D223" s="25"/>
    </row>
    <row r="224" spans="1:5">
      <c r="A224" s="72"/>
      <c r="B224" s="72"/>
      <c r="C224" s="25" t="s">
        <v>261</v>
      </c>
      <c r="D224" s="25"/>
    </row>
    <row r="225" spans="1:4">
      <c r="A225" s="72"/>
      <c r="B225" s="72"/>
      <c r="C225" s="25" t="s">
        <v>71</v>
      </c>
      <c r="D225" s="25"/>
    </row>
    <row r="226" spans="1:4">
      <c r="A226" s="72"/>
      <c r="B226" s="72"/>
      <c r="C226" s="25" t="s">
        <v>259</v>
      </c>
      <c r="D226" s="25"/>
    </row>
    <row r="227" spans="1:4">
      <c r="A227" s="72"/>
      <c r="B227" s="72"/>
      <c r="C227" s="25" t="s">
        <v>75</v>
      </c>
      <c r="D227" s="25"/>
    </row>
    <row r="228" spans="1:4">
      <c r="A228" s="72"/>
      <c r="B228" s="72"/>
      <c r="C228" s="25" t="s">
        <v>263</v>
      </c>
      <c r="D228" s="25"/>
    </row>
    <row r="229" spans="1:4">
      <c r="A229" s="72"/>
      <c r="B229" s="72"/>
      <c r="C229" s="25" t="s">
        <v>633</v>
      </c>
      <c r="D229" s="25"/>
    </row>
    <row r="230" spans="1:4">
      <c r="A230" s="72"/>
      <c r="B230" s="72"/>
      <c r="C230" s="25" t="s">
        <v>634</v>
      </c>
      <c r="D230" s="25"/>
    </row>
    <row r="231" spans="1:4">
      <c r="A231" s="72"/>
      <c r="B231" s="72"/>
      <c r="C231" s="25" t="s">
        <v>266</v>
      </c>
      <c r="D231" s="25"/>
    </row>
    <row r="232" spans="1:4">
      <c r="A232" s="72"/>
      <c r="B232" s="72"/>
      <c r="C232" s="25" t="s">
        <v>85</v>
      </c>
      <c r="D232" s="25"/>
    </row>
    <row r="233" spans="1:4">
      <c r="A233" s="72"/>
      <c r="B233" s="72"/>
      <c r="C233" s="25" t="s">
        <v>630</v>
      </c>
      <c r="D233" s="25"/>
    </row>
    <row r="234" spans="1:4">
      <c r="A234" s="72"/>
      <c r="B234" s="72"/>
      <c r="C234" s="25" t="s">
        <v>628</v>
      </c>
      <c r="D234" s="25"/>
    </row>
    <row r="235" spans="1:4">
      <c r="A235" s="72"/>
      <c r="B235" s="72"/>
      <c r="C235" s="25" t="s">
        <v>638</v>
      </c>
      <c r="D235" s="25"/>
    </row>
    <row r="236" spans="1:4">
      <c r="A236" s="72"/>
      <c r="B236" s="72"/>
      <c r="C236" s="25" t="s">
        <v>255</v>
      </c>
      <c r="D236" s="25"/>
    </row>
    <row r="237" spans="1:4">
      <c r="A237" s="72"/>
      <c r="B237" s="72"/>
      <c r="C237" s="25" t="s">
        <v>720</v>
      </c>
      <c r="D237" s="25"/>
    </row>
    <row r="238" spans="1:4">
      <c r="A238" s="72"/>
      <c r="B238" s="72"/>
      <c r="C238" s="25" t="s">
        <v>34</v>
      </c>
      <c r="D238" s="25"/>
    </row>
    <row r="239" spans="1:4">
      <c r="A239" s="72"/>
      <c r="B239" s="72"/>
      <c r="C239" s="25" t="s">
        <v>627</v>
      </c>
      <c r="D239" s="25"/>
    </row>
    <row r="240" spans="1:4">
      <c r="A240" s="72"/>
      <c r="B240" s="72"/>
      <c r="C240" s="25" t="s">
        <v>268</v>
      </c>
      <c r="D240" s="25"/>
    </row>
    <row r="241" spans="1:4">
      <c r="A241" s="72"/>
      <c r="B241" s="72"/>
      <c r="C241" s="25" t="s">
        <v>632</v>
      </c>
      <c r="D241" s="25"/>
    </row>
    <row r="242" spans="1:4">
      <c r="A242" s="72"/>
      <c r="B242" s="72"/>
      <c r="C242" s="25" t="s">
        <v>252</v>
      </c>
      <c r="D242" s="25"/>
    </row>
    <row r="243" spans="1:4">
      <c r="A243" s="72"/>
      <c r="B243" s="72"/>
      <c r="C243" s="25" t="s">
        <v>258</v>
      </c>
      <c r="D243" s="25"/>
    </row>
    <row r="244" spans="1:4">
      <c r="A244" s="72"/>
      <c r="B244" s="72"/>
      <c r="C244" s="25" t="s">
        <v>257</v>
      </c>
      <c r="D244" s="25"/>
    </row>
    <row r="245" spans="1:4">
      <c r="A245" s="72"/>
      <c r="B245" s="72"/>
      <c r="C245" s="25" t="s">
        <v>174</v>
      </c>
      <c r="D245" s="25"/>
    </row>
    <row r="246" spans="1:4">
      <c r="A246" s="72"/>
      <c r="B246" s="72"/>
      <c r="C246" s="25" t="s">
        <v>253</v>
      </c>
      <c r="D246" s="25"/>
    </row>
    <row r="247" spans="1:4">
      <c r="A247" s="72"/>
      <c r="B247" s="72"/>
      <c r="C247" s="25" t="s">
        <v>169</v>
      </c>
      <c r="D247" s="25"/>
    </row>
    <row r="248" spans="1:4">
      <c r="A248" s="72"/>
      <c r="B248" s="72"/>
      <c r="C248" s="25" t="s">
        <v>170</v>
      </c>
      <c r="D248" s="25"/>
    </row>
    <row r="249" spans="1:4">
      <c r="A249" s="72"/>
      <c r="B249" s="72"/>
      <c r="C249" s="25" t="s">
        <v>165</v>
      </c>
      <c r="D249" s="25"/>
    </row>
    <row r="250" spans="1:4">
      <c r="A250" s="72"/>
      <c r="B250" s="72"/>
      <c r="C250" s="25" t="s">
        <v>260</v>
      </c>
      <c r="D250" s="25"/>
    </row>
    <row r="251" spans="1:4">
      <c r="A251" s="72"/>
      <c r="B251" s="72"/>
      <c r="C251" s="25" t="s">
        <v>163</v>
      </c>
      <c r="D251" s="25"/>
    </row>
    <row r="252" spans="1:4">
      <c r="A252" s="72"/>
      <c r="B252" s="72"/>
      <c r="C252" s="25" t="s">
        <v>102</v>
      </c>
      <c r="D252" s="25"/>
    </row>
    <row r="253" spans="1:4">
      <c r="A253" s="72"/>
      <c r="B253" s="72"/>
      <c r="C253" s="25" t="s">
        <v>860</v>
      </c>
      <c r="D253" s="25"/>
    </row>
    <row r="254" spans="1:4">
      <c r="A254" s="72"/>
      <c r="B254" s="72"/>
      <c r="C254" s="25" t="s">
        <v>861</v>
      </c>
      <c r="D254" s="25"/>
    </row>
    <row r="255" spans="1:4">
      <c r="A255" s="72"/>
      <c r="B255" s="72"/>
      <c r="C255" s="25" t="s">
        <v>862</v>
      </c>
      <c r="D255" s="25"/>
    </row>
    <row r="256" spans="1:4">
      <c r="A256" s="72"/>
      <c r="B256" s="72"/>
      <c r="C256" s="25" t="s">
        <v>863</v>
      </c>
      <c r="D256" s="25"/>
    </row>
    <row r="257" spans="1:5">
      <c r="A257" s="72"/>
      <c r="B257" s="72"/>
      <c r="C257" s="25" t="s">
        <v>864</v>
      </c>
      <c r="D257" s="25"/>
    </row>
    <row r="258" spans="1:5">
      <c r="A258" s="72"/>
      <c r="B258" s="72"/>
      <c r="C258" s="25" t="s">
        <v>865</v>
      </c>
      <c r="D258" s="25"/>
    </row>
    <row r="259" spans="1:5">
      <c r="A259" s="72"/>
      <c r="B259" s="72"/>
      <c r="C259" s="25" t="s">
        <v>866</v>
      </c>
      <c r="D259" s="25"/>
    </row>
    <row r="260" spans="1:5">
      <c r="A260" s="72"/>
      <c r="B260" s="72"/>
      <c r="C260" s="25" t="s">
        <v>867</v>
      </c>
      <c r="D260" s="25"/>
    </row>
    <row r="261" spans="1:5">
      <c r="A261" s="72"/>
      <c r="B261" s="72"/>
      <c r="C261" s="25" t="s">
        <v>868</v>
      </c>
      <c r="D261" s="25"/>
    </row>
    <row r="262" spans="1:5">
      <c r="A262" s="72"/>
      <c r="B262" s="72"/>
      <c r="C262" s="25" t="s">
        <v>869</v>
      </c>
      <c r="D262" s="25"/>
    </row>
    <row r="263" spans="1:5">
      <c r="A263" s="72"/>
      <c r="B263" s="72"/>
      <c r="C263" s="25" t="s">
        <v>870</v>
      </c>
      <c r="D263" s="25"/>
    </row>
    <row r="264" spans="1:5">
      <c r="A264" s="72"/>
      <c r="B264" s="72"/>
      <c r="C264" s="25" t="s">
        <v>871</v>
      </c>
      <c r="D264" s="25"/>
    </row>
    <row r="265" spans="1:5">
      <c r="A265" s="72"/>
      <c r="B265" s="72"/>
      <c r="C265" s="25" t="s">
        <v>872</v>
      </c>
      <c r="D265" s="25"/>
    </row>
    <row r="266" spans="1:5">
      <c r="A266" s="72"/>
      <c r="B266" s="72"/>
      <c r="C266" s="25" t="s">
        <v>873</v>
      </c>
      <c r="D266" s="25"/>
    </row>
    <row r="267" spans="1:5">
      <c r="A267" s="72"/>
      <c r="B267" s="72"/>
      <c r="C267" s="25" t="s">
        <v>874</v>
      </c>
      <c r="D267" s="25"/>
    </row>
    <row r="268" spans="1:5">
      <c r="A268" s="72"/>
      <c r="B268" s="72"/>
      <c r="C268" s="25" t="s">
        <v>875</v>
      </c>
      <c r="D268" s="25"/>
    </row>
    <row r="269" spans="1:5">
      <c r="A269" s="72"/>
      <c r="B269" s="72"/>
      <c r="C269" s="25" t="s">
        <v>859</v>
      </c>
      <c r="D269" s="25"/>
    </row>
    <row r="270" spans="1:5">
      <c r="A270" s="72"/>
      <c r="B270" s="72"/>
      <c r="C270" s="25" t="s">
        <v>1126</v>
      </c>
      <c r="D270" s="25" t="s">
        <v>1125</v>
      </c>
      <c r="E270" s="18" t="s">
        <v>1180</v>
      </c>
    </row>
    <row r="271" spans="1:5">
      <c r="A271" s="72"/>
      <c r="B271" s="72"/>
      <c r="C271" s="25" t="s">
        <v>1128</v>
      </c>
      <c r="D271" s="25" t="s">
        <v>1127</v>
      </c>
      <c r="E271" s="18" t="s">
        <v>1180</v>
      </c>
    </row>
    <row r="272" spans="1:5">
      <c r="A272" s="72"/>
      <c r="B272" s="72"/>
      <c r="C272" s="25" t="s">
        <v>1130</v>
      </c>
      <c r="D272" s="25" t="s">
        <v>1129</v>
      </c>
      <c r="E272" s="18" t="s">
        <v>1180</v>
      </c>
    </row>
    <row r="273" spans="1:5">
      <c r="A273" s="72"/>
      <c r="B273" s="72"/>
      <c r="C273" s="25" t="s">
        <v>876</v>
      </c>
      <c r="D273" s="25"/>
    </row>
    <row r="274" spans="1:5">
      <c r="A274" s="72"/>
      <c r="B274" s="72"/>
      <c r="C274" s="25" t="s">
        <v>1132</v>
      </c>
      <c r="D274" s="25" t="s">
        <v>1131</v>
      </c>
      <c r="E274" s="18" t="s">
        <v>1180</v>
      </c>
    </row>
    <row r="275" spans="1:5">
      <c r="A275" s="72"/>
      <c r="B275" s="72"/>
      <c r="C275" s="25" t="s">
        <v>877</v>
      </c>
      <c r="D275" s="25"/>
    </row>
    <row r="276" spans="1:5">
      <c r="A276" s="72"/>
      <c r="B276" s="72"/>
      <c r="C276" s="25" t="s">
        <v>878</v>
      </c>
      <c r="D276" s="25"/>
    </row>
    <row r="277" spans="1:5">
      <c r="A277" s="72"/>
      <c r="B277" s="72"/>
      <c r="C277" s="25" t="s">
        <v>879</v>
      </c>
      <c r="D277" s="25"/>
    </row>
    <row r="278" spans="1:5">
      <c r="A278" s="72"/>
      <c r="B278" s="72"/>
      <c r="C278" s="25" t="s">
        <v>880</v>
      </c>
      <c r="D278" s="25"/>
    </row>
    <row r="279" spans="1:5">
      <c r="A279" s="72"/>
      <c r="B279" s="72"/>
      <c r="C279" s="25" t="s">
        <v>881</v>
      </c>
      <c r="D279" s="25"/>
    </row>
    <row r="280" spans="1:5">
      <c r="A280" s="72"/>
      <c r="B280" s="72"/>
      <c r="C280" s="25" t="s">
        <v>882</v>
      </c>
      <c r="D280" s="25"/>
    </row>
    <row r="281" spans="1:5">
      <c r="A281" s="72"/>
      <c r="B281" s="72"/>
      <c r="C281" s="25" t="s">
        <v>855</v>
      </c>
      <c r="D281" s="25"/>
    </row>
    <row r="282" spans="1:5">
      <c r="A282" s="72"/>
      <c r="B282" s="72"/>
      <c r="C282" s="25" t="s">
        <v>1134</v>
      </c>
      <c r="D282" s="25" t="s">
        <v>1133</v>
      </c>
      <c r="E282" s="18" t="s">
        <v>1180</v>
      </c>
    </row>
    <row r="283" spans="1:5">
      <c r="A283" s="72"/>
      <c r="B283" s="72"/>
      <c r="C283" s="25" t="s">
        <v>883</v>
      </c>
      <c r="D283" s="25"/>
    </row>
    <row r="284" spans="1:5">
      <c r="A284" s="72"/>
      <c r="B284" s="72"/>
      <c r="C284" s="25" t="s">
        <v>1136</v>
      </c>
      <c r="D284" s="25" t="s">
        <v>1135</v>
      </c>
      <c r="E284" s="18" t="s">
        <v>1180</v>
      </c>
    </row>
    <row r="285" spans="1:5">
      <c r="A285" s="72"/>
      <c r="B285" s="72"/>
      <c r="C285" s="25" t="s">
        <v>884</v>
      </c>
      <c r="D285" s="25"/>
    </row>
    <row r="286" spans="1:5">
      <c r="A286" s="72"/>
      <c r="B286" s="72"/>
      <c r="C286" s="25" t="s">
        <v>885</v>
      </c>
      <c r="D286" s="25"/>
    </row>
    <row r="287" spans="1:5">
      <c r="A287" s="72"/>
      <c r="B287" s="72"/>
      <c r="C287" s="25" t="s">
        <v>886</v>
      </c>
      <c r="D287" s="25"/>
    </row>
    <row r="288" spans="1:5">
      <c r="A288" s="72"/>
      <c r="B288" s="72"/>
      <c r="C288" s="25" t="s">
        <v>887</v>
      </c>
      <c r="D288" s="25"/>
    </row>
    <row r="289" spans="1:5">
      <c r="A289" s="72"/>
      <c r="B289" s="72"/>
      <c r="C289" s="25" t="s">
        <v>1138</v>
      </c>
      <c r="D289" s="25" t="s">
        <v>1137</v>
      </c>
      <c r="E289" s="18" t="s">
        <v>1180</v>
      </c>
    </row>
    <row r="290" spans="1:5">
      <c r="A290" s="72"/>
      <c r="B290" s="72"/>
      <c r="C290" s="25" t="s">
        <v>888</v>
      </c>
      <c r="D290" s="25"/>
    </row>
    <row r="291" spans="1:5">
      <c r="A291" s="72"/>
      <c r="B291" s="72"/>
      <c r="C291" s="25" t="s">
        <v>889</v>
      </c>
      <c r="D291" s="25"/>
    </row>
    <row r="292" spans="1:5">
      <c r="A292" s="72"/>
      <c r="B292" s="72"/>
      <c r="C292" s="25" t="s">
        <v>890</v>
      </c>
      <c r="D292" s="25"/>
    </row>
    <row r="293" spans="1:5">
      <c r="A293" s="72"/>
      <c r="B293" s="72"/>
      <c r="C293" s="25" t="s">
        <v>891</v>
      </c>
      <c r="D293" s="25"/>
    </row>
    <row r="294" spans="1:5">
      <c r="A294" s="72"/>
      <c r="B294" s="72"/>
      <c r="C294" s="25" t="s">
        <v>892</v>
      </c>
      <c r="D294" s="25"/>
    </row>
    <row r="295" spans="1:5">
      <c r="A295" s="72"/>
      <c r="B295" s="72"/>
      <c r="C295" s="25" t="s">
        <v>893</v>
      </c>
      <c r="D295" s="25"/>
    </row>
    <row r="296" spans="1:5">
      <c r="A296" s="72"/>
      <c r="B296" s="72"/>
      <c r="C296" s="25" t="s">
        <v>195</v>
      </c>
      <c r="D296" s="25"/>
    </row>
    <row r="297" spans="1:5">
      <c r="A297" s="72"/>
      <c r="B297" s="72"/>
      <c r="C297" s="25" t="s">
        <v>1139</v>
      </c>
      <c r="D297" s="25" t="s">
        <v>1140</v>
      </c>
      <c r="E297" s="18" t="s">
        <v>1180</v>
      </c>
    </row>
    <row r="298" spans="1:5">
      <c r="A298" s="72"/>
      <c r="B298" s="72"/>
      <c r="C298" s="25" t="s">
        <v>894</v>
      </c>
      <c r="D298" s="25"/>
    </row>
    <row r="299" spans="1:5">
      <c r="A299" s="72"/>
      <c r="B299" s="72"/>
      <c r="C299" s="25" t="s">
        <v>895</v>
      </c>
      <c r="D299" s="25"/>
    </row>
    <row r="300" spans="1:5">
      <c r="A300" s="72"/>
      <c r="B300" s="72"/>
      <c r="C300" s="25" t="s">
        <v>1141</v>
      </c>
      <c r="D300" s="25"/>
      <c r="E300" s="18" t="s">
        <v>1180</v>
      </c>
    </row>
    <row r="301" spans="1:5">
      <c r="A301" s="72"/>
      <c r="B301" s="72"/>
      <c r="C301" s="25" t="s">
        <v>249</v>
      </c>
      <c r="D301" s="25"/>
    </row>
    <row r="302" spans="1:5">
      <c r="A302" s="72"/>
      <c r="B302" s="72"/>
      <c r="C302" s="25" t="s">
        <v>896</v>
      </c>
      <c r="D302" s="25"/>
    </row>
    <row r="303" spans="1:5">
      <c r="A303" s="72"/>
      <c r="B303" s="72"/>
      <c r="C303" s="25" t="s">
        <v>897</v>
      </c>
      <c r="D303" s="25"/>
    </row>
    <row r="304" spans="1:5">
      <c r="A304" s="72"/>
      <c r="B304" s="72"/>
      <c r="C304" s="25" t="s">
        <v>898</v>
      </c>
      <c r="D304" s="25"/>
    </row>
    <row r="305" spans="1:5">
      <c r="A305" s="72"/>
      <c r="B305" s="72"/>
      <c r="C305" s="25" t="s">
        <v>899</v>
      </c>
      <c r="D305" s="25"/>
    </row>
    <row r="306" spans="1:5">
      <c r="A306" s="72"/>
      <c r="B306" s="72"/>
      <c r="C306" s="25" t="s">
        <v>900</v>
      </c>
      <c r="D306" s="25"/>
    </row>
    <row r="307" spans="1:5">
      <c r="A307" s="72"/>
      <c r="B307" s="72"/>
      <c r="C307" s="25" t="s">
        <v>202</v>
      </c>
      <c r="D307" s="25"/>
    </row>
    <row r="308" spans="1:5">
      <c r="A308" s="72"/>
      <c r="B308" s="72"/>
      <c r="C308" s="25" t="s">
        <v>901</v>
      </c>
      <c r="D308" s="25"/>
    </row>
    <row r="309" spans="1:5">
      <c r="A309" s="72"/>
      <c r="B309" s="72"/>
      <c r="C309" s="25" t="s">
        <v>902</v>
      </c>
      <c r="D309" s="25"/>
    </row>
    <row r="310" spans="1:5">
      <c r="A310" s="72"/>
      <c r="B310" s="72"/>
      <c r="C310" s="25" t="s">
        <v>949</v>
      </c>
      <c r="D310" s="25"/>
      <c r="E310" s="18" t="s">
        <v>1180</v>
      </c>
    </row>
    <row r="311" spans="1:5">
      <c r="A311" s="72"/>
      <c r="B311" s="72"/>
      <c r="C311" s="25" t="s">
        <v>950</v>
      </c>
      <c r="D311" s="25"/>
      <c r="E311" s="18" t="s">
        <v>1180</v>
      </c>
    </row>
    <row r="312" spans="1:5">
      <c r="A312" s="72"/>
      <c r="B312" s="72"/>
      <c r="C312" s="25" t="s">
        <v>951</v>
      </c>
      <c r="D312" s="25"/>
      <c r="E312" s="18" t="s">
        <v>1180</v>
      </c>
    </row>
    <row r="313" spans="1:5">
      <c r="A313" s="72"/>
      <c r="B313" s="72"/>
      <c r="C313" s="25" t="s">
        <v>903</v>
      </c>
      <c r="D313" s="25"/>
    </row>
    <row r="314" spans="1:5">
      <c r="A314" s="72"/>
      <c r="B314" s="72"/>
      <c r="C314" s="25" t="s">
        <v>904</v>
      </c>
      <c r="D314" s="25"/>
    </row>
    <row r="315" spans="1:5">
      <c r="A315" s="72"/>
      <c r="B315" s="72"/>
      <c r="C315" s="25" t="s">
        <v>905</v>
      </c>
      <c r="D315" s="25"/>
    </row>
    <row r="316" spans="1:5">
      <c r="A316" s="72"/>
      <c r="B316" s="72"/>
      <c r="C316" s="25" t="s">
        <v>906</v>
      </c>
      <c r="D316" s="25"/>
    </row>
    <row r="317" spans="1:5">
      <c r="A317" s="72"/>
      <c r="B317" s="72"/>
      <c r="C317" s="25" t="s">
        <v>907</v>
      </c>
      <c r="D317" s="25"/>
    </row>
    <row r="318" spans="1:5">
      <c r="A318" s="72"/>
      <c r="B318" s="72"/>
      <c r="C318" s="25" t="s">
        <v>948</v>
      </c>
      <c r="D318" s="141" t="s">
        <v>908</v>
      </c>
      <c r="E318" s="18" t="s">
        <v>1180</v>
      </c>
    </row>
    <row r="319" spans="1:5">
      <c r="A319" s="72"/>
      <c r="B319" s="72"/>
      <c r="C319" s="25" t="s">
        <v>909</v>
      </c>
      <c r="D319" s="25"/>
    </row>
    <row r="320" spans="1:5">
      <c r="A320" s="72"/>
      <c r="B320" s="72"/>
      <c r="C320" s="25" t="s">
        <v>910</v>
      </c>
      <c r="D320" s="25"/>
    </row>
    <row r="321" spans="1:5">
      <c r="A321" s="72"/>
      <c r="B321" s="72"/>
      <c r="C321" s="25" t="s">
        <v>856</v>
      </c>
      <c r="D321" s="25"/>
    </row>
    <row r="322" spans="1:5">
      <c r="A322" s="72"/>
      <c r="B322" s="72"/>
      <c r="C322" s="25" t="s">
        <v>857</v>
      </c>
      <c r="D322" s="25"/>
    </row>
    <row r="323" spans="1:5">
      <c r="A323" s="72"/>
      <c r="B323" s="72"/>
      <c r="C323" s="25" t="s">
        <v>911</v>
      </c>
      <c r="D323" s="25"/>
    </row>
    <row r="324" spans="1:5">
      <c r="A324" s="72"/>
      <c r="B324" s="72"/>
      <c r="C324" s="25" t="s">
        <v>858</v>
      </c>
      <c r="D324" s="25"/>
    </row>
    <row r="325" spans="1:5">
      <c r="A325" s="72"/>
      <c r="B325" s="72"/>
      <c r="C325" s="25" t="s">
        <v>912</v>
      </c>
      <c r="D325" s="25"/>
    </row>
    <row r="326" spans="1:5">
      <c r="A326" s="72"/>
      <c r="B326" s="72"/>
      <c r="C326" s="25" t="s">
        <v>913</v>
      </c>
      <c r="D326" s="25"/>
    </row>
    <row r="327" spans="1:5">
      <c r="A327" s="72"/>
      <c r="B327" s="72"/>
      <c r="C327" s="25" t="s">
        <v>130</v>
      </c>
      <c r="D327" s="25"/>
    </row>
    <row r="328" spans="1:5">
      <c r="A328" s="89"/>
      <c r="B328" s="79" t="s">
        <v>300</v>
      </c>
      <c r="C328" s="65" t="s">
        <v>960</v>
      </c>
      <c r="D328" s="65"/>
      <c r="E328" s="18" t="s">
        <v>1180</v>
      </c>
    </row>
    <row r="329" spans="1:5">
      <c r="A329" s="90"/>
      <c r="B329" s="80"/>
      <c r="C329" s="65" t="s">
        <v>1050</v>
      </c>
      <c r="D329" s="65"/>
      <c r="E329" s="18" t="s">
        <v>1180</v>
      </c>
    </row>
    <row r="330" spans="1:5">
      <c r="A330" s="90"/>
      <c r="B330" s="80"/>
      <c r="C330" s="143" t="s">
        <v>1051</v>
      </c>
      <c r="D330" s="65"/>
      <c r="E330" s="18" t="s">
        <v>1180</v>
      </c>
    </row>
    <row r="331" spans="1:5">
      <c r="A331" s="90"/>
      <c r="B331" s="80"/>
      <c r="C331" s="142" t="s">
        <v>961</v>
      </c>
      <c r="D331" s="65"/>
      <c r="E331" s="18" t="s">
        <v>1180</v>
      </c>
    </row>
    <row r="332" spans="1:5">
      <c r="A332" s="90"/>
      <c r="B332" s="80"/>
      <c r="C332" s="142" t="s">
        <v>1042</v>
      </c>
      <c r="D332" s="65"/>
      <c r="E332" s="18" t="s">
        <v>1180</v>
      </c>
    </row>
    <row r="333" spans="1:5">
      <c r="A333" s="90"/>
      <c r="B333" s="80"/>
      <c r="C333" s="142" t="s">
        <v>962</v>
      </c>
      <c r="D333" s="65"/>
      <c r="E333" s="18" t="s">
        <v>1180</v>
      </c>
    </row>
    <row r="334" spans="1:5">
      <c r="A334" s="90"/>
      <c r="B334" s="80"/>
      <c r="C334" s="142" t="s">
        <v>963</v>
      </c>
      <c r="D334" s="65"/>
      <c r="E334" s="18" t="s">
        <v>1180</v>
      </c>
    </row>
    <row r="335" spans="1:5">
      <c r="A335" s="90"/>
      <c r="B335" s="80"/>
      <c r="C335" s="65" t="s">
        <v>1043</v>
      </c>
      <c r="D335" s="65"/>
      <c r="E335" s="18" t="s">
        <v>1180</v>
      </c>
    </row>
    <row r="336" spans="1:5">
      <c r="A336" s="90"/>
      <c r="B336" s="80"/>
      <c r="C336" s="65" t="s">
        <v>1044</v>
      </c>
      <c r="D336" s="65"/>
      <c r="E336" s="18" t="s">
        <v>1180</v>
      </c>
    </row>
    <row r="337" spans="1:5">
      <c r="A337" s="90"/>
      <c r="B337" s="80"/>
      <c r="C337" s="65" t="s">
        <v>1045</v>
      </c>
      <c r="D337" s="65"/>
      <c r="E337" s="18" t="s">
        <v>1180</v>
      </c>
    </row>
    <row r="338" spans="1:5">
      <c r="A338" s="90"/>
      <c r="B338" s="80"/>
      <c r="C338" s="65" t="s">
        <v>1046</v>
      </c>
      <c r="D338" s="65"/>
      <c r="E338" s="18" t="s">
        <v>1180</v>
      </c>
    </row>
    <row r="339" spans="1:5">
      <c r="A339" s="90"/>
      <c r="B339" s="80"/>
      <c r="C339" s="65" t="s">
        <v>1047</v>
      </c>
      <c r="D339" s="65"/>
      <c r="E339" s="18" t="s">
        <v>1180</v>
      </c>
    </row>
    <row r="340" spans="1:5">
      <c r="A340" s="90"/>
      <c r="B340" s="80"/>
      <c r="C340" s="65" t="s">
        <v>1048</v>
      </c>
      <c r="D340" s="65"/>
      <c r="E340" s="18" t="s">
        <v>1180</v>
      </c>
    </row>
    <row r="341" spans="1:5">
      <c r="A341" s="90"/>
      <c r="B341" s="80"/>
      <c r="C341" s="65" t="s">
        <v>1049</v>
      </c>
      <c r="D341" s="65"/>
      <c r="E341" s="18" t="s">
        <v>1180</v>
      </c>
    </row>
    <row r="342" spans="1:5">
      <c r="A342" s="90"/>
      <c r="B342" s="80"/>
      <c r="C342" s="65" t="s">
        <v>1052</v>
      </c>
      <c r="D342" s="65"/>
      <c r="E342" s="18" t="s">
        <v>1180</v>
      </c>
    </row>
    <row r="343" spans="1:5">
      <c r="A343" s="90"/>
      <c r="B343" s="80"/>
      <c r="C343" s="65" t="s">
        <v>1053</v>
      </c>
      <c r="D343" s="65"/>
      <c r="E343" s="18" t="s">
        <v>1180</v>
      </c>
    </row>
    <row r="344" spans="1:5">
      <c r="A344" s="90"/>
      <c r="B344" s="80"/>
      <c r="C344" s="65" t="s">
        <v>1054</v>
      </c>
      <c r="D344" s="65"/>
      <c r="E344" s="18" t="s">
        <v>1180</v>
      </c>
    </row>
    <row r="345" spans="1:5">
      <c r="A345" s="90"/>
      <c r="B345" s="80"/>
      <c r="C345" s="65" t="s">
        <v>1055</v>
      </c>
      <c r="D345" s="65"/>
      <c r="E345" s="18" t="s">
        <v>1180</v>
      </c>
    </row>
    <row r="346" spans="1:5">
      <c r="A346" s="90"/>
      <c r="B346" s="80"/>
      <c r="C346" s="65" t="s">
        <v>1056</v>
      </c>
      <c r="D346" s="65"/>
      <c r="E346" s="18" t="s">
        <v>1180</v>
      </c>
    </row>
    <row r="347" spans="1:5">
      <c r="A347" s="90"/>
      <c r="B347" s="80"/>
      <c r="C347" s="65" t="s">
        <v>1057</v>
      </c>
      <c r="D347" s="65"/>
      <c r="E347" s="18" t="s">
        <v>1180</v>
      </c>
    </row>
    <row r="348" spans="1:5">
      <c r="A348" s="90"/>
      <c r="B348" s="80"/>
      <c r="C348" s="65" t="s">
        <v>1058</v>
      </c>
      <c r="D348" s="65"/>
      <c r="E348" s="18" t="s">
        <v>1180</v>
      </c>
    </row>
    <row r="349" spans="1:5">
      <c r="A349" s="90"/>
      <c r="B349" s="80"/>
      <c r="C349" s="65" t="s">
        <v>1059</v>
      </c>
      <c r="D349" s="65"/>
      <c r="E349" s="18" t="s">
        <v>1180</v>
      </c>
    </row>
    <row r="350" spans="1:5">
      <c r="A350" s="90"/>
      <c r="B350" s="80"/>
      <c r="C350" s="65" t="s">
        <v>1060</v>
      </c>
      <c r="D350" s="65"/>
      <c r="E350" s="18" t="s">
        <v>1180</v>
      </c>
    </row>
    <row r="351" spans="1:5">
      <c r="A351" s="90"/>
      <c r="B351" s="80"/>
      <c r="C351" s="65" t="s">
        <v>1061</v>
      </c>
      <c r="D351" s="65"/>
      <c r="E351" s="18" t="s">
        <v>1180</v>
      </c>
    </row>
    <row r="352" spans="1:5">
      <c r="A352" s="90"/>
      <c r="B352" s="80"/>
      <c r="C352" s="65" t="s">
        <v>1062</v>
      </c>
      <c r="D352" s="65"/>
      <c r="E352" s="18" t="s">
        <v>1180</v>
      </c>
    </row>
    <row r="353" spans="1:5">
      <c r="A353" s="90"/>
      <c r="B353" s="80"/>
      <c r="C353" s="65" t="s">
        <v>1063</v>
      </c>
      <c r="D353" s="65"/>
      <c r="E353" s="18" t="s">
        <v>1180</v>
      </c>
    </row>
    <row r="354" spans="1:5">
      <c r="A354" s="90"/>
      <c r="B354" s="80"/>
      <c r="C354" s="65" t="s">
        <v>1064</v>
      </c>
      <c r="D354" s="65"/>
      <c r="E354" s="18" t="s">
        <v>1180</v>
      </c>
    </row>
    <row r="355" spans="1:5">
      <c r="A355" s="90"/>
      <c r="B355" s="80"/>
      <c r="C355" s="65" t="s">
        <v>1065</v>
      </c>
      <c r="D355" s="65"/>
      <c r="E355" s="18" t="s">
        <v>1180</v>
      </c>
    </row>
    <row r="356" spans="1:5">
      <c r="A356" s="90"/>
      <c r="B356" s="80"/>
      <c r="C356" s="65" t="s">
        <v>1066</v>
      </c>
      <c r="D356" s="65"/>
      <c r="E356" s="18" t="s">
        <v>1180</v>
      </c>
    </row>
    <row r="357" spans="1:5">
      <c r="A357" s="90"/>
      <c r="B357" s="80"/>
      <c r="C357" s="65" t="s">
        <v>1067</v>
      </c>
      <c r="D357" s="65"/>
      <c r="E357" s="18" t="s">
        <v>1180</v>
      </c>
    </row>
    <row r="358" spans="1:5">
      <c r="A358" s="90"/>
      <c r="B358" s="80"/>
      <c r="C358" s="65" t="s">
        <v>1068</v>
      </c>
      <c r="D358" s="65"/>
      <c r="E358" s="18" t="s">
        <v>1180</v>
      </c>
    </row>
    <row r="359" spans="1:5">
      <c r="A359" s="90"/>
      <c r="B359" s="80"/>
      <c r="C359" s="65" t="s">
        <v>1069</v>
      </c>
      <c r="D359" s="65"/>
      <c r="E359" s="18" t="s">
        <v>1180</v>
      </c>
    </row>
    <row r="360" spans="1:5">
      <c r="A360" s="90"/>
      <c r="B360" s="80"/>
      <c r="C360" s="65" t="s">
        <v>1070</v>
      </c>
      <c r="D360" s="65"/>
      <c r="E360" s="18" t="s">
        <v>1180</v>
      </c>
    </row>
    <row r="361" spans="1:5">
      <c r="A361" s="90"/>
      <c r="B361" s="80"/>
      <c r="C361" s="65" t="s">
        <v>1071</v>
      </c>
      <c r="D361" s="65"/>
      <c r="E361" s="18" t="s">
        <v>1180</v>
      </c>
    </row>
    <row r="362" spans="1:5">
      <c r="A362" s="90"/>
      <c r="B362" s="80"/>
      <c r="C362" s="65" t="s">
        <v>1072</v>
      </c>
      <c r="D362" s="65"/>
      <c r="E362" s="18" t="s">
        <v>1180</v>
      </c>
    </row>
    <row r="363" spans="1:5">
      <c r="A363" s="90"/>
      <c r="B363" s="80"/>
      <c r="C363" s="65" t="s">
        <v>1073</v>
      </c>
      <c r="D363" s="65"/>
      <c r="E363" s="18" t="s">
        <v>1180</v>
      </c>
    </row>
    <row r="364" spans="1:5">
      <c r="A364" s="90"/>
      <c r="B364" s="80"/>
      <c r="C364" s="65" t="s">
        <v>1074</v>
      </c>
      <c r="D364" s="65"/>
      <c r="E364" s="18" t="s">
        <v>1180</v>
      </c>
    </row>
    <row r="365" spans="1:5">
      <c r="A365" s="90"/>
      <c r="B365" s="80"/>
      <c r="C365" s="65" t="s">
        <v>1075</v>
      </c>
      <c r="D365" s="65"/>
      <c r="E365" s="18" t="s">
        <v>1180</v>
      </c>
    </row>
    <row r="366" spans="1:5">
      <c r="A366" s="90"/>
      <c r="B366" s="80"/>
      <c r="C366" s="65" t="s">
        <v>1076</v>
      </c>
      <c r="D366" s="65"/>
      <c r="E366" s="18" t="s">
        <v>1180</v>
      </c>
    </row>
    <row r="367" spans="1:5">
      <c r="A367" s="90"/>
      <c r="B367" s="80"/>
      <c r="C367" s="65" t="s">
        <v>1077</v>
      </c>
      <c r="D367" s="65"/>
      <c r="E367" s="18" t="s">
        <v>1180</v>
      </c>
    </row>
    <row r="368" spans="1:5">
      <c r="A368" s="90"/>
      <c r="B368" s="80"/>
      <c r="C368" s="65" t="s">
        <v>1078</v>
      </c>
      <c r="D368" s="65"/>
      <c r="E368" s="18" t="s">
        <v>1180</v>
      </c>
    </row>
    <row r="369" spans="1:5">
      <c r="A369" s="90"/>
      <c r="B369" s="80"/>
      <c r="C369" s="65" t="s">
        <v>1079</v>
      </c>
      <c r="D369" s="65"/>
      <c r="E369" s="18" t="s">
        <v>1180</v>
      </c>
    </row>
    <row r="370" spans="1:5">
      <c r="A370" s="90"/>
      <c r="B370" s="80"/>
      <c r="C370" s="65" t="s">
        <v>1080</v>
      </c>
      <c r="D370" s="65"/>
      <c r="E370" s="18" t="s">
        <v>1180</v>
      </c>
    </row>
    <row r="371" spans="1:5">
      <c r="A371" s="90"/>
      <c r="B371" s="80"/>
      <c r="C371" s="65" t="s">
        <v>964</v>
      </c>
      <c r="D371" s="65"/>
      <c r="E371" s="18" t="s">
        <v>1180</v>
      </c>
    </row>
    <row r="372" spans="1:5">
      <c r="A372" s="90"/>
      <c r="B372" s="80"/>
      <c r="C372" s="65" t="s">
        <v>965</v>
      </c>
      <c r="D372" s="65"/>
      <c r="E372" s="18" t="s">
        <v>1180</v>
      </c>
    </row>
    <row r="373" spans="1:5">
      <c r="A373" s="90"/>
      <c r="B373" s="80"/>
      <c r="C373" s="65" t="s">
        <v>966</v>
      </c>
      <c r="D373" s="65"/>
      <c r="E373" s="18" t="s">
        <v>1180</v>
      </c>
    </row>
    <row r="374" spans="1:5">
      <c r="A374" s="90"/>
      <c r="B374" s="80"/>
      <c r="C374" s="65" t="s">
        <v>967</v>
      </c>
      <c r="D374" s="65"/>
      <c r="E374" s="18" t="s">
        <v>1180</v>
      </c>
    </row>
    <row r="375" spans="1:5">
      <c r="A375" s="90"/>
      <c r="B375" s="80"/>
      <c r="C375" s="65" t="s">
        <v>968</v>
      </c>
      <c r="D375" s="65"/>
      <c r="E375" s="18" t="s">
        <v>1180</v>
      </c>
    </row>
    <row r="376" spans="1:5">
      <c r="A376" s="90"/>
      <c r="B376" s="80"/>
      <c r="C376" s="65" t="s">
        <v>969</v>
      </c>
      <c r="D376" s="65"/>
      <c r="E376" s="18" t="s">
        <v>1180</v>
      </c>
    </row>
    <row r="377" spans="1:5">
      <c r="A377" s="90"/>
      <c r="B377" s="80"/>
      <c r="C377" s="65" t="s">
        <v>970</v>
      </c>
      <c r="D377" s="65"/>
      <c r="E377" s="18" t="s">
        <v>1180</v>
      </c>
    </row>
    <row r="378" spans="1:5">
      <c r="A378" s="90"/>
      <c r="B378" s="80"/>
      <c r="C378" s="65" t="s">
        <v>971</v>
      </c>
      <c r="D378" s="65"/>
      <c r="E378" s="18" t="s">
        <v>1180</v>
      </c>
    </row>
    <row r="379" spans="1:5">
      <c r="A379" s="90"/>
      <c r="B379" s="80"/>
      <c r="C379" s="65" t="s">
        <v>972</v>
      </c>
      <c r="D379" s="65"/>
      <c r="E379" s="18" t="s">
        <v>1180</v>
      </c>
    </row>
    <row r="380" spans="1:5">
      <c r="A380" s="90"/>
      <c r="B380" s="80"/>
      <c r="C380" s="65" t="s">
        <v>973</v>
      </c>
      <c r="D380" s="65"/>
      <c r="E380" s="18" t="s">
        <v>1180</v>
      </c>
    </row>
    <row r="381" spans="1:5">
      <c r="A381" s="90"/>
      <c r="B381" s="80"/>
      <c r="C381" s="65" t="s">
        <v>974</v>
      </c>
      <c r="D381" s="65"/>
      <c r="E381" s="18" t="s">
        <v>1180</v>
      </c>
    </row>
    <row r="382" spans="1:5">
      <c r="A382" s="90"/>
      <c r="B382" s="80"/>
      <c r="C382" s="65" t="s">
        <v>975</v>
      </c>
      <c r="D382" s="65"/>
      <c r="E382" s="18" t="s">
        <v>1180</v>
      </c>
    </row>
    <row r="383" spans="1:5">
      <c r="A383" s="90"/>
      <c r="B383" s="80"/>
      <c r="C383" s="65" t="s">
        <v>976</v>
      </c>
      <c r="D383" s="65"/>
      <c r="E383" s="18" t="s">
        <v>1180</v>
      </c>
    </row>
    <row r="384" spans="1:5">
      <c r="A384" s="90"/>
      <c r="B384" s="80"/>
      <c r="C384" s="65" t="s">
        <v>977</v>
      </c>
      <c r="D384" s="65"/>
      <c r="E384" s="18" t="s">
        <v>1180</v>
      </c>
    </row>
    <row r="385" spans="1:5">
      <c r="A385" s="90"/>
      <c r="B385" s="80"/>
      <c r="C385" s="65" t="s">
        <v>978</v>
      </c>
      <c r="D385" s="65"/>
      <c r="E385" s="18" t="s">
        <v>1180</v>
      </c>
    </row>
    <row r="386" spans="1:5">
      <c r="A386" s="90"/>
      <c r="B386" s="80"/>
      <c r="C386" s="65" t="s">
        <v>979</v>
      </c>
      <c r="D386" s="65"/>
      <c r="E386" s="18" t="s">
        <v>1180</v>
      </c>
    </row>
    <row r="387" spans="1:5">
      <c r="A387" s="90"/>
      <c r="B387" s="80"/>
      <c r="C387" s="65" t="s">
        <v>980</v>
      </c>
      <c r="D387" s="65"/>
      <c r="E387" s="18" t="s">
        <v>1180</v>
      </c>
    </row>
    <row r="388" spans="1:5">
      <c r="A388" s="90"/>
      <c r="B388" s="80"/>
      <c r="C388" s="65" t="s">
        <v>981</v>
      </c>
      <c r="D388" s="65"/>
      <c r="E388" s="18" t="s">
        <v>1180</v>
      </c>
    </row>
    <row r="389" spans="1:5">
      <c r="A389" s="90"/>
      <c r="B389" s="80"/>
      <c r="C389" s="65" t="s">
        <v>982</v>
      </c>
      <c r="D389" s="65"/>
      <c r="E389" s="18" t="s">
        <v>1180</v>
      </c>
    </row>
    <row r="390" spans="1:5">
      <c r="A390" s="90"/>
      <c r="B390" s="80"/>
      <c r="C390" s="65" t="s">
        <v>983</v>
      </c>
      <c r="D390" s="65"/>
      <c r="E390" s="18" t="s">
        <v>1180</v>
      </c>
    </row>
    <row r="391" spans="1:5">
      <c r="A391" s="90"/>
      <c r="B391" s="80"/>
      <c r="C391" s="65" t="s">
        <v>984</v>
      </c>
      <c r="D391" s="65"/>
      <c r="E391" s="18" t="s">
        <v>1180</v>
      </c>
    </row>
    <row r="392" spans="1:5">
      <c r="A392" s="90"/>
      <c r="B392" s="80"/>
      <c r="C392" s="65" t="s">
        <v>985</v>
      </c>
      <c r="D392" s="65"/>
      <c r="E392" s="18" t="s">
        <v>1180</v>
      </c>
    </row>
    <row r="393" spans="1:5">
      <c r="A393" s="90"/>
      <c r="B393" s="80"/>
      <c r="C393" s="65" t="s">
        <v>986</v>
      </c>
      <c r="D393" s="65"/>
      <c r="E393" s="18" t="s">
        <v>1180</v>
      </c>
    </row>
    <row r="394" spans="1:5">
      <c r="A394" s="90"/>
      <c r="B394" s="80"/>
      <c r="C394" s="65" t="s">
        <v>987</v>
      </c>
      <c r="D394" s="65"/>
      <c r="E394" s="18" t="s">
        <v>1180</v>
      </c>
    </row>
    <row r="395" spans="1:5">
      <c r="A395" s="90"/>
      <c r="B395" s="80"/>
      <c r="C395" s="65" t="s">
        <v>988</v>
      </c>
      <c r="D395" s="65"/>
      <c r="E395" s="18" t="s">
        <v>1180</v>
      </c>
    </row>
    <row r="396" spans="1:5">
      <c r="A396" s="90"/>
      <c r="B396" s="80"/>
      <c r="C396" s="65" t="s">
        <v>989</v>
      </c>
      <c r="D396" s="65"/>
      <c r="E396" s="18" t="s">
        <v>1180</v>
      </c>
    </row>
    <row r="397" spans="1:5">
      <c r="A397" s="90"/>
      <c r="B397" s="80"/>
      <c r="C397" s="65" t="s">
        <v>990</v>
      </c>
      <c r="D397" s="65"/>
      <c r="E397" s="18" t="s">
        <v>1180</v>
      </c>
    </row>
    <row r="398" spans="1:5">
      <c r="A398" s="90"/>
      <c r="B398" s="80"/>
      <c r="C398" s="65" t="s">
        <v>991</v>
      </c>
      <c r="D398" s="65"/>
      <c r="E398" s="18" t="s">
        <v>1180</v>
      </c>
    </row>
    <row r="399" spans="1:5">
      <c r="A399" s="90"/>
      <c r="B399" s="80"/>
      <c r="C399" s="65" t="s">
        <v>992</v>
      </c>
      <c r="D399" s="65"/>
      <c r="E399" s="18" t="s">
        <v>1180</v>
      </c>
    </row>
    <row r="400" spans="1:5">
      <c r="A400" s="90"/>
      <c r="B400" s="80"/>
      <c r="C400" s="65" t="s">
        <v>993</v>
      </c>
      <c r="D400" s="65"/>
      <c r="E400" s="18" t="s">
        <v>1180</v>
      </c>
    </row>
    <row r="401" spans="1:5">
      <c r="A401" s="90"/>
      <c r="B401" s="80"/>
      <c r="C401" s="65" t="s">
        <v>994</v>
      </c>
      <c r="D401" s="65"/>
      <c r="E401" s="18" t="s">
        <v>1180</v>
      </c>
    </row>
    <row r="402" spans="1:5">
      <c r="A402" s="90"/>
      <c r="B402" s="80"/>
      <c r="C402" s="65" t="s">
        <v>995</v>
      </c>
      <c r="D402" s="65"/>
      <c r="E402" s="18" t="s">
        <v>1180</v>
      </c>
    </row>
    <row r="403" spans="1:5">
      <c r="A403" s="90"/>
      <c r="B403" s="80"/>
      <c r="C403" s="65" t="s">
        <v>996</v>
      </c>
      <c r="D403" s="65"/>
      <c r="E403" s="18" t="s">
        <v>1180</v>
      </c>
    </row>
    <row r="404" spans="1:5">
      <c r="A404" s="90"/>
      <c r="B404" s="80"/>
      <c r="C404" s="65" t="s">
        <v>997</v>
      </c>
      <c r="D404" s="65"/>
      <c r="E404" s="18" t="s">
        <v>1180</v>
      </c>
    </row>
    <row r="405" spans="1:5">
      <c r="A405" s="90"/>
      <c r="B405" s="80"/>
      <c r="C405" s="65" t="s">
        <v>998</v>
      </c>
      <c r="D405" s="65"/>
      <c r="E405" s="18" t="s">
        <v>1180</v>
      </c>
    </row>
    <row r="406" spans="1:5">
      <c r="A406" s="90"/>
      <c r="B406" s="80"/>
      <c r="C406" s="65" t="s">
        <v>999</v>
      </c>
      <c r="D406" s="65"/>
      <c r="E406" s="18" t="s">
        <v>1180</v>
      </c>
    </row>
    <row r="407" spans="1:5">
      <c r="A407" s="90"/>
      <c r="B407" s="80"/>
      <c r="C407" s="65" t="s">
        <v>1000</v>
      </c>
      <c r="D407" s="65"/>
      <c r="E407" s="18" t="s">
        <v>1180</v>
      </c>
    </row>
    <row r="408" spans="1:5">
      <c r="A408" s="90"/>
      <c r="B408" s="80"/>
      <c r="C408" s="65" t="s">
        <v>1001</v>
      </c>
      <c r="D408" s="65"/>
      <c r="E408" s="18" t="s">
        <v>1180</v>
      </c>
    </row>
    <row r="409" spans="1:5">
      <c r="A409" s="90"/>
      <c r="B409" s="80"/>
      <c r="C409" s="65" t="s">
        <v>1002</v>
      </c>
      <c r="D409" s="65"/>
      <c r="E409" s="18" t="s">
        <v>1180</v>
      </c>
    </row>
    <row r="410" spans="1:5">
      <c r="A410" s="90"/>
      <c r="B410" s="80"/>
      <c r="C410" s="65" t="s">
        <v>1003</v>
      </c>
      <c r="D410" s="65"/>
      <c r="E410" s="18" t="s">
        <v>1180</v>
      </c>
    </row>
    <row r="411" spans="1:5">
      <c r="A411" s="90"/>
      <c r="B411" s="80"/>
      <c r="C411" s="65" t="s">
        <v>1004</v>
      </c>
      <c r="D411" s="65"/>
      <c r="E411" s="18" t="s">
        <v>1180</v>
      </c>
    </row>
    <row r="412" spans="1:5">
      <c r="A412" s="90"/>
      <c r="B412" s="80"/>
      <c r="C412" s="65" t="s">
        <v>1005</v>
      </c>
      <c r="D412" s="65"/>
      <c r="E412" s="18" t="s">
        <v>1180</v>
      </c>
    </row>
    <row r="413" spans="1:5">
      <c r="A413" s="90"/>
      <c r="B413" s="80"/>
      <c r="C413" s="65" t="s">
        <v>1006</v>
      </c>
      <c r="D413" s="65"/>
      <c r="E413" s="18" t="s">
        <v>1180</v>
      </c>
    </row>
    <row r="414" spans="1:5">
      <c r="A414" s="90"/>
      <c r="B414" s="80"/>
      <c r="C414" s="65" t="s">
        <v>1007</v>
      </c>
      <c r="D414" s="65"/>
      <c r="E414" s="18" t="s">
        <v>1180</v>
      </c>
    </row>
    <row r="415" spans="1:5">
      <c r="A415" s="90"/>
      <c r="B415" s="80"/>
      <c r="C415" s="65" t="s">
        <v>1008</v>
      </c>
      <c r="D415" s="65"/>
      <c r="E415" s="18" t="s">
        <v>1180</v>
      </c>
    </row>
    <row r="416" spans="1:5">
      <c r="A416" s="90"/>
      <c r="B416" s="80"/>
      <c r="C416" s="65" t="s">
        <v>1009</v>
      </c>
      <c r="D416" s="65"/>
      <c r="E416" s="18" t="s">
        <v>1180</v>
      </c>
    </row>
    <row r="417" spans="1:5">
      <c r="A417" s="90"/>
      <c r="B417" s="80"/>
      <c r="C417" s="65" t="s">
        <v>1010</v>
      </c>
      <c r="D417" s="65"/>
      <c r="E417" s="18" t="s">
        <v>1180</v>
      </c>
    </row>
    <row r="418" spans="1:5">
      <c r="A418" s="90"/>
      <c r="B418" s="80"/>
      <c r="C418" s="65" t="s">
        <v>1011</v>
      </c>
      <c r="D418" s="65"/>
      <c r="E418" s="18" t="s">
        <v>1180</v>
      </c>
    </row>
    <row r="419" spans="1:5">
      <c r="A419" s="90"/>
      <c r="B419" s="80"/>
      <c r="C419" s="65" t="s">
        <v>1012</v>
      </c>
      <c r="D419" s="65"/>
      <c r="E419" s="18" t="s">
        <v>1180</v>
      </c>
    </row>
    <row r="420" spans="1:5">
      <c r="A420" s="90"/>
      <c r="B420" s="80"/>
      <c r="C420" s="65" t="s">
        <v>1013</v>
      </c>
      <c r="D420" s="65"/>
      <c r="E420" s="18" t="s">
        <v>1180</v>
      </c>
    </row>
    <row r="421" spans="1:5">
      <c r="A421" s="90"/>
      <c r="B421" s="80"/>
      <c r="C421" s="65" t="s">
        <v>1014</v>
      </c>
      <c r="D421" s="65"/>
      <c r="E421" s="18" t="s">
        <v>1180</v>
      </c>
    </row>
    <row r="422" spans="1:5">
      <c r="A422" s="90"/>
      <c r="B422" s="80"/>
      <c r="C422" s="65" t="s">
        <v>1015</v>
      </c>
      <c r="D422" s="65"/>
      <c r="E422" s="18" t="s">
        <v>1180</v>
      </c>
    </row>
    <row r="423" spans="1:5">
      <c r="A423" s="90"/>
      <c r="B423" s="80"/>
      <c r="C423" s="65" t="s">
        <v>1016</v>
      </c>
      <c r="D423" s="65"/>
      <c r="E423" s="18" t="s">
        <v>1180</v>
      </c>
    </row>
    <row r="424" spans="1:5">
      <c r="A424" s="90"/>
      <c r="B424" s="80"/>
      <c r="C424" s="65" t="s">
        <v>1017</v>
      </c>
      <c r="D424" s="65"/>
      <c r="E424" s="18" t="s">
        <v>1180</v>
      </c>
    </row>
    <row r="425" spans="1:5">
      <c r="A425" s="90"/>
      <c r="B425" s="80"/>
      <c r="C425" s="65" t="s">
        <v>1018</v>
      </c>
      <c r="D425" s="65"/>
      <c r="E425" s="18" t="s">
        <v>1180</v>
      </c>
    </row>
    <row r="426" spans="1:5">
      <c r="A426" s="90"/>
      <c r="B426" s="80"/>
      <c r="C426" s="65" t="s">
        <v>1019</v>
      </c>
      <c r="D426" s="65"/>
      <c r="E426" s="18" t="s">
        <v>1180</v>
      </c>
    </row>
    <row r="427" spans="1:5">
      <c r="A427" s="90"/>
      <c r="B427" s="80"/>
      <c r="C427" s="65" t="s">
        <v>1020</v>
      </c>
      <c r="D427" s="65"/>
      <c r="E427" s="18" t="s">
        <v>1180</v>
      </c>
    </row>
    <row r="428" spans="1:5">
      <c r="A428" s="90"/>
      <c r="B428" s="80"/>
      <c r="C428" s="65" t="s">
        <v>1021</v>
      </c>
      <c r="D428" s="65"/>
      <c r="E428" s="18" t="s">
        <v>1180</v>
      </c>
    </row>
    <row r="429" spans="1:5">
      <c r="A429" s="90"/>
      <c r="B429" s="80"/>
      <c r="C429" s="65" t="s">
        <v>1022</v>
      </c>
      <c r="D429" s="65"/>
      <c r="E429" s="18" t="s">
        <v>1180</v>
      </c>
    </row>
    <row r="430" spans="1:5">
      <c r="A430" s="90"/>
      <c r="B430" s="80"/>
      <c r="C430" s="65" t="s">
        <v>1023</v>
      </c>
      <c r="D430" s="65"/>
      <c r="E430" s="18" t="s">
        <v>1180</v>
      </c>
    </row>
    <row r="431" spans="1:5">
      <c r="A431" s="90"/>
      <c r="B431" s="80"/>
      <c r="C431" s="65" t="s">
        <v>1024</v>
      </c>
      <c r="D431" s="65"/>
      <c r="E431" s="18" t="s">
        <v>1180</v>
      </c>
    </row>
    <row r="432" spans="1:5">
      <c r="A432" s="90"/>
      <c r="B432" s="80"/>
      <c r="C432" s="65" t="s">
        <v>1025</v>
      </c>
      <c r="D432" s="65"/>
      <c r="E432" s="18" t="s">
        <v>1180</v>
      </c>
    </row>
    <row r="433" spans="1:5">
      <c r="A433" s="90"/>
      <c r="B433" s="80"/>
      <c r="C433" s="65" t="s">
        <v>1081</v>
      </c>
      <c r="D433" s="65"/>
      <c r="E433" s="18" t="s">
        <v>1180</v>
      </c>
    </row>
    <row r="434" spans="1:5">
      <c r="A434" s="90"/>
      <c r="B434" s="80"/>
      <c r="C434" s="65" t="s">
        <v>1082</v>
      </c>
      <c r="D434" s="65"/>
      <c r="E434" s="18" t="s">
        <v>1180</v>
      </c>
    </row>
    <row r="435" spans="1:5">
      <c r="A435" s="90"/>
      <c r="B435" s="80"/>
      <c r="C435" s="65" t="s">
        <v>1083</v>
      </c>
      <c r="D435" s="65"/>
      <c r="E435" s="18" t="s">
        <v>1180</v>
      </c>
    </row>
    <row r="436" spans="1:5">
      <c r="A436" s="90"/>
      <c r="B436" s="80"/>
      <c r="C436" s="65" t="s">
        <v>1084</v>
      </c>
      <c r="D436" s="65"/>
      <c r="E436" s="18" t="s">
        <v>1180</v>
      </c>
    </row>
    <row r="437" spans="1:5">
      <c r="A437" s="90"/>
      <c r="B437" s="80"/>
      <c r="C437" s="65" t="s">
        <v>1085</v>
      </c>
      <c r="D437" s="65"/>
      <c r="E437" s="18" t="s">
        <v>1180</v>
      </c>
    </row>
    <row r="438" spans="1:5">
      <c r="A438" s="90"/>
      <c r="B438" s="80"/>
      <c r="C438" s="65" t="s">
        <v>1086</v>
      </c>
      <c r="D438" s="65"/>
      <c r="E438" s="18" t="s">
        <v>1180</v>
      </c>
    </row>
    <row r="439" spans="1:5">
      <c r="A439" s="90"/>
      <c r="B439" s="80"/>
      <c r="C439" s="65" t="s">
        <v>1087</v>
      </c>
      <c r="D439" s="65"/>
      <c r="E439" s="18" t="s">
        <v>1180</v>
      </c>
    </row>
    <row r="440" spans="1:5">
      <c r="A440" s="90"/>
      <c r="B440" s="80"/>
      <c r="C440" s="65" t="s">
        <v>1088</v>
      </c>
      <c r="D440" s="65"/>
      <c r="E440" s="18" t="s">
        <v>1180</v>
      </c>
    </row>
    <row r="441" spans="1:5">
      <c r="A441" s="90"/>
      <c r="B441" s="80"/>
      <c r="C441" s="65" t="s">
        <v>1026</v>
      </c>
      <c r="D441" s="65"/>
      <c r="E441" s="18" t="s">
        <v>1180</v>
      </c>
    </row>
    <row r="442" spans="1:5">
      <c r="A442" s="90"/>
      <c r="B442" s="80"/>
      <c r="C442" s="65" t="s">
        <v>1027</v>
      </c>
      <c r="D442" s="65"/>
      <c r="E442" s="18" t="s">
        <v>1180</v>
      </c>
    </row>
    <row r="443" spans="1:5">
      <c r="A443" s="90"/>
      <c r="B443" s="80"/>
      <c r="C443" s="65" t="s">
        <v>1028</v>
      </c>
      <c r="D443" s="65"/>
      <c r="E443" s="18" t="s">
        <v>1180</v>
      </c>
    </row>
    <row r="444" spans="1:5">
      <c r="A444" s="90"/>
      <c r="B444" s="80"/>
      <c r="C444" s="65" t="s">
        <v>1029</v>
      </c>
      <c r="D444" s="65"/>
      <c r="E444" s="18" t="s">
        <v>1180</v>
      </c>
    </row>
    <row r="445" spans="1:5">
      <c r="A445" s="90"/>
      <c r="B445" s="80"/>
      <c r="C445" s="65" t="s">
        <v>1030</v>
      </c>
      <c r="D445" s="65"/>
      <c r="E445" s="18" t="s">
        <v>1180</v>
      </c>
    </row>
    <row r="446" spans="1:5">
      <c r="A446" s="90"/>
      <c r="B446" s="80"/>
      <c r="C446" s="65" t="s">
        <v>1031</v>
      </c>
      <c r="D446" s="65"/>
      <c r="E446" s="18" t="s">
        <v>1180</v>
      </c>
    </row>
    <row r="447" spans="1:5">
      <c r="A447" s="90"/>
      <c r="B447" s="80"/>
      <c r="C447" s="65" t="s">
        <v>1032</v>
      </c>
      <c r="D447" s="65"/>
      <c r="E447" s="18" t="s">
        <v>1180</v>
      </c>
    </row>
    <row r="448" spans="1:5">
      <c r="A448" s="90"/>
      <c r="B448" s="80"/>
      <c r="C448" s="65" t="s">
        <v>1033</v>
      </c>
      <c r="D448" s="65"/>
      <c r="E448" s="18" t="s">
        <v>1180</v>
      </c>
    </row>
    <row r="449" spans="1:5">
      <c r="A449" s="90"/>
      <c r="B449" s="80"/>
      <c r="C449" s="65" t="s">
        <v>1089</v>
      </c>
      <c r="D449" s="65"/>
      <c r="E449" s="18" t="s">
        <v>1180</v>
      </c>
    </row>
    <row r="450" spans="1:5">
      <c r="A450" s="90"/>
      <c r="B450" s="80"/>
      <c r="C450" s="65" t="s">
        <v>1090</v>
      </c>
      <c r="D450" s="65"/>
      <c r="E450" s="18" t="s">
        <v>1180</v>
      </c>
    </row>
    <row r="451" spans="1:5">
      <c r="A451" s="90"/>
      <c r="B451" s="80"/>
      <c r="C451" s="65" t="s">
        <v>1091</v>
      </c>
      <c r="D451" s="65"/>
      <c r="E451" s="18" t="s">
        <v>1180</v>
      </c>
    </row>
    <row r="452" spans="1:5">
      <c r="A452" s="90"/>
      <c r="B452" s="80"/>
      <c r="C452" s="65" t="s">
        <v>1092</v>
      </c>
      <c r="D452" s="65"/>
      <c r="E452" s="18" t="s">
        <v>1180</v>
      </c>
    </row>
    <row r="453" spans="1:5">
      <c r="A453" s="90"/>
      <c r="B453" s="80"/>
      <c r="C453" s="65" t="s">
        <v>1093</v>
      </c>
      <c r="D453" s="65"/>
      <c r="E453" s="18" t="s">
        <v>1180</v>
      </c>
    </row>
    <row r="454" spans="1:5">
      <c r="A454" s="90"/>
      <c r="B454" s="80"/>
      <c r="C454" s="65" t="s">
        <v>1094</v>
      </c>
      <c r="D454" s="65"/>
      <c r="E454" s="18" t="s">
        <v>1180</v>
      </c>
    </row>
    <row r="455" spans="1:5">
      <c r="A455" s="90"/>
      <c r="B455" s="80"/>
      <c r="C455" s="65" t="s">
        <v>1095</v>
      </c>
      <c r="D455" s="65"/>
      <c r="E455" s="18" t="s">
        <v>1180</v>
      </c>
    </row>
    <row r="456" spans="1:5">
      <c r="A456" s="90"/>
      <c r="B456" s="80"/>
      <c r="C456" s="65" t="s">
        <v>1096</v>
      </c>
      <c r="D456" s="65"/>
      <c r="E456" s="18" t="s">
        <v>1180</v>
      </c>
    </row>
    <row r="457" spans="1:5">
      <c r="A457" s="90"/>
      <c r="B457" s="80"/>
      <c r="C457" s="65" t="s">
        <v>1097</v>
      </c>
      <c r="D457" s="65"/>
      <c r="E457" s="18" t="s">
        <v>1180</v>
      </c>
    </row>
    <row r="458" spans="1:5">
      <c r="A458" s="90"/>
      <c r="B458" s="80"/>
      <c r="C458" s="65" t="s">
        <v>1098</v>
      </c>
      <c r="D458" s="65"/>
      <c r="E458" s="18" t="s">
        <v>1180</v>
      </c>
    </row>
    <row r="459" spans="1:5">
      <c r="A459" s="90"/>
      <c r="B459" s="80"/>
      <c r="C459" s="65" t="s">
        <v>1099</v>
      </c>
      <c r="D459" s="65"/>
      <c r="E459" s="18" t="s">
        <v>1180</v>
      </c>
    </row>
    <row r="460" spans="1:5">
      <c r="A460" s="90"/>
      <c r="B460" s="80"/>
      <c r="C460" s="65" t="s">
        <v>1100</v>
      </c>
      <c r="D460" s="65"/>
      <c r="E460" s="18" t="s">
        <v>1180</v>
      </c>
    </row>
    <row r="461" spans="1:5">
      <c r="A461" s="90"/>
      <c r="B461" s="80"/>
      <c r="C461" s="65" t="s">
        <v>1101</v>
      </c>
      <c r="D461" s="65"/>
      <c r="E461" s="18" t="s">
        <v>1180</v>
      </c>
    </row>
    <row r="462" spans="1:5">
      <c r="A462" s="90"/>
      <c r="B462" s="80"/>
      <c r="C462" s="65" t="s">
        <v>1102</v>
      </c>
      <c r="D462" s="65"/>
      <c r="E462" s="18" t="s">
        <v>1180</v>
      </c>
    </row>
    <row r="463" spans="1:5">
      <c r="A463" s="90"/>
      <c r="B463" s="80"/>
      <c r="C463" s="65" t="s">
        <v>1103</v>
      </c>
      <c r="D463" s="65"/>
      <c r="E463" s="18" t="s">
        <v>1180</v>
      </c>
    </row>
    <row r="464" spans="1:5">
      <c r="A464" s="90"/>
      <c r="B464" s="80"/>
      <c r="C464" s="65" t="s">
        <v>1104</v>
      </c>
      <c r="D464" s="65"/>
      <c r="E464" s="18" t="s">
        <v>1180</v>
      </c>
    </row>
    <row r="465" spans="1:5">
      <c r="A465" s="90"/>
      <c r="B465" s="80"/>
      <c r="C465" s="65" t="s">
        <v>1105</v>
      </c>
      <c r="D465" s="65"/>
      <c r="E465" s="18" t="s">
        <v>1180</v>
      </c>
    </row>
    <row r="466" spans="1:5">
      <c r="A466" s="90"/>
      <c r="B466" s="80"/>
      <c r="C466" s="65" t="s">
        <v>1106</v>
      </c>
      <c r="D466" s="65"/>
      <c r="E466" s="18" t="s">
        <v>1180</v>
      </c>
    </row>
    <row r="467" spans="1:5">
      <c r="A467" s="90"/>
      <c r="B467" s="80"/>
      <c r="C467" s="65" t="s">
        <v>1107</v>
      </c>
      <c r="D467" s="65"/>
      <c r="E467" s="18" t="s">
        <v>1180</v>
      </c>
    </row>
    <row r="468" spans="1:5">
      <c r="A468" s="90"/>
      <c r="B468" s="80"/>
      <c r="C468" s="65" t="s">
        <v>1108</v>
      </c>
      <c r="D468" s="65"/>
      <c r="E468" s="18" t="s">
        <v>1180</v>
      </c>
    </row>
    <row r="469" spans="1:5">
      <c r="A469" s="90"/>
      <c r="B469" s="80"/>
      <c r="C469" s="65" t="s">
        <v>1109</v>
      </c>
      <c r="D469" s="65"/>
      <c r="E469" s="18" t="s">
        <v>1180</v>
      </c>
    </row>
    <row r="470" spans="1:5">
      <c r="A470" s="90"/>
      <c r="B470" s="80"/>
      <c r="C470" s="65" t="s">
        <v>1110</v>
      </c>
      <c r="D470" s="65"/>
      <c r="E470" s="18" t="s">
        <v>1180</v>
      </c>
    </row>
    <row r="471" spans="1:5">
      <c r="A471" s="90"/>
      <c r="B471" s="80"/>
      <c r="C471" s="65" t="s">
        <v>1111</v>
      </c>
      <c r="D471" s="65"/>
      <c r="E471" s="18" t="s">
        <v>1180</v>
      </c>
    </row>
    <row r="472" spans="1:5">
      <c r="A472" s="90"/>
      <c r="B472" s="80"/>
      <c r="C472" s="65" t="s">
        <v>1112</v>
      </c>
      <c r="D472" s="65"/>
      <c r="E472" s="18" t="s">
        <v>1180</v>
      </c>
    </row>
    <row r="473" spans="1:5">
      <c r="A473" s="90"/>
      <c r="B473" s="80"/>
      <c r="C473" s="65" t="s">
        <v>1113</v>
      </c>
      <c r="D473" s="65"/>
      <c r="E473" s="18" t="s">
        <v>1180</v>
      </c>
    </row>
    <row r="474" spans="1:5">
      <c r="A474" s="90"/>
      <c r="B474" s="80"/>
      <c r="C474" s="65" t="s">
        <v>1114</v>
      </c>
      <c r="D474" s="65"/>
      <c r="E474" s="18" t="s">
        <v>1180</v>
      </c>
    </row>
    <row r="475" spans="1:5">
      <c r="A475" s="90"/>
      <c r="B475" s="80"/>
      <c r="C475" s="65" t="s">
        <v>1115</v>
      </c>
      <c r="D475" s="65"/>
      <c r="E475" s="18" t="s">
        <v>1180</v>
      </c>
    </row>
    <row r="476" spans="1:5">
      <c r="A476" s="90"/>
      <c r="B476" s="80"/>
      <c r="C476" s="65" t="s">
        <v>1116</v>
      </c>
      <c r="D476" s="65"/>
      <c r="E476" s="18" t="s">
        <v>1180</v>
      </c>
    </row>
    <row r="477" spans="1:5">
      <c r="A477" s="90"/>
      <c r="B477" s="80"/>
      <c r="C477" s="65" t="s">
        <v>1117</v>
      </c>
      <c r="D477" s="65"/>
      <c r="E477" s="18" t="s">
        <v>1180</v>
      </c>
    </row>
    <row r="478" spans="1:5">
      <c r="A478" s="90"/>
      <c r="B478" s="80"/>
      <c r="C478" s="65" t="s">
        <v>1118</v>
      </c>
      <c r="D478" s="65"/>
      <c r="E478" s="18" t="s">
        <v>1180</v>
      </c>
    </row>
    <row r="479" spans="1:5">
      <c r="A479" s="90"/>
      <c r="B479" s="80"/>
      <c r="C479" s="65" t="s">
        <v>1119</v>
      </c>
      <c r="D479" s="65"/>
      <c r="E479" s="18" t="s">
        <v>1180</v>
      </c>
    </row>
    <row r="480" spans="1:5">
      <c r="A480" s="90"/>
      <c r="B480" s="80"/>
      <c r="C480" s="65" t="s">
        <v>1120</v>
      </c>
      <c r="D480" s="65"/>
      <c r="E480" s="18" t="s">
        <v>1180</v>
      </c>
    </row>
    <row r="481" spans="1:5">
      <c r="A481" s="90"/>
      <c r="B481" s="80"/>
      <c r="C481" s="65" t="s">
        <v>1034</v>
      </c>
      <c r="D481" s="65"/>
      <c r="E481" s="18" t="s">
        <v>1180</v>
      </c>
    </row>
    <row r="482" spans="1:5">
      <c r="A482" s="90"/>
      <c r="B482" s="80"/>
      <c r="C482" s="65" t="s">
        <v>1035</v>
      </c>
      <c r="D482" s="65"/>
      <c r="E482" s="18" t="s">
        <v>1180</v>
      </c>
    </row>
    <row r="483" spans="1:5">
      <c r="A483" s="90"/>
      <c r="B483" s="80"/>
      <c r="C483" s="65" t="s">
        <v>1036</v>
      </c>
      <c r="D483" s="65"/>
      <c r="E483" s="18" t="s">
        <v>1180</v>
      </c>
    </row>
    <row r="484" spans="1:5">
      <c r="A484" s="90"/>
      <c r="B484" s="80"/>
      <c r="C484" s="65" t="s">
        <v>1037</v>
      </c>
      <c r="D484" s="65"/>
      <c r="E484" s="18" t="s">
        <v>1180</v>
      </c>
    </row>
    <row r="485" spans="1:5">
      <c r="A485" s="90"/>
      <c r="B485" s="80"/>
      <c r="C485" s="65" t="s">
        <v>1038</v>
      </c>
      <c r="D485" s="65"/>
      <c r="E485" s="18" t="s">
        <v>1180</v>
      </c>
    </row>
    <row r="486" spans="1:5">
      <c r="A486" s="90"/>
      <c r="B486" s="80"/>
      <c r="C486" s="65" t="s">
        <v>1039</v>
      </c>
      <c r="D486" s="65"/>
      <c r="E486" s="18" t="s">
        <v>1180</v>
      </c>
    </row>
    <row r="487" spans="1:5">
      <c r="A487" s="90"/>
      <c r="B487" s="80"/>
      <c r="C487" s="65" t="s">
        <v>1040</v>
      </c>
      <c r="D487" s="65"/>
      <c r="E487" s="18" t="s">
        <v>1180</v>
      </c>
    </row>
    <row r="488" spans="1:5">
      <c r="A488" s="90"/>
      <c r="B488" s="80"/>
      <c r="C488" s="65" t="s">
        <v>1041</v>
      </c>
      <c r="D488" s="65"/>
      <c r="E488" s="18" t="s">
        <v>1180</v>
      </c>
    </row>
    <row r="489" spans="1:5">
      <c r="A489" s="90"/>
      <c r="B489" s="80"/>
      <c r="C489" s="65" t="s">
        <v>102</v>
      </c>
      <c r="D489" s="65"/>
    </row>
    <row r="490" spans="1:5">
      <c r="A490" s="90"/>
      <c r="B490" s="80"/>
      <c r="C490" s="65" t="s">
        <v>762</v>
      </c>
      <c r="D490" s="65"/>
    </row>
    <row r="491" spans="1:5">
      <c r="A491" s="90"/>
      <c r="B491" s="80"/>
      <c r="C491" s="65" t="s">
        <v>758</v>
      </c>
      <c r="D491" s="65"/>
    </row>
    <row r="492" spans="1:5">
      <c r="A492" s="90"/>
      <c r="B492" s="80"/>
      <c r="C492" s="65" t="s">
        <v>759</v>
      </c>
      <c r="D492" s="65"/>
    </row>
    <row r="493" spans="1:5">
      <c r="A493" s="90"/>
      <c r="B493" s="80"/>
      <c r="C493" s="65" t="s">
        <v>760</v>
      </c>
      <c r="D493" s="65"/>
    </row>
    <row r="494" spans="1:5">
      <c r="A494" s="90"/>
      <c r="B494" s="80"/>
      <c r="C494" s="65" t="s">
        <v>757</v>
      </c>
      <c r="D494" s="65"/>
    </row>
    <row r="495" spans="1:5">
      <c r="A495" s="90"/>
      <c r="B495" s="80"/>
      <c r="C495" s="65" t="s">
        <v>763</v>
      </c>
      <c r="D495" s="65"/>
    </row>
    <row r="496" spans="1:5">
      <c r="A496" s="90"/>
      <c r="B496" s="80"/>
      <c r="C496" s="65" t="s">
        <v>764</v>
      </c>
      <c r="D496" s="65"/>
    </row>
    <row r="497" spans="1:4">
      <c r="A497" s="90"/>
      <c r="B497" s="80"/>
      <c r="C497" s="65" t="s">
        <v>761</v>
      </c>
      <c r="D497" s="65"/>
    </row>
    <row r="498" spans="1:4">
      <c r="A498" s="91"/>
      <c r="B498" s="81"/>
      <c r="C498" s="65" t="s">
        <v>130</v>
      </c>
      <c r="D498" s="65"/>
    </row>
    <row r="499" spans="1:4">
      <c r="A499" s="126"/>
      <c r="B499" s="131" t="s">
        <v>624</v>
      </c>
      <c r="C499" s="62" t="s">
        <v>156</v>
      </c>
      <c r="D499" s="62"/>
    </row>
    <row r="500" spans="1:4">
      <c r="A500" s="72"/>
      <c r="B500" s="131"/>
      <c r="C500" s="62" t="s">
        <v>663</v>
      </c>
      <c r="D500" s="62"/>
    </row>
    <row r="501" spans="1:4">
      <c r="A501" s="72"/>
      <c r="B501" s="131"/>
      <c r="C501" s="62" t="s">
        <v>662</v>
      </c>
      <c r="D501" s="62"/>
    </row>
    <row r="502" spans="1:4">
      <c r="A502" s="72"/>
      <c r="B502" s="131"/>
      <c r="C502" s="62" t="s">
        <v>379</v>
      </c>
      <c r="D502" s="62"/>
    </row>
    <row r="503" spans="1:4">
      <c r="A503" s="72"/>
      <c r="B503" s="131"/>
      <c r="C503" s="62" t="s">
        <v>380</v>
      </c>
      <c r="D503" s="62"/>
    </row>
    <row r="504" spans="1:4">
      <c r="A504" s="72"/>
      <c r="B504" s="131"/>
      <c r="C504" s="62" t="s">
        <v>79</v>
      </c>
      <c r="D504" s="62"/>
    </row>
    <row r="505" spans="1:4">
      <c r="A505" s="72"/>
      <c r="B505" s="131"/>
      <c r="C505" s="62" t="s">
        <v>381</v>
      </c>
      <c r="D505" s="62"/>
    </row>
    <row r="506" spans="1:4">
      <c r="A506" s="72"/>
      <c r="B506" s="131"/>
      <c r="C506" s="62" t="s">
        <v>72</v>
      </c>
      <c r="D506" s="62"/>
    </row>
    <row r="507" spans="1:4">
      <c r="A507" s="72"/>
      <c r="B507" s="131"/>
      <c r="C507" s="62" t="s">
        <v>97</v>
      </c>
      <c r="D507" s="62"/>
    </row>
    <row r="508" spans="1:4">
      <c r="A508" s="72"/>
      <c r="B508" s="131"/>
      <c r="C508" s="62" t="s">
        <v>98</v>
      </c>
      <c r="D508" s="62"/>
    </row>
    <row r="509" spans="1:4">
      <c r="A509" s="72"/>
      <c r="B509" s="131"/>
      <c r="C509" s="62" t="s">
        <v>377</v>
      </c>
      <c r="D509" s="62"/>
    </row>
    <row r="510" spans="1:4">
      <c r="A510" s="72"/>
      <c r="B510" s="131"/>
      <c r="C510" s="62" t="s">
        <v>378</v>
      </c>
      <c r="D510" s="62"/>
    </row>
    <row r="511" spans="1:4">
      <c r="A511" s="72"/>
      <c r="B511" s="131"/>
      <c r="C511" s="62" t="s">
        <v>382</v>
      </c>
      <c r="D511" s="62"/>
    </row>
    <row r="512" spans="1:4">
      <c r="A512" s="72"/>
      <c r="B512" s="131"/>
      <c r="C512" s="62" t="s">
        <v>163</v>
      </c>
      <c r="D512" s="62"/>
    </row>
    <row r="513" spans="1:4">
      <c r="A513" s="72"/>
      <c r="B513" s="131"/>
      <c r="C513" s="62" t="s">
        <v>102</v>
      </c>
      <c r="D513" s="62"/>
    </row>
    <row r="514" spans="1:4">
      <c r="A514" s="90"/>
      <c r="B514" s="76" t="s">
        <v>621</v>
      </c>
      <c r="C514" s="65" t="s">
        <v>55</v>
      </c>
      <c r="D514" s="65"/>
    </row>
    <row r="515" spans="1:4">
      <c r="A515" s="91"/>
      <c r="B515" s="78"/>
      <c r="C515" s="65" t="s">
        <v>62</v>
      </c>
      <c r="D515" s="65"/>
    </row>
    <row r="516" spans="1:4">
      <c r="A516" s="72"/>
      <c r="B516" s="131" t="s">
        <v>282</v>
      </c>
      <c r="C516" s="62" t="s">
        <v>283</v>
      </c>
      <c r="D516" s="62"/>
    </row>
    <row r="517" spans="1:4">
      <c r="A517" s="72"/>
      <c r="B517" s="131"/>
      <c r="C517" s="62" t="s">
        <v>229</v>
      </c>
      <c r="D517" s="62"/>
    </row>
    <row r="518" spans="1:4">
      <c r="A518" s="72"/>
      <c r="B518" s="131"/>
      <c r="C518" s="62" t="s">
        <v>230</v>
      </c>
      <c r="D518" s="62"/>
    </row>
    <row r="519" spans="1:4">
      <c r="A519" s="72"/>
      <c r="B519" s="131"/>
      <c r="C519" s="62" t="s">
        <v>231</v>
      </c>
      <c r="D519" s="62"/>
    </row>
    <row r="520" spans="1:4">
      <c r="A520" s="129"/>
      <c r="B520" s="76" t="s">
        <v>20</v>
      </c>
      <c r="C520" s="65" t="s">
        <v>592</v>
      </c>
      <c r="D520" s="65"/>
    </row>
    <row r="521" spans="1:4">
      <c r="A521" s="88"/>
      <c r="B521" s="77"/>
      <c r="C521" s="65" t="s">
        <v>593</v>
      </c>
      <c r="D521" s="65"/>
    </row>
    <row r="522" spans="1:4">
      <c r="A522" s="88"/>
      <c r="B522" s="77"/>
      <c r="C522" s="65" t="s">
        <v>426</v>
      </c>
      <c r="D522" s="65"/>
    </row>
    <row r="523" spans="1:4">
      <c r="A523" s="88"/>
      <c r="B523" s="77"/>
      <c r="C523" s="65" t="s">
        <v>427</v>
      </c>
      <c r="D523" s="65"/>
    </row>
    <row r="524" spans="1:4">
      <c r="A524" s="88"/>
      <c r="B524" s="77"/>
      <c r="C524" s="65" t="s">
        <v>91</v>
      </c>
      <c r="D524" s="65"/>
    </row>
    <row r="525" spans="1:4">
      <c r="A525" s="88"/>
      <c r="B525" s="77"/>
      <c r="C525" s="65" t="s">
        <v>80</v>
      </c>
      <c r="D525" s="65"/>
    </row>
    <row r="526" spans="1:4">
      <c r="A526" s="88"/>
      <c r="B526" s="77"/>
      <c r="C526" s="65" t="s">
        <v>108</v>
      </c>
      <c r="D526" s="65"/>
    </row>
    <row r="527" spans="1:4">
      <c r="A527" s="88"/>
      <c r="B527" s="77"/>
      <c r="C527" s="65" t="s">
        <v>594</v>
      </c>
      <c r="D527" s="65"/>
    </row>
    <row r="528" spans="1:4">
      <c r="A528" s="88"/>
      <c r="B528" s="77"/>
      <c r="C528" s="65" t="s">
        <v>464</v>
      </c>
      <c r="D528" s="65"/>
    </row>
    <row r="529" spans="1:4">
      <c r="A529" s="88"/>
      <c r="B529" s="77"/>
      <c r="C529" s="65" t="s">
        <v>98</v>
      </c>
      <c r="D529" s="65"/>
    </row>
    <row r="530" spans="1:4">
      <c r="B530" s="77"/>
      <c r="C530" s="65" t="s">
        <v>424</v>
      </c>
      <c r="D530" s="65"/>
    </row>
    <row r="531" spans="1:4" ht="15">
      <c r="A531" s="88"/>
      <c r="B531" s="77"/>
      <c r="C531" s="65" t="s">
        <v>612</v>
      </c>
      <c r="D531" s="65" t="s">
        <v>918</v>
      </c>
    </row>
    <row r="532" spans="1:4" ht="15">
      <c r="A532" s="88"/>
      <c r="B532" s="77"/>
      <c r="C532" s="65" t="s">
        <v>613</v>
      </c>
      <c r="D532" s="65" t="s">
        <v>918</v>
      </c>
    </row>
    <row r="533" spans="1:4" ht="15">
      <c r="A533" s="88"/>
      <c r="B533" s="77"/>
      <c r="C533" s="65" t="s">
        <v>614</v>
      </c>
      <c r="D533" s="65" t="s">
        <v>918</v>
      </c>
    </row>
    <row r="534" spans="1:4">
      <c r="A534" s="88"/>
      <c r="B534" s="77"/>
      <c r="C534" s="65" t="s">
        <v>58</v>
      </c>
      <c r="D534" s="65"/>
    </row>
    <row r="535" spans="1:4">
      <c r="A535" s="88"/>
      <c r="B535" s="77"/>
      <c r="C535" s="65" t="s">
        <v>103</v>
      </c>
      <c r="D535" s="65"/>
    </row>
    <row r="536" spans="1:4">
      <c r="A536" s="88"/>
      <c r="B536" s="77"/>
      <c r="C536" s="65" t="s">
        <v>45</v>
      </c>
      <c r="D536" s="65"/>
    </row>
    <row r="537" spans="1:4">
      <c r="A537" s="88"/>
      <c r="B537" s="77"/>
      <c r="C537" s="65" t="s">
        <v>425</v>
      </c>
      <c r="D537" s="65"/>
    </row>
    <row r="538" spans="1:4">
      <c r="A538" s="88"/>
      <c r="B538" s="77"/>
      <c r="C538" s="65" t="s">
        <v>742</v>
      </c>
      <c r="D538" s="65"/>
    </row>
    <row r="539" spans="1:4">
      <c r="A539" s="88"/>
      <c r="B539" s="77"/>
      <c r="C539" s="65" t="s">
        <v>86</v>
      </c>
      <c r="D539" s="65"/>
    </row>
    <row r="540" spans="1:4">
      <c r="A540" s="88"/>
      <c r="B540" s="77"/>
      <c r="C540" s="65" t="s">
        <v>675</v>
      </c>
      <c r="D540" s="65"/>
    </row>
    <row r="541" spans="1:4">
      <c r="A541" s="88"/>
      <c r="B541" s="77"/>
      <c r="C541" s="65" t="s">
        <v>741</v>
      </c>
      <c r="D541" s="65"/>
    </row>
    <row r="542" spans="1:4">
      <c r="A542" s="88"/>
      <c r="B542" s="77"/>
      <c r="C542" s="65" t="s">
        <v>163</v>
      </c>
      <c r="D542" s="65"/>
    </row>
    <row r="543" spans="1:4">
      <c r="A543" s="88"/>
      <c r="B543" s="77"/>
      <c r="C543" s="65" t="s">
        <v>102</v>
      </c>
      <c r="D543" s="66"/>
    </row>
    <row r="544" spans="1:4">
      <c r="A544" s="94"/>
      <c r="B544" s="67" t="s">
        <v>848</v>
      </c>
      <c r="C544" s="62" t="s">
        <v>55</v>
      </c>
      <c r="D544" s="62"/>
    </row>
    <row r="545" spans="1:4">
      <c r="A545" s="95"/>
      <c r="B545" s="130"/>
      <c r="C545" s="62" t="s">
        <v>62</v>
      </c>
      <c r="D545" s="62"/>
    </row>
    <row r="546" spans="1:4">
      <c r="A546" s="88"/>
      <c r="B546" s="76" t="s">
        <v>419</v>
      </c>
      <c r="C546" s="65" t="s">
        <v>443</v>
      </c>
      <c r="D546" s="65"/>
    </row>
    <row r="547" spans="1:4">
      <c r="A547" s="88"/>
      <c r="B547" s="77"/>
      <c r="C547" s="65" t="s">
        <v>438</v>
      </c>
      <c r="D547" s="65"/>
    </row>
    <row r="548" spans="1:4">
      <c r="A548" s="88"/>
      <c r="B548" s="77"/>
      <c r="C548" s="65" t="s">
        <v>422</v>
      </c>
      <c r="D548" s="65"/>
    </row>
    <row r="549" spans="1:4">
      <c r="A549" s="88"/>
      <c r="B549" s="77"/>
      <c r="C549" s="65" t="s">
        <v>421</v>
      </c>
      <c r="D549" s="65"/>
    </row>
    <row r="550" spans="1:4">
      <c r="A550" s="88"/>
      <c r="B550" s="77"/>
      <c r="C550" s="65" t="s">
        <v>423</v>
      </c>
      <c r="D550" s="65"/>
    </row>
    <row r="551" spans="1:4">
      <c r="A551" s="94"/>
      <c r="B551" s="67" t="s">
        <v>672</v>
      </c>
      <c r="C551" s="62" t="s">
        <v>55</v>
      </c>
      <c r="D551" s="62"/>
    </row>
    <row r="552" spans="1:4">
      <c r="A552" s="95"/>
      <c r="B552" s="130"/>
      <c r="C552" s="62" t="s">
        <v>62</v>
      </c>
      <c r="D552" s="62"/>
    </row>
    <row r="553" spans="1:4">
      <c r="A553" s="73"/>
      <c r="B553" s="76" t="s">
        <v>815</v>
      </c>
      <c r="C553" s="65" t="s">
        <v>816</v>
      </c>
      <c r="D553" s="65"/>
    </row>
    <row r="554" spans="1:4">
      <c r="A554" s="74"/>
      <c r="B554" s="74"/>
      <c r="C554" s="65" t="s">
        <v>817</v>
      </c>
      <c r="D554" s="65"/>
    </row>
    <row r="555" spans="1:4">
      <c r="A555" s="74"/>
      <c r="B555" s="74"/>
      <c r="C555" s="65" t="s">
        <v>818</v>
      </c>
      <c r="D555" s="65"/>
    </row>
    <row r="556" spans="1:4">
      <c r="A556" s="74"/>
      <c r="B556" s="74"/>
      <c r="C556" s="65" t="s">
        <v>819</v>
      </c>
      <c r="D556" s="65"/>
    </row>
    <row r="557" spans="1:4">
      <c r="A557" s="74"/>
      <c r="B557" s="74"/>
      <c r="C557" s="65" t="s">
        <v>820</v>
      </c>
      <c r="D557" s="65"/>
    </row>
    <row r="558" spans="1:4">
      <c r="A558" s="74"/>
      <c r="B558" s="74"/>
      <c r="C558" s="65" t="s">
        <v>821</v>
      </c>
      <c r="D558" s="65"/>
    </row>
    <row r="559" spans="1:4">
      <c r="A559" s="74"/>
      <c r="B559" s="74"/>
      <c r="C559" s="65" t="s">
        <v>822</v>
      </c>
      <c r="D559" s="65"/>
    </row>
    <row r="560" spans="1:4">
      <c r="A560" s="74"/>
      <c r="B560" s="74"/>
      <c r="C560" s="65" t="s">
        <v>823</v>
      </c>
      <c r="D560" s="65"/>
    </row>
    <row r="561" spans="1:4">
      <c r="A561" s="74"/>
      <c r="B561" s="74"/>
      <c r="C561" s="65" t="s">
        <v>824</v>
      </c>
      <c r="D561" s="65"/>
    </row>
    <row r="562" spans="1:4">
      <c r="A562" s="74"/>
      <c r="B562" s="74"/>
      <c r="C562" s="65" t="s">
        <v>825</v>
      </c>
      <c r="D562" s="65"/>
    </row>
    <row r="563" spans="1:4">
      <c r="A563" s="74"/>
      <c r="B563" s="74"/>
      <c r="C563" s="65" t="s">
        <v>826</v>
      </c>
      <c r="D563" s="65"/>
    </row>
    <row r="564" spans="1:4">
      <c r="A564" s="74"/>
      <c r="B564" s="74"/>
      <c r="C564" s="65" t="s">
        <v>827</v>
      </c>
      <c r="D564" s="65"/>
    </row>
    <row r="565" spans="1:4">
      <c r="A565" s="74"/>
      <c r="B565" s="74"/>
      <c r="C565" s="65" t="s">
        <v>828</v>
      </c>
      <c r="D565" s="65"/>
    </row>
    <row r="566" spans="1:4">
      <c r="A566" s="74"/>
      <c r="B566" s="74"/>
      <c r="C566" s="65" t="s">
        <v>829</v>
      </c>
      <c r="D566" s="65"/>
    </row>
    <row r="567" spans="1:4">
      <c r="A567" s="74"/>
      <c r="B567" s="74"/>
      <c r="C567" s="65" t="s">
        <v>830</v>
      </c>
      <c r="D567" s="65"/>
    </row>
    <row r="568" spans="1:4">
      <c r="A568" s="74"/>
      <c r="B568" s="74"/>
      <c r="C568" s="65" t="s">
        <v>831</v>
      </c>
      <c r="D568" s="65"/>
    </row>
    <row r="569" spans="1:4">
      <c r="A569" s="74"/>
      <c r="B569" s="74"/>
      <c r="C569" s="65" t="s">
        <v>832</v>
      </c>
      <c r="D569" s="65"/>
    </row>
    <row r="570" spans="1:4">
      <c r="A570" s="74"/>
      <c r="B570" s="74"/>
      <c r="C570" s="65" t="s">
        <v>833</v>
      </c>
      <c r="D570" s="65"/>
    </row>
    <row r="571" spans="1:4">
      <c r="A571" s="74"/>
      <c r="B571" s="74"/>
      <c r="C571" s="65" t="s">
        <v>834</v>
      </c>
      <c r="D571" s="65"/>
    </row>
    <row r="572" spans="1:4">
      <c r="A572" s="74"/>
      <c r="B572" s="74"/>
      <c r="C572" s="65" t="s">
        <v>835</v>
      </c>
      <c r="D572" s="65"/>
    </row>
    <row r="573" spans="1:4">
      <c r="A573" s="74"/>
      <c r="B573" s="74"/>
      <c r="C573" s="65" t="s">
        <v>836</v>
      </c>
      <c r="D573" s="65"/>
    </row>
    <row r="574" spans="1:4">
      <c r="A574" s="74"/>
      <c r="B574" s="74"/>
      <c r="C574" s="65" t="s">
        <v>837</v>
      </c>
      <c r="D574" s="65"/>
    </row>
    <row r="575" spans="1:4">
      <c r="A575" s="74"/>
      <c r="B575" s="74"/>
      <c r="C575" s="65" t="s">
        <v>838</v>
      </c>
      <c r="D575" s="65"/>
    </row>
    <row r="576" spans="1:4">
      <c r="A576" s="74"/>
      <c r="B576" s="74"/>
      <c r="C576" s="65" t="s">
        <v>839</v>
      </c>
      <c r="D576" s="65"/>
    </row>
    <row r="577" spans="1:5">
      <c r="A577" s="74"/>
      <c r="B577" s="74"/>
      <c r="C577" s="65" t="s">
        <v>840</v>
      </c>
      <c r="D577" s="65"/>
    </row>
    <row r="578" spans="1:5">
      <c r="A578" s="74"/>
      <c r="B578" s="74"/>
      <c r="C578" s="65" t="s">
        <v>841</v>
      </c>
      <c r="D578" s="65"/>
    </row>
    <row r="579" spans="1:5">
      <c r="A579" s="74"/>
      <c r="B579" s="74"/>
      <c r="C579" s="65" t="s">
        <v>842</v>
      </c>
      <c r="D579" s="65"/>
    </row>
    <row r="580" spans="1:5">
      <c r="A580" s="74"/>
      <c r="B580" s="74"/>
      <c r="C580" s="65" t="s">
        <v>1182</v>
      </c>
      <c r="D580" s="65"/>
      <c r="E580" s="18" t="s">
        <v>1180</v>
      </c>
    </row>
    <row r="581" spans="1:5">
      <c r="A581" s="74"/>
      <c r="B581" s="74"/>
      <c r="C581" s="65" t="s">
        <v>1183</v>
      </c>
      <c r="D581" s="65"/>
      <c r="E581" s="18" t="s">
        <v>1180</v>
      </c>
    </row>
    <row r="582" spans="1:5">
      <c r="A582" s="74"/>
      <c r="B582" s="74"/>
      <c r="C582" s="65" t="s">
        <v>849</v>
      </c>
      <c r="D582" s="65"/>
    </row>
    <row r="583" spans="1:5">
      <c r="A583" s="74"/>
      <c r="B583" s="74"/>
      <c r="C583" s="65" t="s">
        <v>850</v>
      </c>
      <c r="D583" s="65"/>
    </row>
    <row r="584" spans="1:5">
      <c r="A584" s="74"/>
      <c r="B584" s="74"/>
      <c r="C584" s="65" t="s">
        <v>851</v>
      </c>
      <c r="D584" s="65"/>
    </row>
    <row r="585" spans="1:5">
      <c r="A585" s="74"/>
      <c r="B585" s="74"/>
      <c r="C585" s="65" t="s">
        <v>852</v>
      </c>
      <c r="D585" s="65"/>
    </row>
    <row r="586" spans="1:5">
      <c r="A586" s="74"/>
      <c r="B586" s="74"/>
      <c r="C586" s="65" t="s">
        <v>853</v>
      </c>
      <c r="D586" s="65"/>
    </row>
    <row r="587" spans="1:5">
      <c r="A587" s="74"/>
      <c r="B587" s="74"/>
      <c r="C587" s="65" t="s">
        <v>843</v>
      </c>
      <c r="D587" s="65"/>
    </row>
    <row r="588" spans="1:5">
      <c r="A588" s="74"/>
      <c r="B588" s="74"/>
      <c r="C588" s="65" t="s">
        <v>844</v>
      </c>
      <c r="D588" s="65"/>
    </row>
    <row r="589" spans="1:5">
      <c r="A589" s="74"/>
      <c r="B589" s="74"/>
      <c r="C589" s="65" t="s">
        <v>845</v>
      </c>
      <c r="D589" s="65"/>
    </row>
    <row r="590" spans="1:5">
      <c r="A590" s="74"/>
      <c r="B590" s="74"/>
      <c r="C590" s="65" t="s">
        <v>846</v>
      </c>
      <c r="D590" s="65"/>
    </row>
    <row r="591" spans="1:5">
      <c r="A591" s="75"/>
      <c r="B591" s="75"/>
      <c r="C591" s="65" t="s">
        <v>847</v>
      </c>
      <c r="D591" s="65"/>
    </row>
    <row r="592" spans="1:5">
      <c r="A592" s="72"/>
      <c r="B592" s="131" t="s">
        <v>439</v>
      </c>
      <c r="C592" s="62" t="s">
        <v>440</v>
      </c>
      <c r="D592" s="62"/>
    </row>
    <row r="593" spans="1:5">
      <c r="A593" s="72"/>
      <c r="B593" s="131"/>
      <c r="C593" s="62" t="s">
        <v>441</v>
      </c>
      <c r="D593" s="62"/>
    </row>
    <row r="594" spans="1:5">
      <c r="A594" s="72"/>
      <c r="B594" s="131"/>
      <c r="C594" s="62" t="s">
        <v>102</v>
      </c>
      <c r="D594" s="62"/>
    </row>
    <row r="595" spans="1:5">
      <c r="A595" s="76"/>
      <c r="B595" s="82" t="s">
        <v>667</v>
      </c>
      <c r="C595" s="65" t="s">
        <v>55</v>
      </c>
      <c r="D595" s="65"/>
      <c r="E595" s="138"/>
    </row>
    <row r="596" spans="1:5">
      <c r="A596" s="132"/>
      <c r="B596" s="134"/>
      <c r="C596" s="133" t="s">
        <v>62</v>
      </c>
      <c r="D596" s="65"/>
    </row>
    <row r="597" spans="1:5">
      <c r="A597" s="126"/>
      <c r="B597" s="126" t="s">
        <v>289</v>
      </c>
      <c r="C597" s="62" t="s">
        <v>273</v>
      </c>
      <c r="D597" s="62"/>
    </row>
    <row r="598" spans="1:5">
      <c r="A598" s="72"/>
      <c r="B598" s="72"/>
      <c r="C598" s="62" t="s">
        <v>444</v>
      </c>
      <c r="D598" s="62"/>
    </row>
    <row r="599" spans="1:5">
      <c r="A599" s="72"/>
      <c r="B599" s="72"/>
      <c r="C599" s="62" t="s">
        <v>271</v>
      </c>
      <c r="D599" s="62"/>
    </row>
    <row r="600" spans="1:5">
      <c r="A600" s="72"/>
      <c r="B600" s="72"/>
      <c r="C600" s="62" t="s">
        <v>272</v>
      </c>
      <c r="D600" s="62"/>
    </row>
    <row r="601" spans="1:5">
      <c r="A601" s="72"/>
      <c r="B601" s="72"/>
      <c r="C601" s="62" t="s">
        <v>383</v>
      </c>
      <c r="D601" s="62"/>
    </row>
    <row r="602" spans="1:5">
      <c r="A602" s="72"/>
      <c r="B602" s="72"/>
      <c r="C602" s="62" t="s">
        <v>384</v>
      </c>
      <c r="D602" s="62"/>
    </row>
    <row r="603" spans="1:5">
      <c r="A603" s="72"/>
      <c r="B603" s="72"/>
      <c r="C603" s="62" t="s">
        <v>385</v>
      </c>
      <c r="D603" s="62"/>
    </row>
    <row r="604" spans="1:5">
      <c r="A604" s="72"/>
      <c r="B604" s="72"/>
      <c r="C604" s="62" t="s">
        <v>386</v>
      </c>
      <c r="D604" s="62"/>
    </row>
    <row r="605" spans="1:5">
      <c r="A605" s="72"/>
      <c r="B605" s="72"/>
      <c r="C605" s="62" t="s">
        <v>274</v>
      </c>
      <c r="D605" s="62"/>
    </row>
    <row r="606" spans="1:5">
      <c r="A606" s="72"/>
      <c r="B606" s="72"/>
      <c r="C606" s="62" t="s">
        <v>387</v>
      </c>
      <c r="D606" s="62"/>
    </row>
    <row r="607" spans="1:5">
      <c r="A607" s="72"/>
      <c r="B607" s="72"/>
      <c r="C607" s="62" t="s">
        <v>388</v>
      </c>
      <c r="D607" s="62"/>
    </row>
    <row r="608" spans="1:5">
      <c r="A608" s="72"/>
      <c r="B608" s="72"/>
      <c r="C608" s="62" t="s">
        <v>389</v>
      </c>
      <c r="D608" s="62"/>
    </row>
    <row r="609" spans="1:5">
      <c r="A609" s="72"/>
      <c r="B609" s="72"/>
      <c r="C609" s="62" t="s">
        <v>390</v>
      </c>
      <c r="D609" s="62"/>
    </row>
    <row r="610" spans="1:5">
      <c r="A610" s="72"/>
      <c r="B610" s="72"/>
      <c r="C610" s="62" t="s">
        <v>391</v>
      </c>
      <c r="D610" s="62"/>
    </row>
    <row r="611" spans="1:5">
      <c r="A611" s="72"/>
      <c r="B611" s="72"/>
      <c r="C611" s="62" t="s">
        <v>275</v>
      </c>
      <c r="D611" s="62"/>
    </row>
    <row r="612" spans="1:5">
      <c r="A612" s="72"/>
      <c r="B612" s="72"/>
      <c r="C612" s="62" t="s">
        <v>392</v>
      </c>
      <c r="D612" s="62"/>
    </row>
    <row r="613" spans="1:5">
      <c r="A613" s="72"/>
      <c r="B613" s="72"/>
      <c r="C613" s="62" t="s">
        <v>276</v>
      </c>
      <c r="D613" s="62"/>
    </row>
    <row r="614" spans="1:5">
      <c r="A614" s="72"/>
      <c r="B614" s="72"/>
      <c r="C614" s="62" t="s">
        <v>277</v>
      </c>
      <c r="D614" s="62"/>
    </row>
    <row r="615" spans="1:5">
      <c r="A615" s="72"/>
      <c r="B615" s="72"/>
      <c r="C615" s="62" t="s">
        <v>393</v>
      </c>
      <c r="D615" s="62"/>
    </row>
    <row r="616" spans="1:5">
      <c r="A616" s="72"/>
      <c r="B616" s="72"/>
      <c r="C616" s="62" t="s">
        <v>394</v>
      </c>
      <c r="D616" s="62"/>
    </row>
    <row r="617" spans="1:5">
      <c r="A617" s="72"/>
      <c r="B617" s="72"/>
      <c r="C617" s="62" t="s">
        <v>395</v>
      </c>
      <c r="D617" s="62"/>
    </row>
    <row r="618" spans="1:5">
      <c r="A618" s="72"/>
      <c r="B618" s="72"/>
      <c r="C618" s="62" t="s">
        <v>278</v>
      </c>
      <c r="D618" s="62"/>
    </row>
    <row r="619" spans="1:5">
      <c r="A619" s="72"/>
      <c r="B619" s="72"/>
      <c r="C619" s="62" t="s">
        <v>279</v>
      </c>
      <c r="D619" s="62"/>
    </row>
    <row r="620" spans="1:5">
      <c r="A620" s="72"/>
      <c r="B620" s="72"/>
      <c r="C620" s="62" t="s">
        <v>130</v>
      </c>
      <c r="D620" s="62"/>
    </row>
    <row r="621" spans="1:5">
      <c r="A621" s="72"/>
      <c r="B621" s="72"/>
      <c r="C621" s="62" t="s">
        <v>1142</v>
      </c>
      <c r="D621" s="62"/>
      <c r="E621" s="18" t="s">
        <v>1180</v>
      </c>
    </row>
    <row r="622" spans="1:5">
      <c r="A622" s="76"/>
      <c r="B622" s="76" t="s">
        <v>24</v>
      </c>
      <c r="C622" s="65" t="s">
        <v>445</v>
      </c>
      <c r="D622" s="65"/>
    </row>
    <row r="623" spans="1:5">
      <c r="A623" s="77"/>
      <c r="B623" s="77"/>
      <c r="C623" s="65" t="s">
        <v>112</v>
      </c>
      <c r="D623" s="65"/>
    </row>
    <row r="624" spans="1:5">
      <c r="A624" s="77"/>
      <c r="B624" s="77"/>
      <c r="C624" s="65" t="s">
        <v>105</v>
      </c>
      <c r="D624" s="65"/>
    </row>
    <row r="625" spans="1:5">
      <c r="A625" s="77"/>
      <c r="B625" s="77"/>
      <c r="C625" s="65" t="s">
        <v>87</v>
      </c>
      <c r="D625" s="65"/>
    </row>
    <row r="626" spans="1:5">
      <c r="A626" s="77"/>
      <c r="B626" s="77"/>
      <c r="C626" s="65" t="s">
        <v>1161</v>
      </c>
      <c r="D626" s="65"/>
      <c r="E626" s="18" t="s">
        <v>1180</v>
      </c>
    </row>
    <row r="627" spans="1:5">
      <c r="A627" s="77"/>
      <c r="B627" s="77"/>
      <c r="C627" s="65" t="s">
        <v>60</v>
      </c>
      <c r="D627" s="65"/>
    </row>
    <row r="628" spans="1:5">
      <c r="A628" s="77"/>
      <c r="B628" s="77"/>
      <c r="C628" s="65" t="s">
        <v>93</v>
      </c>
      <c r="D628" s="65"/>
    </row>
    <row r="629" spans="1:5">
      <c r="A629" s="77"/>
      <c r="B629" s="77"/>
      <c r="C629" s="65" t="s">
        <v>75</v>
      </c>
      <c r="D629" s="65"/>
    </row>
    <row r="630" spans="1:5">
      <c r="A630" s="77"/>
      <c r="B630" s="77"/>
      <c r="C630" s="65" t="s">
        <v>68</v>
      </c>
      <c r="D630" s="65"/>
    </row>
    <row r="631" spans="1:5">
      <c r="A631" s="77"/>
      <c r="B631" s="77"/>
      <c r="C631" s="65" t="s">
        <v>82</v>
      </c>
      <c r="D631" s="65"/>
    </row>
    <row r="632" spans="1:5">
      <c r="A632" s="77"/>
      <c r="B632" s="77"/>
      <c r="C632" s="65" t="s">
        <v>397</v>
      </c>
      <c r="D632" s="65"/>
    </row>
    <row r="633" spans="1:5">
      <c r="A633" s="78"/>
      <c r="B633" s="78"/>
      <c r="C633" s="65" t="s">
        <v>102</v>
      </c>
      <c r="D633" s="65"/>
    </row>
    <row r="634" spans="1:5">
      <c r="A634" s="72"/>
      <c r="B634" s="131" t="s">
        <v>286</v>
      </c>
      <c r="C634" s="62" t="s">
        <v>598</v>
      </c>
      <c r="D634" s="62" t="s">
        <v>1160</v>
      </c>
    </row>
    <row r="635" spans="1:5">
      <c r="A635" s="72"/>
      <c r="B635" s="131"/>
      <c r="C635" s="62" t="s">
        <v>294</v>
      </c>
      <c r="D635" s="62" t="s">
        <v>336</v>
      </c>
    </row>
    <row r="636" spans="1:5">
      <c r="A636" s="72"/>
      <c r="B636" s="131"/>
      <c r="C636" s="62" t="s">
        <v>295</v>
      </c>
      <c r="D636" s="62" t="s">
        <v>337</v>
      </c>
    </row>
    <row r="637" spans="1:5">
      <c r="A637" s="72"/>
      <c r="B637" s="131"/>
      <c r="C637" s="62" t="s">
        <v>296</v>
      </c>
      <c r="D637" s="62" t="s">
        <v>338</v>
      </c>
    </row>
    <row r="638" spans="1:5">
      <c r="A638" s="72"/>
      <c r="B638" s="131"/>
      <c r="C638" s="62" t="s">
        <v>284</v>
      </c>
      <c r="D638" s="62" t="s">
        <v>292</v>
      </c>
    </row>
    <row r="639" spans="1:5">
      <c r="A639" s="72"/>
      <c r="B639" s="131"/>
      <c r="C639" s="62" t="s">
        <v>285</v>
      </c>
      <c r="D639" s="62" t="s">
        <v>293</v>
      </c>
    </row>
    <row r="640" spans="1:5">
      <c r="A640" s="72"/>
      <c r="B640" s="131"/>
      <c r="C640" s="62" t="s">
        <v>599</v>
      </c>
      <c r="D640" s="62" t="s">
        <v>600</v>
      </c>
    </row>
    <row r="641" spans="1:4">
      <c r="A641" s="72"/>
      <c r="B641" s="131"/>
      <c r="C641" s="62" t="s">
        <v>287</v>
      </c>
      <c r="D641" s="62" t="s">
        <v>287</v>
      </c>
    </row>
    <row r="642" spans="1:4">
      <c r="A642" s="72"/>
      <c r="B642" s="131"/>
      <c r="C642" s="62" t="s">
        <v>102</v>
      </c>
      <c r="D642" s="62"/>
    </row>
    <row r="643" spans="1:4">
      <c r="A643" s="79"/>
      <c r="B643" s="79" t="s">
        <v>288</v>
      </c>
      <c r="C643" s="65" t="s">
        <v>446</v>
      </c>
      <c r="D643" s="65" t="s">
        <v>447</v>
      </c>
    </row>
    <row r="644" spans="1:4">
      <c r="A644" s="80"/>
      <c r="B644" s="80"/>
      <c r="C644" s="65" t="s">
        <v>449</v>
      </c>
      <c r="D644" s="65" t="s">
        <v>448</v>
      </c>
    </row>
    <row r="645" spans="1:4">
      <c r="A645" s="80"/>
      <c r="B645" s="80"/>
      <c r="C645" s="65" t="s">
        <v>451</v>
      </c>
      <c r="D645" s="65" t="s">
        <v>450</v>
      </c>
    </row>
    <row r="646" spans="1:4">
      <c r="A646" s="80"/>
      <c r="B646" s="80"/>
      <c r="C646" s="65" t="s">
        <v>453</v>
      </c>
      <c r="D646" s="65" t="s">
        <v>452</v>
      </c>
    </row>
    <row r="647" spans="1:4">
      <c r="A647" s="80"/>
      <c r="B647" s="80"/>
      <c r="C647" s="65" t="s">
        <v>939</v>
      </c>
      <c r="D647" s="65"/>
    </row>
    <row r="648" spans="1:4">
      <c r="A648" s="81"/>
      <c r="B648" s="81"/>
      <c r="C648" s="65" t="s">
        <v>102</v>
      </c>
      <c r="D648" s="65"/>
    </row>
    <row r="649" spans="1:4">
      <c r="A649" s="72"/>
      <c r="B649" s="131" t="s">
        <v>915</v>
      </c>
      <c r="C649" s="62" t="s">
        <v>302</v>
      </c>
      <c r="D649" s="62"/>
    </row>
    <row r="650" spans="1:4">
      <c r="A650" s="72"/>
      <c r="B650" s="131"/>
      <c r="C650" s="62" t="s">
        <v>303</v>
      </c>
      <c r="D650" s="62"/>
    </row>
    <row r="651" spans="1:4">
      <c r="A651" s="72"/>
      <c r="B651" s="131"/>
      <c r="C651" s="62" t="s">
        <v>773</v>
      </c>
      <c r="D651" s="62"/>
    </row>
    <row r="652" spans="1:4">
      <c r="A652" s="72"/>
      <c r="B652" s="131"/>
      <c r="C652" s="62" t="s">
        <v>301</v>
      </c>
      <c r="D652" s="62"/>
    </row>
    <row r="653" spans="1:4">
      <c r="A653" s="72"/>
      <c r="B653" s="131"/>
      <c r="C653" s="62" t="s">
        <v>102</v>
      </c>
      <c r="D653" s="62"/>
    </row>
    <row r="654" spans="1:4">
      <c r="A654" s="79"/>
      <c r="B654" s="79" t="s">
        <v>372</v>
      </c>
      <c r="C654" s="65" t="s">
        <v>304</v>
      </c>
      <c r="D654" s="65"/>
    </row>
    <row r="655" spans="1:4">
      <c r="A655" s="80"/>
      <c r="B655" s="80"/>
      <c r="C655" s="65" t="s">
        <v>305</v>
      </c>
      <c r="D655" s="65"/>
    </row>
    <row r="656" spans="1:4">
      <c r="A656" s="72"/>
      <c r="B656" s="131" t="s">
        <v>26</v>
      </c>
      <c r="C656" s="62" t="s">
        <v>17</v>
      </c>
      <c r="D656" s="62"/>
    </row>
    <row r="657" spans="1:4">
      <c r="A657" s="72"/>
      <c r="B657" s="131"/>
      <c r="C657" s="62" t="s">
        <v>27</v>
      </c>
      <c r="D657" s="62"/>
    </row>
    <row r="658" spans="1:4">
      <c r="A658" s="79"/>
      <c r="B658" s="79" t="s">
        <v>610</v>
      </c>
      <c r="C658" s="65" t="s">
        <v>356</v>
      </c>
      <c r="D658" s="65"/>
    </row>
    <row r="659" spans="1:4">
      <c r="A659" s="80"/>
      <c r="B659" s="80"/>
      <c r="C659" s="65" t="s">
        <v>357</v>
      </c>
      <c r="D659" s="65"/>
    </row>
    <row r="660" spans="1:4">
      <c r="A660" s="80"/>
      <c r="B660" s="80"/>
      <c r="C660" s="65" t="s">
        <v>358</v>
      </c>
      <c r="D660" s="65"/>
    </row>
    <row r="661" spans="1:4">
      <c r="A661" s="80"/>
      <c r="B661" s="80"/>
      <c r="C661" s="65" t="s">
        <v>359</v>
      </c>
      <c r="D661" s="65"/>
    </row>
    <row r="662" spans="1:4">
      <c r="A662" s="80"/>
      <c r="B662" s="80"/>
      <c r="C662" s="65" t="s">
        <v>360</v>
      </c>
      <c r="D662" s="65"/>
    </row>
    <row r="663" spans="1:4">
      <c r="A663" s="80"/>
      <c r="B663" s="80"/>
      <c r="C663" s="65" t="s">
        <v>361</v>
      </c>
      <c r="D663" s="65"/>
    </row>
    <row r="664" spans="1:4">
      <c r="A664" s="80"/>
      <c r="B664" s="80"/>
      <c r="C664" s="65" t="s">
        <v>102</v>
      </c>
      <c r="D664" s="65"/>
    </row>
    <row r="665" spans="1:4">
      <c r="A665" s="81"/>
      <c r="B665" s="81"/>
      <c r="C665" s="65" t="s">
        <v>362</v>
      </c>
      <c r="D665" s="65"/>
    </row>
    <row r="666" spans="1:4">
      <c r="A666" s="72"/>
      <c r="B666" s="131" t="s">
        <v>308</v>
      </c>
      <c r="C666" s="62" t="s">
        <v>363</v>
      </c>
      <c r="D666" s="62"/>
    </row>
    <row r="667" spans="1:4">
      <c r="A667" s="72"/>
      <c r="B667" s="131"/>
      <c r="C667" s="62" t="s">
        <v>370</v>
      </c>
      <c r="D667" s="62"/>
    </row>
    <row r="668" spans="1:4">
      <c r="A668" s="79"/>
      <c r="B668" s="79" t="s">
        <v>309</v>
      </c>
      <c r="C668" s="65" t="s">
        <v>683</v>
      </c>
      <c r="D668" s="65"/>
    </row>
    <row r="669" spans="1:4">
      <c r="A669" s="80"/>
      <c r="B669" s="80"/>
      <c r="C669" s="65" t="s">
        <v>684</v>
      </c>
      <c r="D669" s="65"/>
    </row>
    <row r="670" spans="1:4">
      <c r="A670" s="80"/>
      <c r="B670" s="80"/>
      <c r="C670" s="65" t="s">
        <v>319</v>
      </c>
      <c r="D670" s="65"/>
    </row>
    <row r="671" spans="1:4">
      <c r="A671" s="80"/>
      <c r="B671" s="80"/>
      <c r="C671" s="65" t="s">
        <v>324</v>
      </c>
      <c r="D671" s="65"/>
    </row>
    <row r="672" spans="1:4">
      <c r="A672" s="80"/>
      <c r="B672" s="80"/>
      <c r="C672" s="65" t="s">
        <v>321</v>
      </c>
      <c r="D672" s="65"/>
    </row>
    <row r="673" spans="1:4">
      <c r="A673" s="80"/>
      <c r="B673" s="80"/>
      <c r="C673" s="65" t="s">
        <v>320</v>
      </c>
      <c r="D673" s="65"/>
    </row>
    <row r="674" spans="1:4">
      <c r="A674" s="80"/>
      <c r="B674" s="80"/>
      <c r="C674" s="65" t="s">
        <v>325</v>
      </c>
      <c r="D674" s="65"/>
    </row>
    <row r="675" spans="1:4">
      <c r="A675" s="80"/>
      <c r="B675" s="80"/>
      <c r="C675" s="65" t="s">
        <v>322</v>
      </c>
      <c r="D675" s="65"/>
    </row>
    <row r="676" spans="1:4">
      <c r="A676" s="80"/>
      <c r="B676" s="80"/>
      <c r="C676" s="65" t="s">
        <v>442</v>
      </c>
      <c r="D676" s="65"/>
    </row>
    <row r="677" spans="1:4">
      <c r="A677" s="80"/>
      <c r="B677" s="80"/>
      <c r="C677" s="65" t="s">
        <v>323</v>
      </c>
      <c r="D677" s="65"/>
    </row>
    <row r="678" spans="1:4">
      <c r="A678" s="80"/>
      <c r="B678" s="80"/>
      <c r="C678" s="65" t="s">
        <v>130</v>
      </c>
      <c r="D678" s="65"/>
    </row>
    <row r="679" spans="1:4">
      <c r="A679" s="81"/>
      <c r="B679" s="81"/>
      <c r="C679" s="65" t="s">
        <v>362</v>
      </c>
      <c r="D679" s="65"/>
    </row>
    <row r="680" spans="1:4">
      <c r="A680" s="101"/>
      <c r="B680" s="101" t="s">
        <v>310</v>
      </c>
      <c r="C680" s="62" t="s">
        <v>356</v>
      </c>
      <c r="D680" s="62"/>
    </row>
    <row r="681" spans="1:4">
      <c r="A681" s="103"/>
      <c r="B681" s="103"/>
      <c r="C681" s="62" t="s">
        <v>357</v>
      </c>
      <c r="D681" s="62"/>
    </row>
    <row r="682" spans="1:4">
      <c r="A682" s="103"/>
      <c r="B682" s="103"/>
      <c r="C682" s="62" t="s">
        <v>358</v>
      </c>
      <c r="D682" s="62"/>
    </row>
    <row r="683" spans="1:4">
      <c r="A683" s="103"/>
      <c r="B683" s="103"/>
      <c r="C683" s="62" t="s">
        <v>359</v>
      </c>
      <c r="D683" s="62"/>
    </row>
    <row r="684" spans="1:4">
      <c r="A684" s="103"/>
      <c r="B684" s="103"/>
      <c r="C684" s="62" t="s">
        <v>360</v>
      </c>
      <c r="D684" s="62"/>
    </row>
    <row r="685" spans="1:4">
      <c r="A685" s="103"/>
      <c r="B685" s="103"/>
      <c r="C685" s="62" t="s">
        <v>361</v>
      </c>
      <c r="D685" s="62"/>
    </row>
    <row r="686" spans="1:4">
      <c r="A686" s="103"/>
      <c r="B686" s="103"/>
      <c r="C686" s="62" t="s">
        <v>102</v>
      </c>
      <c r="D686" s="62"/>
    </row>
    <row r="687" spans="1:4">
      <c r="A687" s="103"/>
      <c r="B687" s="103"/>
      <c r="C687" s="62" t="s">
        <v>362</v>
      </c>
      <c r="D687" s="62"/>
    </row>
    <row r="688" spans="1:4">
      <c r="A688" s="79"/>
      <c r="B688" s="76" t="s">
        <v>369</v>
      </c>
      <c r="C688" s="65" t="s">
        <v>339</v>
      </c>
      <c r="D688" s="65"/>
    </row>
    <row r="689" spans="1:4">
      <c r="A689" s="80"/>
      <c r="B689" s="78"/>
      <c r="C689" s="65" t="s">
        <v>340</v>
      </c>
      <c r="D689" s="65"/>
    </row>
    <row r="690" spans="1:4">
      <c r="A690" s="101"/>
      <c r="B690" s="101" t="s">
        <v>735</v>
      </c>
      <c r="C690" s="62" t="s">
        <v>341</v>
      </c>
      <c r="D690" s="62"/>
    </row>
    <row r="691" spans="1:4">
      <c r="A691" s="103"/>
      <c r="B691" s="103"/>
      <c r="C691" s="62" t="s">
        <v>342</v>
      </c>
      <c r="D691" s="62"/>
    </row>
    <row r="692" spans="1:4">
      <c r="A692" s="79"/>
      <c r="B692" s="79" t="s">
        <v>343</v>
      </c>
      <c r="C692" s="65" t="s">
        <v>398</v>
      </c>
      <c r="D692" s="65"/>
    </row>
    <row r="693" spans="1:4">
      <c r="A693" s="80"/>
      <c r="B693" s="80"/>
      <c r="C693" s="65" t="s">
        <v>381</v>
      </c>
      <c r="D693" s="65"/>
    </row>
    <row r="694" spans="1:4">
      <c r="A694" s="80"/>
      <c r="B694" s="80"/>
      <c r="C694" s="65" t="s">
        <v>376</v>
      </c>
      <c r="D694" s="65"/>
    </row>
    <row r="695" spans="1:4">
      <c r="A695" s="80"/>
      <c r="B695" s="80"/>
      <c r="C695" s="65" t="s">
        <v>333</v>
      </c>
      <c r="D695" s="65"/>
    </row>
    <row r="696" spans="1:4">
      <c r="A696" s="80"/>
      <c r="B696" s="80"/>
      <c r="C696" s="65" t="s">
        <v>73</v>
      </c>
      <c r="D696" s="65"/>
    </row>
    <row r="697" spans="1:4">
      <c r="A697" s="80"/>
      <c r="B697" s="80"/>
      <c r="C697" s="65" t="s">
        <v>9</v>
      </c>
      <c r="D697" s="65"/>
    </row>
    <row r="698" spans="1:4">
      <c r="A698" s="80"/>
      <c r="B698" s="80"/>
      <c r="C698" s="65" t="s">
        <v>344</v>
      </c>
      <c r="D698" s="65"/>
    </row>
    <row r="699" spans="1:4">
      <c r="A699" s="80"/>
      <c r="B699" s="80"/>
      <c r="C699" s="65" t="s">
        <v>332</v>
      </c>
      <c r="D699" s="65"/>
    </row>
    <row r="700" spans="1:4">
      <c r="A700" s="80"/>
      <c r="B700" s="80"/>
      <c r="C700" s="65" t="s">
        <v>102</v>
      </c>
      <c r="D700" s="65"/>
    </row>
    <row r="701" spans="1:4">
      <c r="A701" s="101"/>
      <c r="B701" s="101" t="s">
        <v>462</v>
      </c>
      <c r="C701" s="62" t="s">
        <v>414</v>
      </c>
      <c r="D701" s="62"/>
    </row>
    <row r="702" spans="1:4">
      <c r="A702" s="103"/>
      <c r="B702" s="103"/>
      <c r="C702" s="62" t="s">
        <v>262</v>
      </c>
      <c r="D702" s="62"/>
    </row>
    <row r="703" spans="1:4">
      <c r="A703" s="103"/>
      <c r="B703" s="103"/>
      <c r="C703" s="62" t="s">
        <v>172</v>
      </c>
      <c r="D703" s="62"/>
    </row>
    <row r="704" spans="1:4">
      <c r="A704" s="103"/>
      <c r="B704" s="103"/>
      <c r="C704" s="62" t="s">
        <v>635</v>
      </c>
      <c r="D704" s="62"/>
    </row>
    <row r="705" spans="1:5">
      <c r="A705" s="103"/>
      <c r="B705" s="103"/>
      <c r="C705" s="62" t="s">
        <v>156</v>
      </c>
      <c r="D705" s="62"/>
    </row>
    <row r="706" spans="1:5">
      <c r="A706" s="103"/>
      <c r="B706" s="103"/>
      <c r="C706" s="62" t="s">
        <v>629</v>
      </c>
      <c r="D706" s="62"/>
    </row>
    <row r="707" spans="1:5">
      <c r="A707" s="103"/>
      <c r="B707" s="103"/>
      <c r="C707" s="62" t="s">
        <v>631</v>
      </c>
      <c r="D707" s="62"/>
    </row>
    <row r="708" spans="1:5">
      <c r="A708" s="103"/>
      <c r="B708" s="103"/>
      <c r="C708" s="62" t="s">
        <v>66</v>
      </c>
      <c r="D708" s="62"/>
    </row>
    <row r="709" spans="1:5">
      <c r="A709" s="103"/>
      <c r="B709" s="103"/>
      <c r="C709" s="62" t="s">
        <v>269</v>
      </c>
      <c r="D709" s="62"/>
    </row>
    <row r="710" spans="1:5">
      <c r="A710" s="103"/>
      <c r="B710" s="103"/>
      <c r="C710" s="62" t="s">
        <v>636</v>
      </c>
      <c r="D710" s="62"/>
    </row>
    <row r="711" spans="1:5">
      <c r="A711" s="103"/>
      <c r="B711" s="103"/>
      <c r="C711" s="62" t="s">
        <v>140</v>
      </c>
      <c r="D711" s="62"/>
    </row>
    <row r="712" spans="1:5">
      <c r="A712" s="103"/>
      <c r="B712" s="103"/>
      <c r="C712" s="62" t="s">
        <v>256</v>
      </c>
      <c r="D712" s="62"/>
    </row>
    <row r="713" spans="1:5">
      <c r="A713" s="103"/>
      <c r="B713" s="103"/>
      <c r="C713" s="62" t="s">
        <v>122</v>
      </c>
      <c r="D713" s="62"/>
    </row>
    <row r="714" spans="1:5">
      <c r="A714" s="103"/>
      <c r="B714" s="103"/>
      <c r="C714" s="62" t="s">
        <v>270</v>
      </c>
      <c r="D714" s="62"/>
    </row>
    <row r="715" spans="1:5">
      <c r="A715" s="103"/>
      <c r="B715" s="103"/>
      <c r="C715" s="62" t="s">
        <v>690</v>
      </c>
      <c r="D715" s="62"/>
    </row>
    <row r="716" spans="1:5">
      <c r="A716" s="103"/>
      <c r="B716" s="103"/>
      <c r="C716" s="62" t="s">
        <v>1150</v>
      </c>
      <c r="D716" s="62" t="s">
        <v>637</v>
      </c>
      <c r="E716" s="18" t="s">
        <v>1180</v>
      </c>
    </row>
    <row r="717" spans="1:5">
      <c r="A717" s="103"/>
      <c r="B717" s="103"/>
      <c r="C717" s="62" t="s">
        <v>267</v>
      </c>
      <c r="D717" s="62"/>
    </row>
    <row r="718" spans="1:5">
      <c r="A718" s="103"/>
      <c r="B718" s="103"/>
      <c r="C718" s="62" t="s">
        <v>264</v>
      </c>
      <c r="D718" s="62"/>
    </row>
    <row r="719" spans="1:5">
      <c r="A719" s="103"/>
      <c r="B719" s="103"/>
      <c r="C719" s="62" t="s">
        <v>265</v>
      </c>
      <c r="D719" s="62"/>
    </row>
    <row r="720" spans="1:5">
      <c r="A720" s="103"/>
      <c r="B720" s="103"/>
      <c r="C720" s="62" t="s">
        <v>167</v>
      </c>
      <c r="D720" s="62"/>
    </row>
    <row r="721" spans="1:4">
      <c r="A721" s="103"/>
      <c r="B721" s="103"/>
      <c r="C721" s="62" t="s">
        <v>254</v>
      </c>
      <c r="D721" s="62"/>
    </row>
    <row r="722" spans="1:4">
      <c r="A722" s="103"/>
      <c r="B722" s="103"/>
      <c r="C722" s="62" t="s">
        <v>261</v>
      </c>
      <c r="D722" s="62"/>
    </row>
    <row r="723" spans="1:4">
      <c r="A723" s="103"/>
      <c r="B723" s="103"/>
      <c r="C723" s="62" t="s">
        <v>71</v>
      </c>
      <c r="D723" s="62"/>
    </row>
    <row r="724" spans="1:4">
      <c r="A724" s="103"/>
      <c r="B724" s="103"/>
      <c r="C724" s="62" t="s">
        <v>259</v>
      </c>
      <c r="D724" s="62"/>
    </row>
    <row r="725" spans="1:4">
      <c r="A725" s="103"/>
      <c r="B725" s="103"/>
      <c r="C725" s="62" t="s">
        <v>75</v>
      </c>
      <c r="D725" s="62"/>
    </row>
    <row r="726" spans="1:4">
      <c r="A726" s="103"/>
      <c r="B726" s="103"/>
      <c r="C726" s="62" t="s">
        <v>263</v>
      </c>
      <c r="D726" s="62"/>
    </row>
    <row r="727" spans="1:4">
      <c r="A727" s="103"/>
      <c r="B727" s="103"/>
      <c r="C727" s="62" t="s">
        <v>633</v>
      </c>
      <c r="D727" s="62"/>
    </row>
    <row r="728" spans="1:4">
      <c r="A728" s="103"/>
      <c r="B728" s="103"/>
      <c r="C728" s="62" t="s">
        <v>634</v>
      </c>
      <c r="D728" s="62"/>
    </row>
    <row r="729" spans="1:4">
      <c r="A729" s="103"/>
      <c r="B729" s="103"/>
      <c r="C729" s="62" t="s">
        <v>266</v>
      </c>
      <c r="D729" s="62"/>
    </row>
    <row r="730" spans="1:4">
      <c r="A730" s="103"/>
      <c r="B730" s="103"/>
      <c r="C730" s="62" t="s">
        <v>85</v>
      </c>
      <c r="D730" s="62"/>
    </row>
    <row r="731" spans="1:4">
      <c r="A731" s="103"/>
      <c r="B731" s="103"/>
      <c r="C731" s="62" t="s">
        <v>630</v>
      </c>
      <c r="D731" s="62"/>
    </row>
    <row r="732" spans="1:4">
      <c r="A732" s="103"/>
      <c r="B732" s="103"/>
      <c r="C732" s="62" t="s">
        <v>628</v>
      </c>
      <c r="D732" s="62"/>
    </row>
    <row r="733" spans="1:4">
      <c r="A733" s="103"/>
      <c r="B733" s="103"/>
      <c r="C733" s="62" t="s">
        <v>638</v>
      </c>
      <c r="D733" s="62"/>
    </row>
    <row r="734" spans="1:4">
      <c r="A734" s="103"/>
      <c r="B734" s="103"/>
      <c r="C734" s="62" t="s">
        <v>255</v>
      </c>
      <c r="D734" s="62"/>
    </row>
    <row r="735" spans="1:4">
      <c r="A735" s="103"/>
      <c r="B735" s="103"/>
      <c r="C735" s="62" t="s">
        <v>720</v>
      </c>
      <c r="D735" s="62"/>
    </row>
    <row r="736" spans="1:4">
      <c r="A736" s="103"/>
      <c r="B736" s="103"/>
      <c r="C736" s="62" t="s">
        <v>34</v>
      </c>
      <c r="D736" s="62"/>
    </row>
    <row r="737" spans="1:4">
      <c r="A737" s="103"/>
      <c r="B737" s="103"/>
      <c r="C737" s="62" t="s">
        <v>627</v>
      </c>
      <c r="D737" s="62"/>
    </row>
    <row r="738" spans="1:4">
      <c r="A738" s="103"/>
      <c r="B738" s="103"/>
      <c r="C738" s="62" t="s">
        <v>268</v>
      </c>
      <c r="D738" s="62"/>
    </row>
    <row r="739" spans="1:4">
      <c r="A739" s="103"/>
      <c r="B739" s="103"/>
      <c r="C739" s="62" t="s">
        <v>632</v>
      </c>
      <c r="D739" s="62"/>
    </row>
    <row r="740" spans="1:4">
      <c r="A740" s="103"/>
      <c r="B740" s="103"/>
      <c r="C740" s="62" t="s">
        <v>252</v>
      </c>
      <c r="D740" s="62"/>
    </row>
    <row r="741" spans="1:4">
      <c r="A741" s="103"/>
      <c r="B741" s="103"/>
      <c r="C741" s="62" t="s">
        <v>258</v>
      </c>
      <c r="D741" s="62"/>
    </row>
    <row r="742" spans="1:4">
      <c r="A742" s="103"/>
      <c r="B742" s="103"/>
      <c r="C742" s="62" t="s">
        <v>257</v>
      </c>
      <c r="D742" s="62"/>
    </row>
    <row r="743" spans="1:4">
      <c r="A743" s="103"/>
      <c r="B743" s="103"/>
      <c r="C743" s="62" t="s">
        <v>174</v>
      </c>
      <c r="D743" s="62"/>
    </row>
    <row r="744" spans="1:4">
      <c r="A744" s="103"/>
      <c r="B744" s="103"/>
      <c r="C744" s="62" t="s">
        <v>253</v>
      </c>
      <c r="D744" s="62"/>
    </row>
    <row r="745" spans="1:4">
      <c r="A745" s="103"/>
      <c r="B745" s="103"/>
      <c r="C745" s="62" t="s">
        <v>169</v>
      </c>
      <c r="D745" s="62"/>
    </row>
    <row r="746" spans="1:4">
      <c r="A746" s="103"/>
      <c r="B746" s="103"/>
      <c r="C746" s="62" t="s">
        <v>170</v>
      </c>
      <c r="D746" s="62"/>
    </row>
    <row r="747" spans="1:4">
      <c r="A747" s="103"/>
      <c r="B747" s="103"/>
      <c r="C747" s="62" t="s">
        <v>165</v>
      </c>
      <c r="D747" s="62"/>
    </row>
    <row r="748" spans="1:4">
      <c r="A748" s="103"/>
      <c r="B748" s="103"/>
      <c r="C748" s="62" t="s">
        <v>260</v>
      </c>
      <c r="D748" s="62"/>
    </row>
    <row r="749" spans="1:4">
      <c r="A749" s="103"/>
      <c r="B749" s="103"/>
      <c r="C749" s="62" t="s">
        <v>163</v>
      </c>
      <c r="D749" s="62"/>
    </row>
    <row r="750" spans="1:4">
      <c r="A750" s="103"/>
      <c r="B750" s="103"/>
      <c r="C750" s="62" t="s">
        <v>53</v>
      </c>
      <c r="D750" s="62"/>
    </row>
    <row r="751" spans="1:4">
      <c r="A751" s="103"/>
      <c r="B751" s="103"/>
      <c r="C751" s="62" t="s">
        <v>59</v>
      </c>
      <c r="D751" s="62"/>
    </row>
    <row r="752" spans="1:4">
      <c r="A752" s="103"/>
      <c r="B752" s="103"/>
      <c r="C752" s="62" t="s">
        <v>67</v>
      </c>
      <c r="D752" s="62"/>
    </row>
    <row r="753" spans="1:4">
      <c r="A753" s="103"/>
      <c r="B753" s="103"/>
      <c r="C753" s="62" t="s">
        <v>74</v>
      </c>
      <c r="D753" s="62"/>
    </row>
    <row r="754" spans="1:4">
      <c r="A754" s="103"/>
      <c r="B754" s="103"/>
      <c r="C754" s="62" t="s">
        <v>81</v>
      </c>
      <c r="D754" s="62"/>
    </row>
    <row r="755" spans="1:4">
      <c r="A755" s="103"/>
      <c r="B755" s="103"/>
      <c r="C755" s="62" t="s">
        <v>927</v>
      </c>
      <c r="D755" s="62"/>
    </row>
    <row r="756" spans="1:4">
      <c r="A756" s="103"/>
      <c r="B756" s="103"/>
      <c r="C756" s="62" t="s">
        <v>92</v>
      </c>
      <c r="D756" s="62"/>
    </row>
    <row r="757" spans="1:4">
      <c r="A757" s="103"/>
      <c r="B757" s="103"/>
      <c r="C757" s="62" t="s">
        <v>958</v>
      </c>
      <c r="D757" s="62"/>
    </row>
    <row r="758" spans="1:4">
      <c r="A758" s="103"/>
      <c r="B758" s="103"/>
      <c r="C758" s="62" t="s">
        <v>959</v>
      </c>
      <c r="D758" s="62"/>
    </row>
    <row r="759" spans="1:4">
      <c r="A759" s="103"/>
      <c r="B759" s="103"/>
      <c r="C759" s="62" t="s">
        <v>104</v>
      </c>
      <c r="D759" s="62"/>
    </row>
    <row r="760" spans="1:4">
      <c r="A760" s="103"/>
      <c r="B760" s="103"/>
      <c r="C760" s="62" t="s">
        <v>109</v>
      </c>
      <c r="D760" s="62"/>
    </row>
    <row r="761" spans="1:4">
      <c r="A761" s="103"/>
      <c r="B761" s="103"/>
      <c r="C761" s="62" t="s">
        <v>111</v>
      </c>
      <c r="D761" s="62"/>
    </row>
    <row r="762" spans="1:4">
      <c r="A762" s="103"/>
      <c r="B762" s="103"/>
      <c r="C762" s="62" t="s">
        <v>114</v>
      </c>
      <c r="D762" s="62"/>
    </row>
    <row r="763" spans="1:4">
      <c r="A763" s="103"/>
      <c r="B763" s="103"/>
      <c r="C763" s="62" t="s">
        <v>117</v>
      </c>
      <c r="D763" s="62"/>
    </row>
    <row r="764" spans="1:4">
      <c r="A764" s="103"/>
      <c r="B764" s="103"/>
      <c r="C764" s="62" t="s">
        <v>120</v>
      </c>
      <c r="D764" s="62"/>
    </row>
    <row r="765" spans="1:4">
      <c r="A765" s="103"/>
      <c r="B765" s="103"/>
      <c r="C765" s="62" t="s">
        <v>123</v>
      </c>
      <c r="D765" s="62"/>
    </row>
    <row r="766" spans="1:4">
      <c r="A766" s="103"/>
      <c r="B766" s="103"/>
      <c r="C766" s="62" t="s">
        <v>125</v>
      </c>
      <c r="D766" s="62"/>
    </row>
    <row r="767" spans="1:4">
      <c r="A767" s="103"/>
      <c r="B767" s="103"/>
      <c r="C767" s="62" t="s">
        <v>314</v>
      </c>
      <c r="D767" s="62"/>
    </row>
    <row r="768" spans="1:4">
      <c r="A768" s="103"/>
      <c r="B768" s="103"/>
      <c r="C768" s="62" t="s">
        <v>128</v>
      </c>
      <c r="D768" s="62"/>
    </row>
    <row r="769" spans="1:5">
      <c r="A769" s="103"/>
      <c r="B769" s="103"/>
      <c r="C769" s="62" t="s">
        <v>131</v>
      </c>
      <c r="D769" s="62"/>
    </row>
    <row r="770" spans="1:5">
      <c r="A770" s="103"/>
      <c r="B770" s="103"/>
      <c r="C770" s="62" t="s">
        <v>132</v>
      </c>
      <c r="D770" s="62"/>
    </row>
    <row r="771" spans="1:5">
      <c r="A771" s="103"/>
      <c r="B771" s="103"/>
      <c r="C771" s="62" t="s">
        <v>134</v>
      </c>
      <c r="D771" s="62"/>
    </row>
    <row r="772" spans="1:5">
      <c r="A772" s="103"/>
      <c r="B772" s="103"/>
      <c r="C772" s="62" t="s">
        <v>136</v>
      </c>
      <c r="D772" s="62"/>
    </row>
    <row r="773" spans="1:5">
      <c r="A773" s="103"/>
      <c r="B773" s="103"/>
      <c r="C773" s="62" t="s">
        <v>138</v>
      </c>
      <c r="D773" s="62"/>
    </row>
    <row r="774" spans="1:5">
      <c r="A774" s="103"/>
      <c r="B774" s="103"/>
      <c r="C774" s="62" t="s">
        <v>141</v>
      </c>
      <c r="D774" s="62"/>
    </row>
    <row r="775" spans="1:5">
      <c r="A775" s="103"/>
      <c r="B775" s="103"/>
      <c r="C775" s="62" t="s">
        <v>143</v>
      </c>
      <c r="D775" s="62"/>
    </row>
    <row r="776" spans="1:5">
      <c r="A776" s="103"/>
      <c r="B776" s="103"/>
      <c r="C776" s="62" t="s">
        <v>315</v>
      </c>
      <c r="D776" s="62"/>
    </row>
    <row r="777" spans="1:5">
      <c r="A777" s="103"/>
      <c r="B777" s="103"/>
      <c r="C777" s="62" t="s">
        <v>145</v>
      </c>
      <c r="D777" s="62"/>
    </row>
    <row r="778" spans="1:5">
      <c r="A778" s="103"/>
      <c r="B778" s="103"/>
      <c r="C778" s="62" t="s">
        <v>147</v>
      </c>
      <c r="D778" s="62"/>
    </row>
    <row r="779" spans="1:5">
      <c r="A779" s="103"/>
      <c r="B779" s="103"/>
      <c r="C779" s="62" t="s">
        <v>149</v>
      </c>
      <c r="D779" s="62"/>
    </row>
    <row r="780" spans="1:5">
      <c r="A780" s="103"/>
      <c r="B780" s="103"/>
      <c r="C780" s="62" t="s">
        <v>151</v>
      </c>
      <c r="D780" s="62"/>
    </row>
    <row r="781" spans="1:5">
      <c r="A781" s="103"/>
      <c r="B781" s="103"/>
      <c r="C781" s="62" t="s">
        <v>153</v>
      </c>
      <c r="D781" s="62"/>
    </row>
    <row r="782" spans="1:5">
      <c r="A782" s="103"/>
      <c r="B782" s="103"/>
      <c r="C782" s="62" t="s">
        <v>1122</v>
      </c>
      <c r="D782" s="62"/>
      <c r="E782" s="18" t="s">
        <v>1180</v>
      </c>
    </row>
    <row r="783" spans="1:5">
      <c r="A783" s="103"/>
      <c r="B783" s="103"/>
      <c r="C783" s="62" t="s">
        <v>1121</v>
      </c>
      <c r="D783" s="62"/>
      <c r="E783" s="18" t="s">
        <v>1180</v>
      </c>
    </row>
    <row r="784" spans="1:5">
      <c r="A784" s="103"/>
      <c r="B784" s="103"/>
      <c r="C784" s="62" t="s">
        <v>952</v>
      </c>
      <c r="D784" s="62"/>
      <c r="E784" s="18" t="s">
        <v>1180</v>
      </c>
    </row>
    <row r="785" spans="1:5">
      <c r="A785" s="103"/>
      <c r="B785" s="103"/>
      <c r="C785" s="62" t="s">
        <v>157</v>
      </c>
      <c r="D785" s="62"/>
    </row>
    <row r="786" spans="1:5">
      <c r="A786" s="103"/>
      <c r="B786" s="103"/>
      <c r="C786" s="62" t="s">
        <v>158</v>
      </c>
      <c r="D786" s="62"/>
    </row>
    <row r="787" spans="1:5">
      <c r="A787" s="103"/>
      <c r="B787" s="103"/>
      <c r="C787" s="62" t="s">
        <v>159</v>
      </c>
      <c r="D787" s="62"/>
    </row>
    <row r="788" spans="1:5">
      <c r="A788" s="103"/>
      <c r="B788" s="103"/>
      <c r="C788" s="62" t="s">
        <v>160</v>
      </c>
      <c r="D788" s="62"/>
    </row>
    <row r="789" spans="1:5">
      <c r="A789" s="103"/>
      <c r="B789" s="103"/>
      <c r="C789" s="62" t="s">
        <v>161</v>
      </c>
      <c r="D789" s="62"/>
    </row>
    <row r="790" spans="1:5">
      <c r="A790" s="103"/>
      <c r="B790" s="103"/>
      <c r="C790" s="62" t="s">
        <v>954</v>
      </c>
      <c r="D790" s="62"/>
      <c r="E790" s="18" t="s">
        <v>1180</v>
      </c>
    </row>
    <row r="791" spans="1:5">
      <c r="A791" s="103"/>
      <c r="B791" s="103"/>
      <c r="C791" s="62" t="s">
        <v>164</v>
      </c>
      <c r="D791" s="62"/>
    </row>
    <row r="792" spans="1:5">
      <c r="A792" s="103"/>
      <c r="B792" s="103"/>
      <c r="C792" s="62" t="s">
        <v>166</v>
      </c>
      <c r="D792" s="62"/>
    </row>
    <row r="793" spans="1:5">
      <c r="A793" s="103"/>
      <c r="B793" s="103"/>
      <c r="C793" s="62" t="s">
        <v>168</v>
      </c>
      <c r="D793" s="62"/>
    </row>
    <row r="794" spans="1:5">
      <c r="A794" s="103"/>
      <c r="B794" s="103"/>
      <c r="C794" s="62" t="s">
        <v>171</v>
      </c>
      <c r="D794" s="62"/>
    </row>
    <row r="795" spans="1:5">
      <c r="A795" s="103"/>
      <c r="B795" s="103"/>
      <c r="C795" s="62" t="s">
        <v>173</v>
      </c>
      <c r="D795" s="62"/>
    </row>
    <row r="796" spans="1:5">
      <c r="A796" s="103"/>
      <c r="B796" s="103"/>
      <c r="C796" s="62" t="s">
        <v>175</v>
      </c>
      <c r="D796" s="62"/>
    </row>
    <row r="797" spans="1:5">
      <c r="A797" s="103"/>
      <c r="B797" s="103"/>
      <c r="C797" s="62" t="s">
        <v>177</v>
      </c>
      <c r="D797" s="62"/>
    </row>
    <row r="798" spans="1:5">
      <c r="A798" s="103"/>
      <c r="B798" s="103"/>
      <c r="C798" s="62" t="s">
        <v>178</v>
      </c>
      <c r="D798" s="62"/>
    </row>
    <row r="799" spans="1:5">
      <c r="A799" s="103"/>
      <c r="B799" s="103"/>
      <c r="C799" s="62" t="s">
        <v>179</v>
      </c>
      <c r="D799" s="62"/>
    </row>
    <row r="800" spans="1:5">
      <c r="A800" s="103"/>
      <c r="B800" s="103"/>
      <c r="C800" s="62" t="s">
        <v>180</v>
      </c>
      <c r="D800" s="62"/>
    </row>
    <row r="801" spans="1:5">
      <c r="A801" s="103"/>
      <c r="B801" s="103"/>
      <c r="C801" s="62" t="s">
        <v>181</v>
      </c>
      <c r="D801" s="62"/>
    </row>
    <row r="802" spans="1:5">
      <c r="A802" s="103"/>
      <c r="B802" s="103"/>
      <c r="C802" s="62" t="s">
        <v>182</v>
      </c>
      <c r="D802" s="62"/>
    </row>
    <row r="803" spans="1:5">
      <c r="A803" s="103"/>
      <c r="B803" s="103"/>
      <c r="C803" s="62" t="s">
        <v>183</v>
      </c>
      <c r="D803" s="62"/>
    </row>
    <row r="804" spans="1:5">
      <c r="A804" s="103"/>
      <c r="B804" s="103"/>
      <c r="C804" s="62" t="s">
        <v>508</v>
      </c>
      <c r="D804" s="62"/>
    </row>
    <row r="805" spans="1:5">
      <c r="A805" s="103"/>
      <c r="B805" s="103"/>
      <c r="C805" s="62" t="s">
        <v>184</v>
      </c>
      <c r="D805" s="62"/>
    </row>
    <row r="806" spans="1:5">
      <c r="A806" s="103"/>
      <c r="B806" s="103"/>
      <c r="C806" s="62" t="s">
        <v>185</v>
      </c>
      <c r="D806" s="62"/>
    </row>
    <row r="807" spans="1:5">
      <c r="A807" s="103"/>
      <c r="B807" s="103"/>
      <c r="C807" s="62" t="s">
        <v>186</v>
      </c>
      <c r="D807" s="62"/>
    </row>
    <row r="808" spans="1:5">
      <c r="A808" s="103"/>
      <c r="B808" s="103"/>
      <c r="C808" s="62" t="s">
        <v>187</v>
      </c>
      <c r="D808" s="62"/>
    </row>
    <row r="809" spans="1:5">
      <c r="A809" s="103"/>
      <c r="B809" s="103"/>
      <c r="C809" s="62" t="s">
        <v>953</v>
      </c>
      <c r="D809" s="62"/>
      <c r="E809" s="18" t="s">
        <v>1180</v>
      </c>
    </row>
    <row r="810" spans="1:5">
      <c r="A810" s="103"/>
      <c r="B810" s="103"/>
      <c r="C810" s="62" t="s">
        <v>188</v>
      </c>
      <c r="D810" s="62"/>
    </row>
    <row r="811" spans="1:5">
      <c r="A811" s="103"/>
      <c r="B811" s="103"/>
      <c r="C811" s="62" t="s">
        <v>189</v>
      </c>
      <c r="D811" s="62"/>
    </row>
    <row r="812" spans="1:5">
      <c r="A812" s="103"/>
      <c r="B812" s="103"/>
      <c r="C812" s="62" t="s">
        <v>190</v>
      </c>
      <c r="D812" s="62"/>
    </row>
    <row r="813" spans="1:5">
      <c r="A813" s="103"/>
      <c r="B813" s="103"/>
      <c r="C813" s="62" t="s">
        <v>191</v>
      </c>
      <c r="D813" s="62"/>
    </row>
    <row r="814" spans="1:5">
      <c r="A814" s="103"/>
      <c r="B814" s="103"/>
      <c r="C814" s="62" t="s">
        <v>192</v>
      </c>
      <c r="D814" s="62"/>
    </row>
    <row r="815" spans="1:5">
      <c r="A815" s="103"/>
      <c r="B815" s="103"/>
      <c r="C815" s="62" t="s">
        <v>193</v>
      </c>
      <c r="D815" s="62"/>
    </row>
    <row r="816" spans="1:5">
      <c r="A816" s="103"/>
      <c r="B816" s="103"/>
      <c r="C816" s="62" t="s">
        <v>194</v>
      </c>
      <c r="D816" s="62"/>
    </row>
    <row r="817" spans="1:4">
      <c r="A817" s="103"/>
      <c r="B817" s="103"/>
      <c r="C817" s="62" t="s">
        <v>196</v>
      </c>
      <c r="D817" s="62"/>
    </row>
    <row r="818" spans="1:4">
      <c r="A818" s="103"/>
      <c r="B818" s="103"/>
      <c r="C818" s="62" t="s">
        <v>197</v>
      </c>
      <c r="D818" s="62"/>
    </row>
    <row r="819" spans="1:4">
      <c r="A819" s="103"/>
      <c r="B819" s="103"/>
      <c r="C819" s="62" t="s">
        <v>198</v>
      </c>
      <c r="D819" s="62"/>
    </row>
    <row r="820" spans="1:4">
      <c r="A820" s="103"/>
      <c r="B820" s="103"/>
      <c r="C820" s="62" t="s">
        <v>199</v>
      </c>
      <c r="D820" s="62"/>
    </row>
    <row r="821" spans="1:4">
      <c r="A821" s="103"/>
      <c r="B821" s="103"/>
      <c r="C821" s="62" t="s">
        <v>200</v>
      </c>
      <c r="D821" s="62"/>
    </row>
    <row r="822" spans="1:4">
      <c r="A822" s="103"/>
      <c r="B822" s="103"/>
      <c r="C822" s="62" t="s">
        <v>201</v>
      </c>
      <c r="D822" s="62"/>
    </row>
    <row r="823" spans="1:4">
      <c r="A823" s="103"/>
      <c r="B823" s="103"/>
      <c r="C823" s="62" t="s">
        <v>203</v>
      </c>
      <c r="D823" s="62"/>
    </row>
    <row r="824" spans="1:4">
      <c r="A824" s="103"/>
      <c r="B824" s="103"/>
      <c r="C824" s="62" t="s">
        <v>204</v>
      </c>
      <c r="D824" s="62"/>
    </row>
    <row r="825" spans="1:4">
      <c r="A825" s="103"/>
      <c r="B825" s="103"/>
      <c r="C825" s="62" t="s">
        <v>205</v>
      </c>
      <c r="D825" s="62"/>
    </row>
    <row r="826" spans="1:4">
      <c r="A826" s="103"/>
      <c r="B826" s="103"/>
      <c r="C826" s="62" t="s">
        <v>206</v>
      </c>
      <c r="D826" s="62"/>
    </row>
    <row r="827" spans="1:4">
      <c r="A827" s="103"/>
      <c r="B827" s="103"/>
      <c r="C827" s="62" t="s">
        <v>207</v>
      </c>
      <c r="D827" s="62"/>
    </row>
    <row r="828" spans="1:4">
      <c r="A828" s="103"/>
      <c r="B828" s="103"/>
      <c r="C828" s="62" t="s">
        <v>208</v>
      </c>
      <c r="D828" s="62"/>
    </row>
    <row r="829" spans="1:4">
      <c r="A829" s="103"/>
      <c r="B829" s="103"/>
      <c r="C829" s="62" t="s">
        <v>209</v>
      </c>
      <c r="D829" s="62"/>
    </row>
    <row r="830" spans="1:4">
      <c r="A830" s="103"/>
      <c r="B830" s="103"/>
      <c r="C830" s="62" t="s">
        <v>210</v>
      </c>
      <c r="D830" s="62"/>
    </row>
    <row r="831" spans="1:4">
      <c r="A831" s="103"/>
      <c r="B831" s="103"/>
      <c r="C831" s="62" t="s">
        <v>1174</v>
      </c>
      <c r="D831" s="139" t="s">
        <v>1173</v>
      </c>
    </row>
    <row r="832" spans="1:4">
      <c r="A832" s="103"/>
      <c r="B832" s="103"/>
      <c r="C832" s="62" t="s">
        <v>1175</v>
      </c>
      <c r="D832" s="139" t="s">
        <v>944</v>
      </c>
    </row>
    <row r="833" spans="1:4">
      <c r="A833" s="103"/>
      <c r="B833" s="103"/>
      <c r="C833" s="62" t="s">
        <v>1176</v>
      </c>
      <c r="D833" s="139" t="s">
        <v>944</v>
      </c>
    </row>
    <row r="834" spans="1:4" ht="15">
      <c r="A834" s="103"/>
      <c r="B834" s="103"/>
      <c r="C834" s="62" t="s">
        <v>940</v>
      </c>
      <c r="D834" s="137"/>
    </row>
    <row r="835" spans="1:4">
      <c r="A835" s="103"/>
      <c r="B835" s="103"/>
      <c r="C835" s="62" t="s">
        <v>317</v>
      </c>
      <c r="D835" s="62"/>
    </row>
    <row r="836" spans="1:4">
      <c r="A836" s="103"/>
      <c r="B836" s="103"/>
      <c r="C836" s="62" t="s">
        <v>928</v>
      </c>
      <c r="D836" s="62"/>
    </row>
    <row r="837" spans="1:4">
      <c r="A837" s="103"/>
      <c r="B837" s="103"/>
      <c r="C837" s="62" t="s">
        <v>929</v>
      </c>
      <c r="D837" s="62"/>
    </row>
    <row r="838" spans="1:4">
      <c r="A838" s="103"/>
      <c r="B838" s="103"/>
      <c r="C838" s="62" t="s">
        <v>316</v>
      </c>
      <c r="D838" s="62"/>
    </row>
    <row r="839" spans="1:4">
      <c r="A839" s="103"/>
      <c r="B839" s="103"/>
      <c r="C839" s="62" t="s">
        <v>313</v>
      </c>
      <c r="D839" s="62"/>
    </row>
    <row r="840" spans="1:4">
      <c r="A840" s="103"/>
      <c r="B840" s="103"/>
      <c r="C840" s="62" t="s">
        <v>318</v>
      </c>
      <c r="D840" s="62"/>
    </row>
    <row r="841" spans="1:4">
      <c r="A841" s="103"/>
      <c r="B841" s="103"/>
      <c r="C841" s="62" t="s">
        <v>930</v>
      </c>
      <c r="D841" s="62"/>
    </row>
    <row r="842" spans="1:4">
      <c r="A842" s="103"/>
      <c r="B842" s="103"/>
      <c r="C842" s="62" t="s">
        <v>686</v>
      </c>
      <c r="D842" s="62"/>
    </row>
    <row r="843" spans="1:4">
      <c r="A843" s="103"/>
      <c r="B843" s="103"/>
      <c r="C843" s="62" t="s">
        <v>687</v>
      </c>
      <c r="D843" s="62"/>
    </row>
    <row r="844" spans="1:4">
      <c r="A844" s="103"/>
      <c r="B844" s="103"/>
      <c r="C844" s="62" t="s">
        <v>689</v>
      </c>
      <c r="D844" s="62"/>
    </row>
    <row r="845" spans="1:4">
      <c r="A845" s="103"/>
      <c r="B845" s="103"/>
      <c r="C845" s="62" t="s">
        <v>688</v>
      </c>
      <c r="D845" s="62"/>
    </row>
    <row r="846" spans="1:4">
      <c r="A846" s="103"/>
      <c r="B846" s="103"/>
      <c r="C846" s="62" t="s">
        <v>685</v>
      </c>
      <c r="D846" s="62"/>
    </row>
    <row r="847" spans="1:4">
      <c r="A847" s="103"/>
      <c r="B847" s="103"/>
      <c r="C847" s="62" t="s">
        <v>454</v>
      </c>
      <c r="D847" s="62"/>
    </row>
    <row r="848" spans="1:4">
      <c r="A848" s="103"/>
      <c r="B848" s="103"/>
      <c r="C848" s="62" t="s">
        <v>455</v>
      </c>
      <c r="D848" s="62"/>
    </row>
    <row r="849" spans="1:4">
      <c r="A849" s="103"/>
      <c r="B849" s="103"/>
      <c r="C849" s="62" t="s">
        <v>456</v>
      </c>
      <c r="D849" s="62"/>
    </row>
    <row r="850" spans="1:4">
      <c r="A850" s="103"/>
      <c r="B850" s="103"/>
      <c r="C850" s="62" t="s">
        <v>102</v>
      </c>
      <c r="D850" s="62"/>
    </row>
    <row r="851" spans="1:4">
      <c r="A851" s="76" t="s">
        <v>364</v>
      </c>
      <c r="B851" s="76"/>
      <c r="C851" s="65" t="s">
        <v>55</v>
      </c>
      <c r="D851" s="65"/>
    </row>
    <row r="852" spans="1:4">
      <c r="A852" s="77"/>
      <c r="B852" s="77"/>
      <c r="C852" s="65" t="s">
        <v>62</v>
      </c>
      <c r="D852" s="65"/>
    </row>
    <row r="853" spans="1:4">
      <c r="A853" s="103" t="s">
        <v>31</v>
      </c>
      <c r="B853" s="103" t="s">
        <v>1</v>
      </c>
      <c r="C853" s="62" t="s">
        <v>213</v>
      </c>
      <c r="D853" s="62"/>
    </row>
    <row r="854" spans="1:4">
      <c r="A854" s="103"/>
      <c r="B854" s="103"/>
      <c r="C854" s="62" t="s">
        <v>220</v>
      </c>
      <c r="D854" s="62"/>
    </row>
    <row r="855" spans="1:4">
      <c r="A855" s="103"/>
      <c r="B855" s="103"/>
      <c r="C855" s="62" t="s">
        <v>218</v>
      </c>
      <c r="D855" s="62"/>
    </row>
    <row r="856" spans="1:4">
      <c r="A856" s="103"/>
      <c r="B856" s="103"/>
      <c r="C856" s="62" t="s">
        <v>219</v>
      </c>
      <c r="D856" s="62"/>
    </row>
    <row r="857" spans="1:4">
      <c r="A857" s="103"/>
      <c r="B857" s="103"/>
      <c r="C857" s="62" t="s">
        <v>214</v>
      </c>
      <c r="D857" s="62"/>
    </row>
    <row r="858" spans="1:4">
      <c r="A858" s="103"/>
      <c r="B858" s="103"/>
      <c r="C858" s="62" t="s">
        <v>217</v>
      </c>
      <c r="D858" s="62"/>
    </row>
    <row r="859" spans="1:4">
      <c r="A859" s="103"/>
      <c r="B859" s="103"/>
      <c r="C859" s="62" t="s">
        <v>215</v>
      </c>
      <c r="D859" s="62"/>
    </row>
    <row r="860" spans="1:4">
      <c r="A860" s="103"/>
      <c r="B860" s="103"/>
      <c r="C860" s="62" t="s">
        <v>216</v>
      </c>
      <c r="D860" s="62"/>
    </row>
    <row r="861" spans="1:4">
      <c r="A861" s="103"/>
      <c r="B861" s="103"/>
      <c r="C861" s="62" t="s">
        <v>504</v>
      </c>
      <c r="D861" s="62"/>
    </row>
    <row r="862" spans="1:4">
      <c r="A862" s="76" t="s">
        <v>40</v>
      </c>
      <c r="B862" s="76" t="s">
        <v>1</v>
      </c>
      <c r="C862" s="65" t="s">
        <v>221</v>
      </c>
      <c r="D862" s="65"/>
    </row>
    <row r="863" spans="1:4">
      <c r="A863" s="77"/>
      <c r="B863" s="77"/>
      <c r="C863" s="65" t="s">
        <v>222</v>
      </c>
      <c r="D863" s="65"/>
    </row>
    <row r="864" spans="1:4">
      <c r="A864" s="77"/>
      <c r="B864" s="77"/>
      <c r="C864" s="65" t="s">
        <v>223</v>
      </c>
      <c r="D864" s="65"/>
    </row>
    <row r="865" spans="1:4">
      <c r="A865" s="77"/>
      <c r="B865" s="77"/>
      <c r="C865" s="65" t="s">
        <v>224</v>
      </c>
      <c r="D865" s="65"/>
    </row>
    <row r="866" spans="1:4">
      <c r="A866" s="77"/>
      <c r="B866" s="77"/>
      <c r="C866" s="65" t="s">
        <v>225</v>
      </c>
      <c r="D866" s="65"/>
    </row>
    <row r="867" spans="1:4">
      <c r="A867" s="77"/>
      <c r="B867" s="77"/>
      <c r="C867" s="65" t="s">
        <v>226</v>
      </c>
      <c r="D867" s="65"/>
    </row>
    <row r="868" spans="1:4">
      <c r="A868" s="77"/>
      <c r="B868" s="77"/>
      <c r="C868" s="65" t="s">
        <v>227</v>
      </c>
      <c r="D868" s="65"/>
    </row>
    <row r="869" spans="1:4">
      <c r="A869" s="77"/>
      <c r="B869" s="77"/>
      <c r="C869" s="65" t="s">
        <v>246</v>
      </c>
      <c r="D869" s="65"/>
    </row>
    <row r="870" spans="1:4">
      <c r="A870" s="103" t="s">
        <v>32</v>
      </c>
      <c r="B870" s="103" t="s">
        <v>1</v>
      </c>
      <c r="C870" s="62" t="s">
        <v>221</v>
      </c>
      <c r="D870" s="62"/>
    </row>
    <row r="871" spans="1:4">
      <c r="A871" s="103"/>
      <c r="B871" s="103"/>
      <c r="C871" s="62" t="s">
        <v>223</v>
      </c>
      <c r="D871" s="62"/>
    </row>
    <row r="872" spans="1:4">
      <c r="A872" s="103"/>
      <c r="B872" s="103"/>
      <c r="C872" s="62" t="s">
        <v>225</v>
      </c>
      <c r="D872" s="62"/>
    </row>
    <row r="873" spans="1:4">
      <c r="A873" s="103"/>
      <c r="B873" s="103"/>
      <c r="C873" s="62" t="s">
        <v>102</v>
      </c>
      <c r="D873" s="62"/>
    </row>
    <row r="874" spans="1:4">
      <c r="A874" s="76" t="s">
        <v>33</v>
      </c>
      <c r="B874" s="76" t="s">
        <v>1</v>
      </c>
      <c r="C874" s="65" t="s">
        <v>228</v>
      </c>
      <c r="D874" s="65"/>
    </row>
    <row r="875" spans="1:4">
      <c r="A875" s="77"/>
      <c r="B875" s="77"/>
      <c r="C875" s="65" t="s">
        <v>229</v>
      </c>
      <c r="D875" s="65"/>
    </row>
    <row r="876" spans="1:4">
      <c r="A876" s="77"/>
      <c r="B876" s="77"/>
      <c r="C876" s="65" t="s">
        <v>230</v>
      </c>
      <c r="D876" s="65"/>
    </row>
    <row r="877" spans="1:4">
      <c r="A877" s="77"/>
      <c r="B877" s="77"/>
      <c r="C877" s="65" t="s">
        <v>231</v>
      </c>
      <c r="D877" s="65"/>
    </row>
    <row r="878" spans="1:4">
      <c r="A878" s="77"/>
      <c r="B878" s="77"/>
      <c r="C878" s="65" t="s">
        <v>605</v>
      </c>
      <c r="D878" s="65"/>
    </row>
    <row r="879" spans="1:4">
      <c r="A879" s="77"/>
      <c r="B879" s="77"/>
      <c r="C879" s="65" t="s">
        <v>306</v>
      </c>
      <c r="D879" s="65"/>
    </row>
    <row r="880" spans="1:4">
      <c r="A880" s="77"/>
      <c r="B880" s="77"/>
      <c r="C880" s="65" t="s">
        <v>307</v>
      </c>
      <c r="D880" s="65"/>
    </row>
    <row r="881" spans="1:5">
      <c r="A881" s="77"/>
      <c r="B881" s="77"/>
      <c r="C881" s="65" t="s">
        <v>291</v>
      </c>
      <c r="D881" s="65"/>
    </row>
    <row r="882" spans="1:5">
      <c r="A882" s="77"/>
      <c r="B882" s="77"/>
      <c r="C882" s="65" t="s">
        <v>767</v>
      </c>
      <c r="D882" s="65" t="s">
        <v>767</v>
      </c>
      <c r="E882" s="18" t="s">
        <v>1180</v>
      </c>
    </row>
    <row r="883" spans="1:5">
      <c r="A883" s="78"/>
      <c r="B883" s="78"/>
      <c r="C883" s="65" t="s">
        <v>102</v>
      </c>
      <c r="D883" s="65"/>
    </row>
    <row r="884" spans="1:5">
      <c r="A884" s="92" t="s">
        <v>458</v>
      </c>
      <c r="B884" s="92" t="s">
        <v>1</v>
      </c>
      <c r="C884" s="62" t="s">
        <v>73</v>
      </c>
      <c r="D884" s="62"/>
    </row>
    <row r="885" spans="1:5">
      <c r="A885" s="93"/>
      <c r="B885" s="93"/>
      <c r="C885" s="62" t="s">
        <v>232</v>
      </c>
      <c r="D885" s="62"/>
    </row>
    <row r="886" spans="1:5">
      <c r="A886" s="93"/>
      <c r="B886" s="93"/>
      <c r="C886" s="62" t="s">
        <v>459</v>
      </c>
      <c r="D886" s="62"/>
    </row>
    <row r="887" spans="1:5">
      <c r="A887" s="93"/>
      <c r="B887" s="93"/>
      <c r="C887" s="62" t="s">
        <v>162</v>
      </c>
      <c r="D887" s="62"/>
    </row>
    <row r="888" spans="1:5">
      <c r="A888" s="93"/>
      <c r="B888" s="93"/>
      <c r="C888" s="62" t="s">
        <v>932</v>
      </c>
      <c r="D888" s="62"/>
    </row>
    <row r="889" spans="1:5">
      <c r="A889" s="93"/>
      <c r="B889" s="93"/>
      <c r="C889" s="62" t="s">
        <v>415</v>
      </c>
      <c r="D889" s="62" t="s">
        <v>416</v>
      </c>
    </row>
    <row r="890" spans="1:5">
      <c r="A890" s="93"/>
      <c r="B890" s="93"/>
      <c r="C890" s="62" t="s">
        <v>233</v>
      </c>
      <c r="D890" s="62"/>
    </row>
    <row r="891" spans="1:5">
      <c r="A891" s="76" t="s">
        <v>34</v>
      </c>
      <c r="B891" s="76" t="s">
        <v>1</v>
      </c>
      <c r="C891" s="65" t="s">
        <v>234</v>
      </c>
      <c r="D891" s="65"/>
    </row>
    <row r="892" spans="1:5">
      <c r="A892" s="77"/>
      <c r="B892" s="77"/>
      <c r="C892" s="65" t="s">
        <v>235</v>
      </c>
      <c r="D892" s="65"/>
    </row>
    <row r="893" spans="1:5">
      <c r="A893" s="77"/>
      <c r="B893" s="77"/>
      <c r="C893" s="65" t="s">
        <v>236</v>
      </c>
      <c r="D893" s="65"/>
    </row>
    <row r="894" spans="1:5">
      <c r="A894" s="77"/>
      <c r="B894" s="77"/>
      <c r="C894" s="65" t="s">
        <v>237</v>
      </c>
      <c r="D894" s="65"/>
    </row>
    <row r="895" spans="1:5">
      <c r="A895" s="77"/>
      <c r="B895" s="77"/>
      <c r="C895" s="65" t="s">
        <v>238</v>
      </c>
      <c r="D895" s="65"/>
    </row>
    <row r="896" spans="1:5">
      <c r="A896" s="77"/>
      <c r="B896" s="77"/>
      <c r="C896" s="65" t="s">
        <v>102</v>
      </c>
      <c r="D896" s="65"/>
    </row>
    <row r="897" spans="1:4">
      <c r="A897" s="92" t="s">
        <v>35</v>
      </c>
      <c r="B897" s="92" t="s">
        <v>1</v>
      </c>
      <c r="C897" s="62" t="s">
        <v>211</v>
      </c>
      <c r="D897" s="62"/>
    </row>
    <row r="898" spans="1:4">
      <c r="A898" s="93"/>
      <c r="B898" s="93"/>
      <c r="C898" s="62" t="s">
        <v>212</v>
      </c>
      <c r="D898" s="62"/>
    </row>
    <row r="899" spans="1:4">
      <c r="A899" s="93"/>
      <c r="B899" s="93"/>
      <c r="C899" s="62" t="s">
        <v>73</v>
      </c>
      <c r="D899" s="62"/>
    </row>
    <row r="900" spans="1:4">
      <c r="A900" s="93"/>
      <c r="B900" s="93"/>
      <c r="C900" s="62" t="s">
        <v>102</v>
      </c>
      <c r="D900" s="62"/>
    </row>
    <row r="901" spans="1:4">
      <c r="A901" s="76" t="s">
        <v>37</v>
      </c>
      <c r="B901" s="76" t="s">
        <v>1</v>
      </c>
      <c r="C901" s="65" t="s">
        <v>639</v>
      </c>
      <c r="D901" s="65"/>
    </row>
    <row r="902" spans="1:4">
      <c r="A902" s="77"/>
      <c r="B902" s="77"/>
      <c r="C902" s="65" t="s">
        <v>640</v>
      </c>
      <c r="D902" s="65"/>
    </row>
    <row r="903" spans="1:4">
      <c r="A903" s="77"/>
      <c r="B903" s="77"/>
      <c r="C903" s="65" t="s">
        <v>72</v>
      </c>
      <c r="D903" s="65"/>
    </row>
    <row r="904" spans="1:4">
      <c r="A904" s="77"/>
      <c r="B904" s="77"/>
      <c r="C904" s="65" t="s">
        <v>641</v>
      </c>
      <c r="D904" s="65"/>
    </row>
    <row r="905" spans="1:4">
      <c r="A905" s="77"/>
      <c r="B905" s="77"/>
      <c r="C905" s="65" t="s">
        <v>642</v>
      </c>
      <c r="D905" s="65"/>
    </row>
    <row r="906" spans="1:4">
      <c r="A906" s="102" t="s">
        <v>39</v>
      </c>
      <c r="B906" s="102" t="s">
        <v>1</v>
      </c>
      <c r="C906" s="68" t="s">
        <v>239</v>
      </c>
      <c r="D906" s="68"/>
    </row>
    <row r="907" spans="1:4">
      <c r="A907" s="103"/>
      <c r="B907" s="103"/>
      <c r="C907" s="68" t="s">
        <v>240</v>
      </c>
      <c r="D907" s="68"/>
    </row>
    <row r="908" spans="1:4">
      <c r="A908" s="103"/>
      <c r="B908" s="103"/>
      <c r="C908" s="62" t="s">
        <v>658</v>
      </c>
      <c r="D908" s="62"/>
    </row>
    <row r="909" spans="1:4">
      <c r="A909" s="103"/>
      <c r="B909" s="103"/>
      <c r="C909" s="62" t="s">
        <v>659</v>
      </c>
      <c r="D909" s="62"/>
    </row>
    <row r="910" spans="1:4">
      <c r="A910" s="103"/>
      <c r="B910" s="103"/>
      <c r="C910" s="62" t="s">
        <v>660</v>
      </c>
      <c r="D910" s="62"/>
    </row>
    <row r="911" spans="1:4">
      <c r="A911" s="103"/>
      <c r="B911" s="103"/>
      <c r="C911" s="62" t="s">
        <v>661</v>
      </c>
      <c r="D911" s="62"/>
    </row>
    <row r="912" spans="1:4">
      <c r="A912" s="98" t="s">
        <v>41</v>
      </c>
      <c r="B912" s="98" t="s">
        <v>1</v>
      </c>
      <c r="C912" s="70" t="s">
        <v>221</v>
      </c>
      <c r="D912" s="70"/>
    </row>
    <row r="913" spans="1:5">
      <c r="A913" s="80"/>
      <c r="B913" s="80"/>
      <c r="C913" s="70" t="s">
        <v>222</v>
      </c>
      <c r="D913" s="70"/>
    </row>
    <row r="914" spans="1:5">
      <c r="A914" s="80"/>
      <c r="B914" s="80"/>
      <c r="C914" s="65" t="s">
        <v>223</v>
      </c>
      <c r="D914" s="65"/>
    </row>
    <row r="915" spans="1:5">
      <c r="A915" s="80"/>
      <c r="B915" s="80"/>
      <c r="C915" s="65" t="s">
        <v>224</v>
      </c>
      <c r="D915" s="65"/>
    </row>
    <row r="916" spans="1:5">
      <c r="A916" s="80"/>
      <c r="B916" s="80"/>
      <c r="C916" s="65" t="s">
        <v>225</v>
      </c>
      <c r="D916" s="65"/>
    </row>
    <row r="917" spans="1:5">
      <c r="A917" s="80"/>
      <c r="B917" s="80"/>
      <c r="C917" s="65" t="s">
        <v>226</v>
      </c>
      <c r="D917" s="65"/>
    </row>
    <row r="918" spans="1:5">
      <c r="A918" s="80"/>
      <c r="B918" s="80"/>
      <c r="C918" s="70" t="s">
        <v>227</v>
      </c>
      <c r="D918" s="70"/>
    </row>
    <row r="919" spans="1:5">
      <c r="A919" s="80"/>
      <c r="B919" s="80"/>
      <c r="C919" s="70" t="s">
        <v>246</v>
      </c>
      <c r="D919" s="70"/>
    </row>
    <row r="920" spans="1:5" ht="15">
      <c r="A920" s="102" t="s">
        <v>42</v>
      </c>
      <c r="B920" s="102" t="s">
        <v>1</v>
      </c>
      <c r="C920" s="68" t="s">
        <v>608</v>
      </c>
      <c r="D920" s="68"/>
      <c r="E920" s="69"/>
    </row>
    <row r="921" spans="1:5" ht="15">
      <c r="A921" s="103"/>
      <c r="B921" s="103"/>
      <c r="C921" s="68" t="s">
        <v>646</v>
      </c>
      <c r="D921" s="68"/>
      <c r="E921" s="69"/>
    </row>
    <row r="922" spans="1:5" ht="15">
      <c r="A922" s="103"/>
      <c r="B922" s="103"/>
      <c r="C922" s="62" t="s">
        <v>647</v>
      </c>
      <c r="D922" s="62"/>
      <c r="E922" s="69"/>
    </row>
    <row r="923" spans="1:5" ht="15">
      <c r="A923" s="103"/>
      <c r="B923" s="103"/>
      <c r="C923" s="62" t="s">
        <v>648</v>
      </c>
      <c r="D923" s="62"/>
      <c r="E923" s="69"/>
    </row>
    <row r="924" spans="1:5" ht="15">
      <c r="A924" s="103"/>
      <c r="B924" s="103"/>
      <c r="C924" s="62" t="s">
        <v>609</v>
      </c>
      <c r="D924" s="62"/>
      <c r="E924" s="69"/>
    </row>
    <row r="925" spans="1:5">
      <c r="A925" s="103"/>
      <c r="B925" s="103"/>
      <c r="C925" s="62" t="s">
        <v>102</v>
      </c>
      <c r="D925" s="62"/>
    </row>
    <row r="926" spans="1:5">
      <c r="A926" s="98" t="s">
        <v>665</v>
      </c>
      <c r="B926" s="98" t="s">
        <v>1</v>
      </c>
      <c r="C926" s="65" t="s">
        <v>926</v>
      </c>
      <c r="D926" s="65"/>
    </row>
    <row r="927" spans="1:5">
      <c r="A927" s="80"/>
      <c r="B927" s="80"/>
      <c r="C927" s="65" t="s">
        <v>670</v>
      </c>
      <c r="D927" s="65"/>
    </row>
    <row r="928" spans="1:5">
      <c r="A928" s="80"/>
      <c r="B928" s="80"/>
      <c r="C928" s="65" t="s">
        <v>669</v>
      </c>
      <c r="D928" s="65"/>
    </row>
    <row r="929" spans="1:5">
      <c r="A929" s="99" t="s">
        <v>43</v>
      </c>
      <c r="B929" s="99" t="s">
        <v>1</v>
      </c>
      <c r="C929" s="68" t="s">
        <v>312</v>
      </c>
      <c r="D929" s="68"/>
    </row>
    <row r="930" spans="1:5">
      <c r="A930" s="100"/>
      <c r="B930" s="100"/>
      <c r="C930" s="68" t="s">
        <v>229</v>
      </c>
      <c r="D930" s="68"/>
    </row>
    <row r="931" spans="1:5">
      <c r="A931" s="100"/>
      <c r="B931" s="100"/>
      <c r="C931" s="62" t="s">
        <v>228</v>
      </c>
      <c r="D931" s="62"/>
    </row>
    <row r="932" spans="1:5">
      <c r="A932" s="100"/>
      <c r="B932" s="100"/>
      <c r="C932" s="62" t="s">
        <v>230</v>
      </c>
      <c r="D932" s="62"/>
    </row>
    <row r="933" spans="1:5">
      <c r="A933" s="100"/>
      <c r="B933" s="100"/>
      <c r="C933" s="62" t="s">
        <v>102</v>
      </c>
      <c r="D933" s="62"/>
    </row>
    <row r="934" spans="1:5">
      <c r="A934" s="106" t="s">
        <v>44</v>
      </c>
      <c r="B934" s="106" t="s">
        <v>1</v>
      </c>
      <c r="C934" s="70" t="s">
        <v>228</v>
      </c>
      <c r="D934" s="70"/>
    </row>
    <row r="935" spans="1:5">
      <c r="A935" s="107"/>
      <c r="B935" s="107"/>
      <c r="C935" s="70" t="s">
        <v>229</v>
      </c>
      <c r="D935" s="70"/>
    </row>
    <row r="936" spans="1:5">
      <c r="A936" s="107"/>
      <c r="B936" s="107"/>
      <c r="C936" s="65" t="s">
        <v>230</v>
      </c>
      <c r="D936" s="65"/>
    </row>
    <row r="937" spans="1:5">
      <c r="A937" s="107"/>
      <c r="B937" s="107"/>
      <c r="C937" s="65" t="s">
        <v>231</v>
      </c>
      <c r="D937" s="65"/>
    </row>
    <row r="938" spans="1:5">
      <c r="A938" s="107"/>
      <c r="B938" s="107"/>
      <c r="C938" s="65" t="s">
        <v>290</v>
      </c>
      <c r="D938" s="65"/>
    </row>
    <row r="939" spans="1:5">
      <c r="A939" s="107"/>
      <c r="B939" s="107"/>
      <c r="C939" s="70" t="s">
        <v>290</v>
      </c>
      <c r="D939" s="70"/>
    </row>
    <row r="940" spans="1:5">
      <c r="A940" s="107"/>
      <c r="B940" s="107"/>
      <c r="C940" s="70" t="s">
        <v>306</v>
      </c>
      <c r="D940" s="70"/>
    </row>
    <row r="941" spans="1:5">
      <c r="A941" s="107"/>
      <c r="B941" s="107"/>
      <c r="C941" s="65" t="s">
        <v>307</v>
      </c>
      <c r="D941" s="65"/>
    </row>
    <row r="942" spans="1:5">
      <c r="A942" s="107"/>
      <c r="B942" s="107"/>
      <c r="C942" s="70" t="s">
        <v>291</v>
      </c>
      <c r="D942" s="70"/>
    </row>
    <row r="943" spans="1:5">
      <c r="A943" s="107"/>
      <c r="B943" s="107"/>
      <c r="C943" s="70" t="s">
        <v>312</v>
      </c>
      <c r="D943" s="70"/>
    </row>
    <row r="944" spans="1:5">
      <c r="A944" s="107"/>
      <c r="B944" s="107"/>
      <c r="C944" s="65" t="s">
        <v>768</v>
      </c>
      <c r="D944" s="65" t="s">
        <v>768</v>
      </c>
      <c r="E944" s="18" t="s">
        <v>1180</v>
      </c>
    </row>
    <row r="945" spans="1:4">
      <c r="A945" s="135"/>
      <c r="B945" s="135"/>
      <c r="C945" s="65" t="s">
        <v>102</v>
      </c>
      <c r="D945" s="65"/>
    </row>
    <row r="946" spans="1:4" ht="14.25" customHeight="1">
      <c r="A946" s="99" t="s">
        <v>461</v>
      </c>
      <c r="B946" s="99" t="s">
        <v>1</v>
      </c>
      <c r="C946" s="68" t="s">
        <v>466</v>
      </c>
      <c r="D946" s="68"/>
    </row>
    <row r="947" spans="1:4">
      <c r="A947" s="100"/>
      <c r="B947" s="100"/>
      <c r="C947" s="68" t="s">
        <v>467</v>
      </c>
      <c r="D947" s="68"/>
    </row>
    <row r="948" spans="1:4">
      <c r="A948" s="100"/>
      <c r="B948" s="100"/>
      <c r="C948" s="62" t="s">
        <v>468</v>
      </c>
      <c r="D948" s="62"/>
    </row>
    <row r="949" spans="1:4">
      <c r="A949" s="100"/>
      <c r="B949" s="100"/>
      <c r="C949" s="62" t="s">
        <v>470</v>
      </c>
      <c r="D949" s="62"/>
    </row>
    <row r="950" spans="1:4">
      <c r="A950" s="100"/>
      <c r="B950" s="100"/>
      <c r="C950" s="62" t="s">
        <v>465</v>
      </c>
      <c r="D950" s="62"/>
    </row>
    <row r="951" spans="1:4">
      <c r="A951" s="100"/>
      <c r="B951" s="100"/>
      <c r="C951" s="68" t="s">
        <v>464</v>
      </c>
      <c r="D951" s="68"/>
    </row>
    <row r="952" spans="1:4">
      <c r="A952" s="100"/>
      <c r="B952" s="100"/>
      <c r="C952" s="68" t="s">
        <v>312</v>
      </c>
      <c r="D952" s="68"/>
    </row>
    <row r="953" spans="1:4">
      <c r="A953" s="100"/>
      <c r="B953" s="100"/>
      <c r="C953" s="62" t="s">
        <v>473</v>
      </c>
      <c r="D953" s="62" t="s">
        <v>622</v>
      </c>
    </row>
    <row r="954" spans="1:4">
      <c r="A954" s="100"/>
      <c r="B954" s="100"/>
      <c r="C954" s="62" t="s">
        <v>415</v>
      </c>
      <c r="D954" s="62" t="s">
        <v>416</v>
      </c>
    </row>
    <row r="955" spans="1:4">
      <c r="A955" s="100"/>
      <c r="B955" s="100"/>
      <c r="C955" s="62" t="s">
        <v>102</v>
      </c>
      <c r="D955" s="62"/>
    </row>
    <row r="956" spans="1:4">
      <c r="A956" s="106" t="s">
        <v>45</v>
      </c>
      <c r="B956" s="106" t="s">
        <v>1</v>
      </c>
      <c r="C956" s="65" t="s">
        <v>748</v>
      </c>
      <c r="D956" s="65"/>
    </row>
    <row r="957" spans="1:4">
      <c r="A957" s="107"/>
      <c r="B957" s="107"/>
      <c r="C957" s="65" t="s">
        <v>747</v>
      </c>
      <c r="D957" s="65"/>
    </row>
    <row r="958" spans="1:4">
      <c r="A958" s="107"/>
      <c r="B958" s="107"/>
      <c r="C958" s="65" t="s">
        <v>242</v>
      </c>
      <c r="D958" s="65"/>
    </row>
    <row r="959" spans="1:4">
      <c r="A959" s="107"/>
      <c r="B959" s="107"/>
      <c r="C959" s="65" t="s">
        <v>281</v>
      </c>
      <c r="D959" s="65"/>
    </row>
    <row r="960" spans="1:4">
      <c r="A960" s="107"/>
      <c r="B960" s="107"/>
      <c r="C960" s="65" t="s">
        <v>280</v>
      </c>
      <c r="D960" s="65"/>
    </row>
    <row r="961" spans="1:5">
      <c r="A961" s="107"/>
      <c r="B961" s="107"/>
      <c r="C961" s="65" t="s">
        <v>241</v>
      </c>
      <c r="D961" s="65"/>
    </row>
    <row r="962" spans="1:5">
      <c r="A962" s="107"/>
      <c r="B962" s="107"/>
      <c r="C962" s="65" t="s">
        <v>924</v>
      </c>
      <c r="D962" s="65"/>
    </row>
    <row r="963" spans="1:5">
      <c r="A963" s="107"/>
      <c r="B963" s="107"/>
      <c r="C963" s="65" t="s">
        <v>1142</v>
      </c>
      <c r="D963" s="65"/>
      <c r="E963" s="18" t="s">
        <v>1180</v>
      </c>
    </row>
    <row r="964" spans="1:5">
      <c r="A964" s="108" t="s">
        <v>47</v>
      </c>
      <c r="B964" s="99" t="s">
        <v>1</v>
      </c>
      <c r="C964" s="62" t="s">
        <v>639</v>
      </c>
      <c r="D964" s="62"/>
    </row>
    <row r="965" spans="1:5">
      <c r="A965" s="109"/>
      <c r="B965" s="100"/>
      <c r="C965" s="62" t="s">
        <v>640</v>
      </c>
      <c r="D965" s="62"/>
    </row>
    <row r="966" spans="1:5">
      <c r="A966" s="109"/>
      <c r="B966" s="100"/>
      <c r="C966" s="62" t="s">
        <v>72</v>
      </c>
      <c r="D966" s="62"/>
    </row>
    <row r="967" spans="1:5">
      <c r="A967" s="109"/>
      <c r="B967" s="100"/>
      <c r="C967" s="62" t="s">
        <v>641</v>
      </c>
      <c r="D967" s="62"/>
    </row>
    <row r="968" spans="1:5">
      <c r="A968" s="109"/>
      <c r="B968" s="100"/>
      <c r="C968" s="62" t="s">
        <v>642</v>
      </c>
      <c r="D968" s="62"/>
    </row>
    <row r="969" spans="1:5">
      <c r="A969" s="109"/>
      <c r="B969" s="100"/>
      <c r="C969" s="62" t="s">
        <v>955</v>
      </c>
      <c r="D969" s="62"/>
      <c r="E969" s="18" t="s">
        <v>1180</v>
      </c>
    </row>
    <row r="970" spans="1:5">
      <c r="A970" s="110" t="s">
        <v>48</v>
      </c>
      <c r="B970" s="106" t="s">
        <v>1</v>
      </c>
      <c r="C970" s="65" t="s">
        <v>469</v>
      </c>
      <c r="D970" s="65"/>
    </row>
    <row r="971" spans="1:5">
      <c r="A971" s="111"/>
      <c r="B971" s="107"/>
      <c r="C971" s="65" t="s">
        <v>625</v>
      </c>
      <c r="D971" s="65"/>
    </row>
    <row r="972" spans="1:5">
      <c r="A972" s="111"/>
      <c r="B972" s="107"/>
      <c r="C972" s="65" t="s">
        <v>243</v>
      </c>
      <c r="D972" s="65"/>
    </row>
    <row r="973" spans="1:5">
      <c r="A973" s="111"/>
      <c r="B973" s="107"/>
      <c r="C973" s="65" t="s">
        <v>244</v>
      </c>
      <c r="D973" s="65"/>
    </row>
    <row r="974" spans="1:5">
      <c r="A974" s="111"/>
      <c r="B974" s="107"/>
      <c r="C974" s="65" t="s">
        <v>626</v>
      </c>
      <c r="D974" s="65"/>
    </row>
    <row r="975" spans="1:5">
      <c r="A975" s="111"/>
      <c r="B975" s="107"/>
      <c r="C975" s="65" t="s">
        <v>245</v>
      </c>
      <c r="D975" s="65"/>
    </row>
    <row r="976" spans="1:5">
      <c r="A976" s="136"/>
      <c r="B976" s="135"/>
      <c r="C976" s="65" t="s">
        <v>102</v>
      </c>
      <c r="D976" s="65"/>
    </row>
    <row r="977" spans="1:5">
      <c r="A977" s="99" t="s">
        <v>460</v>
      </c>
      <c r="B977" s="99" t="s">
        <v>1</v>
      </c>
      <c r="C977" s="62" t="s">
        <v>350</v>
      </c>
      <c r="D977" s="62"/>
      <c r="E977" s="18" t="s">
        <v>1181</v>
      </c>
    </row>
    <row r="978" spans="1:5">
      <c r="A978" s="100"/>
      <c r="B978" s="100"/>
      <c r="C978" s="62" t="s">
        <v>351</v>
      </c>
      <c r="D978" s="62"/>
    </row>
    <row r="979" spans="1:5">
      <c r="A979" s="100"/>
      <c r="B979" s="100"/>
      <c r="C979" s="62" t="s">
        <v>352</v>
      </c>
      <c r="D979" s="62"/>
    </row>
    <row r="980" spans="1:5">
      <c r="A980" s="100"/>
      <c r="B980" s="100"/>
      <c r="C980" s="62" t="s">
        <v>353</v>
      </c>
      <c r="D980" s="62"/>
    </row>
    <row r="981" spans="1:5">
      <c r="A981" s="100"/>
      <c r="B981" s="100"/>
      <c r="C981" s="62" t="s">
        <v>354</v>
      </c>
      <c r="D981" s="62"/>
    </row>
    <row r="982" spans="1:5">
      <c r="A982" s="100"/>
      <c r="B982" s="100"/>
      <c r="C982" s="62" t="s">
        <v>355</v>
      </c>
      <c r="D982" s="62"/>
    </row>
    <row r="983" spans="1:5">
      <c r="A983" s="100"/>
      <c r="B983" s="100"/>
      <c r="C983" s="62" t="s">
        <v>399</v>
      </c>
      <c r="D983" s="62"/>
    </row>
    <row r="984" spans="1:5">
      <c r="A984" s="100"/>
      <c r="B984" s="100"/>
      <c r="C984" s="62" t="s">
        <v>400</v>
      </c>
      <c r="D984" s="62"/>
    </row>
    <row r="985" spans="1:5">
      <c r="A985" s="100"/>
      <c r="B985" s="100"/>
      <c r="C985" s="62" t="s">
        <v>1124</v>
      </c>
      <c r="D985" s="62" t="s">
        <v>1149</v>
      </c>
      <c r="E985" s="18" t="s">
        <v>1180</v>
      </c>
    </row>
    <row r="986" spans="1:5">
      <c r="A986" s="110" t="s">
        <v>49</v>
      </c>
      <c r="B986" s="106" t="s">
        <v>1</v>
      </c>
      <c r="C986" s="65" t="s">
        <v>239</v>
      </c>
      <c r="D986" s="65"/>
    </row>
    <row r="987" spans="1:5">
      <c r="A987" s="111"/>
      <c r="B987" s="107"/>
      <c r="C987" s="65" t="s">
        <v>240</v>
      </c>
      <c r="D987" s="65"/>
    </row>
    <row r="988" spans="1:5">
      <c r="A988" s="111"/>
      <c r="B988" s="107"/>
      <c r="C988" s="65" t="s">
        <v>643</v>
      </c>
      <c r="D988" s="65"/>
    </row>
    <row r="989" spans="1:5">
      <c r="A989" s="111"/>
      <c r="B989" s="107"/>
      <c r="C989" s="65" t="s">
        <v>644</v>
      </c>
      <c r="D989" s="65"/>
    </row>
    <row r="990" spans="1:5">
      <c r="A990" s="111"/>
      <c r="B990" s="107"/>
      <c r="C990" s="65" t="s">
        <v>645</v>
      </c>
      <c r="D990" s="65"/>
    </row>
    <row r="991" spans="1:5">
      <c r="A991" s="111"/>
      <c r="B991" s="107"/>
      <c r="C991" s="65" t="s">
        <v>666</v>
      </c>
      <c r="D991" s="65"/>
    </row>
    <row r="992" spans="1:5">
      <c r="A992" s="99" t="s">
        <v>50</v>
      </c>
      <c r="B992" s="99" t="s">
        <v>1</v>
      </c>
      <c r="C992" s="62" t="s">
        <v>229</v>
      </c>
      <c r="D992" s="62"/>
    </row>
    <row r="993" spans="1:5">
      <c r="A993" s="100"/>
      <c r="B993" s="100"/>
      <c r="C993" s="62" t="s">
        <v>228</v>
      </c>
      <c r="D993" s="62"/>
    </row>
    <row r="994" spans="1:5">
      <c r="A994" s="100"/>
      <c r="B994" s="100"/>
      <c r="C994" s="62" t="s">
        <v>246</v>
      </c>
      <c r="D994" s="62"/>
    </row>
    <row r="995" spans="1:5">
      <c r="A995" s="100"/>
      <c r="B995" s="100"/>
      <c r="C995" s="62" t="s">
        <v>230</v>
      </c>
      <c r="D995" s="62"/>
    </row>
    <row r="996" spans="1:5">
      <c r="A996" s="100"/>
      <c r="B996" s="100"/>
      <c r="C996" s="62" t="s">
        <v>247</v>
      </c>
      <c r="D996" s="62" t="s">
        <v>682</v>
      </c>
    </row>
    <row r="997" spans="1:5">
      <c r="A997" s="100"/>
      <c r="B997" s="100"/>
      <c r="C997" s="62" t="s">
        <v>102</v>
      </c>
      <c r="D997" s="62"/>
    </row>
    <row r="998" spans="1:5">
      <c r="A998" s="106" t="s">
        <v>51</v>
      </c>
      <c r="B998" s="106" t="s">
        <v>1</v>
      </c>
      <c r="C998" s="65" t="s">
        <v>732</v>
      </c>
      <c r="D998" s="65"/>
      <c r="E998" s="18" t="s">
        <v>1181</v>
      </c>
    </row>
    <row r="999" spans="1:5">
      <c r="A999" s="107"/>
      <c r="B999" s="107"/>
      <c r="C999" s="65" t="s">
        <v>733</v>
      </c>
      <c r="D999" s="65"/>
    </row>
    <row r="1000" spans="1:5">
      <c r="A1000" s="99" t="s">
        <v>52</v>
      </c>
      <c r="B1000" s="99" t="s">
        <v>1</v>
      </c>
      <c r="C1000" s="62" t="s">
        <v>691</v>
      </c>
      <c r="D1000" s="62"/>
    </row>
    <row r="1001" spans="1:5">
      <c r="A1001" s="100"/>
      <c r="B1001" s="100"/>
      <c r="C1001" s="62" t="s">
        <v>692</v>
      </c>
      <c r="D1001" s="62"/>
    </row>
    <row r="1002" spans="1:5">
      <c r="A1002" s="100"/>
      <c r="B1002" s="100"/>
      <c r="C1002" s="62" t="s">
        <v>693</v>
      </c>
      <c r="D1002" s="62"/>
    </row>
    <row r="1003" spans="1:5">
      <c r="A1003" s="100"/>
      <c r="B1003" s="100"/>
      <c r="C1003" s="62" t="s">
        <v>1178</v>
      </c>
      <c r="D1003" s="62"/>
      <c r="E1003" s="18" t="s">
        <v>1180</v>
      </c>
    </row>
    <row r="1004" spans="1:5">
      <c r="A1004" s="100"/>
      <c r="B1004" s="100"/>
      <c r="C1004" s="62" t="s">
        <v>694</v>
      </c>
      <c r="D1004" s="62"/>
    </row>
    <row r="1005" spans="1:5">
      <c r="A1005" s="100"/>
      <c r="B1005" s="100"/>
      <c r="C1005" s="62" t="s">
        <v>695</v>
      </c>
      <c r="D1005" s="62"/>
    </row>
    <row r="1006" spans="1:5">
      <c r="A1006" s="100"/>
      <c r="B1006" s="100"/>
      <c r="C1006" s="62" t="s">
        <v>1177</v>
      </c>
      <c r="D1006" s="62"/>
      <c r="E1006" s="18" t="s">
        <v>1180</v>
      </c>
    </row>
    <row r="1007" spans="1:5">
      <c r="A1007" s="100"/>
      <c r="B1007" s="100"/>
      <c r="C1007" s="62" t="s">
        <v>696</v>
      </c>
      <c r="D1007" s="62"/>
    </row>
    <row r="1008" spans="1:5">
      <c r="A1008" s="100"/>
      <c r="B1008" s="100"/>
      <c r="C1008" s="62" t="s">
        <v>697</v>
      </c>
      <c r="D1008" s="62"/>
    </row>
    <row r="1009" spans="1:4">
      <c r="A1009" s="100"/>
      <c r="B1009" s="100"/>
      <c r="C1009" s="62" t="s">
        <v>698</v>
      </c>
      <c r="D1009" s="62"/>
    </row>
    <row r="1010" spans="1:4">
      <c r="A1010" s="100"/>
      <c r="B1010" s="100"/>
      <c r="C1010" s="62" t="s">
        <v>699</v>
      </c>
      <c r="D1010" s="62"/>
    </row>
    <row r="1011" spans="1:4">
      <c r="A1011" s="100"/>
      <c r="B1011" s="100"/>
      <c r="C1011" s="62" t="s">
        <v>700</v>
      </c>
      <c r="D1011" s="62"/>
    </row>
    <row r="1012" spans="1:4">
      <c r="A1012" s="100"/>
      <c r="B1012" s="100"/>
      <c r="C1012" s="62" t="s">
        <v>1179</v>
      </c>
      <c r="D1012" s="62"/>
    </row>
    <row r="1013" spans="1:4">
      <c r="A1013" s="100"/>
      <c r="B1013" s="100"/>
      <c r="C1013" s="62" t="s">
        <v>701</v>
      </c>
      <c r="D1013" s="62"/>
    </row>
    <row r="1014" spans="1:4">
      <c r="A1014" s="100"/>
      <c r="B1014" s="100"/>
      <c r="C1014" s="62" t="s">
        <v>702</v>
      </c>
      <c r="D1014" s="62"/>
    </row>
    <row r="1015" spans="1:4">
      <c r="A1015" s="100"/>
      <c r="B1015" s="100"/>
      <c r="C1015" s="62" t="s">
        <v>703</v>
      </c>
      <c r="D1015" s="62"/>
    </row>
    <row r="1016" spans="1:4">
      <c r="A1016" s="100"/>
      <c r="B1016" s="100"/>
      <c r="C1016" s="62" t="s">
        <v>704</v>
      </c>
      <c r="D1016" s="62"/>
    </row>
    <row r="1017" spans="1:4">
      <c r="A1017" s="100"/>
      <c r="B1017" s="100"/>
      <c r="C1017" s="62" t="s">
        <v>705</v>
      </c>
      <c r="D1017" s="62"/>
    </row>
    <row r="1018" spans="1:4">
      <c r="A1018" s="100"/>
      <c r="B1018" s="100"/>
      <c r="C1018" s="62" t="s">
        <v>706</v>
      </c>
      <c r="D1018" s="62"/>
    </row>
    <row r="1019" spans="1:4">
      <c r="A1019" s="100"/>
      <c r="B1019" s="100"/>
      <c r="C1019" s="62" t="s">
        <v>707</v>
      </c>
      <c r="D1019" s="62"/>
    </row>
    <row r="1020" spans="1:4">
      <c r="A1020" s="100"/>
      <c r="B1020" s="100"/>
      <c r="C1020" s="62" t="s">
        <v>708</v>
      </c>
      <c r="D1020" s="62"/>
    </row>
    <row r="1021" spans="1:4">
      <c r="A1021" s="100"/>
      <c r="B1021" s="100"/>
      <c r="C1021" s="62" t="s">
        <v>709</v>
      </c>
      <c r="D1021" s="62"/>
    </row>
    <row r="1022" spans="1:4">
      <c r="A1022" s="100"/>
      <c r="B1022" s="100"/>
      <c r="C1022" s="62" t="s">
        <v>917</v>
      </c>
      <c r="D1022" s="62"/>
    </row>
    <row r="1023" spans="1:4">
      <c r="A1023" s="100"/>
      <c r="B1023" s="100"/>
      <c r="C1023" s="62" t="s">
        <v>710</v>
      </c>
      <c r="D1023" s="62"/>
    </row>
    <row r="1024" spans="1:4">
      <c r="A1024" s="100"/>
      <c r="B1024" s="100"/>
      <c r="C1024" s="62" t="s">
        <v>711</v>
      </c>
      <c r="D1024" s="62"/>
    </row>
    <row r="1025" spans="1:5">
      <c r="A1025" s="100"/>
      <c r="B1025" s="100"/>
      <c r="C1025" s="62" t="s">
        <v>712</v>
      </c>
      <c r="D1025" s="62"/>
    </row>
    <row r="1026" spans="1:5">
      <c r="A1026" s="100"/>
      <c r="B1026" s="100"/>
      <c r="C1026" s="62" t="s">
        <v>713</v>
      </c>
      <c r="D1026" s="62"/>
    </row>
    <row r="1027" spans="1:5">
      <c r="A1027" s="100"/>
      <c r="B1027" s="100"/>
      <c r="C1027" s="62" t="s">
        <v>714</v>
      </c>
      <c r="D1027" s="62"/>
    </row>
    <row r="1028" spans="1:5">
      <c r="A1028" s="100"/>
      <c r="B1028" s="100"/>
      <c r="C1028" s="62" t="s">
        <v>715</v>
      </c>
      <c r="D1028" s="62"/>
    </row>
    <row r="1029" spans="1:5">
      <c r="A1029" s="100"/>
      <c r="B1029" s="100"/>
      <c r="C1029" s="62" t="s">
        <v>716</v>
      </c>
      <c r="D1029" s="62"/>
    </row>
    <row r="1030" spans="1:5">
      <c r="A1030" s="100"/>
      <c r="B1030" s="100"/>
      <c r="C1030" s="62" t="s">
        <v>717</v>
      </c>
      <c r="D1030" s="62"/>
    </row>
    <row r="1031" spans="1:5">
      <c r="A1031" s="100"/>
      <c r="B1031" s="100"/>
      <c r="C1031" s="145" t="s">
        <v>718</v>
      </c>
      <c r="D1031" s="62"/>
      <c r="E1031" s="18" t="s">
        <v>1180</v>
      </c>
    </row>
    <row r="1032" spans="1:5">
      <c r="A1032" s="100"/>
      <c r="B1032" s="100"/>
      <c r="C1032" s="62" t="s">
        <v>719</v>
      </c>
      <c r="D1032" s="62"/>
    </row>
    <row r="1033" spans="1:5">
      <c r="A1033" s="100"/>
      <c r="B1033" s="100"/>
      <c r="C1033" s="62" t="s">
        <v>102</v>
      </c>
      <c r="D1033" s="62"/>
    </row>
    <row r="1034" spans="1:5">
      <c r="A1034" s="76" t="s">
        <v>505</v>
      </c>
      <c r="B1034" s="76" t="s">
        <v>1</v>
      </c>
      <c r="C1034" s="65" t="s">
        <v>471</v>
      </c>
      <c r="D1034" s="65"/>
      <c r="E1034" s="18" t="s">
        <v>1181</v>
      </c>
    </row>
    <row r="1035" spans="1:5">
      <c r="A1035" s="77"/>
      <c r="B1035" s="77"/>
      <c r="C1035" s="65" t="s">
        <v>472</v>
      </c>
      <c r="D1035" s="65"/>
    </row>
    <row r="1036" spans="1:5">
      <c r="A1036" s="77"/>
      <c r="B1036" s="77"/>
      <c r="C1036" s="65" t="s">
        <v>102</v>
      </c>
      <c r="D1036" s="65"/>
    </row>
    <row r="1037" spans="1:5">
      <c r="A1037" s="99" t="s">
        <v>772</v>
      </c>
      <c r="B1037" s="99" t="s">
        <v>1</v>
      </c>
      <c r="C1037" s="62" t="s">
        <v>248</v>
      </c>
      <c r="D1037" s="62"/>
    </row>
    <row r="1038" spans="1:5" hidden="1">
      <c r="A1038" s="100"/>
      <c r="B1038" s="100"/>
      <c r="C1038" s="62" t="s">
        <v>652</v>
      </c>
      <c r="D1038" s="62" t="s">
        <v>653</v>
      </c>
    </row>
    <row r="1039" spans="1:5" hidden="1">
      <c r="A1039" s="100"/>
      <c r="B1039" s="100"/>
      <c r="C1039" s="62" t="s">
        <v>650</v>
      </c>
      <c r="D1039" s="62" t="s">
        <v>655</v>
      </c>
    </row>
    <row r="1040" spans="1:5" hidden="1">
      <c r="A1040" s="100"/>
      <c r="B1040" s="100"/>
      <c r="C1040" s="62" t="s">
        <v>651</v>
      </c>
      <c r="D1040" s="62" t="s">
        <v>654</v>
      </c>
    </row>
    <row r="1044" spans="4:4" hidden="1">
      <c r="D1044" s="64"/>
    </row>
    <row r="1045" spans="4:4" hidden="1">
      <c r="D1045" s="64"/>
    </row>
    <row r="1046" spans="4:4" hidden="1">
      <c r="D1046" s="64"/>
    </row>
    <row r="1047" spans="4:4" hidden="1">
      <c r="D1047" s="64"/>
    </row>
    <row r="1065" spans="1:4" hidden="1">
      <c r="D1065" s="39"/>
    </row>
    <row r="1070" spans="1:4" hidden="1">
      <c r="A1070" s="39"/>
    </row>
    <row r="1072" spans="1:4" hidden="1">
      <c r="C1072" s="18"/>
    </row>
    <row r="1073" spans="1:5" s="9" customFormat="1" hidden="1">
      <c r="B1073" s="18"/>
      <c r="C1073" s="18"/>
      <c r="E1073" s="18"/>
    </row>
    <row r="1074" spans="1:5" s="9" customFormat="1" hidden="1">
      <c r="A1074" s="51"/>
      <c r="B1074" s="18"/>
      <c r="C1074" s="18"/>
      <c r="E1074" s="18"/>
    </row>
    <row r="1075" spans="1:5" s="9" customFormat="1" hidden="1">
      <c r="B1075" s="18"/>
      <c r="C1075" s="64"/>
      <c r="E1075" s="18"/>
    </row>
    <row r="1076" spans="1:5" s="9" customFormat="1" hidden="1">
      <c r="B1076" s="18"/>
      <c r="C1076" s="64" t="s">
        <v>428</v>
      </c>
      <c r="E1076" s="18"/>
    </row>
    <row r="1077" spans="1:5" s="9" customFormat="1" hidden="1">
      <c r="B1077" s="18"/>
      <c r="C1077" s="64" t="s">
        <v>2</v>
      </c>
      <c r="E1077" s="18"/>
    </row>
    <row r="1078" spans="1:5" s="9" customFormat="1" hidden="1">
      <c r="B1078" s="18"/>
      <c r="C1078" s="64" t="s">
        <v>431</v>
      </c>
      <c r="E1078" s="18"/>
    </row>
    <row r="1079" spans="1:5" s="9" customFormat="1" hidden="1">
      <c r="B1079" s="18"/>
      <c r="C1079" s="64" t="s">
        <v>429</v>
      </c>
      <c r="E1079" s="18"/>
    </row>
    <row r="1080" spans="1:5" s="9" customFormat="1" hidden="1">
      <c r="B1080" s="18"/>
      <c r="C1080" s="64"/>
      <c r="E1080" s="18"/>
    </row>
    <row r="1081" spans="1:5" s="9" customFormat="1" hidden="1">
      <c r="B1081" s="18"/>
      <c r="C1081" s="64" t="s">
        <v>428</v>
      </c>
      <c r="E1081" s="18"/>
    </row>
    <row r="1082" spans="1:5" s="9" customFormat="1" hidden="1">
      <c r="B1082" s="18"/>
      <c r="C1082" s="64" t="s">
        <v>2</v>
      </c>
      <c r="E1082" s="18"/>
    </row>
    <row r="1083" spans="1:5" s="9" customFormat="1" hidden="1">
      <c r="B1083" s="18"/>
      <c r="C1083" s="64" t="s">
        <v>431</v>
      </c>
      <c r="E1083" s="18"/>
    </row>
    <row r="1084" spans="1:5" s="9" customFormat="1" hidden="1">
      <c r="B1084" s="18"/>
      <c r="C1084" s="64" t="s">
        <v>429</v>
      </c>
      <c r="E1084" s="18"/>
    </row>
    <row r="1085" spans="1:5" s="9" customFormat="1" hidden="1">
      <c r="B1085" s="18"/>
      <c r="C1085" s="64" t="s">
        <v>765</v>
      </c>
      <c r="E1085" s="18"/>
    </row>
    <row r="1086" spans="1:5" s="9" customFormat="1" hidden="1">
      <c r="B1086" s="18"/>
      <c r="C1086" s="64"/>
      <c r="E1086" s="18"/>
    </row>
    <row r="1087" spans="1:5" s="9" customFormat="1" hidden="1">
      <c r="A1087" s="39"/>
      <c r="B1087" s="18"/>
      <c r="C1087" s="64" t="s">
        <v>428</v>
      </c>
      <c r="E1087" s="18"/>
    </row>
    <row r="1088" spans="1:5" s="9" customFormat="1" hidden="1">
      <c r="B1088" s="18"/>
      <c r="C1088" s="64" t="s">
        <v>2</v>
      </c>
      <c r="E1088" s="18"/>
    </row>
    <row r="1089" spans="2:5" s="9" customFormat="1" hidden="1">
      <c r="B1089" s="18"/>
      <c r="C1089" s="64" t="s">
        <v>429</v>
      </c>
      <c r="E1089" s="18"/>
    </row>
    <row r="1090" spans="2:5" s="9" customFormat="1" hidden="1">
      <c r="B1090" s="18"/>
      <c r="C1090" s="64"/>
      <c r="E1090" s="18"/>
    </row>
    <row r="1091" spans="2:5" s="9" customFormat="1" hidden="1">
      <c r="B1091" s="18"/>
      <c r="C1091" s="64" t="s">
        <v>773</v>
      </c>
      <c r="E1091" s="18"/>
    </row>
    <row r="1092" spans="2:5" s="9" customFormat="1" hidden="1">
      <c r="B1092" s="18"/>
      <c r="C1092" s="64" t="s">
        <v>102</v>
      </c>
      <c r="E1092" s="18"/>
    </row>
    <row r="1093" spans="2:5" s="9" customFormat="1" hidden="1">
      <c r="B1093" s="18"/>
      <c r="C1093" s="64"/>
      <c r="E1093" s="18"/>
    </row>
    <row r="1094" spans="2:5" s="9" customFormat="1" hidden="1">
      <c r="B1094" s="18"/>
      <c r="C1094" s="64" t="s">
        <v>156</v>
      </c>
      <c r="E1094" s="18"/>
    </row>
    <row r="1095" spans="2:5" s="9" customFormat="1" hidden="1">
      <c r="B1095" s="18"/>
      <c r="C1095" s="64" t="s">
        <v>663</v>
      </c>
      <c r="E1095" s="18"/>
    </row>
    <row r="1096" spans="2:5" s="9" customFormat="1" hidden="1">
      <c r="B1096" s="18"/>
      <c r="C1096" s="64" t="s">
        <v>662</v>
      </c>
      <c r="E1096" s="18"/>
    </row>
    <row r="1097" spans="2:5" s="9" customFormat="1" hidden="1">
      <c r="B1097" s="18"/>
      <c r="C1097" s="64" t="s">
        <v>79</v>
      </c>
      <c r="E1097" s="18"/>
    </row>
    <row r="1098" spans="2:5" s="9" customFormat="1" hidden="1">
      <c r="B1098" s="18"/>
      <c r="C1098" s="64" t="s">
        <v>381</v>
      </c>
      <c r="E1098" s="18"/>
    </row>
    <row r="1099" spans="2:5" s="9" customFormat="1" hidden="1">
      <c r="B1099" s="18"/>
      <c r="C1099" s="64" t="s">
        <v>72</v>
      </c>
      <c r="E1099" s="18"/>
    </row>
    <row r="1100" spans="2:5" s="9" customFormat="1" hidden="1">
      <c r="B1100" s="18"/>
      <c r="C1100" s="64" t="s">
        <v>97</v>
      </c>
      <c r="E1100" s="18"/>
    </row>
    <row r="1101" spans="2:5" s="9" customFormat="1" hidden="1">
      <c r="B1101" s="18"/>
      <c r="C1101" s="64" t="s">
        <v>98</v>
      </c>
      <c r="E1101" s="18"/>
    </row>
    <row r="1102" spans="2:5" s="9" customFormat="1" hidden="1">
      <c r="B1102" s="18"/>
      <c r="C1102" s="64" t="s">
        <v>377</v>
      </c>
      <c r="E1102" s="18"/>
    </row>
    <row r="1103" spans="2:5" s="9" customFormat="1" hidden="1">
      <c r="B1103" s="18"/>
      <c r="C1103" s="64" t="s">
        <v>382</v>
      </c>
      <c r="E1103" s="18"/>
    </row>
    <row r="1104" spans="2:5" s="9" customFormat="1" hidden="1">
      <c r="B1104" s="18"/>
      <c r="C1104" s="64" t="s">
        <v>163</v>
      </c>
      <c r="E1104" s="18"/>
    </row>
    <row r="1105" spans="2:5" s="9" customFormat="1" hidden="1">
      <c r="B1105" s="18"/>
      <c r="C1105" s="64" t="s">
        <v>102</v>
      </c>
      <c r="E1105" s="18"/>
    </row>
    <row r="1106" spans="2:5" s="9" customFormat="1" hidden="1">
      <c r="B1106" s="18"/>
      <c r="C1106" s="64"/>
      <c r="E1106" s="18"/>
    </row>
    <row r="1107" spans="2:5" s="9" customFormat="1" hidden="1">
      <c r="B1107" s="18"/>
      <c r="C1107" s="64"/>
      <c r="E1107" s="18"/>
    </row>
    <row r="1108" spans="2:5" hidden="1">
      <c r="C1108" s="64" t="s">
        <v>302</v>
      </c>
    </row>
    <row r="1109" spans="2:5" s="9" customFormat="1" hidden="1">
      <c r="B1109" s="18"/>
      <c r="C1109" s="64" t="s">
        <v>303</v>
      </c>
      <c r="E1109" s="18"/>
    </row>
    <row r="1110" spans="2:5" s="9" customFormat="1" hidden="1">
      <c r="B1110" s="18"/>
      <c r="C1110" s="64" t="s">
        <v>301</v>
      </c>
      <c r="E1110" s="18"/>
    </row>
    <row r="1111" spans="2:5" s="9" customFormat="1" hidden="1">
      <c r="B1111" s="18"/>
      <c r="C1111" s="64" t="s">
        <v>102</v>
      </c>
      <c r="E1111" s="18"/>
    </row>
    <row r="1112" spans="2:5" s="9" customFormat="1" hidden="1">
      <c r="B1112" s="18"/>
      <c r="C1112" s="64"/>
      <c r="E1112" s="18"/>
    </row>
    <row r="1113" spans="2:5" s="9" customFormat="1" hidden="1">
      <c r="B1113" s="18"/>
      <c r="C1113" s="64" t="s">
        <v>76</v>
      </c>
      <c r="E1113" s="18"/>
    </row>
    <row r="1114" spans="2:5" s="9" customFormat="1" hidden="1">
      <c r="B1114" s="18"/>
      <c r="C1114" s="64" t="s">
        <v>88</v>
      </c>
      <c r="E1114" s="18"/>
    </row>
    <row r="1115" spans="2:5" s="9" customFormat="1" hidden="1">
      <c r="B1115" s="18"/>
      <c r="C1115" s="64" t="s">
        <v>78</v>
      </c>
      <c r="E1115" s="18"/>
    </row>
    <row r="1116" spans="2:5" s="9" customFormat="1" hidden="1">
      <c r="B1116" s="18"/>
      <c r="C1116" s="64" t="s">
        <v>102</v>
      </c>
      <c r="E1116" s="18"/>
    </row>
    <row r="1117" spans="2:5" s="9" customFormat="1" hidden="1">
      <c r="B1117" s="18"/>
      <c r="C1117" s="64"/>
      <c r="E1117" s="18"/>
    </row>
    <row r="1118" spans="2:5" s="9" customFormat="1" hidden="1">
      <c r="B1118" s="18"/>
      <c r="C1118" s="64" t="s">
        <v>803</v>
      </c>
      <c r="E1118" s="18"/>
    </row>
    <row r="1119" spans="2:5" s="9" customFormat="1" hidden="1">
      <c r="B1119" s="18"/>
      <c r="C1119" s="64" t="s">
        <v>804</v>
      </c>
      <c r="E1119" s="18"/>
    </row>
    <row r="1120" spans="2:5" s="9" customFormat="1" hidden="1">
      <c r="B1120" s="18"/>
      <c r="C1120" s="64"/>
      <c r="E1120" s="18"/>
    </row>
    <row r="1121" spans="2:5" hidden="1">
      <c r="C1121" s="64" t="s">
        <v>803</v>
      </c>
    </row>
    <row r="1122" spans="2:5" s="9" customFormat="1" hidden="1">
      <c r="B1122" s="18"/>
      <c r="C1122" s="64" t="s">
        <v>54</v>
      </c>
      <c r="E1122" s="18"/>
    </row>
    <row r="1123" spans="2:5" s="9" customFormat="1" hidden="1">
      <c r="B1123" s="18"/>
      <c r="C1123" s="64" t="s">
        <v>69</v>
      </c>
      <c r="E1123" s="18"/>
    </row>
    <row r="1124" spans="2:5" s="9" customFormat="1" hidden="1">
      <c r="B1124" s="18"/>
      <c r="C1124" s="64" t="s">
        <v>606</v>
      </c>
      <c r="E1124" s="18"/>
    </row>
    <row r="1125" spans="2:5" hidden="1">
      <c r="C1125" s="64" t="s">
        <v>937</v>
      </c>
    </row>
    <row r="1126" spans="2:5" hidden="1">
      <c r="C1126" s="64" t="s">
        <v>102</v>
      </c>
    </row>
    <row r="1129" spans="2:5" hidden="1">
      <c r="C1129" s="64" t="s">
        <v>414</v>
      </c>
    </row>
    <row r="1130" spans="2:5" hidden="1">
      <c r="C1130" s="64" t="s">
        <v>262</v>
      </c>
    </row>
    <row r="1131" spans="2:5" hidden="1">
      <c r="C1131" s="64" t="s">
        <v>635</v>
      </c>
    </row>
    <row r="1132" spans="2:5" hidden="1">
      <c r="C1132" s="64" t="s">
        <v>156</v>
      </c>
    </row>
    <row r="1133" spans="2:5" hidden="1">
      <c r="C1133" s="64" t="s">
        <v>629</v>
      </c>
    </row>
    <row r="1134" spans="2:5" hidden="1">
      <c r="C1134" s="64" t="s">
        <v>631</v>
      </c>
    </row>
    <row r="1135" spans="2:5" hidden="1">
      <c r="C1135" s="64" t="s">
        <v>66</v>
      </c>
    </row>
    <row r="1136" spans="2:5" hidden="1">
      <c r="C1136" s="64" t="s">
        <v>269</v>
      </c>
    </row>
    <row r="1137" spans="3:3" hidden="1">
      <c r="C1137" s="64" t="s">
        <v>636</v>
      </c>
    </row>
    <row r="1138" spans="3:3" hidden="1">
      <c r="C1138" s="64" t="s">
        <v>140</v>
      </c>
    </row>
    <row r="1139" spans="3:3" hidden="1">
      <c r="C1139" s="64" t="s">
        <v>256</v>
      </c>
    </row>
    <row r="1140" spans="3:3" hidden="1">
      <c r="C1140" s="64" t="s">
        <v>122</v>
      </c>
    </row>
    <row r="1141" spans="3:3" hidden="1">
      <c r="C1141" s="64" t="s">
        <v>270</v>
      </c>
    </row>
    <row r="1142" spans="3:3" hidden="1">
      <c r="C1142" s="64" t="s">
        <v>690</v>
      </c>
    </row>
    <row r="1143" spans="3:3" hidden="1">
      <c r="C1143" s="64" t="s">
        <v>1150</v>
      </c>
    </row>
    <row r="1144" spans="3:3" hidden="1">
      <c r="C1144" s="64" t="s">
        <v>267</v>
      </c>
    </row>
    <row r="1145" spans="3:3" hidden="1">
      <c r="C1145" s="64" t="s">
        <v>264</v>
      </c>
    </row>
    <row r="1146" spans="3:3" hidden="1">
      <c r="C1146" s="64" t="s">
        <v>265</v>
      </c>
    </row>
    <row r="1147" spans="3:3" hidden="1">
      <c r="C1147" s="64" t="s">
        <v>254</v>
      </c>
    </row>
    <row r="1148" spans="3:3" hidden="1">
      <c r="C1148" s="64" t="s">
        <v>261</v>
      </c>
    </row>
    <row r="1149" spans="3:3" hidden="1">
      <c r="C1149" s="64" t="s">
        <v>71</v>
      </c>
    </row>
    <row r="1150" spans="3:3" hidden="1">
      <c r="C1150" s="64" t="s">
        <v>259</v>
      </c>
    </row>
    <row r="1151" spans="3:3" hidden="1">
      <c r="C1151" s="64" t="s">
        <v>75</v>
      </c>
    </row>
    <row r="1152" spans="3:3" hidden="1">
      <c r="C1152" s="64" t="s">
        <v>263</v>
      </c>
    </row>
    <row r="1153" spans="3:3" hidden="1">
      <c r="C1153" s="64" t="s">
        <v>633</v>
      </c>
    </row>
    <row r="1154" spans="3:3" hidden="1">
      <c r="C1154" s="64" t="s">
        <v>634</v>
      </c>
    </row>
    <row r="1155" spans="3:3" hidden="1">
      <c r="C1155" s="64" t="s">
        <v>266</v>
      </c>
    </row>
    <row r="1156" spans="3:3" hidden="1">
      <c r="C1156" s="64" t="s">
        <v>85</v>
      </c>
    </row>
    <row r="1157" spans="3:3" hidden="1">
      <c r="C1157" s="64" t="s">
        <v>630</v>
      </c>
    </row>
    <row r="1158" spans="3:3" hidden="1">
      <c r="C1158" s="64" t="s">
        <v>628</v>
      </c>
    </row>
    <row r="1159" spans="3:3" hidden="1">
      <c r="C1159" s="64" t="s">
        <v>638</v>
      </c>
    </row>
    <row r="1160" spans="3:3" hidden="1">
      <c r="C1160" s="64" t="s">
        <v>255</v>
      </c>
    </row>
    <row r="1161" spans="3:3" hidden="1">
      <c r="C1161" s="64" t="s">
        <v>720</v>
      </c>
    </row>
    <row r="1162" spans="3:3" hidden="1">
      <c r="C1162" s="64" t="s">
        <v>34</v>
      </c>
    </row>
    <row r="1163" spans="3:3" ht="14.45" hidden="1" customHeight="1">
      <c r="C1163" s="64" t="s">
        <v>627</v>
      </c>
    </row>
    <row r="1164" spans="3:3" hidden="1">
      <c r="C1164" s="64" t="s">
        <v>632</v>
      </c>
    </row>
    <row r="1165" spans="3:3" hidden="1">
      <c r="C1165" s="64" t="s">
        <v>252</v>
      </c>
    </row>
    <row r="1166" spans="3:3" hidden="1">
      <c r="C1166" s="64" t="s">
        <v>258</v>
      </c>
    </row>
    <row r="1167" spans="3:3" hidden="1">
      <c r="C1167" s="64" t="s">
        <v>257</v>
      </c>
    </row>
    <row r="1168" spans="3:3" hidden="1">
      <c r="C1168" s="64" t="s">
        <v>253</v>
      </c>
    </row>
    <row r="1169" spans="3:3" hidden="1">
      <c r="C1169" s="64" t="s">
        <v>260</v>
      </c>
    </row>
    <row r="1170" spans="3:3" hidden="1">
      <c r="C1170" s="64" t="s">
        <v>102</v>
      </c>
    </row>
    <row r="1171" spans="3:3" hidden="1">
      <c r="C1171" s="64" t="s">
        <v>860</v>
      </c>
    </row>
    <row r="1172" spans="3:3" hidden="1">
      <c r="C1172" s="64" t="s">
        <v>861</v>
      </c>
    </row>
    <row r="1173" spans="3:3" hidden="1">
      <c r="C1173" s="64" t="s">
        <v>862</v>
      </c>
    </row>
    <row r="1174" spans="3:3" hidden="1">
      <c r="C1174" s="64" t="s">
        <v>863</v>
      </c>
    </row>
    <row r="1175" spans="3:3" hidden="1">
      <c r="C1175" s="64" t="s">
        <v>864</v>
      </c>
    </row>
    <row r="1176" spans="3:3" hidden="1">
      <c r="C1176" s="64" t="s">
        <v>865</v>
      </c>
    </row>
    <row r="1177" spans="3:3" hidden="1">
      <c r="C1177" s="64" t="s">
        <v>866</v>
      </c>
    </row>
    <row r="1178" spans="3:3" hidden="1">
      <c r="C1178" s="64" t="s">
        <v>867</v>
      </c>
    </row>
    <row r="1179" spans="3:3" hidden="1">
      <c r="C1179" s="64" t="s">
        <v>868</v>
      </c>
    </row>
    <row r="1180" spans="3:3" hidden="1">
      <c r="C1180" s="64" t="s">
        <v>869</v>
      </c>
    </row>
    <row r="1181" spans="3:3" hidden="1">
      <c r="C1181" s="64" t="s">
        <v>870</v>
      </c>
    </row>
    <row r="1182" spans="3:3" hidden="1">
      <c r="C1182" s="64" t="s">
        <v>871</v>
      </c>
    </row>
    <row r="1183" spans="3:3" hidden="1">
      <c r="C1183" s="64" t="s">
        <v>872</v>
      </c>
    </row>
    <row r="1184" spans="3:3" hidden="1">
      <c r="C1184" s="64" t="s">
        <v>873</v>
      </c>
    </row>
    <row r="1185" spans="3:3" hidden="1">
      <c r="C1185" s="64" t="s">
        <v>874</v>
      </c>
    </row>
    <row r="1186" spans="3:3" hidden="1">
      <c r="C1186" s="64" t="s">
        <v>875</v>
      </c>
    </row>
    <row r="1187" spans="3:3" hidden="1">
      <c r="C1187" s="64" t="s">
        <v>859</v>
      </c>
    </row>
    <row r="1188" spans="3:3" hidden="1">
      <c r="C1188" s="64" t="s">
        <v>1126</v>
      </c>
    </row>
    <row r="1189" spans="3:3" hidden="1">
      <c r="C1189" s="64" t="s">
        <v>1128</v>
      </c>
    </row>
    <row r="1190" spans="3:3" hidden="1">
      <c r="C1190" s="64" t="s">
        <v>1130</v>
      </c>
    </row>
    <row r="1191" spans="3:3" hidden="1">
      <c r="C1191" s="64" t="s">
        <v>876</v>
      </c>
    </row>
    <row r="1192" spans="3:3" hidden="1">
      <c r="C1192" s="144" t="s">
        <v>1132</v>
      </c>
    </row>
    <row r="1193" spans="3:3" hidden="1">
      <c r="C1193" s="64" t="s">
        <v>877</v>
      </c>
    </row>
    <row r="1194" spans="3:3" hidden="1">
      <c r="C1194" s="64" t="s">
        <v>878</v>
      </c>
    </row>
    <row r="1195" spans="3:3" hidden="1">
      <c r="C1195" s="64" t="s">
        <v>879</v>
      </c>
    </row>
    <row r="1196" spans="3:3" hidden="1">
      <c r="C1196" s="64" t="s">
        <v>880</v>
      </c>
    </row>
    <row r="1197" spans="3:3" hidden="1">
      <c r="C1197" s="64" t="s">
        <v>881</v>
      </c>
    </row>
    <row r="1198" spans="3:3" hidden="1">
      <c r="C1198" s="64" t="s">
        <v>882</v>
      </c>
    </row>
    <row r="1199" spans="3:3" hidden="1">
      <c r="C1199" s="64" t="s">
        <v>855</v>
      </c>
    </row>
    <row r="1200" spans="3:3" hidden="1">
      <c r="C1200" s="64" t="s">
        <v>1134</v>
      </c>
    </row>
    <row r="1201" spans="3:3" hidden="1">
      <c r="C1201" s="64" t="s">
        <v>883</v>
      </c>
    </row>
    <row r="1202" spans="3:3" hidden="1">
      <c r="C1202" s="64" t="s">
        <v>1136</v>
      </c>
    </row>
    <row r="1203" spans="3:3" hidden="1">
      <c r="C1203" s="64" t="s">
        <v>884</v>
      </c>
    </row>
    <row r="1204" spans="3:3" hidden="1">
      <c r="C1204" s="64" t="s">
        <v>885</v>
      </c>
    </row>
    <row r="1205" spans="3:3" hidden="1">
      <c r="C1205" s="64" t="s">
        <v>886</v>
      </c>
    </row>
    <row r="1206" spans="3:3" hidden="1">
      <c r="C1206" s="64" t="s">
        <v>887</v>
      </c>
    </row>
    <row r="1207" spans="3:3" hidden="1">
      <c r="C1207" s="64" t="s">
        <v>1138</v>
      </c>
    </row>
    <row r="1208" spans="3:3" hidden="1">
      <c r="C1208" s="64" t="s">
        <v>888</v>
      </c>
    </row>
    <row r="1209" spans="3:3" hidden="1">
      <c r="C1209" s="64" t="s">
        <v>889</v>
      </c>
    </row>
    <row r="1210" spans="3:3" hidden="1">
      <c r="C1210" s="64" t="s">
        <v>890</v>
      </c>
    </row>
    <row r="1211" spans="3:3" hidden="1">
      <c r="C1211" s="64" t="s">
        <v>891</v>
      </c>
    </row>
    <row r="1212" spans="3:3" hidden="1">
      <c r="C1212" s="64" t="s">
        <v>892</v>
      </c>
    </row>
    <row r="1213" spans="3:3" hidden="1">
      <c r="C1213" s="64" t="s">
        <v>893</v>
      </c>
    </row>
    <row r="1214" spans="3:3" hidden="1">
      <c r="C1214" s="64" t="s">
        <v>195</v>
      </c>
    </row>
    <row r="1215" spans="3:3" hidden="1">
      <c r="C1215" s="64" t="s">
        <v>1139</v>
      </c>
    </row>
    <row r="1216" spans="3:3" hidden="1">
      <c r="C1216" s="64" t="s">
        <v>894</v>
      </c>
    </row>
    <row r="1217" spans="3:3" hidden="1">
      <c r="C1217" s="64" t="s">
        <v>895</v>
      </c>
    </row>
    <row r="1218" spans="3:3" hidden="1">
      <c r="C1218" s="64" t="s">
        <v>1141</v>
      </c>
    </row>
    <row r="1219" spans="3:3" hidden="1">
      <c r="C1219" s="64" t="s">
        <v>249</v>
      </c>
    </row>
    <row r="1220" spans="3:3" hidden="1">
      <c r="C1220" s="64" t="s">
        <v>896</v>
      </c>
    </row>
    <row r="1221" spans="3:3" hidden="1">
      <c r="C1221" s="64" t="s">
        <v>897</v>
      </c>
    </row>
    <row r="1222" spans="3:3" hidden="1">
      <c r="C1222" s="64" t="s">
        <v>898</v>
      </c>
    </row>
    <row r="1223" spans="3:3" hidden="1">
      <c r="C1223" s="64" t="s">
        <v>899</v>
      </c>
    </row>
    <row r="1224" spans="3:3" hidden="1">
      <c r="C1224" s="64" t="s">
        <v>900</v>
      </c>
    </row>
    <row r="1225" spans="3:3" hidden="1">
      <c r="C1225" s="64" t="s">
        <v>202</v>
      </c>
    </row>
    <row r="1226" spans="3:3" hidden="1">
      <c r="C1226" s="64" t="s">
        <v>901</v>
      </c>
    </row>
    <row r="1227" spans="3:3" hidden="1">
      <c r="C1227" s="64" t="s">
        <v>902</v>
      </c>
    </row>
    <row r="1228" spans="3:3" hidden="1">
      <c r="C1228" s="64" t="s">
        <v>949</v>
      </c>
    </row>
    <row r="1229" spans="3:3" hidden="1">
      <c r="C1229" s="64" t="s">
        <v>950</v>
      </c>
    </row>
    <row r="1230" spans="3:3" hidden="1">
      <c r="C1230" s="64" t="s">
        <v>951</v>
      </c>
    </row>
    <row r="1231" spans="3:3" hidden="1">
      <c r="C1231" s="64" t="s">
        <v>903</v>
      </c>
    </row>
    <row r="1232" spans="3:3" hidden="1">
      <c r="C1232" s="64" t="s">
        <v>904</v>
      </c>
    </row>
    <row r="1233" spans="3:3" hidden="1">
      <c r="C1233" s="64" t="s">
        <v>905</v>
      </c>
    </row>
    <row r="1234" spans="3:3" hidden="1">
      <c r="C1234" s="64" t="s">
        <v>906</v>
      </c>
    </row>
    <row r="1235" spans="3:3" hidden="1">
      <c r="C1235" s="64" t="s">
        <v>907</v>
      </c>
    </row>
    <row r="1236" spans="3:3" hidden="1">
      <c r="C1236" s="64" t="s">
        <v>948</v>
      </c>
    </row>
    <row r="1237" spans="3:3" hidden="1">
      <c r="C1237" s="64" t="s">
        <v>909</v>
      </c>
    </row>
    <row r="1238" spans="3:3" hidden="1">
      <c r="C1238" s="64" t="s">
        <v>910</v>
      </c>
    </row>
    <row r="1239" spans="3:3" hidden="1">
      <c r="C1239" s="64" t="s">
        <v>856</v>
      </c>
    </row>
    <row r="1240" spans="3:3" hidden="1">
      <c r="C1240" s="64" t="s">
        <v>857</v>
      </c>
    </row>
    <row r="1241" spans="3:3" hidden="1">
      <c r="C1241" s="64" t="s">
        <v>911</v>
      </c>
    </row>
    <row r="1242" spans="3:3" hidden="1">
      <c r="C1242" s="64" t="s">
        <v>858</v>
      </c>
    </row>
    <row r="1243" spans="3:3" hidden="1">
      <c r="C1243" s="64" t="s">
        <v>912</v>
      </c>
    </row>
    <row r="1244" spans="3:3" hidden="1">
      <c r="C1244" s="64" t="s">
        <v>913</v>
      </c>
    </row>
    <row r="1245" spans="3:3" hidden="1">
      <c r="C1245" s="64" t="s">
        <v>130</v>
      </c>
    </row>
    <row r="1248" spans="3:3" hidden="1">
      <c r="C1248" s="64" t="s">
        <v>956</v>
      </c>
    </row>
    <row r="1249" spans="3:3" hidden="1">
      <c r="C1249" s="64" t="s">
        <v>54</v>
      </c>
    </row>
    <row r="1250" spans="3:3" hidden="1">
      <c r="C1250" s="64" t="s">
        <v>69</v>
      </c>
    </row>
    <row r="1251" spans="3:3" hidden="1">
      <c r="C1251" s="64" t="s">
        <v>676</v>
      </c>
    </row>
    <row r="1252" spans="3:3" hidden="1">
      <c r="C1252" s="64" t="s">
        <v>678</v>
      </c>
    </row>
    <row r="1253" spans="3:3" hidden="1">
      <c r="C1253" s="64" t="s">
        <v>102</v>
      </c>
    </row>
    <row r="1255" spans="3:3" hidden="1">
      <c r="C1255" s="64" t="s">
        <v>956</v>
      </c>
    </row>
    <row r="1256" spans="3:3" hidden="1">
      <c r="C1256" s="64" t="s">
        <v>606</v>
      </c>
    </row>
    <row r="1257" spans="3:3" hidden="1">
      <c r="C1257" s="64" t="s">
        <v>937</v>
      </c>
    </row>
    <row r="1258" spans="3:3" hidden="1">
      <c r="C1258" s="64" t="s">
        <v>54</v>
      </c>
    </row>
    <row r="1259" spans="3:3" hidden="1">
      <c r="C1259" s="64" t="s">
        <v>102</v>
      </c>
    </row>
    <row r="1261" spans="3:3" hidden="1">
      <c r="C1261" s="64" t="s">
        <v>803</v>
      </c>
    </row>
    <row r="1262" spans="3:3" hidden="1">
      <c r="C1262" s="64" t="s">
        <v>54</v>
      </c>
    </row>
    <row r="1263" spans="3:3" hidden="1">
      <c r="C1263" s="64" t="s">
        <v>678</v>
      </c>
    </row>
    <row r="1264" spans="3:3" hidden="1">
      <c r="C1264" s="64" t="s">
        <v>676</v>
      </c>
    </row>
    <row r="1265" spans="3:3" hidden="1">
      <c r="C1265" s="64" t="s">
        <v>102</v>
      </c>
    </row>
    <row r="1267" spans="3:3" hidden="1">
      <c r="C1267" s="64" t="s">
        <v>956</v>
      </c>
    </row>
    <row r="1268" spans="3:3" hidden="1">
      <c r="C1268" s="64" t="s">
        <v>54</v>
      </c>
    </row>
    <row r="1269" spans="3:3" hidden="1">
      <c r="C1269" s="64" t="s">
        <v>102</v>
      </c>
    </row>
    <row r="1272" spans="3:3" hidden="1">
      <c r="C1272" s="64" t="s">
        <v>803</v>
      </c>
    </row>
    <row r="1273" spans="3:3" hidden="1">
      <c r="C1273" s="64" t="s">
        <v>54</v>
      </c>
    </row>
    <row r="1274" spans="3:3" hidden="1">
      <c r="C1274" s="64" t="s">
        <v>69</v>
      </c>
    </row>
    <row r="1275" spans="3:3" hidden="1">
      <c r="C1275" s="64" t="s">
        <v>606</v>
      </c>
    </row>
    <row r="1276" spans="3:3" hidden="1">
      <c r="C1276" s="64" t="s">
        <v>676</v>
      </c>
    </row>
    <row r="1277" spans="3:3" hidden="1">
      <c r="C1277" s="64" t="s">
        <v>677</v>
      </c>
    </row>
    <row r="1278" spans="3:3" hidden="1">
      <c r="C1278" s="64" t="s">
        <v>678</v>
      </c>
    </row>
    <row r="1279" spans="3:3" hidden="1">
      <c r="C1279" s="64" t="s">
        <v>679</v>
      </c>
    </row>
    <row r="1280" spans="3:3" hidden="1">
      <c r="C1280" s="64" t="s">
        <v>937</v>
      </c>
    </row>
    <row r="1281" spans="3:3" hidden="1">
      <c r="C1281" s="64" t="s">
        <v>102</v>
      </c>
    </row>
    <row r="1283" spans="3:3" hidden="1">
      <c r="C1283" s="64" t="s">
        <v>311</v>
      </c>
    </row>
    <row r="1284" spans="3:3" hidden="1">
      <c r="C1284" s="64" t="s">
        <v>925</v>
      </c>
    </row>
    <row r="1285" spans="3:3" hidden="1">
      <c r="C1285" s="64" t="s">
        <v>475</v>
      </c>
    </row>
    <row r="1286" spans="3:3" hidden="1">
      <c r="C1286" s="64" t="s">
        <v>478</v>
      </c>
    </row>
    <row r="1287" spans="3:3" hidden="1">
      <c r="C1287" s="64" t="s">
        <v>479</v>
      </c>
    </row>
    <row r="1288" spans="3:3" hidden="1">
      <c r="C1288" s="64" t="s">
        <v>476</v>
      </c>
    </row>
    <row r="1289" spans="3:3" hidden="1">
      <c r="C1289" s="64" t="s">
        <v>480</v>
      </c>
    </row>
    <row r="1290" spans="3:3" hidden="1">
      <c r="C1290" s="64" t="s">
        <v>477</v>
      </c>
    </row>
    <row r="1291" spans="3:3" hidden="1">
      <c r="C1291" s="64" t="s">
        <v>481</v>
      </c>
    </row>
    <row r="1292" spans="3:3" hidden="1">
      <c r="C1292" s="64" t="s">
        <v>482</v>
      </c>
    </row>
    <row r="1293" spans="3:3" hidden="1">
      <c r="C1293" s="64" t="s">
        <v>484</v>
      </c>
    </row>
    <row r="1294" spans="3:3" hidden="1">
      <c r="C1294" s="64" t="s">
        <v>483</v>
      </c>
    </row>
    <row r="1295" spans="3:3" hidden="1">
      <c r="C1295" s="64" t="s">
        <v>485</v>
      </c>
    </row>
    <row r="1296" spans="3:3" hidden="1">
      <c r="C1296" s="64" t="s">
        <v>486</v>
      </c>
    </row>
    <row r="1297" spans="3:3" hidden="1">
      <c r="C1297" s="64" t="s">
        <v>487</v>
      </c>
    </row>
    <row r="1298" spans="3:3" hidden="1">
      <c r="C1298" s="64" t="s">
        <v>488</v>
      </c>
    </row>
    <row r="1299" spans="3:3" hidden="1">
      <c r="C1299" s="64" t="s">
        <v>489</v>
      </c>
    </row>
    <row r="1300" spans="3:3" hidden="1">
      <c r="C1300" s="64" t="s">
        <v>490</v>
      </c>
    </row>
    <row r="1301" spans="3:3" hidden="1">
      <c r="C1301" s="64" t="s">
        <v>491</v>
      </c>
    </row>
    <row r="1302" spans="3:3" hidden="1">
      <c r="C1302" s="64" t="s">
        <v>492</v>
      </c>
    </row>
    <row r="1303" spans="3:3" hidden="1">
      <c r="C1303" s="64" t="s">
        <v>493</v>
      </c>
    </row>
    <row r="1304" spans="3:3" hidden="1">
      <c r="C1304" s="64" t="s">
        <v>494</v>
      </c>
    </row>
    <row r="1305" spans="3:3" hidden="1">
      <c r="C1305" s="64" t="s">
        <v>591</v>
      </c>
    </row>
    <row r="1306" spans="3:3" hidden="1">
      <c r="C1306" s="64" t="s">
        <v>495</v>
      </c>
    </row>
    <row r="1307" spans="3:3" hidden="1">
      <c r="C1307" s="64" t="s">
        <v>496</v>
      </c>
    </row>
    <row r="1308" spans="3:3" hidden="1">
      <c r="C1308" s="64" t="s">
        <v>497</v>
      </c>
    </row>
    <row r="1309" spans="3:3" hidden="1">
      <c r="C1309" s="64" t="s">
        <v>498</v>
      </c>
    </row>
    <row r="1310" spans="3:3" hidden="1">
      <c r="C1310" s="64" t="s">
        <v>499</v>
      </c>
    </row>
    <row r="1311" spans="3:3" hidden="1">
      <c r="C1311" s="64" t="s">
        <v>500</v>
      </c>
    </row>
    <row r="1312" spans="3:3" hidden="1">
      <c r="C1312" s="64" t="s">
        <v>501</v>
      </c>
    </row>
    <row r="1313" spans="3:3" hidden="1">
      <c r="C1313" s="64" t="s">
        <v>502</v>
      </c>
    </row>
    <row r="1314" spans="3:3" hidden="1">
      <c r="C1314" s="64" t="s">
        <v>503</v>
      </c>
    </row>
    <row r="1315" spans="3:3" hidden="1">
      <c r="C1315" s="6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</cols>
  <sheetData>
    <row r="1" spans="1:4" ht="15.75">
      <c r="A1" s="121" t="s">
        <v>787</v>
      </c>
      <c r="B1" s="122" t="s">
        <v>788</v>
      </c>
      <c r="C1" s="122" t="s">
        <v>798</v>
      </c>
      <c r="D1" s="123" t="s">
        <v>945</v>
      </c>
    </row>
    <row r="2" spans="1:4" ht="15.75" hidden="1" outlineLevel="1">
      <c r="A2" s="46" t="s">
        <v>31</v>
      </c>
      <c r="B2" s="47" t="s">
        <v>649</v>
      </c>
      <c r="C2" s="46">
        <v>5.0999999999999996</v>
      </c>
      <c r="D2" s="125"/>
    </row>
    <row r="3" spans="1:4" ht="15.75" hidden="1" outlineLevel="1">
      <c r="A3" s="46" t="s">
        <v>31</v>
      </c>
      <c r="B3" s="47" t="s">
        <v>0</v>
      </c>
      <c r="C3" s="46">
        <v>5.2</v>
      </c>
      <c r="D3" s="125"/>
    </row>
    <row r="4" spans="1:4" ht="15.75" hidden="1" outlineLevel="1">
      <c r="A4" s="46" t="s">
        <v>31</v>
      </c>
      <c r="B4" s="47" t="s">
        <v>721</v>
      </c>
      <c r="C4" s="46">
        <v>5.4</v>
      </c>
      <c r="D4" s="125"/>
    </row>
    <row r="5" spans="1:4" ht="15.75" hidden="1" outlineLevel="1">
      <c r="A5" s="46" t="s">
        <v>31</v>
      </c>
      <c r="B5" s="47" t="s">
        <v>739</v>
      </c>
      <c r="C5" s="46">
        <v>5.7</v>
      </c>
      <c r="D5" s="125"/>
    </row>
    <row r="6" spans="1:4" ht="15.75" hidden="1" outlineLevel="1">
      <c r="A6" s="46" t="s">
        <v>31</v>
      </c>
      <c r="B6" s="47" t="s">
        <v>740</v>
      </c>
      <c r="C6" s="46">
        <v>5.1100000000000003</v>
      </c>
      <c r="D6" s="125"/>
    </row>
    <row r="7" spans="1:4" ht="15.75" hidden="1" outlineLevel="1">
      <c r="A7" s="46" t="s">
        <v>31</v>
      </c>
      <c r="B7" s="47" t="s">
        <v>1</v>
      </c>
      <c r="C7" s="46">
        <v>5.26</v>
      </c>
      <c r="D7" s="125"/>
    </row>
    <row r="8" spans="1:4" ht="15.75" hidden="1" outlineLevel="1">
      <c r="A8" s="46" t="s">
        <v>31</v>
      </c>
      <c r="B8" s="47" t="s">
        <v>602</v>
      </c>
      <c r="C8" s="46">
        <v>5.27</v>
      </c>
      <c r="D8" s="125"/>
    </row>
    <row r="9" spans="1:4" ht="15.75" hidden="1" outlineLevel="1">
      <c r="A9" s="46" t="s">
        <v>31</v>
      </c>
      <c r="B9" s="47" t="s">
        <v>604</v>
      </c>
      <c r="C9" s="46">
        <v>5.36</v>
      </c>
      <c r="D9" s="125"/>
    </row>
    <row r="10" spans="1:4" ht="15.75" hidden="1" outlineLevel="1">
      <c r="A10" s="46" t="s">
        <v>31</v>
      </c>
      <c r="B10" s="47" t="s">
        <v>770</v>
      </c>
      <c r="C10" s="48">
        <v>5.5</v>
      </c>
      <c r="D10" s="125"/>
    </row>
    <row r="11" spans="1:4" ht="15.75" hidden="1" outlineLevel="1">
      <c r="A11" s="46" t="s">
        <v>31</v>
      </c>
      <c r="B11" s="47" t="s">
        <v>8</v>
      </c>
      <c r="C11" s="46">
        <v>5.51</v>
      </c>
      <c r="D11" s="125"/>
    </row>
    <row r="12" spans="1:4" ht="15.75" hidden="1" outlineLevel="1">
      <c r="A12" s="46" t="s">
        <v>31</v>
      </c>
      <c r="B12" s="47" t="s">
        <v>396</v>
      </c>
      <c r="C12" s="46">
        <v>5.53</v>
      </c>
      <c r="D12" s="125"/>
    </row>
    <row r="13" spans="1:4" ht="15.75" hidden="1" outlineLevel="1">
      <c r="A13" s="46" t="s">
        <v>31</v>
      </c>
      <c r="B13" s="47" t="s">
        <v>920</v>
      </c>
      <c r="C13" s="46">
        <v>5.59</v>
      </c>
      <c r="D13" s="125"/>
    </row>
    <row r="14" spans="1:4" ht="15.75" hidden="1" outlineLevel="1">
      <c r="A14" s="46" t="s">
        <v>31</v>
      </c>
      <c r="B14" s="47" t="s">
        <v>11</v>
      </c>
      <c r="C14" s="46">
        <v>5.54</v>
      </c>
      <c r="D14" s="125"/>
    </row>
    <row r="15" spans="1:4" ht="15.75" hidden="1" outlineLevel="1">
      <c r="A15" s="46" t="s">
        <v>31</v>
      </c>
      <c r="B15" s="47" t="s">
        <v>14</v>
      </c>
      <c r="C15" s="48">
        <v>5.7</v>
      </c>
      <c r="D15" s="124" t="s">
        <v>933</v>
      </c>
    </row>
    <row r="16" spans="1:4" ht="15.75" hidden="1" outlineLevel="1">
      <c r="A16" s="46" t="s">
        <v>31</v>
      </c>
      <c r="B16" s="47" t="s">
        <v>1151</v>
      </c>
      <c r="C16" s="46">
        <v>5.63</v>
      </c>
      <c r="D16" s="125"/>
    </row>
    <row r="17" spans="1:4" ht="15.75" hidden="1" outlineLevel="1">
      <c r="A17" s="46" t="s">
        <v>31</v>
      </c>
      <c r="B17" s="47" t="s">
        <v>19</v>
      </c>
      <c r="C17" s="46">
        <v>5.47</v>
      </c>
      <c r="D17" s="125"/>
    </row>
    <row r="18" spans="1:4" ht="15.75" hidden="1" outlineLevel="1">
      <c r="A18" s="46" t="s">
        <v>31</v>
      </c>
      <c r="B18" s="47" t="s">
        <v>30</v>
      </c>
      <c r="C18" s="46">
        <v>5.48</v>
      </c>
      <c r="D18" s="125"/>
    </row>
    <row r="19" spans="1:4" ht="15.75" collapsed="1">
      <c r="A19" s="52" t="s">
        <v>31</v>
      </c>
      <c r="B19" s="47"/>
      <c r="C19" s="46"/>
      <c r="D19" s="125"/>
    </row>
    <row r="20" spans="1:4" ht="15.75" hidden="1" outlineLevel="1">
      <c r="A20" s="46" t="s">
        <v>40</v>
      </c>
      <c r="B20" s="47" t="s">
        <v>649</v>
      </c>
      <c r="C20" s="46">
        <v>5.0999999999999996</v>
      </c>
      <c r="D20" s="125"/>
    </row>
    <row r="21" spans="1:4" ht="15.75" hidden="1" outlineLevel="1">
      <c r="A21" s="46" t="s">
        <v>40</v>
      </c>
      <c r="B21" s="47" t="s">
        <v>0</v>
      </c>
      <c r="C21" s="46">
        <v>5.2</v>
      </c>
      <c r="D21" s="125"/>
    </row>
    <row r="22" spans="1:4" ht="15.75" hidden="1" outlineLevel="1">
      <c r="A22" s="46" t="s">
        <v>40</v>
      </c>
      <c r="B22" s="47" t="s">
        <v>722</v>
      </c>
      <c r="C22" s="46">
        <v>5.3</v>
      </c>
      <c r="D22" s="125"/>
    </row>
    <row r="23" spans="1:4" ht="15.75" hidden="1" outlineLevel="1">
      <c r="A23" s="46" t="s">
        <v>40</v>
      </c>
      <c r="B23" s="47" t="s">
        <v>3</v>
      </c>
      <c r="C23" s="46">
        <v>5.14</v>
      </c>
      <c r="D23" s="125"/>
    </row>
    <row r="24" spans="1:4" ht="15.75" hidden="1" outlineLevel="1">
      <c r="A24" s="46" t="s">
        <v>40</v>
      </c>
      <c r="B24" s="47" t="s">
        <v>29</v>
      </c>
      <c r="C24" s="46">
        <v>5.19</v>
      </c>
      <c r="D24" s="125"/>
    </row>
    <row r="25" spans="1:4" ht="15.75" hidden="1" outlineLevel="1">
      <c r="A25" s="46" t="s">
        <v>40</v>
      </c>
      <c r="B25" s="47" t="s">
        <v>1</v>
      </c>
      <c r="C25" s="46">
        <v>5.26</v>
      </c>
      <c r="D25" s="125"/>
    </row>
    <row r="26" spans="1:4" ht="15.75" hidden="1" outlineLevel="1">
      <c r="A26" s="46" t="s">
        <v>40</v>
      </c>
      <c r="B26" s="47" t="s">
        <v>602</v>
      </c>
      <c r="C26" s="46">
        <v>5.27</v>
      </c>
      <c r="D26" s="125"/>
    </row>
    <row r="27" spans="1:4" ht="15.75" hidden="1" outlineLevel="1">
      <c r="A27" s="46" t="s">
        <v>40</v>
      </c>
      <c r="B27" s="47" t="s">
        <v>603</v>
      </c>
      <c r="C27" s="46">
        <v>5.28</v>
      </c>
      <c r="D27" s="125"/>
    </row>
    <row r="28" spans="1:4" ht="15.75" hidden="1" outlineLevel="1">
      <c r="A28" s="46" t="s">
        <v>40</v>
      </c>
      <c r="B28" s="47" t="s">
        <v>5</v>
      </c>
      <c r="C28" s="48">
        <v>5.3</v>
      </c>
      <c r="D28" s="125"/>
    </row>
    <row r="29" spans="1:4" ht="15.75" hidden="1" outlineLevel="1">
      <c r="A29" s="46" t="s">
        <v>40</v>
      </c>
      <c r="B29" s="47" t="s">
        <v>6</v>
      </c>
      <c r="C29" s="46">
        <v>5.49</v>
      </c>
      <c r="D29" s="125"/>
    </row>
    <row r="30" spans="1:4" ht="15.75" hidden="1" outlineLevel="1">
      <c r="A30" s="46" t="s">
        <v>40</v>
      </c>
      <c r="B30" s="47" t="s">
        <v>8</v>
      </c>
      <c r="C30" s="46">
        <v>5.51</v>
      </c>
      <c r="D30" s="125"/>
    </row>
    <row r="31" spans="1:4" ht="15.75" hidden="1" outlineLevel="1">
      <c r="A31" s="46" t="s">
        <v>40</v>
      </c>
      <c r="B31" s="47" t="s">
        <v>396</v>
      </c>
      <c r="C31" s="46">
        <v>5.53</v>
      </c>
      <c r="D31" s="125"/>
    </row>
    <row r="32" spans="1:4" ht="15.75" hidden="1" outlineLevel="1">
      <c r="A32" s="46" t="s">
        <v>40</v>
      </c>
      <c r="B32" s="47" t="s">
        <v>13</v>
      </c>
      <c r="C32" s="46">
        <v>5.69</v>
      </c>
      <c r="D32" s="125"/>
    </row>
    <row r="33" spans="1:4" ht="15.75" hidden="1" outlineLevel="1">
      <c r="A33" s="46" t="s">
        <v>40</v>
      </c>
      <c r="B33" s="47" t="s">
        <v>420</v>
      </c>
      <c r="C33" s="46">
        <v>5.75</v>
      </c>
      <c r="D33" s="125"/>
    </row>
    <row r="34" spans="1:4" ht="15.75" hidden="1" outlineLevel="1">
      <c r="A34" s="46" t="s">
        <v>40</v>
      </c>
      <c r="B34" s="47" t="s">
        <v>14</v>
      </c>
      <c r="C34" s="48">
        <v>5.7</v>
      </c>
      <c r="D34" s="125"/>
    </row>
    <row r="35" spans="1:4" ht="15.75" hidden="1" outlineLevel="1">
      <c r="A35" s="46" t="s">
        <v>40</v>
      </c>
      <c r="B35" s="47" t="s">
        <v>619</v>
      </c>
      <c r="C35" s="46">
        <v>5.74</v>
      </c>
      <c r="D35" s="125"/>
    </row>
    <row r="36" spans="1:4" ht="15.75" hidden="1" outlineLevel="1">
      <c r="A36" s="46" t="s">
        <v>40</v>
      </c>
      <c r="B36" s="47" t="s">
        <v>936</v>
      </c>
      <c r="C36" s="46">
        <v>5.62</v>
      </c>
      <c r="D36" s="125"/>
    </row>
    <row r="37" spans="1:4" ht="15.75" hidden="1" outlineLevel="1">
      <c r="A37" s="46" t="s">
        <v>40</v>
      </c>
      <c r="B37" s="47" t="s">
        <v>771</v>
      </c>
      <c r="C37" s="46">
        <v>5.58</v>
      </c>
      <c r="D37" s="125"/>
    </row>
    <row r="38" spans="1:4" ht="15.75" hidden="1" outlineLevel="1">
      <c r="A38" s="46" t="s">
        <v>40</v>
      </c>
      <c r="B38" s="47" t="s">
        <v>11</v>
      </c>
      <c r="C38" s="46">
        <v>5.54</v>
      </c>
      <c r="D38" s="125"/>
    </row>
    <row r="39" spans="1:4" ht="15.75" hidden="1" outlineLevel="1">
      <c r="A39" s="46" t="s">
        <v>40</v>
      </c>
      <c r="B39" s="47" t="s">
        <v>15</v>
      </c>
      <c r="C39" s="46">
        <v>5.55</v>
      </c>
      <c r="D39" s="125"/>
    </row>
    <row r="40" spans="1:4" ht="15.75" hidden="1" outlineLevel="1">
      <c r="A40" s="46" t="s">
        <v>40</v>
      </c>
      <c r="B40" s="47" t="s">
        <v>1151</v>
      </c>
      <c r="C40" s="46">
        <v>5.63</v>
      </c>
      <c r="D40" s="125"/>
    </row>
    <row r="41" spans="1:4" ht="15.75" hidden="1" outlineLevel="1">
      <c r="A41" s="46" t="s">
        <v>40</v>
      </c>
      <c r="B41" s="47" t="s">
        <v>1152</v>
      </c>
      <c r="C41" s="46">
        <v>5.65</v>
      </c>
      <c r="D41" s="125"/>
    </row>
    <row r="42" spans="1:4" ht="15.75" hidden="1" outlineLevel="1">
      <c r="A42" s="46" t="s">
        <v>40</v>
      </c>
      <c r="B42" s="47" t="s">
        <v>26</v>
      </c>
      <c r="C42" s="46">
        <v>5.68</v>
      </c>
      <c r="D42" s="125"/>
    </row>
    <row r="43" spans="1:4" ht="15.75" hidden="1" outlineLevel="1">
      <c r="A43" s="46" t="s">
        <v>40</v>
      </c>
      <c r="B43" s="47" t="s">
        <v>18</v>
      </c>
      <c r="C43" s="46">
        <v>5.45</v>
      </c>
      <c r="D43" s="125"/>
    </row>
    <row r="44" spans="1:4" ht="15.75" hidden="1" outlineLevel="1">
      <c r="A44" s="46" t="s">
        <v>40</v>
      </c>
      <c r="B44" s="47" t="s">
        <v>19</v>
      </c>
      <c r="C44" s="46">
        <v>5.47</v>
      </c>
      <c r="D44" s="125"/>
    </row>
    <row r="45" spans="1:4" ht="15.75" hidden="1" outlineLevel="1">
      <c r="A45" s="46" t="s">
        <v>40</v>
      </c>
      <c r="B45" s="47" t="s">
        <v>30</v>
      </c>
      <c r="C45" s="46">
        <v>5.48</v>
      </c>
      <c r="D45" s="125"/>
    </row>
    <row r="46" spans="1:4" ht="15.75" collapsed="1">
      <c r="A46" s="52" t="s">
        <v>40</v>
      </c>
      <c r="B46" s="47"/>
      <c r="C46" s="46"/>
      <c r="D46" s="125"/>
    </row>
    <row r="47" spans="1:4" ht="15.75" hidden="1" outlineLevel="1">
      <c r="A47" s="46" t="s">
        <v>32</v>
      </c>
      <c r="B47" s="47" t="s">
        <v>649</v>
      </c>
      <c r="C47" s="46">
        <v>5.0999999999999996</v>
      </c>
      <c r="D47" s="125"/>
    </row>
    <row r="48" spans="1:4" ht="15.75" hidden="1" outlineLevel="1">
      <c r="A48" s="46" t="s">
        <v>32</v>
      </c>
      <c r="B48" s="47" t="s">
        <v>0</v>
      </c>
      <c r="C48" s="46">
        <v>5.2</v>
      </c>
      <c r="D48" s="125"/>
    </row>
    <row r="49" spans="1:4" ht="15.75" hidden="1" outlineLevel="1">
      <c r="A49" s="46" t="s">
        <v>32</v>
      </c>
      <c r="B49" s="47" t="s">
        <v>722</v>
      </c>
      <c r="C49" s="46">
        <v>5.3</v>
      </c>
      <c r="D49" s="125"/>
    </row>
    <row r="50" spans="1:4" ht="15.75" hidden="1" outlineLevel="1">
      <c r="A50" s="46" t="s">
        <v>32</v>
      </c>
      <c r="B50" s="47" t="s">
        <v>2</v>
      </c>
      <c r="C50" s="46">
        <v>5.6</v>
      </c>
      <c r="D50" s="125"/>
    </row>
    <row r="51" spans="1:4" ht="15.75" hidden="1" outlineLevel="1">
      <c r="A51" s="46" t="s">
        <v>32</v>
      </c>
      <c r="B51" s="47" t="s">
        <v>728</v>
      </c>
      <c r="C51" s="48">
        <v>5.0999999999999996</v>
      </c>
      <c r="D51" s="125"/>
    </row>
    <row r="52" spans="1:4" ht="15.75" hidden="1" outlineLevel="1">
      <c r="A52" s="46" t="s">
        <v>32</v>
      </c>
      <c r="B52" s="47" t="s">
        <v>3</v>
      </c>
      <c r="C52" s="46">
        <v>5.14</v>
      </c>
      <c r="D52" s="125"/>
    </row>
    <row r="53" spans="1:4" ht="15.75" hidden="1" outlineLevel="1">
      <c r="A53" s="46" t="s">
        <v>32</v>
      </c>
      <c r="B53" s="47" t="s">
        <v>29</v>
      </c>
      <c r="C53" s="46">
        <v>5.19</v>
      </c>
      <c r="D53" s="125"/>
    </row>
    <row r="54" spans="1:4" ht="15.75" hidden="1" outlineLevel="1">
      <c r="A54" s="46" t="s">
        <v>32</v>
      </c>
      <c r="B54" s="47" t="s">
        <v>28</v>
      </c>
      <c r="C54" s="46">
        <v>5.24</v>
      </c>
      <c r="D54" s="125"/>
    </row>
    <row r="55" spans="1:4" ht="15.75" hidden="1" outlineLevel="1">
      <c r="A55" s="46" t="s">
        <v>32</v>
      </c>
      <c r="B55" s="47" t="s">
        <v>1</v>
      </c>
      <c r="C55" s="46">
        <v>5.26</v>
      </c>
      <c r="D55" s="125"/>
    </row>
    <row r="56" spans="1:4" ht="15.75" hidden="1" outlineLevel="1">
      <c r="A56" s="46" t="s">
        <v>32</v>
      </c>
      <c r="B56" s="47" t="s">
        <v>602</v>
      </c>
      <c r="C56" s="46">
        <v>5.27</v>
      </c>
      <c r="D56" s="125"/>
    </row>
    <row r="57" spans="1:4" ht="15.75" hidden="1" outlineLevel="1">
      <c r="A57" s="46" t="s">
        <v>32</v>
      </c>
      <c r="B57" s="47" t="s">
        <v>603</v>
      </c>
      <c r="C57" s="46">
        <v>5.28</v>
      </c>
      <c r="D57" s="125"/>
    </row>
    <row r="58" spans="1:4" ht="15.75" hidden="1" outlineLevel="1">
      <c r="A58" s="46" t="s">
        <v>32</v>
      </c>
      <c r="B58" s="47" t="s">
        <v>5</v>
      </c>
      <c r="C58" s="48">
        <v>5.3</v>
      </c>
      <c r="D58" s="125"/>
    </row>
    <row r="59" spans="1:4" ht="15.75" hidden="1" outlineLevel="1">
      <c r="A59" s="46" t="s">
        <v>32</v>
      </c>
      <c r="B59" s="47" t="s">
        <v>9</v>
      </c>
      <c r="C59" s="46">
        <v>5.31</v>
      </c>
      <c r="D59" s="125"/>
    </row>
    <row r="60" spans="1:4" ht="15.75" hidden="1" outlineLevel="1">
      <c r="A60" s="46" t="s">
        <v>32</v>
      </c>
      <c r="B60" s="47" t="s">
        <v>604</v>
      </c>
      <c r="C60" s="46">
        <v>5.36</v>
      </c>
      <c r="D60" s="125"/>
    </row>
    <row r="61" spans="1:4" ht="15.75" hidden="1" outlineLevel="1">
      <c r="A61" s="46" t="s">
        <v>32</v>
      </c>
      <c r="B61" s="47" t="s">
        <v>6</v>
      </c>
      <c r="C61" s="46">
        <v>5.49</v>
      </c>
      <c r="D61" s="125"/>
    </row>
    <row r="62" spans="1:4" ht="15.75" hidden="1" outlineLevel="1">
      <c r="A62" s="46" t="s">
        <v>32</v>
      </c>
      <c r="B62" s="47" t="s">
        <v>8</v>
      </c>
      <c r="C62" s="46">
        <v>5.51</v>
      </c>
      <c r="D62" s="125"/>
    </row>
    <row r="63" spans="1:4" ht="15.75" hidden="1" outlineLevel="1">
      <c r="A63" s="46" t="s">
        <v>32</v>
      </c>
      <c r="B63" s="47" t="s">
        <v>7</v>
      </c>
      <c r="C63" s="46">
        <v>5.52</v>
      </c>
      <c r="D63" s="125"/>
    </row>
    <row r="64" spans="1:4" ht="15.75" hidden="1" outlineLevel="1">
      <c r="A64" s="46" t="s">
        <v>32</v>
      </c>
      <c r="B64" s="47" t="s">
        <v>396</v>
      </c>
      <c r="C64" s="46">
        <v>5.53</v>
      </c>
      <c r="D64" s="125"/>
    </row>
    <row r="65" spans="1:4" ht="15.75" hidden="1" outlineLevel="1">
      <c r="A65" s="46" t="s">
        <v>32</v>
      </c>
      <c r="B65" s="47" t="s">
        <v>13</v>
      </c>
      <c r="C65" s="46">
        <v>5.69</v>
      </c>
      <c r="D65" s="125"/>
    </row>
    <row r="66" spans="1:4" ht="15.75" hidden="1" outlineLevel="1">
      <c r="A66" s="46" t="s">
        <v>32</v>
      </c>
      <c r="B66" s="47" t="s">
        <v>309</v>
      </c>
      <c r="C66" s="48">
        <v>5.72</v>
      </c>
      <c r="D66" s="125"/>
    </row>
    <row r="67" spans="1:4" ht="15.75" hidden="1" outlineLevel="1">
      <c r="A67" s="46" t="s">
        <v>32</v>
      </c>
      <c r="B67" s="47" t="s">
        <v>420</v>
      </c>
      <c r="C67" s="46">
        <v>5.75</v>
      </c>
      <c r="D67" s="125"/>
    </row>
    <row r="68" spans="1:4" ht="15.75" hidden="1" outlineLevel="1">
      <c r="A68" s="46" t="s">
        <v>32</v>
      </c>
      <c r="B68" s="47" t="s">
        <v>14</v>
      </c>
      <c r="C68" s="48">
        <v>5.7</v>
      </c>
      <c r="D68" s="125"/>
    </row>
    <row r="69" spans="1:4" ht="15.75" hidden="1" outlineLevel="1">
      <c r="A69" s="46" t="s">
        <v>32</v>
      </c>
      <c r="B69" s="47" t="s">
        <v>619</v>
      </c>
      <c r="C69" s="46">
        <v>5.74</v>
      </c>
      <c r="D69" s="125"/>
    </row>
    <row r="70" spans="1:4" ht="15.75" hidden="1" outlineLevel="1">
      <c r="A70" s="46" t="s">
        <v>32</v>
      </c>
      <c r="B70" s="47" t="s">
        <v>923</v>
      </c>
      <c r="C70" s="46">
        <v>5.76</v>
      </c>
      <c r="D70" s="125"/>
    </row>
    <row r="71" spans="1:4" ht="15.75" hidden="1" outlineLevel="1">
      <c r="A71" s="46" t="s">
        <v>32</v>
      </c>
      <c r="B71" s="47" t="s">
        <v>667</v>
      </c>
      <c r="C71" s="46">
        <v>5.89</v>
      </c>
      <c r="D71" s="124" t="s">
        <v>933</v>
      </c>
    </row>
    <row r="72" spans="1:4" ht="15.75" hidden="1" outlineLevel="1">
      <c r="A72" s="46" t="s">
        <v>32</v>
      </c>
      <c r="B72" s="47" t="s">
        <v>771</v>
      </c>
      <c r="C72" s="46">
        <v>5.58</v>
      </c>
      <c r="D72" s="125"/>
    </row>
    <row r="73" spans="1:4" ht="15.75" hidden="1" outlineLevel="1">
      <c r="A73" s="46" t="s">
        <v>32</v>
      </c>
      <c r="B73" s="47" t="s">
        <v>936</v>
      </c>
      <c r="C73" s="46">
        <v>5.62</v>
      </c>
      <c r="D73" s="125"/>
    </row>
    <row r="74" spans="1:4" ht="15.75" hidden="1" outlineLevel="1">
      <c r="A74" s="46" t="s">
        <v>32</v>
      </c>
      <c r="B74" s="47" t="s">
        <v>11</v>
      </c>
      <c r="C74" s="46">
        <v>5.54</v>
      </c>
      <c r="D74" s="125"/>
    </row>
    <row r="75" spans="1:4" ht="15.75" hidden="1" outlineLevel="1">
      <c r="A75" s="46" t="s">
        <v>32</v>
      </c>
      <c r="B75" s="47" t="s">
        <v>15</v>
      </c>
      <c r="C75" s="46">
        <v>5.55</v>
      </c>
      <c r="D75" s="125"/>
    </row>
    <row r="76" spans="1:4" ht="15.75" hidden="1" outlineLevel="1">
      <c r="A76" s="46" t="s">
        <v>32</v>
      </c>
      <c r="B76" s="47" t="s">
        <v>1151</v>
      </c>
      <c r="C76" s="46">
        <v>5.63</v>
      </c>
      <c r="D76" s="125"/>
    </row>
    <row r="77" spans="1:4" ht="15.75" hidden="1" outlineLevel="1">
      <c r="A77" s="46" t="s">
        <v>32</v>
      </c>
      <c r="B77" s="47" t="s">
        <v>1152</v>
      </c>
      <c r="C77" s="46">
        <v>5.65</v>
      </c>
      <c r="D77" s="125"/>
    </row>
    <row r="78" spans="1:4" ht="15.75" hidden="1" outlineLevel="1">
      <c r="A78" s="46" t="s">
        <v>32</v>
      </c>
      <c r="B78" s="47" t="s">
        <v>786</v>
      </c>
      <c r="C78" s="46">
        <v>5.66</v>
      </c>
      <c r="D78" s="125"/>
    </row>
    <row r="79" spans="1:4" ht="15.75" hidden="1" outlineLevel="1">
      <c r="A79" s="46" t="s">
        <v>32</v>
      </c>
      <c r="B79" s="47" t="s">
        <v>26</v>
      </c>
      <c r="C79" s="46">
        <v>5.68</v>
      </c>
      <c r="D79" s="125"/>
    </row>
    <row r="80" spans="1:4" ht="15.75" hidden="1" outlineLevel="1">
      <c r="A80" s="46" t="s">
        <v>32</v>
      </c>
      <c r="B80" s="47" t="s">
        <v>18</v>
      </c>
      <c r="C80" s="46">
        <v>5.45</v>
      </c>
      <c r="D80" s="125"/>
    </row>
    <row r="81" spans="1:4" ht="15.75" hidden="1" outlineLevel="1">
      <c r="A81" s="46" t="s">
        <v>32</v>
      </c>
      <c r="B81" s="47" t="s">
        <v>19</v>
      </c>
      <c r="C81" s="46">
        <v>5.47</v>
      </c>
      <c r="D81" s="125"/>
    </row>
    <row r="82" spans="1:4" ht="15.75" hidden="1" outlineLevel="1">
      <c r="A82" s="46" t="s">
        <v>32</v>
      </c>
      <c r="B82" s="47" t="s">
        <v>30</v>
      </c>
      <c r="C82" s="46">
        <v>5.48</v>
      </c>
      <c r="D82" s="125"/>
    </row>
    <row r="83" spans="1:4" ht="15.75" collapsed="1">
      <c r="A83" s="52" t="s">
        <v>32</v>
      </c>
      <c r="B83" s="47"/>
      <c r="C83" s="46"/>
      <c r="D83" s="125"/>
    </row>
    <row r="84" spans="1:4" ht="15.75" hidden="1" outlineLevel="1">
      <c r="A84" s="46" t="s">
        <v>33</v>
      </c>
      <c r="B84" s="47" t="s">
        <v>649</v>
      </c>
      <c r="C84" s="46">
        <v>5.0999999999999996</v>
      </c>
      <c r="D84" s="125"/>
    </row>
    <row r="85" spans="1:4" ht="15.75" hidden="1" outlineLevel="1">
      <c r="A85" s="46" t="s">
        <v>33</v>
      </c>
      <c r="B85" s="47" t="s">
        <v>0</v>
      </c>
      <c r="C85" s="46">
        <v>5.2</v>
      </c>
      <c r="D85" s="125"/>
    </row>
    <row r="86" spans="1:4" ht="15.75" hidden="1" outlineLevel="1">
      <c r="A86" s="46" t="s">
        <v>33</v>
      </c>
      <c r="B86" s="47" t="s">
        <v>722</v>
      </c>
      <c r="C86" s="46">
        <v>5.3</v>
      </c>
      <c r="D86" s="125"/>
    </row>
    <row r="87" spans="1:4" ht="15.75" hidden="1" outlineLevel="1">
      <c r="A87" s="46" t="s">
        <v>33</v>
      </c>
      <c r="B87" s="47" t="s">
        <v>2</v>
      </c>
      <c r="C87" s="46">
        <v>5.6</v>
      </c>
      <c r="D87" s="125"/>
    </row>
    <row r="88" spans="1:4" ht="15.75" hidden="1" outlineLevel="1">
      <c r="A88" s="46" t="s">
        <v>33</v>
      </c>
      <c r="B88" s="47" t="s">
        <v>728</v>
      </c>
      <c r="C88" s="48">
        <v>5.0999999999999996</v>
      </c>
      <c r="D88" s="125"/>
    </row>
    <row r="89" spans="1:4" ht="15.75" hidden="1" outlineLevel="1">
      <c r="A89" s="46" t="s">
        <v>33</v>
      </c>
      <c r="B89" s="47" t="s">
        <v>3</v>
      </c>
      <c r="C89" s="46">
        <v>5.14</v>
      </c>
      <c r="D89" s="125"/>
    </row>
    <row r="90" spans="1:4" ht="15.75" hidden="1" outlineLevel="1">
      <c r="A90" s="46" t="s">
        <v>33</v>
      </c>
      <c r="B90" s="47" t="s">
        <v>29</v>
      </c>
      <c r="C90" s="46">
        <v>5.19</v>
      </c>
      <c r="D90" s="125"/>
    </row>
    <row r="91" spans="1:4" ht="15.75" hidden="1" outlineLevel="1">
      <c r="A91" s="46" t="s">
        <v>33</v>
      </c>
      <c r="B91" s="47" t="s">
        <v>28</v>
      </c>
      <c r="C91" s="46">
        <v>5.24</v>
      </c>
      <c r="D91" s="125"/>
    </row>
    <row r="92" spans="1:4" ht="15.75" hidden="1" outlineLevel="1">
      <c r="A92" s="46" t="s">
        <v>33</v>
      </c>
      <c r="B92" s="47" t="s">
        <v>1</v>
      </c>
      <c r="C92" s="46">
        <v>5.26</v>
      </c>
      <c r="D92" s="125"/>
    </row>
    <row r="93" spans="1:4" ht="15.75" hidden="1" outlineLevel="1">
      <c r="A93" s="46" t="s">
        <v>33</v>
      </c>
      <c r="B93" s="47" t="s">
        <v>602</v>
      </c>
      <c r="C93" s="46">
        <v>5.27</v>
      </c>
      <c r="D93" s="125"/>
    </row>
    <row r="94" spans="1:4" ht="15.75" hidden="1" outlineLevel="1">
      <c r="A94" s="46" t="s">
        <v>33</v>
      </c>
      <c r="B94" s="47" t="s">
        <v>603</v>
      </c>
      <c r="C94" s="46">
        <v>5.28</v>
      </c>
      <c r="D94" s="125"/>
    </row>
    <row r="95" spans="1:4" ht="15.75" hidden="1" outlineLevel="1">
      <c r="A95" s="46" t="s">
        <v>33</v>
      </c>
      <c r="B95" s="47" t="s">
        <v>607</v>
      </c>
      <c r="C95" s="46">
        <v>5.29</v>
      </c>
      <c r="D95" s="125"/>
    </row>
    <row r="96" spans="1:4" ht="15.75" hidden="1" outlineLevel="1">
      <c r="A96" s="46" t="s">
        <v>33</v>
      </c>
      <c r="B96" s="47" t="s">
        <v>5</v>
      </c>
      <c r="C96" s="48">
        <v>5.3</v>
      </c>
      <c r="D96" s="125"/>
    </row>
    <row r="97" spans="1:4" ht="15.75" hidden="1" outlineLevel="1">
      <c r="A97" s="46" t="s">
        <v>33</v>
      </c>
      <c r="B97" s="47" t="s">
        <v>9</v>
      </c>
      <c r="C97" s="46">
        <v>5.31</v>
      </c>
      <c r="D97" s="125"/>
    </row>
    <row r="98" spans="1:4" ht="15.75" hidden="1" outlineLevel="1">
      <c r="A98" s="46" t="s">
        <v>33</v>
      </c>
      <c r="B98" s="47" t="s">
        <v>604</v>
      </c>
      <c r="C98" s="46">
        <v>5.36</v>
      </c>
      <c r="D98" s="125"/>
    </row>
    <row r="99" spans="1:4" ht="15.75" hidden="1" outlineLevel="1">
      <c r="A99" s="46" t="s">
        <v>33</v>
      </c>
      <c r="B99" s="47" t="s">
        <v>6</v>
      </c>
      <c r="C99" s="46">
        <v>5.49</v>
      </c>
      <c r="D99" s="125"/>
    </row>
    <row r="100" spans="1:4" ht="15.75" hidden="1" outlineLevel="1">
      <c r="A100" s="46" t="s">
        <v>33</v>
      </c>
      <c r="B100" s="47" t="s">
        <v>8</v>
      </c>
      <c r="C100" s="46">
        <v>5.51</v>
      </c>
      <c r="D100" s="125"/>
    </row>
    <row r="101" spans="1:4" ht="15.75" hidden="1" outlineLevel="1">
      <c r="A101" s="46" t="s">
        <v>33</v>
      </c>
      <c r="B101" s="47" t="s">
        <v>7</v>
      </c>
      <c r="C101" s="46">
        <v>5.52</v>
      </c>
      <c r="D101" s="125"/>
    </row>
    <row r="102" spans="1:4" ht="15.75" hidden="1" outlineLevel="1">
      <c r="A102" s="46" t="s">
        <v>33</v>
      </c>
      <c r="B102" s="47" t="s">
        <v>396</v>
      </c>
      <c r="C102" s="46">
        <v>5.53</v>
      </c>
      <c r="D102" s="125"/>
    </row>
    <row r="103" spans="1:4" ht="15.75" hidden="1" outlineLevel="1">
      <c r="A103" s="46" t="s">
        <v>33</v>
      </c>
      <c r="B103" s="47" t="s">
        <v>13</v>
      </c>
      <c r="C103" s="46">
        <v>5.69</v>
      </c>
      <c r="D103" s="125"/>
    </row>
    <row r="104" spans="1:4" ht="15.75" hidden="1" outlineLevel="1">
      <c r="A104" s="46" t="s">
        <v>33</v>
      </c>
      <c r="B104" s="47" t="s">
        <v>420</v>
      </c>
      <c r="C104" s="46">
        <v>5.75</v>
      </c>
      <c r="D104" s="125"/>
    </row>
    <row r="105" spans="1:4" ht="15.75" hidden="1" outlineLevel="1">
      <c r="A105" s="46" t="s">
        <v>33</v>
      </c>
      <c r="B105" s="47" t="s">
        <v>14</v>
      </c>
      <c r="C105" s="48">
        <v>5.7</v>
      </c>
      <c r="D105" s="125"/>
    </row>
    <row r="106" spans="1:4" ht="15.75" hidden="1" outlineLevel="1">
      <c r="A106" s="46" t="s">
        <v>33</v>
      </c>
      <c r="B106" s="47" t="s">
        <v>619</v>
      </c>
      <c r="C106" s="46">
        <v>5.74</v>
      </c>
      <c r="D106" s="125"/>
    </row>
    <row r="107" spans="1:4" ht="15.75" hidden="1" outlineLevel="1">
      <c r="A107" s="46" t="s">
        <v>33</v>
      </c>
      <c r="B107" s="47" t="s">
        <v>923</v>
      </c>
      <c r="C107" s="46">
        <v>5.76</v>
      </c>
      <c r="D107" s="125"/>
    </row>
    <row r="108" spans="1:4" ht="15.75" hidden="1" outlineLevel="1">
      <c r="A108" s="46" t="s">
        <v>33</v>
      </c>
      <c r="B108" s="47" t="s">
        <v>667</v>
      </c>
      <c r="C108" s="46">
        <v>5.89</v>
      </c>
      <c r="D108" s="124" t="s">
        <v>933</v>
      </c>
    </row>
    <row r="109" spans="1:4" ht="15.75" hidden="1" outlineLevel="1">
      <c r="A109" s="46" t="s">
        <v>33</v>
      </c>
      <c r="B109" s="47" t="s">
        <v>771</v>
      </c>
      <c r="C109" s="46">
        <v>5.58</v>
      </c>
      <c r="D109" s="125"/>
    </row>
    <row r="110" spans="1:4" ht="15.75" hidden="1" outlineLevel="1">
      <c r="A110" s="46" t="s">
        <v>33</v>
      </c>
      <c r="B110" s="47" t="s">
        <v>936</v>
      </c>
      <c r="C110" s="46">
        <v>5.62</v>
      </c>
      <c r="D110" s="125"/>
    </row>
    <row r="111" spans="1:4" ht="15.75" hidden="1" outlineLevel="1">
      <c r="A111" s="46" t="s">
        <v>33</v>
      </c>
      <c r="B111" s="47" t="s">
        <v>11</v>
      </c>
      <c r="C111" s="46">
        <v>5.54</v>
      </c>
      <c r="D111" s="125"/>
    </row>
    <row r="112" spans="1:4" ht="15.75" hidden="1" outlineLevel="1">
      <c r="A112" s="46" t="s">
        <v>33</v>
      </c>
      <c r="B112" s="47" t="s">
        <v>15</v>
      </c>
      <c r="C112" s="46">
        <v>5.55</v>
      </c>
      <c r="D112" s="125"/>
    </row>
    <row r="113" spans="1:4" ht="15.75" hidden="1" outlineLevel="1">
      <c r="A113" s="46" t="s">
        <v>33</v>
      </c>
      <c r="B113" s="47" t="s">
        <v>1152</v>
      </c>
      <c r="C113" s="46">
        <v>5.65</v>
      </c>
      <c r="D113" s="125"/>
    </row>
    <row r="114" spans="1:4" ht="15.75" hidden="1" outlineLevel="1">
      <c r="A114" s="46" t="s">
        <v>33</v>
      </c>
      <c r="B114" s="47" t="s">
        <v>786</v>
      </c>
      <c r="C114" s="46">
        <v>5.66</v>
      </c>
      <c r="D114" s="125"/>
    </row>
    <row r="115" spans="1:4" ht="15.75" hidden="1" outlineLevel="1">
      <c r="A115" s="46" t="s">
        <v>33</v>
      </c>
      <c r="B115" s="47" t="s">
        <v>26</v>
      </c>
      <c r="C115" s="46">
        <v>5.68</v>
      </c>
      <c r="D115" s="125"/>
    </row>
    <row r="116" spans="1:4" ht="15.75" hidden="1" outlineLevel="1">
      <c r="A116" s="46" t="s">
        <v>33</v>
      </c>
      <c r="B116" s="47" t="s">
        <v>18</v>
      </c>
      <c r="C116" s="46">
        <v>5.45</v>
      </c>
      <c r="D116" s="125"/>
    </row>
    <row r="117" spans="1:4" ht="15.75" hidden="1" outlineLevel="1">
      <c r="A117" s="46" t="s">
        <v>33</v>
      </c>
      <c r="B117" s="47" t="s">
        <v>19</v>
      </c>
      <c r="C117" s="46">
        <v>5.47</v>
      </c>
      <c r="D117" s="125"/>
    </row>
    <row r="118" spans="1:4" ht="15.75" hidden="1" outlineLevel="1">
      <c r="A118" s="46" t="s">
        <v>33</v>
      </c>
      <c r="B118" s="47" t="s">
        <v>30</v>
      </c>
      <c r="C118" s="46">
        <v>5.48</v>
      </c>
      <c r="D118" s="125"/>
    </row>
    <row r="119" spans="1:4" ht="15.75" collapsed="1">
      <c r="A119" s="52" t="s">
        <v>33</v>
      </c>
      <c r="B119" s="47"/>
      <c r="C119" s="46"/>
      <c r="D119" s="125"/>
    </row>
    <row r="120" spans="1:4" ht="15.75" hidden="1" outlineLevel="1">
      <c r="A120" s="46" t="s">
        <v>789</v>
      </c>
      <c r="B120" s="47" t="s">
        <v>649</v>
      </c>
      <c r="C120" s="46">
        <v>5.0999999999999996</v>
      </c>
      <c r="D120" s="125"/>
    </row>
    <row r="121" spans="1:4" ht="15.75" hidden="1" outlineLevel="1">
      <c r="A121" s="46" t="s">
        <v>789</v>
      </c>
      <c r="B121" s="47" t="s">
        <v>0</v>
      </c>
      <c r="C121" s="46">
        <v>5.2</v>
      </c>
      <c r="D121" s="125"/>
    </row>
    <row r="122" spans="1:4" ht="15.75" hidden="1" outlineLevel="1">
      <c r="A122" s="46" t="s">
        <v>789</v>
      </c>
      <c r="B122" s="47" t="s">
        <v>722</v>
      </c>
      <c r="C122" s="46">
        <v>5.3</v>
      </c>
      <c r="D122" s="125"/>
    </row>
    <row r="123" spans="1:4" ht="15.75" hidden="1" outlineLevel="1">
      <c r="A123" s="46" t="s">
        <v>789</v>
      </c>
      <c r="B123" s="47" t="s">
        <v>2</v>
      </c>
      <c r="C123" s="46">
        <v>5.6</v>
      </c>
      <c r="D123" s="125"/>
    </row>
    <row r="124" spans="1:4" ht="15.75" hidden="1" outlineLevel="1">
      <c r="A124" s="46" t="s">
        <v>789</v>
      </c>
      <c r="B124" s="47" t="s">
        <v>728</v>
      </c>
      <c r="C124" s="48">
        <v>5.0999999999999996</v>
      </c>
      <c r="D124" s="125"/>
    </row>
    <row r="125" spans="1:4" ht="15.75" hidden="1" outlineLevel="1">
      <c r="A125" s="46" t="s">
        <v>789</v>
      </c>
      <c r="B125" s="47" t="s">
        <v>3</v>
      </c>
      <c r="C125" s="46">
        <v>5.14</v>
      </c>
      <c r="D125" s="125"/>
    </row>
    <row r="126" spans="1:4" ht="15.75" hidden="1" outlineLevel="1">
      <c r="A126" s="46" t="s">
        <v>789</v>
      </c>
      <c r="B126" s="47" t="s">
        <v>29</v>
      </c>
      <c r="C126" s="46">
        <v>5.19</v>
      </c>
      <c r="D126" s="125"/>
    </row>
    <row r="127" spans="1:4" ht="15.75" hidden="1" outlineLevel="1">
      <c r="A127" s="46" t="s">
        <v>789</v>
      </c>
      <c r="B127" s="47" t="s">
        <v>28</v>
      </c>
      <c r="C127" s="46">
        <v>5.24</v>
      </c>
      <c r="D127" s="125"/>
    </row>
    <row r="128" spans="1:4" ht="15.75" hidden="1" outlineLevel="1">
      <c r="A128" s="46" t="s">
        <v>789</v>
      </c>
      <c r="B128" s="47" t="s">
        <v>1</v>
      </c>
      <c r="C128" s="46">
        <v>5.26</v>
      </c>
      <c r="D128" s="125"/>
    </row>
    <row r="129" spans="1:4" ht="15.75" hidden="1" outlineLevel="1">
      <c r="A129" s="46" t="s">
        <v>789</v>
      </c>
      <c r="B129" s="47" t="s">
        <v>602</v>
      </c>
      <c r="C129" s="46">
        <v>5.27</v>
      </c>
      <c r="D129" s="125"/>
    </row>
    <row r="130" spans="1:4" ht="15.75" hidden="1" outlineLevel="1">
      <c r="A130" s="46" t="s">
        <v>789</v>
      </c>
      <c r="B130" s="47" t="s">
        <v>603</v>
      </c>
      <c r="C130" s="46">
        <v>5.28</v>
      </c>
      <c r="D130" s="125"/>
    </row>
    <row r="131" spans="1:4" ht="15.75" hidden="1" outlineLevel="1">
      <c r="A131" s="46" t="s">
        <v>789</v>
      </c>
      <c r="B131" s="47" t="s">
        <v>607</v>
      </c>
      <c r="C131" s="46">
        <v>5.29</v>
      </c>
      <c r="D131" s="125"/>
    </row>
    <row r="132" spans="1:4" ht="15.75" hidden="1" outlineLevel="1">
      <c r="A132" s="46" t="s">
        <v>789</v>
      </c>
      <c r="B132" s="47" t="s">
        <v>5</v>
      </c>
      <c r="C132" s="48">
        <v>5.3</v>
      </c>
      <c r="D132" s="125"/>
    </row>
    <row r="133" spans="1:4" ht="15.75" hidden="1" outlineLevel="1">
      <c r="A133" s="46" t="s">
        <v>789</v>
      </c>
      <c r="B133" s="47" t="s">
        <v>9</v>
      </c>
      <c r="C133" s="46">
        <v>5.31</v>
      </c>
      <c r="D133" s="125"/>
    </row>
    <row r="134" spans="1:4" ht="15.75" hidden="1" outlineLevel="1">
      <c r="A134" s="46" t="s">
        <v>789</v>
      </c>
      <c r="B134" s="47" t="s">
        <v>604</v>
      </c>
      <c r="C134" s="46">
        <v>5.36</v>
      </c>
      <c r="D134" s="125"/>
    </row>
    <row r="135" spans="1:4" ht="15.75" hidden="1" outlineLevel="1">
      <c r="A135" s="46" t="s">
        <v>789</v>
      </c>
      <c r="B135" s="47" t="s">
        <v>396</v>
      </c>
      <c r="C135" s="46">
        <v>5.53</v>
      </c>
      <c r="D135" s="125"/>
    </row>
    <row r="136" spans="1:4" ht="15.75" hidden="1" outlineLevel="1">
      <c r="A136" s="46" t="s">
        <v>789</v>
      </c>
      <c r="B136" s="47" t="s">
        <v>771</v>
      </c>
      <c r="C136" s="46">
        <v>5.58</v>
      </c>
      <c r="D136" s="125"/>
    </row>
    <row r="137" spans="1:4" ht="15.75" hidden="1" outlineLevel="1">
      <c r="A137" s="46" t="s">
        <v>789</v>
      </c>
      <c r="B137" s="47" t="s">
        <v>936</v>
      </c>
      <c r="C137" s="46">
        <v>5.62</v>
      </c>
      <c r="D137" s="125"/>
    </row>
    <row r="138" spans="1:4" ht="15.75" hidden="1" outlineLevel="1">
      <c r="A138" s="46" t="s">
        <v>789</v>
      </c>
      <c r="B138" s="47" t="s">
        <v>11</v>
      </c>
      <c r="C138" s="46">
        <v>5.54</v>
      </c>
      <c r="D138" s="125"/>
    </row>
    <row r="139" spans="1:4" ht="15.75" hidden="1" outlineLevel="1">
      <c r="A139" s="46" t="s">
        <v>789</v>
      </c>
      <c r="B139" s="47" t="s">
        <v>15</v>
      </c>
      <c r="C139" s="46">
        <v>5.55</v>
      </c>
      <c r="D139" s="125"/>
    </row>
    <row r="140" spans="1:4" ht="15.75" hidden="1" outlineLevel="1">
      <c r="A140" s="46" t="s">
        <v>789</v>
      </c>
      <c r="B140" s="47" t="s">
        <v>1151</v>
      </c>
      <c r="C140" s="46">
        <v>5.63</v>
      </c>
      <c r="D140" s="125"/>
    </row>
    <row r="141" spans="1:4" ht="15.75" hidden="1" outlineLevel="1">
      <c r="A141" s="46" t="s">
        <v>789</v>
      </c>
      <c r="B141" s="47" t="s">
        <v>18</v>
      </c>
      <c r="C141" s="46">
        <v>5.45</v>
      </c>
      <c r="D141" s="125"/>
    </row>
    <row r="142" spans="1:4" ht="15.75" hidden="1" outlineLevel="1">
      <c r="A142" s="46" t="s">
        <v>789</v>
      </c>
      <c r="B142" s="47" t="s">
        <v>19</v>
      </c>
      <c r="C142" s="46">
        <v>5.47</v>
      </c>
      <c r="D142" s="125"/>
    </row>
    <row r="143" spans="1:4" ht="15.75" hidden="1" outlineLevel="1">
      <c r="A143" s="46" t="s">
        <v>789</v>
      </c>
      <c r="B143" s="47" t="s">
        <v>30</v>
      </c>
      <c r="C143" s="46">
        <v>5.48</v>
      </c>
      <c r="D143" s="125"/>
    </row>
    <row r="144" spans="1:4" ht="15.75" collapsed="1">
      <c r="A144" s="52" t="s">
        <v>789</v>
      </c>
      <c r="B144" s="47"/>
      <c r="C144" s="46"/>
      <c r="D144" s="125"/>
    </row>
    <row r="145" spans="1:4" ht="15.75" hidden="1" outlineLevel="1">
      <c r="A145" s="46" t="s">
        <v>34</v>
      </c>
      <c r="B145" s="47" t="s">
        <v>649</v>
      </c>
      <c r="C145" s="46">
        <v>5.0999999999999996</v>
      </c>
      <c r="D145" s="125"/>
    </row>
    <row r="146" spans="1:4" ht="15.75" hidden="1" outlineLevel="1">
      <c r="A146" s="46" t="s">
        <v>34</v>
      </c>
      <c r="B146" s="47" t="s">
        <v>0</v>
      </c>
      <c r="C146" s="46">
        <v>5.2</v>
      </c>
      <c r="D146" s="125"/>
    </row>
    <row r="147" spans="1:4" ht="15.75" hidden="1" outlineLevel="1">
      <c r="A147" s="46" t="s">
        <v>34</v>
      </c>
      <c r="B147" s="47" t="s">
        <v>722</v>
      </c>
      <c r="C147" s="46">
        <v>5.3</v>
      </c>
      <c r="D147" s="125"/>
    </row>
    <row r="148" spans="1:4" ht="15.75" hidden="1" outlineLevel="1">
      <c r="A148" s="46" t="s">
        <v>34</v>
      </c>
      <c r="B148" s="47" t="s">
        <v>2</v>
      </c>
      <c r="C148" s="46">
        <v>5.6</v>
      </c>
      <c r="D148" s="125"/>
    </row>
    <row r="149" spans="1:4" ht="15.75" hidden="1" outlineLevel="1">
      <c r="A149" s="46" t="s">
        <v>34</v>
      </c>
      <c r="B149" s="47" t="s">
        <v>728</v>
      </c>
      <c r="C149" s="48">
        <v>5.0999999999999996</v>
      </c>
      <c r="D149" s="125"/>
    </row>
    <row r="150" spans="1:4" ht="15.75" hidden="1" outlineLevel="1">
      <c r="A150" s="46" t="s">
        <v>34</v>
      </c>
      <c r="B150" s="47" t="s">
        <v>3</v>
      </c>
      <c r="C150" s="46">
        <v>5.14</v>
      </c>
      <c r="D150" s="125"/>
    </row>
    <row r="151" spans="1:4" ht="15.75" hidden="1" outlineLevel="1">
      <c r="A151" s="46" t="s">
        <v>34</v>
      </c>
      <c r="B151" s="47" t="s">
        <v>29</v>
      </c>
      <c r="C151" s="46">
        <v>5.19</v>
      </c>
      <c r="D151" s="125"/>
    </row>
    <row r="152" spans="1:4" ht="15.75" hidden="1" outlineLevel="1">
      <c r="A152" s="46" t="s">
        <v>34</v>
      </c>
      <c r="B152" s="47" t="s">
        <v>28</v>
      </c>
      <c r="C152" s="46">
        <v>5.24</v>
      </c>
      <c r="D152" s="125"/>
    </row>
    <row r="153" spans="1:4" ht="15.75" hidden="1" outlineLevel="1">
      <c r="A153" s="46" t="s">
        <v>34</v>
      </c>
      <c r="B153" s="47" t="s">
        <v>1</v>
      </c>
      <c r="C153" s="46">
        <v>5.26</v>
      </c>
      <c r="D153" s="125"/>
    </row>
    <row r="154" spans="1:4" ht="15.75" hidden="1" outlineLevel="1">
      <c r="A154" s="46" t="s">
        <v>34</v>
      </c>
      <c r="B154" s="47" t="s">
        <v>602</v>
      </c>
      <c r="C154" s="46">
        <v>5.27</v>
      </c>
      <c r="D154" s="125"/>
    </row>
    <row r="155" spans="1:4" ht="15.75" hidden="1" outlineLevel="1">
      <c r="A155" s="46" t="s">
        <v>34</v>
      </c>
      <c r="B155" s="47" t="s">
        <v>603</v>
      </c>
      <c r="C155" s="46">
        <v>5.28</v>
      </c>
      <c r="D155" s="125"/>
    </row>
    <row r="156" spans="1:4" ht="15.75" hidden="1" outlineLevel="1">
      <c r="A156" s="46" t="s">
        <v>34</v>
      </c>
      <c r="B156" s="47" t="s">
        <v>5</v>
      </c>
      <c r="C156" s="48">
        <v>5.3</v>
      </c>
      <c r="D156" s="125"/>
    </row>
    <row r="157" spans="1:4" ht="15.75" hidden="1" outlineLevel="1">
      <c r="A157" s="46" t="s">
        <v>34</v>
      </c>
      <c r="B157" s="47" t="s">
        <v>300</v>
      </c>
      <c r="C157" s="46">
        <v>5.32</v>
      </c>
      <c r="D157" s="125"/>
    </row>
    <row r="158" spans="1:4" ht="15.75" hidden="1" outlineLevel="1">
      <c r="A158" s="46" t="s">
        <v>34</v>
      </c>
      <c r="B158" s="47" t="s">
        <v>604</v>
      </c>
      <c r="C158" s="46">
        <v>5.36</v>
      </c>
      <c r="D158" s="125"/>
    </row>
    <row r="159" spans="1:4" ht="15.75" hidden="1" outlineLevel="1">
      <c r="A159" s="46" t="s">
        <v>34</v>
      </c>
      <c r="B159" s="47" t="s">
        <v>396</v>
      </c>
      <c r="C159" s="46">
        <v>5.53</v>
      </c>
      <c r="D159" s="125"/>
    </row>
    <row r="160" spans="1:4" ht="15.75" hidden="1" outlineLevel="1">
      <c r="A160" s="46" t="s">
        <v>34</v>
      </c>
      <c r="B160" s="47" t="s">
        <v>771</v>
      </c>
      <c r="C160" s="46">
        <v>5.58</v>
      </c>
      <c r="D160" s="125"/>
    </row>
    <row r="161" spans="1:4" ht="15.75" hidden="1" outlineLevel="1">
      <c r="A161" s="46" t="s">
        <v>34</v>
      </c>
      <c r="B161" s="47" t="s">
        <v>11</v>
      </c>
      <c r="C161" s="46">
        <v>5.54</v>
      </c>
      <c r="D161" s="125"/>
    </row>
    <row r="162" spans="1:4" ht="15.75" hidden="1" outlineLevel="1">
      <c r="A162" s="46" t="s">
        <v>34</v>
      </c>
      <c r="B162" s="47" t="s">
        <v>15</v>
      </c>
      <c r="C162" s="46">
        <v>5.55</v>
      </c>
      <c r="D162" s="125"/>
    </row>
    <row r="163" spans="1:4" ht="15.75" hidden="1" outlineLevel="1">
      <c r="A163" s="46" t="s">
        <v>34</v>
      </c>
      <c r="B163" s="47" t="s">
        <v>936</v>
      </c>
      <c r="C163" s="46">
        <v>5.62</v>
      </c>
      <c r="D163" s="125"/>
    </row>
    <row r="164" spans="1:4" ht="15.75" hidden="1" outlineLevel="1">
      <c r="A164" s="46" t="s">
        <v>34</v>
      </c>
      <c r="B164" s="47" t="s">
        <v>1151</v>
      </c>
      <c r="C164" s="46">
        <v>5.63</v>
      </c>
      <c r="D164" s="125"/>
    </row>
    <row r="165" spans="1:4" ht="15.75" hidden="1" outlineLevel="1">
      <c r="A165" s="46" t="s">
        <v>34</v>
      </c>
      <c r="B165" s="47" t="s">
        <v>18</v>
      </c>
      <c r="C165" s="46">
        <v>5.45</v>
      </c>
      <c r="D165" s="125"/>
    </row>
    <row r="166" spans="1:4" ht="15.75" hidden="1" outlineLevel="1">
      <c r="A166" s="46" t="s">
        <v>34</v>
      </c>
      <c r="B166" s="47" t="s">
        <v>19</v>
      </c>
      <c r="C166" s="46">
        <v>5.47</v>
      </c>
      <c r="D166" s="125"/>
    </row>
    <row r="167" spans="1:4" ht="15.75" hidden="1" outlineLevel="1">
      <c r="A167" s="46" t="s">
        <v>34</v>
      </c>
      <c r="B167" s="47" t="s">
        <v>30</v>
      </c>
      <c r="C167" s="46">
        <v>5.48</v>
      </c>
      <c r="D167" s="125"/>
    </row>
    <row r="168" spans="1:4" ht="15.75" collapsed="1">
      <c r="A168" s="52" t="s">
        <v>34</v>
      </c>
      <c r="B168" s="47"/>
      <c r="C168" s="46"/>
      <c r="D168" s="125"/>
    </row>
    <row r="169" spans="1:4" ht="15.75" hidden="1" outlineLevel="1">
      <c r="A169" s="46" t="s">
        <v>35</v>
      </c>
      <c r="B169" s="47" t="s">
        <v>649</v>
      </c>
      <c r="C169" s="46">
        <v>5.0999999999999996</v>
      </c>
      <c r="D169" s="125"/>
    </row>
    <row r="170" spans="1:4" ht="15.75" hidden="1" outlineLevel="1">
      <c r="A170" s="46" t="s">
        <v>35</v>
      </c>
      <c r="B170" s="47" t="s">
        <v>0</v>
      </c>
      <c r="C170" s="46">
        <v>5.2</v>
      </c>
      <c r="D170" s="125"/>
    </row>
    <row r="171" spans="1:4" ht="15.75" hidden="1" outlineLevel="1">
      <c r="A171" s="46" t="s">
        <v>35</v>
      </c>
      <c r="B171" s="47" t="s">
        <v>722</v>
      </c>
      <c r="C171" s="46">
        <v>5.3</v>
      </c>
      <c r="D171" s="125"/>
    </row>
    <row r="172" spans="1:4" ht="15.75" hidden="1" outlineLevel="1">
      <c r="A172" s="46" t="s">
        <v>35</v>
      </c>
      <c r="B172" s="47" t="s">
        <v>2</v>
      </c>
      <c r="C172" s="46">
        <v>5.6</v>
      </c>
      <c r="D172" s="125"/>
    </row>
    <row r="173" spans="1:4" ht="15.75" hidden="1" outlineLevel="1">
      <c r="A173" s="46" t="s">
        <v>35</v>
      </c>
      <c r="B173" s="47" t="s">
        <v>728</v>
      </c>
      <c r="C173" s="48">
        <v>5.0999999999999996</v>
      </c>
      <c r="D173" s="125"/>
    </row>
    <row r="174" spans="1:4" ht="15.75" hidden="1" outlineLevel="1">
      <c r="A174" s="46" t="s">
        <v>35</v>
      </c>
      <c r="B174" s="47" t="s">
        <v>3</v>
      </c>
      <c r="C174" s="46">
        <v>5.14</v>
      </c>
      <c r="D174" s="125"/>
    </row>
    <row r="175" spans="1:4" ht="15.75" hidden="1" outlineLevel="1">
      <c r="A175" s="46" t="s">
        <v>35</v>
      </c>
      <c r="B175" s="47" t="s">
        <v>29</v>
      </c>
      <c r="C175" s="46">
        <v>5.19</v>
      </c>
      <c r="D175" s="125"/>
    </row>
    <row r="176" spans="1:4" ht="15.75" hidden="1" outlineLevel="1">
      <c r="A176" s="46" t="s">
        <v>35</v>
      </c>
      <c r="B176" s="47" t="s">
        <v>28</v>
      </c>
      <c r="C176" s="46">
        <v>5.24</v>
      </c>
      <c r="D176" s="125"/>
    </row>
    <row r="177" spans="1:4" ht="15.75" hidden="1" outlineLevel="1">
      <c r="A177" s="46" t="s">
        <v>35</v>
      </c>
      <c r="B177" s="47" t="s">
        <v>1</v>
      </c>
      <c r="C177" s="46">
        <v>5.26</v>
      </c>
      <c r="D177" s="125"/>
    </row>
    <row r="178" spans="1:4" ht="15.75" hidden="1" outlineLevel="1">
      <c r="A178" s="46" t="s">
        <v>35</v>
      </c>
      <c r="B178" s="47" t="s">
        <v>602</v>
      </c>
      <c r="C178" s="46">
        <v>5.27</v>
      </c>
      <c r="D178" s="125"/>
    </row>
    <row r="179" spans="1:4" ht="15.75" hidden="1" outlineLevel="1">
      <c r="A179" s="46" t="s">
        <v>35</v>
      </c>
      <c r="B179" s="47" t="s">
        <v>603</v>
      </c>
      <c r="C179" s="46">
        <v>5.28</v>
      </c>
      <c r="D179" s="125"/>
    </row>
    <row r="180" spans="1:4" ht="15.75" hidden="1" outlineLevel="1">
      <c r="A180" s="46" t="s">
        <v>35</v>
      </c>
      <c r="B180" s="47" t="s">
        <v>607</v>
      </c>
      <c r="C180" s="46">
        <v>5.29</v>
      </c>
      <c r="D180" s="125"/>
    </row>
    <row r="181" spans="1:4" ht="15.75" hidden="1" outlineLevel="1">
      <c r="A181" s="46" t="s">
        <v>35</v>
      </c>
      <c r="B181" s="47" t="s">
        <v>5</v>
      </c>
      <c r="C181" s="48">
        <v>5.3</v>
      </c>
      <c r="D181" s="125"/>
    </row>
    <row r="182" spans="1:4" ht="15.75" hidden="1" outlineLevel="1">
      <c r="A182" s="46" t="s">
        <v>35</v>
      </c>
      <c r="B182" s="47" t="s">
        <v>300</v>
      </c>
      <c r="C182" s="46">
        <v>5.32</v>
      </c>
      <c r="D182" s="125"/>
    </row>
    <row r="183" spans="1:4" ht="15.75" hidden="1" outlineLevel="1">
      <c r="A183" s="46" t="s">
        <v>35</v>
      </c>
      <c r="B183" s="47" t="s">
        <v>604</v>
      </c>
      <c r="C183" s="46">
        <v>5.36</v>
      </c>
      <c r="D183" s="125"/>
    </row>
    <row r="184" spans="1:4" ht="15.75" hidden="1" outlineLevel="1">
      <c r="A184" s="46" t="s">
        <v>35</v>
      </c>
      <c r="B184" s="47" t="s">
        <v>396</v>
      </c>
      <c r="C184" s="46">
        <v>5.53</v>
      </c>
      <c r="D184" s="125"/>
    </row>
    <row r="185" spans="1:4" ht="15.75" hidden="1" outlineLevel="1">
      <c r="A185" s="46" t="s">
        <v>35</v>
      </c>
      <c r="B185" s="47" t="s">
        <v>771</v>
      </c>
      <c r="C185" s="46">
        <v>5.58</v>
      </c>
      <c r="D185" s="125"/>
    </row>
    <row r="186" spans="1:4" ht="15.75" hidden="1" outlineLevel="1">
      <c r="A186" s="46" t="s">
        <v>35</v>
      </c>
      <c r="B186" s="47" t="s">
        <v>11</v>
      </c>
      <c r="C186" s="46">
        <v>5.54</v>
      </c>
      <c r="D186" s="125"/>
    </row>
    <row r="187" spans="1:4" ht="15.75" hidden="1" outlineLevel="1">
      <c r="A187" s="46" t="s">
        <v>35</v>
      </c>
      <c r="B187" s="47" t="s">
        <v>15</v>
      </c>
      <c r="C187" s="46">
        <v>5.55</v>
      </c>
      <c r="D187" s="125"/>
    </row>
    <row r="188" spans="1:4" ht="15.75" hidden="1" outlineLevel="1">
      <c r="A188" s="46" t="s">
        <v>35</v>
      </c>
      <c r="B188" s="47" t="s">
        <v>1151</v>
      </c>
      <c r="C188" s="46">
        <v>5.63</v>
      </c>
      <c r="D188" s="125"/>
    </row>
    <row r="189" spans="1:4" ht="15.75" hidden="1" outlineLevel="1">
      <c r="A189" s="46" t="s">
        <v>35</v>
      </c>
      <c r="B189" s="47" t="s">
        <v>18</v>
      </c>
      <c r="C189" s="46">
        <v>5.45</v>
      </c>
      <c r="D189" s="125"/>
    </row>
    <row r="190" spans="1:4" ht="15.75" hidden="1" outlineLevel="1">
      <c r="A190" s="46" t="s">
        <v>35</v>
      </c>
      <c r="B190" s="47" t="s">
        <v>19</v>
      </c>
      <c r="C190" s="46">
        <v>5.47</v>
      </c>
      <c r="D190" s="125"/>
    </row>
    <row r="191" spans="1:4" ht="15.75" hidden="1" outlineLevel="1">
      <c r="A191" s="46" t="s">
        <v>35</v>
      </c>
      <c r="B191" s="47" t="s">
        <v>30</v>
      </c>
      <c r="C191" s="46">
        <v>5.48</v>
      </c>
      <c r="D191" s="125"/>
    </row>
    <row r="192" spans="1:4" ht="15.75" collapsed="1">
      <c r="A192" s="52" t="s">
        <v>35</v>
      </c>
      <c r="B192" s="47"/>
      <c r="C192" s="46"/>
      <c r="D192" s="125"/>
    </row>
    <row r="193" spans="1:4" ht="15.75" hidden="1" outlineLevel="1">
      <c r="A193" s="46" t="s">
        <v>36</v>
      </c>
      <c r="B193" s="47" t="s">
        <v>649</v>
      </c>
      <c r="C193" s="46">
        <v>5.0999999999999996</v>
      </c>
      <c r="D193" s="125"/>
    </row>
    <row r="194" spans="1:4" ht="15.75" hidden="1" outlineLevel="1">
      <c r="A194" s="46" t="s">
        <v>36</v>
      </c>
      <c r="B194" s="47" t="s">
        <v>0</v>
      </c>
      <c r="C194" s="46">
        <v>5.2</v>
      </c>
      <c r="D194" s="125"/>
    </row>
    <row r="195" spans="1:4" ht="15.75" hidden="1" outlineLevel="1">
      <c r="A195" s="46" t="s">
        <v>36</v>
      </c>
      <c r="B195" s="47" t="s">
        <v>722</v>
      </c>
      <c r="C195" s="46">
        <v>5.3</v>
      </c>
      <c r="D195" s="125"/>
    </row>
    <row r="196" spans="1:4" ht="15.75" hidden="1" outlineLevel="1">
      <c r="A196" s="46" t="s">
        <v>36</v>
      </c>
      <c r="B196" s="47" t="s">
        <v>2</v>
      </c>
      <c r="C196" s="46">
        <v>5.6</v>
      </c>
      <c r="D196" s="125"/>
    </row>
    <row r="197" spans="1:4" ht="15.75" hidden="1" outlineLevel="1">
      <c r="A197" s="46" t="s">
        <v>36</v>
      </c>
      <c r="B197" s="47" t="s">
        <v>728</v>
      </c>
      <c r="C197" s="48">
        <v>5.0999999999999996</v>
      </c>
      <c r="D197" s="125"/>
    </row>
    <row r="198" spans="1:4" ht="15.75" hidden="1" outlineLevel="1">
      <c r="A198" s="46" t="s">
        <v>36</v>
      </c>
      <c r="B198" s="47" t="s">
        <v>3</v>
      </c>
      <c r="C198" s="46">
        <v>5.14</v>
      </c>
      <c r="D198" s="125"/>
    </row>
    <row r="199" spans="1:4" ht="15.75" hidden="1" outlineLevel="1">
      <c r="A199" s="46" t="s">
        <v>36</v>
      </c>
      <c r="B199" s="47" t="s">
        <v>29</v>
      </c>
      <c r="C199" s="46">
        <v>5.19</v>
      </c>
      <c r="D199" s="125"/>
    </row>
    <row r="200" spans="1:4" ht="15.75" hidden="1" outlineLevel="1">
      <c r="A200" s="46" t="s">
        <v>36</v>
      </c>
      <c r="B200" s="47" t="s">
        <v>28</v>
      </c>
      <c r="C200" s="46">
        <v>5.24</v>
      </c>
      <c r="D200" s="125"/>
    </row>
    <row r="201" spans="1:4" ht="15.75" hidden="1" outlineLevel="1">
      <c r="A201" s="46" t="s">
        <v>36</v>
      </c>
      <c r="B201" s="47" t="s">
        <v>602</v>
      </c>
      <c r="C201" s="46">
        <v>5.27</v>
      </c>
      <c r="D201" s="125"/>
    </row>
    <row r="202" spans="1:4" ht="15.75" hidden="1" outlineLevel="1">
      <c r="A202" s="46" t="s">
        <v>36</v>
      </c>
      <c r="B202" s="47" t="s">
        <v>603</v>
      </c>
      <c r="C202" s="46">
        <v>5.28</v>
      </c>
      <c r="D202" s="125"/>
    </row>
    <row r="203" spans="1:4" ht="15.75" hidden="1" outlineLevel="1">
      <c r="A203" s="46" t="s">
        <v>36</v>
      </c>
      <c r="B203" s="47" t="s">
        <v>607</v>
      </c>
      <c r="C203" s="46">
        <v>5.29</v>
      </c>
      <c r="D203" s="125"/>
    </row>
    <row r="204" spans="1:4" ht="15.75" hidden="1" outlineLevel="1">
      <c r="A204" s="46" t="s">
        <v>36</v>
      </c>
      <c r="B204" s="47" t="s">
        <v>5</v>
      </c>
      <c r="C204" s="48">
        <v>5.3</v>
      </c>
      <c r="D204" s="125"/>
    </row>
    <row r="205" spans="1:4" ht="15.75" hidden="1" outlineLevel="1">
      <c r="A205" s="46" t="s">
        <v>36</v>
      </c>
      <c r="B205" s="47" t="s">
        <v>736</v>
      </c>
      <c r="C205" s="46">
        <v>5.34</v>
      </c>
      <c r="D205" s="125"/>
    </row>
    <row r="206" spans="1:4" ht="15.75" hidden="1" outlineLevel="1">
      <c r="A206" s="46" t="s">
        <v>36</v>
      </c>
      <c r="B206" s="47" t="s">
        <v>9</v>
      </c>
      <c r="C206" s="46">
        <v>5.31</v>
      </c>
      <c r="D206" s="125"/>
    </row>
    <row r="207" spans="1:4" ht="15.75" hidden="1" outlineLevel="1">
      <c r="A207" s="46" t="s">
        <v>36</v>
      </c>
      <c r="B207" s="47" t="s">
        <v>664</v>
      </c>
      <c r="C207" s="46">
        <v>5.101</v>
      </c>
      <c r="D207" s="125"/>
    </row>
    <row r="208" spans="1:4" ht="15.75" hidden="1" outlineLevel="1">
      <c r="A208" s="46" t="s">
        <v>36</v>
      </c>
      <c r="B208" s="47" t="s">
        <v>604</v>
      </c>
      <c r="C208" s="46">
        <v>5.36</v>
      </c>
      <c r="D208" s="125"/>
    </row>
    <row r="209" spans="1:4" ht="15.75" hidden="1" outlineLevel="1">
      <c r="A209" s="46" t="s">
        <v>36</v>
      </c>
      <c r="B209" s="47" t="s">
        <v>396</v>
      </c>
      <c r="C209" s="46">
        <v>5.53</v>
      </c>
      <c r="D209" s="125"/>
    </row>
    <row r="210" spans="1:4" ht="15.75" hidden="1" outlineLevel="1">
      <c r="A210" s="46" t="s">
        <v>36</v>
      </c>
      <c r="B210" s="47" t="s">
        <v>23</v>
      </c>
      <c r="C210" s="46">
        <v>5.1020000000000003</v>
      </c>
      <c r="D210" s="125"/>
    </row>
    <row r="211" spans="1:4" ht="15.75" hidden="1" outlineLevel="1">
      <c r="A211" s="46" t="s">
        <v>36</v>
      </c>
      <c r="B211" s="47" t="s">
        <v>611</v>
      </c>
      <c r="C211" s="49">
        <v>5.0999999999999996</v>
      </c>
      <c r="D211" s="125"/>
    </row>
    <row r="212" spans="1:4" ht="15.75" hidden="1" outlineLevel="1">
      <c r="A212" s="46" t="s">
        <v>36</v>
      </c>
      <c r="B212" s="47" t="s">
        <v>771</v>
      </c>
      <c r="C212" s="46">
        <v>5.58</v>
      </c>
      <c r="D212" s="125"/>
    </row>
    <row r="213" spans="1:4" ht="15.75" hidden="1" outlineLevel="1">
      <c r="A213" s="46" t="s">
        <v>36</v>
      </c>
      <c r="B213" s="47" t="s">
        <v>11</v>
      </c>
      <c r="C213" s="46">
        <v>5.54</v>
      </c>
      <c r="D213" s="125"/>
    </row>
    <row r="214" spans="1:4" ht="15.75" hidden="1" outlineLevel="1">
      <c r="A214" s="46" t="s">
        <v>36</v>
      </c>
      <c r="B214" s="47" t="s">
        <v>15</v>
      </c>
      <c r="C214" s="46">
        <v>5.55</v>
      </c>
      <c r="D214" s="125"/>
    </row>
    <row r="215" spans="1:4" ht="15.75" hidden="1" outlineLevel="1">
      <c r="A215" s="46" t="s">
        <v>36</v>
      </c>
      <c r="B215" s="47" t="s">
        <v>1151</v>
      </c>
      <c r="C215" s="46">
        <v>5.63</v>
      </c>
      <c r="D215" s="125"/>
    </row>
    <row r="216" spans="1:4" ht="15.75" hidden="1" outlineLevel="1">
      <c r="A216" s="46" t="s">
        <v>36</v>
      </c>
      <c r="B216" s="47" t="s">
        <v>19</v>
      </c>
      <c r="C216" s="46">
        <v>5.47</v>
      </c>
      <c r="D216" s="125"/>
    </row>
    <row r="217" spans="1:4" ht="15.75" hidden="1" outlineLevel="1">
      <c r="A217" s="46" t="s">
        <v>36</v>
      </c>
      <c r="B217" s="47" t="s">
        <v>30</v>
      </c>
      <c r="C217" s="46">
        <v>5.48</v>
      </c>
      <c r="D217" s="125"/>
    </row>
    <row r="218" spans="1:4" ht="15.75" collapsed="1">
      <c r="A218" s="52" t="s">
        <v>36</v>
      </c>
      <c r="B218" s="47"/>
      <c r="C218" s="46"/>
      <c r="D218" s="125"/>
    </row>
    <row r="219" spans="1:4" ht="15.75" hidden="1" outlineLevel="1">
      <c r="A219" s="46" t="s">
        <v>37</v>
      </c>
      <c r="B219" s="47" t="s">
        <v>649</v>
      </c>
      <c r="C219" s="46">
        <v>5.0999999999999996</v>
      </c>
      <c r="D219" s="125"/>
    </row>
    <row r="220" spans="1:4" ht="15.75" hidden="1" outlineLevel="1">
      <c r="A220" s="46" t="s">
        <v>37</v>
      </c>
      <c r="B220" s="47" t="s">
        <v>0</v>
      </c>
      <c r="C220" s="46">
        <v>5.2</v>
      </c>
      <c r="D220" s="125"/>
    </row>
    <row r="221" spans="1:4" ht="15.75" hidden="1" outlineLevel="1">
      <c r="A221" s="46" t="s">
        <v>37</v>
      </c>
      <c r="B221" s="47" t="s">
        <v>722</v>
      </c>
      <c r="C221" s="46">
        <v>5.3</v>
      </c>
      <c r="D221" s="125"/>
    </row>
    <row r="222" spans="1:4" ht="15.75" hidden="1" outlineLevel="1">
      <c r="A222" s="46" t="s">
        <v>37</v>
      </c>
      <c r="B222" s="47" t="s">
        <v>2</v>
      </c>
      <c r="C222" s="46">
        <v>5.6</v>
      </c>
      <c r="D222" s="125"/>
    </row>
    <row r="223" spans="1:4" ht="15.75" hidden="1" outlineLevel="1">
      <c r="A223" s="46" t="s">
        <v>37</v>
      </c>
      <c r="B223" s="47" t="s">
        <v>728</v>
      </c>
      <c r="C223" s="48">
        <v>5.0999999999999996</v>
      </c>
      <c r="D223" s="125"/>
    </row>
    <row r="224" spans="1:4" ht="15.75" hidden="1" outlineLevel="1">
      <c r="A224" s="46" t="s">
        <v>37</v>
      </c>
      <c r="B224" s="47" t="s">
        <v>3</v>
      </c>
      <c r="C224" s="46">
        <v>5.14</v>
      </c>
      <c r="D224" s="125"/>
    </row>
    <row r="225" spans="1:4" ht="15.75" hidden="1" outlineLevel="1">
      <c r="A225" s="46" t="s">
        <v>37</v>
      </c>
      <c r="B225" s="47" t="s">
        <v>29</v>
      </c>
      <c r="C225" s="46">
        <v>5.19</v>
      </c>
      <c r="D225" s="125"/>
    </row>
    <row r="226" spans="1:4" ht="15.75" hidden="1" outlineLevel="1">
      <c r="A226" s="46" t="s">
        <v>37</v>
      </c>
      <c r="B226" s="47" t="s">
        <v>28</v>
      </c>
      <c r="C226" s="46">
        <v>5.24</v>
      </c>
      <c r="D226" s="125"/>
    </row>
    <row r="227" spans="1:4" ht="15.75" hidden="1" outlineLevel="1">
      <c r="A227" s="46" t="s">
        <v>37</v>
      </c>
      <c r="B227" s="47" t="s">
        <v>1</v>
      </c>
      <c r="C227" s="46">
        <v>5.26</v>
      </c>
      <c r="D227" s="125"/>
    </row>
    <row r="228" spans="1:4" ht="15.75" hidden="1" outlineLevel="1">
      <c r="A228" s="46" t="s">
        <v>37</v>
      </c>
      <c r="B228" s="47" t="s">
        <v>602</v>
      </c>
      <c r="C228" s="46">
        <v>5.27</v>
      </c>
      <c r="D228" s="125"/>
    </row>
    <row r="229" spans="1:4" ht="15.75" hidden="1" outlineLevel="1">
      <c r="A229" s="46" t="s">
        <v>37</v>
      </c>
      <c r="B229" s="47" t="s">
        <v>603</v>
      </c>
      <c r="C229" s="46">
        <v>5.28</v>
      </c>
      <c r="D229" s="125"/>
    </row>
    <row r="230" spans="1:4" ht="15.75" hidden="1" outlineLevel="1">
      <c r="A230" s="46" t="s">
        <v>37</v>
      </c>
      <c r="B230" s="47" t="s">
        <v>607</v>
      </c>
      <c r="C230" s="46">
        <v>5.29</v>
      </c>
      <c r="D230" s="125"/>
    </row>
    <row r="231" spans="1:4" ht="15.75" hidden="1" outlineLevel="1">
      <c r="A231" s="46" t="s">
        <v>37</v>
      </c>
      <c r="B231" s="47" t="s">
        <v>5</v>
      </c>
      <c r="C231" s="48">
        <v>5.3</v>
      </c>
      <c r="D231" s="125"/>
    </row>
    <row r="232" spans="1:4" ht="15.75" hidden="1" outlineLevel="1">
      <c r="A232" s="46" t="s">
        <v>37</v>
      </c>
      <c r="B232" s="47" t="s">
        <v>9</v>
      </c>
      <c r="C232" s="46">
        <v>5.31</v>
      </c>
      <c r="D232" s="125"/>
    </row>
    <row r="233" spans="1:4" ht="15.75" hidden="1" outlineLevel="1">
      <c r="A233" s="46" t="s">
        <v>37</v>
      </c>
      <c r="B233" s="47" t="s">
        <v>10</v>
      </c>
      <c r="C233" s="46">
        <v>5.33</v>
      </c>
      <c r="D233" s="125"/>
    </row>
    <row r="234" spans="1:4" ht="15.75" hidden="1" outlineLevel="1">
      <c r="A234" s="46" t="s">
        <v>37</v>
      </c>
      <c r="B234" s="47" t="s">
        <v>664</v>
      </c>
      <c r="C234" s="46">
        <v>5.101</v>
      </c>
      <c r="D234" s="125"/>
    </row>
    <row r="235" spans="1:4" ht="15.75" hidden="1" outlineLevel="1">
      <c r="A235" s="46" t="s">
        <v>37</v>
      </c>
      <c r="B235" s="47" t="s">
        <v>604</v>
      </c>
      <c r="C235" s="46">
        <v>5.36</v>
      </c>
      <c r="D235" s="125"/>
    </row>
    <row r="236" spans="1:4" ht="15.75" hidden="1" outlineLevel="1">
      <c r="A236" s="46" t="s">
        <v>37</v>
      </c>
      <c r="B236" s="47" t="s">
        <v>396</v>
      </c>
      <c r="C236" s="46">
        <v>5.53</v>
      </c>
      <c r="D236" s="125"/>
    </row>
    <row r="237" spans="1:4" ht="15.75" hidden="1" outlineLevel="1">
      <c r="A237" s="46" t="s">
        <v>37</v>
      </c>
      <c r="B237" s="47" t="s">
        <v>23</v>
      </c>
      <c r="C237" s="46">
        <v>5.1020000000000003</v>
      </c>
      <c r="D237" s="125"/>
    </row>
    <row r="238" spans="1:4" ht="15.75" hidden="1" outlineLevel="1">
      <c r="A238" s="46" t="s">
        <v>37</v>
      </c>
      <c r="B238" s="47" t="s">
        <v>771</v>
      </c>
      <c r="C238" s="46">
        <v>5.58</v>
      </c>
      <c r="D238" s="125"/>
    </row>
    <row r="239" spans="1:4" ht="15.75" hidden="1" outlineLevel="1">
      <c r="A239" s="46" t="s">
        <v>37</v>
      </c>
      <c r="B239" s="47" t="s">
        <v>11</v>
      </c>
      <c r="C239" s="46">
        <v>5.54</v>
      </c>
      <c r="D239" s="125"/>
    </row>
    <row r="240" spans="1:4" ht="15.75" hidden="1" outlineLevel="1">
      <c r="A240" s="46" t="s">
        <v>37</v>
      </c>
      <c r="B240" s="47" t="s">
        <v>15</v>
      </c>
      <c r="C240" s="46">
        <v>5.55</v>
      </c>
      <c r="D240" s="125"/>
    </row>
    <row r="241" spans="1:4" ht="15.75" hidden="1" outlineLevel="1">
      <c r="A241" s="46" t="s">
        <v>37</v>
      </c>
      <c r="B241" s="47" t="s">
        <v>1151</v>
      </c>
      <c r="C241" s="46">
        <v>5.63</v>
      </c>
      <c r="D241" s="125"/>
    </row>
    <row r="242" spans="1:4" ht="15.75" hidden="1" outlineLevel="1">
      <c r="A242" s="46" t="s">
        <v>37</v>
      </c>
      <c r="B242" s="47" t="s">
        <v>19</v>
      </c>
      <c r="C242" s="46">
        <v>5.47</v>
      </c>
      <c r="D242" s="125"/>
    </row>
    <row r="243" spans="1:4" ht="15.75" hidden="1" outlineLevel="1">
      <c r="A243" s="46" t="s">
        <v>37</v>
      </c>
      <c r="B243" s="47" t="s">
        <v>30</v>
      </c>
      <c r="C243" s="46">
        <v>5.48</v>
      </c>
      <c r="D243" s="125"/>
    </row>
    <row r="244" spans="1:4" ht="15.75" collapsed="1">
      <c r="A244" s="52" t="s">
        <v>37</v>
      </c>
      <c r="B244" s="47"/>
      <c r="C244" s="46"/>
      <c r="D244" s="125"/>
    </row>
    <row r="245" spans="1:4" ht="15.75" hidden="1" outlineLevel="1">
      <c r="A245" s="46" t="s">
        <v>38</v>
      </c>
      <c r="B245" s="47" t="s">
        <v>649</v>
      </c>
      <c r="C245" s="46">
        <v>5.0999999999999996</v>
      </c>
      <c r="D245" s="125"/>
    </row>
    <row r="246" spans="1:4" ht="15.75" hidden="1" outlineLevel="1">
      <c r="A246" s="46" t="s">
        <v>38</v>
      </c>
      <c r="B246" s="47" t="s">
        <v>0</v>
      </c>
      <c r="C246" s="46">
        <v>5.2</v>
      </c>
      <c r="D246" s="125"/>
    </row>
    <row r="247" spans="1:4" ht="15.75" hidden="1" outlineLevel="1">
      <c r="A247" s="46" t="s">
        <v>38</v>
      </c>
      <c r="B247" s="47" t="s">
        <v>722</v>
      </c>
      <c r="C247" s="46">
        <v>5.3</v>
      </c>
      <c r="D247" s="125"/>
    </row>
    <row r="248" spans="1:4" ht="15.75" hidden="1" outlineLevel="1">
      <c r="A248" s="46" t="s">
        <v>38</v>
      </c>
      <c r="B248" s="47" t="s">
        <v>2</v>
      </c>
      <c r="C248" s="46">
        <v>5.6</v>
      </c>
      <c r="D248" s="125"/>
    </row>
    <row r="249" spans="1:4" ht="15.75" hidden="1" outlineLevel="1">
      <c r="A249" s="46" t="s">
        <v>38</v>
      </c>
      <c r="B249" s="47" t="s">
        <v>728</v>
      </c>
      <c r="C249" s="48">
        <v>5.0999999999999996</v>
      </c>
      <c r="D249" s="125"/>
    </row>
    <row r="250" spans="1:4" ht="15.75" hidden="1" outlineLevel="1">
      <c r="A250" s="46" t="s">
        <v>38</v>
      </c>
      <c r="B250" s="47" t="s">
        <v>3</v>
      </c>
      <c r="C250" s="46">
        <v>5.14</v>
      </c>
      <c r="D250" s="125"/>
    </row>
    <row r="251" spans="1:4" ht="15.75" hidden="1" outlineLevel="1">
      <c r="A251" s="46" t="s">
        <v>38</v>
      </c>
      <c r="B251" s="47" t="s">
        <v>29</v>
      </c>
      <c r="C251" s="46">
        <v>5.19</v>
      </c>
      <c r="D251" s="125"/>
    </row>
    <row r="252" spans="1:4" ht="15.75" hidden="1" outlineLevel="1">
      <c r="A252" s="46" t="s">
        <v>38</v>
      </c>
      <c r="B252" s="47" t="s">
        <v>28</v>
      </c>
      <c r="C252" s="46">
        <v>5.24</v>
      </c>
      <c r="D252" s="125"/>
    </row>
    <row r="253" spans="1:4" ht="15.75" hidden="1" outlineLevel="1">
      <c r="A253" s="46" t="s">
        <v>38</v>
      </c>
      <c r="B253" s="47" t="s">
        <v>602</v>
      </c>
      <c r="C253" s="46">
        <v>5.27</v>
      </c>
      <c r="D253" s="125"/>
    </row>
    <row r="254" spans="1:4" ht="15.75" hidden="1" outlineLevel="1">
      <c r="A254" s="46" t="s">
        <v>38</v>
      </c>
      <c r="B254" s="47" t="s">
        <v>603</v>
      </c>
      <c r="C254" s="46">
        <v>5.28</v>
      </c>
      <c r="D254" s="125"/>
    </row>
    <row r="255" spans="1:4" ht="15.75" hidden="1" outlineLevel="1">
      <c r="A255" s="46" t="s">
        <v>38</v>
      </c>
      <c r="B255" s="47" t="s">
        <v>5</v>
      </c>
      <c r="C255" s="48">
        <v>5.3</v>
      </c>
      <c r="D255" s="125"/>
    </row>
    <row r="256" spans="1:4" ht="15.75" hidden="1" outlineLevel="1">
      <c r="A256" s="46" t="s">
        <v>38</v>
      </c>
      <c r="B256" s="47" t="s">
        <v>10</v>
      </c>
      <c r="C256" s="46">
        <v>5.33</v>
      </c>
      <c r="D256" s="125"/>
    </row>
    <row r="257" spans="1:4" ht="15.75" hidden="1" outlineLevel="1">
      <c r="A257" s="46" t="s">
        <v>38</v>
      </c>
      <c r="B257" s="47" t="s">
        <v>604</v>
      </c>
      <c r="C257" s="46">
        <v>5.36</v>
      </c>
      <c r="D257" s="125"/>
    </row>
    <row r="258" spans="1:4" ht="15.75" hidden="1" outlineLevel="1">
      <c r="A258" s="46" t="s">
        <v>38</v>
      </c>
      <c r="B258" s="47" t="s">
        <v>396</v>
      </c>
      <c r="C258" s="46">
        <v>5.53</v>
      </c>
      <c r="D258" s="125"/>
    </row>
    <row r="259" spans="1:4" ht="15.75" hidden="1" outlineLevel="1">
      <c r="A259" s="46" t="s">
        <v>38</v>
      </c>
      <c r="B259" s="47" t="s">
        <v>771</v>
      </c>
      <c r="C259" s="46">
        <v>5.58</v>
      </c>
      <c r="D259" s="125"/>
    </row>
    <row r="260" spans="1:4" ht="15.75" hidden="1" outlineLevel="1">
      <c r="A260" s="46" t="s">
        <v>38</v>
      </c>
      <c r="B260" s="47" t="s">
        <v>11</v>
      </c>
      <c r="C260" s="46">
        <v>5.54</v>
      </c>
      <c r="D260" s="125"/>
    </row>
    <row r="261" spans="1:4" ht="15.75" hidden="1" outlineLevel="1">
      <c r="A261" s="46" t="s">
        <v>38</v>
      </c>
      <c r="B261" s="47" t="s">
        <v>15</v>
      </c>
      <c r="C261" s="46">
        <v>5.55</v>
      </c>
      <c r="D261" s="125"/>
    </row>
    <row r="262" spans="1:4" ht="15.75" hidden="1" outlineLevel="1">
      <c r="A262" s="46" t="s">
        <v>38</v>
      </c>
      <c r="B262" s="47" t="s">
        <v>1151</v>
      </c>
      <c r="C262" s="46">
        <v>5.63</v>
      </c>
      <c r="D262" s="125"/>
    </row>
    <row r="263" spans="1:4" ht="15.75" hidden="1" outlineLevel="1">
      <c r="A263" s="46" t="s">
        <v>38</v>
      </c>
      <c r="B263" s="47" t="s">
        <v>19</v>
      </c>
      <c r="C263" s="46">
        <v>5.47</v>
      </c>
      <c r="D263" s="125"/>
    </row>
    <row r="264" spans="1:4" ht="15.75" hidden="1" outlineLevel="1">
      <c r="A264" s="46" t="s">
        <v>38</v>
      </c>
      <c r="B264" s="47" t="s">
        <v>30</v>
      </c>
      <c r="C264" s="46">
        <v>5.48</v>
      </c>
      <c r="D264" s="125"/>
    </row>
    <row r="265" spans="1:4" ht="15.75" collapsed="1">
      <c r="A265" s="52" t="s">
        <v>38</v>
      </c>
      <c r="B265" s="47"/>
      <c r="C265" s="46"/>
      <c r="D265" s="125"/>
    </row>
    <row r="266" spans="1:4" ht="15.75" hidden="1" outlineLevel="1">
      <c r="A266" s="46" t="s">
        <v>39</v>
      </c>
      <c r="B266" s="47" t="s">
        <v>649</v>
      </c>
      <c r="C266" s="46">
        <v>5.0999999999999996</v>
      </c>
      <c r="D266" s="125"/>
    </row>
    <row r="267" spans="1:4" ht="15.75" hidden="1" outlineLevel="1">
      <c r="A267" s="46" t="s">
        <v>39</v>
      </c>
      <c r="B267" s="47" t="s">
        <v>0</v>
      </c>
      <c r="C267" s="46">
        <v>5.2</v>
      </c>
      <c r="D267" s="125"/>
    </row>
    <row r="268" spans="1:4" ht="15.75" hidden="1" outlineLevel="1">
      <c r="A268" s="46" t="s">
        <v>39</v>
      </c>
      <c r="B268" s="47" t="s">
        <v>722</v>
      </c>
      <c r="C268" s="46">
        <v>5.3</v>
      </c>
      <c r="D268" s="125"/>
    </row>
    <row r="269" spans="1:4" ht="15.75" hidden="1" outlineLevel="1">
      <c r="A269" s="46" t="s">
        <v>39</v>
      </c>
      <c r="B269" s="47" t="s">
        <v>2</v>
      </c>
      <c r="C269" s="46">
        <v>5.6</v>
      </c>
      <c r="D269" s="125"/>
    </row>
    <row r="270" spans="1:4" ht="15.75" hidden="1" outlineLevel="1">
      <c r="A270" s="46" t="s">
        <v>39</v>
      </c>
      <c r="B270" s="47" t="s">
        <v>728</v>
      </c>
      <c r="C270" s="48">
        <v>5.0999999999999996</v>
      </c>
      <c r="D270" s="125"/>
    </row>
    <row r="271" spans="1:4" ht="15.75" hidden="1" outlineLevel="1">
      <c r="A271" s="46" t="s">
        <v>39</v>
      </c>
      <c r="B271" s="47" t="s">
        <v>3</v>
      </c>
      <c r="C271" s="46">
        <v>5.14</v>
      </c>
      <c r="D271" s="125"/>
    </row>
    <row r="272" spans="1:4" ht="15.75" hidden="1" outlineLevel="1">
      <c r="A272" s="46" t="s">
        <v>39</v>
      </c>
      <c r="B272" s="47" t="s">
        <v>29</v>
      </c>
      <c r="C272" s="46">
        <v>5.19</v>
      </c>
      <c r="D272" s="125"/>
    </row>
    <row r="273" spans="1:4" ht="15.75" hidden="1" outlineLevel="1">
      <c r="A273" s="46" t="s">
        <v>39</v>
      </c>
      <c r="B273" s="47" t="s">
        <v>28</v>
      </c>
      <c r="C273" s="46">
        <v>5.24</v>
      </c>
      <c r="D273" s="125"/>
    </row>
    <row r="274" spans="1:4" ht="15.75" hidden="1" outlineLevel="1">
      <c r="A274" s="46" t="s">
        <v>39</v>
      </c>
      <c r="B274" s="47" t="s">
        <v>1</v>
      </c>
      <c r="C274" s="46">
        <v>5.26</v>
      </c>
      <c r="D274" s="125"/>
    </row>
    <row r="275" spans="1:4" ht="15.75" hidden="1" outlineLevel="1">
      <c r="A275" s="46" t="s">
        <v>39</v>
      </c>
      <c r="B275" s="47" t="s">
        <v>602</v>
      </c>
      <c r="C275" s="46">
        <v>5.27</v>
      </c>
      <c r="D275" s="125"/>
    </row>
    <row r="276" spans="1:4" ht="15.75" hidden="1" outlineLevel="1">
      <c r="A276" s="46" t="s">
        <v>39</v>
      </c>
      <c r="B276" s="47" t="s">
        <v>603</v>
      </c>
      <c r="C276" s="46">
        <v>5.28</v>
      </c>
      <c r="D276" s="125"/>
    </row>
    <row r="277" spans="1:4" ht="15.75" hidden="1" outlineLevel="1">
      <c r="A277" s="46" t="s">
        <v>39</v>
      </c>
      <c r="B277" s="47" t="s">
        <v>607</v>
      </c>
      <c r="C277" s="46">
        <v>5.29</v>
      </c>
      <c r="D277" s="125"/>
    </row>
    <row r="278" spans="1:4" ht="15.75" hidden="1" outlineLevel="1">
      <c r="A278" s="46" t="s">
        <v>39</v>
      </c>
      <c r="B278" s="47" t="s">
        <v>5</v>
      </c>
      <c r="C278" s="48">
        <v>5.3</v>
      </c>
      <c r="D278" s="125"/>
    </row>
    <row r="279" spans="1:4" ht="15.75" hidden="1" outlineLevel="1">
      <c r="A279" s="46" t="s">
        <v>39</v>
      </c>
      <c r="B279" s="47" t="s">
        <v>10</v>
      </c>
      <c r="C279" s="46">
        <v>5.33</v>
      </c>
      <c r="D279" s="125"/>
    </row>
    <row r="280" spans="1:4" ht="15.75" hidden="1" outlineLevel="1">
      <c r="A280" s="46" t="s">
        <v>39</v>
      </c>
      <c r="B280" s="47" t="s">
        <v>604</v>
      </c>
      <c r="C280" s="46">
        <v>5.36</v>
      </c>
      <c r="D280" s="125"/>
    </row>
    <row r="281" spans="1:4" ht="15.75" hidden="1" outlineLevel="1">
      <c r="A281" s="46" t="s">
        <v>39</v>
      </c>
      <c r="B281" s="47" t="s">
        <v>13</v>
      </c>
      <c r="C281" s="46">
        <v>5.69</v>
      </c>
      <c r="D281" s="125"/>
    </row>
    <row r="282" spans="1:4" ht="15.75" hidden="1" outlineLevel="1">
      <c r="A282" s="46" t="s">
        <v>39</v>
      </c>
      <c r="B282" s="47" t="s">
        <v>14</v>
      </c>
      <c r="C282" s="48">
        <v>5.7</v>
      </c>
      <c r="D282" s="125"/>
    </row>
    <row r="283" spans="1:4" ht="15.75" hidden="1" outlineLevel="1">
      <c r="A283" s="46" t="s">
        <v>39</v>
      </c>
      <c r="B283" s="47" t="s">
        <v>619</v>
      </c>
      <c r="C283" s="46">
        <v>5.74</v>
      </c>
      <c r="D283" s="125"/>
    </row>
    <row r="284" spans="1:4" ht="15.75" hidden="1" outlineLevel="1">
      <c r="A284" s="46" t="s">
        <v>39</v>
      </c>
      <c r="B284" s="47" t="s">
        <v>6</v>
      </c>
      <c r="C284" s="46">
        <v>5.49</v>
      </c>
      <c r="D284" s="125"/>
    </row>
    <row r="285" spans="1:4" ht="15.75" hidden="1" outlineLevel="1">
      <c r="A285" s="46" t="s">
        <v>39</v>
      </c>
      <c r="B285" s="47" t="s">
        <v>8</v>
      </c>
      <c r="C285" s="46">
        <v>5.51</v>
      </c>
      <c r="D285" s="125"/>
    </row>
    <row r="286" spans="1:4" ht="15.75" hidden="1" outlineLevel="1">
      <c r="A286" s="46" t="s">
        <v>39</v>
      </c>
      <c r="B286" s="47" t="s">
        <v>7</v>
      </c>
      <c r="C286" s="46">
        <v>5.52</v>
      </c>
      <c r="D286" s="125"/>
    </row>
    <row r="287" spans="1:4" ht="15.75" hidden="1" outlineLevel="1">
      <c r="A287" s="46" t="s">
        <v>39</v>
      </c>
      <c r="B287" s="47" t="s">
        <v>396</v>
      </c>
      <c r="C287" s="46">
        <v>5.53</v>
      </c>
      <c r="D287" s="125"/>
    </row>
    <row r="288" spans="1:4" ht="15.75" hidden="1" outlineLevel="1">
      <c r="A288" s="46" t="s">
        <v>39</v>
      </c>
      <c r="B288" s="47" t="s">
        <v>771</v>
      </c>
      <c r="C288" s="46">
        <v>5.58</v>
      </c>
      <c r="D288" s="125"/>
    </row>
    <row r="289" spans="1:4" ht="15.75" hidden="1" outlineLevel="1">
      <c r="A289" s="46" t="s">
        <v>39</v>
      </c>
      <c r="B289" s="47" t="s">
        <v>11</v>
      </c>
      <c r="C289" s="46">
        <v>5.54</v>
      </c>
      <c r="D289" s="125"/>
    </row>
    <row r="290" spans="1:4" ht="15.75" hidden="1" outlineLevel="1">
      <c r="A290" s="46" t="s">
        <v>39</v>
      </c>
      <c r="B290" s="47" t="s">
        <v>15</v>
      </c>
      <c r="C290" s="46">
        <v>5.55</v>
      </c>
      <c r="D290" s="125"/>
    </row>
    <row r="291" spans="1:4" ht="15.75" hidden="1" outlineLevel="1">
      <c r="A291" s="46" t="s">
        <v>39</v>
      </c>
      <c r="B291" s="47" t="s">
        <v>1151</v>
      </c>
      <c r="C291" s="46">
        <v>5.63</v>
      </c>
      <c r="D291" s="125"/>
    </row>
    <row r="292" spans="1:4" ht="15.75" hidden="1" outlineLevel="1">
      <c r="A292" s="46" t="s">
        <v>39</v>
      </c>
      <c r="B292" s="47" t="s">
        <v>19</v>
      </c>
      <c r="C292" s="46">
        <v>5.47</v>
      </c>
      <c r="D292" s="125"/>
    </row>
    <row r="293" spans="1:4" ht="15.75" hidden="1" outlineLevel="1">
      <c r="A293" s="46" t="s">
        <v>39</v>
      </c>
      <c r="B293" s="47" t="s">
        <v>30</v>
      </c>
      <c r="C293" s="46">
        <v>5.48</v>
      </c>
      <c r="D293" s="125"/>
    </row>
    <row r="294" spans="1:4" ht="15.75" collapsed="1">
      <c r="A294" s="52" t="s">
        <v>39</v>
      </c>
      <c r="B294" s="47"/>
      <c r="C294" s="46"/>
      <c r="D294" s="125"/>
    </row>
    <row r="295" spans="1:4" ht="15.75" hidden="1" outlineLevel="1">
      <c r="A295" s="46" t="s">
        <v>41</v>
      </c>
      <c r="B295" s="47" t="s">
        <v>649</v>
      </c>
      <c r="C295" s="46">
        <v>5.0999999999999996</v>
      </c>
      <c r="D295" s="125"/>
    </row>
    <row r="296" spans="1:4" ht="15.75" hidden="1" outlineLevel="1">
      <c r="A296" s="46" t="s">
        <v>41</v>
      </c>
      <c r="B296" s="47" t="s">
        <v>0</v>
      </c>
      <c r="C296" s="46">
        <v>5.2</v>
      </c>
      <c r="D296" s="125"/>
    </row>
    <row r="297" spans="1:4" ht="15.75" hidden="1" outlineLevel="1">
      <c r="A297" s="46" t="s">
        <v>41</v>
      </c>
      <c r="B297" s="47" t="s">
        <v>722</v>
      </c>
      <c r="C297" s="46">
        <v>5.3</v>
      </c>
      <c r="D297" s="125"/>
    </row>
    <row r="298" spans="1:4" ht="15.75" hidden="1" outlineLevel="1">
      <c r="A298" s="46" t="s">
        <v>41</v>
      </c>
      <c r="B298" s="47" t="s">
        <v>3</v>
      </c>
      <c r="C298" s="46">
        <v>5.14</v>
      </c>
      <c r="D298" s="125"/>
    </row>
    <row r="299" spans="1:4" ht="15.75" hidden="1" outlineLevel="1">
      <c r="A299" s="46" t="s">
        <v>41</v>
      </c>
      <c r="B299" s="47" t="s">
        <v>29</v>
      </c>
      <c r="C299" s="46">
        <v>5.19</v>
      </c>
      <c r="D299" s="125"/>
    </row>
    <row r="300" spans="1:4" ht="15.75" hidden="1" outlineLevel="1">
      <c r="A300" s="46" t="s">
        <v>41</v>
      </c>
      <c r="B300" s="47" t="s">
        <v>28</v>
      </c>
      <c r="C300" s="46">
        <v>5.24</v>
      </c>
      <c r="D300" s="125"/>
    </row>
    <row r="301" spans="1:4" ht="15.75" hidden="1" outlineLevel="1">
      <c r="A301" s="46" t="s">
        <v>41</v>
      </c>
      <c r="B301" s="47" t="s">
        <v>1</v>
      </c>
      <c r="C301" s="46">
        <v>5.26</v>
      </c>
      <c r="D301" s="125"/>
    </row>
    <row r="302" spans="1:4" ht="15.75" hidden="1" outlineLevel="1">
      <c r="A302" s="46" t="s">
        <v>41</v>
      </c>
      <c r="B302" s="47" t="s">
        <v>602</v>
      </c>
      <c r="C302" s="46">
        <v>5.27</v>
      </c>
      <c r="D302" s="125"/>
    </row>
    <row r="303" spans="1:4" ht="15.75" hidden="1" outlineLevel="1">
      <c r="A303" s="46" t="s">
        <v>41</v>
      </c>
      <c r="B303" s="47" t="s">
        <v>603</v>
      </c>
      <c r="C303" s="46">
        <v>5.28</v>
      </c>
      <c r="D303" s="125"/>
    </row>
    <row r="304" spans="1:4" ht="15.75" hidden="1" outlineLevel="1">
      <c r="A304" s="46" t="s">
        <v>41</v>
      </c>
      <c r="B304" s="47" t="s">
        <v>12</v>
      </c>
      <c r="C304" s="46">
        <v>5.37</v>
      </c>
      <c r="D304" s="125"/>
    </row>
    <row r="305" spans="1:4" ht="15.75" hidden="1" outlineLevel="1">
      <c r="A305" s="46" t="s">
        <v>41</v>
      </c>
      <c r="B305" s="47" t="s">
        <v>6</v>
      </c>
      <c r="C305" s="46">
        <v>5.49</v>
      </c>
      <c r="D305" s="125"/>
    </row>
    <row r="306" spans="1:4" ht="15.75" hidden="1" outlineLevel="1">
      <c r="A306" s="46" t="s">
        <v>41</v>
      </c>
      <c r="B306" s="47" t="s">
        <v>8</v>
      </c>
      <c r="C306" s="46">
        <v>5.51</v>
      </c>
      <c r="D306" s="125"/>
    </row>
    <row r="307" spans="1:4" ht="15.75" hidden="1" outlineLevel="1">
      <c r="A307" s="46" t="s">
        <v>41</v>
      </c>
      <c r="B307" s="47" t="s">
        <v>396</v>
      </c>
      <c r="C307" s="46">
        <v>5.53</v>
      </c>
      <c r="D307" s="125"/>
    </row>
    <row r="308" spans="1:4" ht="15.75" hidden="1" outlineLevel="1">
      <c r="A308" s="46" t="s">
        <v>41</v>
      </c>
      <c r="B308" s="47" t="s">
        <v>13</v>
      </c>
      <c r="C308" s="46">
        <v>5.69</v>
      </c>
      <c r="D308" s="125"/>
    </row>
    <row r="309" spans="1:4" ht="15.75" hidden="1" outlineLevel="1">
      <c r="A309" s="46" t="s">
        <v>41</v>
      </c>
      <c r="B309" s="47" t="s">
        <v>420</v>
      </c>
      <c r="C309" s="46">
        <v>5.75</v>
      </c>
      <c r="D309" s="125"/>
    </row>
    <row r="310" spans="1:4" ht="15.75" hidden="1" outlineLevel="1">
      <c r="A310" s="46" t="s">
        <v>41</v>
      </c>
      <c r="B310" s="47" t="s">
        <v>14</v>
      </c>
      <c r="C310" s="48">
        <v>5.7</v>
      </c>
      <c r="D310" s="125"/>
    </row>
    <row r="311" spans="1:4" ht="15.75" hidden="1" outlineLevel="1">
      <c r="A311" s="46" t="s">
        <v>41</v>
      </c>
      <c r="B311" s="47" t="s">
        <v>619</v>
      </c>
      <c r="C311" s="46">
        <v>5.74</v>
      </c>
      <c r="D311" s="125"/>
    </row>
    <row r="312" spans="1:4" ht="15.75" hidden="1" outlineLevel="1">
      <c r="A312" s="46" t="s">
        <v>41</v>
      </c>
      <c r="B312" s="47" t="s">
        <v>771</v>
      </c>
      <c r="C312" s="46">
        <v>5.58</v>
      </c>
      <c r="D312" s="125"/>
    </row>
    <row r="313" spans="1:4" ht="15.75" hidden="1" outlineLevel="1">
      <c r="A313" s="46" t="s">
        <v>41</v>
      </c>
      <c r="B313" s="47" t="s">
        <v>11</v>
      </c>
      <c r="C313" s="46">
        <v>5.54</v>
      </c>
      <c r="D313" s="125"/>
    </row>
    <row r="314" spans="1:4" ht="15.75" hidden="1" outlineLevel="1">
      <c r="A314" s="46" t="s">
        <v>41</v>
      </c>
      <c r="B314" s="47" t="s">
        <v>15</v>
      </c>
      <c r="C314" s="46">
        <v>5.55</v>
      </c>
      <c r="D314" s="125"/>
    </row>
    <row r="315" spans="1:4" ht="15.75" hidden="1" outlineLevel="1">
      <c r="A315" s="46" t="s">
        <v>41</v>
      </c>
      <c r="B315" s="47" t="s">
        <v>1151</v>
      </c>
      <c r="C315" s="46">
        <v>5.63</v>
      </c>
      <c r="D315" s="125"/>
    </row>
    <row r="316" spans="1:4" ht="15.75" hidden="1" outlineLevel="1">
      <c r="A316" s="46" t="s">
        <v>41</v>
      </c>
      <c r="B316" s="47" t="s">
        <v>1152</v>
      </c>
      <c r="C316" s="46">
        <v>5.65</v>
      </c>
      <c r="D316" s="125"/>
    </row>
    <row r="317" spans="1:4" ht="15.75" hidden="1" outlineLevel="1">
      <c r="A317" s="46" t="s">
        <v>41</v>
      </c>
      <c r="B317" s="47" t="s">
        <v>26</v>
      </c>
      <c r="C317" s="46">
        <v>5.68</v>
      </c>
      <c r="D317" s="125"/>
    </row>
    <row r="318" spans="1:4" ht="15.75" hidden="1" outlineLevel="1">
      <c r="A318" s="46" t="s">
        <v>41</v>
      </c>
      <c r="B318" s="47" t="s">
        <v>19</v>
      </c>
      <c r="C318" s="46">
        <v>5.47</v>
      </c>
      <c r="D318" s="125"/>
    </row>
    <row r="319" spans="1:4" ht="15.75" hidden="1" outlineLevel="1">
      <c r="A319" s="46" t="s">
        <v>41</v>
      </c>
      <c r="B319" s="47" t="s">
        <v>30</v>
      </c>
      <c r="C319" s="46">
        <v>5.48</v>
      </c>
      <c r="D319" s="125"/>
    </row>
    <row r="320" spans="1:4" ht="15.75" collapsed="1">
      <c r="A320" s="52" t="s">
        <v>41</v>
      </c>
      <c r="B320" s="47"/>
      <c r="C320" s="46"/>
      <c r="D320" s="125"/>
    </row>
    <row r="321" spans="1:4" ht="15.75" hidden="1" outlineLevel="1">
      <c r="A321" s="46" t="s">
        <v>42</v>
      </c>
      <c r="B321" s="47" t="s">
        <v>649</v>
      </c>
      <c r="C321" s="46">
        <v>5.0999999999999996</v>
      </c>
      <c r="D321" s="125"/>
    </row>
    <row r="322" spans="1:4" ht="15.75" hidden="1" outlineLevel="1">
      <c r="A322" s="46" t="s">
        <v>42</v>
      </c>
      <c r="B322" s="47" t="s">
        <v>0</v>
      </c>
      <c r="C322" s="46">
        <v>5.2</v>
      </c>
      <c r="D322" s="125"/>
    </row>
    <row r="323" spans="1:4" ht="15.75" hidden="1" outlineLevel="1">
      <c r="A323" s="46" t="s">
        <v>42</v>
      </c>
      <c r="B323" s="47" t="s">
        <v>1</v>
      </c>
      <c r="C323" s="46">
        <v>5.26</v>
      </c>
      <c r="D323" s="125"/>
    </row>
    <row r="324" spans="1:4" ht="15.75" hidden="1" outlineLevel="1">
      <c r="A324" s="46" t="s">
        <v>42</v>
      </c>
      <c r="B324" s="47" t="s">
        <v>3</v>
      </c>
      <c r="C324" s="46">
        <v>5.14</v>
      </c>
      <c r="D324" s="125"/>
    </row>
    <row r="325" spans="1:4" ht="15.75" hidden="1" outlineLevel="1">
      <c r="A325" s="46" t="s">
        <v>42</v>
      </c>
      <c r="B325" s="47" t="s">
        <v>29</v>
      </c>
      <c r="C325" s="46">
        <v>5.19</v>
      </c>
      <c r="D325" s="125"/>
    </row>
    <row r="326" spans="1:4" ht="15.75" hidden="1" outlineLevel="1">
      <c r="A326" s="46" t="s">
        <v>42</v>
      </c>
      <c r="B326" s="47" t="s">
        <v>12</v>
      </c>
      <c r="C326" s="46">
        <v>5.37</v>
      </c>
      <c r="D326" s="125"/>
    </row>
    <row r="327" spans="1:4" ht="15.75" hidden="1" outlineLevel="1">
      <c r="A327" s="46" t="s">
        <v>42</v>
      </c>
      <c r="B327" s="47" t="s">
        <v>13</v>
      </c>
      <c r="C327" s="46">
        <v>5.69</v>
      </c>
      <c r="D327" s="125"/>
    </row>
    <row r="328" spans="1:4" ht="15.75" hidden="1" outlineLevel="1">
      <c r="A328" s="46" t="s">
        <v>42</v>
      </c>
      <c r="B328" s="47" t="s">
        <v>282</v>
      </c>
      <c r="C328" s="48">
        <v>5.8</v>
      </c>
      <c r="D328" s="125"/>
    </row>
    <row r="329" spans="1:4" ht="15.75" hidden="1" outlineLevel="1">
      <c r="A329" s="46" t="s">
        <v>42</v>
      </c>
      <c r="B329" s="47" t="s">
        <v>420</v>
      </c>
      <c r="C329" s="46">
        <v>5.75</v>
      </c>
      <c r="D329" s="125"/>
    </row>
    <row r="330" spans="1:4" ht="15.75" hidden="1" outlineLevel="1">
      <c r="A330" s="46" t="s">
        <v>42</v>
      </c>
      <c r="B330" s="47" t="s">
        <v>14</v>
      </c>
      <c r="C330" s="48">
        <v>5.7</v>
      </c>
      <c r="D330" s="125"/>
    </row>
    <row r="331" spans="1:4" ht="15.75" hidden="1" outlineLevel="1">
      <c r="A331" s="46" t="s">
        <v>42</v>
      </c>
      <c r="B331" s="47" t="s">
        <v>619</v>
      </c>
      <c r="C331" s="46">
        <v>5.74</v>
      </c>
      <c r="D331" s="125"/>
    </row>
    <row r="332" spans="1:4" ht="15.75" hidden="1" outlineLevel="1">
      <c r="A332" s="46" t="s">
        <v>42</v>
      </c>
      <c r="B332" s="47" t="s">
        <v>771</v>
      </c>
      <c r="C332" s="46">
        <v>5.58</v>
      </c>
      <c r="D332" s="125"/>
    </row>
    <row r="333" spans="1:4" ht="15.75" hidden="1" outlineLevel="1">
      <c r="A333" s="46" t="s">
        <v>42</v>
      </c>
      <c r="B333" s="47" t="s">
        <v>15</v>
      </c>
      <c r="C333" s="46">
        <v>5.55</v>
      </c>
      <c r="D333" s="125"/>
    </row>
    <row r="334" spans="1:4" ht="15.75" hidden="1" outlineLevel="1">
      <c r="A334" s="46" t="s">
        <v>42</v>
      </c>
      <c r="B334" s="47" t="s">
        <v>1151</v>
      </c>
      <c r="C334" s="46">
        <v>5.63</v>
      </c>
      <c r="D334" s="125"/>
    </row>
    <row r="335" spans="1:4" ht="15.75" hidden="1" outlineLevel="1">
      <c r="A335" s="46" t="s">
        <v>42</v>
      </c>
      <c r="B335" s="47" t="s">
        <v>1152</v>
      </c>
      <c r="C335" s="46">
        <v>5.65</v>
      </c>
      <c r="D335" s="125"/>
    </row>
    <row r="336" spans="1:4" ht="15.75" hidden="1" outlineLevel="1">
      <c r="A336" s="46" t="s">
        <v>42</v>
      </c>
      <c r="B336" s="47" t="s">
        <v>26</v>
      </c>
      <c r="C336" s="46">
        <v>5.68</v>
      </c>
      <c r="D336" s="125"/>
    </row>
    <row r="337" spans="1:4" ht="15.75" hidden="1" outlineLevel="1">
      <c r="A337" s="46" t="s">
        <v>42</v>
      </c>
      <c r="B337" s="47" t="s">
        <v>19</v>
      </c>
      <c r="C337" s="46">
        <v>5.47</v>
      </c>
      <c r="D337" s="125"/>
    </row>
    <row r="338" spans="1:4" ht="15.75" hidden="1" outlineLevel="1">
      <c r="A338" s="46" t="s">
        <v>42</v>
      </c>
      <c r="B338" s="47" t="s">
        <v>30</v>
      </c>
      <c r="C338" s="46">
        <v>5.48</v>
      </c>
      <c r="D338" s="125"/>
    </row>
    <row r="339" spans="1:4" ht="15.75" collapsed="1">
      <c r="A339" s="52" t="s">
        <v>42</v>
      </c>
      <c r="B339" s="47"/>
      <c r="C339" s="46"/>
      <c r="D339" s="125"/>
    </row>
    <row r="340" spans="1:4" ht="15.75" hidden="1" outlineLevel="1">
      <c r="A340" s="46" t="s">
        <v>665</v>
      </c>
      <c r="B340" s="47" t="s">
        <v>782</v>
      </c>
      <c r="C340" s="46">
        <v>5.0999999999999996</v>
      </c>
      <c r="D340" s="125"/>
    </row>
    <row r="341" spans="1:4" ht="15.75" hidden="1" outlineLevel="1">
      <c r="A341" s="46" t="s">
        <v>665</v>
      </c>
      <c r="B341" s="47" t="s">
        <v>0</v>
      </c>
      <c r="C341" s="46">
        <v>5.2</v>
      </c>
      <c r="D341" s="125"/>
    </row>
    <row r="342" spans="1:4" ht="15.75" hidden="1" outlineLevel="1">
      <c r="A342" s="46" t="s">
        <v>665</v>
      </c>
      <c r="B342" s="47" t="s">
        <v>1</v>
      </c>
      <c r="C342" s="46">
        <v>5.26</v>
      </c>
      <c r="D342" s="125"/>
    </row>
    <row r="343" spans="1:4" ht="15.75" hidden="1" outlineLevel="1">
      <c r="A343" s="46" t="s">
        <v>665</v>
      </c>
      <c r="B343" s="47" t="s">
        <v>756</v>
      </c>
      <c r="C343" s="46">
        <v>5.38</v>
      </c>
      <c r="D343" s="125"/>
    </row>
    <row r="344" spans="1:4" ht="15.75" hidden="1" outlineLevel="1">
      <c r="A344" s="46" t="s">
        <v>665</v>
      </c>
      <c r="B344" s="47" t="s">
        <v>755</v>
      </c>
      <c r="C344" s="46">
        <v>5.39</v>
      </c>
      <c r="D344" s="125"/>
    </row>
    <row r="345" spans="1:4" ht="15.75" hidden="1" outlineLevel="1">
      <c r="A345" s="46" t="s">
        <v>665</v>
      </c>
      <c r="B345" s="47" t="s">
        <v>1159</v>
      </c>
      <c r="C345" s="48">
        <v>5.6</v>
      </c>
      <c r="D345" s="125"/>
    </row>
    <row r="346" spans="1:4" ht="15.75" hidden="1" outlineLevel="1">
      <c r="A346" s="46" t="s">
        <v>665</v>
      </c>
      <c r="B346" s="47" t="s">
        <v>30</v>
      </c>
      <c r="C346" s="46">
        <v>5.48</v>
      </c>
      <c r="D346" s="125"/>
    </row>
    <row r="347" spans="1:4" ht="15.75" collapsed="1">
      <c r="A347" s="52" t="s">
        <v>665</v>
      </c>
      <c r="B347" s="47"/>
      <c r="C347" s="46"/>
      <c r="D347" s="125"/>
    </row>
    <row r="348" spans="1:4" ht="15.75" hidden="1" outlineLevel="1">
      <c r="A348" s="46" t="s">
        <v>43</v>
      </c>
      <c r="B348" s="47" t="s">
        <v>649</v>
      </c>
      <c r="C348" s="46">
        <v>5.0999999999999996</v>
      </c>
      <c r="D348" s="125"/>
    </row>
    <row r="349" spans="1:4" ht="15.75" hidden="1" outlineLevel="1">
      <c r="A349" s="46" t="s">
        <v>43</v>
      </c>
      <c r="B349" s="47" t="s">
        <v>0</v>
      </c>
      <c r="C349" s="46">
        <v>5.2</v>
      </c>
      <c r="D349" s="125"/>
    </row>
    <row r="350" spans="1:4" ht="15.75" hidden="1" outlineLevel="1">
      <c r="A350" s="46" t="s">
        <v>43</v>
      </c>
      <c r="B350" s="47" t="s">
        <v>722</v>
      </c>
      <c r="C350" s="46">
        <v>5.3</v>
      </c>
      <c r="D350" s="125"/>
    </row>
    <row r="351" spans="1:4" ht="15.75" hidden="1" outlineLevel="1">
      <c r="A351" s="46" t="s">
        <v>43</v>
      </c>
      <c r="B351" s="47" t="s">
        <v>2</v>
      </c>
      <c r="C351" s="46">
        <v>5.6</v>
      </c>
      <c r="D351" s="125"/>
    </row>
    <row r="352" spans="1:4" ht="15.75" hidden="1" outlineLevel="1">
      <c r="A352" s="46" t="s">
        <v>43</v>
      </c>
      <c r="B352" s="47" t="s">
        <v>728</v>
      </c>
      <c r="C352" s="48">
        <v>5.0999999999999996</v>
      </c>
      <c r="D352" s="125"/>
    </row>
    <row r="353" spans="1:4" ht="15.75" hidden="1" outlineLevel="1">
      <c r="A353" s="46" t="s">
        <v>43</v>
      </c>
      <c r="B353" s="47" t="s">
        <v>3</v>
      </c>
      <c r="C353" s="46">
        <v>5.14</v>
      </c>
      <c r="D353" s="125"/>
    </row>
    <row r="354" spans="1:4" ht="15.75" hidden="1" outlineLevel="1">
      <c r="A354" s="46" t="s">
        <v>43</v>
      </c>
      <c r="B354" s="47" t="s">
        <v>29</v>
      </c>
      <c r="C354" s="46">
        <v>5.19</v>
      </c>
      <c r="D354" s="125"/>
    </row>
    <row r="355" spans="1:4" ht="15.75" hidden="1" outlineLevel="1">
      <c r="A355" s="46" t="s">
        <v>43</v>
      </c>
      <c r="B355" s="47" t="s">
        <v>28</v>
      </c>
      <c r="C355" s="46">
        <v>5.24</v>
      </c>
      <c r="D355" s="125"/>
    </row>
    <row r="356" spans="1:4" ht="15.75" hidden="1" outlineLevel="1">
      <c r="A356" s="46" t="s">
        <v>43</v>
      </c>
      <c r="B356" s="47" t="s">
        <v>1</v>
      </c>
      <c r="C356" s="46">
        <v>5.26</v>
      </c>
      <c r="D356" s="125"/>
    </row>
    <row r="357" spans="1:4" ht="15.75" hidden="1" outlineLevel="1">
      <c r="A357" s="46" t="s">
        <v>43</v>
      </c>
      <c r="B357" s="47" t="s">
        <v>602</v>
      </c>
      <c r="C357" s="46">
        <v>5.27</v>
      </c>
      <c r="D357" s="125"/>
    </row>
    <row r="358" spans="1:4" ht="15.75" hidden="1" outlineLevel="1">
      <c r="A358" s="46" t="s">
        <v>43</v>
      </c>
      <c r="B358" s="47" t="s">
        <v>603</v>
      </c>
      <c r="C358" s="46">
        <v>5.28</v>
      </c>
      <c r="D358" s="125"/>
    </row>
    <row r="359" spans="1:4" ht="15.75" hidden="1" outlineLevel="1">
      <c r="A359" s="46" t="s">
        <v>43</v>
      </c>
      <c r="B359" s="47" t="s">
        <v>9</v>
      </c>
      <c r="C359" s="46">
        <v>5.31</v>
      </c>
      <c r="D359" s="125"/>
    </row>
    <row r="360" spans="1:4" ht="15.75" hidden="1" outlineLevel="1">
      <c r="A360" s="46" t="s">
        <v>43</v>
      </c>
      <c r="B360" s="47" t="s">
        <v>604</v>
      </c>
      <c r="C360" s="46">
        <v>5.36</v>
      </c>
      <c r="D360" s="125"/>
    </row>
    <row r="361" spans="1:4" ht="15.75" hidden="1" outlineLevel="1">
      <c r="A361" s="46" t="s">
        <v>43</v>
      </c>
      <c r="B361" s="47" t="s">
        <v>12</v>
      </c>
      <c r="C361" s="46">
        <v>5.37</v>
      </c>
      <c r="D361" s="125"/>
    </row>
    <row r="362" spans="1:4" ht="15.75" hidden="1" outlineLevel="1">
      <c r="A362" s="46" t="s">
        <v>43</v>
      </c>
      <c r="B362" s="47" t="s">
        <v>6</v>
      </c>
      <c r="C362" s="46">
        <v>5.49</v>
      </c>
      <c r="D362" s="125"/>
    </row>
    <row r="363" spans="1:4" ht="15.75" hidden="1" outlineLevel="1">
      <c r="A363" s="46" t="s">
        <v>43</v>
      </c>
      <c r="B363" s="47" t="s">
        <v>8</v>
      </c>
      <c r="C363" s="46">
        <v>5.51</v>
      </c>
      <c r="D363" s="125"/>
    </row>
    <row r="364" spans="1:4" ht="15.75" hidden="1" outlineLevel="1">
      <c r="A364" s="46" t="s">
        <v>43</v>
      </c>
      <c r="B364" s="47" t="s">
        <v>7</v>
      </c>
      <c r="C364" s="46">
        <v>5.52</v>
      </c>
      <c r="D364" s="125"/>
    </row>
    <row r="365" spans="1:4" ht="15.75" hidden="1" outlineLevel="1">
      <c r="A365" s="46" t="s">
        <v>43</v>
      </c>
      <c r="B365" s="47" t="s">
        <v>396</v>
      </c>
      <c r="C365" s="46">
        <v>5.53</v>
      </c>
      <c r="D365" s="125"/>
    </row>
    <row r="366" spans="1:4" ht="15.75" hidden="1" outlineLevel="1">
      <c r="A366" s="46" t="s">
        <v>43</v>
      </c>
      <c r="B366" s="47" t="s">
        <v>13</v>
      </c>
      <c r="C366" s="46">
        <v>5.69</v>
      </c>
      <c r="D366" s="125"/>
    </row>
    <row r="367" spans="1:4" ht="15.75" hidden="1" outlineLevel="1">
      <c r="A367" s="46" t="s">
        <v>43</v>
      </c>
      <c r="B367" s="47" t="s">
        <v>282</v>
      </c>
      <c r="C367" s="48">
        <v>5.8</v>
      </c>
      <c r="D367" s="125"/>
    </row>
    <row r="368" spans="1:4" ht="15.75" hidden="1" outlineLevel="1">
      <c r="A368" s="46" t="s">
        <v>43</v>
      </c>
      <c r="B368" s="47" t="s">
        <v>309</v>
      </c>
      <c r="C368" s="48">
        <v>5.72</v>
      </c>
      <c r="D368" s="125"/>
    </row>
    <row r="369" spans="1:4" ht="15.75" hidden="1" outlineLevel="1">
      <c r="A369" s="46" t="s">
        <v>43</v>
      </c>
      <c r="B369" s="47" t="s">
        <v>420</v>
      </c>
      <c r="C369" s="46">
        <v>5.75</v>
      </c>
      <c r="D369" s="125"/>
    </row>
    <row r="370" spans="1:4" ht="15.75" hidden="1" outlineLevel="1">
      <c r="A370" s="46" t="s">
        <v>43</v>
      </c>
      <c r="B370" s="47" t="s">
        <v>14</v>
      </c>
      <c r="C370" s="48">
        <v>5.7</v>
      </c>
      <c r="D370" s="125"/>
    </row>
    <row r="371" spans="1:4" ht="15.75" hidden="1" outlineLevel="1">
      <c r="A371" s="46" t="s">
        <v>43</v>
      </c>
      <c r="B371" s="47" t="s">
        <v>619</v>
      </c>
      <c r="C371" s="46">
        <v>5.74</v>
      </c>
      <c r="D371" s="125"/>
    </row>
    <row r="372" spans="1:4" ht="15.75" hidden="1" outlineLevel="1">
      <c r="A372" s="46" t="s">
        <v>43</v>
      </c>
      <c r="B372" s="47" t="s">
        <v>923</v>
      </c>
      <c r="C372" s="46">
        <v>5.76</v>
      </c>
      <c r="D372" s="125"/>
    </row>
    <row r="373" spans="1:4" ht="15.75" hidden="1" outlineLevel="1">
      <c r="A373" s="46" t="s">
        <v>43</v>
      </c>
      <c r="B373" s="47" t="s">
        <v>667</v>
      </c>
      <c r="C373" s="46">
        <v>5.89</v>
      </c>
      <c r="D373" s="124" t="s">
        <v>933</v>
      </c>
    </row>
    <row r="374" spans="1:4" ht="15.75" hidden="1" outlineLevel="1">
      <c r="A374" s="46" t="s">
        <v>43</v>
      </c>
      <c r="B374" s="47" t="s">
        <v>915</v>
      </c>
      <c r="C374" s="46">
        <v>5.109</v>
      </c>
      <c r="D374" s="124"/>
    </row>
    <row r="375" spans="1:4" ht="15.75" hidden="1" outlineLevel="1">
      <c r="A375" s="46" t="s">
        <v>43</v>
      </c>
      <c r="B375" s="47" t="s">
        <v>372</v>
      </c>
      <c r="C375" s="46">
        <v>5.1109999999999998</v>
      </c>
      <c r="D375" s="125"/>
    </row>
    <row r="376" spans="1:4" ht="15.75" hidden="1" outlineLevel="1">
      <c r="A376" s="46" t="s">
        <v>43</v>
      </c>
      <c r="B376" s="47" t="s">
        <v>16</v>
      </c>
      <c r="C376" s="46">
        <v>5.1120000000000001</v>
      </c>
      <c r="D376" s="125"/>
    </row>
    <row r="377" spans="1:4" ht="15.75" hidden="1" outlineLevel="1">
      <c r="A377" s="46" t="s">
        <v>43</v>
      </c>
      <c r="B377" s="50" t="s">
        <v>474</v>
      </c>
      <c r="C377" s="46">
        <v>5.1130000000000004</v>
      </c>
      <c r="D377" s="125"/>
    </row>
    <row r="378" spans="1:4" ht="15.75" hidden="1" outlineLevel="1">
      <c r="A378" s="46" t="s">
        <v>43</v>
      </c>
      <c r="B378" s="47" t="s">
        <v>771</v>
      </c>
      <c r="C378" s="46">
        <v>5.58</v>
      </c>
      <c r="D378" s="125"/>
    </row>
    <row r="379" spans="1:4" ht="15.75" hidden="1" outlineLevel="1">
      <c r="A379" s="46" t="s">
        <v>43</v>
      </c>
      <c r="B379" s="47" t="s">
        <v>11</v>
      </c>
      <c r="C379" s="46">
        <v>5.54</v>
      </c>
      <c r="D379" s="125"/>
    </row>
    <row r="380" spans="1:4" ht="15.75" hidden="1" outlineLevel="1">
      <c r="A380" s="46" t="s">
        <v>43</v>
      </c>
      <c r="B380" s="47" t="s">
        <v>15</v>
      </c>
      <c r="C380" s="46">
        <v>5.55</v>
      </c>
      <c r="D380" s="125"/>
    </row>
    <row r="381" spans="1:4" ht="15.75" hidden="1" outlineLevel="1">
      <c r="A381" s="46" t="s">
        <v>43</v>
      </c>
      <c r="B381" s="47" t="s">
        <v>1151</v>
      </c>
      <c r="C381" s="46">
        <v>5.63</v>
      </c>
      <c r="D381" s="125"/>
    </row>
    <row r="382" spans="1:4" ht="15.75" hidden="1" outlineLevel="1">
      <c r="A382" s="46" t="s">
        <v>43</v>
      </c>
      <c r="B382" s="47" t="s">
        <v>1152</v>
      </c>
      <c r="C382" s="46">
        <v>5.65</v>
      </c>
      <c r="D382" s="125"/>
    </row>
    <row r="383" spans="1:4" ht="15.75" hidden="1" outlineLevel="1">
      <c r="A383" s="46" t="s">
        <v>43</v>
      </c>
      <c r="B383" s="47" t="s">
        <v>786</v>
      </c>
      <c r="C383" s="46">
        <v>5.66</v>
      </c>
      <c r="D383" s="125"/>
    </row>
    <row r="384" spans="1:4" ht="15.75" hidden="1" outlineLevel="1">
      <c r="A384" s="46" t="s">
        <v>43</v>
      </c>
      <c r="B384" s="47" t="s">
        <v>26</v>
      </c>
      <c r="C384" s="46">
        <v>5.68</v>
      </c>
      <c r="D384" s="125"/>
    </row>
    <row r="385" spans="1:4" ht="15.75" hidden="1" outlineLevel="1">
      <c r="A385" s="46" t="s">
        <v>43</v>
      </c>
      <c r="B385" s="47" t="s">
        <v>19</v>
      </c>
      <c r="C385" s="46">
        <v>5.47</v>
      </c>
      <c r="D385" s="125"/>
    </row>
    <row r="386" spans="1:4" ht="15.75" hidden="1" outlineLevel="1">
      <c r="A386" s="46" t="s">
        <v>43</v>
      </c>
      <c r="B386" s="47" t="s">
        <v>30</v>
      </c>
      <c r="C386" s="46">
        <v>5.48</v>
      </c>
      <c r="D386" s="125"/>
    </row>
    <row r="387" spans="1:4" ht="15.75" collapsed="1">
      <c r="A387" s="52" t="s">
        <v>43</v>
      </c>
      <c r="B387" s="47"/>
      <c r="C387" s="46"/>
      <c r="D387" s="125"/>
    </row>
    <row r="388" spans="1:4" ht="15.75" hidden="1" outlineLevel="1">
      <c r="A388" s="46" t="s">
        <v>44</v>
      </c>
      <c r="B388" s="47" t="s">
        <v>649</v>
      </c>
      <c r="C388" s="46">
        <v>5.0999999999999996</v>
      </c>
      <c r="D388" s="125"/>
    </row>
    <row r="389" spans="1:4" ht="15.75" hidden="1" outlineLevel="1">
      <c r="A389" s="46" t="s">
        <v>44</v>
      </c>
      <c r="B389" s="47" t="s">
        <v>0</v>
      </c>
      <c r="C389" s="46">
        <v>5.2</v>
      </c>
      <c r="D389" s="125"/>
    </row>
    <row r="390" spans="1:4" ht="15.75" hidden="1" outlineLevel="1">
      <c r="A390" s="46" t="s">
        <v>44</v>
      </c>
      <c r="B390" s="47" t="s">
        <v>722</v>
      </c>
      <c r="C390" s="46">
        <v>5.3</v>
      </c>
      <c r="D390" s="125"/>
    </row>
    <row r="391" spans="1:4" ht="15.75" hidden="1" outlineLevel="1">
      <c r="A391" s="46" t="s">
        <v>44</v>
      </c>
      <c r="B391" s="47" t="s">
        <v>2</v>
      </c>
      <c r="C391" s="46">
        <v>5.6</v>
      </c>
      <c r="D391" s="125"/>
    </row>
    <row r="392" spans="1:4" ht="15.75" hidden="1" outlineLevel="1">
      <c r="A392" s="46" t="s">
        <v>44</v>
      </c>
      <c r="B392" s="47" t="s">
        <v>728</v>
      </c>
      <c r="C392" s="48">
        <v>5.0999999999999996</v>
      </c>
      <c r="D392" s="125"/>
    </row>
    <row r="393" spans="1:4" ht="15.75" hidden="1" outlineLevel="1">
      <c r="A393" s="46" t="s">
        <v>44</v>
      </c>
      <c r="B393" s="47" t="s">
        <v>3</v>
      </c>
      <c r="C393" s="46">
        <v>5.14</v>
      </c>
      <c r="D393" s="125"/>
    </row>
    <row r="394" spans="1:4" ht="15.75" hidden="1" outlineLevel="1">
      <c r="A394" s="46" t="s">
        <v>44</v>
      </c>
      <c r="B394" s="47" t="s">
        <v>29</v>
      </c>
      <c r="C394" s="46">
        <v>5.19</v>
      </c>
      <c r="D394" s="125"/>
    </row>
    <row r="395" spans="1:4" ht="15.75" hidden="1" outlineLevel="1">
      <c r="A395" s="46" t="s">
        <v>44</v>
      </c>
      <c r="B395" s="47" t="s">
        <v>28</v>
      </c>
      <c r="C395" s="46">
        <v>5.24</v>
      </c>
      <c r="D395" s="125"/>
    </row>
    <row r="396" spans="1:4" ht="15.75" hidden="1" outlineLevel="1">
      <c r="A396" s="46" t="s">
        <v>44</v>
      </c>
      <c r="B396" s="47" t="s">
        <v>1</v>
      </c>
      <c r="C396" s="46">
        <v>5.26</v>
      </c>
      <c r="D396" s="125"/>
    </row>
    <row r="397" spans="1:4" ht="15.75" hidden="1" outlineLevel="1">
      <c r="A397" s="46" t="s">
        <v>44</v>
      </c>
      <c r="B397" s="47" t="s">
        <v>602</v>
      </c>
      <c r="C397" s="46">
        <v>5.27</v>
      </c>
      <c r="D397" s="125"/>
    </row>
    <row r="398" spans="1:4" ht="15.75" hidden="1" outlineLevel="1">
      <c r="A398" s="46" t="s">
        <v>44</v>
      </c>
      <c r="B398" s="47" t="s">
        <v>603</v>
      </c>
      <c r="C398" s="46">
        <v>5.28</v>
      </c>
      <c r="D398" s="125"/>
    </row>
    <row r="399" spans="1:4" ht="15.75" hidden="1" outlineLevel="1">
      <c r="A399" s="46" t="s">
        <v>44</v>
      </c>
      <c r="B399" s="47" t="s">
        <v>607</v>
      </c>
      <c r="C399" s="46">
        <v>5.29</v>
      </c>
      <c r="D399" s="125"/>
    </row>
    <row r="400" spans="1:4" ht="15.75" hidden="1" outlineLevel="1">
      <c r="A400" s="46" t="s">
        <v>44</v>
      </c>
      <c r="B400" s="47" t="s">
        <v>9</v>
      </c>
      <c r="C400" s="46">
        <v>5.31</v>
      </c>
      <c r="D400" s="125"/>
    </row>
    <row r="401" spans="1:4" ht="15.75" hidden="1" outlineLevel="1">
      <c r="A401" s="46" t="s">
        <v>44</v>
      </c>
      <c r="B401" s="47" t="s">
        <v>604</v>
      </c>
      <c r="C401" s="46">
        <v>5.36</v>
      </c>
      <c r="D401" s="125"/>
    </row>
    <row r="402" spans="1:4" ht="15.75" hidden="1" outlineLevel="1">
      <c r="A402" s="46" t="s">
        <v>44</v>
      </c>
      <c r="B402" s="47" t="s">
        <v>12</v>
      </c>
      <c r="C402" s="46">
        <v>5.37</v>
      </c>
      <c r="D402" s="125"/>
    </row>
    <row r="403" spans="1:4" ht="15.75" hidden="1" outlineLevel="1">
      <c r="A403" s="46" t="s">
        <v>44</v>
      </c>
      <c r="B403" s="47" t="s">
        <v>6</v>
      </c>
      <c r="C403" s="46">
        <v>5.49</v>
      </c>
      <c r="D403" s="125"/>
    </row>
    <row r="404" spans="1:4" ht="15.75" hidden="1" outlineLevel="1">
      <c r="A404" s="46" t="s">
        <v>44</v>
      </c>
      <c r="B404" s="47" t="s">
        <v>8</v>
      </c>
      <c r="C404" s="46">
        <v>5.51</v>
      </c>
      <c r="D404" s="125"/>
    </row>
    <row r="405" spans="1:4" ht="15.75" hidden="1" outlineLevel="1">
      <c r="A405" s="46" t="s">
        <v>44</v>
      </c>
      <c r="B405" s="47" t="s">
        <v>7</v>
      </c>
      <c r="C405" s="46">
        <v>5.52</v>
      </c>
      <c r="D405" s="125"/>
    </row>
    <row r="406" spans="1:4" ht="15.75" hidden="1" outlineLevel="1">
      <c r="A406" s="46" t="s">
        <v>44</v>
      </c>
      <c r="B406" s="47" t="s">
        <v>396</v>
      </c>
      <c r="C406" s="46">
        <v>5.53</v>
      </c>
      <c r="D406" s="125"/>
    </row>
    <row r="407" spans="1:4" ht="15.75" hidden="1" outlineLevel="1">
      <c r="A407" s="46" t="s">
        <v>44</v>
      </c>
      <c r="B407" s="47" t="s">
        <v>13</v>
      </c>
      <c r="C407" s="46">
        <v>5.69</v>
      </c>
      <c r="D407" s="125"/>
    </row>
    <row r="408" spans="1:4" ht="15.75" hidden="1" outlineLevel="1">
      <c r="A408" s="46" t="s">
        <v>44</v>
      </c>
      <c r="B408" s="47" t="s">
        <v>420</v>
      </c>
      <c r="C408" s="46">
        <v>5.75</v>
      </c>
      <c r="D408" s="125"/>
    </row>
    <row r="409" spans="1:4" ht="15.75" hidden="1" outlineLevel="1">
      <c r="A409" s="46" t="s">
        <v>44</v>
      </c>
      <c r="B409" s="47" t="s">
        <v>619</v>
      </c>
      <c r="C409" s="46">
        <v>5.74</v>
      </c>
      <c r="D409" s="125"/>
    </row>
    <row r="410" spans="1:4" ht="15.75" hidden="1" outlineLevel="1">
      <c r="A410" s="46" t="s">
        <v>44</v>
      </c>
      <c r="B410" s="47" t="s">
        <v>14</v>
      </c>
      <c r="C410" s="48">
        <v>5.7</v>
      </c>
      <c r="D410" s="125"/>
    </row>
    <row r="411" spans="1:4" ht="15.75" hidden="1" outlineLevel="1">
      <c r="A411" s="46" t="s">
        <v>44</v>
      </c>
      <c r="B411" s="47" t="s">
        <v>923</v>
      </c>
      <c r="C411" s="46">
        <v>5.76</v>
      </c>
      <c r="D411" s="125"/>
    </row>
    <row r="412" spans="1:4" ht="15.75" hidden="1" outlineLevel="1">
      <c r="A412" s="46" t="s">
        <v>44</v>
      </c>
      <c r="B412" s="47" t="s">
        <v>667</v>
      </c>
      <c r="C412" s="46">
        <v>5.89</v>
      </c>
      <c r="D412" s="124" t="s">
        <v>933</v>
      </c>
    </row>
    <row r="413" spans="1:4" ht="15.75" hidden="1" outlineLevel="1">
      <c r="A413" s="46" t="s">
        <v>44</v>
      </c>
      <c r="B413" s="47" t="s">
        <v>915</v>
      </c>
      <c r="C413" s="46">
        <v>5.109</v>
      </c>
      <c r="D413" s="125"/>
    </row>
    <row r="414" spans="1:4" ht="15.75" hidden="1" outlineLevel="1">
      <c r="A414" s="46" t="s">
        <v>44</v>
      </c>
      <c r="B414" s="47" t="s">
        <v>372</v>
      </c>
      <c r="C414" s="46">
        <v>5.1109999999999998</v>
      </c>
      <c r="D414" s="125"/>
    </row>
    <row r="415" spans="1:4" ht="15.75" hidden="1" outlineLevel="1">
      <c r="A415" s="46" t="s">
        <v>44</v>
      </c>
      <c r="B415" s="47" t="s">
        <v>16</v>
      </c>
      <c r="C415" s="46">
        <v>5.1120000000000001</v>
      </c>
      <c r="D415" s="125"/>
    </row>
    <row r="416" spans="1:4" ht="15.75" hidden="1" outlineLevel="1">
      <c r="A416" s="46" t="s">
        <v>44</v>
      </c>
      <c r="B416" s="50" t="s">
        <v>474</v>
      </c>
      <c r="C416" s="46">
        <v>5.1130000000000004</v>
      </c>
      <c r="D416" s="125"/>
    </row>
    <row r="417" spans="1:4" ht="15.75" hidden="1" outlineLevel="1">
      <c r="A417" s="46" t="s">
        <v>44</v>
      </c>
      <c r="B417" s="47" t="s">
        <v>771</v>
      </c>
      <c r="C417" s="46">
        <v>5.58</v>
      </c>
      <c r="D417" s="125"/>
    </row>
    <row r="418" spans="1:4" ht="15.75" hidden="1" outlineLevel="1">
      <c r="A418" s="46" t="s">
        <v>44</v>
      </c>
      <c r="B418" s="47" t="s">
        <v>11</v>
      </c>
      <c r="C418" s="46">
        <v>5.54</v>
      </c>
      <c r="D418" s="125"/>
    </row>
    <row r="419" spans="1:4" ht="15.75" hidden="1" outlineLevel="1">
      <c r="A419" s="46" t="s">
        <v>44</v>
      </c>
      <c r="B419" s="47" t="s">
        <v>15</v>
      </c>
      <c r="C419" s="46">
        <v>5.55</v>
      </c>
      <c r="D419" s="125"/>
    </row>
    <row r="420" spans="1:4" ht="15.75" hidden="1" outlineLevel="1">
      <c r="A420" s="46" t="s">
        <v>44</v>
      </c>
      <c r="B420" s="47" t="s">
        <v>1151</v>
      </c>
      <c r="C420" s="46">
        <v>5.63</v>
      </c>
      <c r="D420" s="125"/>
    </row>
    <row r="421" spans="1:4" ht="15.75" hidden="1" outlineLevel="1">
      <c r="A421" s="46" t="s">
        <v>44</v>
      </c>
      <c r="B421" s="47" t="s">
        <v>1152</v>
      </c>
      <c r="C421" s="46">
        <v>5.65</v>
      </c>
      <c r="D421" s="125"/>
    </row>
    <row r="422" spans="1:4" ht="15.75" hidden="1" outlineLevel="1">
      <c r="A422" s="46" t="s">
        <v>44</v>
      </c>
      <c r="B422" s="47" t="s">
        <v>786</v>
      </c>
      <c r="C422" s="46">
        <v>5.66</v>
      </c>
      <c r="D422" s="125"/>
    </row>
    <row r="423" spans="1:4" ht="15.75" hidden="1" outlineLevel="1">
      <c r="A423" s="46" t="s">
        <v>44</v>
      </c>
      <c r="B423" s="47" t="s">
        <v>26</v>
      </c>
      <c r="C423" s="46">
        <v>5.68</v>
      </c>
      <c r="D423" s="125"/>
    </row>
    <row r="424" spans="1:4" ht="15.75" hidden="1" outlineLevel="1">
      <c r="A424" s="46" t="s">
        <v>44</v>
      </c>
      <c r="B424" s="47" t="s">
        <v>19</v>
      </c>
      <c r="C424" s="46">
        <v>5.47</v>
      </c>
      <c r="D424" s="125"/>
    </row>
    <row r="425" spans="1:4" ht="15.75" hidden="1" outlineLevel="1">
      <c r="A425" s="46" t="s">
        <v>44</v>
      </c>
      <c r="B425" s="47" t="s">
        <v>30</v>
      </c>
      <c r="C425" s="46">
        <v>5.48</v>
      </c>
      <c r="D425" s="125"/>
    </row>
    <row r="426" spans="1:4" ht="15.75" collapsed="1">
      <c r="A426" s="52" t="s">
        <v>44</v>
      </c>
      <c r="B426" s="47"/>
      <c r="C426" s="46"/>
      <c r="D426" s="125"/>
    </row>
    <row r="427" spans="1:4" ht="15.75" outlineLevel="1">
      <c r="A427" s="46" t="s">
        <v>790</v>
      </c>
      <c r="B427" s="47" t="s">
        <v>649</v>
      </c>
      <c r="C427" s="46">
        <v>5.0999999999999996</v>
      </c>
      <c r="D427" s="125"/>
    </row>
    <row r="428" spans="1:4" ht="15.75" outlineLevel="1">
      <c r="A428" s="46" t="s">
        <v>790</v>
      </c>
      <c r="B428" s="47" t="s">
        <v>0</v>
      </c>
      <c r="C428" s="46">
        <v>5.2</v>
      </c>
      <c r="D428" s="125"/>
    </row>
    <row r="429" spans="1:4" ht="15.75" outlineLevel="1">
      <c r="A429" s="46" t="s">
        <v>790</v>
      </c>
      <c r="B429" s="47" t="s">
        <v>722</v>
      </c>
      <c r="C429" s="46">
        <v>5.3</v>
      </c>
      <c r="D429" s="125"/>
    </row>
    <row r="430" spans="1:4" ht="15.75" outlineLevel="1">
      <c r="A430" s="46" t="s">
        <v>790</v>
      </c>
      <c r="B430" s="47" t="s">
        <v>2</v>
      </c>
      <c r="C430" s="46">
        <v>5.6</v>
      </c>
      <c r="D430" s="125"/>
    </row>
    <row r="431" spans="1:4" ht="15.75" outlineLevel="1">
      <c r="A431" s="46" t="s">
        <v>790</v>
      </c>
      <c r="B431" s="47" t="s">
        <v>728</v>
      </c>
      <c r="C431" s="48">
        <v>5.0999999999999996</v>
      </c>
      <c r="D431" s="125"/>
    </row>
    <row r="432" spans="1:4" ht="15.75" outlineLevel="1">
      <c r="A432" s="46" t="s">
        <v>790</v>
      </c>
      <c r="B432" s="47" t="s">
        <v>3</v>
      </c>
      <c r="C432" s="46">
        <v>5.14</v>
      </c>
      <c r="D432" s="125"/>
    </row>
    <row r="433" spans="1:4" ht="15.75" outlineLevel="1">
      <c r="A433" s="46" t="s">
        <v>790</v>
      </c>
      <c r="B433" s="47" t="s">
        <v>29</v>
      </c>
      <c r="C433" s="46">
        <v>5.19</v>
      </c>
      <c r="D433" s="125"/>
    </row>
    <row r="434" spans="1:4" ht="15.75" outlineLevel="1">
      <c r="A434" s="46" t="s">
        <v>790</v>
      </c>
      <c r="B434" s="47" t="s">
        <v>28</v>
      </c>
      <c r="C434" s="46">
        <v>5.24</v>
      </c>
      <c r="D434" s="125"/>
    </row>
    <row r="435" spans="1:4" ht="15.75" outlineLevel="1">
      <c r="A435" s="46" t="s">
        <v>790</v>
      </c>
      <c r="B435" s="47" t="s">
        <v>1</v>
      </c>
      <c r="C435" s="46">
        <v>5.26</v>
      </c>
      <c r="D435" s="125"/>
    </row>
    <row r="436" spans="1:4" ht="15.75" outlineLevel="1">
      <c r="A436" s="46" t="s">
        <v>790</v>
      </c>
      <c r="B436" s="47" t="s">
        <v>602</v>
      </c>
      <c r="C436" s="46">
        <v>5.27</v>
      </c>
      <c r="D436" s="125"/>
    </row>
    <row r="437" spans="1:4" ht="15.75" outlineLevel="1">
      <c r="A437" s="46" t="s">
        <v>790</v>
      </c>
      <c r="B437" s="47" t="s">
        <v>603</v>
      </c>
      <c r="C437" s="46">
        <v>5.28</v>
      </c>
      <c r="D437" s="125"/>
    </row>
    <row r="438" spans="1:4" ht="15.75" outlineLevel="1">
      <c r="A438" s="46" t="s">
        <v>790</v>
      </c>
      <c r="B438" s="47" t="s">
        <v>607</v>
      </c>
      <c r="C438" s="46">
        <v>5.29</v>
      </c>
      <c r="D438" s="125"/>
    </row>
    <row r="439" spans="1:4" ht="15.75" outlineLevel="1">
      <c r="A439" s="46" t="s">
        <v>790</v>
      </c>
      <c r="B439" s="47" t="s">
        <v>9</v>
      </c>
      <c r="C439" s="46">
        <v>5.31</v>
      </c>
      <c r="D439" s="125"/>
    </row>
    <row r="440" spans="1:4" ht="15.75" outlineLevel="1">
      <c r="A440" s="46" t="s">
        <v>790</v>
      </c>
      <c r="B440" s="47" t="s">
        <v>604</v>
      </c>
      <c r="C440" s="46">
        <v>5.36</v>
      </c>
      <c r="D440" s="125"/>
    </row>
    <row r="441" spans="1:4" ht="15.75" outlineLevel="1">
      <c r="A441" s="46" t="s">
        <v>790</v>
      </c>
      <c r="B441" s="47" t="s">
        <v>12</v>
      </c>
      <c r="C441" s="46">
        <v>5.37</v>
      </c>
      <c r="D441" s="125"/>
    </row>
    <row r="442" spans="1:4" ht="15.75" outlineLevel="1">
      <c r="A442" s="46" t="s">
        <v>790</v>
      </c>
      <c r="B442" s="47" t="s">
        <v>396</v>
      </c>
      <c r="C442" s="46">
        <v>5.53</v>
      </c>
      <c r="D442" s="125"/>
    </row>
    <row r="443" spans="1:4" ht="15.75" outlineLevel="1">
      <c r="A443" s="46" t="s">
        <v>790</v>
      </c>
      <c r="B443" s="47" t="s">
        <v>915</v>
      </c>
      <c r="C443" s="46">
        <v>5.109</v>
      </c>
      <c r="D443" s="125"/>
    </row>
    <row r="444" spans="1:4" ht="15.75" outlineLevel="1">
      <c r="A444" s="46" t="s">
        <v>790</v>
      </c>
      <c r="B444" s="47" t="s">
        <v>372</v>
      </c>
      <c r="C444" s="46">
        <v>5.1109999999999998</v>
      </c>
      <c r="D444" s="125"/>
    </row>
    <row r="445" spans="1:4" ht="15.75" outlineLevel="1">
      <c r="A445" s="46" t="s">
        <v>790</v>
      </c>
      <c r="B445" s="47" t="s">
        <v>16</v>
      </c>
      <c r="C445" s="46">
        <v>5.1120000000000001</v>
      </c>
      <c r="D445" s="125"/>
    </row>
    <row r="446" spans="1:4" ht="15.75" outlineLevel="1">
      <c r="A446" s="46" t="s">
        <v>790</v>
      </c>
      <c r="B446" s="50" t="s">
        <v>474</v>
      </c>
      <c r="C446" s="46">
        <v>5.1130000000000004</v>
      </c>
      <c r="D446" s="125"/>
    </row>
    <row r="447" spans="1:4" ht="15.75" outlineLevel="1">
      <c r="A447" s="46" t="s">
        <v>790</v>
      </c>
      <c r="B447" s="47" t="s">
        <v>771</v>
      </c>
      <c r="C447" s="46">
        <v>5.58</v>
      </c>
      <c r="D447" s="125"/>
    </row>
    <row r="448" spans="1:4" ht="15.75" outlineLevel="1">
      <c r="A448" s="46" t="s">
        <v>790</v>
      </c>
      <c r="B448" s="47" t="s">
        <v>11</v>
      </c>
      <c r="C448" s="46">
        <v>5.54</v>
      </c>
      <c r="D448" s="125"/>
    </row>
    <row r="449" spans="1:4" ht="15.75" outlineLevel="1">
      <c r="A449" s="46" t="s">
        <v>790</v>
      </c>
      <c r="B449" s="47" t="s">
        <v>15</v>
      </c>
      <c r="C449" s="46">
        <v>5.55</v>
      </c>
      <c r="D449" s="125"/>
    </row>
    <row r="450" spans="1:4" ht="15.75" outlineLevel="1">
      <c r="A450" s="46" t="s">
        <v>790</v>
      </c>
      <c r="B450" s="47" t="s">
        <v>1151</v>
      </c>
      <c r="C450" s="46">
        <v>5.63</v>
      </c>
      <c r="D450" s="125"/>
    </row>
    <row r="451" spans="1:4" ht="15.75" outlineLevel="1">
      <c r="A451" s="46" t="s">
        <v>790</v>
      </c>
      <c r="B451" s="47" t="s">
        <v>19</v>
      </c>
      <c r="C451" s="46">
        <v>5.47</v>
      </c>
      <c r="D451" s="125"/>
    </row>
    <row r="452" spans="1:4" ht="15.75" outlineLevel="1">
      <c r="A452" s="46" t="s">
        <v>790</v>
      </c>
      <c r="B452" s="47" t="s">
        <v>30</v>
      </c>
      <c r="C452" s="46">
        <v>5.48</v>
      </c>
      <c r="D452" s="125"/>
    </row>
    <row r="453" spans="1:4" ht="15.75">
      <c r="A453" s="52" t="s">
        <v>790</v>
      </c>
      <c r="B453" s="47"/>
      <c r="C453" s="46"/>
      <c r="D453" s="125"/>
    </row>
    <row r="454" spans="1:4" ht="15.75" outlineLevel="1">
      <c r="A454" s="46" t="s">
        <v>45</v>
      </c>
      <c r="B454" s="47" t="s">
        <v>649</v>
      </c>
      <c r="C454" s="46">
        <v>5.0999999999999996</v>
      </c>
      <c r="D454" s="125"/>
    </row>
    <row r="455" spans="1:4" ht="15.75" outlineLevel="1">
      <c r="A455" s="46" t="s">
        <v>45</v>
      </c>
      <c r="B455" s="47" t="s">
        <v>0</v>
      </c>
      <c r="C455" s="46">
        <v>5.2</v>
      </c>
      <c r="D455" s="125"/>
    </row>
    <row r="456" spans="1:4" ht="15.75" outlineLevel="1">
      <c r="A456" s="46" t="s">
        <v>45</v>
      </c>
      <c r="B456" s="47" t="s">
        <v>778</v>
      </c>
      <c r="C456" s="46">
        <v>5.5</v>
      </c>
      <c r="D456" s="125"/>
    </row>
    <row r="457" spans="1:4" ht="15.75" outlineLevel="1">
      <c r="A457" s="46" t="s">
        <v>45</v>
      </c>
      <c r="B457" s="47" t="s">
        <v>791</v>
      </c>
      <c r="C457" s="46">
        <v>5.8</v>
      </c>
      <c r="D457" s="124" t="s">
        <v>933</v>
      </c>
    </row>
    <row r="458" spans="1:4" ht="15.75" outlineLevel="1">
      <c r="A458" s="46" t="s">
        <v>45</v>
      </c>
      <c r="B458" s="47" t="s">
        <v>779</v>
      </c>
      <c r="C458" s="46">
        <v>5.12</v>
      </c>
      <c r="D458" s="124" t="s">
        <v>933</v>
      </c>
    </row>
    <row r="459" spans="1:4" ht="15.75" outlineLevel="1">
      <c r="A459" s="46" t="s">
        <v>45</v>
      </c>
      <c r="B459" s="47" t="s">
        <v>745</v>
      </c>
      <c r="C459" s="46">
        <v>5.15</v>
      </c>
      <c r="D459" s="125"/>
    </row>
    <row r="460" spans="1:4" ht="15.75" outlineLevel="1">
      <c r="A460" s="46" t="s">
        <v>45</v>
      </c>
      <c r="B460" s="47" t="s">
        <v>744</v>
      </c>
      <c r="C460" s="48">
        <v>5.2</v>
      </c>
      <c r="D460" s="124"/>
    </row>
    <row r="461" spans="1:4" ht="15.75" outlineLevel="1">
      <c r="A461" s="46" t="s">
        <v>45</v>
      </c>
      <c r="B461" s="47" t="s">
        <v>749</v>
      </c>
      <c r="C461" s="46">
        <v>5.25</v>
      </c>
      <c r="D461" s="125"/>
    </row>
    <row r="462" spans="1:4" ht="15.75" outlineLevel="1">
      <c r="A462" s="46" t="s">
        <v>45</v>
      </c>
      <c r="B462" s="47" t="s">
        <v>1</v>
      </c>
      <c r="C462" s="46">
        <v>5.26</v>
      </c>
      <c r="D462" s="125"/>
    </row>
    <row r="463" spans="1:4" ht="15.75" outlineLevel="1">
      <c r="A463" s="46" t="s">
        <v>45</v>
      </c>
      <c r="B463" s="47" t="s">
        <v>289</v>
      </c>
      <c r="C463" s="46">
        <v>5.1139999999999999</v>
      </c>
      <c r="D463" s="124" t="s">
        <v>933</v>
      </c>
    </row>
    <row r="464" spans="1:4" ht="15.75" outlineLevel="1">
      <c r="A464" s="46" t="s">
        <v>45</v>
      </c>
      <c r="B464" s="47" t="s">
        <v>602</v>
      </c>
      <c r="C464" s="46">
        <v>5.27</v>
      </c>
      <c r="D464" s="125"/>
    </row>
    <row r="465" spans="1:4" ht="15.75" outlineLevel="1">
      <c r="A465" s="46" t="s">
        <v>45</v>
      </c>
      <c r="B465" s="47" t="s">
        <v>737</v>
      </c>
      <c r="C465" s="46">
        <v>5.1150000000000002</v>
      </c>
      <c r="D465" s="124" t="s">
        <v>933</v>
      </c>
    </row>
    <row r="466" spans="1:4" ht="15.75" outlineLevel="1">
      <c r="A466" s="46" t="s">
        <v>45</v>
      </c>
      <c r="B466" s="47" t="s">
        <v>752</v>
      </c>
      <c r="C466" s="46">
        <v>5.1159999999999997</v>
      </c>
      <c r="D466" s="124" t="s">
        <v>933</v>
      </c>
    </row>
    <row r="467" spans="1:4" ht="15.75" outlineLevel="1">
      <c r="A467" s="46" t="s">
        <v>45</v>
      </c>
      <c r="B467" s="47" t="s">
        <v>603</v>
      </c>
      <c r="C467" s="46">
        <v>5.28</v>
      </c>
      <c r="D467" s="125"/>
    </row>
    <row r="468" spans="1:4" ht="15.75" outlineLevel="1">
      <c r="A468" s="46" t="s">
        <v>45</v>
      </c>
      <c r="B468" s="47" t="s">
        <v>604</v>
      </c>
      <c r="C468" s="46">
        <v>5.36</v>
      </c>
      <c r="D468" s="125"/>
    </row>
    <row r="469" spans="1:4" ht="15.75" outlineLevel="1">
      <c r="A469" s="46" t="s">
        <v>45</v>
      </c>
      <c r="B469" s="47" t="s">
        <v>12</v>
      </c>
      <c r="C469" s="46">
        <v>5.37</v>
      </c>
      <c r="D469" s="125"/>
    </row>
    <row r="470" spans="1:4" ht="15.75" outlineLevel="1">
      <c r="A470" s="46" t="s">
        <v>45</v>
      </c>
      <c r="B470" s="47" t="s">
        <v>396</v>
      </c>
      <c r="C470" s="46">
        <v>5.53</v>
      </c>
      <c r="D470" s="125"/>
    </row>
    <row r="471" spans="1:4" ht="15.75" outlineLevel="1">
      <c r="A471" s="46" t="s">
        <v>45</v>
      </c>
      <c r="B471" s="47" t="s">
        <v>915</v>
      </c>
      <c r="C471" s="46">
        <v>5.109</v>
      </c>
      <c r="D471" s="125"/>
    </row>
    <row r="472" spans="1:4" ht="15.75" outlineLevel="1">
      <c r="A472" s="46" t="s">
        <v>45</v>
      </c>
      <c r="B472" s="47" t="s">
        <v>372</v>
      </c>
      <c r="C472" s="46">
        <v>5.1109999999999998</v>
      </c>
      <c r="D472" s="125"/>
    </row>
    <row r="473" spans="1:4" ht="15.75" outlineLevel="1">
      <c r="A473" s="46" t="s">
        <v>45</v>
      </c>
      <c r="B473" s="47" t="s">
        <v>16</v>
      </c>
      <c r="C473" s="46">
        <v>5.1120000000000001</v>
      </c>
      <c r="D473" s="125"/>
    </row>
    <row r="474" spans="1:4" ht="15.75" outlineLevel="1">
      <c r="A474" s="46" t="s">
        <v>45</v>
      </c>
      <c r="B474" s="47" t="s">
        <v>11</v>
      </c>
      <c r="C474" s="46">
        <v>5.54</v>
      </c>
      <c r="D474" s="125"/>
    </row>
    <row r="475" spans="1:4" ht="15.75" outlineLevel="1">
      <c r="A475" s="46" t="s">
        <v>45</v>
      </c>
      <c r="B475" s="47" t="s">
        <v>934</v>
      </c>
      <c r="C475" s="46">
        <v>5.61</v>
      </c>
      <c r="D475" s="125"/>
    </row>
    <row r="476" spans="1:4" ht="15.75" outlineLevel="1">
      <c r="A476" s="46" t="s">
        <v>45</v>
      </c>
      <c r="B476" s="47" t="s">
        <v>1151</v>
      </c>
      <c r="C476" s="46">
        <v>5.63</v>
      </c>
      <c r="D476" s="125"/>
    </row>
    <row r="477" spans="1:4" ht="15.75" outlineLevel="1">
      <c r="A477" s="46" t="s">
        <v>45</v>
      </c>
      <c r="B477" s="47" t="s">
        <v>734</v>
      </c>
      <c r="C477" s="46">
        <v>5.46</v>
      </c>
      <c r="D477" s="125"/>
    </row>
    <row r="478" spans="1:4" ht="15.75" outlineLevel="1">
      <c r="A478" s="46" t="s">
        <v>45</v>
      </c>
      <c r="B478" s="47" t="s">
        <v>19</v>
      </c>
      <c r="C478" s="46">
        <v>5.47</v>
      </c>
      <c r="D478" s="125"/>
    </row>
    <row r="479" spans="1:4" ht="15.75" outlineLevel="1">
      <c r="A479" s="46" t="s">
        <v>45</v>
      </c>
      <c r="B479" s="47" t="s">
        <v>30</v>
      </c>
      <c r="C479" s="46">
        <v>5.48</v>
      </c>
      <c r="D479" s="125"/>
    </row>
    <row r="480" spans="1:4" ht="15.75">
      <c r="A480" s="52" t="s">
        <v>45</v>
      </c>
      <c r="B480" s="47"/>
      <c r="C480" s="46"/>
      <c r="D480" s="125"/>
    </row>
    <row r="481" spans="1:4" ht="15.75" hidden="1" outlineLevel="1">
      <c r="A481" s="46" t="s">
        <v>46</v>
      </c>
      <c r="B481" s="47" t="s">
        <v>649</v>
      </c>
      <c r="C481" s="46">
        <v>5.0999999999999996</v>
      </c>
      <c r="D481" s="125"/>
    </row>
    <row r="482" spans="1:4" ht="15.75" hidden="1" outlineLevel="1">
      <c r="A482" s="46" t="s">
        <v>46</v>
      </c>
      <c r="B482" s="47" t="s">
        <v>0</v>
      </c>
      <c r="C482" s="46">
        <v>5.2</v>
      </c>
      <c r="D482" s="125"/>
    </row>
    <row r="483" spans="1:4" ht="15.75" hidden="1" outlineLevel="1">
      <c r="A483" s="46" t="s">
        <v>46</v>
      </c>
      <c r="B483" s="47" t="s">
        <v>722</v>
      </c>
      <c r="C483" s="46">
        <v>5.3</v>
      </c>
      <c r="D483" s="125"/>
    </row>
    <row r="484" spans="1:4" ht="15.75" hidden="1" outlineLevel="1">
      <c r="A484" s="46" t="s">
        <v>46</v>
      </c>
      <c r="B484" s="47" t="s">
        <v>2</v>
      </c>
      <c r="C484" s="46">
        <v>5.6</v>
      </c>
      <c r="D484" s="125"/>
    </row>
    <row r="485" spans="1:4" ht="15.75" hidden="1" outlineLevel="1">
      <c r="A485" s="46" t="s">
        <v>46</v>
      </c>
      <c r="B485" s="47" t="s">
        <v>728</v>
      </c>
      <c r="C485" s="48">
        <v>5.0999999999999996</v>
      </c>
      <c r="D485" s="125"/>
    </row>
    <row r="486" spans="1:4" ht="15.75" hidden="1" outlineLevel="1">
      <c r="A486" s="46" t="s">
        <v>46</v>
      </c>
      <c r="B486" s="47" t="s">
        <v>3</v>
      </c>
      <c r="C486" s="46">
        <v>5.14</v>
      </c>
      <c r="D486" s="125"/>
    </row>
    <row r="487" spans="1:4" ht="15.75" hidden="1" outlineLevel="1">
      <c r="A487" s="46" t="s">
        <v>46</v>
      </c>
      <c r="B487" s="47" t="s">
        <v>29</v>
      </c>
      <c r="C487" s="46">
        <v>5.19</v>
      </c>
      <c r="D487" s="125"/>
    </row>
    <row r="488" spans="1:4" ht="15.75" hidden="1" outlineLevel="1">
      <c r="A488" s="46" t="s">
        <v>46</v>
      </c>
      <c r="B488" s="47" t="s">
        <v>28</v>
      </c>
      <c r="C488" s="46">
        <v>5.24</v>
      </c>
      <c r="D488" s="125"/>
    </row>
    <row r="489" spans="1:4" ht="15.75" hidden="1" outlineLevel="1">
      <c r="A489" s="46" t="s">
        <v>46</v>
      </c>
      <c r="B489" s="47" t="s">
        <v>602</v>
      </c>
      <c r="C489" s="46">
        <v>5.27</v>
      </c>
      <c r="D489" s="125"/>
    </row>
    <row r="490" spans="1:4" ht="15.75" hidden="1" outlineLevel="1">
      <c r="A490" s="46" t="s">
        <v>46</v>
      </c>
      <c r="B490" s="47" t="s">
        <v>603</v>
      </c>
      <c r="C490" s="46">
        <v>5.28</v>
      </c>
      <c r="D490" s="125"/>
    </row>
    <row r="491" spans="1:4" ht="15.75" hidden="1" outlineLevel="1">
      <c r="A491" s="46" t="s">
        <v>46</v>
      </c>
      <c r="B491" s="47" t="s">
        <v>607</v>
      </c>
      <c r="C491" s="46">
        <v>5.29</v>
      </c>
      <c r="D491" s="125"/>
    </row>
    <row r="492" spans="1:4" ht="15.75" hidden="1" outlineLevel="1">
      <c r="A492" s="46" t="s">
        <v>46</v>
      </c>
      <c r="B492" s="47" t="s">
        <v>736</v>
      </c>
      <c r="C492" s="46">
        <v>5.34</v>
      </c>
      <c r="D492" s="125"/>
    </row>
    <row r="493" spans="1:4" ht="15.75" hidden="1" outlineLevel="1">
      <c r="A493" s="46" t="s">
        <v>46</v>
      </c>
      <c r="B493" s="47" t="s">
        <v>9</v>
      </c>
      <c r="C493" s="46">
        <v>5.31</v>
      </c>
      <c r="D493" s="125"/>
    </row>
    <row r="494" spans="1:4" ht="15.75" hidden="1" outlineLevel="1">
      <c r="A494" s="46" t="s">
        <v>46</v>
      </c>
      <c r="B494" s="47" t="s">
        <v>664</v>
      </c>
      <c r="C494" s="46">
        <v>5.101</v>
      </c>
      <c r="D494" s="125"/>
    </row>
    <row r="495" spans="1:4" ht="15.75" hidden="1" outlineLevel="1">
      <c r="A495" s="46" t="s">
        <v>46</v>
      </c>
      <c r="B495" s="47" t="s">
        <v>604</v>
      </c>
      <c r="C495" s="46">
        <v>5.36</v>
      </c>
      <c r="D495" s="125"/>
    </row>
    <row r="496" spans="1:4" ht="15.75" hidden="1" outlineLevel="1">
      <c r="A496" s="46" t="s">
        <v>46</v>
      </c>
      <c r="B496" s="47" t="s">
        <v>12</v>
      </c>
      <c r="C496" s="46">
        <v>5.37</v>
      </c>
      <c r="D496" s="125"/>
    </row>
    <row r="497" spans="1:4" ht="15.75" hidden="1" outlineLevel="1">
      <c r="A497" s="46" t="s">
        <v>46</v>
      </c>
      <c r="B497" s="47" t="s">
        <v>396</v>
      </c>
      <c r="C497" s="46">
        <v>5.53</v>
      </c>
      <c r="D497" s="125"/>
    </row>
    <row r="498" spans="1:4" ht="15.75" hidden="1" outlineLevel="1">
      <c r="A498" s="46" t="s">
        <v>46</v>
      </c>
      <c r="B498" s="47" t="s">
        <v>915</v>
      </c>
      <c r="C498" s="46">
        <v>5.109</v>
      </c>
      <c r="D498" s="125"/>
    </row>
    <row r="499" spans="1:4" ht="15.75" hidden="1" outlineLevel="1">
      <c r="A499" s="46" t="s">
        <v>46</v>
      </c>
      <c r="B499" s="47" t="s">
        <v>372</v>
      </c>
      <c r="C499" s="46">
        <v>5.1109999999999998</v>
      </c>
      <c r="D499" s="125"/>
    </row>
    <row r="500" spans="1:4" ht="15.75" hidden="1" outlineLevel="1">
      <c r="A500" s="46" t="s">
        <v>46</v>
      </c>
      <c r="B500" s="47" t="s">
        <v>16</v>
      </c>
      <c r="C500" s="46">
        <v>5.1120000000000001</v>
      </c>
      <c r="D500" s="125"/>
    </row>
    <row r="501" spans="1:4" ht="15.75" hidden="1" outlineLevel="1">
      <c r="A501" s="46" t="s">
        <v>46</v>
      </c>
      <c r="B501" s="47" t="s">
        <v>23</v>
      </c>
      <c r="C501" s="46">
        <v>5.1020000000000003</v>
      </c>
      <c r="D501" s="125"/>
    </row>
    <row r="502" spans="1:4" ht="15.75" hidden="1" outlineLevel="1">
      <c r="A502" s="46" t="s">
        <v>46</v>
      </c>
      <c r="B502" s="47" t="s">
        <v>611</v>
      </c>
      <c r="C502" s="49">
        <v>5.0999999999999996</v>
      </c>
      <c r="D502" s="125"/>
    </row>
    <row r="503" spans="1:4" ht="15.75" hidden="1" outlineLevel="1">
      <c r="A503" s="46" t="s">
        <v>46</v>
      </c>
      <c r="B503" s="47" t="s">
        <v>771</v>
      </c>
      <c r="C503" s="46">
        <v>5.58</v>
      </c>
      <c r="D503" s="125"/>
    </row>
    <row r="504" spans="1:4" ht="15.75" hidden="1" outlineLevel="1">
      <c r="A504" s="46" t="s">
        <v>46</v>
      </c>
      <c r="B504" s="47" t="s">
        <v>15</v>
      </c>
      <c r="C504" s="46">
        <v>5.55</v>
      </c>
      <c r="D504" s="125"/>
    </row>
    <row r="505" spans="1:4" ht="15.75" hidden="1" outlineLevel="1">
      <c r="A505" s="46" t="s">
        <v>46</v>
      </c>
      <c r="B505" s="47" t="s">
        <v>11</v>
      </c>
      <c r="C505" s="46">
        <v>5.54</v>
      </c>
      <c r="D505" s="125"/>
    </row>
    <row r="506" spans="1:4" ht="15.75" hidden="1" outlineLevel="1">
      <c r="A506" s="46" t="s">
        <v>46</v>
      </c>
      <c r="B506" s="47" t="s">
        <v>1151</v>
      </c>
      <c r="C506" s="46">
        <v>5.63</v>
      </c>
      <c r="D506" s="125"/>
    </row>
    <row r="507" spans="1:4" ht="15.75" hidden="1" outlineLevel="1">
      <c r="A507" s="46" t="s">
        <v>46</v>
      </c>
      <c r="B507" s="47" t="s">
        <v>19</v>
      </c>
      <c r="C507" s="46">
        <v>5.47</v>
      </c>
      <c r="D507" s="125"/>
    </row>
    <row r="508" spans="1:4" ht="15.75" hidden="1" outlineLevel="1">
      <c r="A508" s="46" t="s">
        <v>46</v>
      </c>
      <c r="B508" s="47" t="s">
        <v>30</v>
      </c>
      <c r="C508" s="46">
        <v>5.48</v>
      </c>
      <c r="D508" s="125"/>
    </row>
    <row r="509" spans="1:4" ht="15.75" collapsed="1">
      <c r="A509" s="52" t="s">
        <v>46</v>
      </c>
      <c r="B509" s="47"/>
      <c r="C509" s="46"/>
      <c r="D509" s="125"/>
    </row>
    <row r="510" spans="1:4" ht="15.75" hidden="1" outlineLevel="1">
      <c r="A510" s="46" t="s">
        <v>47</v>
      </c>
      <c r="B510" s="47" t="s">
        <v>649</v>
      </c>
      <c r="C510" s="46">
        <v>5.0999999999999996</v>
      </c>
      <c r="D510" s="125"/>
    </row>
    <row r="511" spans="1:4" ht="15.75" hidden="1" outlineLevel="1">
      <c r="A511" s="46" t="s">
        <v>47</v>
      </c>
      <c r="B511" s="47" t="s">
        <v>0</v>
      </c>
      <c r="C511" s="46">
        <v>5.2</v>
      </c>
      <c r="D511" s="125"/>
    </row>
    <row r="512" spans="1:4" ht="15.75" hidden="1" outlineLevel="1">
      <c r="A512" s="46" t="s">
        <v>47</v>
      </c>
      <c r="B512" s="47" t="s">
        <v>722</v>
      </c>
      <c r="C512" s="46">
        <v>5.3</v>
      </c>
      <c r="D512" s="125"/>
    </row>
    <row r="513" spans="1:4" ht="15.75" hidden="1" outlineLevel="1">
      <c r="A513" s="46" t="s">
        <v>47</v>
      </c>
      <c r="B513" s="47" t="s">
        <v>2</v>
      </c>
      <c r="C513" s="46">
        <v>5.6</v>
      </c>
      <c r="D513" s="125"/>
    </row>
    <row r="514" spans="1:4" ht="15.75" hidden="1" outlineLevel="1">
      <c r="A514" s="46" t="s">
        <v>47</v>
      </c>
      <c r="B514" s="47" t="s">
        <v>728</v>
      </c>
      <c r="C514" s="48">
        <v>5.0999999999999996</v>
      </c>
      <c r="D514" s="125"/>
    </row>
    <row r="515" spans="1:4" ht="15.75" hidden="1" outlineLevel="1">
      <c r="A515" s="46" t="s">
        <v>47</v>
      </c>
      <c r="B515" s="47" t="s">
        <v>3</v>
      </c>
      <c r="C515" s="46">
        <v>5.14</v>
      </c>
      <c r="D515" s="125"/>
    </row>
    <row r="516" spans="1:4" ht="15.75" hidden="1" outlineLevel="1">
      <c r="A516" s="46" t="s">
        <v>47</v>
      </c>
      <c r="B516" s="47" t="s">
        <v>29</v>
      </c>
      <c r="C516" s="46">
        <v>5.19</v>
      </c>
      <c r="D516" s="125"/>
    </row>
    <row r="517" spans="1:4" ht="15.75" hidden="1" outlineLevel="1">
      <c r="A517" s="46" t="s">
        <v>47</v>
      </c>
      <c r="B517" s="47" t="s">
        <v>28</v>
      </c>
      <c r="C517" s="46">
        <v>5.24</v>
      </c>
      <c r="D517" s="125"/>
    </row>
    <row r="518" spans="1:4" ht="15.75" hidden="1" outlineLevel="1">
      <c r="A518" s="46" t="s">
        <v>47</v>
      </c>
      <c r="B518" s="47" t="s">
        <v>1</v>
      </c>
      <c r="C518" s="46">
        <v>5.26</v>
      </c>
      <c r="D518" s="125"/>
    </row>
    <row r="519" spans="1:4" ht="15.75" hidden="1" outlineLevel="1">
      <c r="A519" s="46" t="s">
        <v>47</v>
      </c>
      <c r="B519" s="47" t="s">
        <v>602</v>
      </c>
      <c r="C519" s="46">
        <v>5.27</v>
      </c>
      <c r="D519" s="125"/>
    </row>
    <row r="520" spans="1:4" ht="15.75" hidden="1" outlineLevel="1">
      <c r="A520" s="46" t="s">
        <v>47</v>
      </c>
      <c r="B520" s="47" t="s">
        <v>603</v>
      </c>
      <c r="C520" s="46">
        <v>5.28</v>
      </c>
      <c r="D520" s="125"/>
    </row>
    <row r="521" spans="1:4" ht="15.75" hidden="1" outlineLevel="1">
      <c r="A521" s="46" t="s">
        <v>47</v>
      </c>
      <c r="B521" s="47" t="s">
        <v>9</v>
      </c>
      <c r="C521" s="46">
        <v>5.31</v>
      </c>
      <c r="D521" s="125"/>
    </row>
    <row r="522" spans="1:4" ht="15.75" hidden="1" outlineLevel="1">
      <c r="A522" s="46" t="s">
        <v>47</v>
      </c>
      <c r="B522" s="47" t="s">
        <v>10</v>
      </c>
      <c r="C522" s="46">
        <v>5.33</v>
      </c>
      <c r="D522" s="125"/>
    </row>
    <row r="523" spans="1:4" ht="15.75" hidden="1" outlineLevel="1">
      <c r="A523" s="46" t="s">
        <v>47</v>
      </c>
      <c r="B523" s="47" t="s">
        <v>664</v>
      </c>
      <c r="C523" s="46">
        <v>5.101</v>
      </c>
      <c r="D523" s="125"/>
    </row>
    <row r="524" spans="1:4" ht="15.75" hidden="1" outlineLevel="1">
      <c r="A524" s="46" t="s">
        <v>47</v>
      </c>
      <c r="B524" s="47" t="s">
        <v>604</v>
      </c>
      <c r="C524" s="46">
        <v>5.36</v>
      </c>
      <c r="D524" s="125"/>
    </row>
    <row r="525" spans="1:4" ht="15.75" hidden="1" outlineLevel="1">
      <c r="A525" s="46" t="s">
        <v>47</v>
      </c>
      <c r="B525" s="47" t="s">
        <v>12</v>
      </c>
      <c r="C525" s="46">
        <v>5.37</v>
      </c>
      <c r="D525" s="125"/>
    </row>
    <row r="526" spans="1:4" ht="15.75" hidden="1" outlineLevel="1">
      <c r="A526" s="46" t="s">
        <v>47</v>
      </c>
      <c r="B526" s="47" t="s">
        <v>396</v>
      </c>
      <c r="C526" s="46">
        <v>5.53</v>
      </c>
      <c r="D526" s="125"/>
    </row>
    <row r="527" spans="1:4" ht="15.75" hidden="1" outlineLevel="1">
      <c r="A527" s="46" t="s">
        <v>47</v>
      </c>
      <c r="B527" s="47" t="s">
        <v>915</v>
      </c>
      <c r="C527" s="46">
        <v>5.109</v>
      </c>
      <c r="D527" s="125"/>
    </row>
    <row r="528" spans="1:4" ht="15.75" hidden="1" outlineLevel="1">
      <c r="A528" s="46" t="s">
        <v>47</v>
      </c>
      <c r="B528" s="47" t="s">
        <v>372</v>
      </c>
      <c r="C528" s="46">
        <v>5.1109999999999998</v>
      </c>
      <c r="D528" s="125"/>
    </row>
    <row r="529" spans="1:4" ht="15.75" hidden="1" outlineLevel="1">
      <c r="A529" s="46" t="s">
        <v>47</v>
      </c>
      <c r="B529" s="47" t="s">
        <v>16</v>
      </c>
      <c r="C529" s="46">
        <v>5.1120000000000001</v>
      </c>
      <c r="D529" s="125"/>
    </row>
    <row r="530" spans="1:4" ht="15.75" hidden="1" outlineLevel="1">
      <c r="A530" s="46" t="s">
        <v>47</v>
      </c>
      <c r="B530" s="47" t="s">
        <v>23</v>
      </c>
      <c r="C530" s="46">
        <v>5.1020000000000003</v>
      </c>
      <c r="D530" s="125"/>
    </row>
    <row r="531" spans="1:4" ht="15.75" hidden="1" outlineLevel="1">
      <c r="A531" s="46" t="s">
        <v>47</v>
      </c>
      <c r="B531" s="47" t="s">
        <v>611</v>
      </c>
      <c r="C531" s="49">
        <v>5.0999999999999996</v>
      </c>
      <c r="D531" s="125"/>
    </row>
    <row r="532" spans="1:4" ht="15.75" hidden="1" outlineLevel="1">
      <c r="A532" s="46" t="s">
        <v>47</v>
      </c>
      <c r="B532" s="47" t="s">
        <v>771</v>
      </c>
      <c r="C532" s="46">
        <v>5.58</v>
      </c>
      <c r="D532" s="125"/>
    </row>
    <row r="533" spans="1:4" ht="15.75" hidden="1" outlineLevel="1">
      <c r="A533" s="46" t="s">
        <v>47</v>
      </c>
      <c r="B533" s="47" t="s">
        <v>15</v>
      </c>
      <c r="C533" s="46">
        <v>5.55</v>
      </c>
      <c r="D533" s="125"/>
    </row>
    <row r="534" spans="1:4" ht="15.75" hidden="1" outlineLevel="1">
      <c r="A534" s="46" t="s">
        <v>47</v>
      </c>
      <c r="B534" s="47" t="s">
        <v>11</v>
      </c>
      <c r="C534" s="46">
        <v>5.54</v>
      </c>
      <c r="D534" s="125"/>
    </row>
    <row r="535" spans="1:4" ht="15.75" hidden="1" outlineLevel="1">
      <c r="A535" s="46" t="s">
        <v>47</v>
      </c>
      <c r="B535" s="47" t="s">
        <v>1151</v>
      </c>
      <c r="C535" s="46">
        <v>5.63</v>
      </c>
      <c r="D535" s="125"/>
    </row>
    <row r="536" spans="1:4" ht="15.75" hidden="1" outlineLevel="1">
      <c r="A536" s="46" t="s">
        <v>47</v>
      </c>
      <c r="B536" s="47" t="s">
        <v>19</v>
      </c>
      <c r="C536" s="46">
        <v>5.47</v>
      </c>
      <c r="D536" s="125"/>
    </row>
    <row r="537" spans="1:4" ht="15.75" hidden="1" outlineLevel="1">
      <c r="A537" s="46" t="s">
        <v>47</v>
      </c>
      <c r="B537" s="47" t="s">
        <v>30</v>
      </c>
      <c r="C537" s="46">
        <v>5.48</v>
      </c>
      <c r="D537" s="125"/>
    </row>
    <row r="538" spans="1:4" ht="15.75" collapsed="1">
      <c r="A538" s="52" t="s">
        <v>47</v>
      </c>
      <c r="B538" s="47"/>
      <c r="C538" s="46"/>
      <c r="D538" s="125"/>
    </row>
    <row r="539" spans="1:4" ht="15.75" hidden="1" outlineLevel="1">
      <c r="A539" s="46" t="s">
        <v>460</v>
      </c>
      <c r="B539" s="47" t="s">
        <v>649</v>
      </c>
      <c r="C539" s="46">
        <v>5.0999999999999996</v>
      </c>
      <c r="D539" s="125"/>
    </row>
    <row r="540" spans="1:4" ht="15.75" hidden="1" outlineLevel="1">
      <c r="A540" s="46" t="s">
        <v>460</v>
      </c>
      <c r="B540" s="47" t="s">
        <v>0</v>
      </c>
      <c r="C540" s="46">
        <v>5.2</v>
      </c>
      <c r="D540" s="125"/>
    </row>
    <row r="541" spans="1:4" ht="15.75" hidden="1" outlineLevel="1">
      <c r="A541" s="46" t="s">
        <v>460</v>
      </c>
      <c r="B541" s="47" t="s">
        <v>1</v>
      </c>
      <c r="C541" s="46">
        <v>5.26</v>
      </c>
      <c r="D541" s="125"/>
    </row>
    <row r="542" spans="1:4" ht="15.75" hidden="1" outlineLevel="1">
      <c r="A542" s="46" t="s">
        <v>460</v>
      </c>
      <c r="B542" s="47" t="s">
        <v>417</v>
      </c>
      <c r="C542" s="46">
        <v>5.21</v>
      </c>
      <c r="D542" s="125"/>
    </row>
    <row r="543" spans="1:4" ht="15.75" hidden="1" outlineLevel="1">
      <c r="A543" s="46" t="s">
        <v>460</v>
      </c>
      <c r="B543" s="47" t="s">
        <v>796</v>
      </c>
      <c r="C543" s="46">
        <v>5.53</v>
      </c>
      <c r="D543" s="125"/>
    </row>
    <row r="544" spans="1:4" ht="15.75" hidden="1" outlineLevel="1">
      <c r="A544" s="46" t="s">
        <v>460</v>
      </c>
      <c r="B544" s="47" t="s">
        <v>11</v>
      </c>
      <c r="C544" s="46">
        <v>5.54</v>
      </c>
      <c r="D544" s="125"/>
    </row>
    <row r="545" spans="1:4" ht="15.75" hidden="1" outlineLevel="1">
      <c r="A545" s="46" t="s">
        <v>460</v>
      </c>
      <c r="B545" s="47" t="s">
        <v>326</v>
      </c>
      <c r="C545" s="46">
        <v>5.58</v>
      </c>
      <c r="D545" s="125"/>
    </row>
    <row r="546" spans="1:4" ht="15.75" hidden="1" outlineLevel="1">
      <c r="A546" s="46" t="s">
        <v>460</v>
      </c>
      <c r="B546" s="47" t="s">
        <v>330</v>
      </c>
      <c r="C546" s="46">
        <v>5.1180000000000003</v>
      </c>
      <c r="D546" s="125"/>
    </row>
    <row r="547" spans="1:4" ht="15.75" hidden="1" outlineLevel="1">
      <c r="A547" s="46" t="s">
        <v>460</v>
      </c>
      <c r="B547" s="50" t="s">
        <v>328</v>
      </c>
      <c r="C547" s="46">
        <v>5.47</v>
      </c>
      <c r="D547" s="125"/>
    </row>
    <row r="548" spans="1:4" ht="15.75" hidden="1" outlineLevel="1">
      <c r="A548" s="46" t="s">
        <v>460</v>
      </c>
      <c r="B548" s="47" t="s">
        <v>329</v>
      </c>
      <c r="C548" s="46">
        <v>5.48</v>
      </c>
      <c r="D548" s="125"/>
    </row>
    <row r="549" spans="1:4" ht="15.75" hidden="1" outlineLevel="1">
      <c r="A549" s="46" t="s">
        <v>460</v>
      </c>
      <c r="B549" s="47" t="s">
        <v>418</v>
      </c>
      <c r="C549" s="46">
        <v>5.21</v>
      </c>
      <c r="D549" s="125"/>
    </row>
    <row r="550" spans="1:4" ht="15.75" hidden="1" outlineLevel="1">
      <c r="A550" s="46" t="s">
        <v>460</v>
      </c>
      <c r="B550" s="47" t="s">
        <v>797</v>
      </c>
      <c r="C550" s="46">
        <v>5.53</v>
      </c>
      <c r="D550" s="125"/>
    </row>
    <row r="551" spans="1:4" ht="15.75" hidden="1" outlineLevel="1">
      <c r="A551" s="46" t="s">
        <v>460</v>
      </c>
      <c r="B551" s="47" t="s">
        <v>11</v>
      </c>
      <c r="C551" s="46">
        <v>5.54</v>
      </c>
      <c r="D551" s="125"/>
    </row>
    <row r="552" spans="1:4" ht="15.75" hidden="1" outlineLevel="1">
      <c r="A552" s="46" t="s">
        <v>460</v>
      </c>
      <c r="B552" s="47" t="s">
        <v>327</v>
      </c>
      <c r="C552" s="46">
        <v>5.58</v>
      </c>
      <c r="D552" s="125"/>
    </row>
    <row r="553" spans="1:4" ht="15.75" hidden="1" outlineLevel="1">
      <c r="A553" s="46" t="s">
        <v>460</v>
      </c>
      <c r="B553" s="47" t="s">
        <v>331</v>
      </c>
      <c r="C553" s="46">
        <v>5.1180000000000003</v>
      </c>
      <c r="D553" s="125"/>
    </row>
    <row r="554" spans="1:4" ht="15.75" hidden="1" outlineLevel="1">
      <c r="A554" s="46" t="s">
        <v>460</v>
      </c>
      <c r="B554" s="47" t="s">
        <v>942</v>
      </c>
      <c r="C554" s="46">
        <v>5.47</v>
      </c>
      <c r="D554" s="125"/>
    </row>
    <row r="555" spans="1:4" ht="15.75" hidden="1" outlineLevel="1">
      <c r="A555" s="46" t="s">
        <v>460</v>
      </c>
      <c r="B555" s="47" t="s">
        <v>943</v>
      </c>
      <c r="C555" s="46">
        <v>5.48</v>
      </c>
      <c r="D555" s="125"/>
    </row>
    <row r="556" spans="1:4" ht="15.75" hidden="1" outlineLevel="1">
      <c r="A556" s="46" t="s">
        <v>460</v>
      </c>
      <c r="B556" s="47" t="s">
        <v>1158</v>
      </c>
      <c r="C556" s="46">
        <v>5.63</v>
      </c>
      <c r="D556" s="125"/>
    </row>
    <row r="557" spans="1:4" ht="15.75" hidden="1" outlineLevel="1">
      <c r="A557" s="46" t="s">
        <v>460</v>
      </c>
      <c r="B557" s="47" t="s">
        <v>602</v>
      </c>
      <c r="C557" s="46">
        <v>5.27</v>
      </c>
      <c r="D557" s="125"/>
    </row>
    <row r="558" spans="1:4" ht="15.75" hidden="1" outlineLevel="1">
      <c r="A558" s="46" t="s">
        <v>460</v>
      </c>
      <c r="B558" s="47" t="s">
        <v>603</v>
      </c>
      <c r="C558" s="46">
        <v>5.28</v>
      </c>
      <c r="D558" s="125"/>
    </row>
    <row r="559" spans="1:4" ht="15.75" hidden="1" outlineLevel="1">
      <c r="A559" s="46" t="s">
        <v>460</v>
      </c>
      <c r="B559" s="47" t="s">
        <v>463</v>
      </c>
      <c r="C559" s="46">
        <v>5.35</v>
      </c>
      <c r="D559" s="125"/>
    </row>
    <row r="560" spans="1:4" ht="15.75" hidden="1" outlineLevel="1">
      <c r="A560" s="46" t="s">
        <v>460</v>
      </c>
      <c r="B560" s="47" t="s">
        <v>343</v>
      </c>
      <c r="C560" s="46">
        <v>5.1189999999999998</v>
      </c>
      <c r="D560" s="125"/>
    </row>
    <row r="561" spans="1:4" ht="15.75" hidden="1" outlineLevel="1">
      <c r="A561" s="46" t="s">
        <v>460</v>
      </c>
      <c r="B561" s="47" t="s">
        <v>462</v>
      </c>
      <c r="C561" s="49">
        <v>5.12</v>
      </c>
      <c r="D561" s="125"/>
    </row>
    <row r="562" spans="1:4" ht="15.75" hidden="1" outlineLevel="1">
      <c r="A562" s="46" t="s">
        <v>460</v>
      </c>
      <c r="B562" s="47" t="s">
        <v>99</v>
      </c>
      <c r="C562" s="46">
        <v>5.1210000000000004</v>
      </c>
      <c r="D562" s="125"/>
    </row>
    <row r="563" spans="1:4" ht="15.75" hidden="1" outlineLevel="1">
      <c r="A563" s="46" t="s">
        <v>460</v>
      </c>
      <c r="B563" s="47" t="s">
        <v>604</v>
      </c>
      <c r="C563" s="46">
        <v>5.36</v>
      </c>
      <c r="D563" s="125"/>
    </row>
    <row r="564" spans="1:4" ht="15.75" hidden="1" outlineLevel="1">
      <c r="A564" s="46" t="s">
        <v>460</v>
      </c>
      <c r="B564" s="47" t="s">
        <v>365</v>
      </c>
      <c r="C564" s="46">
        <v>5.1219999999999999</v>
      </c>
      <c r="D564" s="125"/>
    </row>
    <row r="565" spans="1:4" ht="15.75" hidden="1" outlineLevel="1">
      <c r="A565" s="46" t="s">
        <v>460</v>
      </c>
      <c r="B565" s="47" t="s">
        <v>366</v>
      </c>
      <c r="C565" s="46">
        <v>5.1230000000000002</v>
      </c>
      <c r="D565" s="125"/>
    </row>
    <row r="566" spans="1:4" ht="15.75" hidden="1" outlineLevel="1">
      <c r="A566" s="46" t="s">
        <v>460</v>
      </c>
      <c r="B566" s="47" t="s">
        <v>610</v>
      </c>
      <c r="C566" s="46">
        <v>5.1239999999999997</v>
      </c>
      <c r="D566" s="125"/>
    </row>
    <row r="567" spans="1:4" ht="15.75" hidden="1" outlineLevel="1">
      <c r="A567" s="46" t="s">
        <v>460</v>
      </c>
      <c r="B567" s="47" t="s">
        <v>308</v>
      </c>
      <c r="C567" s="46">
        <v>5.125</v>
      </c>
      <c r="D567" s="125"/>
    </row>
    <row r="568" spans="1:4" ht="15.75" hidden="1" outlineLevel="1">
      <c r="A568" s="46" t="s">
        <v>460</v>
      </c>
      <c r="B568" s="47" t="s">
        <v>368</v>
      </c>
      <c r="C568" s="46">
        <v>5.1260000000000003</v>
      </c>
      <c r="D568" s="125"/>
    </row>
    <row r="569" spans="1:4" ht="15.75" hidden="1" outlineLevel="1">
      <c r="A569" s="46" t="s">
        <v>460</v>
      </c>
      <c r="B569" s="47" t="s">
        <v>735</v>
      </c>
      <c r="C569" s="46">
        <v>5.1269999999999998</v>
      </c>
      <c r="D569" s="125"/>
    </row>
    <row r="570" spans="1:4" ht="15.75" hidden="1" outlineLevel="1">
      <c r="A570" s="46" t="s">
        <v>460</v>
      </c>
      <c r="B570" s="47" t="s">
        <v>309</v>
      </c>
      <c r="C570" s="48">
        <v>5.72</v>
      </c>
      <c r="D570" s="125"/>
    </row>
    <row r="571" spans="1:4" ht="15.75" hidden="1" outlineLevel="1">
      <c r="A571" s="46" t="s">
        <v>460</v>
      </c>
      <c r="B571" s="47" t="s">
        <v>310</v>
      </c>
      <c r="C571" s="46">
        <v>5.1280000000000001</v>
      </c>
      <c r="D571" s="125"/>
    </row>
    <row r="572" spans="1:4" ht="15.75" hidden="1" outlineLevel="1">
      <c r="A572" s="46" t="s">
        <v>460</v>
      </c>
      <c r="B572" s="47" t="s">
        <v>349</v>
      </c>
      <c r="C572" s="46">
        <v>5.1289999999999996</v>
      </c>
      <c r="D572" s="124" t="s">
        <v>933</v>
      </c>
    </row>
    <row r="573" spans="1:4" ht="15.75" hidden="1" outlineLevel="1">
      <c r="A573" s="46" t="s">
        <v>460</v>
      </c>
      <c r="B573" s="47" t="s">
        <v>367</v>
      </c>
      <c r="C573" s="46">
        <v>5.1310000000000002</v>
      </c>
      <c r="D573" s="125"/>
    </row>
    <row r="574" spans="1:4" ht="15.75" hidden="1" outlineLevel="1">
      <c r="A574" s="46" t="s">
        <v>460</v>
      </c>
      <c r="B574" s="47" t="s">
        <v>615</v>
      </c>
      <c r="C574" s="46">
        <v>5.1319999999999997</v>
      </c>
      <c r="D574" s="124" t="s">
        <v>933</v>
      </c>
    </row>
    <row r="575" spans="1:4" ht="15.75" hidden="1" outlineLevel="1">
      <c r="A575" s="46" t="s">
        <v>460</v>
      </c>
      <c r="B575" s="47" t="s">
        <v>364</v>
      </c>
      <c r="C575" s="46">
        <v>5.133</v>
      </c>
      <c r="D575" s="124" t="s">
        <v>933</v>
      </c>
    </row>
    <row r="576" spans="1:4" ht="15.75" hidden="1" outlineLevel="1">
      <c r="A576" s="46" t="s">
        <v>460</v>
      </c>
      <c r="B576" s="47" t="s">
        <v>457</v>
      </c>
      <c r="C576" s="46">
        <v>5.1340000000000003</v>
      </c>
      <c r="D576" s="124" t="s">
        <v>933</v>
      </c>
    </row>
    <row r="577" spans="1:4" ht="15.75" hidden="1" outlineLevel="1">
      <c r="A577" s="46" t="s">
        <v>460</v>
      </c>
      <c r="B577" s="47" t="s">
        <v>435</v>
      </c>
      <c r="C577" s="49">
        <v>5.13</v>
      </c>
      <c r="D577" s="125"/>
    </row>
    <row r="578" spans="1:4" ht="15.75" hidden="1" outlineLevel="1">
      <c r="A578" s="46" t="s">
        <v>460</v>
      </c>
      <c r="B578" s="47" t="s">
        <v>19</v>
      </c>
      <c r="C578" s="46">
        <v>5.47</v>
      </c>
      <c r="D578" s="125"/>
    </row>
    <row r="579" spans="1:4" ht="15.75" hidden="1" outlineLevel="1">
      <c r="A579" s="46" t="s">
        <v>460</v>
      </c>
      <c r="B579" s="47" t="s">
        <v>30</v>
      </c>
      <c r="C579" s="46">
        <v>5.48</v>
      </c>
      <c r="D579" s="125"/>
    </row>
    <row r="580" spans="1:4" ht="15.75" collapsed="1">
      <c r="A580" s="52" t="s">
        <v>460</v>
      </c>
      <c r="B580" s="47"/>
      <c r="C580" s="46"/>
      <c r="D580" s="125"/>
    </row>
    <row r="581" spans="1:4" ht="15.75" hidden="1" outlineLevel="1">
      <c r="A581" s="46" t="s">
        <v>48</v>
      </c>
      <c r="B581" s="47" t="s">
        <v>649</v>
      </c>
      <c r="C581" s="46">
        <v>5.0999999999999996</v>
      </c>
      <c r="D581" s="125"/>
    </row>
    <row r="582" spans="1:4" ht="15.75" hidden="1" outlineLevel="1">
      <c r="A582" s="46" t="s">
        <v>48</v>
      </c>
      <c r="B582" s="47" t="s">
        <v>0</v>
      </c>
      <c r="C582" s="46">
        <v>5.2</v>
      </c>
      <c r="D582" s="125"/>
    </row>
    <row r="583" spans="1:4" ht="15.75" hidden="1" outlineLevel="1">
      <c r="A583" s="46" t="s">
        <v>48</v>
      </c>
      <c r="B583" s="47" t="s">
        <v>723</v>
      </c>
      <c r="C583" s="46">
        <v>5.9</v>
      </c>
      <c r="D583" s="124" t="s">
        <v>933</v>
      </c>
    </row>
    <row r="584" spans="1:4" ht="15.75" hidden="1" outlineLevel="1">
      <c r="A584" s="46" t="s">
        <v>48</v>
      </c>
      <c r="B584" s="47" t="s">
        <v>724</v>
      </c>
      <c r="C584" s="46">
        <v>5.13</v>
      </c>
      <c r="D584" s="124" t="s">
        <v>933</v>
      </c>
    </row>
    <row r="585" spans="1:4" ht="15.75" hidden="1" outlineLevel="1">
      <c r="A585" s="46" t="s">
        <v>48</v>
      </c>
      <c r="B585" s="47" t="s">
        <v>725</v>
      </c>
      <c r="C585" s="46">
        <v>5.16</v>
      </c>
      <c r="D585" s="124" t="s">
        <v>933</v>
      </c>
    </row>
    <row r="586" spans="1:4" ht="15.75" hidden="1" outlineLevel="1">
      <c r="A586" s="46" t="s">
        <v>48</v>
      </c>
      <c r="B586" s="47" t="s">
        <v>726</v>
      </c>
      <c r="C586" s="46">
        <v>5.22</v>
      </c>
      <c r="D586" s="124"/>
    </row>
    <row r="587" spans="1:4" ht="15.75" hidden="1" outlineLevel="1">
      <c r="A587" s="46" t="s">
        <v>48</v>
      </c>
      <c r="B587" s="47" t="s">
        <v>1</v>
      </c>
      <c r="C587" s="46">
        <v>5.26</v>
      </c>
      <c r="D587" s="125"/>
    </row>
    <row r="588" spans="1:4" ht="15.75" hidden="1" outlineLevel="1">
      <c r="A588" s="46" t="s">
        <v>48</v>
      </c>
      <c r="B588" s="47" t="s">
        <v>914</v>
      </c>
      <c r="C588" s="46">
        <v>5.77</v>
      </c>
      <c r="D588" s="125"/>
    </row>
    <row r="589" spans="1:4" ht="15.75" hidden="1" outlineLevel="1">
      <c r="A589" s="46" t="s">
        <v>48</v>
      </c>
      <c r="B589" s="47" t="s">
        <v>602</v>
      </c>
      <c r="C589" s="46">
        <v>5.27</v>
      </c>
      <c r="D589" s="125"/>
    </row>
    <row r="590" spans="1:4" ht="15.75" hidden="1" outlineLevel="1">
      <c r="A590" s="46" t="s">
        <v>48</v>
      </c>
      <c r="B590" s="47" t="s">
        <v>603</v>
      </c>
      <c r="C590" s="46">
        <v>5.28</v>
      </c>
      <c r="D590" s="124" t="s">
        <v>933</v>
      </c>
    </row>
    <row r="591" spans="1:4" ht="15.75" hidden="1" outlineLevel="1">
      <c r="A591" s="46" t="s">
        <v>48</v>
      </c>
      <c r="B591" s="47" t="s">
        <v>9</v>
      </c>
      <c r="C591" s="46">
        <v>5.31</v>
      </c>
      <c r="D591" s="125"/>
    </row>
    <row r="592" spans="1:4" ht="15.75" hidden="1" outlineLevel="1">
      <c r="A592" s="46" t="s">
        <v>48</v>
      </c>
      <c r="B592" s="47" t="s">
        <v>604</v>
      </c>
      <c r="C592" s="46">
        <v>5.36</v>
      </c>
      <c r="D592" s="125"/>
    </row>
    <row r="593" spans="1:4" ht="15.75" hidden="1" outlineLevel="1">
      <c r="A593" s="46" t="s">
        <v>48</v>
      </c>
      <c r="B593" s="47" t="s">
        <v>297</v>
      </c>
      <c r="C593" s="46">
        <v>5.78</v>
      </c>
      <c r="D593" s="125"/>
    </row>
    <row r="594" spans="1:4" ht="15.75" hidden="1" outlineLevel="1">
      <c r="A594" s="46" t="s">
        <v>48</v>
      </c>
      <c r="B594" s="47" t="s">
        <v>590</v>
      </c>
      <c r="C594" s="46">
        <v>5.79</v>
      </c>
      <c r="D594" s="124" t="s">
        <v>933</v>
      </c>
    </row>
    <row r="595" spans="1:4" ht="15.75" hidden="1" outlineLevel="1">
      <c r="A595" s="46" t="s">
        <v>48</v>
      </c>
      <c r="B595" s="47" t="s">
        <v>730</v>
      </c>
      <c r="C595" s="46">
        <v>5.41</v>
      </c>
      <c r="D595" s="125"/>
    </row>
    <row r="596" spans="1:4" ht="15.75" hidden="1" outlineLevel="1">
      <c r="A596" s="46" t="s">
        <v>48</v>
      </c>
      <c r="B596" s="47" t="s">
        <v>6</v>
      </c>
      <c r="C596" s="46">
        <v>5.49</v>
      </c>
      <c r="D596" s="125"/>
    </row>
    <row r="597" spans="1:4" ht="15.75" hidden="1" outlineLevel="1">
      <c r="A597" s="46" t="s">
        <v>48</v>
      </c>
      <c r="B597" s="47" t="s">
        <v>8</v>
      </c>
      <c r="C597" s="46">
        <v>5.51</v>
      </c>
      <c r="D597" s="125"/>
    </row>
    <row r="598" spans="1:4" ht="15.75" hidden="1" outlineLevel="1">
      <c r="A598" s="46" t="s">
        <v>48</v>
      </c>
      <c r="B598" s="47" t="s">
        <v>775</v>
      </c>
      <c r="C598" s="46">
        <v>5.52</v>
      </c>
      <c r="D598" s="125"/>
    </row>
    <row r="599" spans="1:4" ht="15.75" hidden="1" outlineLevel="1">
      <c r="A599" s="46" t="s">
        <v>48</v>
      </c>
      <c r="B599" s="47" t="s">
        <v>396</v>
      </c>
      <c r="C599" s="46">
        <v>5.53</v>
      </c>
      <c r="D599" s="125"/>
    </row>
    <row r="600" spans="1:4" ht="15.75" hidden="1" outlineLevel="1">
      <c r="A600" s="46" t="s">
        <v>48</v>
      </c>
      <c r="B600" s="47" t="s">
        <v>13</v>
      </c>
      <c r="C600" s="46">
        <v>5.69</v>
      </c>
      <c r="D600" s="125"/>
    </row>
    <row r="601" spans="1:4" ht="15.75" hidden="1" outlineLevel="1">
      <c r="A601" s="46" t="s">
        <v>48</v>
      </c>
      <c r="B601" s="47" t="s">
        <v>439</v>
      </c>
      <c r="C601" s="46">
        <v>5.71</v>
      </c>
      <c r="D601" s="125"/>
    </row>
    <row r="602" spans="1:4" ht="15.75" hidden="1" outlineLevel="1">
      <c r="A602" s="46" t="s">
        <v>48</v>
      </c>
      <c r="B602" s="47" t="s">
        <v>14</v>
      </c>
      <c r="C602" s="48">
        <v>5.7</v>
      </c>
      <c r="D602" s="125"/>
    </row>
    <row r="603" spans="1:4" ht="15.75" hidden="1" outlineLevel="1">
      <c r="A603" s="46" t="s">
        <v>48</v>
      </c>
      <c r="B603" s="47" t="s">
        <v>282</v>
      </c>
      <c r="C603" s="48">
        <v>5.8</v>
      </c>
      <c r="D603" s="124" t="s">
        <v>933</v>
      </c>
    </row>
    <row r="604" spans="1:4" ht="15.75" hidden="1" outlineLevel="1">
      <c r="A604" s="46" t="s">
        <v>48</v>
      </c>
      <c r="B604" s="47" t="s">
        <v>309</v>
      </c>
      <c r="C604" s="48">
        <v>5.72</v>
      </c>
      <c r="D604" s="124" t="s">
        <v>933</v>
      </c>
    </row>
    <row r="605" spans="1:4" ht="15.75" hidden="1" outlineLevel="1">
      <c r="A605" s="46" t="s">
        <v>48</v>
      </c>
      <c r="B605" s="47" t="s">
        <v>671</v>
      </c>
      <c r="C605" s="46">
        <v>5.73</v>
      </c>
      <c r="D605" s="124" t="s">
        <v>933</v>
      </c>
    </row>
    <row r="606" spans="1:4" ht="15.75" hidden="1" outlineLevel="1">
      <c r="A606" s="46" t="s">
        <v>48</v>
      </c>
      <c r="B606" s="47" t="s">
        <v>619</v>
      </c>
      <c r="C606" s="46">
        <v>5.74</v>
      </c>
      <c r="D606" s="125"/>
    </row>
    <row r="607" spans="1:4" ht="15.75" hidden="1" outlineLevel="1">
      <c r="A607" s="46" t="s">
        <v>48</v>
      </c>
      <c r="B607" s="47" t="s">
        <v>420</v>
      </c>
      <c r="C607" s="46">
        <v>5.75</v>
      </c>
      <c r="D607" s="125"/>
    </row>
    <row r="608" spans="1:4" ht="15.75" hidden="1" outlineLevel="1">
      <c r="A608" s="46" t="s">
        <v>48</v>
      </c>
      <c r="B608" s="47" t="s">
        <v>923</v>
      </c>
      <c r="C608" s="46">
        <v>5.76</v>
      </c>
      <c r="D608" s="125"/>
    </row>
    <row r="609" spans="1:4" ht="15.75" hidden="1" outlineLevel="1">
      <c r="A609" s="46" t="s">
        <v>48</v>
      </c>
      <c r="B609" s="47" t="s">
        <v>20</v>
      </c>
      <c r="C609" s="46">
        <v>5.81</v>
      </c>
      <c r="D609" s="124" t="s">
        <v>933</v>
      </c>
    </row>
    <row r="610" spans="1:4" ht="15.75" hidden="1" outlineLevel="1">
      <c r="A610" s="46" t="s">
        <v>48</v>
      </c>
      <c r="B610" s="47" t="s">
        <v>766</v>
      </c>
      <c r="C610" s="46">
        <v>5.82</v>
      </c>
      <c r="D610" s="124" t="s">
        <v>933</v>
      </c>
    </row>
    <row r="611" spans="1:4" ht="15.75" hidden="1" outlineLevel="1">
      <c r="A611" s="46" t="s">
        <v>48</v>
      </c>
      <c r="B611" s="47" t="s">
        <v>656</v>
      </c>
      <c r="C611" s="46">
        <v>5.83</v>
      </c>
      <c r="D611" s="124" t="s">
        <v>933</v>
      </c>
    </row>
    <row r="612" spans="1:4" ht="15.75" hidden="1" outlineLevel="1">
      <c r="A612" s="46" t="s">
        <v>48</v>
      </c>
      <c r="B612" s="47" t="s">
        <v>657</v>
      </c>
      <c r="C612" s="46">
        <v>5.84</v>
      </c>
      <c r="D612" s="125"/>
    </row>
    <row r="613" spans="1:4" ht="15.75" hidden="1" outlineLevel="1">
      <c r="A613" s="46" t="s">
        <v>48</v>
      </c>
      <c r="B613" s="47" t="s">
        <v>848</v>
      </c>
      <c r="C613" s="46">
        <v>5.85</v>
      </c>
      <c r="D613" s="124" t="s">
        <v>933</v>
      </c>
    </row>
    <row r="614" spans="1:4" ht="15.75" hidden="1" outlineLevel="1">
      <c r="A614" s="46" t="s">
        <v>48</v>
      </c>
      <c r="B614" s="47" t="s">
        <v>419</v>
      </c>
      <c r="C614" s="46">
        <v>5.86</v>
      </c>
      <c r="D614" s="124" t="s">
        <v>933</v>
      </c>
    </row>
    <row r="615" spans="1:4" ht="15.75" hidden="1" outlineLevel="1">
      <c r="A615" s="46" t="s">
        <v>48</v>
      </c>
      <c r="B615" s="47" t="s">
        <v>21</v>
      </c>
      <c r="C615" s="46">
        <v>5.88</v>
      </c>
      <c r="D615" s="124" t="s">
        <v>933</v>
      </c>
    </row>
    <row r="616" spans="1:4" ht="15.75" hidden="1" outlineLevel="1">
      <c r="A616" s="46" t="s">
        <v>48</v>
      </c>
      <c r="B616" s="47" t="s">
        <v>672</v>
      </c>
      <c r="C616" s="46">
        <v>5.87</v>
      </c>
      <c r="D616" s="125"/>
    </row>
    <row r="617" spans="1:4" ht="15.75" hidden="1" outlineLevel="1">
      <c r="A617" s="46" t="s">
        <v>48</v>
      </c>
      <c r="B617" s="47" t="s">
        <v>915</v>
      </c>
      <c r="C617" s="46">
        <v>5.109</v>
      </c>
      <c r="D617" s="125"/>
    </row>
    <row r="618" spans="1:4" ht="15.75" hidden="1" outlineLevel="1">
      <c r="A618" s="46" t="s">
        <v>48</v>
      </c>
      <c r="B618" s="47" t="s">
        <v>729</v>
      </c>
      <c r="C618" s="49">
        <v>5.1100000000000003</v>
      </c>
      <c r="D618" s="124" t="s">
        <v>933</v>
      </c>
    </row>
    <row r="619" spans="1:4" ht="15.75" hidden="1" outlineLevel="1">
      <c r="A619" s="46" t="s">
        <v>48</v>
      </c>
      <c r="B619" s="47" t="s">
        <v>372</v>
      </c>
      <c r="C619" s="46">
        <v>5.1109999999999998</v>
      </c>
      <c r="D619" s="125"/>
    </row>
    <row r="620" spans="1:4" ht="15.75" hidden="1" outlineLevel="1">
      <c r="A620" s="46" t="s">
        <v>48</v>
      </c>
      <c r="B620" s="47" t="s">
        <v>16</v>
      </c>
      <c r="C620" s="46">
        <v>5.1120000000000001</v>
      </c>
      <c r="D620" s="125"/>
    </row>
    <row r="621" spans="1:4" ht="15.75" hidden="1" outlineLevel="1">
      <c r="A621" s="46" t="s">
        <v>48</v>
      </c>
      <c r="B621" s="47" t="s">
        <v>474</v>
      </c>
      <c r="C621" s="46">
        <v>5.1130000000000004</v>
      </c>
      <c r="D621" s="125"/>
    </row>
    <row r="622" spans="1:4" ht="15.75" hidden="1" outlineLevel="1">
      <c r="A622" s="46" t="s">
        <v>48</v>
      </c>
      <c r="B622" s="47" t="s">
        <v>620</v>
      </c>
      <c r="C622" s="46">
        <v>5.99</v>
      </c>
      <c r="D622" s="124" t="s">
        <v>933</v>
      </c>
    </row>
    <row r="623" spans="1:4" ht="15.75" hidden="1" outlineLevel="1">
      <c r="A623" s="46" t="s">
        <v>48</v>
      </c>
      <c r="B623" s="47" t="s">
        <v>946</v>
      </c>
      <c r="C623" s="46">
        <v>5.58</v>
      </c>
      <c r="D623" s="124"/>
    </row>
    <row r="624" spans="1:4" ht="15.75" hidden="1" outlineLevel="1">
      <c r="A624" s="46" t="s">
        <v>48</v>
      </c>
      <c r="B624" s="47" t="s">
        <v>11</v>
      </c>
      <c r="C624" s="46">
        <v>5.54</v>
      </c>
      <c r="D624" s="125"/>
    </row>
    <row r="625" spans="1:4" ht="15.75" hidden="1" outlineLevel="1">
      <c r="A625" s="46" t="s">
        <v>48</v>
      </c>
      <c r="B625" s="47" t="s">
        <v>727</v>
      </c>
      <c r="C625" s="46">
        <v>5.56</v>
      </c>
      <c r="D625" s="125"/>
    </row>
    <row r="626" spans="1:4" ht="15.75" hidden="1" outlineLevel="1">
      <c r="A626" s="46" t="s">
        <v>48</v>
      </c>
      <c r="B626" s="47" t="s">
        <v>1151</v>
      </c>
      <c r="C626" s="46">
        <v>5.63</v>
      </c>
      <c r="D626" s="125"/>
    </row>
    <row r="627" spans="1:4" ht="15.75" hidden="1" outlineLevel="1">
      <c r="A627" s="46" t="s">
        <v>48</v>
      </c>
      <c r="B627" s="47" t="s">
        <v>785</v>
      </c>
      <c r="C627" s="46">
        <v>5.64</v>
      </c>
      <c r="D627" s="125"/>
    </row>
    <row r="628" spans="1:4" ht="15.75" hidden="1" outlineLevel="1">
      <c r="A628" s="46" t="s">
        <v>48</v>
      </c>
      <c r="B628" s="47" t="s">
        <v>1152</v>
      </c>
      <c r="C628" s="46">
        <v>5.65</v>
      </c>
      <c r="D628" s="125"/>
    </row>
    <row r="629" spans="1:4" ht="15.75" hidden="1" outlineLevel="1">
      <c r="A629" s="46" t="s">
        <v>48</v>
      </c>
      <c r="B629" s="47" t="s">
        <v>786</v>
      </c>
      <c r="C629" s="46">
        <v>5.66</v>
      </c>
      <c r="D629" s="125"/>
    </row>
    <row r="630" spans="1:4" ht="15.75" hidden="1" outlineLevel="1">
      <c r="A630" s="46" t="s">
        <v>48</v>
      </c>
      <c r="B630" s="47" t="s">
        <v>667</v>
      </c>
      <c r="C630" s="46">
        <v>5.89</v>
      </c>
      <c r="D630" s="124" t="s">
        <v>933</v>
      </c>
    </row>
    <row r="631" spans="1:4" ht="15.75" hidden="1" outlineLevel="1">
      <c r="A631" s="46" t="s">
        <v>48</v>
      </c>
      <c r="B631" s="47" t="s">
        <v>26</v>
      </c>
      <c r="C631" s="46">
        <v>5.68</v>
      </c>
      <c r="D631" s="125"/>
    </row>
    <row r="632" spans="1:4" ht="15.75" hidden="1" outlineLevel="1">
      <c r="A632" s="46" t="s">
        <v>48</v>
      </c>
      <c r="B632" s="47" t="s">
        <v>19</v>
      </c>
      <c r="C632" s="46">
        <v>5.47</v>
      </c>
      <c r="D632" s="125"/>
    </row>
    <row r="633" spans="1:4" ht="15.75" hidden="1" outlineLevel="1">
      <c r="A633" s="46" t="s">
        <v>48</v>
      </c>
      <c r="B633" s="47" t="s">
        <v>30</v>
      </c>
      <c r="C633" s="46">
        <v>5.48</v>
      </c>
      <c r="D633" s="125"/>
    </row>
    <row r="634" spans="1:4" ht="15.75" collapsed="1">
      <c r="A634" s="52" t="s">
        <v>48</v>
      </c>
      <c r="B634" s="47"/>
      <c r="C634" s="46"/>
      <c r="D634" s="125"/>
    </row>
    <row r="635" spans="1:4" ht="15.75" hidden="1" outlineLevel="1">
      <c r="A635" s="46" t="s">
        <v>49</v>
      </c>
      <c r="B635" s="47" t="s">
        <v>649</v>
      </c>
      <c r="C635" s="46">
        <v>5.0999999999999996</v>
      </c>
      <c r="D635" s="125"/>
    </row>
    <row r="636" spans="1:4" ht="15.75" hidden="1" outlineLevel="1">
      <c r="A636" s="46" t="s">
        <v>49</v>
      </c>
      <c r="B636" s="47" t="s">
        <v>0</v>
      </c>
      <c r="C636" s="46">
        <v>5.2</v>
      </c>
      <c r="D636" s="125"/>
    </row>
    <row r="637" spans="1:4" ht="15.75" hidden="1" outlineLevel="1">
      <c r="A637" s="46" t="s">
        <v>49</v>
      </c>
      <c r="B637" s="47" t="s">
        <v>722</v>
      </c>
      <c r="C637" s="46">
        <v>5.3</v>
      </c>
      <c r="D637" s="125"/>
    </row>
    <row r="638" spans="1:4" ht="15.75" hidden="1" outlineLevel="1">
      <c r="A638" s="46" t="s">
        <v>49</v>
      </c>
      <c r="B638" s="47" t="s">
        <v>2</v>
      </c>
      <c r="C638" s="46">
        <v>5.6</v>
      </c>
      <c r="D638" s="125"/>
    </row>
    <row r="639" spans="1:4" ht="15.75" hidden="1" outlineLevel="1">
      <c r="A639" s="46" t="s">
        <v>49</v>
      </c>
      <c r="B639" s="47" t="s">
        <v>728</v>
      </c>
      <c r="C639" s="48">
        <v>5.0999999999999996</v>
      </c>
      <c r="D639" s="125"/>
    </row>
    <row r="640" spans="1:4" ht="15.75" hidden="1" outlineLevel="1">
      <c r="A640" s="46" t="s">
        <v>49</v>
      </c>
      <c r="B640" s="47" t="s">
        <v>3</v>
      </c>
      <c r="C640" s="46">
        <v>5.14</v>
      </c>
      <c r="D640" s="125"/>
    </row>
    <row r="641" spans="1:4" ht="15.75" hidden="1" outlineLevel="1">
      <c r="A641" s="46" t="s">
        <v>49</v>
      </c>
      <c r="B641" s="47" t="s">
        <v>29</v>
      </c>
      <c r="C641" s="46">
        <v>5.19</v>
      </c>
      <c r="D641" s="125"/>
    </row>
    <row r="642" spans="1:4" ht="15.75" hidden="1" outlineLevel="1">
      <c r="A642" s="46" t="s">
        <v>49</v>
      </c>
      <c r="B642" s="47" t="s">
        <v>28</v>
      </c>
      <c r="C642" s="46">
        <v>5.24</v>
      </c>
      <c r="D642" s="125"/>
    </row>
    <row r="643" spans="1:4" ht="15.75" hidden="1" outlineLevel="1">
      <c r="A643" s="46" t="s">
        <v>49</v>
      </c>
      <c r="B643" s="47" t="s">
        <v>1</v>
      </c>
      <c r="C643" s="46">
        <v>5.26</v>
      </c>
      <c r="D643" s="125"/>
    </row>
    <row r="644" spans="1:4" ht="15.75" hidden="1" outlineLevel="1">
      <c r="A644" s="46" t="s">
        <v>49</v>
      </c>
      <c r="B644" s="47" t="s">
        <v>602</v>
      </c>
      <c r="C644" s="46">
        <v>5.27</v>
      </c>
      <c r="D644" s="125"/>
    </row>
    <row r="645" spans="1:4" ht="15.75" hidden="1" outlineLevel="1">
      <c r="A645" s="46" t="s">
        <v>49</v>
      </c>
      <c r="B645" s="47" t="s">
        <v>603</v>
      </c>
      <c r="C645" s="46">
        <v>5.28</v>
      </c>
      <c r="D645" s="125"/>
    </row>
    <row r="646" spans="1:4" ht="15.75" hidden="1" outlineLevel="1">
      <c r="A646" s="46" t="s">
        <v>49</v>
      </c>
      <c r="B646" s="47" t="s">
        <v>604</v>
      </c>
      <c r="C646" s="46">
        <v>5.36</v>
      </c>
      <c r="D646" s="125"/>
    </row>
    <row r="647" spans="1:4" ht="15.75" hidden="1" outlineLevel="1">
      <c r="A647" s="46" t="s">
        <v>49</v>
      </c>
      <c r="B647" s="47" t="s">
        <v>10</v>
      </c>
      <c r="C647" s="46">
        <v>5.33</v>
      </c>
      <c r="D647" s="125"/>
    </row>
    <row r="648" spans="1:4" ht="15.75" hidden="1" outlineLevel="1">
      <c r="A648" s="46" t="s">
        <v>49</v>
      </c>
      <c r="B648" s="47" t="s">
        <v>12</v>
      </c>
      <c r="C648" s="46">
        <v>5.37</v>
      </c>
      <c r="D648" s="125"/>
    </row>
    <row r="649" spans="1:4" ht="15.75" hidden="1" outlineLevel="1">
      <c r="A649" s="46" t="s">
        <v>49</v>
      </c>
      <c r="B649" s="47" t="s">
        <v>6</v>
      </c>
      <c r="C649" s="46">
        <v>5.49</v>
      </c>
      <c r="D649" s="125"/>
    </row>
    <row r="650" spans="1:4" ht="15.75" hidden="1" outlineLevel="1">
      <c r="A650" s="46" t="s">
        <v>49</v>
      </c>
      <c r="B650" s="47" t="s">
        <v>8</v>
      </c>
      <c r="C650" s="46">
        <v>5.51</v>
      </c>
      <c r="D650" s="125"/>
    </row>
    <row r="651" spans="1:4" ht="15.75" hidden="1" outlineLevel="1">
      <c r="A651" s="46" t="s">
        <v>49</v>
      </c>
      <c r="B651" s="47" t="s">
        <v>7</v>
      </c>
      <c r="C651" s="46">
        <v>5.52</v>
      </c>
      <c r="D651" s="125"/>
    </row>
    <row r="652" spans="1:4" ht="15.75" hidden="1" outlineLevel="1">
      <c r="A652" s="46" t="s">
        <v>49</v>
      </c>
      <c r="B652" s="47" t="s">
        <v>396</v>
      </c>
      <c r="C652" s="46">
        <v>5.53</v>
      </c>
      <c r="D652" s="125"/>
    </row>
    <row r="653" spans="1:4" ht="15.75" hidden="1" outlineLevel="1">
      <c r="A653" s="46" t="s">
        <v>49</v>
      </c>
      <c r="B653" s="47" t="s">
        <v>13</v>
      </c>
      <c r="C653" s="46">
        <v>5.69</v>
      </c>
      <c r="D653" s="125"/>
    </row>
    <row r="654" spans="1:4" ht="15.75" hidden="1" outlineLevel="1">
      <c r="A654" s="46" t="s">
        <v>49</v>
      </c>
      <c r="B654" s="47" t="s">
        <v>14</v>
      </c>
      <c r="C654" s="48">
        <v>5.7</v>
      </c>
      <c r="D654" s="125"/>
    </row>
    <row r="655" spans="1:4" ht="15.75" hidden="1" outlineLevel="1">
      <c r="A655" s="46" t="s">
        <v>49</v>
      </c>
      <c r="B655" s="47" t="s">
        <v>619</v>
      </c>
      <c r="C655" s="46">
        <v>5.74</v>
      </c>
      <c r="D655" s="125"/>
    </row>
    <row r="656" spans="1:4" ht="15.75" hidden="1" outlineLevel="1">
      <c r="A656" s="46" t="s">
        <v>49</v>
      </c>
      <c r="B656" s="47" t="s">
        <v>915</v>
      </c>
      <c r="C656" s="46">
        <v>5.109</v>
      </c>
      <c r="D656" s="125"/>
    </row>
    <row r="657" spans="1:4" ht="15.75" hidden="1" outlineLevel="1">
      <c r="A657" s="46" t="s">
        <v>49</v>
      </c>
      <c r="B657" s="47" t="s">
        <v>372</v>
      </c>
      <c r="C657" s="46">
        <v>5.1109999999999998</v>
      </c>
      <c r="D657" s="125"/>
    </row>
    <row r="658" spans="1:4" ht="15.75" hidden="1" outlineLevel="1">
      <c r="A658" s="46" t="s">
        <v>49</v>
      </c>
      <c r="B658" s="47" t="s">
        <v>16</v>
      </c>
      <c r="C658" s="46">
        <v>5.1120000000000001</v>
      </c>
      <c r="D658" s="125"/>
    </row>
    <row r="659" spans="1:4" ht="15.75" hidden="1" outlineLevel="1">
      <c r="A659" s="46" t="s">
        <v>49</v>
      </c>
      <c r="B659" s="47" t="s">
        <v>771</v>
      </c>
      <c r="C659" s="46">
        <v>5.58</v>
      </c>
      <c r="D659" s="125"/>
    </row>
    <row r="660" spans="1:4" ht="15.75" hidden="1" outlineLevel="1">
      <c r="A660" s="46" t="s">
        <v>49</v>
      </c>
      <c r="B660" s="47" t="s">
        <v>11</v>
      </c>
      <c r="C660" s="46">
        <v>5.54</v>
      </c>
      <c r="D660" s="125"/>
    </row>
    <row r="661" spans="1:4" ht="15.75" hidden="1" outlineLevel="1">
      <c r="A661" s="46" t="s">
        <v>49</v>
      </c>
      <c r="B661" s="47" t="s">
        <v>15</v>
      </c>
      <c r="C661" s="46">
        <v>5.55</v>
      </c>
      <c r="D661" s="125"/>
    </row>
    <row r="662" spans="1:4" ht="15.75" hidden="1" outlineLevel="1">
      <c r="A662" s="46" t="s">
        <v>49</v>
      </c>
      <c r="B662" s="47" t="s">
        <v>1151</v>
      </c>
      <c r="C662" s="46">
        <v>5.63</v>
      </c>
      <c r="D662" s="125"/>
    </row>
    <row r="663" spans="1:4" ht="15.75" hidden="1" outlineLevel="1">
      <c r="A663" s="46" t="s">
        <v>49</v>
      </c>
      <c r="B663" s="47" t="s">
        <v>19</v>
      </c>
      <c r="C663" s="46">
        <v>5.47</v>
      </c>
      <c r="D663" s="125"/>
    </row>
    <row r="664" spans="1:4" ht="15.75" hidden="1" outlineLevel="1">
      <c r="A664" s="46" t="s">
        <v>49</v>
      </c>
      <c r="B664" s="47" t="s">
        <v>30</v>
      </c>
      <c r="C664" s="46">
        <v>5.48</v>
      </c>
      <c r="D664" s="125"/>
    </row>
    <row r="665" spans="1:4" ht="15.75" collapsed="1">
      <c r="A665" s="52" t="s">
        <v>49</v>
      </c>
      <c r="B665" s="47"/>
      <c r="C665" s="46"/>
      <c r="D665" s="125"/>
    </row>
    <row r="666" spans="1:4" ht="15.75" hidden="1" outlineLevel="1">
      <c r="A666" s="46" t="s">
        <v>50</v>
      </c>
      <c r="B666" s="47" t="s">
        <v>649</v>
      </c>
      <c r="C666" s="46">
        <v>5.0999999999999996</v>
      </c>
      <c r="D666" s="125"/>
    </row>
    <row r="667" spans="1:4" ht="15.75" hidden="1" outlineLevel="1">
      <c r="A667" s="46" t="s">
        <v>50</v>
      </c>
      <c r="B667" s="47" t="s">
        <v>0</v>
      </c>
      <c r="C667" s="46">
        <v>5.2</v>
      </c>
      <c r="D667" s="125"/>
    </row>
    <row r="668" spans="1:4" ht="15.75" hidden="1" outlineLevel="1">
      <c r="A668" s="46" t="s">
        <v>50</v>
      </c>
      <c r="B668" s="47" t="s">
        <v>721</v>
      </c>
      <c r="C668" s="46">
        <v>5.4</v>
      </c>
      <c r="D668" s="125"/>
    </row>
    <row r="669" spans="1:4" ht="15.75" hidden="1" outlineLevel="1">
      <c r="A669" s="46" t="s">
        <v>50</v>
      </c>
      <c r="B669" s="47" t="s">
        <v>739</v>
      </c>
      <c r="C669" s="46">
        <v>5.7</v>
      </c>
      <c r="D669" s="125"/>
    </row>
    <row r="670" spans="1:4" ht="15.75" hidden="1" outlineLevel="1">
      <c r="A670" s="46" t="s">
        <v>50</v>
      </c>
      <c r="B670" s="47" t="s">
        <v>740</v>
      </c>
      <c r="C670" s="46">
        <v>5.1100000000000003</v>
      </c>
      <c r="D670" s="125"/>
    </row>
    <row r="671" spans="1:4" ht="15.75" hidden="1" outlineLevel="1">
      <c r="A671" s="46" t="s">
        <v>50</v>
      </c>
      <c r="B671" s="47" t="s">
        <v>1</v>
      </c>
      <c r="C671" s="46">
        <v>5.26</v>
      </c>
      <c r="D671" s="125"/>
    </row>
    <row r="672" spans="1:4" ht="15.75" hidden="1" outlineLevel="1">
      <c r="A672" s="46" t="s">
        <v>50</v>
      </c>
      <c r="B672" s="47" t="s">
        <v>623</v>
      </c>
      <c r="C672" s="46">
        <v>5.43</v>
      </c>
      <c r="D672" s="125"/>
    </row>
    <row r="673" spans="1:4" ht="15.75" hidden="1" outlineLevel="1">
      <c r="A673" s="46" t="s">
        <v>50</v>
      </c>
      <c r="B673" s="47" t="s">
        <v>602</v>
      </c>
      <c r="C673" s="46">
        <v>5.27</v>
      </c>
      <c r="D673" s="125"/>
    </row>
    <row r="674" spans="1:4" ht="15.75" hidden="1" outlineLevel="1">
      <c r="A674" s="46" t="s">
        <v>50</v>
      </c>
      <c r="B674" s="47" t="s">
        <v>603</v>
      </c>
      <c r="C674" s="46">
        <v>5.28</v>
      </c>
      <c r="D674" s="125"/>
    </row>
    <row r="675" spans="1:4" ht="15.75" hidden="1" outlineLevel="1">
      <c r="A675" s="46" t="s">
        <v>50</v>
      </c>
      <c r="B675" s="47" t="s">
        <v>604</v>
      </c>
      <c r="C675" s="46">
        <v>5.36</v>
      </c>
      <c r="D675" s="125"/>
    </row>
    <row r="676" spans="1:4" ht="15.75" hidden="1" outlineLevel="1">
      <c r="A676" s="46" t="s">
        <v>50</v>
      </c>
      <c r="B676" s="47" t="s">
        <v>770</v>
      </c>
      <c r="C676" s="48">
        <v>5.5</v>
      </c>
      <c r="D676" s="125"/>
    </row>
    <row r="677" spans="1:4" ht="15.75" hidden="1" outlineLevel="1">
      <c r="A677" s="46" t="s">
        <v>50</v>
      </c>
      <c r="B677" s="47" t="s">
        <v>8</v>
      </c>
      <c r="C677" s="46">
        <v>5.51</v>
      </c>
      <c r="D677" s="125"/>
    </row>
    <row r="678" spans="1:4" ht="15.75" hidden="1" outlineLevel="1">
      <c r="A678" s="46" t="s">
        <v>50</v>
      </c>
      <c r="B678" s="47" t="s">
        <v>396</v>
      </c>
      <c r="C678" s="46">
        <v>5.53</v>
      </c>
      <c r="D678" s="125"/>
    </row>
    <row r="679" spans="1:4" ht="15.75" hidden="1" outlineLevel="1">
      <c r="A679" s="46" t="s">
        <v>50</v>
      </c>
      <c r="B679" s="47" t="s">
        <v>13</v>
      </c>
      <c r="C679" s="46">
        <v>5.69</v>
      </c>
      <c r="D679" s="125"/>
    </row>
    <row r="680" spans="1:4" ht="15.75" hidden="1" outlineLevel="1">
      <c r="A680" s="46" t="s">
        <v>50</v>
      </c>
      <c r="B680" s="47" t="s">
        <v>14</v>
      </c>
      <c r="C680" s="48">
        <v>5.7</v>
      </c>
      <c r="D680" s="124" t="s">
        <v>933</v>
      </c>
    </row>
    <row r="681" spans="1:4" ht="15.75" hidden="1" outlineLevel="1">
      <c r="A681" s="46" t="s">
        <v>50</v>
      </c>
      <c r="B681" s="47" t="s">
        <v>619</v>
      </c>
      <c r="C681" s="46">
        <v>5.74</v>
      </c>
      <c r="D681" s="125"/>
    </row>
    <row r="682" spans="1:4" ht="15.75" hidden="1" outlineLevel="1">
      <c r="A682" s="46" t="s">
        <v>50</v>
      </c>
      <c r="B682" s="47" t="s">
        <v>920</v>
      </c>
      <c r="C682" s="46">
        <v>5.59</v>
      </c>
      <c r="D682" s="125"/>
    </row>
    <row r="683" spans="1:4" ht="15.75" hidden="1" outlineLevel="1">
      <c r="A683" s="46" t="s">
        <v>50</v>
      </c>
      <c r="B683" s="47" t="s">
        <v>11</v>
      </c>
      <c r="C683" s="46">
        <v>5.54</v>
      </c>
      <c r="D683" s="125"/>
    </row>
    <row r="684" spans="1:4" ht="15.75" hidden="1" outlineLevel="1">
      <c r="A684" s="46" t="s">
        <v>50</v>
      </c>
      <c r="B684" s="47" t="s">
        <v>793</v>
      </c>
      <c r="C684" s="46">
        <v>5.57</v>
      </c>
      <c r="D684" s="125"/>
    </row>
    <row r="685" spans="1:4" ht="15.75" hidden="1" outlineLevel="1">
      <c r="A685" s="46" t="s">
        <v>50</v>
      </c>
      <c r="B685" s="47" t="s">
        <v>1151</v>
      </c>
      <c r="C685" s="46">
        <v>5.63</v>
      </c>
      <c r="D685" s="125"/>
    </row>
    <row r="686" spans="1:4" ht="15.75" hidden="1" outlineLevel="1">
      <c r="A686" s="46" t="s">
        <v>50</v>
      </c>
      <c r="B686" s="47" t="s">
        <v>19</v>
      </c>
      <c r="C686" s="46">
        <v>5.47</v>
      </c>
      <c r="D686" s="125"/>
    </row>
    <row r="687" spans="1:4" ht="15.75" hidden="1" outlineLevel="1">
      <c r="A687" s="46" t="s">
        <v>50</v>
      </c>
      <c r="B687" s="47" t="s">
        <v>30</v>
      </c>
      <c r="C687" s="46">
        <v>5.48</v>
      </c>
      <c r="D687" s="125"/>
    </row>
    <row r="688" spans="1:4" ht="15.75" collapsed="1">
      <c r="A688" s="52" t="s">
        <v>50</v>
      </c>
      <c r="B688" s="47"/>
      <c r="C688" s="46"/>
      <c r="D688" s="125"/>
    </row>
    <row r="689" spans="1:4" ht="15.75" hidden="1" outlineLevel="1">
      <c r="A689" s="46" t="s">
        <v>51</v>
      </c>
      <c r="B689" s="47" t="s">
        <v>649</v>
      </c>
      <c r="C689" s="46">
        <v>5.0999999999999996</v>
      </c>
      <c r="D689" s="125"/>
    </row>
    <row r="690" spans="1:4" ht="15.75" hidden="1" outlineLevel="1">
      <c r="A690" s="46" t="s">
        <v>51</v>
      </c>
      <c r="B690" s="47" t="s">
        <v>0</v>
      </c>
      <c r="C690" s="46">
        <v>5.2</v>
      </c>
      <c r="D690" s="125"/>
    </row>
    <row r="691" spans="1:4" ht="15.75" hidden="1" outlineLevel="1">
      <c r="A691" s="46" t="s">
        <v>51</v>
      </c>
      <c r="B691" s="47" t="s">
        <v>299</v>
      </c>
      <c r="C691" s="46">
        <v>5.17</v>
      </c>
      <c r="D691" s="125"/>
    </row>
    <row r="692" spans="1:4" ht="15.75" hidden="1" outlineLevel="1">
      <c r="A692" s="46" t="s">
        <v>51</v>
      </c>
      <c r="B692" s="47" t="s">
        <v>1</v>
      </c>
      <c r="C692" s="46">
        <v>5.26</v>
      </c>
      <c r="D692" s="125"/>
    </row>
    <row r="693" spans="1:4" ht="15.75" hidden="1" outlineLevel="1">
      <c r="A693" s="46" t="s">
        <v>51</v>
      </c>
      <c r="B693" s="47" t="s">
        <v>780</v>
      </c>
      <c r="C693" s="46">
        <v>5.1029999999999998</v>
      </c>
      <c r="D693" s="125"/>
    </row>
    <row r="694" spans="1:4" ht="15.75" hidden="1" outlineLevel="1">
      <c r="A694" s="46" t="s">
        <v>51</v>
      </c>
      <c r="B694" s="47" t="s">
        <v>604</v>
      </c>
      <c r="C694" s="46">
        <v>5.36</v>
      </c>
      <c r="D694" s="125"/>
    </row>
    <row r="695" spans="1:4" ht="15.75" hidden="1" outlineLevel="1">
      <c r="A695" s="46" t="s">
        <v>51</v>
      </c>
      <c r="B695" s="47" t="s">
        <v>12</v>
      </c>
      <c r="C695" s="46">
        <v>5.37</v>
      </c>
      <c r="D695" s="125"/>
    </row>
    <row r="696" spans="1:4" ht="15.75" hidden="1" outlineLevel="1">
      <c r="A696" s="46" t="s">
        <v>51</v>
      </c>
      <c r="B696" s="47" t="s">
        <v>24</v>
      </c>
      <c r="C696" s="46">
        <v>5.1040000000000001</v>
      </c>
      <c r="D696" s="125"/>
    </row>
    <row r="697" spans="1:4" ht="15.75" hidden="1" outlineLevel="1">
      <c r="A697" s="46" t="s">
        <v>51</v>
      </c>
      <c r="B697" s="47" t="s">
        <v>286</v>
      </c>
      <c r="C697" s="46">
        <v>5.1050000000000004</v>
      </c>
      <c r="D697" s="125"/>
    </row>
    <row r="698" spans="1:4" ht="15.75" hidden="1" outlineLevel="1">
      <c r="A698" s="46" t="s">
        <v>51</v>
      </c>
      <c r="B698" s="47" t="s">
        <v>25</v>
      </c>
      <c r="C698" s="46">
        <v>5.1059999999999999</v>
      </c>
      <c r="D698" s="125"/>
    </row>
    <row r="699" spans="1:4" ht="15.75" hidden="1" outlineLevel="1">
      <c r="A699" s="46" t="s">
        <v>51</v>
      </c>
      <c r="B699" s="47" t="s">
        <v>947</v>
      </c>
      <c r="C699" s="46">
        <v>5.1070000000000002</v>
      </c>
      <c r="D699" s="125"/>
    </row>
    <row r="700" spans="1:4" ht="15.75" hidden="1" outlineLevel="1">
      <c r="A700" s="46" t="s">
        <v>51</v>
      </c>
      <c r="B700" s="47" t="s">
        <v>288</v>
      </c>
      <c r="C700" s="46">
        <v>5.1079999999999997</v>
      </c>
      <c r="D700" s="124" t="s">
        <v>933</v>
      </c>
    </row>
    <row r="701" spans="1:4" ht="15.75" hidden="1" outlineLevel="1">
      <c r="A701" s="46" t="s">
        <v>51</v>
      </c>
      <c r="B701" s="47" t="s">
        <v>915</v>
      </c>
      <c r="C701" s="46">
        <v>5.109</v>
      </c>
      <c r="D701" s="125"/>
    </row>
    <row r="702" spans="1:4" ht="15.75" hidden="1" outlineLevel="1">
      <c r="A702" s="46" t="s">
        <v>51</v>
      </c>
      <c r="B702" s="47" t="s">
        <v>729</v>
      </c>
      <c r="C702" s="49">
        <v>5.1100000000000003</v>
      </c>
      <c r="D702" s="124" t="s">
        <v>933</v>
      </c>
    </row>
    <row r="703" spans="1:4" ht="15.75" hidden="1" outlineLevel="1">
      <c r="A703" s="46" t="s">
        <v>51</v>
      </c>
      <c r="B703" s="47" t="s">
        <v>372</v>
      </c>
      <c r="C703" s="46">
        <v>5.1109999999999998</v>
      </c>
      <c r="D703" s="125"/>
    </row>
    <row r="704" spans="1:4" ht="15.75" hidden="1" outlineLevel="1">
      <c r="A704" s="46" t="s">
        <v>51</v>
      </c>
      <c r="B704" s="47" t="s">
        <v>16</v>
      </c>
      <c r="C704" s="46">
        <v>5.1120000000000001</v>
      </c>
      <c r="D704" s="125"/>
    </row>
    <row r="705" spans="1:4" ht="15.75" hidden="1" outlineLevel="1">
      <c r="A705" s="46" t="s">
        <v>51</v>
      </c>
      <c r="B705" s="47" t="s">
        <v>396</v>
      </c>
      <c r="C705" s="46">
        <v>5.53</v>
      </c>
      <c r="D705" s="125"/>
    </row>
    <row r="706" spans="1:4" ht="15.75" hidden="1" outlineLevel="1">
      <c r="A706" s="46" t="s">
        <v>51</v>
      </c>
      <c r="B706" s="47" t="s">
        <v>785</v>
      </c>
      <c r="C706" s="46">
        <v>5.64</v>
      </c>
      <c r="D706" s="125"/>
    </row>
    <row r="707" spans="1:4" ht="15.75" hidden="1" outlineLevel="1">
      <c r="A707" s="46" t="s">
        <v>51</v>
      </c>
      <c r="B707" s="47" t="s">
        <v>1151</v>
      </c>
      <c r="C707" s="46">
        <v>5.63</v>
      </c>
      <c r="D707" s="125"/>
    </row>
    <row r="708" spans="1:4" ht="15.75" hidden="1" outlineLevel="1">
      <c r="A708" s="46" t="s">
        <v>51</v>
      </c>
      <c r="B708" s="47" t="s">
        <v>1152</v>
      </c>
      <c r="C708" s="46">
        <v>5.65</v>
      </c>
      <c r="D708" s="125"/>
    </row>
    <row r="709" spans="1:4" ht="15.75" hidden="1" outlineLevel="1">
      <c r="A709" s="46" t="s">
        <v>51</v>
      </c>
      <c r="B709" s="47" t="s">
        <v>786</v>
      </c>
      <c r="C709" s="46">
        <v>5.66</v>
      </c>
      <c r="D709" s="125"/>
    </row>
    <row r="710" spans="1:4" ht="15.75" hidden="1" outlineLevel="1">
      <c r="A710" s="46" t="s">
        <v>51</v>
      </c>
      <c r="B710" s="47" t="s">
        <v>26</v>
      </c>
      <c r="C710" s="46">
        <v>5.68</v>
      </c>
      <c r="D710" s="125"/>
    </row>
    <row r="711" spans="1:4" ht="15.75" hidden="1" outlineLevel="1">
      <c r="A711" s="46" t="s">
        <v>51</v>
      </c>
      <c r="B711" s="47" t="s">
        <v>19</v>
      </c>
      <c r="C711" s="46">
        <v>5.47</v>
      </c>
      <c r="D711" s="125"/>
    </row>
    <row r="712" spans="1:4" ht="15.75" hidden="1" outlineLevel="1">
      <c r="A712" s="46" t="s">
        <v>51</v>
      </c>
      <c r="B712" s="47" t="s">
        <v>30</v>
      </c>
      <c r="C712" s="46">
        <v>5.48</v>
      </c>
      <c r="D712" s="125"/>
    </row>
    <row r="713" spans="1:4" ht="15.75" collapsed="1">
      <c r="A713" s="52" t="s">
        <v>51</v>
      </c>
      <c r="B713" s="47"/>
      <c r="C713" s="46"/>
      <c r="D713" s="125"/>
    </row>
    <row r="714" spans="1:4" ht="15.75" hidden="1" outlineLevel="1">
      <c r="A714" s="46" t="s">
        <v>935</v>
      </c>
      <c r="B714" s="47" t="s">
        <v>649</v>
      </c>
      <c r="C714" s="46">
        <v>5.0999999999999996</v>
      </c>
      <c r="D714" s="125"/>
    </row>
    <row r="715" spans="1:4" ht="15.75" hidden="1" outlineLevel="1">
      <c r="A715" s="46" t="s">
        <v>935</v>
      </c>
      <c r="B715" s="47" t="s">
        <v>0</v>
      </c>
      <c r="C715" s="46">
        <v>5.2</v>
      </c>
      <c r="D715" s="125"/>
    </row>
    <row r="716" spans="1:4" ht="15.75" hidden="1" outlineLevel="1">
      <c r="A716" s="46" t="s">
        <v>935</v>
      </c>
      <c r="B716" s="47" t="s">
        <v>722</v>
      </c>
      <c r="C716" s="46">
        <v>5.3</v>
      </c>
      <c r="D716" s="125"/>
    </row>
    <row r="717" spans="1:4" ht="15.75" hidden="1" outlineLevel="1">
      <c r="A717" s="46" t="s">
        <v>935</v>
      </c>
      <c r="B717" s="47" t="s">
        <v>2</v>
      </c>
      <c r="C717" s="46">
        <v>5.6</v>
      </c>
      <c r="D717" s="125"/>
    </row>
    <row r="718" spans="1:4" ht="15.75" hidden="1" outlineLevel="1">
      <c r="A718" s="46" t="s">
        <v>935</v>
      </c>
      <c r="B718" s="47" t="s">
        <v>728</v>
      </c>
      <c r="C718" s="48">
        <v>5.0999999999999996</v>
      </c>
      <c r="D718" s="125"/>
    </row>
    <row r="719" spans="1:4" ht="15.75" hidden="1" outlineLevel="1">
      <c r="A719" s="46" t="s">
        <v>935</v>
      </c>
      <c r="B719" s="47" t="s">
        <v>3</v>
      </c>
      <c r="C719" s="46">
        <v>5.14</v>
      </c>
      <c r="D719" s="125"/>
    </row>
    <row r="720" spans="1:4" ht="15.75" hidden="1" outlineLevel="1">
      <c r="A720" s="46" t="s">
        <v>935</v>
      </c>
      <c r="B720" s="47" t="s">
        <v>29</v>
      </c>
      <c r="C720" s="46">
        <v>5.19</v>
      </c>
      <c r="D720" s="125"/>
    </row>
    <row r="721" spans="1:4" ht="15.75" hidden="1" outlineLevel="1">
      <c r="A721" s="46" t="s">
        <v>935</v>
      </c>
      <c r="B721" s="47" t="s">
        <v>28</v>
      </c>
      <c r="C721" s="46">
        <v>5.24</v>
      </c>
      <c r="D721" s="125"/>
    </row>
    <row r="722" spans="1:4" ht="15.75" hidden="1" outlineLevel="1">
      <c r="A722" s="46" t="s">
        <v>935</v>
      </c>
      <c r="B722" s="47" t="s">
        <v>1</v>
      </c>
      <c r="C722" s="46">
        <v>5.26</v>
      </c>
      <c r="D722" s="125"/>
    </row>
    <row r="723" spans="1:4" ht="15.75" hidden="1" outlineLevel="1">
      <c r="A723" s="46" t="s">
        <v>935</v>
      </c>
      <c r="B723" s="47" t="s">
        <v>602</v>
      </c>
      <c r="C723" s="46">
        <v>5.27</v>
      </c>
      <c r="D723" s="125"/>
    </row>
    <row r="724" spans="1:4" ht="15.75" hidden="1" outlineLevel="1">
      <c r="A724" s="46" t="s">
        <v>935</v>
      </c>
      <c r="B724" s="47" t="s">
        <v>603</v>
      </c>
      <c r="C724" s="46">
        <v>5.28</v>
      </c>
      <c r="D724" s="125"/>
    </row>
    <row r="725" spans="1:4" ht="15.75" hidden="1" outlineLevel="1">
      <c r="A725" s="46" t="s">
        <v>935</v>
      </c>
      <c r="B725" s="47" t="s">
        <v>9</v>
      </c>
      <c r="C725" s="46">
        <v>5.31</v>
      </c>
      <c r="D725" s="125"/>
    </row>
    <row r="726" spans="1:4" ht="15.75" hidden="1" outlineLevel="1">
      <c r="A726" s="46" t="s">
        <v>935</v>
      </c>
      <c r="B726" s="47" t="s">
        <v>604</v>
      </c>
      <c r="C726" s="46">
        <v>5.36</v>
      </c>
      <c r="D726" s="125"/>
    </row>
    <row r="727" spans="1:4" ht="15.75" hidden="1" outlineLevel="1">
      <c r="A727" s="46" t="s">
        <v>935</v>
      </c>
      <c r="B727" s="47" t="s">
        <v>396</v>
      </c>
      <c r="C727" s="46">
        <v>5.53</v>
      </c>
      <c r="D727" s="125"/>
    </row>
    <row r="728" spans="1:4" ht="15.75" hidden="1" outlineLevel="1">
      <c r="A728" s="46" t="s">
        <v>935</v>
      </c>
      <c r="B728" s="47" t="s">
        <v>915</v>
      </c>
      <c r="C728" s="46">
        <v>5.109</v>
      </c>
      <c r="D728" s="125"/>
    </row>
    <row r="729" spans="1:4" ht="15.75" hidden="1" outlineLevel="1">
      <c r="A729" s="46" t="s">
        <v>935</v>
      </c>
      <c r="B729" s="47" t="s">
        <v>372</v>
      </c>
      <c r="C729" s="46">
        <v>5.1109999999999998</v>
      </c>
      <c r="D729" s="125"/>
    </row>
    <row r="730" spans="1:4" ht="15.75" hidden="1" outlineLevel="1">
      <c r="A730" s="46" t="s">
        <v>935</v>
      </c>
      <c r="B730" s="47" t="s">
        <v>16</v>
      </c>
      <c r="C730" s="46">
        <v>5.1120000000000001</v>
      </c>
      <c r="D730" s="125"/>
    </row>
    <row r="731" spans="1:4" ht="15.75" hidden="1" outlineLevel="1">
      <c r="A731" s="46" t="s">
        <v>935</v>
      </c>
      <c r="B731" s="47" t="s">
        <v>474</v>
      </c>
      <c r="C731" s="46">
        <v>5.1130000000000004</v>
      </c>
      <c r="D731" s="125"/>
    </row>
    <row r="732" spans="1:4" ht="15.75" hidden="1" outlineLevel="1">
      <c r="A732" s="46" t="s">
        <v>935</v>
      </c>
      <c r="B732" s="47" t="s">
        <v>616</v>
      </c>
      <c r="C732" s="46">
        <v>5.117</v>
      </c>
      <c r="D732" s="125"/>
    </row>
    <row r="733" spans="1:4" ht="15.75" hidden="1" outlineLevel="1">
      <c r="A733" s="46" t="s">
        <v>935</v>
      </c>
      <c r="B733" s="47" t="s">
        <v>1154</v>
      </c>
      <c r="C733" s="46">
        <v>5.67</v>
      </c>
      <c r="D733" s="125"/>
    </row>
    <row r="734" spans="1:4" ht="15.75" hidden="1" outlineLevel="1">
      <c r="A734" s="46" t="s">
        <v>935</v>
      </c>
      <c r="B734" s="47" t="s">
        <v>1151</v>
      </c>
      <c r="C734" s="46">
        <v>5.63</v>
      </c>
      <c r="D734" s="125"/>
    </row>
    <row r="735" spans="1:4" ht="15.75" hidden="1" outlineLevel="1">
      <c r="A735" s="46" t="s">
        <v>935</v>
      </c>
      <c r="B735" s="47" t="s">
        <v>19</v>
      </c>
      <c r="C735" s="46">
        <v>5.47</v>
      </c>
      <c r="D735" s="125"/>
    </row>
    <row r="736" spans="1:4" ht="15.75" hidden="1" outlineLevel="1">
      <c r="A736" s="46" t="s">
        <v>935</v>
      </c>
      <c r="B736" s="47" t="s">
        <v>30</v>
      </c>
      <c r="C736" s="46">
        <v>5.48</v>
      </c>
      <c r="D736" s="125"/>
    </row>
    <row r="737" spans="1:4" ht="15.75" collapsed="1">
      <c r="A737" s="52" t="s">
        <v>957</v>
      </c>
      <c r="B737" s="47"/>
      <c r="C737" s="46"/>
      <c r="D737" s="125"/>
    </row>
    <row r="738" spans="1:4" ht="15.75" hidden="1" outlineLevel="1">
      <c r="A738" s="46" t="s">
        <v>52</v>
      </c>
      <c r="B738" s="47" t="s">
        <v>649</v>
      </c>
      <c r="C738" s="46">
        <v>5.0999999999999996</v>
      </c>
      <c r="D738" s="125"/>
    </row>
    <row r="739" spans="1:4" ht="15.75" hidden="1" outlineLevel="1">
      <c r="A739" s="46" t="s">
        <v>52</v>
      </c>
      <c r="B739" s="47" t="s">
        <v>0</v>
      </c>
      <c r="C739" s="46">
        <v>5.2</v>
      </c>
      <c r="D739" s="125"/>
    </row>
    <row r="740" spans="1:4" ht="15.75" hidden="1" outlineLevel="1">
      <c r="A740" s="46" t="s">
        <v>52</v>
      </c>
      <c r="B740" s="47" t="s">
        <v>783</v>
      </c>
      <c r="C740" s="46">
        <v>5.18</v>
      </c>
      <c r="D740" s="125"/>
    </row>
    <row r="741" spans="1:4" ht="15.75" hidden="1" outlineLevel="1">
      <c r="A741" s="46" t="s">
        <v>52</v>
      </c>
      <c r="B741" s="47" t="s">
        <v>784</v>
      </c>
      <c r="C741" s="46">
        <v>5.23</v>
      </c>
      <c r="D741" s="125"/>
    </row>
    <row r="742" spans="1:4" ht="15.75" hidden="1" outlineLevel="1">
      <c r="A742" s="46" t="s">
        <v>52</v>
      </c>
      <c r="B742" s="47" t="s">
        <v>1</v>
      </c>
      <c r="C742" s="46">
        <v>5.26</v>
      </c>
      <c r="D742" s="125"/>
    </row>
    <row r="743" spans="1:4" ht="15.75" hidden="1" outlineLevel="1">
      <c r="A743" s="46" t="s">
        <v>52</v>
      </c>
      <c r="B743" s="47" t="s">
        <v>602</v>
      </c>
      <c r="C743" s="46">
        <v>5.27</v>
      </c>
      <c r="D743" s="125"/>
    </row>
    <row r="744" spans="1:4" ht="15.75" hidden="1" outlineLevel="1">
      <c r="A744" s="46" t="s">
        <v>52</v>
      </c>
      <c r="B744" s="47" t="s">
        <v>603</v>
      </c>
      <c r="C744" s="46">
        <v>5.28</v>
      </c>
      <c r="D744" s="125"/>
    </row>
    <row r="745" spans="1:4" ht="15.75" hidden="1" outlineLevel="1">
      <c r="A745" s="46" t="s">
        <v>52</v>
      </c>
      <c r="B745" s="47" t="s">
        <v>604</v>
      </c>
      <c r="C745" s="46">
        <v>5.36</v>
      </c>
      <c r="D745" s="125"/>
    </row>
    <row r="746" spans="1:4" ht="15.75" hidden="1" outlineLevel="1">
      <c r="A746" s="46" t="s">
        <v>52</v>
      </c>
      <c r="B746" s="47" t="s">
        <v>792</v>
      </c>
      <c r="C746" s="46">
        <v>5.44</v>
      </c>
      <c r="D746" s="125"/>
    </row>
    <row r="747" spans="1:4" ht="15.75" hidden="1" outlineLevel="1">
      <c r="A747" s="46" t="s">
        <v>52</v>
      </c>
      <c r="B747" s="47" t="s">
        <v>396</v>
      </c>
      <c r="C747" s="46">
        <v>5.53</v>
      </c>
      <c r="D747" s="125"/>
    </row>
    <row r="748" spans="1:4" ht="15.75" hidden="1" outlineLevel="1">
      <c r="A748" s="46" t="s">
        <v>52</v>
      </c>
      <c r="B748" s="47" t="s">
        <v>16</v>
      </c>
      <c r="C748" s="46">
        <v>5.1120000000000001</v>
      </c>
      <c r="D748" s="125"/>
    </row>
    <row r="749" spans="1:4" ht="15.75" hidden="1" outlineLevel="1">
      <c r="A749" s="46" t="s">
        <v>52</v>
      </c>
      <c r="B749" s="47" t="s">
        <v>920</v>
      </c>
      <c r="C749" s="46">
        <v>5.59</v>
      </c>
      <c r="D749" s="125"/>
    </row>
    <row r="750" spans="1:4" ht="15.75" hidden="1" outlineLevel="1">
      <c r="A750" s="46" t="s">
        <v>52</v>
      </c>
      <c r="B750" s="47" t="s">
        <v>11</v>
      </c>
      <c r="C750" s="46">
        <v>5.54</v>
      </c>
      <c r="D750" s="125"/>
    </row>
    <row r="751" spans="1:4" ht="15.75" hidden="1" outlineLevel="1">
      <c r="A751" s="46" t="s">
        <v>52</v>
      </c>
      <c r="B751" s="47" t="s">
        <v>1151</v>
      </c>
      <c r="C751" s="46">
        <v>5.63</v>
      </c>
      <c r="D751" s="125"/>
    </row>
    <row r="752" spans="1:4" ht="15.75" hidden="1" outlineLevel="1">
      <c r="A752" s="46" t="s">
        <v>52</v>
      </c>
      <c r="B752" s="47" t="s">
        <v>1152</v>
      </c>
      <c r="C752" s="46">
        <v>5.65</v>
      </c>
      <c r="D752" s="125"/>
    </row>
    <row r="753" spans="1:4" ht="15.75" hidden="1" outlineLevel="1">
      <c r="A753" s="46" t="s">
        <v>52</v>
      </c>
      <c r="B753" s="47" t="s">
        <v>26</v>
      </c>
      <c r="C753" s="46">
        <v>5.68</v>
      </c>
      <c r="D753" s="125"/>
    </row>
    <row r="754" spans="1:4" ht="15.75" hidden="1" outlineLevel="1">
      <c r="A754" s="46" t="s">
        <v>52</v>
      </c>
      <c r="B754" s="47" t="s">
        <v>19</v>
      </c>
      <c r="C754" s="46">
        <v>5.47</v>
      </c>
      <c r="D754" s="125"/>
    </row>
    <row r="755" spans="1:4" ht="15.75" hidden="1" outlineLevel="1">
      <c r="A755" s="46" t="s">
        <v>52</v>
      </c>
      <c r="B755" s="47" t="s">
        <v>30</v>
      </c>
      <c r="C755" s="46">
        <v>5.48</v>
      </c>
      <c r="D755" s="125"/>
    </row>
    <row r="756" spans="1:4" ht="15.75" collapsed="1">
      <c r="A756" s="52" t="s">
        <v>52</v>
      </c>
      <c r="B756" s="47"/>
      <c r="C756" s="46"/>
      <c r="D756" s="125"/>
    </row>
    <row r="757" spans="1:4" ht="15.75" hidden="1" outlineLevel="1">
      <c r="A757" s="46" t="s">
        <v>753</v>
      </c>
      <c r="B757" s="47" t="s">
        <v>649</v>
      </c>
      <c r="C757" s="46">
        <v>5.0999999999999996</v>
      </c>
      <c r="D757" s="125"/>
    </row>
    <row r="758" spans="1:4" ht="15.75" hidden="1" outlineLevel="1">
      <c r="A758" s="46" t="s">
        <v>753</v>
      </c>
      <c r="B758" s="47" t="s">
        <v>0</v>
      </c>
      <c r="C758" s="46">
        <v>5.2</v>
      </c>
      <c r="D758" s="125"/>
    </row>
    <row r="759" spans="1:4" ht="15.75" hidden="1" outlineLevel="1">
      <c r="A759" s="46" t="s">
        <v>753</v>
      </c>
      <c r="B759" s="47" t="s">
        <v>723</v>
      </c>
      <c r="C759" s="46">
        <v>5.9</v>
      </c>
      <c r="D759" s="124" t="s">
        <v>933</v>
      </c>
    </row>
    <row r="760" spans="1:4" ht="15.75" hidden="1" outlineLevel="1">
      <c r="A760" s="46" t="s">
        <v>753</v>
      </c>
      <c r="B760" s="47" t="s">
        <v>724</v>
      </c>
      <c r="C760" s="46">
        <v>5.13</v>
      </c>
      <c r="D760" s="125"/>
    </row>
    <row r="761" spans="1:4" ht="15.75" hidden="1" outlineLevel="1">
      <c r="A761" s="46" t="s">
        <v>753</v>
      </c>
      <c r="B761" s="47" t="s">
        <v>725</v>
      </c>
      <c r="C761" s="46">
        <v>5.16</v>
      </c>
      <c r="D761" s="124" t="s">
        <v>933</v>
      </c>
    </row>
    <row r="762" spans="1:4" ht="15.75" hidden="1" outlineLevel="1">
      <c r="A762" s="46" t="s">
        <v>753</v>
      </c>
      <c r="B762" s="47" t="s">
        <v>726</v>
      </c>
      <c r="C762" s="46">
        <v>5.22</v>
      </c>
      <c r="D762" s="124"/>
    </row>
    <row r="763" spans="1:4" ht="15.75" hidden="1" outlineLevel="1">
      <c r="A763" s="46" t="s">
        <v>753</v>
      </c>
      <c r="B763" s="47" t="s">
        <v>731</v>
      </c>
      <c r="C763" s="46">
        <v>5.42</v>
      </c>
      <c r="D763" s="125"/>
    </row>
    <row r="764" spans="1:4" ht="15.75" hidden="1" outlineLevel="1">
      <c r="A764" s="46" t="s">
        <v>753</v>
      </c>
      <c r="B764" s="47" t="s">
        <v>602</v>
      </c>
      <c r="C764" s="46">
        <v>5.27</v>
      </c>
      <c r="D764" s="125"/>
    </row>
    <row r="765" spans="1:4" ht="15.75" hidden="1" outlineLevel="1">
      <c r="A765" s="46" t="s">
        <v>753</v>
      </c>
      <c r="B765" s="47" t="s">
        <v>603</v>
      </c>
      <c r="C765" s="46">
        <v>5.28</v>
      </c>
      <c r="D765" s="124" t="s">
        <v>933</v>
      </c>
    </row>
    <row r="766" spans="1:4" ht="15.75" hidden="1" outlineLevel="1">
      <c r="A766" s="46" t="s">
        <v>753</v>
      </c>
      <c r="B766" s="47" t="s">
        <v>604</v>
      </c>
      <c r="C766" s="46">
        <v>5.36</v>
      </c>
      <c r="D766" s="125"/>
    </row>
    <row r="767" spans="1:4" ht="15.75" hidden="1" outlineLevel="1">
      <c r="A767" s="46" t="s">
        <v>753</v>
      </c>
      <c r="B767" s="47" t="s">
        <v>6</v>
      </c>
      <c r="C767" s="46">
        <v>5.49</v>
      </c>
      <c r="D767" s="125"/>
    </row>
    <row r="768" spans="1:4" ht="15.75" hidden="1" outlineLevel="1">
      <c r="A768" s="46" t="s">
        <v>753</v>
      </c>
      <c r="B768" s="47" t="s">
        <v>8</v>
      </c>
      <c r="C768" s="46">
        <v>5.51</v>
      </c>
      <c r="D768" s="125"/>
    </row>
    <row r="769" spans="1:4" ht="15.75" hidden="1" outlineLevel="1">
      <c r="A769" s="46" t="s">
        <v>753</v>
      </c>
      <c r="B769" s="47" t="s">
        <v>775</v>
      </c>
      <c r="C769" s="46">
        <v>5.52</v>
      </c>
      <c r="D769" s="125"/>
    </row>
    <row r="770" spans="1:4" ht="15.75" hidden="1" outlineLevel="1">
      <c r="A770" s="46" t="s">
        <v>753</v>
      </c>
      <c r="B770" s="47" t="s">
        <v>396</v>
      </c>
      <c r="C770" s="46">
        <v>5.53</v>
      </c>
      <c r="D770" s="125"/>
    </row>
    <row r="771" spans="1:4" ht="15.75" hidden="1" outlineLevel="1">
      <c r="A771" s="46" t="s">
        <v>753</v>
      </c>
      <c r="B771" s="47" t="s">
        <v>11</v>
      </c>
      <c r="C771" s="46">
        <v>5.54</v>
      </c>
      <c r="D771" s="125"/>
    </row>
    <row r="772" spans="1:4" ht="15.75" hidden="1" outlineLevel="1">
      <c r="A772" s="46" t="s">
        <v>753</v>
      </c>
      <c r="B772" s="47" t="s">
        <v>14</v>
      </c>
      <c r="C772" s="48">
        <v>5.7</v>
      </c>
      <c r="D772" s="125"/>
    </row>
    <row r="773" spans="1:4" ht="15.75" hidden="1" outlineLevel="1">
      <c r="A773" s="46" t="s">
        <v>753</v>
      </c>
      <c r="B773" s="47" t="s">
        <v>439</v>
      </c>
      <c r="C773" s="46">
        <v>5.71</v>
      </c>
      <c r="D773" s="125"/>
    </row>
    <row r="774" spans="1:4" ht="15.75" hidden="1" outlineLevel="1">
      <c r="A774" s="46" t="s">
        <v>753</v>
      </c>
      <c r="B774" s="47" t="s">
        <v>794</v>
      </c>
      <c r="C774" s="48">
        <v>5.9</v>
      </c>
      <c r="D774" s="125"/>
    </row>
    <row r="775" spans="1:4" ht="15.75" hidden="1" outlineLevel="1">
      <c r="A775" s="46" t="s">
        <v>753</v>
      </c>
      <c r="B775" s="47" t="s">
        <v>1155</v>
      </c>
      <c r="C775" s="46">
        <v>5.91</v>
      </c>
      <c r="D775" s="125"/>
    </row>
    <row r="776" spans="1:4" ht="15.75" hidden="1" outlineLevel="1">
      <c r="A776" s="46" t="s">
        <v>753</v>
      </c>
      <c r="B776" s="47" t="s">
        <v>746</v>
      </c>
      <c r="C776" s="46">
        <v>5.97</v>
      </c>
      <c r="D776" s="125"/>
    </row>
    <row r="777" spans="1:4" ht="15.75" collapsed="1">
      <c r="A777" s="52" t="s">
        <v>753</v>
      </c>
      <c r="B777" s="47"/>
      <c r="C777" s="46"/>
      <c r="D777" s="125"/>
    </row>
    <row r="778" spans="1:4" ht="15.75" hidden="1" outlineLevel="1">
      <c r="A778" s="46" t="s">
        <v>772</v>
      </c>
      <c r="B778" s="47" t="s">
        <v>649</v>
      </c>
      <c r="C778" s="46">
        <v>5.0999999999999996</v>
      </c>
      <c r="D778" s="125"/>
    </row>
    <row r="779" spans="1:4" ht="15.75" hidden="1" outlineLevel="1">
      <c r="A779" s="46" t="s">
        <v>772</v>
      </c>
      <c r="B779" s="47" t="s">
        <v>0</v>
      </c>
      <c r="C779" s="46">
        <v>5.2</v>
      </c>
      <c r="D779" s="125"/>
    </row>
    <row r="780" spans="1:4" ht="15.75" hidden="1" outlineLevel="1">
      <c r="A780" s="46" t="s">
        <v>772</v>
      </c>
      <c r="B780" s="47" t="s">
        <v>1</v>
      </c>
      <c r="C780" s="46">
        <v>5.26</v>
      </c>
      <c r="D780" s="125"/>
    </row>
    <row r="781" spans="1:4" ht="15.75" hidden="1" outlineLevel="1">
      <c r="A781" s="46" t="s">
        <v>772</v>
      </c>
      <c r="B781" s="47" t="s">
        <v>778</v>
      </c>
      <c r="C781" s="46">
        <v>5.5</v>
      </c>
      <c r="D781" s="125"/>
    </row>
    <row r="782" spans="1:4" ht="15.75" hidden="1" outlineLevel="1">
      <c r="A782" s="46" t="s">
        <v>772</v>
      </c>
      <c r="B782" s="47" t="s">
        <v>791</v>
      </c>
      <c r="C782" s="46">
        <v>5.8</v>
      </c>
      <c r="D782" s="124" t="s">
        <v>933</v>
      </c>
    </row>
    <row r="783" spans="1:4" ht="15.75" hidden="1" outlineLevel="1">
      <c r="A783" s="46" t="s">
        <v>772</v>
      </c>
      <c r="B783" s="47" t="s">
        <v>779</v>
      </c>
      <c r="C783" s="46">
        <v>5.12</v>
      </c>
      <c r="D783" s="46"/>
    </row>
    <row r="784" spans="1:4" ht="15.75" hidden="1" outlineLevel="1">
      <c r="A784" s="46" t="s">
        <v>772</v>
      </c>
      <c r="B784" s="47" t="s">
        <v>745</v>
      </c>
      <c r="C784" s="46">
        <v>5.15</v>
      </c>
      <c r="D784" s="46"/>
    </row>
    <row r="785" spans="1:4" ht="15.75" hidden="1" outlineLevel="1">
      <c r="A785" s="46" t="s">
        <v>772</v>
      </c>
      <c r="B785" s="47" t="s">
        <v>744</v>
      </c>
      <c r="C785" s="48">
        <v>5.2</v>
      </c>
      <c r="D785" s="124"/>
    </row>
    <row r="786" spans="1:4" ht="15.75" hidden="1" outlineLevel="1">
      <c r="A786" s="46" t="s">
        <v>772</v>
      </c>
      <c r="B786" s="47" t="s">
        <v>749</v>
      </c>
      <c r="C786" s="46">
        <v>5.25</v>
      </c>
      <c r="D786" s="46"/>
    </row>
    <row r="787" spans="1:4" ht="15.75" hidden="1" outlineLevel="1">
      <c r="A787" s="46" t="s">
        <v>772</v>
      </c>
      <c r="B787" s="47" t="s">
        <v>396</v>
      </c>
      <c r="C787" s="46">
        <v>5.53</v>
      </c>
      <c r="D787" s="46"/>
    </row>
    <row r="788" spans="1:4" ht="15.75" hidden="1" outlineLevel="1">
      <c r="A788" s="46" t="s">
        <v>772</v>
      </c>
      <c r="B788" s="47" t="s">
        <v>743</v>
      </c>
      <c r="C788" s="48">
        <v>5.4</v>
      </c>
      <c r="D788" s="46"/>
    </row>
    <row r="789" spans="1:4" ht="15.75" hidden="1" outlineLevel="1">
      <c r="A789" s="46" t="s">
        <v>772</v>
      </c>
      <c r="B789" s="47" t="s">
        <v>921</v>
      </c>
      <c r="C789" s="46">
        <v>5.92</v>
      </c>
      <c r="D789" s="46"/>
    </row>
    <row r="790" spans="1:4" ht="15.75" hidden="1" outlineLevel="1">
      <c r="A790" s="46" t="s">
        <v>772</v>
      </c>
      <c r="B790" s="47" t="s">
        <v>1156</v>
      </c>
      <c r="C790" s="46">
        <v>5.93</v>
      </c>
      <c r="D790" s="46"/>
    </row>
    <row r="791" spans="1:4" ht="31.5" hidden="1" outlineLevel="1">
      <c r="A791" s="46" t="s">
        <v>772</v>
      </c>
      <c r="B791" s="47" t="s">
        <v>922</v>
      </c>
      <c r="C791" s="46">
        <v>5.94</v>
      </c>
      <c r="D791" s="46"/>
    </row>
    <row r="792" spans="1:4" ht="15.75" hidden="1" outlineLevel="1">
      <c r="A792" s="46" t="s">
        <v>772</v>
      </c>
      <c r="B792" s="47" t="s">
        <v>1157</v>
      </c>
      <c r="C792" s="46">
        <v>5.95</v>
      </c>
      <c r="D792" s="46"/>
    </row>
    <row r="793" spans="1:4" ht="15.75" hidden="1" outlineLevel="1">
      <c r="A793" s="46" t="s">
        <v>772</v>
      </c>
      <c r="B793" s="47" t="s">
        <v>22</v>
      </c>
      <c r="C793" s="46">
        <v>5.98</v>
      </c>
      <c r="D793" s="46"/>
    </row>
    <row r="794" spans="1:4" ht="15.75" hidden="1" outlineLevel="1">
      <c r="A794" s="46" t="s">
        <v>772</v>
      </c>
      <c r="B794" s="47" t="s">
        <v>795</v>
      </c>
      <c r="C794" s="46">
        <v>5.96</v>
      </c>
      <c r="D794" s="46"/>
    </row>
    <row r="795" spans="1:4" ht="15.75" collapsed="1">
      <c r="A795" s="52" t="s">
        <v>772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813</v>
      </c>
    </row>
    <row r="3" spans="1:2">
      <c r="A3" t="s">
        <v>809</v>
      </c>
      <c r="B3" t="s">
        <v>799</v>
      </c>
    </row>
    <row r="4" spans="1:2">
      <c r="A4" t="s">
        <v>805</v>
      </c>
      <c r="B4" t="s">
        <v>812</v>
      </c>
    </row>
    <row r="5" spans="1:2">
      <c r="A5" t="s">
        <v>806</v>
      </c>
      <c r="B5" t="s">
        <v>811</v>
      </c>
    </row>
    <row r="6" spans="1:2">
      <c r="A6" t="s">
        <v>807</v>
      </c>
      <c r="B6" t="s">
        <v>800</v>
      </c>
    </row>
    <row r="7" spans="1:2">
      <c r="A7" t="s">
        <v>808</v>
      </c>
      <c r="B7" t="s">
        <v>673</v>
      </c>
    </row>
    <row r="8" spans="1:2">
      <c r="A8" t="s">
        <v>810</v>
      </c>
      <c r="B8" t="s">
        <v>674</v>
      </c>
    </row>
    <row r="10" spans="1:2" ht="15">
      <c r="A10" s="27" t="s">
        <v>814</v>
      </c>
    </row>
    <row r="11" spans="1:2">
      <c r="A11" t="s">
        <v>596</v>
      </c>
    </row>
    <row r="12" spans="1:2">
      <c r="A12" t="s">
        <v>597</v>
      </c>
      <c r="B12" t="s">
        <v>509</v>
      </c>
    </row>
    <row r="14" spans="1:2">
      <c r="A14" s="38"/>
    </row>
    <row r="15" spans="1:2" ht="15">
      <c r="A15" s="27" t="s">
        <v>511</v>
      </c>
    </row>
    <row r="16" spans="1:2">
      <c r="A16" s="36" t="s">
        <v>512</v>
      </c>
    </row>
    <row r="17" spans="1:2">
      <c r="A17" s="36" t="s">
        <v>513</v>
      </c>
    </row>
    <row r="18" spans="1:2">
      <c r="A18" s="36" t="s">
        <v>514</v>
      </c>
    </row>
    <row r="19" spans="1:2">
      <c r="A19" s="36" t="s">
        <v>515</v>
      </c>
    </row>
    <row r="21" spans="1:2" ht="15">
      <c r="A21" s="37" t="s">
        <v>510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569</v>
      </c>
      <c r="B34" s="27" t="s">
        <v>428</v>
      </c>
    </row>
    <row r="35" spans="1:2">
      <c r="A35" s="146" t="s">
        <v>572</v>
      </c>
      <c r="B35" s="147">
        <v>520023185</v>
      </c>
    </row>
    <row r="36" spans="1:2">
      <c r="A36" s="148" t="s">
        <v>573</v>
      </c>
      <c r="B36" s="147">
        <v>520024647</v>
      </c>
    </row>
    <row r="37" spans="1:2">
      <c r="A37" s="148" t="s">
        <v>576</v>
      </c>
      <c r="B37" s="147">
        <v>520004896</v>
      </c>
    </row>
    <row r="38" spans="1:2">
      <c r="A38" s="148" t="s">
        <v>571</v>
      </c>
      <c r="B38" s="147">
        <v>520042540</v>
      </c>
    </row>
    <row r="39" spans="1:2">
      <c r="A39" s="148" t="s">
        <v>1184</v>
      </c>
      <c r="B39" s="147">
        <v>520021916</v>
      </c>
    </row>
    <row r="40" spans="1:2">
      <c r="A40" s="148" t="s">
        <v>584</v>
      </c>
      <c r="B40" s="149">
        <v>510015951</v>
      </c>
    </row>
    <row r="41" spans="1:2">
      <c r="A41" s="148" t="s">
        <v>1185</v>
      </c>
      <c r="B41" s="149">
        <v>510888985</v>
      </c>
    </row>
    <row r="42" spans="1:2">
      <c r="A42" s="148" t="s">
        <v>575</v>
      </c>
      <c r="B42" s="149">
        <v>520042177</v>
      </c>
    </row>
    <row r="43" spans="1:2">
      <c r="A43" s="148" t="s">
        <v>583</v>
      </c>
      <c r="B43" s="148">
        <v>520031030</v>
      </c>
    </row>
    <row r="44" spans="1:2">
      <c r="A44" s="148" t="s">
        <v>574</v>
      </c>
      <c r="B44" s="148">
        <v>520030677</v>
      </c>
    </row>
    <row r="45" spans="1:2">
      <c r="A45" s="148" t="s">
        <v>587</v>
      </c>
      <c r="B45" s="148">
        <v>513879189</v>
      </c>
    </row>
    <row r="46" spans="1:2">
      <c r="A46" s="148" t="s">
        <v>1186</v>
      </c>
      <c r="B46" s="149">
        <v>520027848</v>
      </c>
    </row>
    <row r="47" spans="1:2">
      <c r="A47" s="148" t="s">
        <v>1187</v>
      </c>
      <c r="B47" s="149">
        <v>570003152</v>
      </c>
    </row>
    <row r="48" spans="1:2">
      <c r="A48" s="148" t="s">
        <v>577</v>
      </c>
      <c r="B48" s="148">
        <v>513910703</v>
      </c>
    </row>
    <row r="49" spans="1:2">
      <c r="A49" s="148" t="s">
        <v>1188</v>
      </c>
      <c r="B49" s="149">
        <v>512304882</v>
      </c>
    </row>
    <row r="50" spans="1:2">
      <c r="A50" s="148" t="s">
        <v>1189</v>
      </c>
      <c r="B50" s="149">
        <v>512310509</v>
      </c>
    </row>
    <row r="51" spans="1:2">
      <c r="A51" s="148" t="s">
        <v>1190</v>
      </c>
      <c r="B51" s="149">
        <v>512904608</v>
      </c>
    </row>
    <row r="52" spans="1:2">
      <c r="A52" s="148" t="s">
        <v>1191</v>
      </c>
      <c r="B52" s="149">
        <v>500500376</v>
      </c>
    </row>
    <row r="53" spans="1:2">
      <c r="A53" s="148" t="s">
        <v>579</v>
      </c>
      <c r="B53" s="149">
        <v>520044025</v>
      </c>
    </row>
    <row r="54" spans="1:2">
      <c r="A54" s="148" t="s">
        <v>1192</v>
      </c>
      <c r="B54" s="149">
        <v>513136895</v>
      </c>
    </row>
    <row r="55" spans="1:2">
      <c r="A55" s="148" t="s">
        <v>578</v>
      </c>
      <c r="B55" s="149">
        <v>520004078</v>
      </c>
    </row>
    <row r="56" spans="1:2">
      <c r="A56" s="148" t="s">
        <v>582</v>
      </c>
      <c r="B56" s="149">
        <v>515761625</v>
      </c>
    </row>
    <row r="57" spans="1:2">
      <c r="A57" s="148" t="s">
        <v>581</v>
      </c>
      <c r="B57" s="149">
        <v>515764868</v>
      </c>
    </row>
    <row r="58" spans="1:2">
      <c r="A58" s="148" t="s">
        <v>580</v>
      </c>
      <c r="B58" s="150">
        <v>515859379</v>
      </c>
    </row>
    <row r="59" spans="1:2">
      <c r="A59" s="148" t="s">
        <v>1193</v>
      </c>
      <c r="B59" s="149">
        <v>516687407</v>
      </c>
    </row>
    <row r="60" spans="1:2">
      <c r="A60" s="148" t="s">
        <v>1194</v>
      </c>
      <c r="B60" s="149">
        <v>516885639</v>
      </c>
    </row>
    <row r="61" spans="1:2">
      <c r="A61" s="148" t="s">
        <v>554</v>
      </c>
      <c r="B61" s="148">
        <v>570009449</v>
      </c>
    </row>
    <row r="62" spans="1:2">
      <c r="A62" s="148" t="s">
        <v>552</v>
      </c>
      <c r="B62" s="149">
        <v>520027954</v>
      </c>
    </row>
    <row r="63" spans="1:2">
      <c r="A63" s="148" t="s">
        <v>534</v>
      </c>
      <c r="B63" s="149">
        <v>512362914</v>
      </c>
    </row>
    <row r="64" spans="1:2">
      <c r="A64" s="148" t="s">
        <v>561</v>
      </c>
      <c r="B64" s="149">
        <v>511880460</v>
      </c>
    </row>
    <row r="65" spans="1:2">
      <c r="A65" s="148" t="s">
        <v>548</v>
      </c>
      <c r="B65" s="148">
        <v>511033060</v>
      </c>
    </row>
    <row r="66" spans="1:2">
      <c r="A66" s="148" t="s">
        <v>522</v>
      </c>
      <c r="B66" s="148">
        <v>570005850</v>
      </c>
    </row>
    <row r="67" spans="1:2">
      <c r="A67" s="148" t="s">
        <v>553</v>
      </c>
      <c r="B67" s="149">
        <v>510694821</v>
      </c>
    </row>
    <row r="68" spans="1:2">
      <c r="A68" s="148" t="s">
        <v>1195</v>
      </c>
      <c r="B68" s="148">
        <v>520027624</v>
      </c>
    </row>
    <row r="69" spans="1:2">
      <c r="A69" s="148" t="s">
        <v>537</v>
      </c>
      <c r="B69" s="149">
        <v>520027715</v>
      </c>
    </row>
    <row r="70" spans="1:2">
      <c r="A70" s="148" t="s">
        <v>551</v>
      </c>
      <c r="B70" s="149">
        <v>520028861</v>
      </c>
    </row>
    <row r="71" spans="1:2">
      <c r="A71" s="148" t="s">
        <v>589</v>
      </c>
      <c r="B71" s="149">
        <v>520029620</v>
      </c>
    </row>
    <row r="72" spans="1:2">
      <c r="A72" s="148" t="s">
        <v>518</v>
      </c>
      <c r="B72" s="149">
        <v>520030743</v>
      </c>
    </row>
    <row r="73" spans="1:2">
      <c r="A73" s="148" t="s">
        <v>1196</v>
      </c>
      <c r="B73" s="149">
        <v>520030198</v>
      </c>
    </row>
    <row r="74" spans="1:2">
      <c r="A74" s="148" t="s">
        <v>1197</v>
      </c>
      <c r="B74" s="149">
        <v>520042631</v>
      </c>
    </row>
    <row r="75" spans="1:2">
      <c r="A75" s="148" t="s">
        <v>540</v>
      </c>
      <c r="B75" s="149">
        <v>520030941</v>
      </c>
    </row>
    <row r="76" spans="1:2">
      <c r="A76" s="148" t="s">
        <v>560</v>
      </c>
      <c r="B76" s="149">
        <v>520032269</v>
      </c>
    </row>
    <row r="77" spans="1:2">
      <c r="A77" s="148" t="s">
        <v>526</v>
      </c>
      <c r="B77" s="148">
        <v>510806870</v>
      </c>
    </row>
    <row r="78" spans="1:2">
      <c r="A78" s="148" t="s">
        <v>555</v>
      </c>
      <c r="B78" s="148">
        <v>520031824</v>
      </c>
    </row>
    <row r="79" spans="1:2">
      <c r="A79" s="148" t="s">
        <v>521</v>
      </c>
      <c r="B79" s="149">
        <v>510927536</v>
      </c>
    </row>
    <row r="80" spans="1:2">
      <c r="A80" s="148" t="s">
        <v>1198</v>
      </c>
      <c r="B80" s="149">
        <v>510930654</v>
      </c>
    </row>
    <row r="81" spans="1:2">
      <c r="A81" s="148" t="s">
        <v>556</v>
      </c>
      <c r="B81" s="148">
        <v>510930670</v>
      </c>
    </row>
    <row r="82" spans="1:2">
      <c r="A82" s="148" t="s">
        <v>517</v>
      </c>
      <c r="B82" s="149">
        <v>520034968</v>
      </c>
    </row>
    <row r="83" spans="1:2">
      <c r="A83" s="148" t="s">
        <v>529</v>
      </c>
      <c r="B83" s="149">
        <v>520024985</v>
      </c>
    </row>
    <row r="84" spans="1:2">
      <c r="A84" s="148" t="s">
        <v>549</v>
      </c>
      <c r="B84" s="148">
        <v>520030990</v>
      </c>
    </row>
    <row r="85" spans="1:2">
      <c r="A85" s="148" t="s">
        <v>533</v>
      </c>
      <c r="B85" s="149">
        <v>520042615</v>
      </c>
    </row>
    <row r="86" spans="1:2">
      <c r="A86" s="148" t="s">
        <v>546</v>
      </c>
      <c r="B86" s="149">
        <v>520042607</v>
      </c>
    </row>
    <row r="87" spans="1:2">
      <c r="A87" s="148" t="s">
        <v>524</v>
      </c>
      <c r="B87" s="149">
        <v>520019688</v>
      </c>
    </row>
    <row r="88" spans="1:2">
      <c r="A88" s="148" t="s">
        <v>562</v>
      </c>
      <c r="B88" s="149">
        <v>570014928</v>
      </c>
    </row>
    <row r="89" spans="1:2">
      <c r="A89" s="148" t="s">
        <v>541</v>
      </c>
      <c r="B89" s="149">
        <v>510960586</v>
      </c>
    </row>
    <row r="90" spans="1:2">
      <c r="A90" s="148" t="s">
        <v>558</v>
      </c>
      <c r="B90" s="148">
        <v>520042581</v>
      </c>
    </row>
    <row r="91" spans="1:2">
      <c r="A91" s="148" t="s">
        <v>542</v>
      </c>
      <c r="B91" s="149">
        <v>570005959</v>
      </c>
    </row>
    <row r="92" spans="1:2">
      <c r="A92" s="148" t="s">
        <v>538</v>
      </c>
      <c r="B92" s="149">
        <v>570002618</v>
      </c>
    </row>
    <row r="93" spans="1:2">
      <c r="A93" s="148" t="s">
        <v>1199</v>
      </c>
      <c r="B93" s="149">
        <v>511789190</v>
      </c>
    </row>
    <row r="94" spans="1:2">
      <c r="A94" s="148" t="s">
        <v>520</v>
      </c>
      <c r="B94" s="149">
        <v>520022518</v>
      </c>
    </row>
    <row r="95" spans="1:2">
      <c r="A95" s="148" t="s">
        <v>519</v>
      </c>
      <c r="B95" s="149">
        <v>520031659</v>
      </c>
    </row>
    <row r="96" spans="1:2">
      <c r="A96" s="148" t="s">
        <v>523</v>
      </c>
      <c r="B96" s="149">
        <v>570007476</v>
      </c>
    </row>
    <row r="97" spans="1:2">
      <c r="A97" s="148" t="s">
        <v>525</v>
      </c>
      <c r="B97" s="149">
        <v>570009852</v>
      </c>
    </row>
    <row r="98" spans="1:2">
      <c r="A98" s="148" t="s">
        <v>516</v>
      </c>
      <c r="B98" s="149">
        <v>510800402</v>
      </c>
    </row>
    <row r="99" spans="1:2">
      <c r="A99" s="148" t="s">
        <v>550</v>
      </c>
      <c r="B99" s="149">
        <v>510773922</v>
      </c>
    </row>
    <row r="100" spans="1:2">
      <c r="A100" s="148" t="s">
        <v>557</v>
      </c>
      <c r="B100" s="149">
        <v>512008335</v>
      </c>
    </row>
    <row r="101" spans="1:2">
      <c r="A101" s="148" t="s">
        <v>568</v>
      </c>
      <c r="B101" s="149">
        <v>510142789</v>
      </c>
    </row>
    <row r="102" spans="1:2">
      <c r="A102" s="148" t="s">
        <v>545</v>
      </c>
      <c r="B102" s="149">
        <v>520028556</v>
      </c>
    </row>
    <row r="103" spans="1:2">
      <c r="A103" s="148" t="s">
        <v>535</v>
      </c>
      <c r="B103" s="149">
        <v>520030693</v>
      </c>
    </row>
    <row r="104" spans="1:2">
      <c r="A104" s="148" t="s">
        <v>559</v>
      </c>
      <c r="B104" s="149">
        <v>520042573</v>
      </c>
    </row>
    <row r="105" spans="1:2">
      <c r="A105" s="148" t="s">
        <v>563</v>
      </c>
      <c r="B105" s="149">
        <v>511423048</v>
      </c>
    </row>
    <row r="106" spans="1:2">
      <c r="A106" s="148" t="s">
        <v>528</v>
      </c>
      <c r="B106" s="149">
        <v>570011767</v>
      </c>
    </row>
    <row r="107" spans="1:2">
      <c r="A107" s="148" t="s">
        <v>1200</v>
      </c>
      <c r="B107" s="149">
        <v>512065202</v>
      </c>
    </row>
    <row r="108" spans="1:2">
      <c r="A108" s="148" t="s">
        <v>1201</v>
      </c>
      <c r="B108" s="149">
        <v>512711409</v>
      </c>
    </row>
    <row r="109" spans="1:2">
      <c r="A109" s="148" t="s">
        <v>1202</v>
      </c>
      <c r="B109" s="149">
        <v>520005497</v>
      </c>
    </row>
    <row r="110" spans="1:2">
      <c r="A110" s="148" t="s">
        <v>1203</v>
      </c>
      <c r="B110" s="149">
        <v>570024109</v>
      </c>
    </row>
    <row r="111" spans="1:2">
      <c r="A111" s="148" t="s">
        <v>566</v>
      </c>
      <c r="B111" s="149">
        <v>520020447</v>
      </c>
    </row>
    <row r="112" spans="1:2">
      <c r="A112" s="148" t="s">
        <v>564</v>
      </c>
      <c r="B112" s="149">
        <v>520023094</v>
      </c>
    </row>
    <row r="113" spans="1:2">
      <c r="A113" s="148" t="s">
        <v>567</v>
      </c>
      <c r="B113" s="149">
        <v>520028812</v>
      </c>
    </row>
    <row r="114" spans="1:2">
      <c r="A114" s="148" t="s">
        <v>565</v>
      </c>
      <c r="B114" s="149">
        <v>520022963</v>
      </c>
    </row>
    <row r="115" spans="1:2">
      <c r="A115" s="148" t="s">
        <v>543</v>
      </c>
      <c r="B115" s="149">
        <v>520027251</v>
      </c>
    </row>
    <row r="116" spans="1:2">
      <c r="A116" s="148" t="s">
        <v>544</v>
      </c>
      <c r="B116" s="149">
        <v>520028390</v>
      </c>
    </row>
    <row r="117" spans="1:2">
      <c r="A117" s="148" t="s">
        <v>1204</v>
      </c>
      <c r="B117" s="149">
        <v>513026484</v>
      </c>
    </row>
    <row r="118" spans="1:2">
      <c r="A118" s="148" t="s">
        <v>531</v>
      </c>
      <c r="B118" s="149">
        <v>513173393</v>
      </c>
    </row>
    <row r="119" spans="1:2">
      <c r="A119" s="148" t="s">
        <v>539</v>
      </c>
      <c r="B119" s="149">
        <v>513452003</v>
      </c>
    </row>
    <row r="120" spans="1:2">
      <c r="A120" s="148" t="s">
        <v>530</v>
      </c>
      <c r="B120" s="149">
        <v>513611509</v>
      </c>
    </row>
    <row r="121" spans="1:2">
      <c r="A121" s="148" t="s">
        <v>801</v>
      </c>
      <c r="B121" s="149">
        <v>513621110</v>
      </c>
    </row>
    <row r="122" spans="1:2">
      <c r="A122" s="148" t="s">
        <v>527</v>
      </c>
      <c r="B122" s="148">
        <v>512244146</v>
      </c>
    </row>
    <row r="123" spans="1:2">
      <c r="A123" s="148" t="s">
        <v>532</v>
      </c>
      <c r="B123" s="149">
        <v>512237744</v>
      </c>
    </row>
    <row r="124" spans="1:2">
      <c r="A124" s="148" t="s">
        <v>547</v>
      </c>
      <c r="B124" s="149">
        <v>512267592</v>
      </c>
    </row>
    <row r="125" spans="1:2">
      <c r="A125" s="148" t="s">
        <v>1205</v>
      </c>
      <c r="B125" s="149">
        <v>514767490</v>
      </c>
    </row>
    <row r="126" spans="1:2">
      <c r="A126" s="148" t="s">
        <v>802</v>
      </c>
      <c r="B126" s="149">
        <v>514956465</v>
      </c>
    </row>
    <row r="127" spans="1:2">
      <c r="A127" s="148" t="s">
        <v>536</v>
      </c>
      <c r="B127" s="149">
        <v>512245812</v>
      </c>
    </row>
    <row r="128" spans="1:2">
      <c r="A128" s="148" t="s">
        <v>1206</v>
      </c>
      <c r="B128" s="149">
        <v>515447035</v>
      </c>
    </row>
    <row r="129" spans="1:2">
      <c r="A129" s="148" t="s">
        <v>1207</v>
      </c>
      <c r="B129" s="149">
        <v>516463635</v>
      </c>
    </row>
    <row r="130" spans="1:2">
      <c r="A130" s="148" t="s">
        <v>1208</v>
      </c>
      <c r="B130" s="14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2025-09-08T13:23:18Z</dcterms:modified>
</cp:coreProperties>
</file>