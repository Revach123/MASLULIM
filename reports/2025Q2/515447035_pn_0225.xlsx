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HA-IEC\תפעול ניירות ערך\סוף חודש\2025\ספטמבר\תיקון רשימות נכסים\"/>
    </mc:Choice>
  </mc:AlternateContent>
  <xr:revisionPtr revIDLastSave="0" documentId="13_ncr:1_{CD1A062A-7193-4641-A234-059D8E3B8093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" hidden="1">'מזומנים ושווי מזומנים'!$A$1:$Q$48</definedName>
    <definedName name="_xlnm._FilterDatabase" localSheetId="8" hidden="1">'קרנות נאמנות'!$A$1:$W$47</definedName>
  </definedNames>
  <calcPr calcId="191029"/>
</workbook>
</file>

<file path=xl/calcChain.xml><?xml version="1.0" encoding="utf-8"?>
<calcChain xmlns="http://schemas.openxmlformats.org/spreadsheetml/2006/main">
  <c r="E32" i="2" l="1"/>
  <c r="D32" i="2"/>
  <c r="B32" i="2" l="1"/>
</calcChain>
</file>

<file path=xl/sharedStrings.xml><?xml version="1.0" encoding="utf-8"?>
<sst xmlns="http://schemas.openxmlformats.org/spreadsheetml/2006/main" count="13324" uniqueCount="2595">
  <si>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</si>
  <si>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</si>
  <si>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</si>
  <si>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</si>
  <si>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</si>
  <si>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</si>
  <si>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</si>
  <si>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</si>
  <si>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</si>
  <si>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</si>
  <si>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הפניקס חח"י קופה מרכזית לקצבה</t>
  </si>
  <si>
    <t>ח.פ. הגוף המוסדי:</t>
  </si>
  <si>
    <t>שם קובץ לשמירה</t>
  </si>
  <si>
    <t>פרטי האחראי על הדיווח בגוף המוסדי שם:</t>
  </si>
  <si>
    <t>הילה שגיא</t>
  </si>
  <si>
    <t>מספר טלפון:</t>
  </si>
  <si>
    <t>074-7311972</t>
  </si>
  <si>
    <t>כתובת מייל:</t>
  </si>
  <si>
    <t>hilas11@fnx.co.il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</si>
  <si>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</si>
  <si>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</si>
  <si>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</si>
  <si>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</si>
  <si>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</si>
  <si>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</si>
  <si>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</si>
  <si>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</si>
  <si>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</si>
  <si>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</si>
  <si>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</si>
  <si>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</si>
  <si>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</si>
  <si>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</si>
  <si>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</si>
  <si>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</si>
  <si>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</si>
  <si>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</si>
  <si>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</si>
  <si>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</si>
  <si>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</si>
  <si>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</si>
  <si>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</si>
  <si>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</si>
  <si>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</si>
  <si>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</si>
  <si>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</si>
  <si>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</si>
  <si>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</si>
  <si>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</si>
  <si>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</si>
  <si>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</si>
  <si>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</si>
  <si>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</si>
  <si>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</si>
  <si>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</si>
  <si>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</si>
  <si>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</si>
  <si>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</si>
  <si>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</si>
  <si>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</si>
  <si>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</si>
  <si>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</si>
  <si>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</si>
  <si>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</si>
  <si>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</si>
  <si>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</si>
  <si>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</si>
  <si>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</si>
  <si>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</si>
  <si>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</si>
  <si>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</si>
  <si>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</si>
  <si>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</si>
  <si>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</si>
  <si>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</si>
  <si>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סימול בנק</t>
  </si>
  <si>
    <t>פק"מ לתקופה של עד שלושה חודשים</t>
  </si>
  <si>
    <t>ישראל</t>
  </si>
  <si>
    <t>לא</t>
  </si>
  <si>
    <t>ilAAA</t>
  </si>
  <si>
    <t>מעלות S&amp;P</t>
  </si>
  <si>
    <t>ILS</t>
  </si>
  <si>
    <t>בנק הפועלים</t>
  </si>
  <si>
    <t>12-063</t>
  </si>
  <si>
    <t>מזומן ועו"ש בש"ח</t>
  </si>
  <si>
    <t>מזרחי</t>
  </si>
  <si>
    <t>20-044</t>
  </si>
  <si>
    <t>26-273</t>
  </si>
  <si>
    <t>לאומי</t>
  </si>
  <si>
    <t>10-800</t>
  </si>
  <si>
    <t>בינלאומי</t>
  </si>
  <si>
    <t>31-046</t>
  </si>
  <si>
    <t>מזרחי (מנוהל)</t>
  </si>
  <si>
    <t>מזומן ועו"ש נקוב במט"ח</t>
  </si>
  <si>
    <t>EUR</t>
  </si>
  <si>
    <t>AUD</t>
  </si>
  <si>
    <t>USD</t>
  </si>
  <si>
    <t>HKD</t>
  </si>
  <si>
    <t>JPY</t>
  </si>
  <si>
    <t>DKK</t>
  </si>
  <si>
    <t>GBP</t>
  </si>
  <si>
    <t>MXN</t>
  </si>
  <si>
    <t>HUF</t>
  </si>
  <si>
    <t>CHF</t>
  </si>
  <si>
    <t>פח"ק/פר"י</t>
  </si>
  <si>
    <t>20</t>
  </si>
  <si>
    <t>ubs</t>
  </si>
  <si>
    <t>UBSWCHZH80A</t>
  </si>
  <si>
    <t>SWIFT</t>
  </si>
  <si>
    <t>חו"ל</t>
  </si>
  <si>
    <t>A+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</si>
  <si>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</si>
  <si>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</si>
  <si>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</si>
  <si>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</si>
  <si>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</si>
  <si>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</si>
  <si>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</si>
  <si>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</si>
  <si>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</si>
  <si>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</si>
  <si>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</si>
  <si>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</si>
  <si>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</si>
  <si>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</si>
  <si>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</si>
  <si>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</si>
  <si>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 612</t>
  </si>
  <si>
    <t>IL0082602181</t>
  </si>
  <si>
    <t>מק"מ קצר משנים עשר חודשים</t>
  </si>
  <si>
    <t>TASE</t>
  </si>
  <si>
    <t>RF</t>
  </si>
  <si>
    <t>אחר</t>
  </si>
  <si>
    <t>4/02/2026</t>
  </si>
  <si>
    <t>מ.ק.מ.      815</t>
  </si>
  <si>
    <t>IL0082508131</t>
  </si>
  <si>
    <t>6/08/2025</t>
  </si>
  <si>
    <t>מ.ק.מ.     1015</t>
  </si>
  <si>
    <t>IL0082510194</t>
  </si>
  <si>
    <t>3/10/2025</t>
  </si>
  <si>
    <t>מ.ק.מ.   915</t>
  </si>
  <si>
    <t>IL0082509121</t>
  </si>
  <si>
    <t>3/09/2025</t>
  </si>
  <si>
    <t>מ.ק.מ. 416</t>
  </si>
  <si>
    <t>IL0082604161</t>
  </si>
  <si>
    <t>1/04/2026</t>
  </si>
  <si>
    <t>מ.ק.מ. 516</t>
  </si>
  <si>
    <t>IL0082605150</t>
  </si>
  <si>
    <t>6/05/2026</t>
  </si>
  <si>
    <t>האוצר - ממשלתית צמודה</t>
  </si>
  <si>
    <t>ממצמ0536 מושאל ל</t>
  </si>
  <si>
    <t>IL0010977085</t>
  </si>
  <si>
    <t>צמוד למדד המחירים לצרכן בריבית קבועה</t>
  </si>
  <si>
    <t>31/05/2036</t>
  </si>
  <si>
    <t>האוצר - ממשלתית משתנה</t>
  </si>
  <si>
    <t>ממשל משתנה 1134</t>
  </si>
  <si>
    <t>IL0012051459</t>
  </si>
  <si>
    <t>לא צמוד למדד המחירים לצרכן ריבית משתנה</t>
  </si>
  <si>
    <t>30/11/2034</t>
  </si>
  <si>
    <t>ממשל צמוד 0536</t>
  </si>
  <si>
    <t>ממשל צמוד 0545</t>
  </si>
  <si>
    <t>IL0011348658</t>
  </si>
  <si>
    <t>31/05/2045</t>
  </si>
  <si>
    <t>ממשל צמוד 0841</t>
  </si>
  <si>
    <t>IL0011205833</t>
  </si>
  <si>
    <t>31/08/2041</t>
  </si>
  <si>
    <t>ממשל צמודה 0529</t>
  </si>
  <si>
    <t>IL0011570236</t>
  </si>
  <si>
    <t>31/05/2029</t>
  </si>
  <si>
    <t>ממשל צמודה 0529 מושאל ל</t>
  </si>
  <si>
    <t>ממשל צמודה 0726 מושאל ל</t>
  </si>
  <si>
    <t>IL0011695645</t>
  </si>
  <si>
    <t>31/07/2026</t>
  </si>
  <si>
    <t>ממשל צמודה 1131</t>
  </si>
  <si>
    <t>IL0011722209</t>
  </si>
  <si>
    <t>30/11/2031</t>
  </si>
  <si>
    <t>ממשל צמודה 1131 מושאל ל</t>
  </si>
  <si>
    <t>ממשל צמודה 1151</t>
  </si>
  <si>
    <t>IL0011683013</t>
  </si>
  <si>
    <t>30/11/2051</t>
  </si>
  <si>
    <t>ממשל צמודה 1151 מושאל ל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</si>
  <si>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</si>
  <si>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</si>
  <si>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</si>
  <si>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</si>
  <si>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</si>
  <si>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</si>
  <si>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</si>
  <si>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</si>
  <si>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</si>
  <si>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</si>
  <si>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</si>
  <si>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0825</t>
  </si>
  <si>
    <t>IL0011355570</t>
  </si>
  <si>
    <t>31/08/2025</t>
  </si>
  <si>
    <t>ממשל שקלי 0928</t>
  </si>
  <si>
    <t>IL0011508798</t>
  </si>
  <si>
    <t>30/09/2028</t>
  </si>
  <si>
    <t>ממשל שקלי 0928 מושאל ל</t>
  </si>
  <si>
    <t>ממשל שקלית 0226</t>
  </si>
  <si>
    <t>IL0011746976</t>
  </si>
  <si>
    <t>28/02/2026</t>
  </si>
  <si>
    <t>ממשל שקלית 0226 מושאל ל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</si>
  <si>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</si>
  <si>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</si>
  <si>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</si>
  <si>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</si>
  <si>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</si>
  <si>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</si>
  <si>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</si>
  <si>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</si>
  <si>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</si>
  <si>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</si>
  <si>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</si>
  <si>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</si>
  <si>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ממשלתי צמוד 0545 מושאל ל</t>
  </si>
  <si>
    <t>ממשלתי צמוד 0841 מושאל</t>
  </si>
  <si>
    <t>ממשלתי שקלי 0327 מושאל ל</t>
  </si>
  <si>
    <t>ממשלתי שקלי 0825 מושאל ל</t>
  </si>
  <si>
    <t>מקמ 316</t>
  </si>
  <si>
    <t>IL0082603171</t>
  </si>
  <si>
    <t>4/03/2026</t>
  </si>
  <si>
    <t>US Treasury</t>
  </si>
  <si>
    <t>T 3.75% 30/06/30</t>
  </si>
  <si>
    <t>US91282CHJ36</t>
  </si>
  <si>
    <t>נקוב במט"ח</t>
  </si>
  <si>
    <t>ארה"ב</t>
  </si>
  <si>
    <t>Aa1</t>
  </si>
  <si>
    <t>Moodys</t>
  </si>
  <si>
    <t>30/06/2030</t>
  </si>
  <si>
    <t>T 4.5%   15/11/2033</t>
  </si>
  <si>
    <t>US91282CJJ18</t>
  </si>
  <si>
    <t>15/11/2033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</si>
  <si>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</si>
  <si>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</si>
  <si>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</si>
  <si>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</si>
  <si>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</si>
  <si>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</si>
  <si>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</si>
  <si>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</si>
  <si>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</si>
  <si>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</si>
  <si>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</si>
  <si>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</si>
  <si>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</si>
  <si>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אגח יט</t>
  </si>
  <si>
    <t>IL0012232968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</si>
  <si>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</si>
  <si>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</si>
  <si>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</si>
  <si>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</si>
  <si>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</si>
  <si>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</si>
  <si>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</si>
  <si>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30/08/2032</t>
  </si>
  <si>
    <t>החוב לא נחות</t>
  </si>
  <si>
    <t>אדגר השקעות ופיתוח בעמ</t>
  </si>
  <si>
    <t>520035171</t>
  </si>
  <si>
    <t>אדגר אג10</t>
  </si>
  <si>
    <t>IL0018202080</t>
  </si>
  <si>
    <t>צמוד למדד המחירים לצרכן</t>
  </si>
  <si>
    <t>נדל"ן מניב בחו"ל</t>
  </si>
  <si>
    <t>1/09/2027</t>
  </si>
  <si>
    <t>אדגר אג9</t>
  </si>
  <si>
    <t>IL0018201900</t>
  </si>
  <si>
    <t>1/07/2025</t>
  </si>
  <si>
    <t>אדגר אגח יא</t>
  </si>
  <si>
    <t>IL0018202817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</si>
  <si>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</si>
  <si>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</si>
  <si>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</si>
  <si>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</si>
  <si>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</si>
  <si>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</si>
  <si>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</si>
  <si>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</si>
  <si>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</si>
  <si>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</si>
  <si>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אזורים-חברה להשקעות בפתוח ובבנין בעמ</t>
  </si>
  <si>
    <t>520025990</t>
  </si>
  <si>
    <t>אזורים אג14</t>
  </si>
  <si>
    <t>IL0071504448</t>
  </si>
  <si>
    <t>A1.il</t>
  </si>
  <si>
    <t>31/12/2028</t>
  </si>
  <si>
    <t>אזורים אג15</t>
  </si>
  <si>
    <t>IL0071504513</t>
  </si>
  <si>
    <t>Aa3.il</t>
  </si>
  <si>
    <t>30/06/2029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</si>
  <si>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</si>
  <si>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</si>
  <si>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</si>
  <si>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</si>
  <si>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</si>
  <si>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</si>
  <si>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אלביט מערכות בעמ</t>
  </si>
  <si>
    <t>520043027</t>
  </si>
  <si>
    <t>אלביט מע' אגח ב</t>
  </si>
  <si>
    <t>IL0011782351</t>
  </si>
  <si>
    <t>ביטחוניות</t>
  </si>
  <si>
    <t>ilAA+</t>
  </si>
  <si>
    <t>אלבר שירותי מימונית בעמ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</si>
  <si>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</si>
  <si>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</si>
  <si>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</si>
  <si>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</si>
  <si>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</si>
  <si>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</si>
  <si>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</si>
  <si>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</si>
  <si>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</si>
  <si>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אלבר אגח יט</t>
  </si>
  <si>
    <t>IL0011918245</t>
  </si>
  <si>
    <t>15/05/2028</t>
  </si>
  <si>
    <t>אלבר אגח כ</t>
  </si>
  <si>
    <t>IL0011918328</t>
  </si>
  <si>
    <t>20/06/2028</t>
  </si>
  <si>
    <t>אלבר אגי כא</t>
  </si>
  <si>
    <t>IL0012160276</t>
  </si>
  <si>
    <t>20/10/2032</t>
  </si>
  <si>
    <t>אלדן תחבורה בעמ</t>
  </si>
  <si>
    <t>510454333</t>
  </si>
  <si>
    <t>אלדן תחבו אגח ו</t>
  </si>
  <si>
    <t>IL0011616781</t>
  </si>
  <si>
    <t>30/12/2026</t>
  </si>
  <si>
    <t>אלדן תחבו אגח ז</t>
  </si>
  <si>
    <t>IL0011847790</t>
  </si>
  <si>
    <t>אלדן תחבו אגח ח</t>
  </si>
  <si>
    <t>IL0011924425</t>
  </si>
  <si>
    <t>30/09/2029</t>
  </si>
  <si>
    <t>אלדן תחבו אגח ט</t>
  </si>
  <si>
    <t>IL0011924599</t>
  </si>
  <si>
    <t>30/09/2030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</si>
  <si>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</si>
  <si>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</si>
  <si>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</si>
  <si>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</si>
  <si>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</si>
  <si>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</si>
  <si>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אלון רבוע אגח ז</t>
  </si>
  <si>
    <t>IL0011839797</t>
  </si>
  <si>
    <t>אלון רבוע אגח ט</t>
  </si>
  <si>
    <t>IL0011972846</t>
  </si>
  <si>
    <t>אלוני-חץ נכסים והשקעות בעמ</t>
  </si>
  <si>
    <t>520038506</t>
  </si>
  <si>
    <t>אלוני חץ אגח טו</t>
  </si>
  <si>
    <t>IL0011894149</t>
  </si>
  <si>
    <t>נדל"ן מניב בישראל</t>
  </si>
  <si>
    <t>28/02/2037</t>
  </si>
  <si>
    <t>אלוני חץ אגח יב</t>
  </si>
  <si>
    <t>IL0039004952</t>
  </si>
  <si>
    <t>28/02/2031</t>
  </si>
  <si>
    <t>אלוני חץ אגח יב מושאל ל</t>
  </si>
  <si>
    <t>בהשאלה</t>
  </si>
  <si>
    <t>אלוני חץ אגח יג</t>
  </si>
  <si>
    <t>IL0011894065</t>
  </si>
  <si>
    <t>אלקו בעמ</t>
  </si>
  <si>
    <t>520025370</t>
  </si>
  <si>
    <t>אלקו     אגח יג</t>
  </si>
  <si>
    <t>IL0069402332</t>
  </si>
  <si>
    <t>15/09/2029</t>
  </si>
  <si>
    <t>אלקטרה בעמ</t>
  </si>
  <si>
    <t>520028911</t>
  </si>
  <si>
    <t>אלקטרה אג4</t>
  </si>
  <si>
    <t>IL0073901493</t>
  </si>
  <si>
    <t>30/06/2026</t>
  </si>
  <si>
    <t>אלקטרה אג5</t>
  </si>
  <si>
    <t>IL0073902228</t>
  </si>
  <si>
    <t>10/01/2031</t>
  </si>
  <si>
    <t>אלקטרה פאוור (2019) בעמ</t>
  </si>
  <si>
    <t>516077989</t>
  </si>
  <si>
    <t>אלקטרה פא אגח ב</t>
  </si>
  <si>
    <t>IL0011819245</t>
  </si>
  <si>
    <t>אנרגיה</t>
  </si>
  <si>
    <t>ilA</t>
  </si>
  <si>
    <t>30/06/2033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</si>
  <si>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</si>
  <si>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</si>
  <si>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</si>
  <si>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</si>
  <si>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</si>
  <si>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</si>
  <si>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אלרוב נדלן ומלונאות בעמ</t>
  </si>
  <si>
    <t>520038894</t>
  </si>
  <si>
    <t>אלרוב נדלן אגחו</t>
  </si>
  <si>
    <t>IL0038701855</t>
  </si>
  <si>
    <t>1/10/2027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</si>
  <si>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</si>
  <si>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</si>
  <si>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</si>
  <si>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</si>
  <si>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</si>
  <si>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</si>
  <si>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</si>
  <si>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     אגח ח מושאל ל</t>
  </si>
  <si>
    <t>אמות   אגח י</t>
  </si>
  <si>
    <t>IL0012050048</t>
  </si>
  <si>
    <t>5/01/2037</t>
  </si>
  <si>
    <t>אמות  אגח ט</t>
  </si>
  <si>
    <t>IL0012049990</t>
  </si>
  <si>
    <t>אמות אג4</t>
  </si>
  <si>
    <t>IL0011331498</t>
  </si>
  <si>
    <t>2/07/2028</t>
  </si>
  <si>
    <t>אמות אג5</t>
  </si>
  <si>
    <t>IL0011381147</t>
  </si>
  <si>
    <t>4/01/2026</t>
  </si>
  <si>
    <t>אמות אגח ו</t>
  </si>
  <si>
    <t>IL0011586091</t>
  </si>
  <si>
    <t>3/10/2029</t>
  </si>
  <si>
    <t>אמות אגח ז מושאל ל</t>
  </si>
  <si>
    <t>אפי נכסים בעמ</t>
  </si>
  <si>
    <t>510560188</t>
  </si>
  <si>
    <t>אפי נכסים אג8</t>
  </si>
  <si>
    <t>IL0011422313</t>
  </si>
  <si>
    <t>15/10/2026</t>
  </si>
  <si>
    <t>אפי נכסים אגחיב</t>
  </si>
  <si>
    <t>IL0011737645</t>
  </si>
  <si>
    <t>15/09/2027</t>
  </si>
  <si>
    <t>אפי נכסים אגחיג</t>
  </si>
  <si>
    <t>IL0011782922</t>
  </si>
  <si>
    <t>אפי נכסים אגחיד</t>
  </si>
  <si>
    <t>IL0011845307</t>
  </si>
  <si>
    <t>30/03/2031</t>
  </si>
  <si>
    <t>אפריקה ישראל מגורים בעמ</t>
  </si>
  <si>
    <t>520034760</t>
  </si>
  <si>
    <t>אפריקה מג אגח ה</t>
  </si>
  <si>
    <t>IL0011628257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</si>
  <si>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</si>
  <si>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</si>
  <si>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</si>
  <si>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</si>
  <si>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</si>
  <si>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</si>
  <si>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</si>
  <si>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</si>
  <si>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</si>
  <si>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</si>
  <si>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</si>
  <si>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ט מושאל ל</t>
  </si>
  <si>
    <t>ארפורט אגח יב</t>
  </si>
  <si>
    <t>IL0012115643</t>
  </si>
  <si>
    <t>30/04/2037</t>
  </si>
  <si>
    <t>אשטרום נכסים בעמ</t>
  </si>
  <si>
    <t>520036617</t>
  </si>
  <si>
    <t>אשטרום נכ אג10</t>
  </si>
  <si>
    <t>IL0025102042</t>
  </si>
  <si>
    <t>1/01/2028</t>
  </si>
  <si>
    <t>אשטרום נכ אג11</t>
  </si>
  <si>
    <t>IL0025102380</t>
  </si>
  <si>
    <t>30/10/2028</t>
  </si>
  <si>
    <t>אשטרום נכ אג9</t>
  </si>
  <si>
    <t>IL0025101705</t>
  </si>
  <si>
    <t>1/10/2029</t>
  </si>
  <si>
    <t>אשטרום נכ אגח12</t>
  </si>
  <si>
    <t>IL0025102794</t>
  </si>
  <si>
    <t>1/07/2029</t>
  </si>
  <si>
    <t>אשטרום נכ אגח13</t>
  </si>
  <si>
    <t>IL0025103032</t>
  </si>
  <si>
    <t>31/12/2030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</si>
  <si>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</si>
  <si>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</si>
  <si>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</si>
  <si>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</si>
  <si>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</si>
  <si>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</si>
  <si>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</si>
  <si>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אג1</t>
  </si>
  <si>
    <t>IL0011323230</t>
  </si>
  <si>
    <t>10/11/2025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</si>
  <si>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</si>
  <si>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</si>
  <si>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</si>
  <si>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</si>
  <si>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</si>
  <si>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</si>
  <si>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</si>
  <si>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</si>
  <si>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</si>
  <si>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</si>
  <si>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</si>
  <si>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</si>
  <si>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</si>
  <si>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</si>
  <si>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בזק      אגח 12</t>
  </si>
  <si>
    <t>IL0023002426</t>
  </si>
  <si>
    <t>בזק אג10</t>
  </si>
  <si>
    <t>IL0023001840</t>
  </si>
  <si>
    <t>1/12/2025</t>
  </si>
  <si>
    <t>בזק אגח 14</t>
  </si>
  <si>
    <t>IL0023003176</t>
  </si>
  <si>
    <t>1/06/2035</t>
  </si>
  <si>
    <t>בי קומיוניקיישנס בעמ</t>
  </si>
  <si>
    <t>512832742</t>
  </si>
  <si>
    <t>בי קומיונק אגחז</t>
  </si>
  <si>
    <t>IL0012109885</t>
  </si>
  <si>
    <t>30/11/2029</t>
  </si>
  <si>
    <t>ביג מרכזי קניות בעמ</t>
  </si>
  <si>
    <t>513623314</t>
  </si>
  <si>
    <t>ביג       אגח כ</t>
  </si>
  <si>
    <t>IL0011861882</t>
  </si>
  <si>
    <t>30/04/2033</t>
  </si>
  <si>
    <t>ביג       אגח כ מושאל ל</t>
  </si>
  <si>
    <t>ביג      אגח טו</t>
  </si>
  <si>
    <t>IL0011622219</t>
  </si>
  <si>
    <t>31/01/2030</t>
  </si>
  <si>
    <t>ביג      אגח יג</t>
  </si>
  <si>
    <t>IL0011595167</t>
  </si>
  <si>
    <t>25/03/2029</t>
  </si>
  <si>
    <t>ביג      אגח יח</t>
  </si>
  <si>
    <t>IL0011742264</t>
  </si>
  <si>
    <t>ביג      אגח יח מושאל ל</t>
  </si>
  <si>
    <t>ביג אג9</t>
  </si>
  <si>
    <t>IL0011410508</t>
  </si>
  <si>
    <t>20/12/2026</t>
  </si>
  <si>
    <t>ביג אגח טו מושאל ל</t>
  </si>
  <si>
    <t>ביג אגח יא</t>
  </si>
  <si>
    <t>IL0011511172</t>
  </si>
  <si>
    <t>20/10/2027</t>
  </si>
  <si>
    <t>ביג אגח יב</t>
  </si>
  <si>
    <t>IL0011562316</t>
  </si>
  <si>
    <t>25/02/2028</t>
  </si>
  <si>
    <t>ביג אגח כא</t>
  </si>
  <si>
    <t>IL0012022179</t>
  </si>
  <si>
    <t>3/07/2030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</si>
  <si>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</si>
  <si>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</si>
  <si>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</si>
  <si>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</si>
  <si>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</si>
  <si>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</si>
  <si>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בינל הנפק אגחיב</t>
  </si>
  <si>
    <t>IL0011823858</t>
  </si>
  <si>
    <t>7/12/2027</t>
  </si>
  <si>
    <t>ג'י סיטי בעמ</t>
  </si>
  <si>
    <t>520033234</t>
  </si>
  <si>
    <t>ג'י סיטי אג12</t>
  </si>
  <si>
    <t>IL0012606039</t>
  </si>
  <si>
    <t>ilA-</t>
  </si>
  <si>
    <t>30/06/2027</t>
  </si>
  <si>
    <t>ג'י סיטי אגח  כ</t>
  </si>
  <si>
    <t>IL0012088675</t>
  </si>
  <si>
    <t>ג'י סיטי אגח יח</t>
  </si>
  <si>
    <t>IL0012038506</t>
  </si>
  <si>
    <t>30/09/2031</t>
  </si>
  <si>
    <t>ג'נריישן קפיטל בע"מ</t>
  </si>
  <si>
    <t>515846558</t>
  </si>
  <si>
    <t>ג'נרישן קפ אגחב</t>
  </si>
  <si>
    <t>IL0011775264</t>
  </si>
  <si>
    <t>30/06/2031</t>
  </si>
  <si>
    <t>ג'נרישן קפ אגחג</t>
  </si>
  <si>
    <t>IL0011845554</t>
  </si>
  <si>
    <t>30/09/2033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</si>
  <si>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</si>
  <si>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</si>
  <si>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</si>
  <si>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</si>
  <si>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</si>
  <si>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</si>
  <si>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</si>
  <si>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</si>
  <si>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</si>
  <si>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</si>
  <si>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גב ים אגח י</t>
  </si>
  <si>
    <t>IL0075902846</t>
  </si>
  <si>
    <t>30/06/2035</t>
  </si>
  <si>
    <t>גב ים אגח יא</t>
  </si>
  <si>
    <t>IL0012083395</t>
  </si>
  <si>
    <t>גירון פיתוח ובניה בעמ</t>
  </si>
  <si>
    <t>520044520</t>
  </si>
  <si>
    <t>גירון אג6</t>
  </si>
  <si>
    <t>IL0011398497</t>
  </si>
  <si>
    <t>31/12/2025</t>
  </si>
  <si>
    <t>דיסקונט מנפיקים בעמ</t>
  </si>
  <si>
    <t>520029935</t>
  </si>
  <si>
    <t>דיסק מנ  אגח יד</t>
  </si>
  <si>
    <t>IL0074801635</t>
  </si>
  <si>
    <t>5/12/2030</t>
  </si>
  <si>
    <t>דיסק מנ אגח  טז</t>
  </si>
  <si>
    <t>IL0012031576</t>
  </si>
  <si>
    <t>20/03/2035</t>
  </si>
  <si>
    <t>דיסק מנ אגח טו</t>
  </si>
  <si>
    <t>IL0074803045</t>
  </si>
  <si>
    <t>15/08/2032</t>
  </si>
  <si>
    <t>דיסק מנ אגח יז</t>
  </si>
  <si>
    <t>IL0012159534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</si>
  <si>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</si>
  <si>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</si>
  <si>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</si>
  <si>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</si>
  <si>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</si>
  <si>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</si>
  <si>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</si>
  <si>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A3.il</t>
  </si>
  <si>
    <t>30/09/2034</t>
  </si>
  <si>
    <t>דלק ישראל נכסים (ד.פ.) בע"מ</t>
  </si>
  <si>
    <t>516378643</t>
  </si>
  <si>
    <t>דלק נכסים אגח א</t>
  </si>
  <si>
    <t>IL0011961799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</si>
  <si>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</si>
  <si>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</si>
  <si>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</si>
  <si>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</si>
  <si>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</si>
  <si>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</si>
  <si>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י.ח.דמרי בניה ופיתוח בעמ</t>
  </si>
  <si>
    <t>511399388</t>
  </si>
  <si>
    <t>דמרי אג9</t>
  </si>
  <si>
    <t>IL0011683682</t>
  </si>
  <si>
    <t>31/12/2027</t>
  </si>
  <si>
    <t>דמרי אגח יא</t>
  </si>
  <si>
    <t>IL0012116062</t>
  </si>
  <si>
    <t>30/06/2032</t>
  </si>
  <si>
    <t>הכשרת הישוב מקבוצת נמרודי בעמ</t>
  </si>
  <si>
    <t>520020116</t>
  </si>
  <si>
    <t>הכשרת הישוב אג21</t>
  </si>
  <si>
    <t>IL0061202243</t>
  </si>
  <si>
    <t>הכשרת הישוב אג22</t>
  </si>
  <si>
    <t>IL0061202409</t>
  </si>
  <si>
    <t>הכשרת ישוב אג23</t>
  </si>
  <si>
    <t>IL0061203233</t>
  </si>
  <si>
    <t>הכשרת ישוב אג25</t>
  </si>
  <si>
    <t>IL0011915274</t>
  </si>
  <si>
    <t>הכשרת ישוב אג26</t>
  </si>
  <si>
    <t>IL0012056409</t>
  </si>
  <si>
    <t>הראל ביטוח מימון והנפקות בעמ</t>
  </si>
  <si>
    <t>513834200</t>
  </si>
  <si>
    <t>הראל הנ אג10</t>
  </si>
  <si>
    <t>IL0011340481</t>
  </si>
  <si>
    <t>ביטוח</t>
  </si>
  <si>
    <t>החוב נחות</t>
  </si>
  <si>
    <t>הראל הנ אג11</t>
  </si>
  <si>
    <t>IL0011363160</t>
  </si>
  <si>
    <t>הראל הנ אג12</t>
  </si>
  <si>
    <t>IL0011381634</t>
  </si>
  <si>
    <t>31/12/2031</t>
  </si>
  <si>
    <t>הראל הנ אג14</t>
  </si>
  <si>
    <t>IL0011431223</t>
  </si>
  <si>
    <t>הראל הנ אג15</t>
  </si>
  <si>
    <t>IL0011431306</t>
  </si>
  <si>
    <t>31/12/2034</t>
  </si>
  <si>
    <t>הראל הנפ אגח טז</t>
  </si>
  <si>
    <t>IL0011576019</t>
  </si>
  <si>
    <t>הראל הנפ אגח יח</t>
  </si>
  <si>
    <t>IL0011826661</t>
  </si>
  <si>
    <t>31/12/2035</t>
  </si>
  <si>
    <t>הראל הנפק אגח כ</t>
  </si>
  <si>
    <t>IL0012079849</t>
  </si>
  <si>
    <t>31/12/2036</t>
  </si>
  <si>
    <t>הראל הנפקות אג יב מושאל ל</t>
  </si>
  <si>
    <t>הראל הנפקות אגח יא מושאל ל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</si>
  <si>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</si>
  <si>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</si>
  <si>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</si>
  <si>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</si>
  <si>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</si>
  <si>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ויתניה בעמ</t>
  </si>
  <si>
    <t>512096793</t>
  </si>
  <si>
    <t>ויתניה אגח ו</t>
  </si>
  <si>
    <t>IL0011931438</t>
  </si>
  <si>
    <t>ויתניה אגח ז</t>
  </si>
  <si>
    <t>IL0012162413</t>
  </si>
  <si>
    <t>החברה לישראל בעמ</t>
  </si>
  <si>
    <t>520028010</t>
  </si>
  <si>
    <t>חברהלישראלאגח14</t>
  </si>
  <si>
    <t>IL0057603016</t>
  </si>
  <si>
    <t>30/06/2028</t>
  </si>
  <si>
    <t>חברהלישראלאגח15</t>
  </si>
  <si>
    <t>IL0057603271</t>
  </si>
  <si>
    <t>31/07/2030</t>
  </si>
  <si>
    <t>מ.יוחננוף ובניו (1988) בעמ</t>
  </si>
  <si>
    <t>511344186</t>
  </si>
  <si>
    <t>יוחננוף אגח א</t>
  </si>
  <si>
    <t>IL0011874182</t>
  </si>
  <si>
    <t>1/07/2032</t>
  </si>
  <si>
    <t>יוניברסל מוטורס ישראל בע"מ</t>
  </si>
  <si>
    <t>511809071</t>
  </si>
  <si>
    <t>יוניברסל  אגח ד</t>
  </si>
  <si>
    <t>IL0011722530</t>
  </si>
  <si>
    <t>מסחר</t>
  </si>
  <si>
    <t>10/02/2029</t>
  </si>
  <si>
    <t>יוניברסל  אגח ה</t>
  </si>
  <si>
    <t>IL0011926081</t>
  </si>
  <si>
    <t>10/02/2031</t>
  </si>
  <si>
    <t>ירושלים מימון והנפקות (2005) בעמ</t>
  </si>
  <si>
    <t>513682146</t>
  </si>
  <si>
    <t>ירושליםהנ אגחטו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</si>
  <si>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</si>
  <si>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</si>
  <si>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</si>
  <si>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</si>
  <si>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</si>
  <si>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</si>
  <si>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ירושליםהנ אגחיט</t>
  </si>
  <si>
    <t>IL0012014333</t>
  </si>
  <si>
    <t>31/01/2031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</si>
  <si>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</si>
  <si>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</si>
  <si>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</si>
  <si>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</si>
  <si>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</si>
  <si>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</si>
  <si>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</si>
  <si>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</si>
  <si>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אג16</t>
  </si>
  <si>
    <t>IL0061302233</t>
  </si>
  <si>
    <t>30/07/2031</t>
  </si>
  <si>
    <t>ישרס אג18</t>
  </si>
  <si>
    <t>IL0061302803</t>
  </si>
  <si>
    <t>10/04/2030</t>
  </si>
  <si>
    <t>ישרס אג19</t>
  </si>
  <si>
    <t>IL0061303488</t>
  </si>
  <si>
    <t>31/03/2036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</si>
  <si>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</si>
  <si>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</si>
  <si>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</si>
  <si>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</si>
  <si>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</si>
  <si>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גיוסי הון בע"מ</t>
  </si>
  <si>
    <t>513754069</t>
  </si>
  <si>
    <t>כלל מימו אגח יא</t>
  </si>
  <si>
    <t>IL0011606477</t>
  </si>
  <si>
    <t>31/03/2033</t>
  </si>
  <si>
    <t>כלל מימו אגח יב</t>
  </si>
  <si>
    <t>IL0011799280</t>
  </si>
  <si>
    <t>כלל מימו אגח יג</t>
  </si>
  <si>
    <t>IL0011979205</t>
  </si>
  <si>
    <t>31/07/2037</t>
  </si>
  <si>
    <t>כללביט  אגח יא מושאל ל</t>
  </si>
  <si>
    <t>בנק לאומי לישראל בעמ</t>
  </si>
  <si>
    <t>520018078</t>
  </si>
  <si>
    <t>לאומי אג179</t>
  </si>
  <si>
    <t>IL0060403727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</si>
  <si>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</si>
  <si>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</si>
  <si>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</si>
  <si>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</si>
  <si>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</si>
  <si>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</si>
  <si>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186</t>
  </si>
  <si>
    <t>IL0012018391</t>
  </si>
  <si>
    <t>30/11/2033</t>
  </si>
  <si>
    <t>לאומי התח נד405 (COCO)</t>
  </si>
  <si>
    <t>IL0060406209</t>
  </si>
  <si>
    <t>27/03/2033</t>
  </si>
  <si>
    <t>לאומי התח נד406</t>
  </si>
  <si>
    <t>IL0012164237</t>
  </si>
  <si>
    <t>28/02/2036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</si>
  <si>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</si>
  <si>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</si>
  <si>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</si>
  <si>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</si>
  <si>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</si>
  <si>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</si>
  <si>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</si>
  <si>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אג16</t>
  </si>
  <si>
    <t>IL0022604388</t>
  </si>
  <si>
    <t>מבנה אג20</t>
  </si>
  <si>
    <t>IL0022604958</t>
  </si>
  <si>
    <t>מבנה אגח כג</t>
  </si>
  <si>
    <t>IL0022605450</t>
  </si>
  <si>
    <t>מבנה אגח כה</t>
  </si>
  <si>
    <t>IL0022606367</t>
  </si>
  <si>
    <t>מבנה אגח כה מושאל ל</t>
  </si>
  <si>
    <t>מגדל ביטוח גיוס הון בעמ</t>
  </si>
  <si>
    <t>513230029</t>
  </si>
  <si>
    <t>מגדל הון אגח ח</t>
  </si>
  <si>
    <t>IL0011829558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</si>
  <si>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</si>
  <si>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</si>
  <si>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</si>
  <si>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</si>
  <si>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</si>
  <si>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</si>
  <si>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</si>
  <si>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</si>
  <si>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</si>
  <si>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מגדלי הים התיכון</t>
  </si>
  <si>
    <t>512719485</t>
  </si>
  <si>
    <t>מגדלי תיכוןאגחה</t>
  </si>
  <si>
    <t>IL0011685174</t>
  </si>
  <si>
    <t>מגדלי תיכוןאגחו</t>
  </si>
  <si>
    <t>IL0011991242</t>
  </si>
  <si>
    <t>מגה אור החזקות בעמ</t>
  </si>
  <si>
    <t>513257873</t>
  </si>
  <si>
    <t>מגה אור   אגח ט</t>
  </si>
  <si>
    <t>IL0011651416</t>
  </si>
  <si>
    <t>28/02/2030</t>
  </si>
  <si>
    <t>מגה אור  אגח  י</t>
  </si>
  <si>
    <t>IL0011783672</t>
  </si>
  <si>
    <t>31/03/2032</t>
  </si>
  <si>
    <t>מגה אור  אגח יא</t>
  </si>
  <si>
    <t>IL0011783755</t>
  </si>
  <si>
    <t>מגה אור  אגח יב</t>
  </si>
  <si>
    <t>IL0012112830</t>
  </si>
  <si>
    <t>מגה אור אגח ו</t>
  </si>
  <si>
    <t>IL0011386682</t>
  </si>
  <si>
    <t>מגה אור אגח ז</t>
  </si>
  <si>
    <t>IL0011416968</t>
  </si>
  <si>
    <t>30/08/2027</t>
  </si>
  <si>
    <t>מגה אור אגח ח</t>
  </si>
  <si>
    <t>IL0011476020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</si>
  <si>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</si>
  <si>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</si>
  <si>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</si>
  <si>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</si>
  <si>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</si>
  <si>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66</t>
  </si>
  <si>
    <t>IL0011916678</t>
  </si>
  <si>
    <t>8/12/2031</t>
  </si>
  <si>
    <t>מז טפ הנ אגח 67</t>
  </si>
  <si>
    <t>IL0011968075</t>
  </si>
  <si>
    <t>12/06/2033</t>
  </si>
  <si>
    <t>מז טפ הנ אגח 70</t>
  </si>
  <si>
    <t>IL0012138835</t>
  </si>
  <si>
    <t>28/11/2036</t>
  </si>
  <si>
    <t>מז טפ הנפ אגח61</t>
  </si>
  <si>
    <t>IL0023104644</t>
  </si>
  <si>
    <t>Aaa.il</t>
  </si>
  <si>
    <t>4/12/2026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</si>
  <si>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</si>
  <si>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</si>
  <si>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</si>
  <si>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</si>
  <si>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</si>
  <si>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</si>
  <si>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</si>
  <si>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</si>
  <si>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</si>
  <si>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</si>
  <si>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</si>
  <si>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</si>
  <si>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</si>
  <si>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</si>
  <si>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</si>
  <si>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</si>
  <si>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</si>
  <si>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</si>
  <si>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מיטב בית השקעות בעמ</t>
  </si>
  <si>
    <t>520043795</t>
  </si>
  <si>
    <t>מיטב השק אג3</t>
  </si>
  <si>
    <t>IL0011217630</t>
  </si>
  <si>
    <t>שירותים פיננסיים</t>
  </si>
  <si>
    <t>10/12/2025</t>
  </si>
  <si>
    <t>מיטב השק אג4</t>
  </si>
  <si>
    <t>IL0011613713</t>
  </si>
  <si>
    <t>10/12/2029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</si>
  <si>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</si>
  <si>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</si>
  <si>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</si>
  <si>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</si>
  <si>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</si>
  <si>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</si>
  <si>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אגחג</t>
  </si>
  <si>
    <t>IL0011712143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</si>
  <si>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</si>
  <si>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</si>
  <si>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</si>
  <si>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</si>
  <si>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</si>
  <si>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</si>
  <si>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</si>
  <si>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מליסרון  אגח כא</t>
  </si>
  <si>
    <t>IL0011946386</t>
  </si>
  <si>
    <t>1/01/2037</t>
  </si>
  <si>
    <t>מליסרון אג10</t>
  </si>
  <si>
    <t>IL0032301900</t>
  </si>
  <si>
    <t>10/07/2025</t>
  </si>
  <si>
    <t>מליסרון אג11</t>
  </si>
  <si>
    <t>IL0032302080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</si>
  <si>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</si>
  <si>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</si>
  <si>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</si>
  <si>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</si>
  <si>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</si>
  <si>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</si>
  <si>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כ</t>
  </si>
  <si>
    <t>IL0032304227</t>
  </si>
  <si>
    <t>ממן-מסופי מטען וניטול בעמ</t>
  </si>
  <si>
    <t>520036435</t>
  </si>
  <si>
    <t>ממן אג3</t>
  </si>
  <si>
    <t>IL0023800530</t>
  </si>
  <si>
    <t>מנורה מבטחים גיוס הון בעמ</t>
  </si>
  <si>
    <t>513937714</t>
  </si>
  <si>
    <t>מנורה הון הת5</t>
  </si>
  <si>
    <t>IL0011434110</t>
  </si>
  <si>
    <t>מנורה הון התח ה מושאל ל</t>
  </si>
  <si>
    <t>מנורה הון התח ו</t>
  </si>
  <si>
    <t>IL0011602419</t>
  </si>
  <si>
    <t>מנורה הון התח ו מושאל ל</t>
  </si>
  <si>
    <t>מנורה הון התח ז</t>
  </si>
  <si>
    <t>IL0011841918</t>
  </si>
  <si>
    <t>מנורה הון התח סד' ט</t>
  </si>
  <si>
    <t>IL0012193699</t>
  </si>
  <si>
    <t>30/09/2035</t>
  </si>
  <si>
    <t>מנורה הון התח סד' ט מושאל ל</t>
  </si>
  <si>
    <t>מנורה מבטחים החזקות בעמ</t>
  </si>
  <si>
    <t>520007469</t>
  </si>
  <si>
    <t>מנורה מבטחים אג3</t>
  </si>
  <si>
    <t>IL0056600633</t>
  </si>
  <si>
    <t>מקורות חברת מים בעמ</t>
  </si>
  <si>
    <t>520010869</t>
  </si>
  <si>
    <t>מקורות אגח 10</t>
  </si>
  <si>
    <t>IL0011584682</t>
  </si>
  <si>
    <t>מקורות אגח 11</t>
  </si>
  <si>
    <t>IL0011584765</t>
  </si>
  <si>
    <t>31/12/2053</t>
  </si>
  <si>
    <t>חברה לנכסים ולבנין בעמ</t>
  </si>
  <si>
    <t>520025438</t>
  </si>
  <si>
    <t>נכסים בנ אגח יא</t>
  </si>
  <si>
    <t>IL0012055666</t>
  </si>
  <si>
    <t>24/12/2027</t>
  </si>
  <si>
    <t>נכסים ובנ אגח י</t>
  </si>
  <si>
    <t>IL0011936304</t>
  </si>
  <si>
    <t>נכסים ובנין אג4</t>
  </si>
  <si>
    <t>IL0069901549</t>
  </si>
  <si>
    <t>חברת נמלי ישראל-פיתוח נכסים בע"מ</t>
  </si>
  <si>
    <t>513569780</t>
  </si>
  <si>
    <t>נמלי ישר   אגחד</t>
  </si>
  <si>
    <t>IL0011750333</t>
  </si>
  <si>
    <t>31/12/2045</t>
  </si>
  <si>
    <t>נמלי ישראל אג2</t>
  </si>
  <si>
    <t>IL0011455727</t>
  </si>
  <si>
    <t>נתיבי הגז הטבעי לישראל בעמ</t>
  </si>
  <si>
    <t>513436394</t>
  </si>
  <si>
    <t>נתיבי גז אג4</t>
  </si>
  <si>
    <t>IL0011475030</t>
  </si>
  <si>
    <t>Aa1.il</t>
  </si>
  <si>
    <t>סלע קפיטל נדלן בעמ</t>
  </si>
  <si>
    <t>513992529</t>
  </si>
  <si>
    <t>סלע נדלן  אגח ד</t>
  </si>
  <si>
    <t>IL0011671471</t>
  </si>
  <si>
    <t>סלע נדלן אג3</t>
  </si>
  <si>
    <t>IL0011389736</t>
  </si>
  <si>
    <t>13/04/2029</t>
  </si>
  <si>
    <t>סלקום ישראל בעמ</t>
  </si>
  <si>
    <t>511930125</t>
  </si>
  <si>
    <t>סלקום אג12</t>
  </si>
  <si>
    <t>IL0011430803</t>
  </si>
  <si>
    <t>5/01/2028</t>
  </si>
  <si>
    <t>סלקום אגח יג</t>
  </si>
  <si>
    <t>IL0011891905</t>
  </si>
  <si>
    <t>5/01/2030</t>
  </si>
  <si>
    <t>קבוצת עזריאלי בעמ</t>
  </si>
  <si>
    <t>510960719</t>
  </si>
  <si>
    <t>עזריאלי  אגח ז</t>
  </si>
  <si>
    <t>IL0011786725</t>
  </si>
  <si>
    <t>2/07/2036</t>
  </si>
  <si>
    <t>עזריאלי אגח ד</t>
  </si>
  <si>
    <t>IL0011386500</t>
  </si>
  <si>
    <t>5/07/2030</t>
  </si>
  <si>
    <t>עזריאלי אגח ה</t>
  </si>
  <si>
    <t>IL0011566036</t>
  </si>
  <si>
    <t>עזריאלי אגח ו</t>
  </si>
  <si>
    <t>IL0011566119</t>
  </si>
  <si>
    <t>31/12/2032</t>
  </si>
  <si>
    <t>עזריאלי אגח ו מושאל ל</t>
  </si>
  <si>
    <t>עזריאלי אגח ח</t>
  </si>
  <si>
    <t>IL0011786808</t>
  </si>
  <si>
    <t>2/01/2041</t>
  </si>
  <si>
    <t>עזריאלי אגח ט</t>
  </si>
  <si>
    <t>IL0012092537</t>
  </si>
  <si>
    <t>2/01/2046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</si>
  <si>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</si>
  <si>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</si>
  <si>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</si>
  <si>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</si>
  <si>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</si>
  <si>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</si>
  <si>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</si>
  <si>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</si>
  <si>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</si>
  <si>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</si>
  <si>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</si>
  <si>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</si>
  <si>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</si>
  <si>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</si>
  <si>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</si>
  <si>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</si>
  <si>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 נד יב</t>
  </si>
  <si>
    <t>IL0012141219</t>
  </si>
  <si>
    <t>28/11/2037</t>
  </si>
  <si>
    <t>פועלים התח נד ו (COCO)</t>
  </si>
  <si>
    <t>IL0066205530</t>
  </si>
  <si>
    <t>13/03/2028</t>
  </si>
  <si>
    <t>פועלים התח נד ז (COCO)</t>
  </si>
  <si>
    <t>IL0011913295</t>
  </si>
  <si>
    <t>29/11/2033</t>
  </si>
  <si>
    <t>פז קמעונאות ואנרגיה בעמ</t>
  </si>
  <si>
    <t>510216054</t>
  </si>
  <si>
    <t>פז נפט אג7</t>
  </si>
  <si>
    <t>IL0011425951</t>
  </si>
  <si>
    <t>30/11/2030</t>
  </si>
  <si>
    <t>פז נפט אג8</t>
  </si>
  <si>
    <t>IL0011628174</t>
  </si>
  <si>
    <t>פז נפט אגח ח מושאל ל</t>
  </si>
  <si>
    <t>פז נפט אגח ט</t>
  </si>
  <si>
    <t>IL0012059478</t>
  </si>
  <si>
    <t>31/05/2035</t>
  </si>
  <si>
    <t>חברת פרטנר תקשורת בעמ</t>
  </si>
  <si>
    <t>520044314</t>
  </si>
  <si>
    <t>פרטנר     אגח ח</t>
  </si>
  <si>
    <t>IL0011829483</t>
  </si>
  <si>
    <t>25/06/2030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</si>
  <si>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</si>
  <si>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</si>
  <si>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</si>
  <si>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</si>
  <si>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</si>
  <si>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 אגח ה</t>
  </si>
  <si>
    <t>IL0012039421</t>
  </si>
  <si>
    <t>31/08/2032</t>
  </si>
  <si>
    <t>קיסטון אינפרא בע"מ</t>
  </si>
  <si>
    <t>515983476</t>
  </si>
  <si>
    <t>קיסטון אינפרא אגחא</t>
  </si>
  <si>
    <t>IL0011821878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</si>
  <si>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</si>
  <si>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</si>
  <si>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</si>
  <si>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</si>
  <si>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</si>
  <si>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</si>
  <si>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</si>
  <si>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</si>
  <si>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</si>
  <si>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קרסו מוט אג3</t>
  </si>
  <si>
    <t>IL0011418295</t>
  </si>
  <si>
    <t>קרסו מוט אג4</t>
  </si>
  <si>
    <t>IL0011735664</t>
  </si>
  <si>
    <t>1/10/2028</t>
  </si>
  <si>
    <t>רבוע כחול נדלן בעמ</t>
  </si>
  <si>
    <t>513765859</t>
  </si>
  <si>
    <t>רבוע נדלן אג6</t>
  </si>
  <si>
    <t>IL0011406076</t>
  </si>
  <si>
    <t>30/11/2026</t>
  </si>
  <si>
    <t>רבוע נדלן אג7</t>
  </si>
  <si>
    <t>IL0011406159</t>
  </si>
  <si>
    <t>רבוע נדלן אג9</t>
  </si>
  <si>
    <t>IL0011745564</t>
  </si>
  <si>
    <t>רבוע נדלן אג9 מושאל ל</t>
  </si>
  <si>
    <t>רבוע נדלן אגח ח</t>
  </si>
  <si>
    <t>IL0011575698</t>
  </si>
  <si>
    <t>31/10/2028</t>
  </si>
  <si>
    <t>רבוע נדלן אגח ח מושאל ל</t>
  </si>
  <si>
    <t>רבןע נדל"ן אגח י</t>
  </si>
  <si>
    <t>IL0012133968</t>
  </si>
  <si>
    <t>30/09/2039</t>
  </si>
  <si>
    <t>ריט 1 בעמ</t>
  </si>
  <si>
    <t>513821488</t>
  </si>
  <si>
    <t>ריט 1 אגח ה</t>
  </si>
  <si>
    <t>IL0011367534</t>
  </si>
  <si>
    <t>20/09/2028</t>
  </si>
  <si>
    <t>ריט 1 אגח ו</t>
  </si>
  <si>
    <t>IL0011385445</t>
  </si>
  <si>
    <t>20/09/2031</t>
  </si>
  <si>
    <t>ריט 1 אגח ז</t>
  </si>
  <si>
    <t>IL0011712713</t>
  </si>
  <si>
    <t>20/09/2034</t>
  </si>
  <si>
    <t>רני צים מרכזי קניות בעמ</t>
  </si>
  <si>
    <t>514353671</t>
  </si>
  <si>
    <t>רני צים אגח ב</t>
  </si>
  <si>
    <t>IL0011718348</t>
  </si>
  <si>
    <t>1/03/2028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</si>
  <si>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</si>
  <si>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</si>
  <si>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</si>
  <si>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</si>
  <si>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</si>
  <si>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</si>
  <si>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</si>
  <si>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</si>
  <si>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</si>
  <si>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</si>
  <si>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</si>
  <si>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</si>
  <si>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</si>
  <si>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</si>
  <si>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</si>
  <si>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</si>
  <si>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</si>
  <si>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שופרסל אג7 מושאל ל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</si>
  <si>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</si>
  <si>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</si>
  <si>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</si>
  <si>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</si>
  <si>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</si>
  <si>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</si>
  <si>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שטראוס אג5</t>
  </si>
  <si>
    <t>IL0074603890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</si>
  <si>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</si>
  <si>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</si>
  <si>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</si>
  <si>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</si>
  <si>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</si>
  <si>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</si>
  <si>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</si>
  <si>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</si>
  <si>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שיכון ובינוי אג9</t>
  </si>
  <si>
    <t>IL0011673865</t>
  </si>
  <si>
    <t>ש.שלמה החזקות בע"מ</t>
  </si>
  <si>
    <t>520034372</t>
  </si>
  <si>
    <t>שלמה הח אג17</t>
  </si>
  <si>
    <t>IL0014102995</t>
  </si>
  <si>
    <t>20/06/2026</t>
  </si>
  <si>
    <t>שלמה החז אגח  כ</t>
  </si>
  <si>
    <t>IL0011927493</t>
  </si>
  <si>
    <t>20/12/2031</t>
  </si>
  <si>
    <t>שלמה החז אגח יט</t>
  </si>
  <si>
    <t>IL0011927311</t>
  </si>
  <si>
    <t>שלמה החזקות אג18</t>
  </si>
  <si>
    <t>IL0014103076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</si>
  <si>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</si>
  <si>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</si>
  <si>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</si>
  <si>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</si>
  <si>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</si>
  <si>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</si>
  <si>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אג1</t>
  </si>
  <si>
    <t>IL0011361347</t>
  </si>
  <si>
    <t>1/10/2025</t>
  </si>
  <si>
    <t>שפיר הנדסה אג2</t>
  </si>
  <si>
    <t>IL0011419517</t>
  </si>
  <si>
    <t>שפיר הנדסה אגח ג מושאל ל</t>
  </si>
  <si>
    <t>תדיראן גרופ בעמ</t>
  </si>
  <si>
    <t>520036732</t>
  </si>
  <si>
    <t>תדיראן גרופ אג3</t>
  </si>
  <si>
    <t>IL0025801320</t>
  </si>
  <si>
    <t>תשתיות אנרגיה בעמ</t>
  </si>
  <si>
    <t>520027293</t>
  </si>
  <si>
    <t>תשתיות אנרגיה אגח ב</t>
  </si>
  <si>
    <t>IL0012115155</t>
  </si>
  <si>
    <t>31/12/2050</t>
  </si>
  <si>
    <t>תשתיות אנרגיה אגח ב מושאל ל</t>
  </si>
  <si>
    <t>ALLIANZ SE-REG</t>
  </si>
  <si>
    <t>529900K9B0N5BT694847</t>
  </si>
  <si>
    <t>LEI</t>
  </si>
  <si>
    <t>ALVGR 3.5%  PERP</t>
  </si>
  <si>
    <t>USX10001AA78</t>
  </si>
  <si>
    <t>Insurance</t>
  </si>
  <si>
    <t>A3</t>
  </si>
  <si>
    <t>30/04/2026</t>
  </si>
  <si>
    <t>America Movil Sab DE  CV</t>
  </si>
  <si>
    <t>5493000FNR3UCEAONM59</t>
  </si>
  <si>
    <t>AMXLMM 10.125% 22/01/29</t>
  </si>
  <si>
    <t>XS2793263935</t>
  </si>
  <si>
    <t>מקסיקו</t>
  </si>
  <si>
    <t>Wireless Telecommunication Services</t>
  </si>
  <si>
    <t>Baa1</t>
  </si>
  <si>
    <t>22/01/2029</t>
  </si>
  <si>
    <t>Athene Global Funding</t>
  </si>
  <si>
    <t>549300LM1QSI4MSIL320</t>
  </si>
  <si>
    <t>ATH 2.646 04/10/2031</t>
  </si>
  <si>
    <t>US04685A3E97</t>
  </si>
  <si>
    <t>יוון</t>
  </si>
  <si>
    <t>4/10/2031</t>
  </si>
  <si>
    <t>ALIBABA GROUP</t>
  </si>
  <si>
    <t>5493001NTNQJDH60PM02</t>
  </si>
  <si>
    <t>BABA 4  06/12/2037</t>
  </si>
  <si>
    <t>US01609WAU62</t>
  </si>
  <si>
    <t>גלובלי</t>
  </si>
  <si>
    <t>Retailing</t>
  </si>
  <si>
    <t>A</t>
  </si>
  <si>
    <t>Fitch</t>
  </si>
  <si>
    <t>6/12/2037</t>
  </si>
  <si>
    <t>Bank of America corp</t>
  </si>
  <si>
    <t>9DJT3UXIJIZJI4WXO774</t>
  </si>
  <si>
    <t>BAC 2.592 29/04/31</t>
  </si>
  <si>
    <t>US06051GJB68</t>
  </si>
  <si>
    <t>Banks</t>
  </si>
  <si>
    <t>A-</t>
  </si>
  <si>
    <t>29/04/2031</t>
  </si>
  <si>
    <t>BPCE SA</t>
  </si>
  <si>
    <t>9695005MSX1OYEMGDF46</t>
  </si>
  <si>
    <t>BPCEGP 2.045 19/10/2027</t>
  </si>
  <si>
    <t>US05584KAK43</t>
  </si>
  <si>
    <t>צרפת</t>
  </si>
  <si>
    <t>BBB+</t>
  </si>
  <si>
    <t>19/10/2027</t>
  </si>
  <si>
    <t>BP CAP MARKETS AMERICA</t>
  </si>
  <si>
    <t>5493009NTB34VXE1T760</t>
  </si>
  <si>
    <t>BPLN 3% 24/02/2050</t>
  </si>
  <si>
    <t>US10373QBG47</t>
  </si>
  <si>
    <t>Oil, Gas &amp; Consumable Fuels</t>
  </si>
  <si>
    <t>24/02/2050</t>
  </si>
  <si>
    <t>BP CAPITAL MARKETS PLC</t>
  </si>
  <si>
    <t>549300CRVT18MXX0AG93</t>
  </si>
  <si>
    <t>BPLN 4.375 PERP</t>
  </si>
  <si>
    <t>US05565QDU94</t>
  </si>
  <si>
    <t>BBB</t>
  </si>
  <si>
    <t>22/09/2025</t>
  </si>
  <si>
    <t>Citigroup Inc</t>
  </si>
  <si>
    <t>6SHGI4ZSSLCXXQSBB395</t>
  </si>
  <si>
    <t>C 4.412 31/03/2031</t>
  </si>
  <si>
    <t>US172967MP39</t>
  </si>
  <si>
    <t>CODELCO INC</t>
  </si>
  <si>
    <t>549300UVMBCBCIPSUI70</t>
  </si>
  <si>
    <t>CODELCO INC 3%  30/09/2029</t>
  </si>
  <si>
    <t>USP3143NBE33</t>
  </si>
  <si>
    <t>צילה</t>
  </si>
  <si>
    <t>Metals &amp; Mining</t>
  </si>
  <si>
    <t>Baa2</t>
  </si>
  <si>
    <t>Goldman Sachs group</t>
  </si>
  <si>
    <t>784F5XWPLTWKTBV3E584</t>
  </si>
  <si>
    <t>G.S 6.125 15/02/2033</t>
  </si>
  <si>
    <t>US38141GCU67</t>
  </si>
  <si>
    <t>15/02/2033</t>
  </si>
  <si>
    <t>HSBC</t>
  </si>
  <si>
    <t>MLU0ZO3ML4LN2LL2TL39</t>
  </si>
  <si>
    <t>HSBC 2.804  24/05/2032</t>
  </si>
  <si>
    <t>US404280CT42</t>
  </si>
  <si>
    <t>24/05/2032</t>
  </si>
  <si>
    <t>HSBC HOLDINGS PLC</t>
  </si>
  <si>
    <t>HSBC 6.332  09/03/2044</t>
  </si>
  <si>
    <t>US404280DW61</t>
  </si>
  <si>
    <t>בריטניה</t>
  </si>
  <si>
    <t>9/03/2044</t>
  </si>
  <si>
    <t>IBM CORP</t>
  </si>
  <si>
    <t>VGRQXHF3J8VDLUA7XE92</t>
  </si>
  <si>
    <t>IBM 3.5  15/05/2029</t>
  </si>
  <si>
    <t>US459200KA85</t>
  </si>
  <si>
    <t>Information Technology</t>
  </si>
  <si>
    <t>15/05/2029</t>
  </si>
  <si>
    <t>ISRAEL DISCOUNT BANK</t>
  </si>
  <si>
    <t>549300XWZ7BG5G23OF5</t>
  </si>
  <si>
    <t>IDBILI 5.375  26/01/2028</t>
  </si>
  <si>
    <t>IL0011920878</t>
  </si>
  <si>
    <t>26/01/2028</t>
  </si>
  <si>
    <t>SHELL INTERNATIONAL FIN</t>
  </si>
  <si>
    <t>213800ITMMKU4Z7I4F78</t>
  </si>
  <si>
    <t>RDSALN 4.375 11/05/2045</t>
  </si>
  <si>
    <t>US822582BF88</t>
  </si>
  <si>
    <t>הולנד</t>
  </si>
  <si>
    <t>11/05/2045</t>
  </si>
  <si>
    <t>SOCIETE GENERALE</t>
  </si>
  <si>
    <t>O2RNE8IBXP4R0TD8PU41</t>
  </si>
  <si>
    <t>SOCGEN 1.792 09/06/2027</t>
  </si>
  <si>
    <t>US83368TBC18</t>
  </si>
  <si>
    <t>9/06/2027</t>
  </si>
  <si>
    <t>SUMITOMO MITSUI FINANCIA</t>
  </si>
  <si>
    <t>35380028MYWPB6AUO129</t>
  </si>
  <si>
    <t>SUMIBK 3.04 16/07/2029</t>
  </si>
  <si>
    <t>US86562MBP41</t>
  </si>
  <si>
    <t>יפן</t>
  </si>
  <si>
    <t>16/07/2029</t>
  </si>
  <si>
    <t>Telegram Group INC</t>
  </si>
  <si>
    <t>254900BJBDIA1F0KKJ52</t>
  </si>
  <si>
    <t>Telegram Group, 9% 05/06/2030</t>
  </si>
  <si>
    <t>XS3081780648</t>
  </si>
  <si>
    <t>Media</t>
  </si>
  <si>
    <t>NR</t>
  </si>
  <si>
    <t>5/06/2030</t>
  </si>
  <si>
    <t>VERIZON COMMUNICATIONS</t>
  </si>
  <si>
    <t>2S72QS2UO2OESLG6Y829</t>
  </si>
  <si>
    <t>VZ 4.016 03/12/2029</t>
  </si>
  <si>
    <t>US92343VEU44</t>
  </si>
  <si>
    <t>Telecommunication Services</t>
  </si>
  <si>
    <t>3/12/2029</t>
  </si>
  <si>
    <t>ZURICH INSUR GR N</t>
  </si>
  <si>
    <t>5493002N598MXOKUEF55</t>
  </si>
  <si>
    <t>ZURNVX 3% 19/04/2051</t>
  </si>
  <si>
    <t>XS2283177561</t>
  </si>
  <si>
    <t>שוויץ</t>
  </si>
  <si>
    <t>Financials</t>
  </si>
  <si>
    <t>19/04/2051</t>
  </si>
  <si>
    <t>ZURNVX 5.625 24/06/2046</t>
  </si>
  <si>
    <t>XS1385999492</t>
  </si>
  <si>
    <t>24/06/2046</t>
  </si>
  <si>
    <t>אאורה</t>
  </si>
  <si>
    <t>IL0003730194</t>
  </si>
  <si>
    <t>מניות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</si>
  <si>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</si>
  <si>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</si>
  <si>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</si>
  <si>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</si>
  <si>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</si>
  <si>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</si>
  <si>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אלביט מערכות</t>
  </si>
  <si>
    <t>IL0010811243</t>
  </si>
  <si>
    <t>אלוני חץ</t>
  </si>
  <si>
    <t>IL0003900136</t>
  </si>
  <si>
    <t>אלקו</t>
  </si>
  <si>
    <t>IL0006940345</t>
  </si>
  <si>
    <t>אלקטרה</t>
  </si>
  <si>
    <t>IL0007390375</t>
  </si>
  <si>
    <t>אמות</t>
  </si>
  <si>
    <t>IL0010972789</t>
  </si>
  <si>
    <t>אנרג'יאן פי אל סי</t>
  </si>
  <si>
    <t>10758801</t>
  </si>
  <si>
    <t>אנרגיאן</t>
  </si>
  <si>
    <t>GB00BG12Y042</t>
  </si>
  <si>
    <t>חיפושי נפט וגז</t>
  </si>
  <si>
    <t>אנרגיקס-אנרגיות מתחדשות בעמ</t>
  </si>
  <si>
    <t>513901371</t>
  </si>
  <si>
    <t>אנרגיקס</t>
  </si>
  <si>
    <t>IL0011233553</t>
  </si>
  <si>
    <t>אנרגיה מתחדשת</t>
  </si>
  <si>
    <t>אפריקה מגורים</t>
  </si>
  <si>
    <t>IL0010979487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</si>
  <si>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</si>
  <si>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</si>
  <si>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</si>
  <si>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</si>
  <si>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</si>
  <si>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</si>
  <si>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</si>
  <si>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</si>
  <si>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</si>
  <si>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</si>
  <si>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IL0005930388</t>
  </si>
  <si>
    <t>מנועי בית שמש אחזקות (1997) בעמ</t>
  </si>
  <si>
    <t>520043480</t>
  </si>
  <si>
    <t>בית שמש</t>
  </si>
  <si>
    <t>IL0010815616</t>
  </si>
  <si>
    <t>דוראל אנרגיה</t>
  </si>
  <si>
    <t>515364891</t>
  </si>
  <si>
    <t>IL0011667685</t>
  </si>
  <si>
    <t>בנק דיסקונט לישראל בעמ</t>
  </si>
  <si>
    <t>520007030</t>
  </si>
  <si>
    <t>דיסקונט</t>
  </si>
  <si>
    <t>IL0006912120</t>
  </si>
  <si>
    <t>קבוצת דלק בעמ</t>
  </si>
  <si>
    <t>520044322</t>
  </si>
  <si>
    <t>דלק קבוצה</t>
  </si>
  <si>
    <t>IL0010841281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</si>
  <si>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</si>
  <si>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</si>
  <si>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</si>
  <si>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</si>
  <si>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</si>
  <si>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</si>
  <si>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הראל השקעות</t>
  </si>
  <si>
    <t>IL0005850180</t>
  </si>
  <si>
    <t>חילן בעמ</t>
  </si>
  <si>
    <t>520039942</t>
  </si>
  <si>
    <t>חילן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</si>
  <si>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</si>
  <si>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</si>
  <si>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</si>
  <si>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</si>
  <si>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</si>
  <si>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</si>
  <si>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</si>
  <si>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</si>
  <si>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</si>
  <si>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</si>
  <si>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</si>
  <si>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</si>
  <si>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</si>
  <si>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</si>
  <si>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</si>
  <si>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</si>
  <si>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ישרס</t>
  </si>
  <si>
    <t>IL0006130343</t>
  </si>
  <si>
    <t>כלל עסקי ביטוח</t>
  </si>
  <si>
    <t>IL0002240146</t>
  </si>
  <si>
    <t>IL0006046119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</si>
  <si>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</si>
  <si>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</si>
  <si>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</si>
  <si>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</si>
  <si>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</si>
  <si>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</si>
  <si>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</si>
  <si>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</si>
  <si>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</si>
  <si>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</si>
  <si>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</si>
  <si>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</si>
  <si>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</si>
  <si>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</si>
  <si>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מיטב השקעות</t>
  </si>
  <si>
    <t>IL0010818438</t>
  </si>
  <si>
    <t>מליסרון</t>
  </si>
  <si>
    <t>IL0003230146</t>
  </si>
  <si>
    <t>מנורה מב החז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</si>
  <si>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</si>
  <si>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</si>
  <si>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</si>
  <si>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</si>
  <si>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</si>
  <si>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</si>
  <si>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</si>
  <si>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פטרו יהש</t>
  </si>
  <si>
    <t>IL0011419699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</si>
  <si>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</si>
  <si>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</si>
  <si>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</si>
  <si>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</si>
  <si>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</si>
  <si>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</si>
  <si>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אנרג'י</t>
  </si>
  <si>
    <t>IL0011708778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</si>
  <si>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</si>
  <si>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</si>
  <si>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</si>
  <si>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</si>
  <si>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</si>
  <si>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</si>
  <si>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</si>
  <si>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</si>
  <si>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</si>
  <si>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סאמיט אחזקות נדלן בעמ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</si>
  <si>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</si>
  <si>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</si>
  <si>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</si>
  <si>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</si>
  <si>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</si>
  <si>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</si>
  <si>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</si>
  <si>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</si>
  <si>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</si>
  <si>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</si>
  <si>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</si>
  <si>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</si>
  <si>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</si>
  <si>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</si>
  <si>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</si>
  <si>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</si>
  <si>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</si>
  <si>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 מערכות</t>
  </si>
  <si>
    <t>IL0002560162</t>
  </si>
  <si>
    <t>פלרם (1990) תעשיות בעמ</t>
  </si>
  <si>
    <t>520039843</t>
  </si>
  <si>
    <t>פלרם</t>
  </si>
  <si>
    <t>IL0006440130</t>
  </si>
  <si>
    <t>פתאל החזקות</t>
  </si>
  <si>
    <t>IL0011434292</t>
  </si>
  <si>
    <t>קמטק בעמ</t>
  </si>
  <si>
    <t>511235434</t>
  </si>
  <si>
    <t>קמטק</t>
  </si>
  <si>
    <t>IL0010952641</t>
  </si>
  <si>
    <t>רבוע נדלן</t>
  </si>
  <si>
    <t>IL0010985658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</si>
  <si>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</si>
  <si>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</si>
  <si>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</si>
  <si>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</si>
  <si>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</si>
  <si>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</si>
  <si>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שטראוס</t>
  </si>
  <si>
    <t>IL0007460160</t>
  </si>
  <si>
    <t>שפיר הנדסה</t>
  </si>
  <si>
    <t>IL0011338758</t>
  </si>
  <si>
    <t>תורפז תעשיות בע"מ</t>
  </si>
  <si>
    <t>514574524</t>
  </si>
  <si>
    <t>תורפז</t>
  </si>
  <si>
    <t>IL0011756116</t>
  </si>
  <si>
    <t>AIR LIQUIDE SA</t>
  </si>
  <si>
    <t>969500MMPQVHK671GT54</t>
  </si>
  <si>
    <t>FR0000120073</t>
  </si>
  <si>
    <t>Materials</t>
  </si>
  <si>
    <t>ALCON INC</t>
  </si>
  <si>
    <t>549300LDT5AP8S0NBM78</t>
  </si>
  <si>
    <t>CH0432492467</t>
  </si>
  <si>
    <t>Health Care Equipment &amp; Services</t>
  </si>
  <si>
    <t>ASHTEAD GROUP PLC</t>
  </si>
  <si>
    <t>2138007UTBN8X9K1A235</t>
  </si>
  <si>
    <t>ASHTEAD GROUP P</t>
  </si>
  <si>
    <t>GB0000536739</t>
  </si>
  <si>
    <t>Capital Goods</t>
  </si>
  <si>
    <t>BAE SYSTEMS RG</t>
  </si>
  <si>
    <t>8SVCSVKSGDWMW2QHOH83</t>
  </si>
  <si>
    <t>GB0002634946</t>
  </si>
  <si>
    <t>Independent Power and Renewable Electricity Producers</t>
  </si>
  <si>
    <t>BANCO SANTANDER SA</t>
  </si>
  <si>
    <t>SCRYQ25DTVRHYYMM6P89</t>
  </si>
  <si>
    <t>BANCO SANTANDER RG</t>
  </si>
  <si>
    <t>ES0113900J37</t>
  </si>
  <si>
    <t>ספרד</t>
  </si>
  <si>
    <t>BAWAG GROUP</t>
  </si>
  <si>
    <t>529900S9YO2JHTIIDG38</t>
  </si>
  <si>
    <t>AT0000BAWAG2</t>
  </si>
  <si>
    <t>אוסטריה</t>
  </si>
  <si>
    <t>CARLSBERG AS _B</t>
  </si>
  <si>
    <t>5299001O0WJQYB5GYZ1</t>
  </si>
  <si>
    <t>Carlsberg AS</t>
  </si>
  <si>
    <t>DK0010181759</t>
  </si>
  <si>
    <t>דנמרק</t>
  </si>
  <si>
    <t>Food &amp; Staples Retailing</t>
  </si>
  <si>
    <t>DEUTSCHE TELEKOM N AG</t>
  </si>
  <si>
    <t>549300V9QSIG4WX4GJ96</t>
  </si>
  <si>
    <t>DE0005557508</t>
  </si>
  <si>
    <t>גרמניה</t>
  </si>
  <si>
    <t>ERSTE GROUP BANK</t>
  </si>
  <si>
    <t>PQOH26KWDF7CG10L6792</t>
  </si>
  <si>
    <t>ERSTE GROUP BAN</t>
  </si>
  <si>
    <t>AT0000652011</t>
  </si>
  <si>
    <t>GEA GROUP AG</t>
  </si>
  <si>
    <t>549300PHUU0ZZWO8EO07</t>
  </si>
  <si>
    <t>DE0006602006</t>
  </si>
  <si>
    <t>HALEON PLC</t>
  </si>
  <si>
    <t>549300PSB3WWEODCUP19</t>
  </si>
  <si>
    <t>GB00BMX86B70</t>
  </si>
  <si>
    <t>Household &amp; Personal Products</t>
  </si>
  <si>
    <t>Intesa Sanpaolo SpA</t>
  </si>
  <si>
    <t>2W8N8UU78PMDQKZENC08</t>
  </si>
  <si>
    <t>INTESA SANPAOLO N</t>
  </si>
  <si>
    <t>IT0000072618</t>
  </si>
  <si>
    <t>איטליה</t>
  </si>
  <si>
    <t>INDUSTRIA DE DISENO TEXTIL INDITEX</t>
  </si>
  <si>
    <t>549300TTCXZOGZM2EY83</t>
  </si>
  <si>
    <t>Industria de Diseno Textil SA</t>
  </si>
  <si>
    <t>ES0148396007</t>
  </si>
  <si>
    <t>Diversified Consumer Services</t>
  </si>
  <si>
    <t>LOREAL SA</t>
  </si>
  <si>
    <t>529900JI1GG6F7RKVI53</t>
  </si>
  <si>
    <t>L'OREAL</t>
  </si>
  <si>
    <t>FR0000120321</t>
  </si>
  <si>
    <t>LINDE PLC</t>
  </si>
  <si>
    <t>5299003QR1WT0EF88V51</t>
  </si>
  <si>
    <t>IE00BZ12WP82</t>
  </si>
  <si>
    <t>LVMH MOET HENNESSY LOUIS VUITTON</t>
  </si>
  <si>
    <t>IOG4E947OATN0KJYSD45</t>
  </si>
  <si>
    <t>FR0000121014</t>
  </si>
  <si>
    <t>MERCEDES-BENZ FIN NA</t>
  </si>
  <si>
    <t>529900R27DL06UVNT076</t>
  </si>
  <si>
    <t>MERCEDES-BENZ</t>
  </si>
  <si>
    <t>DE0007100000</t>
  </si>
  <si>
    <t>Automobiles &amp; Components</t>
  </si>
  <si>
    <t>MTU Aero Engines</t>
  </si>
  <si>
    <t>529900807L67JY81RD65</t>
  </si>
  <si>
    <t>MTU AERO ENGINES AG</t>
  </si>
  <si>
    <t>DE000A0D9PT0</t>
  </si>
  <si>
    <t>Industrials</t>
  </si>
  <si>
    <t>NOVO NORDISK CLASS B B</t>
  </si>
  <si>
    <t>549300DAQ1CVT6CXN342</t>
  </si>
  <si>
    <t>NOVOB DC</t>
  </si>
  <si>
    <t>DK0062498333</t>
  </si>
  <si>
    <t>Pharmaceuticals &amp; Biotechnology</t>
  </si>
  <si>
    <t>OTP BANK PLC</t>
  </si>
  <si>
    <t>529900W3MOO00A18X956</t>
  </si>
  <si>
    <t>HU0000061726</t>
  </si>
  <si>
    <t>הונגריה</t>
  </si>
  <si>
    <t>RELX RG</t>
  </si>
  <si>
    <t>549300WSX3VBUFFJOO66</t>
  </si>
  <si>
    <t>REED ELSEVIER P</t>
  </si>
  <si>
    <t>GB00B2B0DG97</t>
  </si>
  <si>
    <t>Commercial &amp; Professional Services</t>
  </si>
  <si>
    <t>SANDOZ GROUP AG</t>
  </si>
  <si>
    <t>5493000JWK6XWFEUD320</t>
  </si>
  <si>
    <t>CH0024608827</t>
  </si>
  <si>
    <t>FR0000130809</t>
  </si>
  <si>
    <t>SWISS REINSURANCE CO LTD</t>
  </si>
  <si>
    <t>529900PS9YW3YY29F326</t>
  </si>
  <si>
    <t>SWISS RE LTD</t>
  </si>
  <si>
    <t>CH0126881561</t>
  </si>
  <si>
    <t>Schneider Electric SE</t>
  </si>
  <si>
    <t>969500A1YF1XUYYXS284</t>
  </si>
  <si>
    <t>FR0000121972</t>
  </si>
  <si>
    <t>TELEPERFORMANCE</t>
  </si>
  <si>
    <t>9695004GI61FHFFNRG61</t>
  </si>
  <si>
    <t>FR0000051807</t>
  </si>
  <si>
    <t>UNICREDIT SPA</t>
  </si>
  <si>
    <t>549300TRUWO2CD2G569</t>
  </si>
  <si>
    <t>UNICREDITO ORD</t>
  </si>
  <si>
    <t>IT0005239360</t>
  </si>
  <si>
    <t>XIAOMI CORP-CLASS B</t>
  </si>
  <si>
    <t>2549001ACVFAZRNMKL32</t>
  </si>
  <si>
    <t>XIAOMI CORP CLA</t>
  </si>
  <si>
    <t>KYG9830T1067</t>
  </si>
  <si>
    <t>סין</t>
  </si>
  <si>
    <t>Technology Hardware, Storage &amp; Peripherals</t>
  </si>
  <si>
    <t>AON PLC</t>
  </si>
  <si>
    <t>635400FALWQYX5E6QC64</t>
  </si>
  <si>
    <t>IE00BLP1HW54</t>
  </si>
  <si>
    <t>אירלנד</t>
  </si>
  <si>
    <t>NYSE</t>
  </si>
  <si>
    <t>Berkshire Hathaway Inc</t>
  </si>
  <si>
    <t>5493000C01ZX7D35SD85</t>
  </si>
  <si>
    <t>BERKSHIRE HATHAWAY INC</t>
  </si>
  <si>
    <t>US0846701086</t>
  </si>
  <si>
    <t>Financial Services</t>
  </si>
  <si>
    <t>US0846707026</t>
  </si>
  <si>
    <t>BLOOM ENERGY-A RG</t>
  </si>
  <si>
    <t>549300XB5J9BFW5JXV97</t>
  </si>
  <si>
    <t>US0937121079</t>
  </si>
  <si>
    <t>Energy Equipment &amp; Services</t>
  </si>
  <si>
    <t>Caterpillar Inc</t>
  </si>
  <si>
    <t>WRJR7GS4GTRECRRTVX92</t>
  </si>
  <si>
    <t>CATERPILLAR INC</t>
  </si>
  <si>
    <t>US1491231015</t>
  </si>
  <si>
    <t>Chevron Corp</t>
  </si>
  <si>
    <t>7781</t>
  </si>
  <si>
    <t>CHEVRON CO</t>
  </si>
  <si>
    <t>US1667641005</t>
  </si>
  <si>
    <t>Energy</t>
  </si>
  <si>
    <t>DELL TECHNOLOGIES INC CLASS C C</t>
  </si>
  <si>
    <t>549300TJB5YBRUPOG437</t>
  </si>
  <si>
    <t>Dell Technologies Inc</t>
  </si>
  <si>
    <t>US24703L2025</t>
  </si>
  <si>
    <t>Technology Hardware &amp; Equipment</t>
  </si>
  <si>
    <t>ELI LILLY</t>
  </si>
  <si>
    <t>FRDRIPF3EKNDJ2CQJL29</t>
  </si>
  <si>
    <t>ELI LILLY &amp; CO</t>
  </si>
  <si>
    <t>US5324571083</t>
  </si>
  <si>
    <t>EXXON MOBIL RG</t>
  </si>
  <si>
    <t>J3WHBG0MTS7O8ZVMDC91</t>
  </si>
  <si>
    <t>EXXON MOBIL CORP</t>
  </si>
  <si>
    <t>US30231G1022</t>
  </si>
  <si>
    <t>FISERV INC</t>
  </si>
  <si>
    <t>General Electric Co</t>
  </si>
  <si>
    <t>3C7474T6CDKPR9K6YT9</t>
  </si>
  <si>
    <t>GENERAL ELECTRIC</t>
  </si>
  <si>
    <t>US3696043013</t>
  </si>
  <si>
    <t>GOLDMAN SACHS</t>
  </si>
  <si>
    <t>US38141G1040</t>
  </si>
  <si>
    <t>HOME DEPOT INC</t>
  </si>
  <si>
    <t>QEKMOTMBBKA8I816DO57</t>
  </si>
  <si>
    <t>US4370761029</t>
  </si>
  <si>
    <t>Consumer Discretionary</t>
  </si>
  <si>
    <t>JOHNSON&amp;JOHNSON</t>
  </si>
  <si>
    <t>549300G0CFPGEF6X2043</t>
  </si>
  <si>
    <t>JONSON &amp; JONSON</t>
  </si>
  <si>
    <t>US4781601046</t>
  </si>
  <si>
    <t>JPMorgan Chase &amp; Co</t>
  </si>
  <si>
    <t>8I5DZWZKVSZI1NUHU748</t>
  </si>
  <si>
    <t>JP MORGAN CHASE &amp;CO</t>
  </si>
  <si>
    <t>US46625H1005</t>
  </si>
  <si>
    <t>JOHNSON CONTROLS INTERNATIONAL PLC</t>
  </si>
  <si>
    <t>549300XQ6S1GYKGBL205</t>
  </si>
  <si>
    <t>Johnson Controls International</t>
  </si>
  <si>
    <t>IE00BY7QL619</t>
  </si>
  <si>
    <t>MASTERCARD INC</t>
  </si>
  <si>
    <t>AR5L2ODV9HN37376R084</t>
  </si>
  <si>
    <t>US57636Q1040</t>
  </si>
  <si>
    <t>MORGAN STANLEY</t>
  </si>
  <si>
    <t>IGJSJL3JD5P30I6NJZ34</t>
  </si>
  <si>
    <t>US6174464486</t>
  </si>
  <si>
    <t>NEXTERA ENERGY</t>
  </si>
  <si>
    <t>254900RHL9MEUS5NKX63</t>
  </si>
  <si>
    <t>NEXTERA ENERGY INC</t>
  </si>
  <si>
    <t>US65339F1012</t>
  </si>
  <si>
    <t>Utilities</t>
  </si>
  <si>
    <t>Novo-Nordisk AS</t>
  </si>
  <si>
    <t>NOVO NOR</t>
  </si>
  <si>
    <t>US6701002056</t>
  </si>
  <si>
    <t>ORACLE CORPORATION</t>
  </si>
  <si>
    <t>1Z4GXXU7ZHVWFCD8TV52</t>
  </si>
  <si>
    <t>ORACLE CORP</t>
  </si>
  <si>
    <t>US68389X1054</t>
  </si>
  <si>
    <t>Consumer Services</t>
  </si>
  <si>
    <t>PROCTOR &amp; GAMB</t>
  </si>
  <si>
    <t>2572IBTT8CCZW6AU414</t>
  </si>
  <si>
    <t>US7427181091</t>
  </si>
  <si>
    <t>QUANTA SERVICES INC</t>
  </si>
  <si>
    <t>SHVRXXEACT60MMH07S24</t>
  </si>
  <si>
    <t>Quanta Services Inc</t>
  </si>
  <si>
    <t>US74762E1029</t>
  </si>
  <si>
    <t>S&amp;P GLOBAL INC</t>
  </si>
  <si>
    <t>Y6X4K52KMJMZE7I7MY94</t>
  </si>
  <si>
    <t>S&amp;P Global Inc</t>
  </si>
  <si>
    <t>US78409V1044</t>
  </si>
  <si>
    <t>Diversified Financials</t>
  </si>
  <si>
    <t>SALESFORCE COM</t>
  </si>
  <si>
    <t>RCGZFPDMRW58VJ54VR07</t>
  </si>
  <si>
    <t>SALESFORCE.COM</t>
  </si>
  <si>
    <t>US79466L3024</t>
  </si>
  <si>
    <t>Software &amp; Services</t>
  </si>
  <si>
    <t>SPOTIFY TECHNOLOGY SA</t>
  </si>
  <si>
    <t>549300B4X0JHWV0DTD60</t>
  </si>
  <si>
    <t>LU1778762911</t>
  </si>
  <si>
    <t>לוכסמבורג</t>
  </si>
  <si>
    <t>TAIWAN SEMICONDUCTOR-SP</t>
  </si>
  <si>
    <t>549300KB6NK5SBD14S87</t>
  </si>
  <si>
    <t>US8740391003</t>
  </si>
  <si>
    <t>Semiconductors &amp; Semiconductor Equipment</t>
  </si>
  <si>
    <t>THERMO FISHER SC RG</t>
  </si>
  <si>
    <t>HCHV7422L5HDJZCRFL38</t>
  </si>
  <si>
    <t>Thermo Fisher Scientific Inc</t>
  </si>
  <si>
    <t>US8835561023</t>
  </si>
  <si>
    <t>UNITED RENTALS INC</t>
  </si>
  <si>
    <t>5323X5O7RN0NKFCDRY08</t>
  </si>
  <si>
    <t>UNITED RENTALS</t>
  </si>
  <si>
    <t>US9113631090</t>
  </si>
  <si>
    <t>UNITEDHEAL GROUP</t>
  </si>
  <si>
    <t>549300GHBMY8T5GXDE41</t>
  </si>
  <si>
    <t>UNITEDHEAL TH</t>
  </si>
  <si>
    <t>US91324P1021</t>
  </si>
  <si>
    <t>Health Care</t>
  </si>
  <si>
    <t>VISA INC CLASS</t>
  </si>
  <si>
    <t>549300JZ4OKEHW3DPJ59</t>
  </si>
  <si>
    <t>VISA INC</t>
  </si>
  <si>
    <t>US92826C8394</t>
  </si>
  <si>
    <t>VEEVA SYSTEMS INC CLASS A A</t>
  </si>
  <si>
    <t>549300YZEXPDB92M2F02</t>
  </si>
  <si>
    <t>Veeva Systems Inc</t>
  </si>
  <si>
    <t>US9224751084</t>
  </si>
  <si>
    <t>VERTIV HOLDINGS CLASS A</t>
  </si>
  <si>
    <t>549300KTTIRAOGXCRV69</t>
  </si>
  <si>
    <t>Vertiv Holdings Co</t>
  </si>
  <si>
    <t>US92537N1081</t>
  </si>
  <si>
    <t>ADOBE INC</t>
  </si>
  <si>
    <t>FU4LY2G4933NH2E1CP29</t>
  </si>
  <si>
    <t>ADOBE SYSTEMS I</t>
  </si>
  <si>
    <t>US00724F1012</t>
  </si>
  <si>
    <t>NASDAQ</t>
  </si>
  <si>
    <t>Alphabet Inc</t>
  </si>
  <si>
    <t>5493006MHB84DD0ZWV18</t>
  </si>
  <si>
    <t>ALPHABET INC CL A</t>
  </si>
  <si>
    <t>US02079K3059</t>
  </si>
  <si>
    <t>Media &amp; Entertainment</t>
  </si>
  <si>
    <t>US02079K1079</t>
  </si>
  <si>
    <t>AMAZONCOM INC</t>
  </si>
  <si>
    <t>ZXTILKJKG63JELOEG630</t>
  </si>
  <si>
    <t>AMAZON.COM INC</t>
  </si>
  <si>
    <t>US0231351067</t>
  </si>
  <si>
    <t>Apple Inc</t>
  </si>
  <si>
    <t>HWUPKR0MPOU8FGXBT394</t>
  </si>
  <si>
    <t>APPLE INC</t>
  </si>
  <si>
    <t>US0378331005</t>
  </si>
  <si>
    <t>ARM HLDG UNSP ADR</t>
  </si>
  <si>
    <t>2138001E66EELTE7Y904</t>
  </si>
  <si>
    <t>US0420682058</t>
  </si>
  <si>
    <t>BROADCOM  INC</t>
  </si>
  <si>
    <t>549300WV6GIDOZJTV909</t>
  </si>
  <si>
    <t>BROADCOM INC</t>
  </si>
  <si>
    <t>US11135F1012</t>
  </si>
  <si>
    <t>CADENCE DESIGN SYSTEMS INC</t>
  </si>
  <si>
    <t>GCT7RXJOGLXPV0NXZY22</t>
  </si>
  <si>
    <t>CADENCE DESIGN</t>
  </si>
  <si>
    <t>US1273871087</t>
  </si>
  <si>
    <t>Constellation Energy Corp</t>
  </si>
  <si>
    <t>549300F8Y20RYGNGV346</t>
  </si>
  <si>
    <t>Constellation  Energy</t>
  </si>
  <si>
    <t>US21037T1097</t>
  </si>
  <si>
    <t>COSTCO  WHOLESALE</t>
  </si>
  <si>
    <t>29DX7H14B9S6O3FD6V1</t>
  </si>
  <si>
    <t>Costco Wholesale Corporation</t>
  </si>
  <si>
    <t>US22160K1051</t>
  </si>
  <si>
    <t>Consumer Staples</t>
  </si>
  <si>
    <t>INTUITIVE SURGICAL INC</t>
  </si>
  <si>
    <t>54930052SRG011710797</t>
  </si>
  <si>
    <t>INTUITIVE SURGI</t>
  </si>
  <si>
    <t>US46120E6023</t>
  </si>
  <si>
    <t>INTERACTIVE BROKERS GROUP INC</t>
  </si>
  <si>
    <t>5493004DT6DCDUZNDM53</t>
  </si>
  <si>
    <t>Interactive Brokers Group Inc</t>
  </si>
  <si>
    <t>US45841N1072</t>
  </si>
  <si>
    <t>MARRIOTT INTER</t>
  </si>
  <si>
    <t>225YDZ14ZO8E1TXUSU86</t>
  </si>
  <si>
    <t>US5719032022</t>
  </si>
  <si>
    <t>Meta Platforms Inc</t>
  </si>
  <si>
    <t>BQ4BKCS1HXDV9HN80Z93</t>
  </si>
  <si>
    <t>META PLATFORMS INC</t>
  </si>
  <si>
    <t>US30303M1027</t>
  </si>
  <si>
    <t>MICROSOFT</t>
  </si>
  <si>
    <t>INR2EJN1ERAN0W5ZP974</t>
  </si>
  <si>
    <t>MICROSOFT CORP</t>
  </si>
  <si>
    <t>US5949181045</t>
  </si>
  <si>
    <t>NASDAQ INC</t>
  </si>
  <si>
    <t>549300L8X1Q78ERXFD06</t>
  </si>
  <si>
    <t>NASDAQ OMX GROU</t>
  </si>
  <si>
    <t>US6311031081</t>
  </si>
  <si>
    <t>NETFLIX INC</t>
  </si>
  <si>
    <t>549300Y7VHGU0I7CE873</t>
  </si>
  <si>
    <t>US64110L1061</t>
  </si>
  <si>
    <t>NVIDIA CORP</t>
  </si>
  <si>
    <t>549300S4KLFTLO7GSQ80</t>
  </si>
  <si>
    <t>US67066G1040</t>
  </si>
  <si>
    <t>ROPER TECHNOLOG</t>
  </si>
  <si>
    <t>54930003T4SXCIWVXY35</t>
  </si>
  <si>
    <t>US7766961061</t>
  </si>
  <si>
    <t>TESLA Inc</t>
  </si>
  <si>
    <t>54930043XZGB27CTOV49</t>
  </si>
  <si>
    <t>TESLA MOTORS IN</t>
  </si>
  <si>
    <t>US88160R1014</t>
  </si>
  <si>
    <t>סיווג הקרן</t>
  </si>
  <si>
    <t>אינבסקו אינבסטמנט מנגמנט לימיטד</t>
  </si>
  <si>
    <t>460417</t>
  </si>
  <si>
    <t>Invesco S&amp;P500 UCITS</t>
  </si>
  <si>
    <t>IE00B3YCGJ38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</si>
  <si>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</si>
  <si>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</si>
  <si>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</si>
  <si>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511303661</t>
  </si>
  <si>
    <t>mtf סל (A4) dax מנוט</t>
  </si>
  <si>
    <t>IL0011504169</t>
  </si>
  <si>
    <t>DAX 30 - מניות בחו"ל - מניות גיאוגרפי - חשופת מט"ח-אירופה גרמניה</t>
  </si>
  <si>
    <t>אי.בי.אי קרנות נאמנות בע"מ</t>
  </si>
  <si>
    <t>510791031</t>
  </si>
  <si>
    <t>אי בי אי סל אינדקס בנקים ישראל</t>
  </si>
  <si>
    <t>IL0011487746</t>
  </si>
  <si>
    <t>עוקב אחר מדדי מניות בישראל</t>
  </si>
  <si>
    <t>מניות בארץ - מניות לפי ענפים-ת"א בנקים</t>
  </si>
  <si>
    <t>אי בי אי סל תל בונד 60</t>
  </si>
  <si>
    <t>IL0011480063</t>
  </si>
  <si>
    <t>עוקב אחר מדדים אחרים בישראל</t>
  </si>
  <si>
    <t>מניות בחו"ל - מניות לפי ענפים בחו"ל - חשופת מט"ח-ענפים אחרים</t>
  </si>
  <si>
    <t>אי.בי.אי סל(4A) SP 5</t>
  </si>
  <si>
    <t>IL0012004359</t>
  </si>
  <si>
    <t>S&amp;P 500 - מניות בחו"ל - מניות גיאוגרפי - מנוטרלת מט"ח-ארה"ב</t>
  </si>
  <si>
    <t>איביאי סל (A4) ndx מ</t>
  </si>
  <si>
    <t>IL0012004433</t>
  </si>
  <si>
    <t>NASDAQ 100 - מניות בחו"ל - מניות גיאוגרפי - מנוטרלת מט"ח-ארה"ב</t>
  </si>
  <si>
    <t>הראל קרנות נאמנות בעמ</t>
  </si>
  <si>
    <t>511776783</t>
  </si>
  <si>
    <t>הראל סל DAX מנוטרלת מט"ח</t>
  </si>
  <si>
    <t>IL0011491607</t>
  </si>
  <si>
    <t>DAX 30 - מניות בחו"ל - מניות גיאוגרפי - מנוטרלת מט"ח-אירופה גרמניה</t>
  </si>
  <si>
    <t>כן</t>
  </si>
  <si>
    <t>הראל סל DJ US Selec Medical Equipment מ</t>
  </si>
  <si>
    <t>IL0011676181</t>
  </si>
  <si>
    <t>Health Care מניות בחו"ל - מניות לפי ענפים בחו"ל - מנוטרלת מט"ח-ארה"ב- מניות</t>
  </si>
  <si>
    <t>הראל סל MSCI AC World</t>
  </si>
  <si>
    <t>IL0011493355</t>
  </si>
  <si>
    <t>MSCI AC WORLD INDEX - מניות בחו"ל - מניות כללי בחו"ל - חשופת מט"ח-מניות כללי בחו"ל</t>
  </si>
  <si>
    <t>הראל סל MSCI Emerging Markets</t>
  </si>
  <si>
    <t>IL0011493017</t>
  </si>
  <si>
    <t>MSCI EMERGING MARKETS - מניות בחו"ל - מניות גיאוגרפי - חשופת מט"ח-שווקים מתעוררים כללי</t>
  </si>
  <si>
    <t>הראל סל NIKKEI 225 מנוטרלת מט"ח</t>
  </si>
  <si>
    <t>IL0011492514</t>
  </si>
  <si>
    <t>NIKKEI 225 - מניות בחו"ל - מניות גיאוגרפי - מנוטרלת מט"ח-אסיה יפן</t>
  </si>
  <si>
    <t>הראל סל S&amp;P Energy</t>
  </si>
  <si>
    <t>IL0011500365</t>
  </si>
  <si>
    <t>הראל סל S&amp;P Financial מנוטרלת מט"ח</t>
  </si>
  <si>
    <t>IL0011498974</t>
  </si>
  <si>
    <t>מניות בחו"ל - מניות לפי ענפים בחו"ל - מנוטרלת מט"ח-ענפים אחרים</t>
  </si>
  <si>
    <t>הראל סל ת"א 90</t>
  </si>
  <si>
    <t>IL0011489312</t>
  </si>
  <si>
    <t>90 מניות בארץ - מניות כללי-ת"א</t>
  </si>
  <si>
    <t>הראל סל ת"א נדל"ן</t>
  </si>
  <si>
    <t>IL0011489643</t>
  </si>
  <si>
    <t>מניות בארץ - מניות לפי ענפים-ת"א נדל"ן</t>
  </si>
  <si>
    <t>הראל סל תל בונד 20</t>
  </si>
  <si>
    <t>IL0011504409</t>
  </si>
  <si>
    <t>20 אג"ח בארץ - חברות והמרה-תל בונד צמוד מדד-תל בונד</t>
  </si>
  <si>
    <t>הראל סל תל בונד 40</t>
  </si>
  <si>
    <t>IL0011504995</t>
  </si>
  <si>
    <t>40 אג"ח בארץ - חברות והמרה-תל בונד צמוד מדד-תל בונד</t>
  </si>
  <si>
    <t>הראל סל תל בונד 60</t>
  </si>
  <si>
    <t>IL0011504730</t>
  </si>
  <si>
    <t>60 אג"ח בארץ - חברות והמרה-תל בונד צמוד מדד-תל בונד</t>
  </si>
  <si>
    <t>הראל סל תל בונד שקלי</t>
  </si>
  <si>
    <t>IL0011505232</t>
  </si>
  <si>
    <t>אג"ח בארץ - חברות והמרה-תל בונד שקלי-תל בונד- שקלי</t>
  </si>
  <si>
    <t>מגדל סל 100 Nasdaq</t>
  </si>
  <si>
    <t>IL0011813875</t>
  </si>
  <si>
    <t>NASDAQ 100 - מניות בחו"ל - מניות גיאוגרפי - חשופת מט"ח-ארה"ב</t>
  </si>
  <si>
    <t>מגדל סל Bluestar Top 10 US Banks</t>
  </si>
  <si>
    <t>IL0011697963</t>
  </si>
  <si>
    <t>מגדל סל Bluestar Travel &amp; Vacation</t>
  </si>
  <si>
    <t>IL0011675845</t>
  </si>
  <si>
    <t>מגדל סל DAX</t>
  </si>
  <si>
    <t>IL0011508616</t>
  </si>
  <si>
    <t>מגדל סל Indxx US Healthcare Top 10</t>
  </si>
  <si>
    <t>IL0012003518</t>
  </si>
  <si>
    <t>Health Care מניות בחו"ל - מניות לפי ענפים בחו"ל - חשופת מט"ח-ארה"ב- מניות</t>
  </si>
  <si>
    <t>מגדל סל MSCI AC</t>
  </si>
  <si>
    <t>IL0012010034</t>
  </si>
  <si>
    <t>מגדל סל MSCI AC World מנוטרלת דולר</t>
  </si>
  <si>
    <t>IL0011760316</t>
  </si>
  <si>
    <t>מניות בחו"ל - מניות כללי בחו"ל - מנוטרלת מט"ח-מניות כללי בחו"ל</t>
  </si>
  <si>
    <t>מגדל סל MSCI Emerging Markets</t>
  </si>
  <si>
    <t>IL0011502759</t>
  </si>
  <si>
    <t>מגדל סל NIKKEI 225 מנוטרלת מט"ח</t>
  </si>
  <si>
    <t>IL0011505315</t>
  </si>
  <si>
    <t>מגדל סל RUSSELL 2000</t>
  </si>
  <si>
    <t>IL0011502429</t>
  </si>
  <si>
    <t>RUSSELL 2000 - מניות בחו"ל - מניות גיאוגרפי - חשופת מט"ח-ארה"ב</t>
  </si>
  <si>
    <t>מגדל סל S&amp;P 500</t>
  </si>
  <si>
    <t>IL0011503336</t>
  </si>
  <si>
    <t>מגדל סל S&amp;P Consumer Discretionary</t>
  </si>
  <si>
    <t>IL0011503583</t>
  </si>
  <si>
    <t>מגדל סל S&amp;P Consumer Staples</t>
  </si>
  <si>
    <t>IL0011503666</t>
  </si>
  <si>
    <t>מגדל סל S&amp;P Financial</t>
  </si>
  <si>
    <t>IL0011503823</t>
  </si>
  <si>
    <t>Financial מניות בחו"ל - מניות לפי ענפים בחו"ל - חשופת מט"ח-ארה"ב- מניות</t>
  </si>
  <si>
    <t>מגדל סל S&amp;P Health Care</t>
  </si>
  <si>
    <t>IL0011503906</t>
  </si>
  <si>
    <t>מגדל סל S&amp;P Industrial</t>
  </si>
  <si>
    <t>IL0011504086</t>
  </si>
  <si>
    <t>מגדל סל S&amp;P Industrial מנוטרלת מט"ח</t>
  </si>
  <si>
    <t>IL0011504573</t>
  </si>
  <si>
    <t>מגדל סל STOXX Europe 600</t>
  </si>
  <si>
    <t>IL0011502262</t>
  </si>
  <si>
    <t>STOXX EUROPE 600 -מניות בחו"ל - מניות גיאוגרפי - חשופת מט"ח-אירופה כללי</t>
  </si>
  <si>
    <t>מגדל סל iBoxx US Liquid Investment Grade</t>
  </si>
  <si>
    <t>IL0011918815</t>
  </si>
  <si>
    <t>עוקב אחר מדדים אחרים בחו"ל</t>
  </si>
  <si>
    <t>IBOXX USD LIQUID INVESTMENT GRADE TOP 30 INDEX - אג"ח בחו"ל - אג"ח חשופת דולר</t>
  </si>
  <si>
    <t>מגדל סל אינדקס Shopping Centers REIT</t>
  </si>
  <si>
    <t>IL0011713216</t>
  </si>
  <si>
    <t>מגדל סל אינדקס Top10 Tech</t>
  </si>
  <si>
    <t>IL0012001959</t>
  </si>
  <si>
    <t>Technology מניות בחו"ל - מניות לפי ענפים בחו"ל - חשופת מט"ח-ארה"ב- מניות</t>
  </si>
  <si>
    <t>מגדל סל ת"א 35</t>
  </si>
  <si>
    <t>IL0011501843</t>
  </si>
  <si>
    <t>35 מניות בארץ - מניות כללי-ת"א</t>
  </si>
  <si>
    <t>מגדל סל ת"א 90</t>
  </si>
  <si>
    <t>IL0011502593</t>
  </si>
  <si>
    <t>מגדל סל ת"א טק-עילית</t>
  </si>
  <si>
    <t>IL0011502676</t>
  </si>
  <si>
    <t>מניות בארץ - מניות לפי ענפים-מדד אחר</t>
  </si>
  <si>
    <t>מגדל סל ת"א-טכנולוגיה</t>
  </si>
  <si>
    <t>IL0011694085</t>
  </si>
  <si>
    <t>מגדל סל תל בונד 20</t>
  </si>
  <si>
    <t>IL0011499881</t>
  </si>
  <si>
    <t>מגדל סל תל בונד 60</t>
  </si>
  <si>
    <t>IL0011499964</t>
  </si>
  <si>
    <t>מגדל סל תל בונד שקלי</t>
  </si>
  <si>
    <t>IL0011500027</t>
  </si>
  <si>
    <t>מגדל סל תל בונד-צמודות 5-15</t>
  </si>
  <si>
    <t>IL0011931354</t>
  </si>
  <si>
    <t>אג"ח בארץ - חברות והמרה-תל בונד צמוד מדד-תל בונד צמודות</t>
  </si>
  <si>
    <t>מור ניהול קרנות נאמנות (2013) בע"מ</t>
  </si>
  <si>
    <t>514884485</t>
  </si>
  <si>
    <t>מור סל NASDAQ 100</t>
  </si>
  <si>
    <t>IL0011658361</t>
  </si>
  <si>
    <t>מור סל NASDAQ 100 מנוטרלת מט"ח</t>
  </si>
  <si>
    <t>IL0011658445</t>
  </si>
  <si>
    <t>מור סל S&amp;P 500</t>
  </si>
  <si>
    <t>IL0011658106</t>
  </si>
  <si>
    <t>מור סל S&amp;P 500 מנוטרלת מט"ח</t>
  </si>
  <si>
    <t>IL0011658288</t>
  </si>
  <si>
    <t>מור סל ת"א-35</t>
  </si>
  <si>
    <t>IL0011943805</t>
  </si>
  <si>
    <t>קסם קרנות נאמנות</t>
  </si>
  <si>
    <t>510938608</t>
  </si>
  <si>
    <t>קסם סל NIKKEI 225  מנוטרלת מט"ח</t>
  </si>
  <si>
    <t>IL0011459455</t>
  </si>
  <si>
    <t>מיטב קרנות נאמנות בעמ</t>
  </si>
  <si>
    <t>513534974</t>
  </si>
  <si>
    <t>תכלית סל CME CF Bitcoin Reference Rate</t>
  </si>
  <si>
    <t>IL0012178351</t>
  </si>
  <si>
    <t>Currency Funds</t>
  </si>
  <si>
    <t>תכלית סל Indxx US Industrial Real Estate</t>
  </si>
  <si>
    <t>IL0011601593</t>
  </si>
  <si>
    <t>Real Estate Funds</t>
  </si>
  <si>
    <t>תכלית סל MSCI AC World</t>
  </si>
  <si>
    <t>IL0011442378</t>
  </si>
  <si>
    <t>תכלית סל MSCI Emerging Markets</t>
  </si>
  <si>
    <t>IL0011444507</t>
  </si>
  <si>
    <t>תכלית סל S&amp;P Financial מנוטרלת מט"ח</t>
  </si>
  <si>
    <t>IL0011448490</t>
  </si>
  <si>
    <t>תכלית סל S&amp;P Health Care</t>
  </si>
  <si>
    <t>IL0011439994</t>
  </si>
  <si>
    <t>תכלית סל STOXX Europe 600 מנוטרלת אירו</t>
  </si>
  <si>
    <t>IL0011438335</t>
  </si>
  <si>
    <t>STOXX EUROPE 600 - מניות בחו"ל - מניות גיאוגרפי - מנוטרלת מט"ח-אירופה כללי</t>
  </si>
  <si>
    <t>תכלית סל ת"א 35</t>
  </si>
  <si>
    <t>IL0011437006</t>
  </si>
  <si>
    <t>תכלית סל ת"א 90</t>
  </si>
  <si>
    <t>IL0011437832</t>
  </si>
  <si>
    <t>תכלית סל ת"א נפט וגז</t>
  </si>
  <si>
    <t>IL0011448078</t>
  </si>
  <si>
    <t>מניות בארץ - מניות לפי ענפים-ת"א נפט וגז</t>
  </si>
  <si>
    <t>תכלית סל תל בונד 20</t>
  </si>
  <si>
    <t>IL0011437915</t>
  </si>
  <si>
    <t>תכלית סל תל בונד 60</t>
  </si>
  <si>
    <t>IL0011451015</t>
  </si>
  <si>
    <t>תכלית סל תל בונד שקלי</t>
  </si>
  <si>
    <t>IL0011451841</t>
  </si>
  <si>
    <t>GLOBAL X US INFRASTRUCTUR</t>
  </si>
  <si>
    <t>549300P5QELW9NWLDY61</t>
  </si>
  <si>
    <t>US37954Y6730</t>
  </si>
  <si>
    <t>HSBC MSCI CHINA USD</t>
  </si>
  <si>
    <t>IE00B44T3H88</t>
  </si>
  <si>
    <t>iShares MSCI ACWI ETF</t>
  </si>
  <si>
    <t>549300KZ2WFTI4GQ7M77</t>
  </si>
  <si>
    <t>ISHARES MSCI ACWI</t>
  </si>
  <si>
    <t>IE00B6R52259</t>
  </si>
  <si>
    <t>ISHARES MSCI POLAND ETF</t>
  </si>
  <si>
    <t>549300AWENQCY4VS9S36</t>
  </si>
  <si>
    <t>US46429B6065</t>
  </si>
  <si>
    <t>פולין</t>
  </si>
  <si>
    <t>ISHARES MSCI SPAIN ETF</t>
  </si>
  <si>
    <t>549300KJYAHQCJB4CU67</t>
  </si>
  <si>
    <t>US4642867646</t>
  </si>
  <si>
    <t>iShares usd corp bonds ucits</t>
  </si>
  <si>
    <t>549300QQR5SNTQVNFC45</t>
  </si>
  <si>
    <t>ISHARES USD CORP BOND UCITS ETF</t>
  </si>
  <si>
    <t>IE0032895942</t>
  </si>
  <si>
    <t>אג"ח בחו"ל - אג"ח חשופת דולר</t>
  </si>
  <si>
    <t>UBS ETF</t>
  </si>
  <si>
    <t>549300OGO758UJI7H842</t>
  </si>
  <si>
    <t>UBS FTF B.US LIQ CORP</t>
  </si>
  <si>
    <t>LU1048314949</t>
  </si>
  <si>
    <t>Bond/Fixed Income Funds</t>
  </si>
  <si>
    <t>Xtrackers SICAV - DAX UCITS ETF</t>
  </si>
  <si>
    <t>5493003ZDIEI2DLBMZ44</t>
  </si>
  <si>
    <t>LU0274211480</t>
  </si>
  <si>
    <t>Equity Funds</t>
  </si>
  <si>
    <t>First Trust Nasdaq Clean Edge</t>
  </si>
  <si>
    <t>5493006DCP7IS1162940</t>
  </si>
  <si>
    <t>‏FT NSDQ CLN EDG SMRT GRID</t>
  </si>
  <si>
    <t>IE0000J80JT1</t>
  </si>
  <si>
    <t>LSE</t>
  </si>
  <si>
    <t>COMM SERV SELEC SECTOR SPDR</t>
  </si>
  <si>
    <t>549300RPODKQJE2HDW2</t>
  </si>
  <si>
    <t>Communication Services  Sector SPDR XLC</t>
  </si>
  <si>
    <t>US81369Y8527</t>
  </si>
  <si>
    <t>GLOBAL X DEFENS TECH  ETF</t>
  </si>
  <si>
    <t>5493000IAPVTNCMGSU03</t>
  </si>
  <si>
    <t>US37960A5294</t>
  </si>
  <si>
    <t>GLOBAL X URANIU ETF</t>
  </si>
  <si>
    <t>549300FJZ5SE0HHSHI40</t>
  </si>
  <si>
    <t>US37954Y8710</t>
  </si>
  <si>
    <t>ISHARES CORE S&amp;P 500 ETF</t>
  </si>
  <si>
    <t>5493007M4YMN8XL48C14</t>
  </si>
  <si>
    <t>US4642872000</t>
  </si>
  <si>
    <t>iShares iBoxx $ Investment Gra</t>
  </si>
  <si>
    <t>549300FYCXFXG8POR355</t>
  </si>
  <si>
    <t>ISHARES IBOXX INV GRADE</t>
  </si>
  <si>
    <t>US4642872422</t>
  </si>
  <si>
    <t>iShares MSCI Canada ETF</t>
  </si>
  <si>
    <t>549300IDFBIDYEHR9667</t>
  </si>
  <si>
    <t>ISHARES MSCI CANADA</t>
  </si>
  <si>
    <t>US4642865095</t>
  </si>
  <si>
    <t>קנדה</t>
  </si>
  <si>
    <t>מניות בחו"ל - מניות גיאוגרפי - חשופת מט"ח-חו"ל גיאוגרפי אחר - מדד אחר</t>
  </si>
  <si>
    <t>SPDR S&amp;P 500 ETF Trust</t>
  </si>
  <si>
    <t>549300ERQDM80PRYUH21</t>
  </si>
  <si>
    <t>SPDR S&amp;P 500 ETF TRUST(SPY)</t>
  </si>
  <si>
    <t>US78462F1030</t>
  </si>
  <si>
    <t>VANGUARD ETF</t>
  </si>
  <si>
    <t>7113</t>
  </si>
  <si>
    <t>Vanguard S&amp;P 500 ETF</t>
  </si>
  <si>
    <t>US9229083632</t>
  </si>
  <si>
    <t>ISHARES NASDAQ 100 USD</t>
  </si>
  <si>
    <t>549300KGSK42L101CD7</t>
  </si>
  <si>
    <t>iShares NASDAQ 100 UCITS ETF</t>
  </si>
  <si>
    <t>IE00B53SZB19</t>
  </si>
  <si>
    <t>ISHARES RUSSELL 2000</t>
  </si>
  <si>
    <t>549300O80OAR5VTWR172</t>
  </si>
  <si>
    <t>iShares Russell 2000 (IWM)</t>
  </si>
  <si>
    <t>US4642876555</t>
  </si>
  <si>
    <t>‏FINANCIAL SELEC SECTOR SPDR (XLF)</t>
  </si>
  <si>
    <t>US81369Y6059</t>
  </si>
  <si>
    <t>First Trust Cloud Computing</t>
  </si>
  <si>
    <t>FT NASDAQ CEA CYBERDCUR (CIBR)</t>
  </si>
  <si>
    <t>US33734X8469</t>
  </si>
  <si>
    <t>INVESCO QQQ Trust SERIES 1</t>
  </si>
  <si>
    <t>549300VY6FEJBCIMET58</t>
  </si>
  <si>
    <t>INVESCO QQQ TRUST</t>
  </si>
  <si>
    <t>US46090E1038</t>
  </si>
  <si>
    <t>iShares Semiconductor ETF</t>
  </si>
  <si>
    <t>5493004SPI3IF1GDIR85</t>
  </si>
  <si>
    <t>ISHARES Semiconductor ETF</t>
  </si>
  <si>
    <t>US4642875235</t>
  </si>
  <si>
    <t>אי בי אי  מחקה Shiller Barclays CAPE® US</t>
  </si>
  <si>
    <t>IL0051307374</t>
  </si>
  <si>
    <t>אי בי אי מחקה NASDAQ 100 מנוטרלת מט"ח</t>
  </si>
  <si>
    <t>IL0051316441</t>
  </si>
  <si>
    <t>אי בי אי מחקה S&amp;P Financial</t>
  </si>
  <si>
    <t>IL0051292428</t>
  </si>
  <si>
    <t>אי בי אי מחקה S&amp;P Health Care</t>
  </si>
  <si>
    <t>IL0051292592</t>
  </si>
  <si>
    <t>אי בי אי מחקה S&amp;P Technology מנוטרלת מט"</t>
  </si>
  <si>
    <t>IL0051321540</t>
  </si>
  <si>
    <t>Technology מניות בחו"ל - מניות לפי ענפים בחו"ל - מנוטרלת מט"ח-ארה"ב- מניות</t>
  </si>
  <si>
    <t>אי בי אי מחקה STOXX Europe 600</t>
  </si>
  <si>
    <t>IL0051307523</t>
  </si>
  <si>
    <t>אי בי אי מחקה STOXX Europe 600 מנוטרלת א</t>
  </si>
  <si>
    <t>IL0051292188</t>
  </si>
  <si>
    <t>אי בי אי מחקה אינדקס A-AA מנגנון מרווח</t>
  </si>
  <si>
    <t>IL0051307036</t>
  </si>
  <si>
    <t>אג"ח קונצרני</t>
  </si>
  <si>
    <t>אג"ח בארץ - חברות והמרה-חברות והמרה אחר</t>
  </si>
  <si>
    <t>אי בי אי מחקה ת"א 35</t>
  </si>
  <si>
    <t>IL0051306871</t>
  </si>
  <si>
    <t>אי בי אי מחקה ת"א 90</t>
  </si>
  <si>
    <t>IL0051309198</t>
  </si>
  <si>
    <t>אי.בי.אי. מחקה (4A) אינדקס בנקים ישראל</t>
  </si>
  <si>
    <t>IL0051341688</t>
  </si>
  <si>
    <t>איביאי מחקה MSCI Emerging Markets</t>
  </si>
  <si>
    <t>IL0051193188</t>
  </si>
  <si>
    <t>הראל מחקה (A4) תא 35</t>
  </si>
  <si>
    <t>IL0051306616</t>
  </si>
  <si>
    <t>הראל מחקה 2000 Russell מנוטרלת מט"ח</t>
  </si>
  <si>
    <t>IL0051297393</t>
  </si>
  <si>
    <t>RUSSELL 2000 - מניות בחו"ל - מניות גיאוגרפי - מנוטרלת מט"ח-ארה"ב</t>
  </si>
  <si>
    <t>הראל מחקה NASDAQ 100</t>
  </si>
  <si>
    <t>IL0051292832</t>
  </si>
  <si>
    <t>הראל מחקה S&amp;P Technology מנוטרלת מט"ח</t>
  </si>
  <si>
    <t>IL0051297880</t>
  </si>
  <si>
    <t>הראל מחקה ת"א 90</t>
  </si>
  <si>
    <t>IL0051306384</t>
  </si>
  <si>
    <t>הראל מחקה תל בונד 60</t>
  </si>
  <si>
    <t>IL0051218357</t>
  </si>
  <si>
    <t>מגדל מחקה    S&amp;P 500 Bond Mega 30 IG 5-7</t>
  </si>
  <si>
    <t>IL0051377161</t>
  </si>
  <si>
    <t>מגדל מחקה Bloomberg US Analyst Re מנוטרל</t>
  </si>
  <si>
    <t>IL0051351083</t>
  </si>
  <si>
    <t>מניות בחו"ל - מניות גיאוגרפי - מנוטרלת מט"ח-ארה"ב - מדד אחר</t>
  </si>
  <si>
    <t>מגדל מחקה DAX מנוטרלת מט"ח</t>
  </si>
  <si>
    <t>IL0051276595</t>
  </si>
  <si>
    <t>מגדל מחקה MSCI World</t>
  </si>
  <si>
    <t>IL0051225691</t>
  </si>
  <si>
    <t>מגדל מחקה Nasdaq 100</t>
  </si>
  <si>
    <t>IL0051345317</t>
  </si>
  <si>
    <t>מגדל מחקה Nasdaq 100 מנוטרלת מט"ח</t>
  </si>
  <si>
    <t>IL0051345499</t>
  </si>
  <si>
    <t>מגדל מחקה S&amp;P 500</t>
  </si>
  <si>
    <t>IL0051226277</t>
  </si>
  <si>
    <t>מגדל מחקה S&amp;P 500 מנוטרלת מט"ח</t>
  </si>
  <si>
    <t>IL0051258692</t>
  </si>
  <si>
    <t>מגדל מחקה S&amp;P CHINA 500 מנוטרלת דולר</t>
  </si>
  <si>
    <t>IL0051330616</t>
  </si>
  <si>
    <t>מניות בחו"ל - מניות גיאוגרפי - מנוטרלת מט"ח-אסיה - מדד אחר</t>
  </si>
  <si>
    <t>מגדל מחקה אינדקס אג"ח ממשלת ארה"ב - מח"מ</t>
  </si>
  <si>
    <t>IL0051377732</t>
  </si>
  <si>
    <t>אג"ח ממשלתי</t>
  </si>
  <si>
    <t>אג"ח בחו"ל - אג"ח מנוטרלת מט"ח</t>
  </si>
  <si>
    <t>מגדל מחקה אינדקס מדינת ישראל דולר לפדיו</t>
  </si>
  <si>
    <t>IL0051395148</t>
  </si>
  <si>
    <t>אג"ח בארץ - מדינה-אג"ח ממשלתיות</t>
  </si>
  <si>
    <t>מגדל מחקה אינדקס תשתיות לאומיות ישראל</t>
  </si>
  <si>
    <t>IL0051306046</t>
  </si>
  <si>
    <t>מגדל מחקה ת"א 90</t>
  </si>
  <si>
    <t>IL0051306202</t>
  </si>
  <si>
    <t>מגדל מחקה תל בונד 60</t>
  </si>
  <si>
    <t>IL0051222623</t>
  </si>
  <si>
    <t>קסם מחקה DAX מנוטרלת מט"ח</t>
  </si>
  <si>
    <t>IL0051251580</t>
  </si>
  <si>
    <t>קסם מחקה STOXX Europe 600 מנוטרלת אירו</t>
  </si>
  <si>
    <t>IL0051229404</t>
  </si>
  <si>
    <t>קסם מחקה תל בונד 60</t>
  </si>
  <si>
    <t>IL0051180219</t>
  </si>
  <si>
    <t>תכלית מחקה  STOXX Europe 600  מנוטרל</t>
  </si>
  <si>
    <t>IL0051231533</t>
  </si>
  <si>
    <t>מניות בחו"ל - מניות גיאוגרפי - מנוטרלת מט"ח-אירופה - מדד אחר</t>
  </si>
  <si>
    <t>תכלית מחקה PHLX Semiconductor Sector</t>
  </si>
  <si>
    <t>IL0051273295</t>
  </si>
  <si>
    <t>תכלית מחקה S&amp;P מנוטרלת מט"ח</t>
  </si>
  <si>
    <t>IL0051231616</t>
  </si>
  <si>
    <t>Invesco Zodiac Funds - Invesco</t>
  </si>
  <si>
    <t>6354007BW1OH9AUD2H21</t>
  </si>
  <si>
    <t>INVESCO US SENIOR LOAN -G</t>
  </si>
  <si>
    <t>LU0564079282</t>
  </si>
  <si>
    <t>אג"ח בחו"ל - אג"ח חשופת דולר - מדד אחר</t>
  </si>
  <si>
    <t>Janus Henderson Horizon Fund</t>
  </si>
  <si>
    <t>213800I63HI1UKL7JT09</t>
  </si>
  <si>
    <t>Janus Henderson Horizon Global Smaller C</t>
  </si>
  <si>
    <t>LU2914768309</t>
  </si>
  <si>
    <t>Lazard US Systematic Small Cap Equity</t>
  </si>
  <si>
    <t>254900TLMMLNSKPBS51</t>
  </si>
  <si>
    <t>Lazard US Systematic Small Cap Equity st</t>
  </si>
  <si>
    <t>IE000OU03BU9</t>
  </si>
  <si>
    <t>NHS MCM ISRAELI IT</t>
  </si>
  <si>
    <t>2221005JJWNNRQTNXX5</t>
  </si>
  <si>
    <t>LU1345292533</t>
  </si>
  <si>
    <t>UBAM DIVERSIFIED INCOME</t>
  </si>
  <si>
    <t>222100JCFDSPR4MNAQ19</t>
  </si>
  <si>
    <t>LU2443915082</t>
  </si>
  <si>
    <t>אירופה</t>
  </si>
  <si>
    <t>UBAM - Swiss Small and Mid Cap</t>
  </si>
  <si>
    <t>2221008O3YBOYX87WH0</t>
  </si>
  <si>
    <t>UBAM SWISS SMAL</t>
  </si>
  <si>
    <t>LU1088706210</t>
  </si>
  <si>
    <t>UBAM - 30 Global Leaders Equit</t>
  </si>
  <si>
    <t>549300M641XP26W6Z13</t>
  </si>
  <si>
    <t>UBAM-30 GLOBAL LEADERS</t>
  </si>
  <si>
    <t>LU0878192136</t>
  </si>
  <si>
    <t>UBAM - Medium Term US Corporat</t>
  </si>
  <si>
    <t>57FRL6I0JJVA2JI0KP7</t>
  </si>
  <si>
    <t>UBAM-CORPORATE USD BD-I CAP</t>
  </si>
  <si>
    <t>LU0146925176</t>
  </si>
  <si>
    <t>Commodity Funds</t>
  </si>
  <si>
    <t>נכס בסיס (כתב אופציה)</t>
  </si>
  <si>
    <t>תאריך פקיעה</t>
  </si>
  <si>
    <t>שער מימוש</t>
  </si>
  <si>
    <t>יחס המרה</t>
  </si>
  <si>
    <t>נכס בסיס</t>
  </si>
  <si>
    <t>P 3100 DEC 25 DLR</t>
  </si>
  <si>
    <t>IL0857841972</t>
  </si>
  <si>
    <t>מט"ח</t>
  </si>
  <si>
    <t>אופציות שקל/דולר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</si>
  <si>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</si>
  <si>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</si>
  <si>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</si>
  <si>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</si>
  <si>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</si>
  <si>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</si>
  <si>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</si>
  <si>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</si>
  <si>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</si>
  <si>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</si>
  <si>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</si>
  <si>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אגח 8-רמ</t>
  </si>
  <si>
    <t>פנימי</t>
  </si>
  <si>
    <t>לא סחיר</t>
  </si>
  <si>
    <t>14/07/2011</t>
  </si>
  <si>
    <t>14/07/2048</t>
  </si>
  <si>
    <t>חברת ציטוט</t>
  </si>
  <si>
    <t>אי-תלות</t>
  </si>
  <si>
    <t>30/06/2025</t>
  </si>
  <si>
    <t>נתיבים אגרות חוב (דרך ארץ)</t>
  </si>
  <si>
    <t>513502229</t>
  </si>
  <si>
    <t>נתיבים סדרה א'</t>
  </si>
  <si>
    <t>צמוד למט"ח</t>
  </si>
  <si>
    <t>28/09/2005</t>
  </si>
  <si>
    <t>3/07/2027</t>
  </si>
  <si>
    <t>רשות שדות התעופה</t>
  </si>
  <si>
    <t>500102868</t>
  </si>
  <si>
    <t>רשות שדות התעופה א</t>
  </si>
  <si>
    <t>30/06/2022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</si>
  <si>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</si>
  <si>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</si>
  <si>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</si>
  <si>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</si>
  <si>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</si>
  <si>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</si>
  <si>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</si>
  <si>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</si>
  <si>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</si>
  <si>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</si>
  <si>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</si>
  <si>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 OPPORTUNITIES LP</t>
  </si>
  <si>
    <t>8225</t>
  </si>
  <si>
    <t>קרן גידור</t>
  </si>
  <si>
    <t>Other</t>
  </si>
  <si>
    <t>10 Abba Eban Blvd. Herzliya Ackerstein Tower C 4672528 POB 12660 Israel</t>
  </si>
  <si>
    <t>14/03/2024</t>
  </si>
  <si>
    <t>8/06/2025</t>
  </si>
  <si>
    <t>פימי</t>
  </si>
  <si>
    <t>7144</t>
  </si>
  <si>
    <t>FIMI 4</t>
  </si>
  <si>
    <t>קרן השקעה אחרת</t>
  </si>
  <si>
    <t>Buyout</t>
  </si>
  <si>
    <t>98 Ygal Alon Tel Aviv Israel.</t>
  </si>
  <si>
    <t>16/09/2009</t>
  </si>
  <si>
    <t>29/06/2025</t>
  </si>
  <si>
    <t>FIMI 5</t>
  </si>
  <si>
    <t>27/08/2012</t>
  </si>
  <si>
    <t>FIMI 6</t>
  </si>
  <si>
    <t>94 Ygal Alon Tel Aviv Israel.</t>
  </si>
  <si>
    <t>21/07/2016</t>
  </si>
  <si>
    <t>FIMI 7</t>
  </si>
  <si>
    <t>3/06/2021</t>
  </si>
  <si>
    <t>26/06/2025</t>
  </si>
  <si>
    <t>Tandem</t>
  </si>
  <si>
    <t>8243</t>
  </si>
  <si>
    <t>GB FUND LP F ILS ACC</t>
  </si>
  <si>
    <t>Direct Lending Debt</t>
  </si>
  <si>
    <t>ech Abba Hilel 12 ,Ramat Gan Israel</t>
  </si>
  <si>
    <t>13/04/2023</t>
  </si>
  <si>
    <t>HAREL FINANCE ALTERNATIVE HAMAGEN</t>
  </si>
  <si>
    <t>8271</t>
  </si>
  <si>
    <t>HAREL FINANCE ALTERNATIVE HAMAGEN LP</t>
  </si>
  <si>
    <t>103 Centre Road Suit 403- B  Delaware 19805</t>
  </si>
  <si>
    <t>27/11/2023</t>
  </si>
  <si>
    <t>22/06/2025</t>
  </si>
  <si>
    <t>ION LONG.SHORT FEEDER</t>
  </si>
  <si>
    <t>8300</t>
  </si>
  <si>
    <t>89 Medinat Hayehudim Herzliya Pituach</t>
  </si>
  <si>
    <t>5/08/2024</t>
  </si>
  <si>
    <t>13/05/2025</t>
  </si>
  <si>
    <t>הפניקס פיננסים בעמ</t>
  </si>
  <si>
    <t>520017450</t>
  </si>
  <si>
    <t>PHOENIX REAL ESTATE</t>
  </si>
  <si>
    <t>Harneys Fiduciary (cayman) Limited 4th Floor Harbour Place 103 South Church Street</t>
  </si>
  <si>
    <t>28/08/2023</t>
  </si>
  <si>
    <t>6/06/2025</t>
  </si>
  <si>
    <t>PONTIFAX</t>
  </si>
  <si>
    <t>7897</t>
  </si>
  <si>
    <t>PONTIFAX (Israel)  VI</t>
  </si>
  <si>
    <t>14 Shenkar Herzeliya Israel</t>
  </si>
  <si>
    <t>7/01/2021</t>
  </si>
  <si>
    <t>PONTIFAX V GP LP</t>
  </si>
  <si>
    <t>1/01/2018</t>
  </si>
  <si>
    <t>26/05/2025</t>
  </si>
  <si>
    <t>SPHERA GP</t>
  </si>
  <si>
    <t>7141</t>
  </si>
  <si>
    <t>TOU Towers, 4 Itzhak Sade TOU Towers, 4 Itzhak Sade Building A, 29th floor Tel Aviv, Israel 6777504u</t>
  </si>
  <si>
    <t>4/01/2010</t>
  </si>
  <si>
    <t>10/06/2025</t>
  </si>
  <si>
    <t>TOTAL OPPORT.CAYMAN</t>
  </si>
  <si>
    <t>8231</t>
  </si>
  <si>
    <t>Berengaria 25, 4th Floor, 25 Spyrou Araouzou,3036 Limassol, Cyprus</t>
  </si>
  <si>
    <t>3/03/2023</t>
  </si>
  <si>
    <t>13/06/2025</t>
  </si>
  <si>
    <t>קרן יסודות</t>
  </si>
  <si>
    <t>7889</t>
  </si>
  <si>
    <t>יסודות ב' נדל"ן ופיתוח, שותפות מוגבלת.</t>
  </si>
  <si>
    <t>רחוב הירקון 2, בני ברק מגדל "אלייד" קומה 16 מיקוד 5126012</t>
  </si>
  <si>
    <t>יסודות ג' נדל"ן ופיתוח שותפות מוגבלת</t>
  </si>
  <si>
    <t>קרן נוי</t>
  </si>
  <si>
    <t>7836</t>
  </si>
  <si>
    <t>נוי חוצה ישראל</t>
  </si>
  <si>
    <t>Value Added Infrastructure</t>
  </si>
  <si>
    <t>מנחם בגין 132 , עזריאלי עגול, קומה 37 , תל אביב</t>
  </si>
  <si>
    <t>19/04/2012</t>
  </si>
  <si>
    <t>16/05/2025</t>
  </si>
  <si>
    <t>קרן אג'יליטי מניות שותפות מוגבלת</t>
  </si>
  <si>
    <t>8344</t>
  </si>
  <si>
    <t>המנופים 10 הרצליה פיתוח</t>
  </si>
  <si>
    <t>KCPS</t>
  </si>
  <si>
    <t>7142</t>
  </si>
  <si>
    <t>קרן מנוף אוריגו</t>
  </si>
  <si>
    <t>35 Ehad Haam St. Tel-Aviv | Israel</t>
  </si>
  <si>
    <t>27/10/2009</t>
  </si>
  <si>
    <t>4/04/2025</t>
  </si>
  <si>
    <t>קרן נוי 2</t>
  </si>
  <si>
    <t>2/07/2015</t>
  </si>
  <si>
    <t>קרן נוי 3</t>
  </si>
  <si>
    <t>מנחם בגין 132 , עזריאלי עגול קומה 37 , תל- אביב</t>
  </si>
  <si>
    <t>12/08/2018</t>
  </si>
  <si>
    <t>קרן קרדיטו לקבוצות רכישה שותפות מוגבלת.</t>
  </si>
  <si>
    <t>8012</t>
  </si>
  <si>
    <t>Mezzanine Debt</t>
  </si>
  <si>
    <t>קויפמן 2 תל אביב</t>
  </si>
  <si>
    <t>13/01/2020</t>
  </si>
  <si>
    <t>APX</t>
  </si>
  <si>
    <t>7820</t>
  </si>
  <si>
    <t>AMI 2</t>
  </si>
  <si>
    <t>Royal Bank Place 1 Glategny Esplanade, St Peter Port, Guernsey GY1 2HJ.</t>
  </si>
  <si>
    <t>15/12/2015</t>
  </si>
  <si>
    <t>17/06/2025</t>
  </si>
  <si>
    <t>AMI Opportunities - A L.P</t>
  </si>
  <si>
    <t>1 Glategny Esplanade St Peter Port Guernsey GY1 2HJ.</t>
  </si>
  <si>
    <t>27/05/2025</t>
  </si>
  <si>
    <t>Accelmed</t>
  </si>
  <si>
    <t>8035</t>
  </si>
  <si>
    <t>Accelmed Partners II L.P</t>
  </si>
  <si>
    <t>Grand Cayman, Ky 1-1104Cayman Islands</t>
  </si>
  <si>
    <t>15/06/2020</t>
  </si>
  <si>
    <t>ALPINVEST PARTNERS B.V</t>
  </si>
  <si>
    <t>8288</t>
  </si>
  <si>
    <t>AlpInvest Co-Investment Fund (Offshore F</t>
  </si>
  <si>
    <t>One Vanderbilt Avenue, Suite 3400, New York, N.Y. 10017</t>
  </si>
  <si>
    <t>23/12/2020</t>
  </si>
  <si>
    <t>BC Partners</t>
  </si>
  <si>
    <t>7876</t>
  </si>
  <si>
    <t>BC EUROPEAN CAPITAL X</t>
  </si>
  <si>
    <t>29Avenue de la Porte - Neuve   Luxembourg</t>
  </si>
  <si>
    <t>14/12/2017</t>
  </si>
  <si>
    <t>BERKSHIRE XI</t>
  </si>
  <si>
    <t>8351</t>
  </si>
  <si>
    <t>200 CLARENDON ST FL 35 BOSTON MA 02116-5021</t>
  </si>
  <si>
    <t>9/06/2025</t>
  </si>
  <si>
    <t>BLUE Owl GP Stakes V Offshore Investors</t>
  </si>
  <si>
    <t>8223</t>
  </si>
  <si>
    <t>325 N SAINT PAUL ST STE 4900 DALLAS TX 75201-3881</t>
  </si>
  <si>
    <t>15/09/2022</t>
  </si>
  <si>
    <t>Coller</t>
  </si>
  <si>
    <t>8056</t>
  </si>
  <si>
    <t>Coller GP-led and Direct Secondaries – B</t>
  </si>
  <si>
    <t>Secondaries</t>
  </si>
  <si>
    <t>PO Box 255, Trafalgar Court, Les Banques, St. Peter Port, Guernsey, C.I. GY1 3QL Registration Number</t>
  </si>
  <si>
    <t>Coller International General Partner IX</t>
  </si>
  <si>
    <t>Coller International General PartnerVIII</t>
  </si>
  <si>
    <t>HARBOURVEST</t>
  </si>
  <si>
    <t>7813</t>
  </si>
  <si>
    <t>Dover Street IX Cayman Fund L.P</t>
  </si>
  <si>
    <t>One Financial Center 2111Boston U.S.A</t>
  </si>
  <si>
    <t>23/12/2014</t>
  </si>
  <si>
    <t>25/06/2025</t>
  </si>
  <si>
    <t>Dover Street X Feeder Fund  L.p</t>
  </si>
  <si>
    <t>Bala Cynwyd, PA 19004</t>
  </si>
  <si>
    <t>Dover Street XI Feeder Fund  L.P</t>
  </si>
  <si>
    <t>EQT</t>
  </si>
  <si>
    <t>8158</t>
  </si>
  <si>
    <t>EQT Infrastructure V SCSp</t>
  </si>
  <si>
    <t>264 boulevard ROYAL L-2449 Luxembourg</t>
  </si>
  <si>
    <t>12/08/2021</t>
  </si>
  <si>
    <t>EDMOND DE ROTHSCHILD</t>
  </si>
  <si>
    <t>7065</t>
  </si>
  <si>
    <t>Edmond de Rothschild Real Estate (Easter</t>
  </si>
  <si>
    <t>קרן נדל"ן</t>
  </si>
  <si>
    <t>Value Added Real Estate</t>
  </si>
  <si>
    <t>20 boulevard Emmanuel Servais L-2535 Luxembourg</t>
  </si>
  <si>
    <t>רומניה</t>
  </si>
  <si>
    <t>23/07/2010</t>
  </si>
  <si>
    <t>31/07/2023</t>
  </si>
  <si>
    <t>Electra  Multifamily Invest Fund III</t>
  </si>
  <si>
    <t>1331 South Killian Drive Suite A Lake Park FL 33403</t>
  </si>
  <si>
    <t>15/12/2019</t>
  </si>
  <si>
    <t>Electra  Multifamily Invest Fund IV</t>
  </si>
  <si>
    <t>1331 South Killian Drive Suite A Lake Park FL 33403 USA</t>
  </si>
  <si>
    <t>Electra America Hospitality</t>
  </si>
  <si>
    <t>Opportunistic Real Estate</t>
  </si>
  <si>
    <t>11/06/2025</t>
  </si>
  <si>
    <t>FAROPOINT</t>
  </si>
  <si>
    <t>8188</t>
  </si>
  <si>
    <t>FRG-X (F-3) LP</t>
  </si>
  <si>
    <t>6263 Poplar Ave Memphis TN 38119 USA</t>
  </si>
  <si>
    <t>15/12/2021</t>
  </si>
  <si>
    <t>GLENDOWER CAPITAL</t>
  </si>
  <si>
    <t>7904</t>
  </si>
  <si>
    <t>Glendower Capital SOF IV ( Feeder), LP</t>
  </si>
  <si>
    <t>8 St James's Square London SW1Y 4JU.</t>
  </si>
  <si>
    <t>14/06/2018</t>
  </si>
  <si>
    <t>27/06/2025</t>
  </si>
  <si>
    <t>Glendower SOF V</t>
  </si>
  <si>
    <t>22-24 Boulevard Royal L-2449 Luxembourg Grand Duchy of Luxembourg</t>
  </si>
  <si>
    <t>4/03/2021</t>
  </si>
  <si>
    <t>HIPEP VII HARBOURVEST</t>
  </si>
  <si>
    <t>one financial center 2111Boston</t>
  </si>
  <si>
    <t>Hamilton Lane</t>
  </si>
  <si>
    <t>7821</t>
  </si>
  <si>
    <t>Hamilton Lane Strategic Opportunitie V19</t>
  </si>
  <si>
    <t>One Presidential Blvd, 4th Floor,Bala Cynwyd, PA 19004</t>
  </si>
  <si>
    <t>9/11/2019</t>
  </si>
  <si>
    <t>Hamilton Lane Strategic Opportunities18</t>
  </si>
  <si>
    <t>One Presidential Blvd., 4th Fl Bala Cynwyd, PA 19004</t>
  </si>
  <si>
    <t>24/05/2018</t>
  </si>
  <si>
    <t>Hamilton lane Strategic Opportuniti 2016</t>
  </si>
  <si>
    <t>One Presidential Blvd, 4th FloorBala Cynwyd, PA 19004</t>
  </si>
  <si>
    <t>8/07/2016</t>
  </si>
  <si>
    <t>HarbourVest partners  Co- investment V</t>
  </si>
  <si>
    <t>Co-Investment/Direct</t>
  </si>
  <si>
    <t>One Financial Center Boston, Massachusetts 02111Boston,</t>
  </si>
  <si>
    <t>10/12/2018</t>
  </si>
  <si>
    <t>ISRAEL SECONDARY FUND</t>
  </si>
  <si>
    <t>7854</t>
  </si>
  <si>
    <t>ISF III Overflow Fund</t>
  </si>
  <si>
    <t>8 Hahoshlim St 6th FloorP.O. Box 12348 Herzliya PituachIsrael 4672408</t>
  </si>
  <si>
    <t>26/01/2023</t>
  </si>
  <si>
    <t>24/06/2025</t>
  </si>
  <si>
    <t>ISQ</t>
  </si>
  <si>
    <t>8189</t>
  </si>
  <si>
    <t>ISQ Global Infrastructure Fund III</t>
  </si>
  <si>
    <t>600 Brickell Avenue PH Miami FL 33131</t>
  </si>
  <si>
    <t>ISRAEL SECONDARY FUND II L.P</t>
  </si>
  <si>
    <t>13/04/2017</t>
  </si>
  <si>
    <t>18/06/2025</t>
  </si>
  <si>
    <t>ISRAEL SECONDARY FUND III L.P</t>
  </si>
  <si>
    <t>9/02/2022</t>
  </si>
  <si>
    <t>LONE STAR</t>
  </si>
  <si>
    <t>8007</t>
  </si>
  <si>
    <t>LONE STAR REAL ESTATE  FUND VI</t>
  </si>
  <si>
    <t>WASHIGTON MALL\ SUTTE 304\ 7 REID STREET \HAMILTON HM11 Bermuda</t>
  </si>
  <si>
    <t>6/12/2019</t>
  </si>
  <si>
    <t>18/05/2025</t>
  </si>
  <si>
    <t>Milestone</t>
  </si>
  <si>
    <t>7860</t>
  </si>
  <si>
    <t>MREI IV BLOCKER FEEDER, LP</t>
  </si>
  <si>
    <t>4550 Travis Street Dallas TX 75205</t>
  </si>
  <si>
    <t>8/06/2017</t>
  </si>
  <si>
    <t>20/05/2025</t>
  </si>
  <si>
    <t>MREI V REIT FEEDER D LP</t>
  </si>
  <si>
    <t>8333 Douglas Avenue Suite 1600 Dallas Texas 75225</t>
  </si>
  <si>
    <t>NB5</t>
  </si>
  <si>
    <t>8307</t>
  </si>
  <si>
    <t>1290 Avenue of the AmericasNew York NY 10104</t>
  </si>
  <si>
    <t>PARTNERS GROUP</t>
  </si>
  <si>
    <t>549300I3IVVWZWDHI788</t>
  </si>
  <si>
    <t>PARTNERS GROUP PM 1</t>
  </si>
  <si>
    <t>XS1435163347</t>
  </si>
  <si>
    <t>Credit Strategies 2 S.A.6, Rue Eug?ne RuppertL-2453 Luxembourg Grand Duchy of Luxembourg</t>
  </si>
  <si>
    <t>25/01/2017</t>
  </si>
  <si>
    <t>PIMCO</t>
  </si>
  <si>
    <t>8032</t>
  </si>
  <si>
    <t>PIMCO CORPORATE OPPORTUNITIES FUND III</t>
  </si>
  <si>
    <t>Special Situations Debt</t>
  </si>
  <si>
    <t>2 rue du Foss? L-1536 Luxembourg</t>
  </si>
  <si>
    <t>20/05/2020</t>
  </si>
  <si>
    <t>PITANGO</t>
  </si>
  <si>
    <t>8154</t>
  </si>
  <si>
    <t>PITANGO Growth Fund II L.P</t>
  </si>
  <si>
    <t>Growth Venture Capital</t>
  </si>
  <si>
    <t>Ha-Menofim st 11 Herzliya Israel 5R65 46</t>
  </si>
  <si>
    <t>22/07/2021</t>
  </si>
  <si>
    <t>DWS</t>
  </si>
  <si>
    <t>8040</t>
  </si>
  <si>
    <t>Pan-European Infrastructure II LP</t>
  </si>
  <si>
    <t>11-15 Seaton Place St Helier JE4 0QH Jersey</t>
  </si>
  <si>
    <t>16/11/2015</t>
  </si>
  <si>
    <t>Pantheon</t>
  </si>
  <si>
    <t>7814</t>
  </si>
  <si>
    <t>Pantheon -PGCO IV Co-mingled</t>
  </si>
  <si>
    <t>47 Avenue John F.kennedy L-1855 LUXEMBOURG</t>
  </si>
  <si>
    <t>31/10/2018</t>
  </si>
  <si>
    <t>Pantheon Co- investment Fund 2</t>
  </si>
  <si>
    <t>1255 Broad Street Clifton New Jersey 07013-3398</t>
  </si>
  <si>
    <t>9/01/2014</t>
  </si>
  <si>
    <t>Pantheon Global Co-Investment V Fund</t>
  </si>
  <si>
    <t>49 Avenue John F. KennedyL-1855 Luxembourg</t>
  </si>
  <si>
    <t>Pantheon Global Infrastructure Fund II</t>
  </si>
  <si>
    <t>27/03/2014</t>
  </si>
  <si>
    <t>Pantheon Global Secondary Fund 5</t>
  </si>
  <si>
    <t>Western Suite, Ground Floor Mill Court, La Charroterie St Peter Port Guernsey GY1 1EJ</t>
  </si>
  <si>
    <t>19/10/2015</t>
  </si>
  <si>
    <t>Pantheon Global Secondary Fund VI</t>
  </si>
  <si>
    <t>15/05/2020</t>
  </si>
  <si>
    <t>Pantheon Global Secondary Fund VII</t>
  </si>
  <si>
    <t>SECONDARY OPPORTUNITIES FUND III L.P</t>
  </si>
  <si>
    <t>Boundary Hall, Cricket Square171 Elgin Avenue, PO Box 1984 Grand Cayman, KY1-1104 Cayman Islands</t>
  </si>
  <si>
    <t>4/11/2014</t>
  </si>
  <si>
    <t>VESTAR CAPITAL PARTNERS</t>
  </si>
  <si>
    <t>8005</t>
  </si>
  <si>
    <t>VESTAR CAPITAL PARTNERS VII-A L.P</t>
  </si>
  <si>
    <t>245 PARK AVENUE 41ST NEW YORK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</si>
  <si>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</si>
  <si>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</si>
  <si>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</si>
  <si>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</si>
  <si>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</si>
  <si>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</si>
  <si>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</si>
  <si>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</si>
  <si>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</si>
  <si>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</si>
  <si>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</si>
  <si>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</si>
  <si>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</si>
  <si>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</si>
  <si>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</si>
  <si>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</si>
  <si>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</si>
  <si>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</si>
  <si>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</si>
  <si>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</si>
  <si>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</si>
  <si>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</si>
  <si>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</si>
  <si>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</si>
  <si>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</si>
  <si>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</si>
  <si>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</si>
  <si>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</si>
  <si>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</si>
  <si>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</si>
  <si>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מניות לרבות מדדי מניות</t>
  </si>
  <si>
    <t>No-delivery</t>
  </si>
  <si>
    <t>ללא</t>
  </si>
  <si>
    <t>Unfunded Forward</t>
  </si>
  <si>
    <t>USDILS</t>
  </si>
  <si>
    <t>לא קיים חוזה</t>
  </si>
  <si>
    <t>מט"ח/₪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</si>
  <si>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</si>
  <si>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</si>
  <si>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</si>
  <si>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</si>
  <si>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</si>
  <si>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</si>
  <si>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</si>
  <si>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</si>
  <si>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</si>
  <si>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</si>
  <si>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</si>
  <si>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</si>
  <si>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</si>
  <si>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</si>
  <si>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</si>
  <si>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</si>
  <si>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</si>
  <si>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</si>
  <si>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</si>
  <si>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</si>
  <si>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</si>
  <si>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</si>
  <si>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</si>
  <si>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513645150</t>
  </si>
  <si>
    <t>נתיבי היובל בע"מ (431)</t>
  </si>
  <si>
    <t>תשתיות</t>
  </si>
  <si>
    <t>19/04/2009</t>
  </si>
  <si>
    <t>הלוואה</t>
  </si>
  <si>
    <t>קבועה</t>
  </si>
  <si>
    <t>6/10/2030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</si>
  <si>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</si>
  <si>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</si>
  <si>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</si>
  <si>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</si>
  <si>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</si>
  <si>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</si>
  <si>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</si>
  <si>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</si>
  <si>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</si>
  <si>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</si>
  <si>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</si>
  <si>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</si>
  <si>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</si>
  <si>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</si>
  <si>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</si>
  <si>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</si>
  <si>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</si>
  <si>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</si>
  <si>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</si>
  <si>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</si>
  <si>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</si>
  <si>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</si>
  <si>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</si>
  <si>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</si>
  <si>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</si>
  <si>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</si>
  <si>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יובנק</t>
  </si>
  <si>
    <t>unfunded SWAP</t>
  </si>
  <si>
    <t>מדדי מניות</t>
  </si>
  <si>
    <t>INDEXTA125</t>
  </si>
  <si>
    <t>רבעוני</t>
  </si>
  <si>
    <t>ריבית בנק ישראל</t>
  </si>
  <si>
    <t>בנק</t>
  </si>
  <si>
    <t>INDEXTA90</t>
  </si>
  <si>
    <t>NDUEACWF</t>
  </si>
  <si>
    <t>תאגיד</t>
  </si>
  <si>
    <t>בטוחה פיננסית אחרת</t>
  </si>
  <si>
    <t>הפעלת כביש 431 ("הפרויקט") במתכונת של זכיינות Public Finance Initiative) PFI)</t>
  </si>
  <si>
    <t>Coller International General Partner VII</t>
  </si>
  <si>
    <t>LONE STAR FUND</t>
  </si>
  <si>
    <t>ACF</t>
  </si>
  <si>
    <t>ACF IX</t>
  </si>
  <si>
    <t>Coller 9 GP-led SAV</t>
  </si>
  <si>
    <t>NB 5</t>
  </si>
  <si>
    <t>515447035_pn_P_0225.xlsx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</si>
</sst>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7" formatCode="0.000%"/>
  </numFmts>
  <fonts count="11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1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7" fillId="0" borderId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Fill="1" applyAlignment="1">
      <alignment horizontal="right" readingOrder="2"/>
    </xf>
    <xf numFmtId="14" fontId="4" fillId="0" borderId="0" xfId="0" applyNumberFormat="1" applyFont="1" applyAlignment="1">
      <alignment horizontal="right" readingOrder="2"/>
    </xf>
    <xf numFmtId="4" fontId="0" fillId="0" borderId="0" xfId="0" applyNumberFormat="1"/>
    <xf numFmtId="0" fontId="4" fillId="0" borderId="0" xfId="0" applyFont="1" applyFill="1" applyAlignment="1">
      <alignment horizontal="right"/>
    </xf>
    <xf numFmtId="0" fontId="0" fillId="0" borderId="0" xfId="0"/>
    <xf numFmtId="4" fontId="0" fillId="0" borderId="0" xfId="0" applyNumberFormat="1"/>
    <xf numFmtId="14" fontId="4" fillId="0" borderId="0" xfId="0" applyNumberFormat="1" applyFont="1" applyAlignment="1">
      <alignment horizontal="right" readingOrder="2"/>
    </xf>
    <xf numFmtId="10" fontId="0" fillId="0" borderId="0" xfId="0" applyNumberFormat="1"/>
    <xf numFmtId="14" fontId="0" fillId="0" borderId="0" xfId="0" applyNumberFormat="1"/>
    <xf numFmtId="0" fontId="4" fillId="0" borderId="0" xfId="0" applyFont="1" applyFill="1" applyAlignment="1">
      <alignment horizontal="right" readingOrder="1"/>
    </xf>
    <xf numFmtId="165" fontId="4" fillId="0" borderId="0" xfId="0" applyNumberFormat="1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0" fillId="0" borderId="0" xfId="0" applyFill="1"/>
    <xf numFmtId="4" fontId="4" fillId="0" borderId="0" xfId="0" applyNumberFormat="1" applyFont="1" applyFill="1" applyAlignment="1">
      <alignment horizontal="right"/>
    </xf>
    <xf numFmtId="4" fontId="4" fillId="0" borderId="0" xfId="0" applyNumberFormat="1" applyFont="1" applyAlignment="1">
      <alignment horizontal="right" readingOrder="2"/>
    </xf>
    <xf numFmtId="167" fontId="0" fillId="0" borderId="0" xfId="16" applyNumberFormat="1" applyFont="1"/>
  </cellXfs>
  <cellStyles count="17">
    <cellStyle name="Comma 2" xfId="7" xr:uid="{00000000-0005-0000-0000-000000000000}"/>
    <cellStyle name="Comma 2 2" xfId="6" xr:uid="{00000000-0005-0000-0000-000001000000}"/>
    <cellStyle name="Comma 3" xfId="14" xr:uid="{00000000-0005-0000-0000-000002000000}"/>
    <cellStyle name="Comma 4" xfId="1" xr:uid="{00000000-0005-0000-0000-000003000000}"/>
    <cellStyle name="Normal" xfId="0" builtinId="0"/>
    <cellStyle name="Normal 10 2" xfId="9" xr:uid="{00000000-0005-0000-0000-000005000000}"/>
    <cellStyle name="Normal 2" xfId="3" xr:uid="{00000000-0005-0000-0000-000006000000}"/>
    <cellStyle name="Normal 2 2" xfId="4" xr:uid="{00000000-0005-0000-0000-000007000000}"/>
    <cellStyle name="Normal 2 3" xfId="12" xr:uid="{00000000-0005-0000-0000-000008000000}"/>
    <cellStyle name="Normal 35" xfId="11" xr:uid="{00000000-0005-0000-0000-000009000000}"/>
    <cellStyle name="Percent" xfId="16" builtinId="5"/>
    <cellStyle name="Percent 2" xfId="5" xr:uid="{00000000-0005-0000-0000-00000A000000}"/>
    <cellStyle name="Percent 3" xfId="8" xr:uid="{00000000-0005-0000-0000-00000B000000}"/>
    <cellStyle name="Percent 4" xfId="13" xr:uid="{00000000-0005-0000-0000-00000C000000}"/>
    <cellStyle name="Percent 5" xfId="15" xr:uid="{00000000-0005-0000-0000-00000D000000}"/>
    <cellStyle name="Percent 6" xfId="2" xr:uid="{00000000-0005-0000-0000-00000E000000}"/>
    <cellStyle name="היפר-קישור 2" xfId="10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515447035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2594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E32" sqref="E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6">
        <v>2384577.6310000001</v>
      </c>
      <c r="C3" s="6">
        <v>0</v>
      </c>
      <c r="D3" s="7">
        <v>2384577.6310000001</v>
      </c>
      <c r="E3" s="8">
        <v>5.917E-2</v>
      </c>
    </row>
    <row r="4" spans="1:5">
      <c r="A4" s="2" t="s">
        <v>28</v>
      </c>
      <c r="B4" s="6">
        <v>22620489.078000002</v>
      </c>
      <c r="C4" s="6">
        <v>0</v>
      </c>
      <c r="D4" s="7">
        <v>22620489.078000002</v>
      </c>
      <c r="E4" s="8">
        <v>0.56133999999999995</v>
      </c>
    </row>
    <row r="5" spans="1:5">
      <c r="A5" s="2" t="s">
        <v>29</v>
      </c>
      <c r="B5" s="6">
        <v>0</v>
      </c>
      <c r="C5" s="6">
        <v>0</v>
      </c>
      <c r="D5" s="2" t="s">
        <v>30</v>
      </c>
      <c r="E5" s="8">
        <v>0</v>
      </c>
    </row>
    <row r="6" spans="1:5">
      <c r="A6" s="2" t="s">
        <v>31</v>
      </c>
      <c r="B6" s="6">
        <v>3309637.949</v>
      </c>
      <c r="C6" s="6">
        <v>0</v>
      </c>
      <c r="D6" s="7">
        <v>3309637.949</v>
      </c>
      <c r="E6" s="8">
        <v>8.2129999999999995E-2</v>
      </c>
    </row>
    <row r="7" spans="1:5">
      <c r="A7" s="2" t="s">
        <v>32</v>
      </c>
      <c r="B7" s="6">
        <v>2278657.6120000002</v>
      </c>
      <c r="C7" s="6">
        <v>0</v>
      </c>
      <c r="D7" s="7">
        <v>2278657.6120000002</v>
      </c>
      <c r="E7" s="8">
        <v>5.6550000000000003E-2</v>
      </c>
    </row>
    <row r="8" spans="1:5">
      <c r="A8" s="2" t="s">
        <v>33</v>
      </c>
      <c r="B8" s="6">
        <v>2316705.4470000002</v>
      </c>
      <c r="C8" s="6">
        <v>0</v>
      </c>
      <c r="D8" s="7">
        <v>2316705.4470000002</v>
      </c>
      <c r="E8" s="8">
        <v>5.7489999999999999E-2</v>
      </c>
    </row>
    <row r="9" spans="1:5">
      <c r="A9" s="2" t="s">
        <v>34</v>
      </c>
      <c r="B9" s="6">
        <v>875247.35600000003</v>
      </c>
      <c r="C9" s="6">
        <v>0</v>
      </c>
      <c r="D9" s="7">
        <v>875247.35600000003</v>
      </c>
      <c r="E9" s="8">
        <v>2.172E-2</v>
      </c>
    </row>
    <row r="10" spans="1:5">
      <c r="A10" s="2" t="s">
        <v>35</v>
      </c>
      <c r="B10" s="6">
        <v>0</v>
      </c>
      <c r="C10" s="6">
        <v>0</v>
      </c>
      <c r="D10" s="2" t="s">
        <v>30</v>
      </c>
      <c r="E10" s="8">
        <v>0</v>
      </c>
    </row>
    <row r="11" spans="1:5">
      <c r="A11" s="2" t="s">
        <v>36</v>
      </c>
      <c r="B11" s="6">
        <v>6.6</v>
      </c>
      <c r="C11" s="6">
        <v>0</v>
      </c>
      <c r="D11" s="3">
        <v>6.6</v>
      </c>
      <c r="E11" s="8">
        <v>0</v>
      </c>
    </row>
    <row r="12" spans="1:5">
      <c r="A12" s="2" t="s">
        <v>37</v>
      </c>
      <c r="B12" s="6">
        <v>0</v>
      </c>
      <c r="C12" s="6">
        <v>0</v>
      </c>
      <c r="D12" s="2" t="s">
        <v>30</v>
      </c>
      <c r="E12" s="8">
        <v>0</v>
      </c>
    </row>
    <row r="13" spans="1:5">
      <c r="A13" s="2" t="s">
        <v>38</v>
      </c>
      <c r="B13" s="6">
        <v>0</v>
      </c>
      <c r="C13" s="6">
        <v>0</v>
      </c>
      <c r="D13" s="2" t="s">
        <v>30</v>
      </c>
      <c r="E13" s="8">
        <v>0</v>
      </c>
    </row>
    <row r="14" spans="1:5">
      <c r="A14" s="2" t="s">
        <v>39</v>
      </c>
      <c r="B14" s="6">
        <v>0</v>
      </c>
      <c r="C14" s="6">
        <v>0</v>
      </c>
      <c r="D14" s="2" t="s">
        <v>30</v>
      </c>
      <c r="E14" s="8">
        <v>0</v>
      </c>
    </row>
    <row r="15" spans="1:5">
      <c r="A15" s="2" t="s">
        <v>40</v>
      </c>
      <c r="B15" s="6">
        <v>0</v>
      </c>
      <c r="C15" s="6">
        <v>0</v>
      </c>
      <c r="D15" s="2" t="s">
        <v>30</v>
      </c>
      <c r="E15" s="8">
        <v>0</v>
      </c>
    </row>
    <row r="16" spans="1:5">
      <c r="A16" s="2" t="s">
        <v>41</v>
      </c>
      <c r="B16" s="6">
        <v>0</v>
      </c>
      <c r="C16" s="6">
        <v>0</v>
      </c>
      <c r="D16" s="2" t="s">
        <v>30</v>
      </c>
      <c r="E16" s="8">
        <v>0</v>
      </c>
    </row>
    <row r="17" spans="1:5">
      <c r="A17" s="2" t="s">
        <v>42</v>
      </c>
      <c r="B17" s="6">
        <v>0</v>
      </c>
      <c r="C17" s="6">
        <v>0</v>
      </c>
      <c r="D17" s="2" t="s">
        <v>30</v>
      </c>
      <c r="E17" s="8">
        <v>0</v>
      </c>
    </row>
    <row r="18" spans="1:5">
      <c r="A18" s="2" t="s">
        <v>43</v>
      </c>
      <c r="B18" s="6">
        <v>404405.89600000001</v>
      </c>
      <c r="C18" s="6">
        <v>0</v>
      </c>
      <c r="D18" s="7">
        <v>404405.89600000001</v>
      </c>
      <c r="E18" s="8">
        <v>1.004E-2</v>
      </c>
    </row>
    <row r="19" spans="1:5">
      <c r="A19" s="2" t="s">
        <v>44</v>
      </c>
      <c r="B19" s="6">
        <v>0</v>
      </c>
      <c r="C19" s="6">
        <v>0</v>
      </c>
      <c r="D19" s="2" t="s">
        <v>30</v>
      </c>
      <c r="E19" s="8">
        <v>0</v>
      </c>
    </row>
    <row r="20" spans="1:5">
      <c r="A20" s="2" t="s">
        <v>45</v>
      </c>
      <c r="B20" s="6">
        <v>5588630.1789999995</v>
      </c>
      <c r="C20" s="6">
        <v>0</v>
      </c>
      <c r="D20" s="7">
        <v>5588630.1789999995</v>
      </c>
      <c r="E20" s="8">
        <v>0.13868</v>
      </c>
    </row>
    <row r="21" spans="1:5">
      <c r="A21" s="2" t="s">
        <v>46</v>
      </c>
      <c r="B21" s="6">
        <v>0</v>
      </c>
      <c r="C21" s="6">
        <v>0</v>
      </c>
      <c r="D21" s="2" t="s">
        <v>30</v>
      </c>
      <c r="E21" s="8">
        <v>0</v>
      </c>
    </row>
    <row r="22" spans="1:5">
      <c r="A22" s="2" t="s">
        <v>47</v>
      </c>
      <c r="B22" s="6">
        <v>0</v>
      </c>
      <c r="C22" s="6">
        <v>0</v>
      </c>
      <c r="D22" s="2" t="s">
        <v>30</v>
      </c>
      <c r="E22" s="8">
        <v>0</v>
      </c>
    </row>
    <row r="23" spans="1:5">
      <c r="A23" s="2" t="s">
        <v>48</v>
      </c>
      <c r="B23" s="6">
        <v>276388.75099999999</v>
      </c>
      <c r="C23" s="6">
        <v>0</v>
      </c>
      <c r="D23" s="7">
        <v>276388.75099999999</v>
      </c>
      <c r="E23" s="8">
        <v>6.8599999999999998E-3</v>
      </c>
    </row>
    <row r="24" spans="1:5">
      <c r="A24" s="2" t="s">
        <v>49</v>
      </c>
      <c r="B24" s="6">
        <v>26189.969000000001</v>
      </c>
      <c r="C24" s="6">
        <v>0</v>
      </c>
      <c r="D24" s="7">
        <v>26189.969000000001</v>
      </c>
      <c r="E24" s="8">
        <v>6.4999999999999997E-4</v>
      </c>
    </row>
    <row r="25" spans="1:5">
      <c r="A25" s="2" t="s">
        <v>50</v>
      </c>
      <c r="B25" s="6">
        <v>0</v>
      </c>
      <c r="C25" s="6">
        <v>0</v>
      </c>
      <c r="D25" s="2" t="s">
        <v>30</v>
      </c>
      <c r="E25" s="8">
        <v>0</v>
      </c>
    </row>
    <row r="26" spans="1:5">
      <c r="A26" s="2" t="s">
        <v>51</v>
      </c>
      <c r="B26" s="6">
        <v>216640</v>
      </c>
      <c r="C26" s="6">
        <v>0</v>
      </c>
      <c r="D26" s="7">
        <v>216640</v>
      </c>
      <c r="E26" s="8">
        <v>5.3800000000000002E-3</v>
      </c>
    </row>
    <row r="27" spans="1:5">
      <c r="A27" s="2" t="s">
        <v>52</v>
      </c>
      <c r="B27" s="6">
        <v>0</v>
      </c>
      <c r="C27" s="6">
        <v>0</v>
      </c>
      <c r="D27" s="2" t="s">
        <v>30</v>
      </c>
      <c r="E27" s="8">
        <v>0</v>
      </c>
    </row>
    <row r="28" spans="1:5">
      <c r="A28" s="2" t="s">
        <v>53</v>
      </c>
      <c r="B28" s="6">
        <v>0</v>
      </c>
      <c r="C28" s="6">
        <v>0</v>
      </c>
      <c r="D28" s="2" t="s">
        <v>30</v>
      </c>
      <c r="E28" s="8">
        <v>0</v>
      </c>
    </row>
    <row r="29" spans="1:5">
      <c r="A29" s="2" t="s">
        <v>54</v>
      </c>
      <c r="B29" s="6">
        <v>0</v>
      </c>
      <c r="C29" s="6">
        <v>0</v>
      </c>
      <c r="D29" s="2" t="s">
        <v>30</v>
      </c>
      <c r="E29" s="8">
        <v>0</v>
      </c>
    </row>
    <row r="30" spans="1:5">
      <c r="A30" s="5" t="s">
        <v>55</v>
      </c>
      <c r="B30" s="9">
        <v>40297576.471000001</v>
      </c>
      <c r="C30" s="9">
        <v>0</v>
      </c>
      <c r="D30" s="10">
        <v>40297576.471000001</v>
      </c>
      <c r="E30" s="11">
        <v>1</v>
      </c>
    </row>
    <row r="31" spans="1:5">
      <c r="A31" s="2" t="s">
        <v>56</v>
      </c>
      <c r="D31" s="2"/>
    </row>
    <row r="32" spans="1:5">
      <c r="A32" s="2" t="s">
        <v>57</v>
      </c>
      <c r="B32" s="19">
        <f>SUM('יתרות התחייבות להשקעה'!O2:O55)</f>
        <v>2388617.9400000004</v>
      </c>
      <c r="D32" s="28">
        <f>B32</f>
        <v>2388617.9400000004</v>
      </c>
      <c r="E32" s="29">
        <f>D32/D30</f>
        <v>5.9274481226407258E-2</v>
      </c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8"/>
  <sheetViews>
    <sheetView rightToLeft="1" workbookViewId="0">
      <selection activeCell="F28" sqref="F2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16.7109375" customWidth="1"/>
    <col min="5" max="5" width="19.140625" customWidth="1"/>
    <col min="6" max="6" width="28.42578125" customWidth="1"/>
    <col min="7" max="7" width="13.7109375" customWidth="1"/>
    <col min="8" max="8" width="17.5703125" customWidth="1"/>
    <col min="9" max="9" width="13.7109375" customWidth="1"/>
    <col min="10" max="10" width="12.7109375" customWidth="1"/>
    <col min="11" max="11" width="14.7109375" customWidth="1"/>
    <col min="12" max="12" width="15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2">
        <v>1097</v>
      </c>
      <c r="B2" s="12">
        <v>1097</v>
      </c>
      <c r="C2" s="2" t="s">
        <v>82</v>
      </c>
      <c r="D2" s="3" t="s">
        <v>83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6">
        <v>-207280</v>
      </c>
      <c r="M2" s="13">
        <v>1</v>
      </c>
      <c r="N2" s="8">
        <v>4.1399999999999999E-2</v>
      </c>
      <c r="O2" s="6">
        <v>-207280</v>
      </c>
      <c r="P2" s="8">
        <v>-8.6929999999999993E-2</v>
      </c>
      <c r="Q2" s="8">
        <v>-5.1399999999999996E-3</v>
      </c>
    </row>
    <row r="3" spans="1:17">
      <c r="A3" s="12">
        <v>1097</v>
      </c>
      <c r="B3" s="12">
        <v>1097</v>
      </c>
      <c r="C3" s="2" t="s">
        <v>82</v>
      </c>
      <c r="D3" s="3" t="s">
        <v>83</v>
      </c>
      <c r="E3" s="2" t="s">
        <v>75</v>
      </c>
      <c r="F3" s="2" t="s">
        <v>84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81</v>
      </c>
      <c r="L3" s="6">
        <v>15699.300999999999</v>
      </c>
      <c r="M3" s="13">
        <v>1</v>
      </c>
      <c r="N3" s="8">
        <v>4.1399999999999999E-2</v>
      </c>
      <c r="O3" s="6">
        <v>15699.300999999999</v>
      </c>
      <c r="P3" s="8">
        <v>6.5799999999999999E-3</v>
      </c>
      <c r="Q3" s="8">
        <v>3.8999999999999999E-4</v>
      </c>
    </row>
    <row r="4" spans="1:17">
      <c r="A4" s="12">
        <v>1097</v>
      </c>
      <c r="B4" s="12">
        <v>1097</v>
      </c>
      <c r="C4" s="2" t="s">
        <v>85</v>
      </c>
      <c r="D4" s="3" t="s">
        <v>86</v>
      </c>
      <c r="E4" s="2" t="s">
        <v>75</v>
      </c>
      <c r="F4" s="2" t="s">
        <v>84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81</v>
      </c>
      <c r="L4" s="6">
        <v>3.0329999999999999</v>
      </c>
      <c r="M4" s="13">
        <v>1</v>
      </c>
      <c r="N4" s="8">
        <v>0</v>
      </c>
      <c r="O4" s="6">
        <v>3.0329999999999999</v>
      </c>
      <c r="P4" s="8">
        <v>0</v>
      </c>
      <c r="Q4" s="8">
        <v>0</v>
      </c>
    </row>
    <row r="5" spans="1:17">
      <c r="A5" s="12">
        <v>1097</v>
      </c>
      <c r="B5" s="12">
        <v>1097</v>
      </c>
      <c r="C5" s="2" t="s">
        <v>2576</v>
      </c>
      <c r="D5" s="3" t="s">
        <v>87</v>
      </c>
      <c r="E5" s="2" t="s">
        <v>75</v>
      </c>
      <c r="F5" s="2" t="s">
        <v>84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81</v>
      </c>
      <c r="L5" s="6">
        <v>588.99400000000003</v>
      </c>
      <c r="M5" s="13">
        <v>1</v>
      </c>
      <c r="N5" s="8">
        <v>4.1399999999999999E-2</v>
      </c>
      <c r="O5" s="6">
        <v>588.99400000000003</v>
      </c>
      <c r="P5" s="8">
        <v>2.5000000000000001E-4</v>
      </c>
      <c r="Q5" s="8">
        <v>1.0000000000000001E-5</v>
      </c>
    </row>
    <row r="6" spans="1:17">
      <c r="A6" s="12">
        <v>1097</v>
      </c>
      <c r="B6" s="12">
        <v>1097</v>
      </c>
      <c r="C6" s="2" t="s">
        <v>82</v>
      </c>
      <c r="D6" s="3" t="s">
        <v>83</v>
      </c>
      <c r="E6" s="2" t="s">
        <v>75</v>
      </c>
      <c r="F6" s="2" t="s">
        <v>84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6">
        <v>85413.115999999995</v>
      </c>
      <c r="M6" s="13">
        <v>1</v>
      </c>
      <c r="N6" s="8">
        <v>4.1399999999999999E-2</v>
      </c>
      <c r="O6" s="6">
        <v>85413.115999999995</v>
      </c>
      <c r="P6" s="8">
        <v>3.5819999999999998E-2</v>
      </c>
      <c r="Q6" s="8">
        <v>2.1199999999999999E-3</v>
      </c>
    </row>
    <row r="7" spans="1:17">
      <c r="A7" s="12">
        <v>1097</v>
      </c>
      <c r="B7" s="12">
        <v>1097</v>
      </c>
      <c r="C7" s="2" t="s">
        <v>82</v>
      </c>
      <c r="D7" s="3" t="s">
        <v>83</v>
      </c>
      <c r="E7" s="2" t="s">
        <v>75</v>
      </c>
      <c r="F7" s="2" t="s">
        <v>84</v>
      </c>
      <c r="G7" s="2" t="s">
        <v>77</v>
      </c>
      <c r="H7" s="2" t="s">
        <v>78</v>
      </c>
      <c r="I7" s="3" t="s">
        <v>79</v>
      </c>
      <c r="J7" s="2" t="s">
        <v>80</v>
      </c>
      <c r="K7" s="2" t="s">
        <v>81</v>
      </c>
      <c r="L7" s="6">
        <v>42346.601000000002</v>
      </c>
      <c r="M7" s="13">
        <v>1</v>
      </c>
      <c r="N7" s="8">
        <v>4.1399999999999999E-2</v>
      </c>
      <c r="O7" s="6">
        <v>42346.601000000002</v>
      </c>
      <c r="P7" s="8">
        <v>1.7760000000000001E-2</v>
      </c>
      <c r="Q7" s="8">
        <v>1.0499999999999999E-3</v>
      </c>
    </row>
    <row r="8" spans="1:17">
      <c r="A8" s="12">
        <v>1097</v>
      </c>
      <c r="B8" s="12">
        <v>1097</v>
      </c>
      <c r="C8" s="2" t="s">
        <v>88</v>
      </c>
      <c r="D8" s="3" t="s">
        <v>89</v>
      </c>
      <c r="E8" s="2" t="s">
        <v>75</v>
      </c>
      <c r="F8" s="2" t="s">
        <v>84</v>
      </c>
      <c r="G8" s="2" t="s">
        <v>77</v>
      </c>
      <c r="H8" s="2" t="s">
        <v>78</v>
      </c>
      <c r="I8" s="3" t="s">
        <v>79</v>
      </c>
      <c r="J8" s="2" t="s">
        <v>80</v>
      </c>
      <c r="K8" s="2" t="s">
        <v>81</v>
      </c>
      <c r="L8" s="6">
        <v>23967.789000000001</v>
      </c>
      <c r="M8" s="13">
        <v>1</v>
      </c>
      <c r="N8" s="8">
        <v>4.1399999999999999E-2</v>
      </c>
      <c r="O8" s="6">
        <v>23967.789000000001</v>
      </c>
      <c r="P8" s="8">
        <v>1.005E-2</v>
      </c>
      <c r="Q8" s="8">
        <v>5.9000000000000003E-4</v>
      </c>
    </row>
    <row r="9" spans="1:17">
      <c r="A9" s="12">
        <v>1097</v>
      </c>
      <c r="B9" s="12">
        <v>1097</v>
      </c>
      <c r="C9" s="2" t="s">
        <v>90</v>
      </c>
      <c r="D9" s="3" t="s">
        <v>91</v>
      </c>
      <c r="E9" s="2" t="s">
        <v>75</v>
      </c>
      <c r="F9" s="2" t="s">
        <v>84</v>
      </c>
      <c r="G9" s="2" t="s">
        <v>77</v>
      </c>
      <c r="H9" s="2" t="s">
        <v>78</v>
      </c>
      <c r="I9" s="3" t="s">
        <v>79</v>
      </c>
      <c r="J9" s="2" t="s">
        <v>80</v>
      </c>
      <c r="K9" s="2" t="s">
        <v>81</v>
      </c>
      <c r="L9" s="6">
        <v>17706.697</v>
      </c>
      <c r="M9" s="13">
        <v>1</v>
      </c>
      <c r="N9" s="8">
        <v>4.19E-2</v>
      </c>
      <c r="O9" s="6">
        <v>17706.697</v>
      </c>
      <c r="P9" s="8">
        <v>7.43E-3</v>
      </c>
      <c r="Q9" s="8">
        <v>4.4000000000000002E-4</v>
      </c>
    </row>
    <row r="10" spans="1:17">
      <c r="A10" s="12">
        <v>1097</v>
      </c>
      <c r="B10" s="12">
        <v>1097</v>
      </c>
      <c r="C10" s="2" t="s">
        <v>85</v>
      </c>
      <c r="D10" s="3" t="s">
        <v>86</v>
      </c>
      <c r="E10" s="2" t="s">
        <v>75</v>
      </c>
      <c r="F10" s="2" t="s">
        <v>84</v>
      </c>
      <c r="G10" s="2" t="s">
        <v>77</v>
      </c>
      <c r="H10" s="2" t="s">
        <v>78</v>
      </c>
      <c r="I10" s="3" t="s">
        <v>79</v>
      </c>
      <c r="J10" s="2" t="s">
        <v>80</v>
      </c>
      <c r="K10" s="2" t="s">
        <v>81</v>
      </c>
      <c r="L10" s="6">
        <v>3.0150000000000001</v>
      </c>
      <c r="M10" s="13">
        <v>1</v>
      </c>
      <c r="N10" s="8">
        <v>0</v>
      </c>
      <c r="O10" s="6">
        <v>3.0150000000000001</v>
      </c>
      <c r="P10" s="8">
        <v>0</v>
      </c>
      <c r="Q10" s="8">
        <v>0</v>
      </c>
    </row>
    <row r="11" spans="1:17">
      <c r="A11" s="12">
        <v>1097</v>
      </c>
      <c r="B11" s="12">
        <v>1097</v>
      </c>
      <c r="C11" s="2" t="s">
        <v>85</v>
      </c>
      <c r="D11" s="3" t="s">
        <v>86</v>
      </c>
      <c r="E11" s="2" t="s">
        <v>75</v>
      </c>
      <c r="F11" s="2" t="s">
        <v>84</v>
      </c>
      <c r="G11" s="2" t="s">
        <v>77</v>
      </c>
      <c r="H11" s="2" t="s">
        <v>78</v>
      </c>
      <c r="I11" s="3" t="s">
        <v>79</v>
      </c>
      <c r="J11" s="2" t="s">
        <v>80</v>
      </c>
      <c r="K11" s="2" t="s">
        <v>81</v>
      </c>
      <c r="L11" s="6">
        <v>3.032</v>
      </c>
      <c r="M11" s="13">
        <v>1</v>
      </c>
      <c r="N11" s="8">
        <v>0</v>
      </c>
      <c r="O11" s="6">
        <v>3.032</v>
      </c>
      <c r="P11" s="8">
        <v>0</v>
      </c>
      <c r="Q11" s="8">
        <v>0</v>
      </c>
    </row>
    <row r="12" spans="1:17">
      <c r="A12" s="12">
        <v>1097</v>
      </c>
      <c r="B12" s="12">
        <v>1097</v>
      </c>
      <c r="C12" s="2" t="s">
        <v>88</v>
      </c>
      <c r="D12" s="3" t="s">
        <v>89</v>
      </c>
      <c r="E12" s="2" t="s">
        <v>75</v>
      </c>
      <c r="F12" s="2" t="s">
        <v>84</v>
      </c>
      <c r="G12" s="2" t="s">
        <v>77</v>
      </c>
      <c r="H12" s="2" t="s">
        <v>78</v>
      </c>
      <c r="I12" s="3" t="s">
        <v>79</v>
      </c>
      <c r="J12" s="2" t="s">
        <v>80</v>
      </c>
      <c r="K12" s="2" t="s">
        <v>81</v>
      </c>
      <c r="L12" s="6">
        <v>68507.460000000006</v>
      </c>
      <c r="M12" s="13">
        <v>1</v>
      </c>
      <c r="N12" s="8">
        <v>4.1399999999999999E-2</v>
      </c>
      <c r="O12" s="6">
        <v>68507.460000000006</v>
      </c>
      <c r="P12" s="8">
        <v>2.8729999999999999E-2</v>
      </c>
      <c r="Q12" s="8">
        <v>1.6999999999999999E-3</v>
      </c>
    </row>
    <row r="13" spans="1:17">
      <c r="A13" s="12">
        <v>1097</v>
      </c>
      <c r="B13" s="12">
        <v>1097</v>
      </c>
      <c r="C13" s="2" t="s">
        <v>85</v>
      </c>
      <c r="D13" s="3" t="s">
        <v>86</v>
      </c>
      <c r="E13" s="2" t="s">
        <v>75</v>
      </c>
      <c r="F13" s="2" t="s">
        <v>84</v>
      </c>
      <c r="G13" s="2" t="s">
        <v>77</v>
      </c>
      <c r="H13" s="2" t="s">
        <v>78</v>
      </c>
      <c r="I13" s="3" t="s">
        <v>79</v>
      </c>
      <c r="J13" s="2" t="s">
        <v>80</v>
      </c>
      <c r="K13" s="2" t="s">
        <v>81</v>
      </c>
      <c r="L13" s="6">
        <v>2.3E-2</v>
      </c>
      <c r="M13" s="13">
        <v>1</v>
      </c>
      <c r="N13" s="8">
        <v>0</v>
      </c>
      <c r="O13" s="6">
        <v>2.3E-2</v>
      </c>
      <c r="P13" s="8">
        <v>0</v>
      </c>
      <c r="Q13" s="8">
        <v>0</v>
      </c>
    </row>
    <row r="14" spans="1:17">
      <c r="A14" s="12">
        <v>1097</v>
      </c>
      <c r="B14" s="12">
        <v>1097</v>
      </c>
      <c r="C14" s="2" t="s">
        <v>90</v>
      </c>
      <c r="D14" s="3" t="s">
        <v>91</v>
      </c>
      <c r="E14" s="2" t="s">
        <v>75</v>
      </c>
      <c r="F14" s="2" t="s">
        <v>84</v>
      </c>
      <c r="G14" s="2" t="s">
        <v>77</v>
      </c>
      <c r="H14" s="2" t="s">
        <v>78</v>
      </c>
      <c r="I14" s="3" t="s">
        <v>79</v>
      </c>
      <c r="J14" s="2" t="s">
        <v>80</v>
      </c>
      <c r="K14" s="2" t="s">
        <v>81</v>
      </c>
      <c r="L14" s="6">
        <v>6852.97</v>
      </c>
      <c r="M14" s="13">
        <v>1</v>
      </c>
      <c r="N14" s="8">
        <v>4.19E-2</v>
      </c>
      <c r="O14" s="6">
        <v>6852.97</v>
      </c>
      <c r="P14" s="8">
        <v>2.8700000000000002E-3</v>
      </c>
      <c r="Q14" s="8">
        <v>1.7000000000000001E-4</v>
      </c>
    </row>
    <row r="15" spans="1:17">
      <c r="A15" s="12">
        <v>1097</v>
      </c>
      <c r="B15" s="12">
        <v>1097</v>
      </c>
      <c r="C15" s="2" t="s">
        <v>90</v>
      </c>
      <c r="D15" s="3" t="s">
        <v>91</v>
      </c>
      <c r="E15" s="2" t="s">
        <v>75</v>
      </c>
      <c r="F15" s="2" t="s">
        <v>84</v>
      </c>
      <c r="G15" s="2" t="s">
        <v>77</v>
      </c>
      <c r="H15" s="2" t="s">
        <v>78</v>
      </c>
      <c r="I15" s="3" t="s">
        <v>79</v>
      </c>
      <c r="J15" s="2" t="s">
        <v>80</v>
      </c>
      <c r="K15" s="2" t="s">
        <v>81</v>
      </c>
      <c r="L15" s="6">
        <v>143437.598</v>
      </c>
      <c r="M15" s="13">
        <v>1</v>
      </c>
      <c r="N15" s="8">
        <v>4.19E-2</v>
      </c>
      <c r="O15" s="6">
        <v>143437.598</v>
      </c>
      <c r="P15" s="8">
        <v>6.0150000000000002E-2</v>
      </c>
      <c r="Q15" s="8">
        <v>3.5599999999999998E-3</v>
      </c>
    </row>
    <row r="16" spans="1:17">
      <c r="A16" s="12">
        <v>1097</v>
      </c>
      <c r="B16" s="12">
        <v>1097</v>
      </c>
      <c r="C16" s="2" t="s">
        <v>90</v>
      </c>
      <c r="D16" s="3" t="s">
        <v>91</v>
      </c>
      <c r="E16" s="2" t="s">
        <v>75</v>
      </c>
      <c r="F16" s="2" t="s">
        <v>84</v>
      </c>
      <c r="G16" s="2" t="s">
        <v>77</v>
      </c>
      <c r="H16" s="2" t="s">
        <v>78</v>
      </c>
      <c r="I16" s="3" t="s">
        <v>79</v>
      </c>
      <c r="J16" s="2" t="s">
        <v>80</v>
      </c>
      <c r="K16" s="2" t="s">
        <v>81</v>
      </c>
      <c r="L16" s="6">
        <v>4431.6170000000002</v>
      </c>
      <c r="M16" s="13">
        <v>1</v>
      </c>
      <c r="N16" s="8">
        <v>4.19E-2</v>
      </c>
      <c r="O16" s="6">
        <v>4431.6170000000002</v>
      </c>
      <c r="P16" s="8">
        <v>1.8600000000000001E-3</v>
      </c>
      <c r="Q16" s="8">
        <v>1.1E-4</v>
      </c>
    </row>
    <row r="17" spans="1:17">
      <c r="A17" s="12">
        <v>1097</v>
      </c>
      <c r="B17" s="12">
        <v>1097</v>
      </c>
      <c r="C17" s="2" t="s">
        <v>85</v>
      </c>
      <c r="D17" s="3" t="s">
        <v>86</v>
      </c>
      <c r="E17" s="2" t="s">
        <v>75</v>
      </c>
      <c r="F17" s="2" t="s">
        <v>84</v>
      </c>
      <c r="G17" s="2" t="s">
        <v>77</v>
      </c>
      <c r="H17" s="2" t="s">
        <v>78</v>
      </c>
      <c r="I17" s="3" t="s">
        <v>79</v>
      </c>
      <c r="J17" s="2" t="s">
        <v>80</v>
      </c>
      <c r="K17" s="2" t="s">
        <v>81</v>
      </c>
      <c r="L17" s="6">
        <v>3.1E-2</v>
      </c>
      <c r="M17" s="13">
        <v>1</v>
      </c>
      <c r="N17" s="8">
        <v>0</v>
      </c>
      <c r="O17" s="6">
        <v>3.1E-2</v>
      </c>
      <c r="P17" s="8">
        <v>0</v>
      </c>
      <c r="Q17" s="8">
        <v>0</v>
      </c>
    </row>
    <row r="18" spans="1:17">
      <c r="A18" s="12">
        <v>1097</v>
      </c>
      <c r="B18" s="12">
        <v>1097</v>
      </c>
      <c r="C18" s="2" t="s">
        <v>82</v>
      </c>
      <c r="D18" s="3" t="s">
        <v>83</v>
      </c>
      <c r="E18" s="2" t="s">
        <v>75</v>
      </c>
      <c r="F18" s="2" t="s">
        <v>84</v>
      </c>
      <c r="G18" s="2" t="s">
        <v>77</v>
      </c>
      <c r="H18" s="2" t="s">
        <v>78</v>
      </c>
      <c r="I18" s="3" t="s">
        <v>79</v>
      </c>
      <c r="J18" s="2" t="s">
        <v>80</v>
      </c>
      <c r="K18" s="2" t="s">
        <v>81</v>
      </c>
      <c r="L18" s="6">
        <v>793284.41200000001</v>
      </c>
      <c r="M18" s="13">
        <v>1</v>
      </c>
      <c r="N18" s="8">
        <v>4.1399999999999999E-2</v>
      </c>
      <c r="O18" s="6">
        <v>793284.41200000001</v>
      </c>
      <c r="P18" s="8">
        <v>0.33267000000000002</v>
      </c>
      <c r="Q18" s="8">
        <v>1.9689999999999999E-2</v>
      </c>
    </row>
    <row r="19" spans="1:17">
      <c r="A19" s="12">
        <v>1097</v>
      </c>
      <c r="B19" s="12">
        <v>1097</v>
      </c>
      <c r="C19" s="2" t="s">
        <v>82</v>
      </c>
      <c r="D19" s="3" t="s">
        <v>83</v>
      </c>
      <c r="E19" s="2" t="s">
        <v>75</v>
      </c>
      <c r="F19" s="2" t="s">
        <v>84</v>
      </c>
      <c r="G19" s="2" t="s">
        <v>77</v>
      </c>
      <c r="H19" s="2" t="s">
        <v>78</v>
      </c>
      <c r="I19" s="3" t="s">
        <v>79</v>
      </c>
      <c r="J19" s="2" t="s">
        <v>80</v>
      </c>
      <c r="K19" s="2" t="s">
        <v>81</v>
      </c>
      <c r="L19" s="6">
        <v>915484.01</v>
      </c>
      <c r="M19" s="13">
        <v>1</v>
      </c>
      <c r="N19" s="8">
        <v>4.1399999999999999E-2</v>
      </c>
      <c r="O19" s="6">
        <v>915484.01</v>
      </c>
      <c r="P19" s="8">
        <v>0.38391999999999998</v>
      </c>
      <c r="Q19" s="8">
        <v>2.2720000000000001E-2</v>
      </c>
    </row>
    <row r="20" spans="1:17">
      <c r="A20" s="12">
        <v>1097</v>
      </c>
      <c r="B20" s="12">
        <v>1097</v>
      </c>
      <c r="C20" s="2" t="s">
        <v>2576</v>
      </c>
      <c r="D20" s="3" t="s">
        <v>87</v>
      </c>
      <c r="E20" s="2" t="s">
        <v>75</v>
      </c>
      <c r="F20" s="2" t="s">
        <v>93</v>
      </c>
      <c r="G20" s="2" t="s">
        <v>77</v>
      </c>
      <c r="H20" s="2" t="s">
        <v>78</v>
      </c>
      <c r="I20" s="3" t="s">
        <v>79</v>
      </c>
      <c r="J20" s="2" t="s">
        <v>80</v>
      </c>
      <c r="K20" s="2" t="s">
        <v>94</v>
      </c>
      <c r="L20" s="6">
        <v>2388.741</v>
      </c>
      <c r="M20" s="13">
        <v>3.9550000000000001</v>
      </c>
      <c r="N20" s="8">
        <v>1.205E-2</v>
      </c>
      <c r="O20" s="6">
        <v>9447.9500000000007</v>
      </c>
      <c r="P20" s="8">
        <v>3.96E-3</v>
      </c>
      <c r="Q20" s="8">
        <v>2.3000000000000001E-4</v>
      </c>
    </row>
    <row r="21" spans="1:17">
      <c r="A21" s="12">
        <v>1097</v>
      </c>
      <c r="B21" s="12">
        <v>1097</v>
      </c>
      <c r="C21" s="2" t="s">
        <v>88</v>
      </c>
      <c r="D21" s="3" t="s">
        <v>89</v>
      </c>
      <c r="E21" s="2" t="s">
        <v>75</v>
      </c>
      <c r="F21" s="2" t="s">
        <v>93</v>
      </c>
      <c r="G21" s="2" t="s">
        <v>77</v>
      </c>
      <c r="H21" s="2" t="s">
        <v>78</v>
      </c>
      <c r="I21" s="3" t="s">
        <v>79</v>
      </c>
      <c r="J21" s="2" t="s">
        <v>80</v>
      </c>
      <c r="K21" s="2" t="s">
        <v>94</v>
      </c>
      <c r="L21" s="6">
        <v>0.28999999999999998</v>
      </c>
      <c r="M21" s="13">
        <v>3.9550000000000001</v>
      </c>
      <c r="N21" s="8">
        <v>1.2E-2</v>
      </c>
      <c r="O21" s="6">
        <v>1.145</v>
      </c>
      <c r="P21" s="8">
        <v>0</v>
      </c>
      <c r="Q21" s="8">
        <v>0</v>
      </c>
    </row>
    <row r="22" spans="1:17">
      <c r="A22" s="12">
        <v>1097</v>
      </c>
      <c r="B22" s="12">
        <v>1097</v>
      </c>
      <c r="C22" s="2" t="s">
        <v>88</v>
      </c>
      <c r="D22" s="3" t="s">
        <v>89</v>
      </c>
      <c r="E22" s="2" t="s">
        <v>75</v>
      </c>
      <c r="F22" s="2" t="s">
        <v>93</v>
      </c>
      <c r="G22" s="2" t="s">
        <v>77</v>
      </c>
      <c r="H22" s="2" t="s">
        <v>78</v>
      </c>
      <c r="I22" s="3" t="s">
        <v>79</v>
      </c>
      <c r="J22" s="2" t="s">
        <v>80</v>
      </c>
      <c r="K22" s="2" t="s">
        <v>94</v>
      </c>
      <c r="L22" s="6">
        <v>4033.6970000000001</v>
      </c>
      <c r="M22" s="13">
        <v>3.9550000000000001</v>
      </c>
      <c r="N22" s="8">
        <v>1.2E-2</v>
      </c>
      <c r="O22" s="6">
        <v>15954.079</v>
      </c>
      <c r="P22" s="8">
        <v>6.6899999999999998E-3</v>
      </c>
      <c r="Q22" s="8">
        <v>4.0000000000000002E-4</v>
      </c>
    </row>
    <row r="23" spans="1:17">
      <c r="A23" s="12">
        <v>1097</v>
      </c>
      <c r="B23" s="12">
        <v>1097</v>
      </c>
      <c r="C23" s="2" t="s">
        <v>90</v>
      </c>
      <c r="D23" s="3" t="s">
        <v>91</v>
      </c>
      <c r="E23" s="2" t="s">
        <v>75</v>
      </c>
      <c r="F23" s="2" t="s">
        <v>93</v>
      </c>
      <c r="G23" s="2" t="s">
        <v>77</v>
      </c>
      <c r="H23" s="2" t="s">
        <v>78</v>
      </c>
      <c r="I23" s="3" t="s">
        <v>79</v>
      </c>
      <c r="J23" s="2" t="s">
        <v>80</v>
      </c>
      <c r="K23" s="2" t="s">
        <v>94</v>
      </c>
      <c r="L23" s="6">
        <v>0.36199999999999999</v>
      </c>
      <c r="M23" s="13">
        <v>3.9550000000000001</v>
      </c>
      <c r="N23" s="8">
        <v>1.205E-2</v>
      </c>
      <c r="O23" s="6">
        <v>1.431</v>
      </c>
      <c r="P23" s="8">
        <v>0</v>
      </c>
      <c r="Q23" s="8">
        <v>0</v>
      </c>
    </row>
    <row r="24" spans="1:17">
      <c r="A24" s="12">
        <v>1097</v>
      </c>
      <c r="B24" s="12">
        <v>1097</v>
      </c>
      <c r="C24" s="2" t="s">
        <v>2576</v>
      </c>
      <c r="D24" s="3" t="s">
        <v>87</v>
      </c>
      <c r="E24" s="2" t="s">
        <v>75</v>
      </c>
      <c r="F24" s="2" t="s">
        <v>93</v>
      </c>
      <c r="G24" s="2" t="s">
        <v>77</v>
      </c>
      <c r="H24" s="2" t="s">
        <v>78</v>
      </c>
      <c r="I24" s="3" t="s">
        <v>79</v>
      </c>
      <c r="J24" s="2" t="s">
        <v>80</v>
      </c>
      <c r="K24" s="2" t="s">
        <v>95</v>
      </c>
      <c r="L24" s="6">
        <v>240.44300000000001</v>
      </c>
      <c r="M24" s="13">
        <v>2.2029999999999998</v>
      </c>
      <c r="N24" s="8">
        <v>0</v>
      </c>
      <c r="O24" s="6">
        <v>529.74400000000003</v>
      </c>
      <c r="P24" s="8">
        <v>2.2000000000000001E-4</v>
      </c>
      <c r="Q24" s="8">
        <v>1.0000000000000001E-5</v>
      </c>
    </row>
    <row r="25" spans="1:17">
      <c r="A25" s="12">
        <v>1097</v>
      </c>
      <c r="B25" s="12">
        <v>1097</v>
      </c>
      <c r="C25" s="2" t="s">
        <v>88</v>
      </c>
      <c r="D25" s="3" t="s">
        <v>89</v>
      </c>
      <c r="E25" s="2" t="s">
        <v>75</v>
      </c>
      <c r="F25" s="2" t="s">
        <v>93</v>
      </c>
      <c r="G25" s="2" t="s">
        <v>77</v>
      </c>
      <c r="H25" s="2" t="s">
        <v>78</v>
      </c>
      <c r="I25" s="3" t="s">
        <v>79</v>
      </c>
      <c r="J25" s="2" t="s">
        <v>80</v>
      </c>
      <c r="K25" s="2" t="s">
        <v>96</v>
      </c>
      <c r="L25" s="6">
        <v>6226.8710000000001</v>
      </c>
      <c r="M25" s="13">
        <v>3.3719999999999999</v>
      </c>
      <c r="N25" s="8">
        <v>3.6999999999999998E-2</v>
      </c>
      <c r="O25" s="6">
        <v>20997.008000000002</v>
      </c>
      <c r="P25" s="8">
        <v>8.8100000000000001E-3</v>
      </c>
      <c r="Q25" s="8">
        <v>5.1999999999999995E-4</v>
      </c>
    </row>
    <row r="26" spans="1:17">
      <c r="A26" s="12">
        <v>1097</v>
      </c>
      <c r="B26" s="12">
        <v>1097</v>
      </c>
      <c r="C26" s="2" t="s">
        <v>82</v>
      </c>
      <c r="D26" s="3" t="s">
        <v>83</v>
      </c>
      <c r="E26" s="2" t="s">
        <v>75</v>
      </c>
      <c r="F26" s="2" t="s">
        <v>93</v>
      </c>
      <c r="G26" s="2" t="s">
        <v>77</v>
      </c>
      <c r="H26" s="2" t="s">
        <v>78</v>
      </c>
      <c r="I26" s="3" t="s">
        <v>79</v>
      </c>
      <c r="J26" s="2" t="s">
        <v>80</v>
      </c>
      <c r="K26" s="2" t="s">
        <v>96</v>
      </c>
      <c r="L26" s="6">
        <v>21.178999999999998</v>
      </c>
      <c r="M26" s="13">
        <v>3.3719999999999999</v>
      </c>
      <c r="N26" s="8">
        <v>3.9E-2</v>
      </c>
      <c r="O26" s="6">
        <v>71.415999999999997</v>
      </c>
      <c r="P26" s="8">
        <v>3.0000000000000001E-5</v>
      </c>
      <c r="Q26" s="8">
        <v>0</v>
      </c>
    </row>
    <row r="27" spans="1:17">
      <c r="A27" s="12">
        <v>1097</v>
      </c>
      <c r="B27" s="12">
        <v>1097</v>
      </c>
      <c r="C27" s="2" t="s">
        <v>2576</v>
      </c>
      <c r="D27" s="3" t="s">
        <v>87</v>
      </c>
      <c r="E27" s="2" t="s">
        <v>75</v>
      </c>
      <c r="F27" s="2" t="s">
        <v>93</v>
      </c>
      <c r="G27" s="2" t="s">
        <v>77</v>
      </c>
      <c r="H27" s="2" t="s">
        <v>78</v>
      </c>
      <c r="I27" s="3" t="s">
        <v>79</v>
      </c>
      <c r="J27" s="2" t="s">
        <v>80</v>
      </c>
      <c r="K27" s="2" t="s">
        <v>96</v>
      </c>
      <c r="L27" s="6">
        <v>3723.9960000000001</v>
      </c>
      <c r="M27" s="13">
        <v>3.3719999999999999</v>
      </c>
      <c r="N27" s="8">
        <v>3.6400000000000002E-2</v>
      </c>
      <c r="O27" s="6">
        <v>12557.315000000001</v>
      </c>
      <c r="P27" s="8">
        <v>5.2700000000000004E-3</v>
      </c>
      <c r="Q27" s="8">
        <v>3.1E-4</v>
      </c>
    </row>
    <row r="28" spans="1:17">
      <c r="A28" s="12">
        <v>1097</v>
      </c>
      <c r="B28" s="12">
        <v>1097</v>
      </c>
      <c r="C28" s="2" t="s">
        <v>88</v>
      </c>
      <c r="D28" s="3" t="s">
        <v>89</v>
      </c>
      <c r="E28" s="2" t="s">
        <v>75</v>
      </c>
      <c r="F28" s="2" t="s">
        <v>93</v>
      </c>
      <c r="G28" s="2" t="s">
        <v>77</v>
      </c>
      <c r="H28" s="2" t="s">
        <v>78</v>
      </c>
      <c r="I28" s="3" t="s">
        <v>79</v>
      </c>
      <c r="J28" s="2" t="s">
        <v>80</v>
      </c>
      <c r="K28" s="2" t="s">
        <v>96</v>
      </c>
      <c r="L28" s="6">
        <v>5864.1790000000001</v>
      </c>
      <c r="M28" s="13">
        <v>3.3719999999999999</v>
      </c>
      <c r="N28" s="8">
        <v>3.6999999999999998E-2</v>
      </c>
      <c r="O28" s="6">
        <v>19774.012999999999</v>
      </c>
      <c r="P28" s="8">
        <v>8.2900000000000005E-3</v>
      </c>
      <c r="Q28" s="8">
        <v>4.8999999999999998E-4</v>
      </c>
    </row>
    <row r="29" spans="1:17">
      <c r="A29" s="12">
        <v>1097</v>
      </c>
      <c r="B29" s="12">
        <v>1097</v>
      </c>
      <c r="C29" s="2" t="s">
        <v>90</v>
      </c>
      <c r="D29" s="3" t="s">
        <v>91</v>
      </c>
      <c r="E29" s="2" t="s">
        <v>75</v>
      </c>
      <c r="F29" s="2" t="s">
        <v>93</v>
      </c>
      <c r="G29" s="2" t="s">
        <v>77</v>
      </c>
      <c r="H29" s="2" t="s">
        <v>78</v>
      </c>
      <c r="I29" s="3" t="s">
        <v>79</v>
      </c>
      <c r="J29" s="2" t="s">
        <v>80</v>
      </c>
      <c r="K29" s="2" t="s">
        <v>96</v>
      </c>
      <c r="L29" s="6">
        <v>559.63599999999997</v>
      </c>
      <c r="M29" s="13">
        <v>3.3719999999999999</v>
      </c>
      <c r="N29" s="8">
        <v>3.6400000000000002E-2</v>
      </c>
      <c r="O29" s="6">
        <v>1887.0920000000001</v>
      </c>
      <c r="P29" s="8">
        <v>7.9000000000000001E-4</v>
      </c>
      <c r="Q29" s="8">
        <v>5.0000000000000002E-5</v>
      </c>
    </row>
    <row r="30" spans="1:17">
      <c r="A30" s="12">
        <v>1097</v>
      </c>
      <c r="B30" s="12">
        <v>1097</v>
      </c>
      <c r="C30" s="2" t="s">
        <v>90</v>
      </c>
      <c r="D30" s="3" t="s">
        <v>91</v>
      </c>
      <c r="E30" s="2" t="s">
        <v>75</v>
      </c>
      <c r="F30" s="2" t="s">
        <v>93</v>
      </c>
      <c r="G30" s="2" t="s">
        <v>77</v>
      </c>
      <c r="H30" s="2" t="s">
        <v>78</v>
      </c>
      <c r="I30" s="3" t="s">
        <v>79</v>
      </c>
      <c r="J30" s="2" t="s">
        <v>80</v>
      </c>
      <c r="K30" s="2" t="s">
        <v>96</v>
      </c>
      <c r="L30" s="6">
        <v>0</v>
      </c>
      <c r="M30" s="13">
        <v>3.3719999999999999</v>
      </c>
      <c r="N30" s="8">
        <v>3.6400000000000002E-2</v>
      </c>
      <c r="O30" s="6">
        <v>1E-3</v>
      </c>
      <c r="P30" s="8">
        <v>0</v>
      </c>
      <c r="Q30" s="8">
        <v>0</v>
      </c>
    </row>
    <row r="31" spans="1:17">
      <c r="A31" s="12">
        <v>1097</v>
      </c>
      <c r="B31" s="12">
        <v>1097</v>
      </c>
      <c r="C31" s="2" t="s">
        <v>85</v>
      </c>
      <c r="D31" s="3" t="s">
        <v>86</v>
      </c>
      <c r="E31" s="2" t="s">
        <v>75</v>
      </c>
      <c r="F31" s="2" t="s">
        <v>93</v>
      </c>
      <c r="G31" s="2" t="s">
        <v>77</v>
      </c>
      <c r="H31" s="2" t="s">
        <v>78</v>
      </c>
      <c r="I31" s="3" t="s">
        <v>79</v>
      </c>
      <c r="J31" s="2" t="s">
        <v>80</v>
      </c>
      <c r="K31" s="2" t="s">
        <v>96</v>
      </c>
      <c r="L31" s="6">
        <v>19769.244999999999</v>
      </c>
      <c r="M31" s="13">
        <v>3.3719999999999999</v>
      </c>
      <c r="N31" s="8">
        <v>0.04</v>
      </c>
      <c r="O31" s="6">
        <v>66661.892999999996</v>
      </c>
      <c r="P31" s="8">
        <v>2.7959999999999999E-2</v>
      </c>
      <c r="Q31" s="8">
        <v>1.65E-3</v>
      </c>
    </row>
    <row r="32" spans="1:17">
      <c r="A32" s="12">
        <v>1097</v>
      </c>
      <c r="B32" s="12">
        <v>1097</v>
      </c>
      <c r="C32" s="2" t="s">
        <v>82</v>
      </c>
      <c r="D32" s="3" t="s">
        <v>83</v>
      </c>
      <c r="E32" s="2" t="s">
        <v>75</v>
      </c>
      <c r="F32" s="2" t="s">
        <v>93</v>
      </c>
      <c r="G32" s="2" t="s">
        <v>77</v>
      </c>
      <c r="H32" s="2" t="s">
        <v>78</v>
      </c>
      <c r="I32" s="3" t="s">
        <v>79</v>
      </c>
      <c r="J32" s="2" t="s">
        <v>80</v>
      </c>
      <c r="K32" s="2" t="s">
        <v>96</v>
      </c>
      <c r="L32" s="6">
        <v>709.21400000000006</v>
      </c>
      <c r="M32" s="13">
        <v>3.3719999999999999</v>
      </c>
      <c r="N32" s="8">
        <v>3.9E-2</v>
      </c>
      <c r="O32" s="6">
        <v>2391.4699999999998</v>
      </c>
      <c r="P32" s="8">
        <v>1E-3</v>
      </c>
      <c r="Q32" s="8">
        <v>6.0000000000000002E-5</v>
      </c>
    </row>
    <row r="33" spans="1:17">
      <c r="A33" s="12">
        <v>1097</v>
      </c>
      <c r="B33" s="12">
        <v>1097</v>
      </c>
      <c r="C33" s="2" t="s">
        <v>82</v>
      </c>
      <c r="D33" s="3" t="s">
        <v>83</v>
      </c>
      <c r="E33" s="2" t="s">
        <v>75</v>
      </c>
      <c r="F33" s="2" t="s">
        <v>93</v>
      </c>
      <c r="G33" s="2" t="s">
        <v>77</v>
      </c>
      <c r="H33" s="2" t="s">
        <v>78</v>
      </c>
      <c r="I33" s="3" t="s">
        <v>79</v>
      </c>
      <c r="J33" s="2" t="s">
        <v>80</v>
      </c>
      <c r="K33" s="2" t="s">
        <v>96</v>
      </c>
      <c r="L33" s="6">
        <v>1182.4169999999999</v>
      </c>
      <c r="M33" s="13">
        <v>3.3719999999999999</v>
      </c>
      <c r="N33" s="8">
        <v>3.9E-2</v>
      </c>
      <c r="O33" s="6">
        <v>3987.1109999999999</v>
      </c>
      <c r="P33" s="8">
        <v>1.67E-3</v>
      </c>
      <c r="Q33" s="8">
        <v>1E-4</v>
      </c>
    </row>
    <row r="34" spans="1:17">
      <c r="A34" s="12">
        <v>1097</v>
      </c>
      <c r="B34" s="12">
        <v>1097</v>
      </c>
      <c r="C34" s="2" t="s">
        <v>82</v>
      </c>
      <c r="D34" s="3" t="s">
        <v>83</v>
      </c>
      <c r="E34" s="2" t="s">
        <v>75</v>
      </c>
      <c r="F34" s="2" t="s">
        <v>93</v>
      </c>
      <c r="G34" s="2" t="s">
        <v>77</v>
      </c>
      <c r="H34" s="2" t="s">
        <v>78</v>
      </c>
      <c r="I34" s="3" t="s">
        <v>79</v>
      </c>
      <c r="J34" s="2" t="s">
        <v>80</v>
      </c>
      <c r="K34" s="2" t="s">
        <v>96</v>
      </c>
      <c r="L34" s="6">
        <v>0.111</v>
      </c>
      <c r="M34" s="13">
        <v>3.3719999999999999</v>
      </c>
      <c r="N34" s="8">
        <v>3.9E-2</v>
      </c>
      <c r="O34" s="6">
        <v>0.374</v>
      </c>
      <c r="P34" s="8">
        <v>0</v>
      </c>
      <c r="Q34" s="8">
        <v>0</v>
      </c>
    </row>
    <row r="35" spans="1:17">
      <c r="A35" s="12">
        <v>1097</v>
      </c>
      <c r="B35" s="12">
        <v>1097</v>
      </c>
      <c r="C35" s="2" t="s">
        <v>2576</v>
      </c>
      <c r="D35" s="3" t="s">
        <v>87</v>
      </c>
      <c r="E35" s="2" t="s">
        <v>75</v>
      </c>
      <c r="F35" s="2" t="s">
        <v>93</v>
      </c>
      <c r="G35" s="2" t="s">
        <v>77</v>
      </c>
      <c r="H35" s="2" t="s">
        <v>78</v>
      </c>
      <c r="I35" s="3" t="s">
        <v>79</v>
      </c>
      <c r="J35" s="2" t="s">
        <v>80</v>
      </c>
      <c r="K35" s="2" t="s">
        <v>97</v>
      </c>
      <c r="L35" s="6">
        <v>635.29399999999998</v>
      </c>
      <c r="M35" s="13">
        <v>0.42899999999999999</v>
      </c>
      <c r="N35" s="8">
        <v>0</v>
      </c>
      <c r="O35" s="6">
        <v>272.351</v>
      </c>
      <c r="P35" s="8">
        <v>1.1E-4</v>
      </c>
      <c r="Q35" s="8">
        <v>1.0000000000000001E-5</v>
      </c>
    </row>
    <row r="36" spans="1:17">
      <c r="A36" s="12">
        <v>1097</v>
      </c>
      <c r="B36" s="12">
        <v>1097</v>
      </c>
      <c r="C36" s="2" t="s">
        <v>2576</v>
      </c>
      <c r="D36" s="3" t="s">
        <v>87</v>
      </c>
      <c r="E36" s="2" t="s">
        <v>75</v>
      </c>
      <c r="F36" s="2" t="s">
        <v>93</v>
      </c>
      <c r="G36" s="2" t="s">
        <v>77</v>
      </c>
      <c r="H36" s="2" t="s">
        <v>78</v>
      </c>
      <c r="I36" s="3" t="s">
        <v>79</v>
      </c>
      <c r="J36" s="2" t="s">
        <v>80</v>
      </c>
      <c r="K36" s="2" t="s">
        <v>98</v>
      </c>
      <c r="L36" s="6">
        <v>9863.9940000000006</v>
      </c>
      <c r="M36" s="13">
        <v>2.3370000000000002</v>
      </c>
      <c r="N36" s="8">
        <v>0</v>
      </c>
      <c r="O36" s="6">
        <v>230.512</v>
      </c>
      <c r="P36" s="8">
        <v>1E-4</v>
      </c>
      <c r="Q36" s="8">
        <v>1.0000000000000001E-5</v>
      </c>
    </row>
    <row r="37" spans="1:17">
      <c r="A37" s="12">
        <v>1097</v>
      </c>
      <c r="B37" s="12">
        <v>1097</v>
      </c>
      <c r="C37" s="2" t="s">
        <v>85</v>
      </c>
      <c r="D37" s="3" t="s">
        <v>86</v>
      </c>
      <c r="E37" s="2" t="s">
        <v>75</v>
      </c>
      <c r="F37" s="2" t="s">
        <v>93</v>
      </c>
      <c r="G37" s="2" t="s">
        <v>77</v>
      </c>
      <c r="H37" s="2" t="s">
        <v>78</v>
      </c>
      <c r="I37" s="3" t="s">
        <v>79</v>
      </c>
      <c r="J37" s="2" t="s">
        <v>80</v>
      </c>
      <c r="K37" s="2" t="s">
        <v>98</v>
      </c>
      <c r="L37" s="6">
        <v>0</v>
      </c>
      <c r="M37" s="13">
        <v>2.3370000000000002</v>
      </c>
      <c r="N37" s="8">
        <v>0</v>
      </c>
      <c r="O37" s="6">
        <v>0</v>
      </c>
      <c r="P37" s="8">
        <v>0</v>
      </c>
      <c r="Q37" s="8">
        <v>0</v>
      </c>
    </row>
    <row r="38" spans="1:17">
      <c r="A38" s="12">
        <v>1097</v>
      </c>
      <c r="B38" s="12">
        <v>1097</v>
      </c>
      <c r="C38" s="2" t="s">
        <v>2576</v>
      </c>
      <c r="D38" s="3" t="s">
        <v>87</v>
      </c>
      <c r="E38" s="2" t="s">
        <v>75</v>
      </c>
      <c r="F38" s="2" t="s">
        <v>93</v>
      </c>
      <c r="G38" s="2" t="s">
        <v>77</v>
      </c>
      <c r="H38" s="2" t="s">
        <v>78</v>
      </c>
      <c r="I38" s="3" t="s">
        <v>79</v>
      </c>
      <c r="J38" s="2" t="s">
        <v>80</v>
      </c>
      <c r="K38" s="2" t="s">
        <v>99</v>
      </c>
      <c r="L38" s="6">
        <v>964.64400000000001</v>
      </c>
      <c r="M38" s="13">
        <v>0.53</v>
      </c>
      <c r="N38" s="8">
        <v>0</v>
      </c>
      <c r="O38" s="6">
        <v>511.358</v>
      </c>
      <c r="P38" s="8">
        <v>2.1000000000000001E-4</v>
      </c>
      <c r="Q38" s="8">
        <v>1.0000000000000001E-5</v>
      </c>
    </row>
    <row r="39" spans="1:17">
      <c r="A39" s="12">
        <v>1097</v>
      </c>
      <c r="B39" s="12">
        <v>1097</v>
      </c>
      <c r="C39" s="2" t="s">
        <v>2576</v>
      </c>
      <c r="D39" s="3" t="s">
        <v>87</v>
      </c>
      <c r="E39" s="2" t="s">
        <v>75</v>
      </c>
      <c r="F39" s="2" t="s">
        <v>93</v>
      </c>
      <c r="G39" s="2" t="s">
        <v>77</v>
      </c>
      <c r="H39" s="2" t="s">
        <v>78</v>
      </c>
      <c r="I39" s="3" t="s">
        <v>79</v>
      </c>
      <c r="J39" s="2" t="s">
        <v>80</v>
      </c>
      <c r="K39" s="2" t="s">
        <v>100</v>
      </c>
      <c r="L39" s="6">
        <v>280.238</v>
      </c>
      <c r="M39" s="13">
        <v>4.6239999999999997</v>
      </c>
      <c r="N39" s="8">
        <v>0</v>
      </c>
      <c r="O39" s="6">
        <v>1295.7090000000001</v>
      </c>
      <c r="P39" s="8">
        <v>5.4000000000000001E-4</v>
      </c>
      <c r="Q39" s="8">
        <v>3.0000000000000001E-5</v>
      </c>
    </row>
    <row r="40" spans="1:17">
      <c r="A40" s="12">
        <v>1097</v>
      </c>
      <c r="B40" s="12">
        <v>1097</v>
      </c>
      <c r="C40" s="2" t="s">
        <v>2576</v>
      </c>
      <c r="D40" s="3" t="s">
        <v>87</v>
      </c>
      <c r="E40" s="2" t="s">
        <v>75</v>
      </c>
      <c r="F40" s="2" t="s">
        <v>93</v>
      </c>
      <c r="G40" s="2" t="s">
        <v>77</v>
      </c>
      <c r="H40" s="2" t="s">
        <v>78</v>
      </c>
      <c r="I40" s="3" t="s">
        <v>79</v>
      </c>
      <c r="J40" s="2" t="s">
        <v>80</v>
      </c>
      <c r="K40" s="2" t="s">
        <v>101</v>
      </c>
      <c r="L40" s="6">
        <v>1721.25</v>
      </c>
      <c r="M40" s="13">
        <v>0.17899999999999999</v>
      </c>
      <c r="N40" s="8">
        <v>0</v>
      </c>
      <c r="O40" s="6">
        <v>307.41500000000002</v>
      </c>
      <c r="P40" s="8">
        <v>1.2999999999999999E-4</v>
      </c>
      <c r="Q40" s="8">
        <v>1.0000000000000001E-5</v>
      </c>
    </row>
    <row r="41" spans="1:17">
      <c r="A41" s="12">
        <v>1097</v>
      </c>
      <c r="B41" s="12">
        <v>1097</v>
      </c>
      <c r="C41" s="2" t="s">
        <v>2576</v>
      </c>
      <c r="D41" s="3" t="s">
        <v>87</v>
      </c>
      <c r="E41" s="2" t="s">
        <v>75</v>
      </c>
      <c r="F41" s="2" t="s">
        <v>93</v>
      </c>
      <c r="G41" s="2" t="s">
        <v>77</v>
      </c>
      <c r="H41" s="2" t="s">
        <v>78</v>
      </c>
      <c r="I41" s="3" t="s">
        <v>79</v>
      </c>
      <c r="J41" s="2" t="s">
        <v>80</v>
      </c>
      <c r="K41" s="2" t="s">
        <v>102</v>
      </c>
      <c r="L41" s="6">
        <v>2053.66</v>
      </c>
      <c r="M41" s="13">
        <v>0.98799999999999999</v>
      </c>
      <c r="N41" s="8">
        <v>0</v>
      </c>
      <c r="O41" s="6">
        <v>20.288</v>
      </c>
      <c r="P41" s="8">
        <v>1.0000000000000001E-5</v>
      </c>
      <c r="Q41" s="8">
        <v>0</v>
      </c>
    </row>
    <row r="42" spans="1:17">
      <c r="A42" s="12">
        <v>1097</v>
      </c>
      <c r="B42" s="12">
        <v>1097</v>
      </c>
      <c r="C42" s="2" t="s">
        <v>2576</v>
      </c>
      <c r="D42" s="3" t="s">
        <v>87</v>
      </c>
      <c r="E42" s="2" t="s">
        <v>75</v>
      </c>
      <c r="F42" s="2" t="s">
        <v>93</v>
      </c>
      <c r="G42" s="2" t="s">
        <v>77</v>
      </c>
      <c r="H42" s="2" t="s">
        <v>78</v>
      </c>
      <c r="I42" s="3" t="s">
        <v>79</v>
      </c>
      <c r="J42" s="2" t="s">
        <v>80</v>
      </c>
      <c r="K42" s="2" t="s">
        <v>103</v>
      </c>
      <c r="L42" s="6">
        <v>136.99199999999999</v>
      </c>
      <c r="M42" s="13">
        <v>4.2309999999999999</v>
      </c>
      <c r="N42" s="8">
        <v>0</v>
      </c>
      <c r="O42" s="6">
        <v>579.66899999999998</v>
      </c>
      <c r="P42" s="8">
        <v>2.4000000000000001E-4</v>
      </c>
      <c r="Q42" s="8">
        <v>1.0000000000000001E-5</v>
      </c>
    </row>
    <row r="43" spans="1:17">
      <c r="A43" s="12">
        <v>1097</v>
      </c>
      <c r="B43" s="12">
        <v>1097</v>
      </c>
      <c r="C43" s="2" t="s">
        <v>85</v>
      </c>
      <c r="D43" s="3" t="s">
        <v>86</v>
      </c>
      <c r="E43" s="2" t="s">
        <v>75</v>
      </c>
      <c r="F43" s="2" t="s">
        <v>104</v>
      </c>
      <c r="G43" s="2" t="s">
        <v>77</v>
      </c>
      <c r="H43" s="2" t="s">
        <v>78</v>
      </c>
      <c r="I43" s="3" t="s">
        <v>79</v>
      </c>
      <c r="J43" s="2" t="s">
        <v>80</v>
      </c>
      <c r="K43" s="2" t="s">
        <v>81</v>
      </c>
      <c r="L43" s="6">
        <v>7703.6480000000001</v>
      </c>
      <c r="M43" s="13">
        <v>1</v>
      </c>
      <c r="N43" s="8">
        <v>4.2000000000000003E-2</v>
      </c>
      <c r="O43" s="6">
        <v>7703.6480000000001</v>
      </c>
      <c r="P43" s="8">
        <v>3.2299999999999998E-3</v>
      </c>
      <c r="Q43" s="8">
        <v>1.9000000000000001E-4</v>
      </c>
    </row>
    <row r="44" spans="1:17">
      <c r="A44" s="12">
        <v>1097</v>
      </c>
      <c r="B44" s="12">
        <v>1097</v>
      </c>
      <c r="C44" s="2" t="s">
        <v>85</v>
      </c>
      <c r="D44" s="3" t="s">
        <v>86</v>
      </c>
      <c r="E44" s="2" t="s">
        <v>75</v>
      </c>
      <c r="F44" s="2" t="s">
        <v>104</v>
      </c>
      <c r="G44" s="2" t="s">
        <v>77</v>
      </c>
      <c r="H44" s="2" t="s">
        <v>78</v>
      </c>
      <c r="I44" s="3" t="s">
        <v>79</v>
      </c>
      <c r="J44" s="2" t="s">
        <v>80</v>
      </c>
      <c r="K44" s="2" t="s">
        <v>81</v>
      </c>
      <c r="L44" s="6">
        <v>286955.73300000001</v>
      </c>
      <c r="M44" s="13">
        <v>1</v>
      </c>
      <c r="N44" s="8">
        <v>4.2000000000000003E-2</v>
      </c>
      <c r="O44" s="6">
        <v>286955.73300000001</v>
      </c>
      <c r="P44" s="8">
        <v>0.12034</v>
      </c>
      <c r="Q44" s="8">
        <v>7.1199999999999996E-3</v>
      </c>
    </row>
    <row r="45" spans="1:17">
      <c r="A45" s="12">
        <v>1097</v>
      </c>
      <c r="B45" s="12">
        <v>1097</v>
      </c>
      <c r="C45" s="2" t="s">
        <v>85</v>
      </c>
      <c r="D45" s="3" t="s">
        <v>86</v>
      </c>
      <c r="E45" s="2" t="s">
        <v>75</v>
      </c>
      <c r="F45" s="2" t="s">
        <v>104</v>
      </c>
      <c r="G45" s="2" t="s">
        <v>77</v>
      </c>
      <c r="H45" s="2" t="s">
        <v>78</v>
      </c>
      <c r="I45" s="3" t="s">
        <v>79</v>
      </c>
      <c r="J45" s="2" t="s">
        <v>80</v>
      </c>
      <c r="K45" s="2" t="s">
        <v>81</v>
      </c>
      <c r="L45" s="6">
        <v>13217.290999999999</v>
      </c>
      <c r="M45" s="13">
        <v>1</v>
      </c>
      <c r="N45" s="8">
        <v>4.2000000000000003E-2</v>
      </c>
      <c r="O45" s="6">
        <v>13217.290999999999</v>
      </c>
      <c r="P45" s="8">
        <v>5.5399999999999998E-3</v>
      </c>
      <c r="Q45" s="8">
        <v>3.3E-4</v>
      </c>
    </row>
    <row r="46" spans="1:17">
      <c r="A46" s="12">
        <v>1097</v>
      </c>
      <c r="B46" s="12">
        <v>1097</v>
      </c>
      <c r="C46" s="2" t="s">
        <v>85</v>
      </c>
      <c r="D46" s="3" t="s">
        <v>86</v>
      </c>
      <c r="E46" s="2" t="s">
        <v>75</v>
      </c>
      <c r="F46" s="2" t="s">
        <v>104</v>
      </c>
      <c r="G46" s="2" t="s">
        <v>77</v>
      </c>
      <c r="H46" s="2" t="s">
        <v>78</v>
      </c>
      <c r="I46" s="3" t="s">
        <v>79</v>
      </c>
      <c r="J46" s="2" t="s">
        <v>80</v>
      </c>
      <c r="K46" s="2" t="s">
        <v>81</v>
      </c>
      <c r="L46" s="6">
        <v>17.835999999999999</v>
      </c>
      <c r="M46" s="13">
        <v>1</v>
      </c>
      <c r="N46" s="8">
        <v>0</v>
      </c>
      <c r="O46" s="6">
        <v>17.835999999999999</v>
      </c>
      <c r="P46" s="8">
        <v>1.0000000000000001E-5</v>
      </c>
      <c r="Q46" s="8">
        <v>0</v>
      </c>
    </row>
    <row r="47" spans="1:17">
      <c r="A47" s="12">
        <v>1097</v>
      </c>
      <c r="B47" s="12">
        <v>1097</v>
      </c>
      <c r="C47" s="2" t="s">
        <v>85</v>
      </c>
      <c r="D47" s="3" t="s">
        <v>86</v>
      </c>
      <c r="E47" s="2" t="s">
        <v>75</v>
      </c>
      <c r="F47" s="2" t="s">
        <v>104</v>
      </c>
      <c r="G47" s="2" t="s">
        <v>77</v>
      </c>
      <c r="H47" s="2" t="s">
        <v>78</v>
      </c>
      <c r="I47" s="3" t="s">
        <v>79</v>
      </c>
      <c r="J47" s="2" t="s">
        <v>80</v>
      </c>
      <c r="K47" s="2" t="s">
        <v>81</v>
      </c>
      <c r="L47" s="6">
        <v>7974.1350000000002</v>
      </c>
      <c r="M47" s="13">
        <v>1</v>
      </c>
      <c r="N47" s="8">
        <v>4.2000000000000003E-2</v>
      </c>
      <c r="O47" s="6">
        <v>7974.1350000000002</v>
      </c>
      <c r="P47" s="8">
        <v>3.3400000000000001E-3</v>
      </c>
      <c r="Q47" s="8">
        <v>2.0000000000000001E-4</v>
      </c>
    </row>
    <row r="48" spans="1:17">
      <c r="A48" s="12">
        <v>1097</v>
      </c>
      <c r="B48" s="12">
        <v>1097</v>
      </c>
      <c r="C48" s="2" t="s">
        <v>106</v>
      </c>
      <c r="D48" s="3" t="s">
        <v>107</v>
      </c>
      <c r="E48" s="2" t="s">
        <v>108</v>
      </c>
      <c r="F48" s="2" t="s">
        <v>93</v>
      </c>
      <c r="G48" s="2" t="s">
        <v>109</v>
      </c>
      <c r="H48" s="2" t="s">
        <v>78</v>
      </c>
      <c r="I48" s="3" t="s">
        <v>110</v>
      </c>
      <c r="J48" s="2" t="s">
        <v>111</v>
      </c>
      <c r="K48" s="2" t="s">
        <v>96</v>
      </c>
      <c r="L48" s="6">
        <v>231.30099999999999</v>
      </c>
      <c r="M48" s="13">
        <v>3.3719999999999999</v>
      </c>
      <c r="N48" s="8">
        <v>0</v>
      </c>
      <c r="O48" s="6">
        <v>779.94600000000003</v>
      </c>
      <c r="P48" s="8">
        <v>3.3E-4</v>
      </c>
      <c r="Q48" s="8">
        <v>2.0000000000000002E-5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112</v>
      </c>
      <c r="D1" s="1" t="s">
        <v>113</v>
      </c>
      <c r="E1" s="1" t="s">
        <v>114</v>
      </c>
      <c r="F1" s="1" t="s">
        <v>63</v>
      </c>
      <c r="G1" s="1" t="s">
        <v>64</v>
      </c>
      <c r="H1" s="1" t="s">
        <v>115</v>
      </c>
      <c r="I1" s="1" t="s">
        <v>116</v>
      </c>
      <c r="J1" s="1" t="s">
        <v>117</v>
      </c>
      <c r="K1" s="1" t="s">
        <v>67</v>
      </c>
      <c r="L1" s="1" t="s">
        <v>68</v>
      </c>
      <c r="M1" s="1" t="s">
        <v>118</v>
      </c>
      <c r="N1" s="1" t="s">
        <v>119</v>
      </c>
      <c r="O1" s="1" t="s">
        <v>71</v>
      </c>
      <c r="P1" s="1" t="s">
        <v>120</v>
      </c>
      <c r="Q1" s="1" t="s">
        <v>121</v>
      </c>
      <c r="R1" s="1" t="s">
        <v>122</v>
      </c>
      <c r="S1" s="1" t="s">
        <v>70</v>
      </c>
      <c r="T1" s="1" t="s">
        <v>123</v>
      </c>
      <c r="U1" s="1" t="s">
        <v>72</v>
      </c>
      <c r="V1" s="1" t="s">
        <v>124</v>
      </c>
      <c r="W1" s="1" t="s">
        <v>25</v>
      </c>
      <c r="X1" s="1" t="s">
        <v>125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126</v>
      </c>
      <c r="D2" s="2" t="s">
        <v>127</v>
      </c>
      <c r="E2" s="12" t="s">
        <v>128</v>
      </c>
      <c r="F2" s="2" t="s">
        <v>129</v>
      </c>
      <c r="G2" s="2" t="s">
        <v>77</v>
      </c>
      <c r="H2" s="2" t="s">
        <v>77</v>
      </c>
      <c r="I2" s="3" t="s">
        <v>130</v>
      </c>
      <c r="J2" s="3" t="s">
        <v>131</v>
      </c>
      <c r="K2" s="2" t="s">
        <v>132</v>
      </c>
      <c r="L2" s="2" t="s">
        <v>81</v>
      </c>
      <c r="M2" s="13">
        <v>0.6</v>
      </c>
      <c r="N2" s="2" t="s">
        <v>133</v>
      </c>
      <c r="O2" s="8">
        <v>0</v>
      </c>
      <c r="P2" s="8">
        <v>4.2389999999999997E-2</v>
      </c>
      <c r="Q2" s="6">
        <v>0</v>
      </c>
      <c r="R2" s="6">
        <v>349150000</v>
      </c>
      <c r="S2" s="13">
        <v>1</v>
      </c>
      <c r="T2" s="6">
        <v>97.54</v>
      </c>
      <c r="U2" s="6">
        <v>340560.91</v>
      </c>
      <c r="W2" s="2" t="s">
        <v>23</v>
      </c>
      <c r="X2" s="8">
        <v>1.9400000000000001E-2</v>
      </c>
      <c r="Y2" s="8">
        <v>1.506E-2</v>
      </c>
      <c r="Z2" s="8">
        <v>8.4499999999999992E-3</v>
      </c>
    </row>
    <row r="3" spans="1:26">
      <c r="A3" s="12">
        <v>1097</v>
      </c>
      <c r="B3" s="12">
        <v>1097</v>
      </c>
      <c r="C3" s="2" t="s">
        <v>126</v>
      </c>
      <c r="D3" s="2" t="s">
        <v>134</v>
      </c>
      <c r="E3" s="12" t="s">
        <v>135</v>
      </c>
      <c r="F3" s="2" t="s">
        <v>129</v>
      </c>
      <c r="G3" s="2" t="s">
        <v>77</v>
      </c>
      <c r="H3" s="2" t="s">
        <v>77</v>
      </c>
      <c r="I3" s="3" t="s">
        <v>130</v>
      </c>
      <c r="J3" s="3" t="s">
        <v>131</v>
      </c>
      <c r="K3" s="2" t="s">
        <v>132</v>
      </c>
      <c r="L3" s="2" t="s">
        <v>81</v>
      </c>
      <c r="M3" s="13">
        <v>0.10100000000000001</v>
      </c>
      <c r="N3" s="2" t="s">
        <v>136</v>
      </c>
      <c r="O3" s="8">
        <v>0</v>
      </c>
      <c r="P3" s="8">
        <v>4.1360000000000001E-2</v>
      </c>
      <c r="Q3" s="6">
        <v>0</v>
      </c>
      <c r="R3" s="6">
        <v>302000000</v>
      </c>
      <c r="S3" s="13">
        <v>1</v>
      </c>
      <c r="T3" s="6">
        <v>99.59</v>
      </c>
      <c r="U3" s="6">
        <v>300761.8</v>
      </c>
      <c r="W3" s="2" t="s">
        <v>23</v>
      </c>
      <c r="X3" s="8">
        <v>1.0070000000000001E-2</v>
      </c>
      <c r="Y3" s="8">
        <v>1.3299999999999999E-2</v>
      </c>
      <c r="Z3" s="8">
        <v>7.4599999999999996E-3</v>
      </c>
    </row>
    <row r="4" spans="1:26">
      <c r="A4" s="12">
        <v>1097</v>
      </c>
      <c r="B4" s="12">
        <v>1097</v>
      </c>
      <c r="C4" s="2" t="s">
        <v>126</v>
      </c>
      <c r="D4" s="2" t="s">
        <v>137</v>
      </c>
      <c r="E4" s="12" t="s">
        <v>138</v>
      </c>
      <c r="F4" s="2" t="s">
        <v>129</v>
      </c>
      <c r="G4" s="2" t="s">
        <v>77</v>
      </c>
      <c r="H4" s="2" t="s">
        <v>77</v>
      </c>
      <c r="I4" s="3" t="s">
        <v>130</v>
      </c>
      <c r="J4" s="3" t="s">
        <v>131</v>
      </c>
      <c r="K4" s="2" t="s">
        <v>132</v>
      </c>
      <c r="L4" s="2" t="s">
        <v>81</v>
      </c>
      <c r="M4" s="13">
        <v>0.26</v>
      </c>
      <c r="N4" s="2" t="s">
        <v>139</v>
      </c>
      <c r="O4" s="8">
        <v>0</v>
      </c>
      <c r="P4" s="8">
        <v>4.2599999999999999E-2</v>
      </c>
      <c r="Q4" s="6">
        <v>0</v>
      </c>
      <c r="R4" s="6">
        <v>217320000</v>
      </c>
      <c r="S4" s="13">
        <v>1</v>
      </c>
      <c r="T4" s="6">
        <v>98.92</v>
      </c>
      <c r="U4" s="6">
        <v>214972.94399999999</v>
      </c>
      <c r="W4" s="2" t="s">
        <v>23</v>
      </c>
      <c r="X4" s="8">
        <v>1.5520000000000001E-2</v>
      </c>
      <c r="Y4" s="8">
        <v>9.4999999999999998E-3</v>
      </c>
      <c r="Z4" s="8">
        <v>5.3299999999999997E-3</v>
      </c>
    </row>
    <row r="5" spans="1:26">
      <c r="A5" s="12">
        <v>1097</v>
      </c>
      <c r="B5" s="12">
        <v>1097</v>
      </c>
      <c r="C5" s="2" t="s">
        <v>126</v>
      </c>
      <c r="D5" s="2" t="s">
        <v>140</v>
      </c>
      <c r="E5" s="12" t="s">
        <v>141</v>
      </c>
      <c r="F5" s="2" t="s">
        <v>129</v>
      </c>
      <c r="G5" s="2" t="s">
        <v>77</v>
      </c>
      <c r="H5" s="2" t="s">
        <v>77</v>
      </c>
      <c r="I5" s="3" t="s">
        <v>130</v>
      </c>
      <c r="J5" s="3" t="s">
        <v>131</v>
      </c>
      <c r="K5" s="2" t="s">
        <v>132</v>
      </c>
      <c r="L5" s="2" t="s">
        <v>81</v>
      </c>
      <c r="M5" s="13">
        <v>0.17799999999999999</v>
      </c>
      <c r="N5" s="2" t="s">
        <v>142</v>
      </c>
      <c r="O5" s="8">
        <v>0</v>
      </c>
      <c r="P5" s="8">
        <v>4.2590000000000003E-2</v>
      </c>
      <c r="Q5" s="6">
        <v>0</v>
      </c>
      <c r="R5" s="6">
        <v>533024806</v>
      </c>
      <c r="S5" s="13">
        <v>1</v>
      </c>
      <c r="T5" s="6">
        <v>99.26</v>
      </c>
      <c r="U5" s="6">
        <v>529080.42200000002</v>
      </c>
      <c r="W5" s="2" t="s">
        <v>23</v>
      </c>
      <c r="X5" s="8">
        <v>1.9040000000000001E-2</v>
      </c>
      <c r="Y5" s="8">
        <v>2.3390000000000001E-2</v>
      </c>
      <c r="Z5" s="8">
        <v>1.3129999999999999E-2</v>
      </c>
    </row>
    <row r="6" spans="1:26">
      <c r="A6" s="12">
        <v>1097</v>
      </c>
      <c r="B6" s="12">
        <v>1097</v>
      </c>
      <c r="C6" s="2" t="s">
        <v>126</v>
      </c>
      <c r="D6" s="2" t="s">
        <v>143</v>
      </c>
      <c r="E6" s="12" t="s">
        <v>144</v>
      </c>
      <c r="F6" s="2" t="s">
        <v>129</v>
      </c>
      <c r="G6" s="2" t="s">
        <v>77</v>
      </c>
      <c r="H6" s="2" t="s">
        <v>77</v>
      </c>
      <c r="I6" s="3" t="s">
        <v>130</v>
      </c>
      <c r="J6" s="3" t="s">
        <v>131</v>
      </c>
      <c r="K6" s="2" t="s">
        <v>132</v>
      </c>
      <c r="L6" s="2" t="s">
        <v>81</v>
      </c>
      <c r="M6" s="13">
        <v>0.753</v>
      </c>
      <c r="N6" s="2" t="s">
        <v>145</v>
      </c>
      <c r="O6" s="8">
        <v>0</v>
      </c>
      <c r="P6" s="8">
        <v>4.1540000000000001E-2</v>
      </c>
      <c r="Q6" s="6">
        <v>0</v>
      </c>
      <c r="R6" s="6">
        <v>52000000</v>
      </c>
      <c r="S6" s="13">
        <v>1</v>
      </c>
      <c r="T6" s="6">
        <v>96.98</v>
      </c>
      <c r="U6" s="6">
        <v>50429.599999999999</v>
      </c>
      <c r="W6" s="2" t="s">
        <v>23</v>
      </c>
      <c r="X6" s="8">
        <v>2.8900000000000002E-3</v>
      </c>
      <c r="Y6" s="8">
        <v>2.2300000000000002E-3</v>
      </c>
      <c r="Z6" s="8">
        <v>1.25E-3</v>
      </c>
    </row>
    <row r="7" spans="1:26">
      <c r="A7" s="12">
        <v>1097</v>
      </c>
      <c r="B7" s="12">
        <v>1097</v>
      </c>
      <c r="C7" s="2" t="s">
        <v>126</v>
      </c>
      <c r="D7" s="2" t="s">
        <v>146</v>
      </c>
      <c r="E7" s="12" t="s">
        <v>147</v>
      </c>
      <c r="F7" s="2" t="s">
        <v>129</v>
      </c>
      <c r="G7" s="2" t="s">
        <v>77</v>
      </c>
      <c r="H7" s="2" t="s">
        <v>77</v>
      </c>
      <c r="I7" s="3" t="s">
        <v>130</v>
      </c>
      <c r="J7" s="3" t="s">
        <v>131</v>
      </c>
      <c r="K7" s="2" t="s">
        <v>132</v>
      </c>
      <c r="L7" s="2" t="s">
        <v>81</v>
      </c>
      <c r="M7" s="13">
        <v>0.84899999999999998</v>
      </c>
      <c r="N7" s="2" t="s">
        <v>148</v>
      </c>
      <c r="O7" s="8">
        <v>0</v>
      </c>
      <c r="P7" s="8">
        <v>4.1059999999999999E-2</v>
      </c>
      <c r="Q7" s="6">
        <v>0</v>
      </c>
      <c r="R7" s="6">
        <v>4000000</v>
      </c>
      <c r="S7" s="13">
        <v>1</v>
      </c>
      <c r="T7" s="6">
        <v>96.64</v>
      </c>
      <c r="U7" s="6">
        <v>3865.6</v>
      </c>
      <c r="W7" s="2" t="s">
        <v>23</v>
      </c>
      <c r="X7" s="8">
        <v>2.2000000000000001E-4</v>
      </c>
      <c r="Y7" s="8">
        <v>1.7000000000000001E-4</v>
      </c>
      <c r="Z7" s="8">
        <v>1E-4</v>
      </c>
    </row>
    <row r="8" spans="1:26">
      <c r="A8" s="12">
        <v>1097</v>
      </c>
      <c r="B8" s="12">
        <v>1097</v>
      </c>
      <c r="C8" s="2" t="s">
        <v>149</v>
      </c>
      <c r="D8" s="2" t="s">
        <v>150</v>
      </c>
      <c r="E8" s="12" t="s">
        <v>151</v>
      </c>
      <c r="F8" s="2" t="s">
        <v>152</v>
      </c>
      <c r="G8" s="2" t="s">
        <v>77</v>
      </c>
      <c r="H8" s="2" t="s">
        <v>77</v>
      </c>
      <c r="I8" s="3" t="s">
        <v>130</v>
      </c>
      <c r="J8" s="3" t="s">
        <v>131</v>
      </c>
      <c r="K8" s="2" t="s">
        <v>132</v>
      </c>
      <c r="L8" s="2" t="s">
        <v>81</v>
      </c>
      <c r="M8" s="13">
        <v>9.2200000000000006</v>
      </c>
      <c r="N8" s="2" t="s">
        <v>153</v>
      </c>
      <c r="O8" s="8">
        <v>0.04</v>
      </c>
      <c r="P8" s="8">
        <v>1.9380000000000001E-2</v>
      </c>
      <c r="Q8" s="6">
        <v>0</v>
      </c>
      <c r="R8" s="6">
        <v>2082014714</v>
      </c>
      <c r="S8" s="13">
        <v>1</v>
      </c>
      <c r="T8" s="6">
        <v>167.7</v>
      </c>
      <c r="U8" s="6">
        <v>3491538.6749999998</v>
      </c>
      <c r="W8" s="2" t="s">
        <v>23</v>
      </c>
      <c r="X8" s="8">
        <v>0.13067999999999999</v>
      </c>
      <c r="Y8" s="8">
        <v>0.15434999999999999</v>
      </c>
      <c r="Z8" s="8">
        <v>8.6639999999999995E-2</v>
      </c>
    </row>
    <row r="9" spans="1:26">
      <c r="A9" s="12">
        <v>1097</v>
      </c>
      <c r="B9" s="12">
        <v>1097</v>
      </c>
      <c r="C9" s="2" t="s">
        <v>154</v>
      </c>
      <c r="D9" s="2" t="s">
        <v>155</v>
      </c>
      <c r="E9" s="12" t="s">
        <v>156</v>
      </c>
      <c r="F9" s="2" t="s">
        <v>157</v>
      </c>
      <c r="G9" s="2" t="s">
        <v>77</v>
      </c>
      <c r="H9" s="2" t="s">
        <v>77</v>
      </c>
      <c r="I9" s="3" t="s">
        <v>130</v>
      </c>
      <c r="J9" s="3" t="s">
        <v>131</v>
      </c>
      <c r="K9" s="2" t="s">
        <v>132</v>
      </c>
      <c r="L9" s="2" t="s">
        <v>81</v>
      </c>
      <c r="M9" s="13">
        <v>7.7370000000000001</v>
      </c>
      <c r="N9" s="2" t="s">
        <v>158</v>
      </c>
      <c r="O9" s="8">
        <v>4.2700000000000002E-2</v>
      </c>
      <c r="P9" s="8">
        <v>4.8680000000000001E-2</v>
      </c>
      <c r="Q9" s="6">
        <v>0</v>
      </c>
      <c r="R9" s="6">
        <v>156142032</v>
      </c>
      <c r="S9" s="13">
        <v>1</v>
      </c>
      <c r="T9" s="6">
        <v>96.5</v>
      </c>
      <c r="U9" s="6">
        <v>150677.06099999999</v>
      </c>
      <c r="W9" s="2" t="s">
        <v>23</v>
      </c>
      <c r="X9" s="8">
        <v>8.0999999999999996E-3</v>
      </c>
      <c r="Y9" s="8">
        <v>6.6600000000000001E-3</v>
      </c>
      <c r="Z9" s="8">
        <v>3.7399999999999998E-3</v>
      </c>
    </row>
    <row r="10" spans="1:26">
      <c r="A10" s="12">
        <v>1097</v>
      </c>
      <c r="B10" s="12">
        <v>1097</v>
      </c>
      <c r="C10" s="2" t="s">
        <v>149</v>
      </c>
      <c r="D10" s="2" t="s">
        <v>159</v>
      </c>
      <c r="E10" s="12" t="s">
        <v>151</v>
      </c>
      <c r="F10" s="2" t="s">
        <v>152</v>
      </c>
      <c r="G10" s="2" t="s">
        <v>77</v>
      </c>
      <c r="H10" s="2" t="s">
        <v>77</v>
      </c>
      <c r="I10" s="3" t="s">
        <v>130</v>
      </c>
      <c r="J10" s="3" t="s">
        <v>131</v>
      </c>
      <c r="K10" s="2" t="s">
        <v>132</v>
      </c>
      <c r="L10" s="2" t="s">
        <v>81</v>
      </c>
      <c r="M10" s="13">
        <v>9.2200000000000006</v>
      </c>
      <c r="N10" s="2" t="s">
        <v>153</v>
      </c>
      <c r="O10" s="8">
        <v>0.04</v>
      </c>
      <c r="P10" s="8">
        <v>1.9380000000000001E-2</v>
      </c>
      <c r="Q10" s="6">
        <v>0</v>
      </c>
      <c r="R10" s="6">
        <v>2309455171</v>
      </c>
      <c r="S10" s="13">
        <v>1</v>
      </c>
      <c r="T10" s="6">
        <v>167.7</v>
      </c>
      <c r="U10" s="6">
        <v>3872956.3220000002</v>
      </c>
      <c r="W10" s="2" t="s">
        <v>23</v>
      </c>
      <c r="X10" s="8">
        <v>0.14495</v>
      </c>
      <c r="Y10" s="8">
        <v>0.17121</v>
      </c>
      <c r="Z10" s="8">
        <v>9.6110000000000001E-2</v>
      </c>
    </row>
    <row r="11" spans="1:26">
      <c r="A11" s="12">
        <v>1097</v>
      </c>
      <c r="B11" s="12">
        <v>1097</v>
      </c>
      <c r="C11" s="2" t="s">
        <v>149</v>
      </c>
      <c r="D11" s="2" t="s">
        <v>160</v>
      </c>
      <c r="E11" s="12" t="s">
        <v>161</v>
      </c>
      <c r="F11" s="2" t="s">
        <v>152</v>
      </c>
      <c r="G11" s="2" t="s">
        <v>77</v>
      </c>
      <c r="H11" s="2" t="s">
        <v>77</v>
      </c>
      <c r="I11" s="3" t="s">
        <v>130</v>
      </c>
      <c r="J11" s="3" t="s">
        <v>131</v>
      </c>
      <c r="K11" s="2" t="s">
        <v>132</v>
      </c>
      <c r="L11" s="2" t="s">
        <v>81</v>
      </c>
      <c r="M11" s="13">
        <v>17.923999999999999</v>
      </c>
      <c r="N11" s="2" t="s">
        <v>162</v>
      </c>
      <c r="O11" s="8">
        <v>0.01</v>
      </c>
      <c r="P11" s="8">
        <v>2.0240000000000001E-2</v>
      </c>
      <c r="Q11" s="6">
        <v>0</v>
      </c>
      <c r="R11" s="6">
        <v>1991371385</v>
      </c>
      <c r="S11" s="13">
        <v>1</v>
      </c>
      <c r="T11" s="6">
        <v>98.54</v>
      </c>
      <c r="U11" s="6">
        <v>1962297.3629999999</v>
      </c>
      <c r="W11" s="2" t="s">
        <v>23</v>
      </c>
      <c r="X11" s="8">
        <v>8.7220000000000006E-2</v>
      </c>
      <c r="Y11" s="8">
        <v>8.6749999999999994E-2</v>
      </c>
      <c r="Z11" s="8">
        <v>4.87E-2</v>
      </c>
    </row>
    <row r="12" spans="1:26">
      <c r="A12" s="12">
        <v>1097</v>
      </c>
      <c r="B12" s="12">
        <v>1097</v>
      </c>
      <c r="C12" s="2" t="s">
        <v>149</v>
      </c>
      <c r="D12" s="2" t="s">
        <v>163</v>
      </c>
      <c r="E12" s="12" t="s">
        <v>164</v>
      </c>
      <c r="F12" s="2" t="s">
        <v>152</v>
      </c>
      <c r="G12" s="2" t="s">
        <v>77</v>
      </c>
      <c r="H12" s="2" t="s">
        <v>77</v>
      </c>
      <c r="I12" s="3" t="s">
        <v>130</v>
      </c>
      <c r="J12" s="3" t="s">
        <v>131</v>
      </c>
      <c r="K12" s="2" t="s">
        <v>132</v>
      </c>
      <c r="L12" s="2" t="s">
        <v>81</v>
      </c>
      <c r="M12" s="13">
        <v>13.167999999999999</v>
      </c>
      <c r="N12" s="2" t="s">
        <v>165</v>
      </c>
      <c r="O12" s="8">
        <v>2.75E-2</v>
      </c>
      <c r="P12" s="8">
        <v>1.9609999999999999E-2</v>
      </c>
      <c r="Q12" s="6">
        <v>0</v>
      </c>
      <c r="R12" s="6">
        <v>3394003343</v>
      </c>
      <c r="S12" s="13">
        <v>1</v>
      </c>
      <c r="T12" s="6">
        <v>141.80000000000001</v>
      </c>
      <c r="U12" s="6">
        <v>4812696.74</v>
      </c>
      <c r="W12" s="2" t="s">
        <v>23</v>
      </c>
      <c r="X12" s="8">
        <v>0.16822999999999999</v>
      </c>
      <c r="Y12" s="8">
        <v>0.21276</v>
      </c>
      <c r="Z12" s="8">
        <v>0.11942999999999999</v>
      </c>
    </row>
    <row r="13" spans="1:26">
      <c r="A13" s="12">
        <v>1097</v>
      </c>
      <c r="B13" s="12">
        <v>1097</v>
      </c>
      <c r="C13" s="2" t="s">
        <v>149</v>
      </c>
      <c r="D13" s="2" t="s">
        <v>166</v>
      </c>
      <c r="E13" s="12" t="s">
        <v>167</v>
      </c>
      <c r="F13" s="2" t="s">
        <v>152</v>
      </c>
      <c r="G13" s="2" t="s">
        <v>77</v>
      </c>
      <c r="H13" s="2" t="s">
        <v>77</v>
      </c>
      <c r="I13" s="3" t="s">
        <v>130</v>
      </c>
      <c r="J13" s="3" t="s">
        <v>131</v>
      </c>
      <c r="K13" s="2" t="s">
        <v>132</v>
      </c>
      <c r="L13" s="2" t="s">
        <v>81</v>
      </c>
      <c r="M13" s="13">
        <v>3.8860000000000001</v>
      </c>
      <c r="N13" s="2" t="s">
        <v>168</v>
      </c>
      <c r="O13" s="8">
        <v>5.0000000000000001E-3</v>
      </c>
      <c r="P13" s="8">
        <v>2.0070000000000001E-2</v>
      </c>
      <c r="Q13" s="6">
        <v>0</v>
      </c>
      <c r="R13" s="6">
        <v>73338638</v>
      </c>
      <c r="S13" s="13">
        <v>1</v>
      </c>
      <c r="T13" s="6">
        <v>110.62</v>
      </c>
      <c r="U13" s="6">
        <v>81127.201000000001</v>
      </c>
      <c r="W13" s="2" t="s">
        <v>23</v>
      </c>
      <c r="X13" s="8">
        <v>2.49E-3</v>
      </c>
      <c r="Y13" s="8">
        <v>3.5899999999999999E-3</v>
      </c>
      <c r="Z13" s="8">
        <v>2.0100000000000001E-3</v>
      </c>
    </row>
    <row r="14" spans="1:26">
      <c r="A14" s="12">
        <v>1097</v>
      </c>
      <c r="B14" s="12">
        <v>1097</v>
      </c>
      <c r="C14" s="2" t="s">
        <v>149</v>
      </c>
      <c r="D14" s="2" t="s">
        <v>169</v>
      </c>
      <c r="E14" s="12" t="s">
        <v>167</v>
      </c>
      <c r="F14" s="2" t="s">
        <v>152</v>
      </c>
      <c r="G14" s="2" t="s">
        <v>77</v>
      </c>
      <c r="H14" s="2" t="s">
        <v>77</v>
      </c>
      <c r="I14" s="3" t="s">
        <v>130</v>
      </c>
      <c r="J14" s="3" t="s">
        <v>131</v>
      </c>
      <c r="K14" s="2" t="s">
        <v>132</v>
      </c>
      <c r="L14" s="2" t="s">
        <v>81</v>
      </c>
      <c r="M14" s="13">
        <v>3.8860000000000001</v>
      </c>
      <c r="N14" s="2" t="s">
        <v>168</v>
      </c>
      <c r="O14" s="8">
        <v>5.0000000000000001E-3</v>
      </c>
      <c r="P14" s="8">
        <v>2.0070000000000001E-2</v>
      </c>
      <c r="Q14" s="6">
        <v>0</v>
      </c>
      <c r="R14" s="6">
        <v>167860029</v>
      </c>
      <c r="S14" s="13">
        <v>1</v>
      </c>
      <c r="T14" s="6">
        <v>110.62</v>
      </c>
      <c r="U14" s="6">
        <v>185686.764</v>
      </c>
      <c r="W14" s="2" t="s">
        <v>23</v>
      </c>
      <c r="X14" s="8">
        <v>5.7000000000000002E-3</v>
      </c>
      <c r="Y14" s="8">
        <v>8.2100000000000003E-3</v>
      </c>
      <c r="Z14" s="8">
        <v>4.6100000000000004E-3</v>
      </c>
    </row>
    <row r="15" spans="1:26">
      <c r="A15" s="12">
        <v>1097</v>
      </c>
      <c r="B15" s="12">
        <v>1097</v>
      </c>
      <c r="C15" s="2" t="s">
        <v>149</v>
      </c>
      <c r="D15" s="2" t="s">
        <v>170</v>
      </c>
      <c r="E15" s="12" t="s">
        <v>171</v>
      </c>
      <c r="F15" s="2" t="s">
        <v>152</v>
      </c>
      <c r="G15" s="2" t="s">
        <v>77</v>
      </c>
      <c r="H15" s="2" t="s">
        <v>77</v>
      </c>
      <c r="I15" s="3" t="s">
        <v>130</v>
      </c>
      <c r="J15" s="3" t="s">
        <v>131</v>
      </c>
      <c r="K15" s="2" t="s">
        <v>132</v>
      </c>
      <c r="L15" s="2" t="s">
        <v>81</v>
      </c>
      <c r="M15" s="13">
        <v>1.0840000000000001</v>
      </c>
      <c r="N15" s="2" t="s">
        <v>172</v>
      </c>
      <c r="O15" s="8">
        <v>1E-3</v>
      </c>
      <c r="P15" s="8">
        <v>2.3259999999999999E-2</v>
      </c>
      <c r="Q15" s="6">
        <v>0</v>
      </c>
      <c r="R15" s="6">
        <v>13000000</v>
      </c>
      <c r="S15" s="13">
        <v>1</v>
      </c>
      <c r="T15" s="6">
        <v>114.5</v>
      </c>
      <c r="U15" s="6">
        <v>14885</v>
      </c>
      <c r="W15" s="2" t="s">
        <v>23</v>
      </c>
      <c r="X15" s="8">
        <v>6.4000000000000005E-4</v>
      </c>
      <c r="Y15" s="8">
        <v>6.6E-4</v>
      </c>
      <c r="Z15" s="8">
        <v>3.6999999999999999E-4</v>
      </c>
    </row>
    <row r="16" spans="1:26">
      <c r="A16" s="12">
        <v>1097</v>
      </c>
      <c r="B16" s="12">
        <v>1097</v>
      </c>
      <c r="C16" s="2" t="s">
        <v>149</v>
      </c>
      <c r="D16" s="2" t="s">
        <v>173</v>
      </c>
      <c r="E16" s="12" t="s">
        <v>174</v>
      </c>
      <c r="F16" s="2" t="s">
        <v>152</v>
      </c>
      <c r="G16" s="2" t="s">
        <v>77</v>
      </c>
      <c r="H16" s="2" t="s">
        <v>77</v>
      </c>
      <c r="I16" s="3" t="s">
        <v>130</v>
      </c>
      <c r="J16" s="3" t="s">
        <v>131</v>
      </c>
      <c r="K16" s="2" t="s">
        <v>132</v>
      </c>
      <c r="L16" s="2" t="s">
        <v>81</v>
      </c>
      <c r="M16" s="13">
        <v>6.3959999999999999</v>
      </c>
      <c r="N16" s="2" t="s">
        <v>175</v>
      </c>
      <c r="O16" s="8">
        <v>1E-3</v>
      </c>
      <c r="P16" s="8">
        <v>1.9689999999999999E-2</v>
      </c>
      <c r="Q16" s="6">
        <v>0</v>
      </c>
      <c r="R16" s="6">
        <v>3460000</v>
      </c>
      <c r="S16" s="13">
        <v>1</v>
      </c>
      <c r="T16" s="6">
        <v>104.14</v>
      </c>
      <c r="U16" s="6">
        <v>3603.2440000000001</v>
      </c>
      <c r="W16" s="2" t="s">
        <v>23</v>
      </c>
      <c r="X16" s="8">
        <v>1E-4</v>
      </c>
      <c r="Y16" s="8">
        <v>1.6000000000000001E-4</v>
      </c>
      <c r="Z16" s="8">
        <v>9.0000000000000006E-5</v>
      </c>
    </row>
    <row r="17" spans="1:26">
      <c r="A17" s="12">
        <v>1097</v>
      </c>
      <c r="B17" s="12">
        <v>1097</v>
      </c>
      <c r="C17" s="2" t="s">
        <v>149</v>
      </c>
      <c r="D17" s="2" t="s">
        <v>176</v>
      </c>
      <c r="E17" s="12" t="s">
        <v>174</v>
      </c>
      <c r="F17" s="2" t="s">
        <v>152</v>
      </c>
      <c r="G17" s="2" t="s">
        <v>77</v>
      </c>
      <c r="H17" s="2" t="s">
        <v>77</v>
      </c>
      <c r="I17" s="3" t="s">
        <v>130</v>
      </c>
      <c r="J17" s="3" t="s">
        <v>131</v>
      </c>
      <c r="K17" s="2" t="s">
        <v>132</v>
      </c>
      <c r="L17" s="2" t="s">
        <v>81</v>
      </c>
      <c r="M17" s="13">
        <v>6.3959999999999999</v>
      </c>
      <c r="N17" s="2" t="s">
        <v>175</v>
      </c>
      <c r="O17" s="8">
        <v>1E-3</v>
      </c>
      <c r="P17" s="8">
        <v>1.9689999999999999E-2</v>
      </c>
      <c r="Q17" s="6">
        <v>0</v>
      </c>
      <c r="R17" s="6">
        <v>62040000</v>
      </c>
      <c r="S17" s="13">
        <v>1</v>
      </c>
      <c r="T17" s="6">
        <v>104.14</v>
      </c>
      <c r="U17" s="6">
        <v>64608.455999999998</v>
      </c>
      <c r="W17" s="2" t="s">
        <v>23</v>
      </c>
      <c r="X17" s="8">
        <v>1.81E-3</v>
      </c>
      <c r="Y17" s="8">
        <v>2.8600000000000001E-3</v>
      </c>
      <c r="Z17" s="8">
        <v>1.6000000000000001E-3</v>
      </c>
    </row>
    <row r="18" spans="1:26">
      <c r="A18" s="12">
        <v>1097</v>
      </c>
      <c r="B18" s="12">
        <v>1097</v>
      </c>
      <c r="C18" s="2" t="s">
        <v>149</v>
      </c>
      <c r="D18" s="2" t="s">
        <v>177</v>
      </c>
      <c r="E18" s="12" t="s">
        <v>178</v>
      </c>
      <c r="F18" s="2" t="s">
        <v>152</v>
      </c>
      <c r="G18" s="2" t="s">
        <v>77</v>
      </c>
      <c r="H18" s="2" t="s">
        <v>77</v>
      </c>
      <c r="I18" s="3" t="s">
        <v>130</v>
      </c>
      <c r="J18" s="3" t="s">
        <v>131</v>
      </c>
      <c r="K18" s="2" t="s">
        <v>132</v>
      </c>
      <c r="L18" s="2" t="s">
        <v>81</v>
      </c>
      <c r="M18" s="13">
        <v>24.251000000000001</v>
      </c>
      <c r="N18" s="2" t="s">
        <v>179</v>
      </c>
      <c r="O18" s="8">
        <v>5.0000000000000001E-3</v>
      </c>
      <c r="P18" s="8">
        <v>2.1049999999999999E-2</v>
      </c>
      <c r="Q18" s="6">
        <v>0</v>
      </c>
      <c r="R18" s="6">
        <v>4037682327</v>
      </c>
      <c r="S18" s="13">
        <v>1</v>
      </c>
      <c r="T18" s="6">
        <v>79.599999999999994</v>
      </c>
      <c r="U18" s="6">
        <v>3213995.1320000002</v>
      </c>
      <c r="W18" s="2" t="s">
        <v>23</v>
      </c>
      <c r="X18" s="8">
        <v>0.13247</v>
      </c>
      <c r="Y18" s="8">
        <v>0.14208000000000001</v>
      </c>
      <c r="Z18" s="8">
        <v>7.9759999999999998E-2</v>
      </c>
    </row>
    <row r="19" spans="1:26">
      <c r="A19" s="12">
        <v>1097</v>
      </c>
      <c r="B19" s="12">
        <v>1097</v>
      </c>
      <c r="C19" s="2" t="s">
        <v>149</v>
      </c>
      <c r="D19" s="2" t="s">
        <v>180</v>
      </c>
      <c r="E19" s="12" t="s">
        <v>178</v>
      </c>
      <c r="F19" s="2" t="s">
        <v>152</v>
      </c>
      <c r="G19" s="2" t="s">
        <v>77</v>
      </c>
      <c r="H19" s="2" t="s">
        <v>77</v>
      </c>
      <c r="I19" s="3" t="s">
        <v>130</v>
      </c>
      <c r="J19" s="3" t="s">
        <v>131</v>
      </c>
      <c r="K19" s="2" t="s">
        <v>132</v>
      </c>
      <c r="L19" s="2" t="s">
        <v>81</v>
      </c>
      <c r="M19" s="13">
        <v>24.251000000000001</v>
      </c>
      <c r="N19" s="2" t="s">
        <v>179</v>
      </c>
      <c r="O19" s="8">
        <v>5.0000000000000001E-3</v>
      </c>
      <c r="P19" s="8">
        <v>2.1049999999999999E-2</v>
      </c>
      <c r="Q19" s="6">
        <v>0</v>
      </c>
      <c r="R19" s="6">
        <v>4461103</v>
      </c>
      <c r="S19" s="13">
        <v>1</v>
      </c>
      <c r="T19" s="6">
        <v>79.599999999999994</v>
      </c>
      <c r="U19" s="6">
        <v>3551.038</v>
      </c>
      <c r="W19" s="2" t="s">
        <v>23</v>
      </c>
      <c r="X19" s="8">
        <v>1.4999999999999999E-4</v>
      </c>
      <c r="Y19" s="8">
        <v>1.6000000000000001E-4</v>
      </c>
      <c r="Z19" s="8">
        <v>9.0000000000000006E-5</v>
      </c>
    </row>
    <row r="20" spans="1:26">
      <c r="A20" s="12">
        <v>1097</v>
      </c>
      <c r="B20" s="12">
        <v>1097</v>
      </c>
      <c r="C20" s="2" t="s">
        <v>181</v>
      </c>
      <c r="D20" s="2" t="s">
        <v>182</v>
      </c>
      <c r="E20" s="12" t="s">
        <v>183</v>
      </c>
      <c r="F20" s="2" t="s">
        <v>184</v>
      </c>
      <c r="G20" s="2" t="s">
        <v>77</v>
      </c>
      <c r="H20" s="2" t="s">
        <v>77</v>
      </c>
      <c r="I20" s="3" t="s">
        <v>130</v>
      </c>
      <c r="J20" s="3" t="s">
        <v>131</v>
      </c>
      <c r="K20" s="2" t="s">
        <v>132</v>
      </c>
      <c r="L20" s="2" t="s">
        <v>81</v>
      </c>
      <c r="M20" s="13">
        <v>11.42</v>
      </c>
      <c r="N20" s="2" t="s">
        <v>185</v>
      </c>
      <c r="O20" s="8">
        <v>5.5E-2</v>
      </c>
      <c r="P20" s="8">
        <v>4.3529999999999999E-2</v>
      </c>
      <c r="Q20" s="6">
        <v>0</v>
      </c>
      <c r="R20" s="6">
        <v>8320000</v>
      </c>
      <c r="S20" s="13">
        <v>1</v>
      </c>
      <c r="T20" s="6">
        <v>115.63</v>
      </c>
      <c r="U20" s="6">
        <v>9620.4159999999993</v>
      </c>
      <c r="W20" s="2" t="s">
        <v>23</v>
      </c>
      <c r="X20" s="8">
        <v>2.9E-4</v>
      </c>
      <c r="Y20" s="8">
        <v>4.2999999999999999E-4</v>
      </c>
      <c r="Z20" s="8">
        <v>2.4000000000000001E-4</v>
      </c>
    </row>
    <row r="21" spans="1:26">
      <c r="A21" s="12">
        <v>1097</v>
      </c>
      <c r="B21" s="12">
        <v>1097</v>
      </c>
      <c r="C21" s="2" t="s">
        <v>181</v>
      </c>
      <c r="D21" s="2" t="s">
        <v>186</v>
      </c>
      <c r="E21" s="12" t="s">
        <v>187</v>
      </c>
      <c r="F21" s="2" t="s">
        <v>184</v>
      </c>
      <c r="G21" s="2" t="s">
        <v>77</v>
      </c>
      <c r="H21" s="2" t="s">
        <v>77</v>
      </c>
      <c r="I21" s="3" t="s">
        <v>130</v>
      </c>
      <c r="J21" s="3" t="s">
        <v>131</v>
      </c>
      <c r="K21" s="2" t="s">
        <v>132</v>
      </c>
      <c r="L21" s="2" t="s">
        <v>81</v>
      </c>
      <c r="M21" s="13">
        <v>1.7310000000000001</v>
      </c>
      <c r="N21" s="2" t="s">
        <v>188</v>
      </c>
      <c r="O21" s="8">
        <v>0.02</v>
      </c>
      <c r="P21" s="8">
        <v>3.9899999999999998E-2</v>
      </c>
      <c r="Q21" s="6">
        <v>0</v>
      </c>
      <c r="R21" s="6">
        <v>11976390</v>
      </c>
      <c r="S21" s="13">
        <v>1</v>
      </c>
      <c r="T21" s="6">
        <v>97.19</v>
      </c>
      <c r="U21" s="6">
        <v>11639.852999999999</v>
      </c>
      <c r="W21" s="2" t="s">
        <v>23</v>
      </c>
      <c r="X21" s="8">
        <v>4.2000000000000002E-4</v>
      </c>
      <c r="Y21" s="8">
        <v>5.1000000000000004E-4</v>
      </c>
      <c r="Z21" s="8">
        <v>2.9E-4</v>
      </c>
    </row>
    <row r="22" spans="1:26">
      <c r="A22" s="12">
        <v>1097</v>
      </c>
      <c r="B22" s="12">
        <v>1097</v>
      </c>
      <c r="C22" s="2" t="s">
        <v>181</v>
      </c>
      <c r="D22" s="2" t="s">
        <v>189</v>
      </c>
      <c r="E22" s="12" t="s">
        <v>190</v>
      </c>
      <c r="F22" s="2" t="s">
        <v>184</v>
      </c>
      <c r="G22" s="2" t="s">
        <v>77</v>
      </c>
      <c r="H22" s="2" t="s">
        <v>77</v>
      </c>
      <c r="I22" s="3" t="s">
        <v>130</v>
      </c>
      <c r="J22" s="3" t="s">
        <v>131</v>
      </c>
      <c r="K22" s="2" t="s">
        <v>132</v>
      </c>
      <c r="L22" s="2" t="s">
        <v>81</v>
      </c>
      <c r="M22" s="13">
        <v>14.706</v>
      </c>
      <c r="N22" s="2" t="s">
        <v>191</v>
      </c>
      <c r="O22" s="8">
        <v>3.7499999999999999E-2</v>
      </c>
      <c r="P22" s="8">
        <v>4.471E-2</v>
      </c>
      <c r="Q22" s="6">
        <v>0</v>
      </c>
      <c r="R22" s="6">
        <v>5800000</v>
      </c>
      <c r="S22" s="13">
        <v>1</v>
      </c>
      <c r="T22" s="6">
        <v>91.05</v>
      </c>
      <c r="U22" s="6">
        <v>5280.9</v>
      </c>
      <c r="W22" s="2" t="s">
        <v>23</v>
      </c>
      <c r="X22" s="8">
        <v>2.2000000000000001E-4</v>
      </c>
      <c r="Y22" s="8">
        <v>2.3000000000000001E-4</v>
      </c>
      <c r="Z22" s="8">
        <v>1.2999999999999999E-4</v>
      </c>
    </row>
    <row r="23" spans="1:26">
      <c r="A23" s="12">
        <v>1097</v>
      </c>
      <c r="B23" s="12">
        <v>1097</v>
      </c>
      <c r="C23" s="2" t="s">
        <v>181</v>
      </c>
      <c r="D23" s="2" t="s">
        <v>192</v>
      </c>
      <c r="E23" s="12" t="s">
        <v>193</v>
      </c>
      <c r="F23" s="2" t="s">
        <v>184</v>
      </c>
      <c r="G23" s="2" t="s">
        <v>77</v>
      </c>
      <c r="H23" s="2" t="s">
        <v>77</v>
      </c>
      <c r="I23" s="3" t="s">
        <v>130</v>
      </c>
      <c r="J23" s="3" t="s">
        <v>131</v>
      </c>
      <c r="K23" s="2" t="s">
        <v>132</v>
      </c>
      <c r="L23" s="2" t="s">
        <v>81</v>
      </c>
      <c r="M23" s="13">
        <v>0.17</v>
      </c>
      <c r="N23" s="2" t="s">
        <v>194</v>
      </c>
      <c r="O23" s="8">
        <v>1.7500000000000002E-2</v>
      </c>
      <c r="P23" s="8">
        <v>4.3589999999999997E-2</v>
      </c>
      <c r="Q23" s="6">
        <v>0</v>
      </c>
      <c r="R23" s="6">
        <v>131082409</v>
      </c>
      <c r="S23" s="13">
        <v>1</v>
      </c>
      <c r="T23" s="6">
        <v>101.02</v>
      </c>
      <c r="U23" s="6">
        <v>132419.45000000001</v>
      </c>
      <c r="W23" s="2" t="s">
        <v>23</v>
      </c>
      <c r="X23" s="8">
        <v>1.001E-2</v>
      </c>
      <c r="Y23" s="8">
        <v>5.8500000000000002E-3</v>
      </c>
      <c r="Z23" s="8">
        <v>3.29E-3</v>
      </c>
    </row>
    <row r="24" spans="1:26">
      <c r="A24" s="12">
        <v>1097</v>
      </c>
      <c r="B24" s="12">
        <v>1097</v>
      </c>
      <c r="C24" s="2" t="s">
        <v>181</v>
      </c>
      <c r="D24" s="2" t="s">
        <v>195</v>
      </c>
      <c r="E24" s="12" t="s">
        <v>196</v>
      </c>
      <c r="F24" s="2" t="s">
        <v>184</v>
      </c>
      <c r="G24" s="2" t="s">
        <v>77</v>
      </c>
      <c r="H24" s="2" t="s">
        <v>77</v>
      </c>
      <c r="I24" s="3" t="s">
        <v>130</v>
      </c>
      <c r="J24" s="3" t="s">
        <v>131</v>
      </c>
      <c r="K24" s="2" t="s">
        <v>132</v>
      </c>
      <c r="L24" s="2" t="s">
        <v>81</v>
      </c>
      <c r="M24" s="13">
        <v>3.1110000000000002</v>
      </c>
      <c r="N24" s="2" t="s">
        <v>197</v>
      </c>
      <c r="O24" s="8">
        <v>2.2499999999999999E-2</v>
      </c>
      <c r="P24" s="8">
        <v>3.9489999999999997E-2</v>
      </c>
      <c r="Q24" s="6">
        <v>0</v>
      </c>
      <c r="R24" s="6">
        <v>142695286</v>
      </c>
      <c r="S24" s="13">
        <v>1</v>
      </c>
      <c r="T24" s="6">
        <v>96.6</v>
      </c>
      <c r="U24" s="6">
        <v>137843.64600000001</v>
      </c>
      <c r="W24" s="2" t="s">
        <v>23</v>
      </c>
      <c r="X24" s="8">
        <v>4.1099999999999999E-3</v>
      </c>
      <c r="Y24" s="8">
        <v>6.0899999999999999E-3</v>
      </c>
      <c r="Z24" s="8">
        <v>3.4199999999999999E-3</v>
      </c>
    </row>
    <row r="25" spans="1:26">
      <c r="A25" s="12">
        <v>1097</v>
      </c>
      <c r="B25" s="12">
        <v>1097</v>
      </c>
      <c r="C25" s="2" t="s">
        <v>181</v>
      </c>
      <c r="D25" s="2" t="s">
        <v>198</v>
      </c>
      <c r="E25" s="12" t="s">
        <v>196</v>
      </c>
      <c r="F25" s="2" t="s">
        <v>184</v>
      </c>
      <c r="G25" s="2" t="s">
        <v>77</v>
      </c>
      <c r="H25" s="2" t="s">
        <v>77</v>
      </c>
      <c r="I25" s="3" t="s">
        <v>130</v>
      </c>
      <c r="J25" s="3" t="s">
        <v>131</v>
      </c>
      <c r="K25" s="2" t="s">
        <v>132</v>
      </c>
      <c r="L25" s="2" t="s">
        <v>81</v>
      </c>
      <c r="M25" s="13">
        <v>3.1110000000000002</v>
      </c>
      <c r="N25" s="2" t="s">
        <v>197</v>
      </c>
      <c r="O25" s="8">
        <v>2.2499999999999999E-2</v>
      </c>
      <c r="P25" s="8">
        <v>3.9489999999999997E-2</v>
      </c>
      <c r="Q25" s="6">
        <v>0</v>
      </c>
      <c r="R25" s="6">
        <v>189864947</v>
      </c>
      <c r="S25" s="13">
        <v>1</v>
      </c>
      <c r="T25" s="6">
        <v>96.6</v>
      </c>
      <c r="U25" s="6">
        <v>183409.53899999999</v>
      </c>
      <c r="W25" s="2" t="s">
        <v>23</v>
      </c>
      <c r="X25" s="8">
        <v>5.47E-3</v>
      </c>
      <c r="Y25" s="8">
        <v>8.1099999999999992E-3</v>
      </c>
      <c r="Z25" s="8">
        <v>4.5500000000000002E-3</v>
      </c>
    </row>
    <row r="26" spans="1:26">
      <c r="A26" s="12">
        <v>1097</v>
      </c>
      <c r="B26" s="12">
        <v>1097</v>
      </c>
      <c r="C26" s="2" t="s">
        <v>181</v>
      </c>
      <c r="D26" s="2" t="s">
        <v>199</v>
      </c>
      <c r="E26" s="12" t="s">
        <v>200</v>
      </c>
      <c r="F26" s="2" t="s">
        <v>184</v>
      </c>
      <c r="G26" s="2" t="s">
        <v>77</v>
      </c>
      <c r="H26" s="2" t="s">
        <v>77</v>
      </c>
      <c r="I26" s="3" t="s">
        <v>130</v>
      </c>
      <c r="J26" s="3" t="s">
        <v>131</v>
      </c>
      <c r="K26" s="2" t="s">
        <v>132</v>
      </c>
      <c r="L26" s="2" t="s">
        <v>81</v>
      </c>
      <c r="M26" s="13">
        <v>0.66300000000000003</v>
      </c>
      <c r="N26" s="2" t="s">
        <v>201</v>
      </c>
      <c r="O26" s="8">
        <v>5.0000000000000001E-3</v>
      </c>
      <c r="P26" s="8">
        <v>4.0160000000000001E-2</v>
      </c>
      <c r="Q26" s="6">
        <v>0</v>
      </c>
      <c r="R26" s="6">
        <v>1435419339</v>
      </c>
      <c r="S26" s="13">
        <v>1</v>
      </c>
      <c r="T26" s="6">
        <v>97.91</v>
      </c>
      <c r="U26" s="6">
        <v>1405419.075</v>
      </c>
      <c r="W26" s="2" t="s">
        <v>23</v>
      </c>
      <c r="X26" s="8">
        <v>5.1670000000000001E-2</v>
      </c>
      <c r="Y26" s="8">
        <v>6.2129999999999998E-2</v>
      </c>
      <c r="Z26" s="8">
        <v>3.4880000000000001E-2</v>
      </c>
    </row>
    <row r="27" spans="1:26">
      <c r="A27" s="12">
        <v>1097</v>
      </c>
      <c r="B27" s="12">
        <v>1097</v>
      </c>
      <c r="C27" s="2" t="s">
        <v>181</v>
      </c>
      <c r="D27" s="2" t="s">
        <v>202</v>
      </c>
      <c r="E27" s="12" t="s">
        <v>200</v>
      </c>
      <c r="F27" s="2" t="s">
        <v>184</v>
      </c>
      <c r="G27" s="2" t="s">
        <v>77</v>
      </c>
      <c r="H27" s="2" t="s">
        <v>77</v>
      </c>
      <c r="I27" s="3" t="s">
        <v>130</v>
      </c>
      <c r="J27" s="3" t="s">
        <v>131</v>
      </c>
      <c r="K27" s="2" t="s">
        <v>132</v>
      </c>
      <c r="L27" s="2" t="s">
        <v>81</v>
      </c>
      <c r="M27" s="13">
        <v>0.66300000000000003</v>
      </c>
      <c r="N27" s="2" t="s">
        <v>201</v>
      </c>
      <c r="O27" s="8">
        <v>5.0000000000000001E-3</v>
      </c>
      <c r="P27" s="8">
        <v>4.0160000000000001E-2</v>
      </c>
      <c r="Q27" s="6">
        <v>0</v>
      </c>
      <c r="R27" s="6">
        <v>48510654</v>
      </c>
      <c r="S27" s="13">
        <v>1</v>
      </c>
      <c r="T27" s="6">
        <v>97.91</v>
      </c>
      <c r="U27" s="6">
        <v>47496.781000000003</v>
      </c>
      <c r="W27" s="2" t="s">
        <v>23</v>
      </c>
      <c r="X27" s="8">
        <v>1.75E-3</v>
      </c>
      <c r="Y27" s="8">
        <v>2.0999999999999999E-3</v>
      </c>
      <c r="Z27" s="8">
        <v>1.1800000000000001E-3</v>
      </c>
    </row>
    <row r="28" spans="1:26">
      <c r="A28" s="12">
        <v>1097</v>
      </c>
      <c r="B28" s="12">
        <v>1097</v>
      </c>
      <c r="C28" s="2" t="s">
        <v>181</v>
      </c>
      <c r="D28" s="2" t="s">
        <v>203</v>
      </c>
      <c r="E28" s="12" t="s">
        <v>204</v>
      </c>
      <c r="F28" s="2" t="s">
        <v>184</v>
      </c>
      <c r="G28" s="2" t="s">
        <v>77</v>
      </c>
      <c r="H28" s="2" t="s">
        <v>77</v>
      </c>
      <c r="I28" s="3" t="s">
        <v>130</v>
      </c>
      <c r="J28" s="3" t="s">
        <v>131</v>
      </c>
      <c r="K28" s="2" t="s">
        <v>132</v>
      </c>
      <c r="L28" s="2" t="s">
        <v>81</v>
      </c>
      <c r="M28" s="13">
        <v>4.6440000000000001</v>
      </c>
      <c r="N28" s="2" t="s">
        <v>205</v>
      </c>
      <c r="O28" s="8">
        <v>0.01</v>
      </c>
      <c r="P28" s="8">
        <v>3.9660000000000001E-2</v>
      </c>
      <c r="Q28" s="6">
        <v>0</v>
      </c>
      <c r="R28" s="6">
        <v>15000000</v>
      </c>
      <c r="S28" s="13">
        <v>1</v>
      </c>
      <c r="T28" s="6">
        <v>87.63</v>
      </c>
      <c r="U28" s="6">
        <v>13144.5</v>
      </c>
      <c r="W28" s="2" t="s">
        <v>23</v>
      </c>
      <c r="X28" s="8">
        <v>4.0000000000000002E-4</v>
      </c>
      <c r="Y28" s="8">
        <v>5.8E-4</v>
      </c>
      <c r="Z28" s="8">
        <v>3.3E-4</v>
      </c>
    </row>
    <row r="29" spans="1:26">
      <c r="A29" s="12">
        <v>1097</v>
      </c>
      <c r="B29" s="12">
        <v>1097</v>
      </c>
      <c r="C29" s="2" t="s">
        <v>181</v>
      </c>
      <c r="D29" s="2" t="s">
        <v>206</v>
      </c>
      <c r="E29" s="12" t="s">
        <v>207</v>
      </c>
      <c r="F29" s="2" t="s">
        <v>184</v>
      </c>
      <c r="G29" s="2" t="s">
        <v>77</v>
      </c>
      <c r="H29" s="2" t="s">
        <v>77</v>
      </c>
      <c r="I29" s="3" t="s">
        <v>130</v>
      </c>
      <c r="J29" s="3" t="s">
        <v>131</v>
      </c>
      <c r="K29" s="2" t="s">
        <v>132</v>
      </c>
      <c r="L29" s="2" t="s">
        <v>81</v>
      </c>
      <c r="M29" s="13">
        <v>8.1750000000000007</v>
      </c>
      <c r="N29" s="2" t="s">
        <v>208</v>
      </c>
      <c r="O29" s="8">
        <v>0.04</v>
      </c>
      <c r="P29" s="8">
        <v>4.1140000000000003E-2</v>
      </c>
      <c r="Q29" s="6">
        <v>0</v>
      </c>
      <c r="R29" s="6">
        <v>18000000</v>
      </c>
      <c r="S29" s="13">
        <v>1</v>
      </c>
      <c r="T29" s="6">
        <v>100.1</v>
      </c>
      <c r="U29" s="6">
        <v>18018</v>
      </c>
      <c r="W29" s="2" t="s">
        <v>23</v>
      </c>
      <c r="X29" s="8">
        <v>5.4000000000000001E-4</v>
      </c>
      <c r="Y29" s="8">
        <v>8.0000000000000004E-4</v>
      </c>
      <c r="Z29" s="8">
        <v>4.4999999999999999E-4</v>
      </c>
    </row>
    <row r="30" spans="1:26">
      <c r="A30" s="12">
        <v>1097</v>
      </c>
      <c r="B30" s="12">
        <v>1097</v>
      </c>
      <c r="C30" s="2" t="s">
        <v>181</v>
      </c>
      <c r="D30" s="2" t="s">
        <v>209</v>
      </c>
      <c r="E30" s="12" t="s">
        <v>210</v>
      </c>
      <c r="F30" s="2" t="s">
        <v>184</v>
      </c>
      <c r="G30" s="2" t="s">
        <v>77</v>
      </c>
      <c r="H30" s="2" t="s">
        <v>77</v>
      </c>
      <c r="I30" s="3" t="s">
        <v>130</v>
      </c>
      <c r="J30" s="3" t="s">
        <v>131</v>
      </c>
      <c r="K30" s="2" t="s">
        <v>132</v>
      </c>
      <c r="L30" s="2" t="s">
        <v>81</v>
      </c>
      <c r="M30" s="13">
        <v>6.54</v>
      </c>
      <c r="N30" s="2" t="s">
        <v>211</v>
      </c>
      <c r="O30" s="8">
        <v>1.2999999999999999E-2</v>
      </c>
      <c r="P30" s="8">
        <v>4.0460000000000003E-2</v>
      </c>
      <c r="Q30" s="6">
        <v>0</v>
      </c>
      <c r="R30" s="6">
        <v>12275129</v>
      </c>
      <c r="S30" s="13">
        <v>1</v>
      </c>
      <c r="T30" s="6">
        <v>84.1</v>
      </c>
      <c r="U30" s="6">
        <v>10323.383</v>
      </c>
      <c r="W30" s="2" t="s">
        <v>23</v>
      </c>
      <c r="X30" s="8">
        <v>3.5E-4</v>
      </c>
      <c r="Y30" s="8">
        <v>4.6000000000000001E-4</v>
      </c>
      <c r="Z30" s="8">
        <v>2.5999999999999998E-4</v>
      </c>
    </row>
    <row r="31" spans="1:26">
      <c r="A31" s="12">
        <v>1097</v>
      </c>
      <c r="B31" s="12">
        <v>1097</v>
      </c>
      <c r="C31" s="2" t="s">
        <v>181</v>
      </c>
      <c r="D31" s="2" t="s">
        <v>212</v>
      </c>
      <c r="E31" s="12" t="s">
        <v>213</v>
      </c>
      <c r="F31" s="2" t="s">
        <v>184</v>
      </c>
      <c r="G31" s="2" t="s">
        <v>77</v>
      </c>
      <c r="H31" s="2" t="s">
        <v>77</v>
      </c>
      <c r="I31" s="3" t="s">
        <v>130</v>
      </c>
      <c r="J31" s="3" t="s">
        <v>131</v>
      </c>
      <c r="K31" s="2" t="s">
        <v>132</v>
      </c>
      <c r="L31" s="2" t="s">
        <v>81</v>
      </c>
      <c r="M31" s="13">
        <v>10.8</v>
      </c>
      <c r="N31" s="2" t="s">
        <v>214</v>
      </c>
      <c r="O31" s="8">
        <v>1.4999999999999999E-2</v>
      </c>
      <c r="P31" s="8">
        <v>4.2540000000000001E-2</v>
      </c>
      <c r="Q31" s="6">
        <v>0</v>
      </c>
      <c r="R31" s="6">
        <v>293695000</v>
      </c>
      <c r="S31" s="13">
        <v>1</v>
      </c>
      <c r="T31" s="6">
        <v>74.8</v>
      </c>
      <c r="U31" s="6">
        <v>219683.86</v>
      </c>
      <c r="W31" s="2" t="s">
        <v>23</v>
      </c>
      <c r="X31" s="8">
        <v>7.79E-3</v>
      </c>
      <c r="Y31" s="8">
        <v>9.7099999999999999E-3</v>
      </c>
      <c r="Z31" s="8">
        <v>5.45E-3</v>
      </c>
    </row>
    <row r="32" spans="1:26">
      <c r="A32" s="12">
        <v>1097</v>
      </c>
      <c r="B32" s="12">
        <v>1097</v>
      </c>
      <c r="C32" s="2" t="s">
        <v>149</v>
      </c>
      <c r="D32" s="2" t="s">
        <v>215</v>
      </c>
      <c r="E32" s="12" t="s">
        <v>161</v>
      </c>
      <c r="F32" s="2" t="s">
        <v>152</v>
      </c>
      <c r="G32" s="2" t="s">
        <v>77</v>
      </c>
      <c r="H32" s="2" t="s">
        <v>77</v>
      </c>
      <c r="I32" s="3" t="s">
        <v>130</v>
      </c>
      <c r="J32" s="3" t="s">
        <v>131</v>
      </c>
      <c r="K32" s="2" t="s">
        <v>132</v>
      </c>
      <c r="L32" s="2" t="s">
        <v>81</v>
      </c>
      <c r="M32" s="13">
        <v>17.923999999999999</v>
      </c>
      <c r="N32" s="2" t="s">
        <v>162</v>
      </c>
      <c r="O32" s="8">
        <v>0.01</v>
      </c>
      <c r="P32" s="8">
        <v>2.0240000000000001E-2</v>
      </c>
      <c r="Q32" s="6">
        <v>0</v>
      </c>
      <c r="R32" s="6">
        <v>659168</v>
      </c>
      <c r="S32" s="13">
        <v>1</v>
      </c>
      <c r="T32" s="6">
        <v>98.54</v>
      </c>
      <c r="U32" s="6">
        <v>649.54399999999998</v>
      </c>
      <c r="W32" s="2" t="s">
        <v>23</v>
      </c>
      <c r="X32" s="8">
        <v>3.0000000000000001E-5</v>
      </c>
      <c r="Y32" s="8">
        <v>3.0000000000000001E-5</v>
      </c>
      <c r="Z32" s="8">
        <v>2.0000000000000002E-5</v>
      </c>
    </row>
    <row r="33" spans="1:26">
      <c r="A33" s="12">
        <v>1097</v>
      </c>
      <c r="B33" s="12">
        <v>1097</v>
      </c>
      <c r="C33" s="2" t="s">
        <v>149</v>
      </c>
      <c r="D33" s="2" t="s">
        <v>216</v>
      </c>
      <c r="E33" s="12" t="s">
        <v>164</v>
      </c>
      <c r="F33" s="2" t="s">
        <v>152</v>
      </c>
      <c r="G33" s="2" t="s">
        <v>77</v>
      </c>
      <c r="H33" s="2" t="s">
        <v>77</v>
      </c>
      <c r="I33" s="3" t="s">
        <v>130</v>
      </c>
      <c r="J33" s="3" t="s">
        <v>131</v>
      </c>
      <c r="K33" s="2" t="s">
        <v>132</v>
      </c>
      <c r="L33" s="2" t="s">
        <v>81</v>
      </c>
      <c r="M33" s="13">
        <v>13.167999999999999</v>
      </c>
      <c r="N33" s="2" t="s">
        <v>165</v>
      </c>
      <c r="O33" s="8">
        <v>2.75E-2</v>
      </c>
      <c r="P33" s="8">
        <v>1.9609999999999999E-2</v>
      </c>
      <c r="Q33" s="6">
        <v>0</v>
      </c>
      <c r="R33" s="6">
        <v>376276224</v>
      </c>
      <c r="S33" s="13">
        <v>1</v>
      </c>
      <c r="T33" s="6">
        <v>141.80000000000001</v>
      </c>
      <c r="U33" s="6">
        <v>533559.68599999999</v>
      </c>
      <c r="W33" s="2" t="s">
        <v>23</v>
      </c>
      <c r="X33" s="8">
        <v>1.865E-2</v>
      </c>
      <c r="Y33" s="8">
        <v>2.359E-2</v>
      </c>
      <c r="Z33" s="8">
        <v>1.324E-2</v>
      </c>
    </row>
    <row r="34" spans="1:26">
      <c r="A34" s="12">
        <v>1097</v>
      </c>
      <c r="B34" s="12">
        <v>1097</v>
      </c>
      <c r="C34" s="2" t="s">
        <v>181</v>
      </c>
      <c r="D34" s="2" t="s">
        <v>217</v>
      </c>
      <c r="E34" s="12" t="s">
        <v>187</v>
      </c>
      <c r="F34" s="2" t="s">
        <v>184</v>
      </c>
      <c r="G34" s="2" t="s">
        <v>77</v>
      </c>
      <c r="H34" s="2" t="s">
        <v>77</v>
      </c>
      <c r="I34" s="3" t="s">
        <v>130</v>
      </c>
      <c r="J34" s="3" t="s">
        <v>131</v>
      </c>
      <c r="K34" s="2" t="s">
        <v>132</v>
      </c>
      <c r="L34" s="2" t="s">
        <v>81</v>
      </c>
      <c r="M34" s="13">
        <v>1.7310000000000001</v>
      </c>
      <c r="N34" s="2" t="s">
        <v>188</v>
      </c>
      <c r="O34" s="8">
        <v>0.02</v>
      </c>
      <c r="P34" s="8">
        <v>3.9899999999999998E-2</v>
      </c>
      <c r="Q34" s="6">
        <v>0</v>
      </c>
      <c r="R34" s="6">
        <v>69223610</v>
      </c>
      <c r="S34" s="13">
        <v>1</v>
      </c>
      <c r="T34" s="6">
        <v>97.19</v>
      </c>
      <c r="U34" s="6">
        <v>67278.426999999996</v>
      </c>
      <c r="W34" s="2" t="s">
        <v>23</v>
      </c>
      <c r="X34" s="8">
        <v>2.4499999999999999E-3</v>
      </c>
      <c r="Y34" s="8">
        <v>2.97E-3</v>
      </c>
      <c r="Z34" s="8">
        <v>1.67E-3</v>
      </c>
    </row>
    <row r="35" spans="1:26">
      <c r="A35" s="12">
        <v>1097</v>
      </c>
      <c r="B35" s="12">
        <v>1097</v>
      </c>
      <c r="C35" s="2" t="s">
        <v>181</v>
      </c>
      <c r="D35" s="2" t="s">
        <v>218</v>
      </c>
      <c r="E35" s="12" t="s">
        <v>193</v>
      </c>
      <c r="F35" s="2" t="s">
        <v>184</v>
      </c>
      <c r="G35" s="2" t="s">
        <v>77</v>
      </c>
      <c r="H35" s="2" t="s">
        <v>77</v>
      </c>
      <c r="I35" s="3" t="s">
        <v>130</v>
      </c>
      <c r="J35" s="3" t="s">
        <v>131</v>
      </c>
      <c r="K35" s="2" t="s">
        <v>132</v>
      </c>
      <c r="L35" s="2" t="s">
        <v>81</v>
      </c>
      <c r="M35" s="13">
        <v>0.17</v>
      </c>
      <c r="N35" s="2" t="s">
        <v>194</v>
      </c>
      <c r="O35" s="8">
        <v>1.7500000000000002E-2</v>
      </c>
      <c r="P35" s="8">
        <v>4.3589999999999997E-2</v>
      </c>
      <c r="Q35" s="6">
        <v>0</v>
      </c>
      <c r="R35" s="6">
        <v>56407552</v>
      </c>
      <c r="S35" s="13">
        <v>1</v>
      </c>
      <c r="T35" s="6">
        <v>101.02</v>
      </c>
      <c r="U35" s="6">
        <v>56982.909</v>
      </c>
      <c r="W35" s="2" t="s">
        <v>23</v>
      </c>
      <c r="X35" s="8">
        <v>4.3099999999999996E-3</v>
      </c>
      <c r="Y35" s="8">
        <v>2.5200000000000001E-3</v>
      </c>
      <c r="Z35" s="8">
        <v>1.41E-3</v>
      </c>
    </row>
    <row r="36" spans="1:26">
      <c r="A36" s="12">
        <v>1097</v>
      </c>
      <c r="B36" s="12">
        <v>1097</v>
      </c>
      <c r="C36" s="2" t="s">
        <v>126</v>
      </c>
      <c r="D36" s="2" t="s">
        <v>219</v>
      </c>
      <c r="E36" s="12" t="s">
        <v>220</v>
      </c>
      <c r="F36" s="2" t="s">
        <v>129</v>
      </c>
      <c r="G36" s="2" t="s">
        <v>77</v>
      </c>
      <c r="H36" s="2" t="s">
        <v>77</v>
      </c>
      <c r="I36" s="3" t="s">
        <v>130</v>
      </c>
      <c r="J36" s="3" t="s">
        <v>131</v>
      </c>
      <c r="K36" s="2" t="s">
        <v>132</v>
      </c>
      <c r="L36" s="2" t="s">
        <v>81</v>
      </c>
      <c r="M36" s="13">
        <v>0.67700000000000005</v>
      </c>
      <c r="N36" s="2" t="s">
        <v>221</v>
      </c>
      <c r="O36" s="8">
        <v>0</v>
      </c>
      <c r="P36" s="8">
        <v>4.1910000000000003E-2</v>
      </c>
      <c r="Q36" s="6">
        <v>0</v>
      </c>
      <c r="R36" s="6">
        <v>422000000</v>
      </c>
      <c r="S36" s="13">
        <v>1</v>
      </c>
      <c r="T36" s="6">
        <v>97.26</v>
      </c>
      <c r="U36" s="6">
        <v>410437.2</v>
      </c>
      <c r="W36" s="2" t="s">
        <v>23</v>
      </c>
      <c r="X36" s="8">
        <v>2.3439999999999999E-2</v>
      </c>
      <c r="Y36" s="8">
        <v>1.814E-2</v>
      </c>
      <c r="Z36" s="8">
        <v>1.0189999999999999E-2</v>
      </c>
    </row>
    <row r="37" spans="1:26">
      <c r="A37" s="12">
        <v>1097</v>
      </c>
      <c r="B37" s="12">
        <v>1097</v>
      </c>
      <c r="C37" s="2" t="s">
        <v>222</v>
      </c>
      <c r="D37" s="2" t="s">
        <v>223</v>
      </c>
      <c r="E37" s="12" t="s">
        <v>224</v>
      </c>
      <c r="F37" s="2" t="s">
        <v>225</v>
      </c>
      <c r="G37" s="2" t="s">
        <v>109</v>
      </c>
      <c r="H37" s="2" t="s">
        <v>226</v>
      </c>
      <c r="I37" s="3" t="s">
        <v>132</v>
      </c>
      <c r="J37" s="3" t="s">
        <v>227</v>
      </c>
      <c r="K37" s="2" t="s">
        <v>228</v>
      </c>
      <c r="L37" s="2" t="s">
        <v>96</v>
      </c>
      <c r="M37" s="13">
        <v>4.6079999999999997</v>
      </c>
      <c r="N37" s="2" t="s">
        <v>229</v>
      </c>
      <c r="O37" s="8">
        <v>3.7499999999999999E-2</v>
      </c>
      <c r="P37" s="8">
        <v>3.8449999999999998E-2</v>
      </c>
      <c r="Q37" s="6">
        <v>0</v>
      </c>
      <c r="R37" s="6">
        <v>8060000</v>
      </c>
      <c r="S37" s="13">
        <v>3.3719999999999999</v>
      </c>
      <c r="T37" s="6">
        <v>99.727000000000004</v>
      </c>
      <c r="U37" s="6">
        <v>27104.013999999999</v>
      </c>
      <c r="W37" s="2" t="s">
        <v>23</v>
      </c>
      <c r="X37" s="8">
        <v>2.3000000000000001E-4</v>
      </c>
      <c r="Y37" s="8">
        <v>1.1999999999999999E-3</v>
      </c>
      <c r="Z37" s="8">
        <v>6.7000000000000002E-4</v>
      </c>
    </row>
    <row r="38" spans="1:26">
      <c r="A38" s="12">
        <v>1097</v>
      </c>
      <c r="B38" s="12">
        <v>1097</v>
      </c>
      <c r="C38" s="2" t="s">
        <v>222</v>
      </c>
      <c r="D38" s="2" t="s">
        <v>230</v>
      </c>
      <c r="E38" s="12" t="s">
        <v>231</v>
      </c>
      <c r="F38" s="2" t="s">
        <v>225</v>
      </c>
      <c r="G38" s="2" t="s">
        <v>109</v>
      </c>
      <c r="H38" s="2" t="s">
        <v>226</v>
      </c>
      <c r="I38" s="3" t="s">
        <v>132</v>
      </c>
      <c r="J38" s="3" t="s">
        <v>227</v>
      </c>
      <c r="K38" s="2" t="s">
        <v>228</v>
      </c>
      <c r="L38" s="2" t="s">
        <v>96</v>
      </c>
      <c r="M38" s="13">
        <v>7.056</v>
      </c>
      <c r="N38" s="2" t="s">
        <v>232</v>
      </c>
      <c r="O38" s="8">
        <v>4.4999999999999998E-2</v>
      </c>
      <c r="P38" s="8">
        <v>4.1500000000000002E-2</v>
      </c>
      <c r="Q38" s="6">
        <v>0</v>
      </c>
      <c r="R38" s="6">
        <v>9440000</v>
      </c>
      <c r="S38" s="13">
        <v>3.3719999999999999</v>
      </c>
      <c r="T38" s="6">
        <v>103.30500000000001</v>
      </c>
      <c r="U38" s="6">
        <v>32883.622000000003</v>
      </c>
      <c r="W38" s="2" t="s">
        <v>23</v>
      </c>
      <c r="X38" s="8">
        <v>8.0000000000000007E-5</v>
      </c>
      <c r="Y38" s="8">
        <v>1.4499999999999999E-3</v>
      </c>
      <c r="Z38" s="8">
        <v>8.1999999999999998E-4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236</v>
      </c>
      <c r="N1" s="1" t="s">
        <v>65</v>
      </c>
      <c r="O1" s="1" t="s">
        <v>117</v>
      </c>
      <c r="P1" s="1" t="s">
        <v>67</v>
      </c>
      <c r="Q1" s="1" t="s">
        <v>237</v>
      </c>
      <c r="R1" s="1" t="s">
        <v>68</v>
      </c>
      <c r="S1" s="1" t="s">
        <v>118</v>
      </c>
      <c r="T1" s="1" t="s">
        <v>238</v>
      </c>
      <c r="U1" s="1" t="s">
        <v>119</v>
      </c>
      <c r="V1" s="1" t="s">
        <v>71</v>
      </c>
      <c r="W1" s="1" t="s">
        <v>120</v>
      </c>
      <c r="X1" s="1" t="s">
        <v>239</v>
      </c>
      <c r="Y1" s="1" t="s">
        <v>240</v>
      </c>
      <c r="Z1" s="1" t="s">
        <v>122</v>
      </c>
      <c r="AA1" s="1" t="s">
        <v>70</v>
      </c>
      <c r="AB1" s="1" t="s">
        <v>123</v>
      </c>
      <c r="AC1" s="1" t="s">
        <v>121</v>
      </c>
      <c r="AD1" s="1" t="s">
        <v>72</v>
      </c>
      <c r="AE1" s="1" t="s">
        <v>124</v>
      </c>
      <c r="AF1" s="1" t="s">
        <v>241</v>
      </c>
      <c r="AG1" s="1" t="s">
        <v>25</v>
      </c>
      <c r="AH1" s="1" t="s">
        <v>125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89"/>
  <sheetViews>
    <sheetView rightToLeft="1" topLeftCell="H1" workbookViewId="0">
      <selection activeCell="R285" sqref="R285:R286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0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116</v>
      </c>
      <c r="N1" s="1" t="s">
        <v>236</v>
      </c>
      <c r="O1" s="1" t="s">
        <v>65</v>
      </c>
      <c r="P1" s="1" t="s">
        <v>117</v>
      </c>
      <c r="Q1" s="1" t="s">
        <v>67</v>
      </c>
      <c r="R1" s="1" t="s">
        <v>237</v>
      </c>
      <c r="S1" s="1" t="s">
        <v>68</v>
      </c>
      <c r="T1" s="1" t="s">
        <v>118</v>
      </c>
      <c r="U1" s="1" t="s">
        <v>119</v>
      </c>
      <c r="V1" s="1" t="s">
        <v>71</v>
      </c>
      <c r="W1" s="1" t="s">
        <v>120</v>
      </c>
      <c r="X1" s="1" t="s">
        <v>239</v>
      </c>
      <c r="Y1" s="1" t="s">
        <v>240</v>
      </c>
      <c r="Z1" s="1" t="s">
        <v>122</v>
      </c>
      <c r="AA1" s="1" t="s">
        <v>70</v>
      </c>
      <c r="AB1" s="1" t="s">
        <v>123</v>
      </c>
      <c r="AC1" s="1" t="s">
        <v>121</v>
      </c>
      <c r="AD1" s="1" t="s">
        <v>72</v>
      </c>
      <c r="AE1" s="1" t="s">
        <v>124</v>
      </c>
      <c r="AF1" s="1" t="s">
        <v>241</v>
      </c>
      <c r="AG1" s="1" t="s">
        <v>25</v>
      </c>
      <c r="AH1" s="1" t="s">
        <v>125</v>
      </c>
      <c r="AI1" s="1" t="s">
        <v>73</v>
      </c>
      <c r="AJ1" s="1" t="s">
        <v>74</v>
      </c>
    </row>
    <row r="2" spans="1:36">
      <c r="A2" s="12">
        <v>1097</v>
      </c>
      <c r="B2" s="12">
        <v>1097</v>
      </c>
      <c r="C2" s="2" t="s">
        <v>243</v>
      </c>
      <c r="D2" s="3" t="s">
        <v>244</v>
      </c>
      <c r="E2" s="2" t="s">
        <v>245</v>
      </c>
      <c r="F2" s="2" t="s">
        <v>246</v>
      </c>
      <c r="G2" s="12" t="s">
        <v>247</v>
      </c>
      <c r="H2" s="2" t="s">
        <v>248</v>
      </c>
      <c r="I2" s="2" t="s">
        <v>249</v>
      </c>
      <c r="J2" s="2" t="s">
        <v>77</v>
      </c>
      <c r="K2" s="2" t="s">
        <v>77</v>
      </c>
      <c r="L2" s="2" t="s">
        <v>250</v>
      </c>
      <c r="M2" s="2" t="s">
        <v>130</v>
      </c>
      <c r="N2" s="2" t="s">
        <v>251</v>
      </c>
      <c r="O2" s="2" t="s">
        <v>78</v>
      </c>
      <c r="P2" s="3" t="s">
        <v>252</v>
      </c>
      <c r="Q2" s="2" t="s">
        <v>253</v>
      </c>
      <c r="R2" s="2" t="s">
        <v>254</v>
      </c>
      <c r="S2" s="2" t="s">
        <v>81</v>
      </c>
      <c r="T2" s="13">
        <v>4.8890000000000002</v>
      </c>
      <c r="U2" s="2" t="s">
        <v>255</v>
      </c>
      <c r="V2" s="8">
        <v>5.8000000000000003E-2</v>
      </c>
      <c r="W2" s="8">
        <v>5.4859999999999999E-2</v>
      </c>
      <c r="X2" s="2" t="s">
        <v>256</v>
      </c>
      <c r="Y2" s="2" t="s">
        <v>78</v>
      </c>
      <c r="Z2" s="6">
        <v>1485000</v>
      </c>
      <c r="AA2" s="13">
        <v>1</v>
      </c>
      <c r="AB2" s="6">
        <v>102.11</v>
      </c>
      <c r="AC2" s="6">
        <v>0</v>
      </c>
      <c r="AD2" s="6">
        <v>1516.3340000000001</v>
      </c>
      <c r="AG2" s="2" t="s">
        <v>23</v>
      </c>
      <c r="AH2" s="8">
        <v>9.9000000000000008E-3</v>
      </c>
      <c r="AI2" s="8">
        <v>4.6000000000000001E-4</v>
      </c>
      <c r="AJ2" s="8">
        <v>4.0000000000000003E-5</v>
      </c>
    </row>
    <row r="3" spans="1:36">
      <c r="A3" s="12">
        <v>1097</v>
      </c>
      <c r="B3" s="12">
        <v>1097</v>
      </c>
      <c r="C3" s="2" t="s">
        <v>257</v>
      </c>
      <c r="D3" s="3" t="s">
        <v>258</v>
      </c>
      <c r="E3" s="2" t="s">
        <v>245</v>
      </c>
      <c r="F3" s="2" t="s">
        <v>259</v>
      </c>
      <c r="G3" s="12" t="s">
        <v>260</v>
      </c>
      <c r="H3" s="2" t="s">
        <v>248</v>
      </c>
      <c r="I3" s="2" t="s">
        <v>261</v>
      </c>
      <c r="J3" s="2" t="s">
        <v>77</v>
      </c>
      <c r="K3" s="2" t="s">
        <v>77</v>
      </c>
      <c r="L3" s="2" t="s">
        <v>250</v>
      </c>
      <c r="M3" s="2" t="s">
        <v>130</v>
      </c>
      <c r="N3" s="2" t="s">
        <v>262</v>
      </c>
      <c r="O3" s="2" t="s">
        <v>78</v>
      </c>
      <c r="P3" s="3" t="s">
        <v>252</v>
      </c>
      <c r="Q3" s="2" t="s">
        <v>253</v>
      </c>
      <c r="R3" s="2" t="s">
        <v>254</v>
      </c>
      <c r="S3" s="2" t="s">
        <v>81</v>
      </c>
      <c r="T3" s="13">
        <v>1.1419999999999999</v>
      </c>
      <c r="U3" s="2" t="s">
        <v>263</v>
      </c>
      <c r="V3" s="8">
        <v>2.8500000000000001E-2</v>
      </c>
      <c r="W3" s="8">
        <v>2.989E-2</v>
      </c>
      <c r="X3" s="2" t="s">
        <v>256</v>
      </c>
      <c r="Y3" s="2" t="s">
        <v>78</v>
      </c>
      <c r="Z3" s="6">
        <v>795000</v>
      </c>
      <c r="AA3" s="13">
        <v>1</v>
      </c>
      <c r="AB3" s="6">
        <v>119.39</v>
      </c>
      <c r="AC3" s="6">
        <v>0</v>
      </c>
      <c r="AD3" s="6">
        <v>949.15099999999995</v>
      </c>
      <c r="AG3" s="2" t="s">
        <v>23</v>
      </c>
      <c r="AH3" s="8">
        <v>1.9499999999999999E-3</v>
      </c>
      <c r="AI3" s="8">
        <v>2.9E-4</v>
      </c>
      <c r="AJ3" s="8">
        <v>2.0000000000000002E-5</v>
      </c>
    </row>
    <row r="4" spans="1:36">
      <c r="A4" s="12">
        <v>1097</v>
      </c>
      <c r="B4" s="12">
        <v>1097</v>
      </c>
      <c r="C4" s="2" t="s">
        <v>257</v>
      </c>
      <c r="D4" s="3" t="s">
        <v>258</v>
      </c>
      <c r="E4" s="2" t="s">
        <v>245</v>
      </c>
      <c r="F4" s="2" t="s">
        <v>264</v>
      </c>
      <c r="G4" s="12" t="s">
        <v>265</v>
      </c>
      <c r="H4" s="2" t="s">
        <v>248</v>
      </c>
      <c r="I4" s="2" t="s">
        <v>261</v>
      </c>
      <c r="J4" s="2" t="s">
        <v>77</v>
      </c>
      <c r="K4" s="2" t="s">
        <v>77</v>
      </c>
      <c r="L4" s="2" t="s">
        <v>250</v>
      </c>
      <c r="M4" s="2" t="s">
        <v>130</v>
      </c>
      <c r="N4" s="2" t="s">
        <v>262</v>
      </c>
      <c r="O4" s="2" t="s">
        <v>78</v>
      </c>
      <c r="P4" s="3" t="s">
        <v>252</v>
      </c>
      <c r="Q4" s="2" t="s">
        <v>253</v>
      </c>
      <c r="R4" s="2" t="s">
        <v>254</v>
      </c>
      <c r="S4" s="2" t="s">
        <v>81</v>
      </c>
      <c r="T4" s="13">
        <v>3.0000000000000001E-3</v>
      </c>
      <c r="U4" s="2" t="s">
        <v>266</v>
      </c>
      <c r="V4" s="8">
        <v>4.65E-2</v>
      </c>
      <c r="W4" s="8">
        <v>0.42514000000000002</v>
      </c>
      <c r="X4" s="2" t="s">
        <v>256</v>
      </c>
      <c r="Y4" s="2" t="s">
        <v>78</v>
      </c>
      <c r="Z4" s="6">
        <v>337500</v>
      </c>
      <c r="AA4" s="13">
        <v>1</v>
      </c>
      <c r="AB4" s="6">
        <v>120.23</v>
      </c>
      <c r="AC4" s="6">
        <v>0</v>
      </c>
      <c r="AD4" s="6">
        <v>405.77600000000001</v>
      </c>
      <c r="AG4" s="2" t="s">
        <v>23</v>
      </c>
      <c r="AH4" s="8">
        <v>2.3500000000000001E-3</v>
      </c>
      <c r="AI4" s="8">
        <v>1.2E-4</v>
      </c>
      <c r="AJ4" s="8">
        <v>1.0000000000000001E-5</v>
      </c>
    </row>
    <row r="5" spans="1:36">
      <c r="A5" s="12">
        <v>1097</v>
      </c>
      <c r="B5" s="12">
        <v>1097</v>
      </c>
      <c r="C5" s="2" t="s">
        <v>257</v>
      </c>
      <c r="D5" s="3" t="s">
        <v>258</v>
      </c>
      <c r="E5" s="2" t="s">
        <v>245</v>
      </c>
      <c r="F5" s="2" t="s">
        <v>267</v>
      </c>
      <c r="G5" s="12" t="s">
        <v>268</v>
      </c>
      <c r="H5" s="2" t="s">
        <v>248</v>
      </c>
      <c r="I5" s="2" t="s">
        <v>261</v>
      </c>
      <c r="J5" s="2" t="s">
        <v>77</v>
      </c>
      <c r="K5" s="2" t="s">
        <v>77</v>
      </c>
      <c r="L5" s="2" t="s">
        <v>250</v>
      </c>
      <c r="M5" s="2" t="s">
        <v>130</v>
      </c>
      <c r="N5" s="2" t="s">
        <v>262</v>
      </c>
      <c r="O5" s="2" t="s">
        <v>78</v>
      </c>
      <c r="P5" s="3" t="s">
        <v>252</v>
      </c>
      <c r="Q5" s="2" t="s">
        <v>253</v>
      </c>
      <c r="R5" s="2" t="s">
        <v>254</v>
      </c>
      <c r="S5" s="2" t="s">
        <v>81</v>
      </c>
      <c r="T5" s="13">
        <v>2.6280000000000001</v>
      </c>
      <c r="U5" s="2" t="s">
        <v>205</v>
      </c>
      <c r="V5" s="8">
        <v>2.4500000000000001E-2</v>
      </c>
      <c r="W5" s="8">
        <v>3.0519999999999999E-2</v>
      </c>
      <c r="X5" s="2" t="s">
        <v>256</v>
      </c>
      <c r="Y5" s="2" t="s">
        <v>78</v>
      </c>
      <c r="Z5" s="6">
        <v>8082109.4400000004</v>
      </c>
      <c r="AA5" s="13">
        <v>1</v>
      </c>
      <c r="AB5" s="6">
        <v>115.76</v>
      </c>
      <c r="AC5" s="6">
        <v>0</v>
      </c>
      <c r="AD5" s="6">
        <v>9355.85</v>
      </c>
      <c r="AG5" s="2" t="s">
        <v>23</v>
      </c>
      <c r="AH5" s="8">
        <v>1.7299999999999999E-2</v>
      </c>
      <c r="AI5" s="8">
        <v>2.8300000000000001E-3</v>
      </c>
      <c r="AJ5" s="8">
        <v>2.3000000000000001E-4</v>
      </c>
    </row>
    <row r="6" spans="1:36">
      <c r="A6" s="12">
        <v>1097</v>
      </c>
      <c r="B6" s="12">
        <v>1097</v>
      </c>
      <c r="C6" s="2" t="s">
        <v>257</v>
      </c>
      <c r="D6" s="3" t="s">
        <v>258</v>
      </c>
      <c r="E6" s="2" t="s">
        <v>245</v>
      </c>
      <c r="F6" s="2" t="s">
        <v>269</v>
      </c>
      <c r="G6" s="12" t="s">
        <v>270</v>
      </c>
      <c r="H6" s="2" t="s">
        <v>248</v>
      </c>
      <c r="I6" s="2" t="s">
        <v>261</v>
      </c>
      <c r="J6" s="2" t="s">
        <v>77</v>
      </c>
      <c r="K6" s="2" t="s">
        <v>77</v>
      </c>
      <c r="L6" s="2" t="s">
        <v>250</v>
      </c>
      <c r="M6" s="2" t="s">
        <v>130</v>
      </c>
      <c r="N6" s="2" t="s">
        <v>262</v>
      </c>
      <c r="O6" s="2" t="s">
        <v>78</v>
      </c>
      <c r="P6" s="3" t="s">
        <v>252</v>
      </c>
      <c r="Q6" s="2" t="s">
        <v>253</v>
      </c>
      <c r="R6" s="2" t="s">
        <v>254</v>
      </c>
      <c r="S6" s="2" t="s">
        <v>81</v>
      </c>
      <c r="T6" s="13">
        <v>3.3359999999999999</v>
      </c>
      <c r="U6" s="2" t="s">
        <v>271</v>
      </c>
      <c r="V6" s="8">
        <v>4.3E-3</v>
      </c>
      <c r="W6" s="8">
        <v>3.2169999999999997E-2</v>
      </c>
      <c r="X6" s="2" t="s">
        <v>256</v>
      </c>
      <c r="Y6" s="2" t="s">
        <v>78</v>
      </c>
      <c r="Z6" s="6">
        <v>5597000</v>
      </c>
      <c r="AA6" s="13">
        <v>1</v>
      </c>
      <c r="AB6" s="6">
        <v>104.31</v>
      </c>
      <c r="AC6" s="6">
        <v>0</v>
      </c>
      <c r="AD6" s="6">
        <v>5838.2309999999998</v>
      </c>
      <c r="AG6" s="2" t="s">
        <v>23</v>
      </c>
      <c r="AH6" s="8">
        <v>8.9599999999999992E-3</v>
      </c>
      <c r="AI6" s="8">
        <v>1.7600000000000001E-3</v>
      </c>
      <c r="AJ6" s="8">
        <v>1.3999999999999999E-4</v>
      </c>
    </row>
    <row r="7" spans="1:36">
      <c r="A7" s="12">
        <v>1097</v>
      </c>
      <c r="B7" s="12">
        <v>1097</v>
      </c>
      <c r="C7" s="2" t="s">
        <v>272</v>
      </c>
      <c r="D7" s="3" t="s">
        <v>273</v>
      </c>
      <c r="E7" s="2" t="s">
        <v>245</v>
      </c>
      <c r="F7" s="2" t="s">
        <v>274</v>
      </c>
      <c r="G7" s="12" t="s">
        <v>275</v>
      </c>
      <c r="H7" s="2" t="s">
        <v>248</v>
      </c>
      <c r="I7" s="2" t="s">
        <v>261</v>
      </c>
      <c r="J7" s="2" t="s">
        <v>77</v>
      </c>
      <c r="K7" s="2" t="s">
        <v>77</v>
      </c>
      <c r="L7" s="2" t="s">
        <v>250</v>
      </c>
      <c r="M7" s="2" t="s">
        <v>130</v>
      </c>
      <c r="N7" s="2" t="s">
        <v>276</v>
      </c>
      <c r="O7" s="2" t="s">
        <v>78</v>
      </c>
      <c r="P7" s="3" t="s">
        <v>277</v>
      </c>
      <c r="Q7" s="2" t="s">
        <v>80</v>
      </c>
      <c r="R7" s="2" t="s">
        <v>254</v>
      </c>
      <c r="S7" s="2" t="s">
        <v>81</v>
      </c>
      <c r="T7" s="13">
        <v>5.04</v>
      </c>
      <c r="U7" s="2" t="s">
        <v>278</v>
      </c>
      <c r="V7" s="8">
        <v>5.1499999999999997E-2</v>
      </c>
      <c r="W7" s="8">
        <v>4.1739999999999999E-2</v>
      </c>
      <c r="X7" s="2" t="s">
        <v>256</v>
      </c>
      <c r="Y7" s="2" t="s">
        <v>78</v>
      </c>
      <c r="Z7" s="6">
        <v>12363859.83</v>
      </c>
      <c r="AA7" s="13">
        <v>1</v>
      </c>
      <c r="AB7" s="6">
        <v>148.91</v>
      </c>
      <c r="AC7" s="6">
        <v>0</v>
      </c>
      <c r="AD7" s="6">
        <v>18411.024000000001</v>
      </c>
      <c r="AG7" s="2" t="s">
        <v>23</v>
      </c>
      <c r="AH7" s="8">
        <v>6.4400000000000004E-3</v>
      </c>
      <c r="AI7" s="8">
        <v>5.5599999999999998E-3</v>
      </c>
      <c r="AJ7" s="8">
        <v>4.6000000000000001E-4</v>
      </c>
    </row>
    <row r="8" spans="1:36">
      <c r="A8" s="12">
        <v>1097</v>
      </c>
      <c r="B8" s="12">
        <v>1097</v>
      </c>
      <c r="C8" s="2" t="s">
        <v>279</v>
      </c>
      <c r="D8" s="3" t="s">
        <v>280</v>
      </c>
      <c r="E8" s="2" t="s">
        <v>245</v>
      </c>
      <c r="F8" s="2" t="s">
        <v>281</v>
      </c>
      <c r="G8" s="12" t="s">
        <v>282</v>
      </c>
      <c r="H8" s="2" t="s">
        <v>248</v>
      </c>
      <c r="I8" s="2" t="s">
        <v>249</v>
      </c>
      <c r="J8" s="2" t="s">
        <v>77</v>
      </c>
      <c r="K8" s="2" t="s">
        <v>77</v>
      </c>
      <c r="L8" s="2" t="s">
        <v>250</v>
      </c>
      <c r="M8" s="2" t="s">
        <v>130</v>
      </c>
      <c r="N8" s="2" t="s">
        <v>251</v>
      </c>
      <c r="O8" s="2" t="s">
        <v>78</v>
      </c>
      <c r="P8" s="3" t="s">
        <v>283</v>
      </c>
      <c r="Q8" s="2" t="s">
        <v>253</v>
      </c>
      <c r="R8" s="2" t="s">
        <v>254</v>
      </c>
      <c r="S8" s="2" t="s">
        <v>81</v>
      </c>
      <c r="T8" s="13">
        <v>1.952</v>
      </c>
      <c r="U8" s="2" t="s">
        <v>284</v>
      </c>
      <c r="V8" s="8">
        <v>2.5499999999999998E-2</v>
      </c>
      <c r="W8" s="8">
        <v>4.9509999999999998E-2</v>
      </c>
      <c r="X8" s="2" t="s">
        <v>256</v>
      </c>
      <c r="Y8" s="2" t="s">
        <v>78</v>
      </c>
      <c r="Z8" s="6">
        <v>2194107.5499999998</v>
      </c>
      <c r="AA8" s="13">
        <v>1</v>
      </c>
      <c r="AB8" s="6">
        <v>95.58</v>
      </c>
      <c r="AC8" s="6">
        <v>0</v>
      </c>
      <c r="AD8" s="6">
        <v>2097.1280000000002</v>
      </c>
      <c r="AG8" s="2" t="s">
        <v>23</v>
      </c>
      <c r="AH8" s="8">
        <v>3.3600000000000001E-3</v>
      </c>
      <c r="AI8" s="8">
        <v>6.3000000000000003E-4</v>
      </c>
      <c r="AJ8" s="8">
        <v>5.0000000000000002E-5</v>
      </c>
    </row>
    <row r="9" spans="1:36">
      <c r="A9" s="12">
        <v>1097</v>
      </c>
      <c r="B9" s="12">
        <v>1097</v>
      </c>
      <c r="C9" s="2" t="s">
        <v>279</v>
      </c>
      <c r="D9" s="3" t="s">
        <v>280</v>
      </c>
      <c r="E9" s="2" t="s">
        <v>245</v>
      </c>
      <c r="F9" s="2" t="s">
        <v>285</v>
      </c>
      <c r="G9" s="12" t="s">
        <v>286</v>
      </c>
      <c r="H9" s="2" t="s">
        <v>248</v>
      </c>
      <c r="I9" s="2" t="s">
        <v>261</v>
      </c>
      <c r="J9" s="2" t="s">
        <v>77</v>
      </c>
      <c r="K9" s="2" t="s">
        <v>77</v>
      </c>
      <c r="L9" s="2" t="s">
        <v>250</v>
      </c>
      <c r="M9" s="2" t="s">
        <v>130</v>
      </c>
      <c r="N9" s="2" t="s">
        <v>251</v>
      </c>
      <c r="O9" s="2" t="s">
        <v>78</v>
      </c>
      <c r="P9" s="3" t="s">
        <v>287</v>
      </c>
      <c r="Q9" s="2" t="s">
        <v>253</v>
      </c>
      <c r="R9" s="2" t="s">
        <v>254</v>
      </c>
      <c r="S9" s="2" t="s">
        <v>81</v>
      </c>
      <c r="T9" s="13">
        <v>3.601</v>
      </c>
      <c r="U9" s="2" t="s">
        <v>288</v>
      </c>
      <c r="V9" s="8">
        <v>1E-3</v>
      </c>
      <c r="W9" s="8">
        <v>2.792E-2</v>
      </c>
      <c r="X9" s="2" t="s">
        <v>256</v>
      </c>
      <c r="Y9" s="2" t="s">
        <v>78</v>
      </c>
      <c r="Z9" s="6">
        <v>4030811.48</v>
      </c>
      <c r="AA9" s="13">
        <v>1</v>
      </c>
      <c r="AB9" s="6">
        <v>105.29</v>
      </c>
      <c r="AC9" s="6">
        <v>0</v>
      </c>
      <c r="AD9" s="6">
        <v>4244.0410000000002</v>
      </c>
      <c r="AG9" s="2" t="s">
        <v>23</v>
      </c>
      <c r="AH9" s="8">
        <v>2.6239999999999999E-2</v>
      </c>
      <c r="AI9" s="8">
        <v>1.2800000000000001E-3</v>
      </c>
      <c r="AJ9" s="8">
        <v>1.1E-4</v>
      </c>
    </row>
    <row r="10" spans="1:36">
      <c r="A10" s="12">
        <v>1097</v>
      </c>
      <c r="B10" s="12">
        <v>1097</v>
      </c>
      <c r="C10" s="2" t="s">
        <v>289</v>
      </c>
      <c r="D10" s="3" t="s">
        <v>290</v>
      </c>
      <c r="E10" s="2" t="s">
        <v>245</v>
      </c>
      <c r="F10" s="2" t="s">
        <v>291</v>
      </c>
      <c r="G10" s="12" t="s">
        <v>292</v>
      </c>
      <c r="H10" s="2" t="s">
        <v>248</v>
      </c>
      <c r="I10" s="2" t="s">
        <v>249</v>
      </c>
      <c r="J10" s="2" t="s">
        <v>77</v>
      </c>
      <c r="K10" s="2" t="s">
        <v>77</v>
      </c>
      <c r="L10" s="2" t="s">
        <v>250</v>
      </c>
      <c r="M10" s="2" t="s">
        <v>130</v>
      </c>
      <c r="N10" s="2" t="s">
        <v>276</v>
      </c>
      <c r="O10" s="2" t="s">
        <v>78</v>
      </c>
      <c r="P10" s="3" t="s">
        <v>293</v>
      </c>
      <c r="Q10" s="2" t="s">
        <v>80</v>
      </c>
      <c r="R10" s="2" t="s">
        <v>254</v>
      </c>
      <c r="S10" s="2" t="s">
        <v>81</v>
      </c>
      <c r="T10" s="13">
        <v>7.3319999999999999</v>
      </c>
      <c r="U10" s="2" t="s">
        <v>294</v>
      </c>
      <c r="V10" s="8">
        <v>2.4E-2</v>
      </c>
      <c r="W10" s="8">
        <v>4.6929999999999999E-2</v>
      </c>
      <c r="X10" s="2" t="s">
        <v>256</v>
      </c>
      <c r="Y10" s="2" t="s">
        <v>78</v>
      </c>
      <c r="Z10" s="6">
        <v>52268844.770000003</v>
      </c>
      <c r="AA10" s="13">
        <v>1</v>
      </c>
      <c r="AB10" s="6">
        <v>84.92</v>
      </c>
      <c r="AC10" s="6">
        <v>0</v>
      </c>
      <c r="AD10" s="6">
        <v>44386.703000000001</v>
      </c>
      <c r="AG10" s="2" t="s">
        <v>23</v>
      </c>
      <c r="AH10" s="8">
        <v>3.3279999999999997E-2</v>
      </c>
      <c r="AI10" s="8">
        <v>1.341E-2</v>
      </c>
      <c r="AJ10" s="8">
        <v>1.1000000000000001E-3</v>
      </c>
    </row>
    <row r="11" spans="1:36">
      <c r="A11" s="12">
        <v>1097</v>
      </c>
      <c r="B11" s="12">
        <v>1097</v>
      </c>
      <c r="C11" s="2" t="s">
        <v>295</v>
      </c>
      <c r="D11" s="3" t="s">
        <v>296</v>
      </c>
      <c r="E11" s="2" t="s">
        <v>245</v>
      </c>
      <c r="F11" s="2" t="s">
        <v>297</v>
      </c>
      <c r="G11" s="12" t="s">
        <v>298</v>
      </c>
      <c r="H11" s="2" t="s">
        <v>248</v>
      </c>
      <c r="I11" s="2" t="s">
        <v>249</v>
      </c>
      <c r="J11" s="2" t="s">
        <v>77</v>
      </c>
      <c r="K11" s="2" t="s">
        <v>77</v>
      </c>
      <c r="L11" s="2" t="s">
        <v>250</v>
      </c>
      <c r="M11" s="2" t="s">
        <v>130</v>
      </c>
      <c r="N11" s="2" t="s">
        <v>299</v>
      </c>
      <c r="O11" s="2" t="s">
        <v>78</v>
      </c>
      <c r="P11" s="3" t="s">
        <v>300</v>
      </c>
      <c r="Q11" s="2" t="s">
        <v>80</v>
      </c>
      <c r="R11" s="2" t="s">
        <v>254</v>
      </c>
      <c r="S11" s="2" t="s">
        <v>81</v>
      </c>
      <c r="T11" s="13">
        <v>2.427</v>
      </c>
      <c r="U11" s="2" t="s">
        <v>288</v>
      </c>
      <c r="V11" s="8">
        <v>1.0800000000000001E-2</v>
      </c>
      <c r="W11" s="8">
        <v>4.3920000000000001E-2</v>
      </c>
      <c r="X11" s="2" t="s">
        <v>256</v>
      </c>
      <c r="Y11" s="2" t="s">
        <v>78</v>
      </c>
      <c r="Z11" s="6">
        <v>18184610.43</v>
      </c>
      <c r="AA11" s="13">
        <v>1</v>
      </c>
      <c r="AB11" s="6">
        <v>92.42</v>
      </c>
      <c r="AC11" s="6">
        <v>0</v>
      </c>
      <c r="AD11" s="6">
        <v>16806.217000000001</v>
      </c>
      <c r="AG11" s="2" t="s">
        <v>23</v>
      </c>
      <c r="AH11" s="8">
        <v>2.4250000000000001E-2</v>
      </c>
      <c r="AI11" s="8">
        <v>5.0800000000000003E-3</v>
      </c>
      <c r="AJ11" s="8">
        <v>4.2000000000000002E-4</v>
      </c>
    </row>
    <row r="12" spans="1:36">
      <c r="A12" s="12">
        <v>1097</v>
      </c>
      <c r="B12" s="12">
        <v>1097</v>
      </c>
      <c r="C12" s="2" t="s">
        <v>301</v>
      </c>
      <c r="D12" s="3" t="s">
        <v>302</v>
      </c>
      <c r="E12" s="2" t="s">
        <v>245</v>
      </c>
      <c r="F12" s="2" t="s">
        <v>303</v>
      </c>
      <c r="G12" s="12" t="s">
        <v>304</v>
      </c>
      <c r="H12" s="2" t="s">
        <v>248</v>
      </c>
      <c r="I12" s="2" t="s">
        <v>261</v>
      </c>
      <c r="J12" s="2" t="s">
        <v>77</v>
      </c>
      <c r="K12" s="2" t="s">
        <v>77</v>
      </c>
      <c r="L12" s="2" t="s">
        <v>250</v>
      </c>
      <c r="M12" s="2" t="s">
        <v>130</v>
      </c>
      <c r="N12" s="2" t="s">
        <v>305</v>
      </c>
      <c r="O12" s="2" t="s">
        <v>78</v>
      </c>
      <c r="P12" s="3" t="s">
        <v>306</v>
      </c>
      <c r="Q12" s="2" t="s">
        <v>80</v>
      </c>
      <c r="R12" s="2" t="s">
        <v>254</v>
      </c>
      <c r="S12" s="2" t="s">
        <v>81</v>
      </c>
      <c r="T12" s="13">
        <v>0.79800000000000004</v>
      </c>
      <c r="U12" s="2" t="s">
        <v>307</v>
      </c>
      <c r="V12" s="8">
        <v>1.8499999999999999E-2</v>
      </c>
      <c r="W12" s="8">
        <v>2.9350000000000001E-2</v>
      </c>
      <c r="X12" s="2" t="s">
        <v>256</v>
      </c>
      <c r="Y12" s="2" t="s">
        <v>78</v>
      </c>
      <c r="Z12" s="6">
        <v>3308051.33</v>
      </c>
      <c r="AA12" s="13">
        <v>1</v>
      </c>
      <c r="AB12" s="6">
        <v>114.76</v>
      </c>
      <c r="AC12" s="6">
        <v>0</v>
      </c>
      <c r="AD12" s="6">
        <v>3796.32</v>
      </c>
      <c r="AG12" s="2" t="s">
        <v>23</v>
      </c>
      <c r="AH12" s="8">
        <v>8.5199999999999998E-3</v>
      </c>
      <c r="AI12" s="8">
        <v>1.15E-3</v>
      </c>
      <c r="AJ12" s="8">
        <v>9.0000000000000006E-5</v>
      </c>
    </row>
    <row r="13" spans="1:36">
      <c r="A13" s="12">
        <v>1097</v>
      </c>
      <c r="B13" s="12">
        <v>1097</v>
      </c>
      <c r="C13" s="2" t="s">
        <v>301</v>
      </c>
      <c r="D13" s="3" t="s">
        <v>302</v>
      </c>
      <c r="E13" s="2" t="s">
        <v>245</v>
      </c>
      <c r="F13" s="2" t="s">
        <v>308</v>
      </c>
      <c r="G13" s="12" t="s">
        <v>309</v>
      </c>
      <c r="H13" s="2" t="s">
        <v>248</v>
      </c>
      <c r="I13" s="2" t="s">
        <v>249</v>
      </c>
      <c r="J13" s="2" t="s">
        <v>77</v>
      </c>
      <c r="K13" s="2" t="s">
        <v>77</v>
      </c>
      <c r="L13" s="2" t="s">
        <v>250</v>
      </c>
      <c r="M13" s="2" t="s">
        <v>130</v>
      </c>
      <c r="N13" s="2" t="s">
        <v>305</v>
      </c>
      <c r="O13" s="2" t="s">
        <v>78</v>
      </c>
      <c r="P13" s="3" t="s">
        <v>306</v>
      </c>
      <c r="Q13" s="2" t="s">
        <v>80</v>
      </c>
      <c r="R13" s="2" t="s">
        <v>254</v>
      </c>
      <c r="S13" s="2" t="s">
        <v>81</v>
      </c>
      <c r="T13" s="13">
        <v>0.77</v>
      </c>
      <c r="U13" s="2" t="s">
        <v>310</v>
      </c>
      <c r="V13" s="8">
        <v>3.2500000000000001E-2</v>
      </c>
      <c r="W13" s="8">
        <v>5.126E-2</v>
      </c>
      <c r="X13" s="2" t="s">
        <v>256</v>
      </c>
      <c r="Y13" s="2" t="s">
        <v>78</v>
      </c>
      <c r="Z13" s="6">
        <v>285220</v>
      </c>
      <c r="AA13" s="13">
        <v>1</v>
      </c>
      <c r="AB13" s="6">
        <v>99.33</v>
      </c>
      <c r="AC13" s="6">
        <v>0</v>
      </c>
      <c r="AD13" s="6">
        <v>283.30900000000003</v>
      </c>
      <c r="AG13" s="2" t="s">
        <v>23</v>
      </c>
      <c r="AH13" s="8">
        <v>1E-3</v>
      </c>
      <c r="AI13" s="8">
        <v>9.0000000000000006E-5</v>
      </c>
      <c r="AJ13" s="8">
        <v>1.0000000000000001E-5</v>
      </c>
    </row>
    <row r="14" spans="1:36">
      <c r="A14" s="12">
        <v>1097</v>
      </c>
      <c r="B14" s="12">
        <v>1097</v>
      </c>
      <c r="C14" s="2" t="s">
        <v>301</v>
      </c>
      <c r="D14" s="3" t="s">
        <v>302</v>
      </c>
      <c r="E14" s="2" t="s">
        <v>245</v>
      </c>
      <c r="F14" s="2" t="s">
        <v>311</v>
      </c>
      <c r="G14" s="12" t="s">
        <v>312</v>
      </c>
      <c r="H14" s="2" t="s">
        <v>248</v>
      </c>
      <c r="I14" s="2" t="s">
        <v>261</v>
      </c>
      <c r="J14" s="2" t="s">
        <v>77</v>
      </c>
      <c r="K14" s="2" t="s">
        <v>77</v>
      </c>
      <c r="L14" s="2" t="s">
        <v>250</v>
      </c>
      <c r="M14" s="2" t="s">
        <v>130</v>
      </c>
      <c r="N14" s="2" t="s">
        <v>305</v>
      </c>
      <c r="O14" s="2" t="s">
        <v>78</v>
      </c>
      <c r="P14" s="3" t="s">
        <v>306</v>
      </c>
      <c r="Q14" s="2" t="s">
        <v>80</v>
      </c>
      <c r="R14" s="2" t="s">
        <v>254</v>
      </c>
      <c r="S14" s="2" t="s">
        <v>81</v>
      </c>
      <c r="T14" s="13">
        <v>1.4570000000000001</v>
      </c>
      <c r="U14" s="2" t="s">
        <v>313</v>
      </c>
      <c r="V14" s="8">
        <v>3.2000000000000001E-2</v>
      </c>
      <c r="W14" s="8">
        <v>3.2099999999999997E-2</v>
      </c>
      <c r="X14" s="2" t="s">
        <v>256</v>
      </c>
      <c r="Y14" s="2" t="s">
        <v>78</v>
      </c>
      <c r="Z14" s="6">
        <v>1609122.8</v>
      </c>
      <c r="AA14" s="13">
        <v>1</v>
      </c>
      <c r="AB14" s="6">
        <v>109.13</v>
      </c>
      <c r="AC14" s="6">
        <v>0</v>
      </c>
      <c r="AD14" s="6">
        <v>1756.0360000000001</v>
      </c>
      <c r="AG14" s="2" t="s">
        <v>23</v>
      </c>
      <c r="AH14" s="8">
        <v>2.4399999999999999E-3</v>
      </c>
      <c r="AI14" s="8">
        <v>5.2999999999999998E-4</v>
      </c>
      <c r="AJ14" s="8">
        <v>4.0000000000000003E-5</v>
      </c>
    </row>
    <row r="15" spans="1:36">
      <c r="A15" s="12">
        <v>1097</v>
      </c>
      <c r="B15" s="12">
        <v>1097</v>
      </c>
      <c r="C15" s="2" t="s">
        <v>301</v>
      </c>
      <c r="D15" s="3" t="s">
        <v>302</v>
      </c>
      <c r="E15" s="2" t="s">
        <v>245</v>
      </c>
      <c r="F15" s="2" t="s">
        <v>314</v>
      </c>
      <c r="G15" s="12" t="s">
        <v>315</v>
      </c>
      <c r="H15" s="2" t="s">
        <v>248</v>
      </c>
      <c r="I15" s="2" t="s">
        <v>249</v>
      </c>
      <c r="J15" s="2" t="s">
        <v>77</v>
      </c>
      <c r="K15" s="2" t="s">
        <v>77</v>
      </c>
      <c r="L15" s="2" t="s">
        <v>250</v>
      </c>
      <c r="M15" s="2" t="s">
        <v>130</v>
      </c>
      <c r="N15" s="2" t="s">
        <v>305</v>
      </c>
      <c r="O15" s="2" t="s">
        <v>78</v>
      </c>
      <c r="P15" s="3" t="s">
        <v>306</v>
      </c>
      <c r="Q15" s="2" t="s">
        <v>80</v>
      </c>
      <c r="R15" s="2" t="s">
        <v>254</v>
      </c>
      <c r="S15" s="2" t="s">
        <v>81</v>
      </c>
      <c r="T15" s="13">
        <v>1.5229999999999999</v>
      </c>
      <c r="U15" s="2" t="s">
        <v>316</v>
      </c>
      <c r="V15" s="8">
        <v>5.7000000000000002E-2</v>
      </c>
      <c r="W15" s="8">
        <v>5.1700000000000003E-2</v>
      </c>
      <c r="X15" s="2" t="s">
        <v>256</v>
      </c>
      <c r="Y15" s="2" t="s">
        <v>78</v>
      </c>
      <c r="Z15" s="6">
        <v>375000</v>
      </c>
      <c r="AA15" s="13">
        <v>1</v>
      </c>
      <c r="AB15" s="6">
        <v>101.09</v>
      </c>
      <c r="AC15" s="6">
        <v>0</v>
      </c>
      <c r="AD15" s="6">
        <v>379.08800000000002</v>
      </c>
      <c r="AG15" s="2" t="s">
        <v>23</v>
      </c>
      <c r="AH15" s="8">
        <v>4.8000000000000001E-4</v>
      </c>
      <c r="AI15" s="8">
        <v>1.1E-4</v>
      </c>
      <c r="AJ15" s="8">
        <v>1.0000000000000001E-5</v>
      </c>
    </row>
    <row r="16" spans="1:36">
      <c r="A16" s="12">
        <v>1097</v>
      </c>
      <c r="B16" s="12">
        <v>1097</v>
      </c>
      <c r="C16" s="2" t="s">
        <v>301</v>
      </c>
      <c r="D16" s="3" t="s">
        <v>302</v>
      </c>
      <c r="E16" s="2" t="s">
        <v>245</v>
      </c>
      <c r="F16" s="2" t="s">
        <v>317</v>
      </c>
      <c r="G16" s="12" t="s">
        <v>318</v>
      </c>
      <c r="H16" s="2" t="s">
        <v>248</v>
      </c>
      <c r="I16" s="2" t="s">
        <v>261</v>
      </c>
      <c r="J16" s="2" t="s">
        <v>77</v>
      </c>
      <c r="K16" s="2" t="s">
        <v>77</v>
      </c>
      <c r="L16" s="2" t="s">
        <v>250</v>
      </c>
      <c r="M16" s="2" t="s">
        <v>130</v>
      </c>
      <c r="N16" s="2" t="s">
        <v>305</v>
      </c>
      <c r="O16" s="2" t="s">
        <v>78</v>
      </c>
      <c r="P16" s="3" t="s">
        <v>306</v>
      </c>
      <c r="Q16" s="2" t="s">
        <v>80</v>
      </c>
      <c r="R16" s="2" t="s">
        <v>254</v>
      </c>
      <c r="S16" s="2" t="s">
        <v>81</v>
      </c>
      <c r="T16" s="13">
        <v>3.403</v>
      </c>
      <c r="U16" s="2" t="s">
        <v>319</v>
      </c>
      <c r="V16" s="8">
        <v>3.15E-2</v>
      </c>
      <c r="W16" s="8">
        <v>3.2199999999999999E-2</v>
      </c>
      <c r="X16" s="2" t="s">
        <v>256</v>
      </c>
      <c r="Y16" s="2" t="s">
        <v>78</v>
      </c>
      <c r="Z16" s="6">
        <v>1530645.24</v>
      </c>
      <c r="AA16" s="13">
        <v>1</v>
      </c>
      <c r="AB16" s="6">
        <v>102.08</v>
      </c>
      <c r="AC16" s="6">
        <v>0</v>
      </c>
      <c r="AD16" s="6">
        <v>1562.4829999999999</v>
      </c>
      <c r="AG16" s="2" t="s">
        <v>23</v>
      </c>
      <c r="AH16" s="8">
        <v>5.8300000000000001E-3</v>
      </c>
      <c r="AI16" s="8">
        <v>4.6999999999999999E-4</v>
      </c>
      <c r="AJ16" s="8">
        <v>4.0000000000000003E-5</v>
      </c>
    </row>
    <row r="17" spans="1:36">
      <c r="A17" s="12">
        <v>1097</v>
      </c>
      <c r="B17" s="12">
        <v>1097</v>
      </c>
      <c r="C17" s="2" t="s">
        <v>320</v>
      </c>
      <c r="D17" s="3" t="s">
        <v>321</v>
      </c>
      <c r="E17" s="2" t="s">
        <v>245</v>
      </c>
      <c r="F17" s="2" t="s">
        <v>322</v>
      </c>
      <c r="G17" s="12" t="s">
        <v>323</v>
      </c>
      <c r="H17" s="2" t="s">
        <v>248</v>
      </c>
      <c r="I17" s="2" t="s">
        <v>249</v>
      </c>
      <c r="J17" s="2" t="s">
        <v>77</v>
      </c>
      <c r="K17" s="2" t="s">
        <v>77</v>
      </c>
      <c r="L17" s="2" t="s">
        <v>250</v>
      </c>
      <c r="M17" s="2" t="s">
        <v>130</v>
      </c>
      <c r="N17" s="2" t="s">
        <v>305</v>
      </c>
      <c r="O17" s="2" t="s">
        <v>78</v>
      </c>
      <c r="P17" s="3" t="s">
        <v>306</v>
      </c>
      <c r="Q17" s="2" t="s">
        <v>80</v>
      </c>
      <c r="R17" s="2" t="s">
        <v>254</v>
      </c>
      <c r="S17" s="2" t="s">
        <v>81</v>
      </c>
      <c r="T17" s="13">
        <v>0.98399999999999999</v>
      </c>
      <c r="U17" s="2" t="s">
        <v>324</v>
      </c>
      <c r="V17" s="8">
        <v>2.8000000000000001E-2</v>
      </c>
      <c r="W17" s="8">
        <v>4.9209999999999997E-2</v>
      </c>
      <c r="X17" s="2" t="s">
        <v>256</v>
      </c>
      <c r="Y17" s="2" t="s">
        <v>78</v>
      </c>
      <c r="Z17" s="6">
        <v>495494.95</v>
      </c>
      <c r="AA17" s="13">
        <v>1</v>
      </c>
      <c r="AB17" s="6">
        <v>98.02</v>
      </c>
      <c r="AC17" s="6">
        <v>0</v>
      </c>
      <c r="AD17" s="6">
        <v>485.68400000000003</v>
      </c>
      <c r="AG17" s="2" t="s">
        <v>23</v>
      </c>
      <c r="AH17" s="8">
        <v>2.8600000000000001E-3</v>
      </c>
      <c r="AI17" s="8">
        <v>1.4999999999999999E-4</v>
      </c>
      <c r="AJ17" s="8">
        <v>1.0000000000000001E-5</v>
      </c>
    </row>
    <row r="18" spans="1:36">
      <c r="A18" s="12">
        <v>1097</v>
      </c>
      <c r="B18" s="12">
        <v>1097</v>
      </c>
      <c r="C18" s="2" t="s">
        <v>320</v>
      </c>
      <c r="D18" s="3" t="s">
        <v>321</v>
      </c>
      <c r="E18" s="2" t="s">
        <v>245</v>
      </c>
      <c r="F18" s="2" t="s">
        <v>325</v>
      </c>
      <c r="G18" s="12" t="s">
        <v>326</v>
      </c>
      <c r="H18" s="2" t="s">
        <v>248</v>
      </c>
      <c r="I18" s="2" t="s">
        <v>261</v>
      </c>
      <c r="J18" s="2" t="s">
        <v>77</v>
      </c>
      <c r="K18" s="2" t="s">
        <v>77</v>
      </c>
      <c r="L18" s="2" t="s">
        <v>250</v>
      </c>
      <c r="M18" s="2" t="s">
        <v>130</v>
      </c>
      <c r="N18" s="2" t="s">
        <v>305</v>
      </c>
      <c r="O18" s="2" t="s">
        <v>78</v>
      </c>
      <c r="P18" s="3" t="s">
        <v>306</v>
      </c>
      <c r="Q18" s="2" t="s">
        <v>80</v>
      </c>
      <c r="R18" s="2" t="s">
        <v>254</v>
      </c>
      <c r="S18" s="2" t="s">
        <v>81</v>
      </c>
      <c r="T18" s="13">
        <v>2.1589999999999998</v>
      </c>
      <c r="U18" s="2" t="s">
        <v>288</v>
      </c>
      <c r="V18" s="8">
        <v>0.01</v>
      </c>
      <c r="W18" s="8">
        <v>2.8989999999999998E-2</v>
      </c>
      <c r="X18" s="2" t="s">
        <v>256</v>
      </c>
      <c r="Y18" s="2" t="s">
        <v>78</v>
      </c>
      <c r="Z18" s="6">
        <v>977692.31</v>
      </c>
      <c r="AA18" s="13">
        <v>1</v>
      </c>
      <c r="AB18" s="6">
        <v>109.24</v>
      </c>
      <c r="AC18" s="6">
        <v>0</v>
      </c>
      <c r="AD18" s="6">
        <v>1068.0309999999999</v>
      </c>
      <c r="AG18" s="2" t="s">
        <v>23</v>
      </c>
      <c r="AH18" s="8">
        <v>4.2399999999999998E-3</v>
      </c>
      <c r="AI18" s="8">
        <v>3.2000000000000003E-4</v>
      </c>
      <c r="AJ18" s="8">
        <v>3.0000000000000001E-5</v>
      </c>
    </row>
    <row r="19" spans="1:36">
      <c r="A19" s="12">
        <v>1097</v>
      </c>
      <c r="B19" s="12">
        <v>1097</v>
      </c>
      <c r="C19" s="2" t="s">
        <v>320</v>
      </c>
      <c r="D19" s="3" t="s">
        <v>321</v>
      </c>
      <c r="E19" s="2" t="s">
        <v>245</v>
      </c>
      <c r="F19" s="2" t="s">
        <v>327</v>
      </c>
      <c r="G19" s="12" t="s">
        <v>328</v>
      </c>
      <c r="H19" s="2" t="s">
        <v>248</v>
      </c>
      <c r="I19" s="2" t="s">
        <v>261</v>
      </c>
      <c r="J19" s="2" t="s">
        <v>77</v>
      </c>
      <c r="K19" s="2" t="s">
        <v>77</v>
      </c>
      <c r="L19" s="2" t="s">
        <v>250</v>
      </c>
      <c r="M19" s="2" t="s">
        <v>130</v>
      </c>
      <c r="N19" s="2" t="s">
        <v>305</v>
      </c>
      <c r="O19" s="2" t="s">
        <v>78</v>
      </c>
      <c r="P19" s="3" t="s">
        <v>306</v>
      </c>
      <c r="Q19" s="2" t="s">
        <v>80</v>
      </c>
      <c r="R19" s="2" t="s">
        <v>254</v>
      </c>
      <c r="S19" s="2" t="s">
        <v>81</v>
      </c>
      <c r="T19" s="13">
        <v>2.1720000000000002</v>
      </c>
      <c r="U19" s="2" t="s">
        <v>329</v>
      </c>
      <c r="V19" s="8">
        <v>3.2300000000000002E-2</v>
      </c>
      <c r="W19" s="8">
        <v>2.9770000000000001E-2</v>
      </c>
      <c r="X19" s="2" t="s">
        <v>256</v>
      </c>
      <c r="Y19" s="2" t="s">
        <v>78</v>
      </c>
      <c r="Z19" s="6">
        <v>2233700</v>
      </c>
      <c r="AA19" s="13">
        <v>1</v>
      </c>
      <c r="AB19" s="6">
        <v>110.07</v>
      </c>
      <c r="AC19" s="6">
        <v>0</v>
      </c>
      <c r="AD19" s="6">
        <v>2458.634</v>
      </c>
      <c r="AG19" s="2" t="s">
        <v>23</v>
      </c>
      <c r="AH19" s="8">
        <v>4.3299999999999996E-3</v>
      </c>
      <c r="AI19" s="8">
        <v>7.3999999999999999E-4</v>
      </c>
      <c r="AJ19" s="8">
        <v>6.0000000000000002E-5</v>
      </c>
    </row>
    <row r="20" spans="1:36">
      <c r="A20" s="12">
        <v>1097</v>
      </c>
      <c r="B20" s="12">
        <v>1097</v>
      </c>
      <c r="C20" s="2" t="s">
        <v>320</v>
      </c>
      <c r="D20" s="3" t="s">
        <v>321</v>
      </c>
      <c r="E20" s="2" t="s">
        <v>245</v>
      </c>
      <c r="F20" s="2" t="s">
        <v>330</v>
      </c>
      <c r="G20" s="12" t="s">
        <v>331</v>
      </c>
      <c r="H20" s="2" t="s">
        <v>248</v>
      </c>
      <c r="I20" s="2" t="s">
        <v>249</v>
      </c>
      <c r="J20" s="2" t="s">
        <v>77</v>
      </c>
      <c r="K20" s="2" t="s">
        <v>77</v>
      </c>
      <c r="L20" s="2" t="s">
        <v>250</v>
      </c>
      <c r="M20" s="2" t="s">
        <v>130</v>
      </c>
      <c r="N20" s="2" t="s">
        <v>305</v>
      </c>
      <c r="O20" s="2" t="s">
        <v>78</v>
      </c>
      <c r="P20" s="3" t="s">
        <v>306</v>
      </c>
      <c r="Q20" s="2" t="s">
        <v>80</v>
      </c>
      <c r="R20" s="2" t="s">
        <v>254</v>
      </c>
      <c r="S20" s="2" t="s">
        <v>81</v>
      </c>
      <c r="T20" s="13">
        <v>2.3090000000000002</v>
      </c>
      <c r="U20" s="2" t="s">
        <v>332</v>
      </c>
      <c r="V20" s="8">
        <v>5.6500000000000002E-2</v>
      </c>
      <c r="W20" s="8">
        <v>5.0259999999999999E-2</v>
      </c>
      <c r="X20" s="2" t="s">
        <v>256</v>
      </c>
      <c r="Y20" s="2" t="s">
        <v>78</v>
      </c>
      <c r="Z20" s="6">
        <v>614285.71</v>
      </c>
      <c r="AA20" s="13">
        <v>1</v>
      </c>
      <c r="AB20" s="6">
        <v>102.96</v>
      </c>
      <c r="AC20" s="6">
        <v>0</v>
      </c>
      <c r="AD20" s="6">
        <v>632.46900000000005</v>
      </c>
      <c r="AG20" s="2" t="s">
        <v>23</v>
      </c>
      <c r="AH20" s="8">
        <v>1.2999999999999999E-3</v>
      </c>
      <c r="AI20" s="8">
        <v>1.9000000000000001E-4</v>
      </c>
      <c r="AJ20" s="8">
        <v>2.0000000000000002E-5</v>
      </c>
    </row>
    <row r="21" spans="1:36">
      <c r="A21" s="12">
        <v>1097</v>
      </c>
      <c r="B21" s="12">
        <v>1097</v>
      </c>
      <c r="C21" s="2" t="s">
        <v>333</v>
      </c>
      <c r="D21" s="3" t="s">
        <v>334</v>
      </c>
      <c r="E21" s="2" t="s">
        <v>245</v>
      </c>
      <c r="F21" s="2" t="s">
        <v>335</v>
      </c>
      <c r="G21" s="12" t="s">
        <v>336</v>
      </c>
      <c r="H21" s="2" t="s">
        <v>248</v>
      </c>
      <c r="I21" s="2" t="s">
        <v>249</v>
      </c>
      <c r="J21" s="2" t="s">
        <v>77</v>
      </c>
      <c r="K21" s="2" t="s">
        <v>77</v>
      </c>
      <c r="L21" s="2" t="s">
        <v>250</v>
      </c>
      <c r="M21" s="2" t="s">
        <v>130</v>
      </c>
      <c r="N21" s="2" t="s">
        <v>337</v>
      </c>
      <c r="O21" s="2" t="s">
        <v>78</v>
      </c>
      <c r="P21" s="3" t="s">
        <v>277</v>
      </c>
      <c r="Q21" s="2" t="s">
        <v>80</v>
      </c>
      <c r="R21" s="2" t="s">
        <v>254</v>
      </c>
      <c r="S21" s="2" t="s">
        <v>81</v>
      </c>
      <c r="T21" s="13">
        <v>0.73499999999999999</v>
      </c>
      <c r="U21" s="2" t="s">
        <v>338</v>
      </c>
      <c r="V21" s="8">
        <v>3.9E-2</v>
      </c>
      <c r="W21" s="8">
        <v>4.9279999999999997E-2</v>
      </c>
      <c r="X21" s="2" t="s">
        <v>256</v>
      </c>
      <c r="Y21" s="2" t="s">
        <v>78</v>
      </c>
      <c r="Z21" s="6">
        <v>1204103.25</v>
      </c>
      <c r="AA21" s="13">
        <v>1</v>
      </c>
      <c r="AB21" s="6">
        <v>100.26</v>
      </c>
      <c r="AC21" s="6">
        <v>0</v>
      </c>
      <c r="AD21" s="6">
        <v>1207.2339999999999</v>
      </c>
      <c r="AG21" s="2" t="s">
        <v>23</v>
      </c>
      <c r="AH21" s="8">
        <v>2.0899999999999998E-3</v>
      </c>
      <c r="AI21" s="8">
        <v>3.6000000000000002E-4</v>
      </c>
      <c r="AJ21" s="8">
        <v>3.0000000000000001E-5</v>
      </c>
    </row>
    <row r="22" spans="1:36">
      <c r="A22" s="12">
        <v>1097</v>
      </c>
      <c r="B22" s="12">
        <v>1097</v>
      </c>
      <c r="C22" s="2" t="s">
        <v>333</v>
      </c>
      <c r="D22" s="3" t="s">
        <v>334</v>
      </c>
      <c r="E22" s="2" t="s">
        <v>245</v>
      </c>
      <c r="F22" s="2" t="s">
        <v>339</v>
      </c>
      <c r="G22" s="12" t="s">
        <v>340</v>
      </c>
      <c r="H22" s="2" t="s">
        <v>248</v>
      </c>
      <c r="I22" s="2" t="s">
        <v>261</v>
      </c>
      <c r="J22" s="2" t="s">
        <v>77</v>
      </c>
      <c r="K22" s="2" t="s">
        <v>77</v>
      </c>
      <c r="L22" s="2" t="s">
        <v>250</v>
      </c>
      <c r="M22" s="2" t="s">
        <v>130</v>
      </c>
      <c r="N22" s="2" t="s">
        <v>337</v>
      </c>
      <c r="O22" s="2" t="s">
        <v>78</v>
      </c>
      <c r="P22" s="3" t="s">
        <v>277</v>
      </c>
      <c r="Q22" s="2" t="s">
        <v>80</v>
      </c>
      <c r="R22" s="2" t="s">
        <v>254</v>
      </c>
      <c r="S22" s="2" t="s">
        <v>81</v>
      </c>
      <c r="T22" s="13">
        <v>2.5619999999999998</v>
      </c>
      <c r="U22" s="2" t="s">
        <v>288</v>
      </c>
      <c r="V22" s="8">
        <v>1E-3</v>
      </c>
      <c r="W22" s="8">
        <v>3.1150000000000001E-2</v>
      </c>
      <c r="X22" s="2" t="s">
        <v>256</v>
      </c>
      <c r="Y22" s="2" t="s">
        <v>78</v>
      </c>
      <c r="Z22" s="6">
        <v>2847083.34</v>
      </c>
      <c r="AA22" s="13">
        <v>1</v>
      </c>
      <c r="AB22" s="6">
        <v>105.56</v>
      </c>
      <c r="AC22" s="6">
        <v>0</v>
      </c>
      <c r="AD22" s="6">
        <v>3005.3809999999999</v>
      </c>
      <c r="AG22" s="2" t="s">
        <v>23</v>
      </c>
      <c r="AH22" s="8">
        <v>5.4299999999999999E-3</v>
      </c>
      <c r="AI22" s="8">
        <v>9.1E-4</v>
      </c>
      <c r="AJ22" s="8">
        <v>6.9999999999999994E-5</v>
      </c>
    </row>
    <row r="23" spans="1:36">
      <c r="A23" s="12">
        <v>1097</v>
      </c>
      <c r="B23" s="12">
        <v>1097</v>
      </c>
      <c r="C23" s="2" t="s">
        <v>333</v>
      </c>
      <c r="D23" s="3" t="s">
        <v>334</v>
      </c>
      <c r="E23" s="2" t="s">
        <v>245</v>
      </c>
      <c r="F23" s="2" t="s">
        <v>341</v>
      </c>
      <c r="G23" s="12" t="s">
        <v>342</v>
      </c>
      <c r="H23" s="2" t="s">
        <v>248</v>
      </c>
      <c r="I23" s="2" t="s">
        <v>261</v>
      </c>
      <c r="J23" s="2" t="s">
        <v>77</v>
      </c>
      <c r="K23" s="2" t="s">
        <v>77</v>
      </c>
      <c r="L23" s="2" t="s">
        <v>250</v>
      </c>
      <c r="M23" s="2" t="s">
        <v>130</v>
      </c>
      <c r="N23" s="2" t="s">
        <v>337</v>
      </c>
      <c r="O23" s="2" t="s">
        <v>78</v>
      </c>
      <c r="P23" s="3" t="s">
        <v>277</v>
      </c>
      <c r="Q23" s="2" t="s">
        <v>80</v>
      </c>
      <c r="R23" s="2" t="s">
        <v>254</v>
      </c>
      <c r="S23" s="2" t="s">
        <v>81</v>
      </c>
      <c r="T23" s="13">
        <v>3.4009999999999998</v>
      </c>
      <c r="U23" s="2" t="s">
        <v>229</v>
      </c>
      <c r="V23" s="8">
        <v>0.03</v>
      </c>
      <c r="W23" s="8">
        <v>3.175E-2</v>
      </c>
      <c r="X23" s="2" t="s">
        <v>256</v>
      </c>
      <c r="Y23" s="2" t="s">
        <v>78</v>
      </c>
      <c r="Z23" s="6">
        <v>792000</v>
      </c>
      <c r="AA23" s="13">
        <v>1</v>
      </c>
      <c r="AB23" s="6">
        <v>105.42</v>
      </c>
      <c r="AC23" s="6">
        <v>0</v>
      </c>
      <c r="AD23" s="6">
        <v>834.92600000000004</v>
      </c>
      <c r="AG23" s="2" t="s">
        <v>23</v>
      </c>
      <c r="AH23" s="8">
        <v>1.3500000000000001E-3</v>
      </c>
      <c r="AI23" s="8">
        <v>2.5000000000000001E-4</v>
      </c>
      <c r="AJ23" s="8">
        <v>2.0000000000000002E-5</v>
      </c>
    </row>
    <row r="24" spans="1:36">
      <c r="A24" s="12">
        <v>1097</v>
      </c>
      <c r="B24" s="12">
        <v>1097</v>
      </c>
      <c r="C24" s="2" t="s">
        <v>343</v>
      </c>
      <c r="D24" s="3" t="s">
        <v>344</v>
      </c>
      <c r="E24" s="2" t="s">
        <v>245</v>
      </c>
      <c r="F24" s="2" t="s">
        <v>345</v>
      </c>
      <c r="G24" s="12" t="s">
        <v>346</v>
      </c>
      <c r="H24" s="2" t="s">
        <v>248</v>
      </c>
      <c r="I24" s="2" t="s">
        <v>261</v>
      </c>
      <c r="J24" s="2" t="s">
        <v>77</v>
      </c>
      <c r="K24" s="2" t="s">
        <v>77</v>
      </c>
      <c r="L24" s="2" t="s">
        <v>250</v>
      </c>
      <c r="M24" s="2" t="s">
        <v>130</v>
      </c>
      <c r="N24" s="2" t="s">
        <v>347</v>
      </c>
      <c r="O24" s="2" t="s">
        <v>78</v>
      </c>
      <c r="P24" s="3" t="s">
        <v>277</v>
      </c>
      <c r="Q24" s="2" t="s">
        <v>80</v>
      </c>
      <c r="R24" s="2" t="s">
        <v>254</v>
      </c>
      <c r="S24" s="2" t="s">
        <v>81</v>
      </c>
      <c r="T24" s="13">
        <v>6.4390000000000001</v>
      </c>
      <c r="U24" s="2" t="s">
        <v>348</v>
      </c>
      <c r="V24" s="8">
        <v>2.5600000000000001E-2</v>
      </c>
      <c r="W24" s="8">
        <v>3.2140000000000002E-2</v>
      </c>
      <c r="X24" s="2" t="s">
        <v>256</v>
      </c>
      <c r="Y24" s="2" t="s">
        <v>78</v>
      </c>
      <c r="Z24" s="6">
        <v>3650000</v>
      </c>
      <c r="AA24" s="13">
        <v>1</v>
      </c>
      <c r="AB24" s="6">
        <v>105.66</v>
      </c>
      <c r="AC24" s="6">
        <v>0</v>
      </c>
      <c r="AD24" s="6">
        <v>3856.59</v>
      </c>
      <c r="AG24" s="2" t="s">
        <v>23</v>
      </c>
      <c r="AH24" s="8">
        <v>3.47E-3</v>
      </c>
      <c r="AI24" s="8">
        <v>1.17E-3</v>
      </c>
      <c r="AJ24" s="8">
        <v>1E-4</v>
      </c>
    </row>
    <row r="25" spans="1:36">
      <c r="A25" s="12">
        <v>1097</v>
      </c>
      <c r="B25" s="12">
        <v>1097</v>
      </c>
      <c r="C25" s="2" t="s">
        <v>343</v>
      </c>
      <c r="D25" s="3" t="s">
        <v>344</v>
      </c>
      <c r="E25" s="2" t="s">
        <v>245</v>
      </c>
      <c r="F25" s="2" t="s">
        <v>349</v>
      </c>
      <c r="G25" s="12" t="s">
        <v>350</v>
      </c>
      <c r="H25" s="2" t="s">
        <v>248</v>
      </c>
      <c r="I25" s="2" t="s">
        <v>249</v>
      </c>
      <c r="J25" s="2" t="s">
        <v>77</v>
      </c>
      <c r="K25" s="2" t="s">
        <v>77</v>
      </c>
      <c r="L25" s="2" t="s">
        <v>250</v>
      </c>
      <c r="M25" s="2" t="s">
        <v>130</v>
      </c>
      <c r="N25" s="2" t="s">
        <v>347</v>
      </c>
      <c r="O25" s="2" t="s">
        <v>78</v>
      </c>
      <c r="P25" s="3" t="s">
        <v>277</v>
      </c>
      <c r="Q25" s="2" t="s">
        <v>80</v>
      </c>
      <c r="R25" s="2" t="s">
        <v>254</v>
      </c>
      <c r="S25" s="2" t="s">
        <v>81</v>
      </c>
      <c r="T25" s="13">
        <v>3.7080000000000002</v>
      </c>
      <c r="U25" s="2" t="s">
        <v>351</v>
      </c>
      <c r="V25" s="8">
        <v>2.41E-2</v>
      </c>
      <c r="W25" s="8">
        <v>4.8529999999999997E-2</v>
      </c>
      <c r="X25" s="2" t="s">
        <v>256</v>
      </c>
      <c r="Y25" s="2" t="s">
        <v>78</v>
      </c>
      <c r="Z25" s="6">
        <v>74757732.415999994</v>
      </c>
      <c r="AA25" s="13">
        <v>1</v>
      </c>
      <c r="AB25" s="6">
        <v>92.33</v>
      </c>
      <c r="AC25" s="6">
        <v>0</v>
      </c>
      <c r="AD25" s="6">
        <v>69023.813999999998</v>
      </c>
      <c r="AG25" s="2" t="s">
        <v>23</v>
      </c>
      <c r="AH25" s="8">
        <v>3.6380000000000003E-2</v>
      </c>
      <c r="AI25" s="8">
        <v>2.086E-2</v>
      </c>
      <c r="AJ25" s="8">
        <v>1.7099999999999999E-3</v>
      </c>
    </row>
    <row r="26" spans="1:36">
      <c r="A26" s="12">
        <v>1097</v>
      </c>
      <c r="B26" s="12">
        <v>1097</v>
      </c>
      <c r="C26" s="2" t="s">
        <v>343</v>
      </c>
      <c r="D26" s="3" t="s">
        <v>344</v>
      </c>
      <c r="E26" s="2" t="s">
        <v>245</v>
      </c>
      <c r="F26" s="2" t="s">
        <v>352</v>
      </c>
      <c r="G26" s="12" t="s">
        <v>350</v>
      </c>
      <c r="H26" s="2" t="s">
        <v>248</v>
      </c>
      <c r="I26" s="2" t="s">
        <v>249</v>
      </c>
      <c r="J26" s="2" t="s">
        <v>77</v>
      </c>
      <c r="K26" s="2" t="s">
        <v>77</v>
      </c>
      <c r="L26" s="2" t="s">
        <v>353</v>
      </c>
      <c r="M26" s="2" t="s">
        <v>130</v>
      </c>
      <c r="N26" s="2" t="s">
        <v>347</v>
      </c>
      <c r="O26" s="2" t="s">
        <v>78</v>
      </c>
      <c r="P26" s="3" t="s">
        <v>277</v>
      </c>
      <c r="Q26" s="2" t="s">
        <v>80</v>
      </c>
      <c r="R26" s="2" t="s">
        <v>254</v>
      </c>
      <c r="S26" s="2" t="s">
        <v>81</v>
      </c>
      <c r="T26" s="13">
        <v>3.7080000000000002</v>
      </c>
      <c r="U26" s="2" t="s">
        <v>351</v>
      </c>
      <c r="V26" s="8">
        <v>2.41E-2</v>
      </c>
      <c r="W26" s="8">
        <v>4.8529999999999997E-2</v>
      </c>
      <c r="X26" s="2" t="s">
        <v>256</v>
      </c>
      <c r="Y26" s="2" t="s">
        <v>78</v>
      </c>
      <c r="Z26" s="6">
        <v>20000</v>
      </c>
      <c r="AA26" s="13">
        <v>1</v>
      </c>
      <c r="AB26" s="6">
        <v>92.33</v>
      </c>
      <c r="AC26" s="6">
        <v>0</v>
      </c>
      <c r="AD26" s="6">
        <v>18.466000000000001</v>
      </c>
      <c r="AG26" s="2" t="s">
        <v>23</v>
      </c>
      <c r="AH26" s="8">
        <v>1.0000000000000001E-5</v>
      </c>
      <c r="AI26" s="8">
        <v>1.0000000000000001E-5</v>
      </c>
      <c r="AJ26" s="8">
        <v>0</v>
      </c>
    </row>
    <row r="27" spans="1:36">
      <c r="A27" s="12">
        <v>1097</v>
      </c>
      <c r="B27" s="12">
        <v>1097</v>
      </c>
      <c r="C27" s="2" t="s">
        <v>343</v>
      </c>
      <c r="D27" s="3" t="s">
        <v>344</v>
      </c>
      <c r="E27" s="2" t="s">
        <v>245</v>
      </c>
      <c r="F27" s="2" t="s">
        <v>354</v>
      </c>
      <c r="G27" s="12" t="s">
        <v>355</v>
      </c>
      <c r="H27" s="2" t="s">
        <v>248</v>
      </c>
      <c r="I27" s="2" t="s">
        <v>249</v>
      </c>
      <c r="J27" s="2" t="s">
        <v>77</v>
      </c>
      <c r="K27" s="2" t="s">
        <v>77</v>
      </c>
      <c r="L27" s="2" t="s">
        <v>250</v>
      </c>
      <c r="M27" s="2" t="s">
        <v>130</v>
      </c>
      <c r="N27" s="2" t="s">
        <v>347</v>
      </c>
      <c r="O27" s="2" t="s">
        <v>78</v>
      </c>
      <c r="P27" s="3" t="s">
        <v>277</v>
      </c>
      <c r="Q27" s="2" t="s">
        <v>80</v>
      </c>
      <c r="R27" s="2" t="s">
        <v>254</v>
      </c>
      <c r="S27" s="2" t="s">
        <v>81</v>
      </c>
      <c r="T27" s="13">
        <v>5.9429999999999996</v>
      </c>
      <c r="U27" s="2" t="s">
        <v>348</v>
      </c>
      <c r="V27" s="8">
        <v>4.9399999999999999E-2</v>
      </c>
      <c r="W27" s="8">
        <v>5.2400000000000002E-2</v>
      </c>
      <c r="X27" s="2" t="s">
        <v>256</v>
      </c>
      <c r="Y27" s="2" t="s">
        <v>78</v>
      </c>
      <c r="Z27" s="6">
        <v>3300000</v>
      </c>
      <c r="AA27" s="13">
        <v>1</v>
      </c>
      <c r="AB27" s="6">
        <v>99.91</v>
      </c>
      <c r="AC27" s="6">
        <v>0</v>
      </c>
      <c r="AD27" s="6">
        <v>3297.03</v>
      </c>
      <c r="AG27" s="2" t="s">
        <v>23</v>
      </c>
      <c r="AH27" s="8">
        <v>1.7700000000000001E-3</v>
      </c>
      <c r="AI27" s="8">
        <v>1E-3</v>
      </c>
      <c r="AJ27" s="8">
        <v>8.0000000000000007E-5</v>
      </c>
    </row>
    <row r="28" spans="1:36">
      <c r="A28" s="12">
        <v>1097</v>
      </c>
      <c r="B28" s="12">
        <v>1097</v>
      </c>
      <c r="C28" s="2" t="s">
        <v>356</v>
      </c>
      <c r="D28" s="3" t="s">
        <v>357</v>
      </c>
      <c r="E28" s="2" t="s">
        <v>245</v>
      </c>
      <c r="F28" s="2" t="s">
        <v>358</v>
      </c>
      <c r="G28" s="12" t="s">
        <v>359</v>
      </c>
      <c r="H28" s="2" t="s">
        <v>248</v>
      </c>
      <c r="I28" s="2" t="s">
        <v>249</v>
      </c>
      <c r="J28" s="2" t="s">
        <v>77</v>
      </c>
      <c r="K28" s="2" t="s">
        <v>77</v>
      </c>
      <c r="L28" s="2" t="s">
        <v>250</v>
      </c>
      <c r="M28" s="2" t="s">
        <v>130</v>
      </c>
      <c r="N28" s="2" t="s">
        <v>337</v>
      </c>
      <c r="O28" s="2" t="s">
        <v>78</v>
      </c>
      <c r="P28" s="3" t="s">
        <v>277</v>
      </c>
      <c r="Q28" s="2" t="s">
        <v>80</v>
      </c>
      <c r="R28" s="2" t="s">
        <v>254</v>
      </c>
      <c r="S28" s="2" t="s">
        <v>81</v>
      </c>
      <c r="T28" s="13">
        <v>2.089</v>
      </c>
      <c r="U28" s="2" t="s">
        <v>360</v>
      </c>
      <c r="V28" s="8">
        <v>2.0400000000000001E-2</v>
      </c>
      <c r="W28" s="8">
        <v>4.8239999999999998E-2</v>
      </c>
      <c r="X28" s="2" t="s">
        <v>256</v>
      </c>
      <c r="Y28" s="2" t="s">
        <v>78</v>
      </c>
      <c r="Z28" s="6">
        <v>6630866.0700000003</v>
      </c>
      <c r="AA28" s="13">
        <v>1</v>
      </c>
      <c r="AB28" s="6">
        <v>95.04</v>
      </c>
      <c r="AC28" s="6">
        <v>0</v>
      </c>
      <c r="AD28" s="6">
        <v>6301.9750000000004</v>
      </c>
      <c r="AG28" s="2" t="s">
        <v>23</v>
      </c>
      <c r="AH28" s="8">
        <v>1.7680000000000001E-2</v>
      </c>
      <c r="AI28" s="8">
        <v>1.9E-3</v>
      </c>
      <c r="AJ28" s="8">
        <v>1.6000000000000001E-4</v>
      </c>
    </row>
    <row r="29" spans="1:36">
      <c r="A29" s="12">
        <v>1097</v>
      </c>
      <c r="B29" s="12">
        <v>1097</v>
      </c>
      <c r="C29" s="2" t="s">
        <v>361</v>
      </c>
      <c r="D29" s="3" t="s">
        <v>362</v>
      </c>
      <c r="E29" s="2" t="s">
        <v>245</v>
      </c>
      <c r="F29" s="2" t="s">
        <v>363</v>
      </c>
      <c r="G29" s="12" t="s">
        <v>364</v>
      </c>
      <c r="H29" s="2" t="s">
        <v>248</v>
      </c>
      <c r="I29" s="2" t="s">
        <v>249</v>
      </c>
      <c r="J29" s="2" t="s">
        <v>77</v>
      </c>
      <c r="K29" s="2" t="s">
        <v>77</v>
      </c>
      <c r="L29" s="2" t="s">
        <v>250</v>
      </c>
      <c r="M29" s="2" t="s">
        <v>130</v>
      </c>
      <c r="N29" s="2" t="s">
        <v>337</v>
      </c>
      <c r="O29" s="2" t="s">
        <v>78</v>
      </c>
      <c r="P29" s="3" t="s">
        <v>306</v>
      </c>
      <c r="Q29" s="2" t="s">
        <v>80</v>
      </c>
      <c r="R29" s="2" t="s">
        <v>254</v>
      </c>
      <c r="S29" s="2" t="s">
        <v>81</v>
      </c>
      <c r="T29" s="13">
        <v>0.99</v>
      </c>
      <c r="U29" s="2" t="s">
        <v>365</v>
      </c>
      <c r="V29" s="8">
        <v>0.04</v>
      </c>
      <c r="W29" s="8">
        <v>4.8980000000000003E-2</v>
      </c>
      <c r="X29" s="2" t="s">
        <v>256</v>
      </c>
      <c r="Y29" s="2" t="s">
        <v>78</v>
      </c>
      <c r="Z29" s="6">
        <v>1166671.3999999999</v>
      </c>
      <c r="AA29" s="13">
        <v>1</v>
      </c>
      <c r="AB29" s="6">
        <v>99.19</v>
      </c>
      <c r="AC29" s="6">
        <v>0</v>
      </c>
      <c r="AD29" s="6">
        <v>1157.221</v>
      </c>
      <c r="AG29" s="2" t="s">
        <v>23</v>
      </c>
      <c r="AH29" s="8">
        <v>1.771E-2</v>
      </c>
      <c r="AI29" s="8">
        <v>3.5E-4</v>
      </c>
      <c r="AJ29" s="8">
        <v>3.0000000000000001E-5</v>
      </c>
    </row>
    <row r="30" spans="1:36">
      <c r="A30" s="12">
        <v>1097</v>
      </c>
      <c r="B30" s="12">
        <v>1097</v>
      </c>
      <c r="C30" s="2" t="s">
        <v>361</v>
      </c>
      <c r="D30" s="3" t="s">
        <v>362</v>
      </c>
      <c r="E30" s="2" t="s">
        <v>245</v>
      </c>
      <c r="F30" s="2" t="s">
        <v>366</v>
      </c>
      <c r="G30" s="12" t="s">
        <v>367</v>
      </c>
      <c r="H30" s="2" t="s">
        <v>248</v>
      </c>
      <c r="I30" s="2" t="s">
        <v>249</v>
      </c>
      <c r="J30" s="2" t="s">
        <v>77</v>
      </c>
      <c r="K30" s="2" t="s">
        <v>77</v>
      </c>
      <c r="L30" s="2" t="s">
        <v>250</v>
      </c>
      <c r="M30" s="2" t="s">
        <v>130</v>
      </c>
      <c r="N30" s="2" t="s">
        <v>337</v>
      </c>
      <c r="O30" s="2" t="s">
        <v>78</v>
      </c>
      <c r="P30" s="3" t="s">
        <v>306</v>
      </c>
      <c r="Q30" s="2" t="s">
        <v>80</v>
      </c>
      <c r="R30" s="2" t="s">
        <v>254</v>
      </c>
      <c r="S30" s="2" t="s">
        <v>81</v>
      </c>
      <c r="T30" s="13">
        <v>2.7610000000000001</v>
      </c>
      <c r="U30" s="2" t="s">
        <v>368</v>
      </c>
      <c r="V30" s="8">
        <v>0.04</v>
      </c>
      <c r="W30" s="8">
        <v>4.7840000000000001E-2</v>
      </c>
      <c r="X30" s="2" t="s">
        <v>256</v>
      </c>
      <c r="Y30" s="2" t="s">
        <v>78</v>
      </c>
      <c r="Z30" s="6">
        <v>27210910.5</v>
      </c>
      <c r="AA30" s="13">
        <v>1</v>
      </c>
      <c r="AB30" s="6">
        <v>99.88</v>
      </c>
      <c r="AC30" s="6">
        <v>0</v>
      </c>
      <c r="AD30" s="6">
        <v>27178.257000000001</v>
      </c>
      <c r="AG30" s="2" t="s">
        <v>23</v>
      </c>
      <c r="AH30" s="8">
        <v>4.6859999999999999E-2</v>
      </c>
      <c r="AI30" s="8">
        <v>8.2100000000000003E-3</v>
      </c>
      <c r="AJ30" s="8">
        <v>6.7000000000000002E-4</v>
      </c>
    </row>
    <row r="31" spans="1:36">
      <c r="A31" s="12">
        <v>1097</v>
      </c>
      <c r="B31" s="12">
        <v>1097</v>
      </c>
      <c r="C31" s="2" t="s">
        <v>369</v>
      </c>
      <c r="D31" s="3" t="s">
        <v>370</v>
      </c>
      <c r="E31" s="2" t="s">
        <v>245</v>
      </c>
      <c r="F31" s="2" t="s">
        <v>371</v>
      </c>
      <c r="G31" s="12" t="s">
        <v>372</v>
      </c>
      <c r="H31" s="2" t="s">
        <v>248</v>
      </c>
      <c r="I31" s="2" t="s">
        <v>249</v>
      </c>
      <c r="J31" s="2" t="s">
        <v>77</v>
      </c>
      <c r="K31" s="2" t="s">
        <v>77</v>
      </c>
      <c r="L31" s="2" t="s">
        <v>250</v>
      </c>
      <c r="M31" s="2" t="s">
        <v>130</v>
      </c>
      <c r="N31" s="2" t="s">
        <v>373</v>
      </c>
      <c r="O31" s="2" t="s">
        <v>78</v>
      </c>
      <c r="P31" s="3" t="s">
        <v>374</v>
      </c>
      <c r="Q31" s="2" t="s">
        <v>80</v>
      </c>
      <c r="R31" s="2" t="s">
        <v>254</v>
      </c>
      <c r="S31" s="2" t="s">
        <v>81</v>
      </c>
      <c r="T31" s="13">
        <v>4.1130000000000004</v>
      </c>
      <c r="U31" s="2" t="s">
        <v>375</v>
      </c>
      <c r="V31" s="8">
        <v>1.9900000000000001E-2</v>
      </c>
      <c r="W31" s="8">
        <v>5.2859999999999997E-2</v>
      </c>
      <c r="X31" s="2" t="s">
        <v>256</v>
      </c>
      <c r="Y31" s="2" t="s">
        <v>78</v>
      </c>
      <c r="Z31" s="6">
        <v>3904034.4</v>
      </c>
      <c r="AA31" s="13">
        <v>1</v>
      </c>
      <c r="AB31" s="6">
        <v>87.54</v>
      </c>
      <c r="AC31" s="6">
        <v>0</v>
      </c>
      <c r="AD31" s="6">
        <v>3417.5920000000001</v>
      </c>
      <c r="AG31" s="2" t="s">
        <v>23</v>
      </c>
      <c r="AH31" s="8">
        <v>1.5740000000000001E-2</v>
      </c>
      <c r="AI31" s="8">
        <v>1.0300000000000001E-3</v>
      </c>
      <c r="AJ31" s="8">
        <v>8.0000000000000007E-5</v>
      </c>
    </row>
    <row r="32" spans="1:36">
      <c r="A32" s="12">
        <v>1097</v>
      </c>
      <c r="B32" s="12">
        <v>1097</v>
      </c>
      <c r="C32" s="2" t="s">
        <v>376</v>
      </c>
      <c r="D32" s="3" t="s">
        <v>377</v>
      </c>
      <c r="E32" s="2" t="s">
        <v>245</v>
      </c>
      <c r="F32" s="2" t="s">
        <v>378</v>
      </c>
      <c r="G32" s="12" t="s">
        <v>379</v>
      </c>
      <c r="H32" s="2" t="s">
        <v>248</v>
      </c>
      <c r="I32" s="2" t="s">
        <v>249</v>
      </c>
      <c r="J32" s="2" t="s">
        <v>77</v>
      </c>
      <c r="K32" s="2" t="s">
        <v>77</v>
      </c>
      <c r="L32" s="2" t="s">
        <v>250</v>
      </c>
      <c r="M32" s="2" t="s">
        <v>130</v>
      </c>
      <c r="N32" s="2" t="s">
        <v>380</v>
      </c>
      <c r="O32" s="2" t="s">
        <v>78</v>
      </c>
      <c r="P32" s="3" t="s">
        <v>277</v>
      </c>
      <c r="Q32" s="2" t="s">
        <v>80</v>
      </c>
      <c r="R32" s="2" t="s">
        <v>254</v>
      </c>
      <c r="S32" s="2" t="s">
        <v>81</v>
      </c>
      <c r="T32" s="13">
        <v>2.6</v>
      </c>
      <c r="U32" s="2" t="s">
        <v>381</v>
      </c>
      <c r="V32" s="8">
        <v>2.1000000000000001E-2</v>
      </c>
      <c r="W32" s="8">
        <v>4.8439999999999997E-2</v>
      </c>
      <c r="X32" s="2" t="s">
        <v>256</v>
      </c>
      <c r="Y32" s="2" t="s">
        <v>78</v>
      </c>
      <c r="Z32" s="6">
        <v>18444750.02</v>
      </c>
      <c r="AA32" s="13">
        <v>1</v>
      </c>
      <c r="AB32" s="6">
        <v>93.29</v>
      </c>
      <c r="AC32" s="6">
        <v>0</v>
      </c>
      <c r="AD32" s="6">
        <v>17207.107</v>
      </c>
      <c r="AG32" s="2" t="s">
        <v>23</v>
      </c>
      <c r="AH32" s="8">
        <v>3.7490000000000002E-2</v>
      </c>
      <c r="AI32" s="8">
        <v>5.1999999999999998E-3</v>
      </c>
      <c r="AJ32" s="8">
        <v>4.2999999999999999E-4</v>
      </c>
    </row>
    <row r="33" spans="1:36">
      <c r="A33" s="12">
        <v>1097</v>
      </c>
      <c r="B33" s="12">
        <v>1097</v>
      </c>
      <c r="C33" s="2" t="s">
        <v>382</v>
      </c>
      <c r="D33" s="3" t="s">
        <v>383</v>
      </c>
      <c r="E33" s="2" t="s">
        <v>245</v>
      </c>
      <c r="F33" s="2" t="s">
        <v>384</v>
      </c>
      <c r="G33" s="12" t="s">
        <v>385</v>
      </c>
      <c r="H33" s="2" t="s">
        <v>248</v>
      </c>
      <c r="I33" s="2" t="s">
        <v>261</v>
      </c>
      <c r="J33" s="2" t="s">
        <v>77</v>
      </c>
      <c r="K33" s="2" t="s">
        <v>77</v>
      </c>
      <c r="L33" s="2" t="s">
        <v>250</v>
      </c>
      <c r="M33" s="2" t="s">
        <v>130</v>
      </c>
      <c r="N33" s="2" t="s">
        <v>262</v>
      </c>
      <c r="O33" s="2" t="s">
        <v>78</v>
      </c>
      <c r="P33" s="3" t="s">
        <v>293</v>
      </c>
      <c r="Q33" s="2" t="s">
        <v>80</v>
      </c>
      <c r="R33" s="2" t="s">
        <v>254</v>
      </c>
      <c r="S33" s="2" t="s">
        <v>81</v>
      </c>
      <c r="T33" s="13">
        <v>2.2109999999999999</v>
      </c>
      <c r="U33" s="2" t="s">
        <v>386</v>
      </c>
      <c r="V33" s="8">
        <v>5.0000000000000001E-3</v>
      </c>
      <c r="W33" s="8">
        <v>2.835E-2</v>
      </c>
      <c r="X33" s="2" t="s">
        <v>256</v>
      </c>
      <c r="Y33" s="2" t="s">
        <v>78</v>
      </c>
      <c r="Z33" s="6">
        <v>13477374.9</v>
      </c>
      <c r="AA33" s="13">
        <v>1</v>
      </c>
      <c r="AB33" s="6">
        <v>108.66</v>
      </c>
      <c r="AC33" s="6">
        <v>0</v>
      </c>
      <c r="AD33" s="6">
        <v>14644.516</v>
      </c>
      <c r="AG33" s="2" t="s">
        <v>23</v>
      </c>
      <c r="AH33" s="8">
        <v>1.9869999999999999E-2</v>
      </c>
      <c r="AI33" s="8">
        <v>4.4200000000000003E-3</v>
      </c>
      <c r="AJ33" s="8">
        <v>3.6000000000000002E-4</v>
      </c>
    </row>
    <row r="34" spans="1:36">
      <c r="A34" s="12">
        <v>1097</v>
      </c>
      <c r="B34" s="12">
        <v>1097</v>
      </c>
      <c r="C34" s="2" t="s">
        <v>387</v>
      </c>
      <c r="D34" s="3" t="s">
        <v>388</v>
      </c>
      <c r="E34" s="2" t="s">
        <v>245</v>
      </c>
      <c r="F34" s="2" t="s">
        <v>389</v>
      </c>
      <c r="G34" s="12" t="s">
        <v>390</v>
      </c>
      <c r="H34" s="2" t="s">
        <v>248</v>
      </c>
      <c r="I34" s="2" t="s">
        <v>249</v>
      </c>
      <c r="J34" s="2" t="s">
        <v>77</v>
      </c>
      <c r="K34" s="2" t="s">
        <v>77</v>
      </c>
      <c r="L34" s="2" t="s">
        <v>250</v>
      </c>
      <c r="M34" s="2" t="s">
        <v>130</v>
      </c>
      <c r="N34" s="2" t="s">
        <v>347</v>
      </c>
      <c r="O34" s="2" t="s">
        <v>78</v>
      </c>
      <c r="P34" s="3" t="s">
        <v>293</v>
      </c>
      <c r="Q34" s="2" t="s">
        <v>80</v>
      </c>
      <c r="R34" s="2" t="s">
        <v>254</v>
      </c>
      <c r="S34" s="2" t="s">
        <v>81</v>
      </c>
      <c r="T34" s="13">
        <v>4.6740000000000004</v>
      </c>
      <c r="U34" s="2" t="s">
        <v>391</v>
      </c>
      <c r="V34" s="8">
        <v>2.4400000000000002E-2</v>
      </c>
      <c r="W34" s="8">
        <v>4.7030000000000002E-2</v>
      </c>
      <c r="X34" s="2" t="s">
        <v>256</v>
      </c>
      <c r="Y34" s="2" t="s">
        <v>78</v>
      </c>
      <c r="Z34" s="6">
        <v>33808111</v>
      </c>
      <c r="AA34" s="13">
        <v>1</v>
      </c>
      <c r="AB34" s="6">
        <v>91.3</v>
      </c>
      <c r="AC34" s="6">
        <v>0</v>
      </c>
      <c r="AD34" s="6">
        <v>30866.805</v>
      </c>
      <c r="AG34" s="2" t="s">
        <v>23</v>
      </c>
      <c r="AH34" s="8">
        <v>2.7820000000000001E-2</v>
      </c>
      <c r="AI34" s="8">
        <v>9.3299999999999998E-3</v>
      </c>
      <c r="AJ34" s="8">
        <v>7.6999999999999996E-4</v>
      </c>
    </row>
    <row r="35" spans="1:36">
      <c r="A35" s="12">
        <v>1097</v>
      </c>
      <c r="B35" s="12">
        <v>1097</v>
      </c>
      <c r="C35" s="2" t="s">
        <v>387</v>
      </c>
      <c r="D35" s="3" t="s">
        <v>388</v>
      </c>
      <c r="E35" s="2" t="s">
        <v>245</v>
      </c>
      <c r="F35" s="2" t="s">
        <v>392</v>
      </c>
      <c r="G35" s="12" t="s">
        <v>393</v>
      </c>
      <c r="H35" s="2" t="s">
        <v>248</v>
      </c>
      <c r="I35" s="2" t="s">
        <v>261</v>
      </c>
      <c r="J35" s="2" t="s">
        <v>77</v>
      </c>
      <c r="K35" s="2" t="s">
        <v>77</v>
      </c>
      <c r="L35" s="2" t="s">
        <v>250</v>
      </c>
      <c r="M35" s="2" t="s">
        <v>130</v>
      </c>
      <c r="N35" s="2" t="s">
        <v>347</v>
      </c>
      <c r="O35" s="2" t="s">
        <v>78</v>
      </c>
      <c r="P35" s="3" t="s">
        <v>293</v>
      </c>
      <c r="Q35" s="2" t="s">
        <v>80</v>
      </c>
      <c r="R35" s="2" t="s">
        <v>254</v>
      </c>
      <c r="S35" s="2" t="s">
        <v>81</v>
      </c>
      <c r="T35" s="13">
        <v>4.8719999999999999</v>
      </c>
      <c r="U35" s="2" t="s">
        <v>391</v>
      </c>
      <c r="V35" s="8">
        <v>9.1999999999999998E-3</v>
      </c>
      <c r="W35" s="8">
        <v>2.845E-2</v>
      </c>
      <c r="X35" s="2" t="s">
        <v>256</v>
      </c>
      <c r="Y35" s="2" t="s">
        <v>78</v>
      </c>
      <c r="Z35" s="6">
        <v>31991165</v>
      </c>
      <c r="AA35" s="13">
        <v>1</v>
      </c>
      <c r="AB35" s="6">
        <v>107.4</v>
      </c>
      <c r="AC35" s="6">
        <v>0</v>
      </c>
      <c r="AD35" s="6">
        <v>34358.510999999999</v>
      </c>
      <c r="AG35" s="2" t="s">
        <v>23</v>
      </c>
      <c r="AH35" s="8">
        <v>1.2370000000000001E-2</v>
      </c>
      <c r="AI35" s="8">
        <v>1.038E-2</v>
      </c>
      <c r="AJ35" s="8">
        <v>8.4999999999999995E-4</v>
      </c>
    </row>
    <row r="36" spans="1:36">
      <c r="A36" s="12">
        <v>1097</v>
      </c>
      <c r="B36" s="12">
        <v>1097</v>
      </c>
      <c r="C36" s="2" t="s">
        <v>387</v>
      </c>
      <c r="D36" s="3" t="s">
        <v>388</v>
      </c>
      <c r="E36" s="2" t="s">
        <v>245</v>
      </c>
      <c r="F36" s="2" t="s">
        <v>394</v>
      </c>
      <c r="G36" s="12" t="s">
        <v>393</v>
      </c>
      <c r="H36" s="2" t="s">
        <v>248</v>
      </c>
      <c r="I36" s="2" t="s">
        <v>261</v>
      </c>
      <c r="J36" s="2" t="s">
        <v>77</v>
      </c>
      <c r="K36" s="2" t="s">
        <v>77</v>
      </c>
      <c r="L36" s="2" t="s">
        <v>353</v>
      </c>
      <c r="M36" s="2" t="s">
        <v>130</v>
      </c>
      <c r="N36" s="2" t="s">
        <v>347</v>
      </c>
      <c r="O36" s="2" t="s">
        <v>78</v>
      </c>
      <c r="P36" s="3" t="s">
        <v>293</v>
      </c>
      <c r="Q36" s="2" t="s">
        <v>80</v>
      </c>
      <c r="R36" s="2" t="s">
        <v>254</v>
      </c>
      <c r="S36" s="2" t="s">
        <v>81</v>
      </c>
      <c r="T36" s="13">
        <v>4.8719999999999999</v>
      </c>
      <c r="U36" s="2" t="s">
        <v>391</v>
      </c>
      <c r="V36" s="8">
        <v>9.1999999999999998E-3</v>
      </c>
      <c r="W36" s="8">
        <v>2.845E-2</v>
      </c>
      <c r="X36" s="2" t="s">
        <v>256</v>
      </c>
      <c r="Y36" s="2" t="s">
        <v>78</v>
      </c>
      <c r="Z36" s="6">
        <v>246901</v>
      </c>
      <c r="AA36" s="13">
        <v>1</v>
      </c>
      <c r="AB36" s="6">
        <v>107.4</v>
      </c>
      <c r="AC36" s="6">
        <v>0</v>
      </c>
      <c r="AD36" s="6">
        <v>265.17200000000003</v>
      </c>
      <c r="AG36" s="2" t="s">
        <v>23</v>
      </c>
      <c r="AH36" s="8">
        <v>1E-4</v>
      </c>
      <c r="AI36" s="8">
        <v>8.0000000000000007E-5</v>
      </c>
      <c r="AJ36" s="8">
        <v>1.0000000000000001E-5</v>
      </c>
    </row>
    <row r="37" spans="1:36">
      <c r="A37" s="12">
        <v>1097</v>
      </c>
      <c r="B37" s="12">
        <v>1097</v>
      </c>
      <c r="C37" s="2" t="s">
        <v>387</v>
      </c>
      <c r="D37" s="3" t="s">
        <v>388</v>
      </c>
      <c r="E37" s="2" t="s">
        <v>245</v>
      </c>
      <c r="F37" s="2" t="s">
        <v>395</v>
      </c>
      <c r="G37" s="12" t="s">
        <v>396</v>
      </c>
      <c r="H37" s="2" t="s">
        <v>248</v>
      </c>
      <c r="I37" s="2" t="s">
        <v>249</v>
      </c>
      <c r="J37" s="2" t="s">
        <v>77</v>
      </c>
      <c r="K37" s="2" t="s">
        <v>77</v>
      </c>
      <c r="L37" s="2" t="s">
        <v>250</v>
      </c>
      <c r="M37" s="2" t="s">
        <v>130</v>
      </c>
      <c r="N37" s="2" t="s">
        <v>347</v>
      </c>
      <c r="O37" s="2" t="s">
        <v>78</v>
      </c>
      <c r="P37" s="3" t="s">
        <v>293</v>
      </c>
      <c r="Q37" s="2" t="s">
        <v>80</v>
      </c>
      <c r="R37" s="2" t="s">
        <v>254</v>
      </c>
      <c r="S37" s="2" t="s">
        <v>81</v>
      </c>
      <c r="T37" s="13">
        <v>7.4329999999999998</v>
      </c>
      <c r="U37" s="2" t="s">
        <v>397</v>
      </c>
      <c r="V37" s="8">
        <v>5.79E-2</v>
      </c>
      <c r="W37" s="8">
        <v>4.9480000000000003E-2</v>
      </c>
      <c r="X37" s="2" t="s">
        <v>256</v>
      </c>
      <c r="Y37" s="2" t="s">
        <v>78</v>
      </c>
      <c r="Z37" s="6">
        <v>940000</v>
      </c>
      <c r="AA37" s="13">
        <v>1</v>
      </c>
      <c r="AB37" s="6">
        <v>109</v>
      </c>
      <c r="AC37" s="6">
        <v>0</v>
      </c>
      <c r="AD37" s="6">
        <v>1024.5999999999999</v>
      </c>
      <c r="AG37" s="2" t="s">
        <v>23</v>
      </c>
      <c r="AH37" s="8">
        <v>1.0399999999999999E-3</v>
      </c>
      <c r="AI37" s="8">
        <v>3.1E-4</v>
      </c>
      <c r="AJ37" s="8">
        <v>3.0000000000000001E-5</v>
      </c>
    </row>
    <row r="38" spans="1:36">
      <c r="A38" s="12">
        <v>1097</v>
      </c>
      <c r="B38" s="12">
        <v>1097</v>
      </c>
      <c r="C38" s="2" t="s">
        <v>387</v>
      </c>
      <c r="D38" s="3" t="s">
        <v>388</v>
      </c>
      <c r="E38" s="2" t="s">
        <v>245</v>
      </c>
      <c r="F38" s="2" t="s">
        <v>398</v>
      </c>
      <c r="G38" s="12" t="s">
        <v>399</v>
      </c>
      <c r="H38" s="2" t="s">
        <v>248</v>
      </c>
      <c r="I38" s="2" t="s">
        <v>261</v>
      </c>
      <c r="J38" s="2" t="s">
        <v>77</v>
      </c>
      <c r="K38" s="2" t="s">
        <v>77</v>
      </c>
      <c r="L38" s="2" t="s">
        <v>250</v>
      </c>
      <c r="M38" s="2" t="s">
        <v>130</v>
      </c>
      <c r="N38" s="2" t="s">
        <v>347</v>
      </c>
      <c r="O38" s="2" t="s">
        <v>78</v>
      </c>
      <c r="P38" s="3" t="s">
        <v>293</v>
      </c>
      <c r="Q38" s="2" t="s">
        <v>80</v>
      </c>
      <c r="R38" s="2" t="s">
        <v>254</v>
      </c>
      <c r="S38" s="2" t="s">
        <v>81</v>
      </c>
      <c r="T38" s="13">
        <v>8.2249999999999996</v>
      </c>
      <c r="U38" s="2" t="s">
        <v>397</v>
      </c>
      <c r="V38" s="8">
        <v>3.2000000000000001E-2</v>
      </c>
      <c r="W38" s="8">
        <v>2.989E-2</v>
      </c>
      <c r="X38" s="2" t="s">
        <v>256</v>
      </c>
      <c r="Y38" s="2" t="s">
        <v>78</v>
      </c>
      <c r="Z38" s="6">
        <v>412554</v>
      </c>
      <c r="AA38" s="13">
        <v>1</v>
      </c>
      <c r="AB38" s="6">
        <v>108.16</v>
      </c>
      <c r="AC38" s="6">
        <v>0</v>
      </c>
      <c r="AD38" s="6">
        <v>446.21800000000002</v>
      </c>
      <c r="AG38" s="2" t="s">
        <v>23</v>
      </c>
      <c r="AH38" s="8">
        <v>5.0000000000000001E-4</v>
      </c>
      <c r="AI38" s="8">
        <v>1.2999999999999999E-4</v>
      </c>
      <c r="AJ38" s="8">
        <v>1.0000000000000001E-5</v>
      </c>
    </row>
    <row r="39" spans="1:36">
      <c r="A39" s="12">
        <v>1097</v>
      </c>
      <c r="B39" s="12">
        <v>1097</v>
      </c>
      <c r="C39" s="2" t="s">
        <v>387</v>
      </c>
      <c r="D39" s="3" t="s">
        <v>388</v>
      </c>
      <c r="E39" s="2" t="s">
        <v>245</v>
      </c>
      <c r="F39" s="2" t="s">
        <v>400</v>
      </c>
      <c r="G39" s="12" t="s">
        <v>401</v>
      </c>
      <c r="H39" s="2" t="s">
        <v>248</v>
      </c>
      <c r="I39" s="2" t="s">
        <v>261</v>
      </c>
      <c r="J39" s="2" t="s">
        <v>77</v>
      </c>
      <c r="K39" s="2" t="s">
        <v>77</v>
      </c>
      <c r="L39" s="2" t="s">
        <v>250</v>
      </c>
      <c r="M39" s="2" t="s">
        <v>130</v>
      </c>
      <c r="N39" s="2" t="s">
        <v>347</v>
      </c>
      <c r="O39" s="2" t="s">
        <v>78</v>
      </c>
      <c r="P39" s="3" t="s">
        <v>293</v>
      </c>
      <c r="Q39" s="2" t="s">
        <v>80</v>
      </c>
      <c r="R39" s="2" t="s">
        <v>254</v>
      </c>
      <c r="S39" s="2" t="s">
        <v>81</v>
      </c>
      <c r="T39" s="13">
        <v>1.9670000000000001</v>
      </c>
      <c r="U39" s="2" t="s">
        <v>402</v>
      </c>
      <c r="V39" s="8">
        <v>3.2000000000000001E-2</v>
      </c>
      <c r="W39" s="8">
        <v>2.81E-2</v>
      </c>
      <c r="X39" s="2" t="s">
        <v>256</v>
      </c>
      <c r="Y39" s="2" t="s">
        <v>78</v>
      </c>
      <c r="Z39" s="6">
        <v>1287426.6000000001</v>
      </c>
      <c r="AA39" s="13">
        <v>1</v>
      </c>
      <c r="AB39" s="6">
        <v>117.65</v>
      </c>
      <c r="AC39" s="6">
        <v>565.39</v>
      </c>
      <c r="AD39" s="6">
        <v>2080.0459999999998</v>
      </c>
      <c r="AG39" s="2" t="s">
        <v>23</v>
      </c>
      <c r="AH39" s="8">
        <v>3.1099999999999999E-3</v>
      </c>
      <c r="AI39" s="8">
        <v>6.3000000000000003E-4</v>
      </c>
      <c r="AJ39" s="8">
        <v>5.0000000000000002E-5</v>
      </c>
    </row>
    <row r="40" spans="1:36">
      <c r="A40" s="12">
        <v>1097</v>
      </c>
      <c r="B40" s="12">
        <v>1097</v>
      </c>
      <c r="C40" s="2" t="s">
        <v>387</v>
      </c>
      <c r="D40" s="3" t="s">
        <v>388</v>
      </c>
      <c r="E40" s="2" t="s">
        <v>245</v>
      </c>
      <c r="F40" s="2" t="s">
        <v>403</v>
      </c>
      <c r="G40" s="12" t="s">
        <v>404</v>
      </c>
      <c r="H40" s="2" t="s">
        <v>248</v>
      </c>
      <c r="I40" s="2" t="s">
        <v>249</v>
      </c>
      <c r="J40" s="2" t="s">
        <v>77</v>
      </c>
      <c r="K40" s="2" t="s">
        <v>77</v>
      </c>
      <c r="L40" s="2" t="s">
        <v>250</v>
      </c>
      <c r="M40" s="2" t="s">
        <v>130</v>
      </c>
      <c r="N40" s="2" t="s">
        <v>347</v>
      </c>
      <c r="O40" s="2" t="s">
        <v>78</v>
      </c>
      <c r="P40" s="3" t="s">
        <v>293</v>
      </c>
      <c r="Q40" s="2" t="s">
        <v>80</v>
      </c>
      <c r="R40" s="2" t="s">
        <v>254</v>
      </c>
      <c r="S40" s="2" t="s">
        <v>81</v>
      </c>
      <c r="T40" s="13">
        <v>0.51500000000000001</v>
      </c>
      <c r="U40" s="2" t="s">
        <v>405</v>
      </c>
      <c r="V40" s="8">
        <v>3.39E-2</v>
      </c>
      <c r="W40" s="8">
        <v>4.4650000000000002E-2</v>
      </c>
      <c r="X40" s="2" t="s">
        <v>256</v>
      </c>
      <c r="Y40" s="2" t="s">
        <v>78</v>
      </c>
      <c r="Z40" s="6">
        <v>200000</v>
      </c>
      <c r="AA40" s="13">
        <v>1</v>
      </c>
      <c r="AB40" s="6">
        <v>101.09</v>
      </c>
      <c r="AC40" s="6">
        <v>0</v>
      </c>
      <c r="AD40" s="6">
        <v>202.18</v>
      </c>
      <c r="AG40" s="2" t="s">
        <v>23</v>
      </c>
      <c r="AH40" s="8">
        <v>1.2199999999999999E-3</v>
      </c>
      <c r="AI40" s="8">
        <v>6.0000000000000002E-5</v>
      </c>
      <c r="AJ40" s="8">
        <v>1.0000000000000001E-5</v>
      </c>
    </row>
    <row r="41" spans="1:36">
      <c r="A41" s="12">
        <v>1097</v>
      </c>
      <c r="B41" s="12">
        <v>1097</v>
      </c>
      <c r="C41" s="2" t="s">
        <v>387</v>
      </c>
      <c r="D41" s="3" t="s">
        <v>388</v>
      </c>
      <c r="E41" s="2" t="s">
        <v>245</v>
      </c>
      <c r="F41" s="2" t="s">
        <v>406</v>
      </c>
      <c r="G41" s="12" t="s">
        <v>407</v>
      </c>
      <c r="H41" s="2" t="s">
        <v>248</v>
      </c>
      <c r="I41" s="2" t="s">
        <v>261</v>
      </c>
      <c r="J41" s="2" t="s">
        <v>77</v>
      </c>
      <c r="K41" s="2" t="s">
        <v>77</v>
      </c>
      <c r="L41" s="2" t="s">
        <v>250</v>
      </c>
      <c r="M41" s="2" t="s">
        <v>130</v>
      </c>
      <c r="N41" s="2" t="s">
        <v>347</v>
      </c>
      <c r="O41" s="2" t="s">
        <v>78</v>
      </c>
      <c r="P41" s="3" t="s">
        <v>293</v>
      </c>
      <c r="Q41" s="2" t="s">
        <v>80</v>
      </c>
      <c r="R41" s="2" t="s">
        <v>254</v>
      </c>
      <c r="S41" s="2" t="s">
        <v>81</v>
      </c>
      <c r="T41" s="13">
        <v>2.5830000000000002</v>
      </c>
      <c r="U41" s="2" t="s">
        <v>408</v>
      </c>
      <c r="V41" s="8">
        <v>1.14E-2</v>
      </c>
      <c r="W41" s="8">
        <v>2.8150000000000001E-2</v>
      </c>
      <c r="X41" s="2" t="s">
        <v>256</v>
      </c>
      <c r="Y41" s="2" t="s">
        <v>78</v>
      </c>
      <c r="Z41" s="6">
        <v>23847905</v>
      </c>
      <c r="AA41" s="13">
        <v>1</v>
      </c>
      <c r="AB41" s="6">
        <v>111.43</v>
      </c>
      <c r="AC41" s="6">
        <v>0</v>
      </c>
      <c r="AD41" s="6">
        <v>26573.721000000001</v>
      </c>
      <c r="AG41" s="2" t="s">
        <v>23</v>
      </c>
      <c r="AH41" s="8">
        <v>1.009E-2</v>
      </c>
      <c r="AI41" s="8">
        <v>8.0300000000000007E-3</v>
      </c>
      <c r="AJ41" s="8">
        <v>6.6E-4</v>
      </c>
    </row>
    <row r="42" spans="1:36">
      <c r="A42" s="12">
        <v>1097</v>
      </c>
      <c r="B42" s="12">
        <v>1097</v>
      </c>
      <c r="C42" s="2" t="s">
        <v>387</v>
      </c>
      <c r="D42" s="3" t="s">
        <v>388</v>
      </c>
      <c r="E42" s="2" t="s">
        <v>245</v>
      </c>
      <c r="F42" s="2" t="s">
        <v>409</v>
      </c>
      <c r="G42" s="12" t="s">
        <v>390</v>
      </c>
      <c r="H42" s="2" t="s">
        <v>248</v>
      </c>
      <c r="I42" s="2" t="s">
        <v>249</v>
      </c>
      <c r="J42" s="2" t="s">
        <v>77</v>
      </c>
      <c r="K42" s="2" t="s">
        <v>77</v>
      </c>
      <c r="L42" s="2" t="s">
        <v>353</v>
      </c>
      <c r="M42" s="2" t="s">
        <v>130</v>
      </c>
      <c r="N42" s="2" t="s">
        <v>347</v>
      </c>
      <c r="O42" s="2" t="s">
        <v>78</v>
      </c>
      <c r="P42" s="3" t="s">
        <v>293</v>
      </c>
      <c r="Q42" s="2" t="s">
        <v>80</v>
      </c>
      <c r="R42" s="2" t="s">
        <v>254</v>
      </c>
      <c r="S42" s="2" t="s">
        <v>81</v>
      </c>
      <c r="T42" s="13">
        <v>4.6740000000000004</v>
      </c>
      <c r="U42" s="2" t="s">
        <v>391</v>
      </c>
      <c r="V42" s="8">
        <v>2.4400000000000002E-2</v>
      </c>
      <c r="W42" s="8">
        <v>4.7030000000000002E-2</v>
      </c>
      <c r="X42" s="2" t="s">
        <v>256</v>
      </c>
      <c r="Y42" s="2" t="s">
        <v>78</v>
      </c>
      <c r="Z42" s="6">
        <v>100000</v>
      </c>
      <c r="AA42" s="13">
        <v>1</v>
      </c>
      <c r="AB42" s="6">
        <v>91.3</v>
      </c>
      <c r="AC42" s="6">
        <v>0</v>
      </c>
      <c r="AD42" s="6">
        <v>91.3</v>
      </c>
      <c r="AG42" s="2" t="s">
        <v>23</v>
      </c>
      <c r="AH42" s="8">
        <v>8.0000000000000007E-5</v>
      </c>
      <c r="AI42" s="8">
        <v>3.0000000000000001E-5</v>
      </c>
      <c r="AJ42" s="8">
        <v>0</v>
      </c>
    </row>
    <row r="43" spans="1:36">
      <c r="A43" s="12">
        <v>1097</v>
      </c>
      <c r="B43" s="12">
        <v>1097</v>
      </c>
      <c r="C43" s="2" t="s">
        <v>410</v>
      </c>
      <c r="D43" s="3" t="s">
        <v>411</v>
      </c>
      <c r="E43" s="2" t="s">
        <v>245</v>
      </c>
      <c r="F43" s="2" t="s">
        <v>412</v>
      </c>
      <c r="G43" s="12" t="s">
        <v>413</v>
      </c>
      <c r="H43" s="2" t="s">
        <v>248</v>
      </c>
      <c r="I43" s="2" t="s">
        <v>261</v>
      </c>
      <c r="J43" s="2" t="s">
        <v>77</v>
      </c>
      <c r="K43" s="2" t="s">
        <v>77</v>
      </c>
      <c r="L43" s="2" t="s">
        <v>250</v>
      </c>
      <c r="M43" s="2" t="s">
        <v>130</v>
      </c>
      <c r="N43" s="2" t="s">
        <v>262</v>
      </c>
      <c r="O43" s="2" t="s">
        <v>78</v>
      </c>
      <c r="P43" s="3" t="s">
        <v>306</v>
      </c>
      <c r="Q43" s="2" t="s">
        <v>80</v>
      </c>
      <c r="R43" s="2" t="s">
        <v>254</v>
      </c>
      <c r="S43" s="2" t="s">
        <v>81</v>
      </c>
      <c r="T43" s="13">
        <v>1.0629999999999999</v>
      </c>
      <c r="U43" s="2" t="s">
        <v>414</v>
      </c>
      <c r="V43" s="8">
        <v>2.5700000000000001E-2</v>
      </c>
      <c r="W43" s="8">
        <v>3.1629999999999998E-2</v>
      </c>
      <c r="X43" s="2" t="s">
        <v>256</v>
      </c>
      <c r="Y43" s="2" t="s">
        <v>78</v>
      </c>
      <c r="Z43" s="6">
        <v>1383529.41</v>
      </c>
      <c r="AA43" s="13">
        <v>1</v>
      </c>
      <c r="AB43" s="6">
        <v>118.01</v>
      </c>
      <c r="AC43" s="6">
        <v>0</v>
      </c>
      <c r="AD43" s="6">
        <v>1632.703</v>
      </c>
      <c r="AG43" s="2" t="s">
        <v>23</v>
      </c>
      <c r="AH43" s="8">
        <v>1.31E-3</v>
      </c>
      <c r="AI43" s="8">
        <v>4.8999999999999998E-4</v>
      </c>
      <c r="AJ43" s="8">
        <v>4.0000000000000003E-5</v>
      </c>
    </row>
    <row r="44" spans="1:36">
      <c r="A44" s="12">
        <v>1097</v>
      </c>
      <c r="B44" s="12">
        <v>1097</v>
      </c>
      <c r="C44" s="2" t="s">
        <v>410</v>
      </c>
      <c r="D44" s="3" t="s">
        <v>411</v>
      </c>
      <c r="E44" s="2" t="s">
        <v>245</v>
      </c>
      <c r="F44" s="2" t="s">
        <v>415</v>
      </c>
      <c r="G44" s="12" t="s">
        <v>416</v>
      </c>
      <c r="H44" s="2" t="s">
        <v>248</v>
      </c>
      <c r="I44" s="2" t="s">
        <v>249</v>
      </c>
      <c r="J44" s="2" t="s">
        <v>77</v>
      </c>
      <c r="K44" s="2" t="s">
        <v>77</v>
      </c>
      <c r="L44" s="2" t="s">
        <v>250</v>
      </c>
      <c r="M44" s="2" t="s">
        <v>130</v>
      </c>
      <c r="N44" s="2" t="s">
        <v>262</v>
      </c>
      <c r="O44" s="2" t="s">
        <v>78</v>
      </c>
      <c r="P44" s="3" t="s">
        <v>306</v>
      </c>
      <c r="Q44" s="2" t="s">
        <v>80</v>
      </c>
      <c r="R44" s="2" t="s">
        <v>254</v>
      </c>
      <c r="S44" s="2" t="s">
        <v>81</v>
      </c>
      <c r="T44" s="13">
        <v>2.0059999999999998</v>
      </c>
      <c r="U44" s="2" t="s">
        <v>417</v>
      </c>
      <c r="V44" s="8">
        <v>2.3E-2</v>
      </c>
      <c r="W44" s="8">
        <v>4.8779999999999997E-2</v>
      </c>
      <c r="X44" s="2" t="s">
        <v>256</v>
      </c>
      <c r="Y44" s="2" t="s">
        <v>78</v>
      </c>
      <c r="Z44" s="6">
        <v>40023741.93</v>
      </c>
      <c r="AA44" s="13">
        <v>1</v>
      </c>
      <c r="AB44" s="6">
        <v>95.78</v>
      </c>
      <c r="AC44" s="6">
        <v>0</v>
      </c>
      <c r="AD44" s="6">
        <v>38334.74</v>
      </c>
      <c r="AG44" s="2" t="s">
        <v>23</v>
      </c>
      <c r="AH44" s="8">
        <v>5.5489999999999998E-2</v>
      </c>
      <c r="AI44" s="8">
        <v>1.158E-2</v>
      </c>
      <c r="AJ44" s="8">
        <v>9.5E-4</v>
      </c>
    </row>
    <row r="45" spans="1:36">
      <c r="A45" s="12">
        <v>1097</v>
      </c>
      <c r="B45" s="12">
        <v>1097</v>
      </c>
      <c r="C45" s="2" t="s">
        <v>410</v>
      </c>
      <c r="D45" s="3" t="s">
        <v>411</v>
      </c>
      <c r="E45" s="2" t="s">
        <v>245</v>
      </c>
      <c r="F45" s="2" t="s">
        <v>418</v>
      </c>
      <c r="G45" s="12" t="s">
        <v>419</v>
      </c>
      <c r="H45" s="2" t="s">
        <v>248</v>
      </c>
      <c r="I45" s="2" t="s">
        <v>261</v>
      </c>
      <c r="J45" s="2" t="s">
        <v>77</v>
      </c>
      <c r="K45" s="2" t="s">
        <v>77</v>
      </c>
      <c r="L45" s="2" t="s">
        <v>250</v>
      </c>
      <c r="M45" s="2" t="s">
        <v>130</v>
      </c>
      <c r="N45" s="2" t="s">
        <v>262</v>
      </c>
      <c r="O45" s="2" t="s">
        <v>78</v>
      </c>
      <c r="P45" s="3" t="s">
        <v>306</v>
      </c>
      <c r="Q45" s="2" t="s">
        <v>80</v>
      </c>
      <c r="R45" s="2" t="s">
        <v>254</v>
      </c>
      <c r="S45" s="2" t="s">
        <v>81</v>
      </c>
      <c r="T45" s="13">
        <v>3.4369999999999998</v>
      </c>
      <c r="U45" s="2" t="s">
        <v>288</v>
      </c>
      <c r="V45" s="8">
        <v>1.09E-2</v>
      </c>
      <c r="W45" s="8">
        <v>3.0669999999999999E-2</v>
      </c>
      <c r="X45" s="2" t="s">
        <v>256</v>
      </c>
      <c r="Y45" s="2" t="s">
        <v>78</v>
      </c>
      <c r="Z45" s="6">
        <v>5800000</v>
      </c>
      <c r="AA45" s="13">
        <v>1</v>
      </c>
      <c r="AB45" s="6">
        <v>107.99</v>
      </c>
      <c r="AC45" s="6">
        <v>0</v>
      </c>
      <c r="AD45" s="6">
        <v>6263.42</v>
      </c>
      <c r="AG45" s="2" t="s">
        <v>23</v>
      </c>
      <c r="AH45" s="8">
        <v>8.1499999999999993E-3</v>
      </c>
      <c r="AI45" s="8">
        <v>1.89E-3</v>
      </c>
      <c r="AJ45" s="8">
        <v>1.6000000000000001E-4</v>
      </c>
    </row>
    <row r="46" spans="1:36">
      <c r="A46" s="12">
        <v>1097</v>
      </c>
      <c r="B46" s="12">
        <v>1097</v>
      </c>
      <c r="C46" s="2" t="s">
        <v>410</v>
      </c>
      <c r="D46" s="3" t="s">
        <v>411</v>
      </c>
      <c r="E46" s="2" t="s">
        <v>245</v>
      </c>
      <c r="F46" s="2" t="s">
        <v>420</v>
      </c>
      <c r="G46" s="12" t="s">
        <v>421</v>
      </c>
      <c r="H46" s="2" t="s">
        <v>248</v>
      </c>
      <c r="I46" s="2" t="s">
        <v>261</v>
      </c>
      <c r="J46" s="2" t="s">
        <v>77</v>
      </c>
      <c r="K46" s="2" t="s">
        <v>77</v>
      </c>
      <c r="L46" s="2" t="s">
        <v>250</v>
      </c>
      <c r="M46" s="2" t="s">
        <v>130</v>
      </c>
      <c r="N46" s="2" t="s">
        <v>262</v>
      </c>
      <c r="O46" s="2" t="s">
        <v>78</v>
      </c>
      <c r="P46" s="3" t="s">
        <v>306</v>
      </c>
      <c r="Q46" s="2" t="s">
        <v>80</v>
      </c>
      <c r="R46" s="2" t="s">
        <v>254</v>
      </c>
      <c r="S46" s="2" t="s">
        <v>81</v>
      </c>
      <c r="T46" s="13">
        <v>4.4569999999999999</v>
      </c>
      <c r="U46" s="2" t="s">
        <v>422</v>
      </c>
      <c r="V46" s="8">
        <v>1.54E-2</v>
      </c>
      <c r="W46" s="8">
        <v>3.0790000000000001E-2</v>
      </c>
      <c r="X46" s="2" t="s">
        <v>256</v>
      </c>
      <c r="Y46" s="2" t="s">
        <v>78</v>
      </c>
      <c r="Z46" s="6">
        <v>35609000</v>
      </c>
      <c r="AA46" s="13">
        <v>1</v>
      </c>
      <c r="AB46" s="6">
        <v>106.78</v>
      </c>
      <c r="AC46" s="6">
        <v>0</v>
      </c>
      <c r="AD46" s="6">
        <v>38023.29</v>
      </c>
      <c r="AG46" s="2" t="s">
        <v>23</v>
      </c>
      <c r="AH46" s="8">
        <v>5.9700000000000003E-2</v>
      </c>
      <c r="AI46" s="8">
        <v>1.149E-2</v>
      </c>
      <c r="AJ46" s="8">
        <v>9.3999999999999997E-4</v>
      </c>
    </row>
    <row r="47" spans="1:36">
      <c r="A47" s="12">
        <v>1097</v>
      </c>
      <c r="B47" s="12">
        <v>1097</v>
      </c>
      <c r="C47" s="2" t="s">
        <v>423</v>
      </c>
      <c r="D47" s="3" t="s">
        <v>424</v>
      </c>
      <c r="E47" s="2" t="s">
        <v>245</v>
      </c>
      <c r="F47" s="2" t="s">
        <v>425</v>
      </c>
      <c r="G47" s="12" t="s">
        <v>426</v>
      </c>
      <c r="H47" s="2" t="s">
        <v>248</v>
      </c>
      <c r="I47" s="2" t="s">
        <v>249</v>
      </c>
      <c r="J47" s="2" t="s">
        <v>77</v>
      </c>
      <c r="K47" s="2" t="s">
        <v>77</v>
      </c>
      <c r="L47" s="2" t="s">
        <v>250</v>
      </c>
      <c r="M47" s="2" t="s">
        <v>130</v>
      </c>
      <c r="N47" s="2" t="s">
        <v>251</v>
      </c>
      <c r="O47" s="2" t="s">
        <v>78</v>
      </c>
      <c r="P47" s="3" t="s">
        <v>283</v>
      </c>
      <c r="Q47" s="2" t="s">
        <v>253</v>
      </c>
      <c r="R47" s="2" t="s">
        <v>254</v>
      </c>
      <c r="S47" s="2" t="s">
        <v>81</v>
      </c>
      <c r="T47" s="13">
        <v>1.224</v>
      </c>
      <c r="U47" s="2" t="s">
        <v>188</v>
      </c>
      <c r="V47" s="8">
        <v>2.4E-2</v>
      </c>
      <c r="W47" s="8">
        <v>4.8910000000000002E-2</v>
      </c>
      <c r="X47" s="2" t="s">
        <v>256</v>
      </c>
      <c r="Y47" s="2" t="s">
        <v>78</v>
      </c>
      <c r="Z47" s="6">
        <v>7708333.5700000003</v>
      </c>
      <c r="AA47" s="13">
        <v>1</v>
      </c>
      <c r="AB47" s="6">
        <v>97.69</v>
      </c>
      <c r="AC47" s="6">
        <v>0</v>
      </c>
      <c r="AD47" s="6">
        <v>7530.2709999999997</v>
      </c>
      <c r="AG47" s="2" t="s">
        <v>23</v>
      </c>
      <c r="AH47" s="8">
        <v>3.5970000000000002E-2</v>
      </c>
      <c r="AI47" s="8">
        <v>2.2799999999999999E-3</v>
      </c>
      <c r="AJ47" s="8">
        <v>1.9000000000000001E-4</v>
      </c>
    </row>
    <row r="48" spans="1:36">
      <c r="A48" s="12">
        <v>1097</v>
      </c>
      <c r="B48" s="12">
        <v>1097</v>
      </c>
      <c r="C48" s="2" t="s">
        <v>427</v>
      </c>
      <c r="D48" s="3" t="s">
        <v>428</v>
      </c>
      <c r="E48" s="2" t="s">
        <v>245</v>
      </c>
      <c r="F48" s="2" t="s">
        <v>429</v>
      </c>
      <c r="G48" s="12" t="s">
        <v>430</v>
      </c>
      <c r="H48" s="2" t="s">
        <v>248</v>
      </c>
      <c r="I48" s="2" t="s">
        <v>261</v>
      </c>
      <c r="J48" s="2" t="s">
        <v>77</v>
      </c>
      <c r="K48" s="2" t="s">
        <v>77</v>
      </c>
      <c r="L48" s="2" t="s">
        <v>250</v>
      </c>
      <c r="M48" s="2" t="s">
        <v>130</v>
      </c>
      <c r="N48" s="2" t="s">
        <v>347</v>
      </c>
      <c r="O48" s="2" t="s">
        <v>78</v>
      </c>
      <c r="P48" s="3" t="s">
        <v>293</v>
      </c>
      <c r="Q48" s="2" t="s">
        <v>80</v>
      </c>
      <c r="R48" s="2" t="s">
        <v>254</v>
      </c>
      <c r="S48" s="2" t="s">
        <v>81</v>
      </c>
      <c r="T48" s="13">
        <v>4.6740000000000004</v>
      </c>
      <c r="U48" s="2" t="s">
        <v>431</v>
      </c>
      <c r="V48" s="8">
        <v>6.4999999999999997E-3</v>
      </c>
      <c r="W48" s="8">
        <v>2.8299999999999999E-2</v>
      </c>
      <c r="X48" s="2" t="s">
        <v>256</v>
      </c>
      <c r="Y48" s="2" t="s">
        <v>78</v>
      </c>
      <c r="Z48" s="6">
        <v>63968542.759999998</v>
      </c>
      <c r="AA48" s="13">
        <v>1</v>
      </c>
      <c r="AB48" s="6">
        <v>105.26</v>
      </c>
      <c r="AC48" s="6">
        <v>0</v>
      </c>
      <c r="AD48" s="6">
        <v>67333.288</v>
      </c>
      <c r="AG48" s="2" t="s">
        <v>23</v>
      </c>
      <c r="AH48" s="8">
        <v>2.8320000000000001E-2</v>
      </c>
      <c r="AI48" s="8">
        <v>2.034E-2</v>
      </c>
      <c r="AJ48" s="8">
        <v>1.67E-3</v>
      </c>
    </row>
    <row r="49" spans="1:36">
      <c r="A49" s="12">
        <v>1097</v>
      </c>
      <c r="B49" s="12">
        <v>1097</v>
      </c>
      <c r="C49" s="2" t="s">
        <v>427</v>
      </c>
      <c r="D49" s="3" t="s">
        <v>428</v>
      </c>
      <c r="E49" s="2" t="s">
        <v>245</v>
      </c>
      <c r="F49" s="2" t="s">
        <v>432</v>
      </c>
      <c r="G49" s="12" t="s">
        <v>433</v>
      </c>
      <c r="H49" s="2" t="s">
        <v>248</v>
      </c>
      <c r="I49" s="2" t="s">
        <v>249</v>
      </c>
      <c r="J49" s="2" t="s">
        <v>77</v>
      </c>
      <c r="K49" s="2" t="s">
        <v>77</v>
      </c>
      <c r="L49" s="2" t="s">
        <v>250</v>
      </c>
      <c r="M49" s="2" t="s">
        <v>130</v>
      </c>
      <c r="N49" s="2" t="s">
        <v>347</v>
      </c>
      <c r="O49" s="2" t="s">
        <v>78</v>
      </c>
      <c r="P49" s="3" t="s">
        <v>293</v>
      </c>
      <c r="Q49" s="2" t="s">
        <v>80</v>
      </c>
      <c r="R49" s="2" t="s">
        <v>254</v>
      </c>
      <c r="S49" s="2" t="s">
        <v>81</v>
      </c>
      <c r="T49" s="13">
        <v>2.3860000000000001</v>
      </c>
      <c r="U49" s="2" t="s">
        <v>434</v>
      </c>
      <c r="V49" s="8">
        <v>0.05</v>
      </c>
      <c r="W49" s="8">
        <v>4.6699999999999998E-2</v>
      </c>
      <c r="X49" s="2" t="s">
        <v>256</v>
      </c>
      <c r="Y49" s="2" t="s">
        <v>78</v>
      </c>
      <c r="Z49" s="6">
        <v>2625000</v>
      </c>
      <c r="AA49" s="13">
        <v>1</v>
      </c>
      <c r="AB49" s="6">
        <v>101.73</v>
      </c>
      <c r="AC49" s="6">
        <v>0</v>
      </c>
      <c r="AD49" s="6">
        <v>2670.413</v>
      </c>
      <c r="AG49" s="2" t="s">
        <v>23</v>
      </c>
      <c r="AH49" s="8">
        <v>7.4999999999999997E-3</v>
      </c>
      <c r="AI49" s="8">
        <v>8.0999999999999996E-4</v>
      </c>
      <c r="AJ49" s="8">
        <v>6.9999999999999994E-5</v>
      </c>
    </row>
    <row r="50" spans="1:36">
      <c r="A50" s="12">
        <v>1097</v>
      </c>
      <c r="B50" s="12">
        <v>1097</v>
      </c>
      <c r="C50" s="2" t="s">
        <v>427</v>
      </c>
      <c r="D50" s="3" t="s">
        <v>428</v>
      </c>
      <c r="E50" s="2" t="s">
        <v>245</v>
      </c>
      <c r="F50" s="2" t="s">
        <v>435</v>
      </c>
      <c r="G50" s="12" t="s">
        <v>436</v>
      </c>
      <c r="H50" s="2" t="s">
        <v>248</v>
      </c>
      <c r="I50" s="2" t="s">
        <v>261</v>
      </c>
      <c r="J50" s="2" t="s">
        <v>77</v>
      </c>
      <c r="K50" s="2" t="s">
        <v>77</v>
      </c>
      <c r="L50" s="2" t="s">
        <v>250</v>
      </c>
      <c r="M50" s="2" t="s">
        <v>130</v>
      </c>
      <c r="N50" s="2" t="s">
        <v>347</v>
      </c>
      <c r="O50" s="2" t="s">
        <v>78</v>
      </c>
      <c r="P50" s="3" t="s">
        <v>293</v>
      </c>
      <c r="Q50" s="2" t="s">
        <v>80</v>
      </c>
      <c r="R50" s="2" t="s">
        <v>254</v>
      </c>
      <c r="S50" s="2" t="s">
        <v>81</v>
      </c>
      <c r="T50" s="13">
        <v>2.0179999999999998</v>
      </c>
      <c r="U50" s="2" t="s">
        <v>437</v>
      </c>
      <c r="V50" s="8">
        <v>2.3400000000000001E-2</v>
      </c>
      <c r="W50" s="8">
        <v>2.8670000000000001E-2</v>
      </c>
      <c r="X50" s="2" t="s">
        <v>256</v>
      </c>
      <c r="Y50" s="2" t="s">
        <v>78</v>
      </c>
      <c r="Z50" s="6">
        <v>2424056.3199999998</v>
      </c>
      <c r="AA50" s="13">
        <v>1</v>
      </c>
      <c r="AB50" s="6">
        <v>116.49</v>
      </c>
      <c r="AC50" s="6">
        <v>0</v>
      </c>
      <c r="AD50" s="6">
        <v>2823.7829999999999</v>
      </c>
      <c r="AG50" s="2" t="s">
        <v>23</v>
      </c>
      <c r="AH50" s="8">
        <v>1.49E-3</v>
      </c>
      <c r="AI50" s="8">
        <v>8.4999999999999995E-4</v>
      </c>
      <c r="AJ50" s="8">
        <v>6.9999999999999994E-5</v>
      </c>
    </row>
    <row r="51" spans="1:36">
      <c r="A51" s="12">
        <v>1097</v>
      </c>
      <c r="B51" s="12">
        <v>1097</v>
      </c>
      <c r="C51" s="2" t="s">
        <v>427</v>
      </c>
      <c r="D51" s="3" t="s">
        <v>428</v>
      </c>
      <c r="E51" s="2" t="s">
        <v>245</v>
      </c>
      <c r="F51" s="2" t="s">
        <v>438</v>
      </c>
      <c r="G51" s="12" t="s">
        <v>430</v>
      </c>
      <c r="H51" s="2" t="s">
        <v>248</v>
      </c>
      <c r="I51" s="2" t="s">
        <v>261</v>
      </c>
      <c r="J51" s="2" t="s">
        <v>77</v>
      </c>
      <c r="K51" s="2" t="s">
        <v>77</v>
      </c>
      <c r="L51" s="2" t="s">
        <v>353</v>
      </c>
      <c r="M51" s="2" t="s">
        <v>130</v>
      </c>
      <c r="N51" s="2" t="s">
        <v>347</v>
      </c>
      <c r="O51" s="2" t="s">
        <v>78</v>
      </c>
      <c r="P51" s="3" t="s">
        <v>293</v>
      </c>
      <c r="Q51" s="2" t="s">
        <v>80</v>
      </c>
      <c r="R51" s="2" t="s">
        <v>254</v>
      </c>
      <c r="S51" s="2" t="s">
        <v>81</v>
      </c>
      <c r="T51" s="13">
        <v>4.6740000000000004</v>
      </c>
      <c r="U51" s="2" t="s">
        <v>431</v>
      </c>
      <c r="V51" s="8">
        <v>6.4999999999999997E-3</v>
      </c>
      <c r="W51" s="8">
        <v>2.8299999999999999E-2</v>
      </c>
      <c r="X51" s="2" t="s">
        <v>256</v>
      </c>
      <c r="Y51" s="2" t="s">
        <v>78</v>
      </c>
      <c r="Z51" s="6">
        <v>1387013</v>
      </c>
      <c r="AA51" s="13">
        <v>1</v>
      </c>
      <c r="AB51" s="6">
        <v>105.26</v>
      </c>
      <c r="AC51" s="6">
        <v>0</v>
      </c>
      <c r="AD51" s="6">
        <v>1459.97</v>
      </c>
      <c r="AG51" s="2" t="s">
        <v>23</v>
      </c>
      <c r="AH51" s="8">
        <v>6.0999999999999997E-4</v>
      </c>
      <c r="AI51" s="8">
        <v>4.4000000000000002E-4</v>
      </c>
      <c r="AJ51" s="8">
        <v>4.0000000000000003E-5</v>
      </c>
    </row>
    <row r="52" spans="1:36">
      <c r="A52" s="12">
        <v>1097</v>
      </c>
      <c r="B52" s="12">
        <v>1097</v>
      </c>
      <c r="C52" s="2" t="s">
        <v>427</v>
      </c>
      <c r="D52" s="3" t="s">
        <v>428</v>
      </c>
      <c r="E52" s="2" t="s">
        <v>245</v>
      </c>
      <c r="F52" s="2" t="s">
        <v>439</v>
      </c>
      <c r="G52" s="12" t="s">
        <v>440</v>
      </c>
      <c r="H52" s="2" t="s">
        <v>248</v>
      </c>
      <c r="I52" s="2" t="s">
        <v>261</v>
      </c>
      <c r="J52" s="2" t="s">
        <v>77</v>
      </c>
      <c r="K52" s="2" t="s">
        <v>77</v>
      </c>
      <c r="L52" s="2" t="s">
        <v>250</v>
      </c>
      <c r="M52" s="2" t="s">
        <v>130</v>
      </c>
      <c r="N52" s="2" t="s">
        <v>347</v>
      </c>
      <c r="O52" s="2" t="s">
        <v>78</v>
      </c>
      <c r="P52" s="3" t="s">
        <v>293</v>
      </c>
      <c r="Q52" s="2" t="s">
        <v>80</v>
      </c>
      <c r="R52" s="2" t="s">
        <v>254</v>
      </c>
      <c r="S52" s="2" t="s">
        <v>81</v>
      </c>
      <c r="T52" s="13">
        <v>7.2110000000000003</v>
      </c>
      <c r="U52" s="2" t="s">
        <v>441</v>
      </c>
      <c r="V52" s="8">
        <v>3.5999999999999997E-2</v>
      </c>
      <c r="W52" s="8">
        <v>3.0470000000000001E-2</v>
      </c>
      <c r="X52" s="2" t="s">
        <v>256</v>
      </c>
      <c r="Y52" s="2" t="s">
        <v>78</v>
      </c>
      <c r="Z52" s="6">
        <v>3298000</v>
      </c>
      <c r="AA52" s="13">
        <v>1</v>
      </c>
      <c r="AB52" s="6">
        <v>106.32</v>
      </c>
      <c r="AC52" s="6">
        <v>0</v>
      </c>
      <c r="AD52" s="6">
        <v>3506.4340000000002</v>
      </c>
      <c r="AG52" s="2" t="s">
        <v>23</v>
      </c>
      <c r="AH52" s="8">
        <v>4.5100000000000001E-3</v>
      </c>
      <c r="AI52" s="8">
        <v>1.06E-3</v>
      </c>
      <c r="AJ52" s="8">
        <v>9.0000000000000006E-5</v>
      </c>
    </row>
    <row r="53" spans="1:36">
      <c r="A53" s="12">
        <v>1097</v>
      </c>
      <c r="B53" s="12">
        <v>1097</v>
      </c>
      <c r="C53" s="2" t="s">
        <v>442</v>
      </c>
      <c r="D53" s="3" t="s">
        <v>443</v>
      </c>
      <c r="E53" s="2" t="s">
        <v>245</v>
      </c>
      <c r="F53" s="2" t="s">
        <v>444</v>
      </c>
      <c r="G53" s="12" t="s">
        <v>445</v>
      </c>
      <c r="H53" s="2" t="s">
        <v>248</v>
      </c>
      <c r="I53" s="2" t="s">
        <v>261</v>
      </c>
      <c r="J53" s="2" t="s">
        <v>77</v>
      </c>
      <c r="K53" s="2" t="s">
        <v>77</v>
      </c>
      <c r="L53" s="2" t="s">
        <v>250</v>
      </c>
      <c r="M53" s="2" t="s">
        <v>130</v>
      </c>
      <c r="N53" s="2" t="s">
        <v>347</v>
      </c>
      <c r="O53" s="2" t="s">
        <v>78</v>
      </c>
      <c r="P53" s="3" t="s">
        <v>374</v>
      </c>
      <c r="Q53" s="2" t="s">
        <v>80</v>
      </c>
      <c r="R53" s="2" t="s">
        <v>254</v>
      </c>
      <c r="S53" s="2" t="s">
        <v>81</v>
      </c>
      <c r="T53" s="13">
        <v>1.234</v>
      </c>
      <c r="U53" s="2" t="s">
        <v>446</v>
      </c>
      <c r="V53" s="8">
        <v>3.4599999999999999E-2</v>
      </c>
      <c r="W53" s="8">
        <v>3.1899999999999998E-2</v>
      </c>
      <c r="X53" s="2" t="s">
        <v>256</v>
      </c>
      <c r="Y53" s="2" t="s">
        <v>78</v>
      </c>
      <c r="Z53" s="6">
        <v>180000</v>
      </c>
      <c r="AA53" s="13">
        <v>1</v>
      </c>
      <c r="AB53" s="6">
        <v>118.48</v>
      </c>
      <c r="AC53" s="6">
        <v>3.68</v>
      </c>
      <c r="AD53" s="6">
        <v>216.941</v>
      </c>
      <c r="AG53" s="2" t="s">
        <v>23</v>
      </c>
      <c r="AH53" s="8">
        <v>7.2999999999999996E-4</v>
      </c>
      <c r="AI53" s="8">
        <v>6.9999999999999994E-5</v>
      </c>
      <c r="AJ53" s="8">
        <v>1.0000000000000001E-5</v>
      </c>
    </row>
    <row r="54" spans="1:36">
      <c r="A54" s="12">
        <v>1097</v>
      </c>
      <c r="B54" s="12">
        <v>1097</v>
      </c>
      <c r="C54" s="2" t="s">
        <v>442</v>
      </c>
      <c r="D54" s="3" t="s">
        <v>443</v>
      </c>
      <c r="E54" s="2" t="s">
        <v>245</v>
      </c>
      <c r="F54" s="2" t="s">
        <v>447</v>
      </c>
      <c r="G54" s="12" t="s">
        <v>448</v>
      </c>
      <c r="H54" s="2" t="s">
        <v>248</v>
      </c>
      <c r="I54" s="2" t="s">
        <v>261</v>
      </c>
      <c r="J54" s="2" t="s">
        <v>77</v>
      </c>
      <c r="K54" s="2" t="s">
        <v>77</v>
      </c>
      <c r="L54" s="2" t="s">
        <v>250</v>
      </c>
      <c r="M54" s="2" t="s">
        <v>130</v>
      </c>
      <c r="N54" s="2" t="s">
        <v>347</v>
      </c>
      <c r="O54" s="2" t="s">
        <v>78</v>
      </c>
      <c r="P54" s="3" t="s">
        <v>306</v>
      </c>
      <c r="Q54" s="2" t="s">
        <v>80</v>
      </c>
      <c r="R54" s="2" t="s">
        <v>254</v>
      </c>
      <c r="S54" s="2" t="s">
        <v>81</v>
      </c>
      <c r="T54" s="13">
        <v>2.9580000000000002</v>
      </c>
      <c r="U54" s="2" t="s">
        <v>449</v>
      </c>
      <c r="V54" s="8">
        <v>1.83E-2</v>
      </c>
      <c r="W54" s="8">
        <v>2.87E-2</v>
      </c>
      <c r="X54" s="2" t="s">
        <v>256</v>
      </c>
      <c r="Y54" s="2" t="s">
        <v>78</v>
      </c>
      <c r="Z54" s="6">
        <v>3763162.21</v>
      </c>
      <c r="AA54" s="13">
        <v>1</v>
      </c>
      <c r="AB54" s="6">
        <v>113.83</v>
      </c>
      <c r="AC54" s="6">
        <v>0</v>
      </c>
      <c r="AD54" s="6">
        <v>4283.6080000000002</v>
      </c>
      <c r="AG54" s="2" t="s">
        <v>23</v>
      </c>
      <c r="AH54" s="8">
        <v>1.4930000000000001E-2</v>
      </c>
      <c r="AI54" s="8">
        <v>1.2899999999999999E-3</v>
      </c>
      <c r="AJ54" s="8">
        <v>1.1E-4</v>
      </c>
    </row>
    <row r="55" spans="1:36">
      <c r="A55" s="12">
        <v>1097</v>
      </c>
      <c r="B55" s="12">
        <v>1097</v>
      </c>
      <c r="C55" s="2" t="s">
        <v>442</v>
      </c>
      <c r="D55" s="3" t="s">
        <v>443</v>
      </c>
      <c r="E55" s="2" t="s">
        <v>245</v>
      </c>
      <c r="F55" s="2" t="s">
        <v>450</v>
      </c>
      <c r="G55" s="12" t="s">
        <v>451</v>
      </c>
      <c r="H55" s="2" t="s">
        <v>248</v>
      </c>
      <c r="I55" s="2" t="s">
        <v>249</v>
      </c>
      <c r="J55" s="2" t="s">
        <v>77</v>
      </c>
      <c r="K55" s="2" t="s">
        <v>77</v>
      </c>
      <c r="L55" s="2" t="s">
        <v>250</v>
      </c>
      <c r="M55" s="2" t="s">
        <v>130</v>
      </c>
      <c r="N55" s="2" t="s">
        <v>347</v>
      </c>
      <c r="O55" s="2" t="s">
        <v>78</v>
      </c>
      <c r="P55" s="3" t="s">
        <v>374</v>
      </c>
      <c r="Q55" s="2" t="s">
        <v>80</v>
      </c>
      <c r="R55" s="2" t="s">
        <v>254</v>
      </c>
      <c r="S55" s="2" t="s">
        <v>81</v>
      </c>
      <c r="T55" s="13">
        <v>2.0910000000000002</v>
      </c>
      <c r="U55" s="2" t="s">
        <v>452</v>
      </c>
      <c r="V55" s="8">
        <v>5.2999999999999999E-2</v>
      </c>
      <c r="W55" s="8">
        <v>4.9950000000000001E-2</v>
      </c>
      <c r="X55" s="2" t="s">
        <v>256</v>
      </c>
      <c r="Y55" s="2" t="s">
        <v>78</v>
      </c>
      <c r="Z55" s="6">
        <v>2697976.08</v>
      </c>
      <c r="AA55" s="13">
        <v>1</v>
      </c>
      <c r="AB55" s="6">
        <v>102.04</v>
      </c>
      <c r="AC55" s="6">
        <v>0</v>
      </c>
      <c r="AD55" s="6">
        <v>2753.0149999999999</v>
      </c>
      <c r="AG55" s="2" t="s">
        <v>23</v>
      </c>
      <c r="AH55" s="8">
        <v>7.1300000000000001E-3</v>
      </c>
      <c r="AI55" s="8">
        <v>8.3000000000000001E-4</v>
      </c>
      <c r="AJ55" s="8">
        <v>6.9999999999999994E-5</v>
      </c>
    </row>
    <row r="56" spans="1:36">
      <c r="A56" s="12">
        <v>1097</v>
      </c>
      <c r="B56" s="12">
        <v>1097</v>
      </c>
      <c r="C56" s="2" t="s">
        <v>442</v>
      </c>
      <c r="D56" s="3" t="s">
        <v>443</v>
      </c>
      <c r="E56" s="2" t="s">
        <v>245</v>
      </c>
      <c r="F56" s="2" t="s">
        <v>453</v>
      </c>
      <c r="G56" s="12" t="s">
        <v>454</v>
      </c>
      <c r="H56" s="2" t="s">
        <v>248</v>
      </c>
      <c r="I56" s="2" t="s">
        <v>261</v>
      </c>
      <c r="J56" s="2" t="s">
        <v>77</v>
      </c>
      <c r="K56" s="2" t="s">
        <v>77</v>
      </c>
      <c r="L56" s="2" t="s">
        <v>250</v>
      </c>
      <c r="M56" s="2" t="s">
        <v>130</v>
      </c>
      <c r="N56" s="2" t="s">
        <v>347</v>
      </c>
      <c r="O56" s="2" t="s">
        <v>78</v>
      </c>
      <c r="P56" s="3" t="s">
        <v>306</v>
      </c>
      <c r="Q56" s="2" t="s">
        <v>80</v>
      </c>
      <c r="R56" s="2" t="s">
        <v>254</v>
      </c>
      <c r="S56" s="2" t="s">
        <v>81</v>
      </c>
      <c r="T56" s="13">
        <v>3.4239999999999999</v>
      </c>
      <c r="U56" s="2" t="s">
        <v>455</v>
      </c>
      <c r="V56" s="8">
        <v>1.5299999999999999E-2</v>
      </c>
      <c r="W56" s="8">
        <v>2.793E-2</v>
      </c>
      <c r="X56" s="2" t="s">
        <v>256</v>
      </c>
      <c r="Y56" s="2" t="s">
        <v>78</v>
      </c>
      <c r="Z56" s="6">
        <v>1967649.36</v>
      </c>
      <c r="AA56" s="13">
        <v>1</v>
      </c>
      <c r="AB56" s="6">
        <v>112.31</v>
      </c>
      <c r="AC56" s="6">
        <v>87.18</v>
      </c>
      <c r="AD56" s="6">
        <v>2297.0479999999998</v>
      </c>
      <c r="AG56" s="2" t="s">
        <v>23</v>
      </c>
      <c r="AH56" s="8">
        <v>3.82E-3</v>
      </c>
      <c r="AI56" s="8">
        <v>6.8999999999999997E-4</v>
      </c>
      <c r="AJ56" s="8">
        <v>6.0000000000000002E-5</v>
      </c>
    </row>
    <row r="57" spans="1:36">
      <c r="A57" s="12">
        <v>1097</v>
      </c>
      <c r="B57" s="12">
        <v>1097</v>
      </c>
      <c r="C57" s="2" t="s">
        <v>442</v>
      </c>
      <c r="D57" s="3" t="s">
        <v>443</v>
      </c>
      <c r="E57" s="2" t="s">
        <v>245</v>
      </c>
      <c r="F57" s="2" t="s">
        <v>456</v>
      </c>
      <c r="G57" s="12" t="s">
        <v>457</v>
      </c>
      <c r="H57" s="2" t="s">
        <v>248</v>
      </c>
      <c r="I57" s="2" t="s">
        <v>261</v>
      </c>
      <c r="J57" s="2" t="s">
        <v>77</v>
      </c>
      <c r="K57" s="2" t="s">
        <v>77</v>
      </c>
      <c r="L57" s="2" t="s">
        <v>250</v>
      </c>
      <c r="M57" s="2" t="s">
        <v>130</v>
      </c>
      <c r="N57" s="2" t="s">
        <v>347</v>
      </c>
      <c r="O57" s="2" t="s">
        <v>78</v>
      </c>
      <c r="P57" s="3" t="s">
        <v>374</v>
      </c>
      <c r="Q57" s="2" t="s">
        <v>80</v>
      </c>
      <c r="R57" s="2" t="s">
        <v>254</v>
      </c>
      <c r="S57" s="2" t="s">
        <v>81</v>
      </c>
      <c r="T57" s="13">
        <v>3.8620000000000001</v>
      </c>
      <c r="U57" s="2" t="s">
        <v>458</v>
      </c>
      <c r="V57" s="8">
        <v>8.9999999999999993E-3</v>
      </c>
      <c r="W57" s="8">
        <v>2.878E-2</v>
      </c>
      <c r="X57" s="2" t="s">
        <v>256</v>
      </c>
      <c r="Y57" s="2" t="s">
        <v>78</v>
      </c>
      <c r="Z57" s="6">
        <v>5499000</v>
      </c>
      <c r="AA57" s="13">
        <v>1</v>
      </c>
      <c r="AB57" s="6">
        <v>105.87</v>
      </c>
      <c r="AC57" s="6">
        <v>0</v>
      </c>
      <c r="AD57" s="6">
        <v>5821.7910000000002</v>
      </c>
      <c r="AG57" s="2" t="s">
        <v>23</v>
      </c>
      <c r="AH57" s="8">
        <v>1.325E-2</v>
      </c>
      <c r="AI57" s="8">
        <v>1.7600000000000001E-3</v>
      </c>
      <c r="AJ57" s="8">
        <v>1.3999999999999999E-4</v>
      </c>
    </row>
    <row r="58" spans="1:36">
      <c r="A58" s="12">
        <v>1097</v>
      </c>
      <c r="B58" s="12">
        <v>1097</v>
      </c>
      <c r="C58" s="2" t="s">
        <v>442</v>
      </c>
      <c r="D58" s="3" t="s">
        <v>443</v>
      </c>
      <c r="E58" s="2" t="s">
        <v>245</v>
      </c>
      <c r="F58" s="2" t="s">
        <v>459</v>
      </c>
      <c r="G58" s="12" t="s">
        <v>460</v>
      </c>
      <c r="H58" s="2" t="s">
        <v>248</v>
      </c>
      <c r="I58" s="2" t="s">
        <v>261</v>
      </c>
      <c r="J58" s="2" t="s">
        <v>77</v>
      </c>
      <c r="K58" s="2" t="s">
        <v>77</v>
      </c>
      <c r="L58" s="2" t="s">
        <v>250</v>
      </c>
      <c r="M58" s="2" t="s">
        <v>130</v>
      </c>
      <c r="N58" s="2" t="s">
        <v>347</v>
      </c>
      <c r="O58" s="2" t="s">
        <v>78</v>
      </c>
      <c r="P58" s="3" t="s">
        <v>374</v>
      </c>
      <c r="Q58" s="2" t="s">
        <v>80</v>
      </c>
      <c r="R58" s="2" t="s">
        <v>254</v>
      </c>
      <c r="S58" s="2" t="s">
        <v>81</v>
      </c>
      <c r="T58" s="13">
        <v>5.5659999999999998</v>
      </c>
      <c r="U58" s="2" t="s">
        <v>461</v>
      </c>
      <c r="V58" s="8">
        <v>3.6799999999999999E-2</v>
      </c>
      <c r="W58" s="8">
        <v>3.3180000000000001E-2</v>
      </c>
      <c r="X58" s="2" t="s">
        <v>256</v>
      </c>
      <c r="Y58" s="2" t="s">
        <v>78</v>
      </c>
      <c r="Z58" s="6">
        <v>1418000</v>
      </c>
      <c r="AA58" s="13">
        <v>1</v>
      </c>
      <c r="AB58" s="6">
        <v>107.29</v>
      </c>
      <c r="AC58" s="6">
        <v>0</v>
      </c>
      <c r="AD58" s="6">
        <v>1521.3720000000001</v>
      </c>
      <c r="AG58" s="2" t="s">
        <v>23</v>
      </c>
      <c r="AH58" s="8">
        <v>3.2000000000000002E-3</v>
      </c>
      <c r="AI58" s="8">
        <v>4.6000000000000001E-4</v>
      </c>
      <c r="AJ58" s="8">
        <v>4.0000000000000003E-5</v>
      </c>
    </row>
    <row r="59" spans="1:36">
      <c r="A59" s="12">
        <v>1097</v>
      </c>
      <c r="B59" s="12">
        <v>1097</v>
      </c>
      <c r="C59" s="2" t="s">
        <v>462</v>
      </c>
      <c r="D59" s="3" t="s">
        <v>463</v>
      </c>
      <c r="E59" s="2" t="s">
        <v>245</v>
      </c>
      <c r="F59" s="2" t="s">
        <v>464</v>
      </c>
      <c r="G59" s="12" t="s">
        <v>465</v>
      </c>
      <c r="H59" s="2" t="s">
        <v>248</v>
      </c>
      <c r="I59" s="2" t="s">
        <v>261</v>
      </c>
      <c r="J59" s="2" t="s">
        <v>77</v>
      </c>
      <c r="K59" s="2" t="s">
        <v>77</v>
      </c>
      <c r="L59" s="2" t="s">
        <v>250</v>
      </c>
      <c r="M59" s="2" t="s">
        <v>130</v>
      </c>
      <c r="N59" s="2" t="s">
        <v>251</v>
      </c>
      <c r="O59" s="2" t="s">
        <v>78</v>
      </c>
      <c r="P59" s="3" t="s">
        <v>374</v>
      </c>
      <c r="Q59" s="2" t="s">
        <v>80</v>
      </c>
      <c r="R59" s="2" t="s">
        <v>254</v>
      </c>
      <c r="S59" s="2" t="s">
        <v>81</v>
      </c>
      <c r="T59" s="13">
        <v>2.8119999999999998</v>
      </c>
      <c r="U59" s="2" t="s">
        <v>381</v>
      </c>
      <c r="V59" s="8">
        <v>7.4999999999999997E-3</v>
      </c>
      <c r="W59" s="8">
        <v>3.015E-2</v>
      </c>
      <c r="X59" s="2" t="s">
        <v>256</v>
      </c>
      <c r="Y59" s="2" t="s">
        <v>78</v>
      </c>
      <c r="Z59" s="6">
        <v>20684835.199999999</v>
      </c>
      <c r="AA59" s="13">
        <v>1</v>
      </c>
      <c r="AB59" s="6">
        <v>107.32</v>
      </c>
      <c r="AC59" s="6">
        <v>0</v>
      </c>
      <c r="AD59" s="6">
        <v>22198.965</v>
      </c>
      <c r="AG59" s="2" t="s">
        <v>23</v>
      </c>
      <c r="AH59" s="8">
        <v>1.453E-2</v>
      </c>
      <c r="AI59" s="8">
        <v>6.7099999999999998E-3</v>
      </c>
      <c r="AJ59" s="8">
        <v>5.5000000000000003E-4</v>
      </c>
    </row>
    <row r="60" spans="1:36">
      <c r="A60" s="12">
        <v>1097</v>
      </c>
      <c r="B60" s="12">
        <v>1097</v>
      </c>
      <c r="C60" s="2" t="s">
        <v>462</v>
      </c>
      <c r="D60" s="3" t="s">
        <v>463</v>
      </c>
      <c r="E60" s="2" t="s">
        <v>245</v>
      </c>
      <c r="F60" s="2" t="s">
        <v>466</v>
      </c>
      <c r="G60" s="12" t="s">
        <v>467</v>
      </c>
      <c r="H60" s="2" t="s">
        <v>248</v>
      </c>
      <c r="I60" s="2" t="s">
        <v>261</v>
      </c>
      <c r="J60" s="2" t="s">
        <v>77</v>
      </c>
      <c r="K60" s="2" t="s">
        <v>77</v>
      </c>
      <c r="L60" s="2" t="s">
        <v>250</v>
      </c>
      <c r="M60" s="2" t="s">
        <v>130</v>
      </c>
      <c r="N60" s="2" t="s">
        <v>251</v>
      </c>
      <c r="O60" s="2" t="s">
        <v>78</v>
      </c>
      <c r="P60" s="3" t="s">
        <v>374</v>
      </c>
      <c r="Q60" s="2" t="s">
        <v>80</v>
      </c>
      <c r="R60" s="2" t="s">
        <v>254</v>
      </c>
      <c r="S60" s="2" t="s">
        <v>81</v>
      </c>
      <c r="T60" s="13">
        <v>0.36399999999999999</v>
      </c>
      <c r="U60" s="2" t="s">
        <v>468</v>
      </c>
      <c r="V60" s="8">
        <v>2.4E-2</v>
      </c>
      <c r="W60" s="8">
        <v>2.6939999999999999E-2</v>
      </c>
      <c r="X60" s="2" t="s">
        <v>256</v>
      </c>
      <c r="Y60" s="2" t="s">
        <v>78</v>
      </c>
      <c r="Z60" s="6">
        <v>151668.67000000001</v>
      </c>
      <c r="AA60" s="13">
        <v>1</v>
      </c>
      <c r="AB60" s="6">
        <v>117.52</v>
      </c>
      <c r="AC60" s="6">
        <v>0</v>
      </c>
      <c r="AD60" s="6">
        <v>178.24100000000001</v>
      </c>
      <c r="AG60" s="2" t="s">
        <v>23</v>
      </c>
      <c r="AH60" s="8">
        <v>4.5199999999999997E-3</v>
      </c>
      <c r="AI60" s="8">
        <v>5.0000000000000002E-5</v>
      </c>
      <c r="AJ60" s="8">
        <v>0</v>
      </c>
    </row>
    <row r="61" spans="1:36">
      <c r="A61" s="12">
        <v>1097</v>
      </c>
      <c r="B61" s="12">
        <v>1097</v>
      </c>
      <c r="C61" s="2" t="s">
        <v>462</v>
      </c>
      <c r="D61" s="3" t="s">
        <v>463</v>
      </c>
      <c r="E61" s="2" t="s">
        <v>245</v>
      </c>
      <c r="F61" s="2" t="s">
        <v>469</v>
      </c>
      <c r="G61" s="12" t="s">
        <v>470</v>
      </c>
      <c r="H61" s="2" t="s">
        <v>248</v>
      </c>
      <c r="I61" s="2" t="s">
        <v>249</v>
      </c>
      <c r="J61" s="2" t="s">
        <v>77</v>
      </c>
      <c r="K61" s="2" t="s">
        <v>77</v>
      </c>
      <c r="L61" s="2" t="s">
        <v>250</v>
      </c>
      <c r="M61" s="2" t="s">
        <v>130</v>
      </c>
      <c r="N61" s="2" t="s">
        <v>251</v>
      </c>
      <c r="O61" s="2" t="s">
        <v>78</v>
      </c>
      <c r="P61" s="3" t="s">
        <v>374</v>
      </c>
      <c r="Q61" s="2" t="s">
        <v>80</v>
      </c>
      <c r="R61" s="2" t="s">
        <v>254</v>
      </c>
      <c r="S61" s="2" t="s">
        <v>81</v>
      </c>
      <c r="T61" s="13">
        <v>1.677</v>
      </c>
      <c r="U61" s="2" t="s">
        <v>471</v>
      </c>
      <c r="V61" s="8">
        <v>4.2999999999999997E-2</v>
      </c>
      <c r="W61" s="8">
        <v>5.1150000000000001E-2</v>
      </c>
      <c r="X61" s="2" t="s">
        <v>256</v>
      </c>
      <c r="Y61" s="2" t="s">
        <v>78</v>
      </c>
      <c r="Z61" s="6">
        <v>5985477.0999999996</v>
      </c>
      <c r="AA61" s="13">
        <v>1</v>
      </c>
      <c r="AB61" s="6">
        <v>100.71</v>
      </c>
      <c r="AC61" s="6">
        <v>0</v>
      </c>
      <c r="AD61" s="6">
        <v>6027.9740000000002</v>
      </c>
      <c r="AG61" s="2" t="s">
        <v>23</v>
      </c>
      <c r="AH61" s="8">
        <v>7.4099999999999999E-3</v>
      </c>
      <c r="AI61" s="8">
        <v>1.82E-3</v>
      </c>
      <c r="AJ61" s="8">
        <v>1.4999999999999999E-4</v>
      </c>
    </row>
    <row r="62" spans="1:36">
      <c r="A62" s="12">
        <v>1097</v>
      </c>
      <c r="B62" s="12">
        <v>1097</v>
      </c>
      <c r="C62" s="2" t="s">
        <v>472</v>
      </c>
      <c r="D62" s="3" t="s">
        <v>473</v>
      </c>
      <c r="E62" s="2" t="s">
        <v>245</v>
      </c>
      <c r="F62" s="2" t="s">
        <v>474</v>
      </c>
      <c r="G62" s="12" t="s">
        <v>475</v>
      </c>
      <c r="H62" s="2" t="s">
        <v>248</v>
      </c>
      <c r="I62" s="2" t="s">
        <v>249</v>
      </c>
      <c r="J62" s="2" t="s">
        <v>77</v>
      </c>
      <c r="K62" s="2" t="s">
        <v>77</v>
      </c>
      <c r="L62" s="2" t="s">
        <v>250</v>
      </c>
      <c r="M62" s="2" t="s">
        <v>130</v>
      </c>
      <c r="N62" s="2" t="s">
        <v>373</v>
      </c>
      <c r="O62" s="2" t="s">
        <v>78</v>
      </c>
      <c r="P62" s="3" t="s">
        <v>306</v>
      </c>
      <c r="Q62" s="2" t="s">
        <v>80</v>
      </c>
      <c r="R62" s="2" t="s">
        <v>254</v>
      </c>
      <c r="S62" s="2" t="s">
        <v>81</v>
      </c>
      <c r="T62" s="13">
        <v>2.5910000000000002</v>
      </c>
      <c r="U62" s="2" t="s">
        <v>476</v>
      </c>
      <c r="V62" s="8">
        <v>0.05</v>
      </c>
      <c r="W62" s="8">
        <v>5.169E-2</v>
      </c>
      <c r="X62" s="2" t="s">
        <v>256</v>
      </c>
      <c r="Y62" s="2" t="s">
        <v>78</v>
      </c>
      <c r="Z62" s="6">
        <v>1850000</v>
      </c>
      <c r="AA62" s="13">
        <v>1</v>
      </c>
      <c r="AB62" s="6">
        <v>101.04</v>
      </c>
      <c r="AC62" s="6">
        <v>0</v>
      </c>
      <c r="AD62" s="6">
        <v>1869.24</v>
      </c>
      <c r="AG62" s="2" t="s">
        <v>23</v>
      </c>
      <c r="AH62" s="8">
        <v>1.8400000000000001E-3</v>
      </c>
      <c r="AI62" s="8">
        <v>5.5999999999999995E-4</v>
      </c>
      <c r="AJ62" s="8">
        <v>5.0000000000000002E-5</v>
      </c>
    </row>
    <row r="63" spans="1:36">
      <c r="A63" s="12">
        <v>1097</v>
      </c>
      <c r="B63" s="12">
        <v>1097</v>
      </c>
      <c r="C63" s="2" t="s">
        <v>477</v>
      </c>
      <c r="D63" s="3" t="s">
        <v>478</v>
      </c>
      <c r="E63" s="2" t="s">
        <v>245</v>
      </c>
      <c r="F63" s="2" t="s">
        <v>479</v>
      </c>
      <c r="G63" s="12" t="s">
        <v>480</v>
      </c>
      <c r="H63" s="2" t="s">
        <v>248</v>
      </c>
      <c r="I63" s="2" t="s">
        <v>249</v>
      </c>
      <c r="J63" s="2" t="s">
        <v>77</v>
      </c>
      <c r="K63" s="2" t="s">
        <v>77</v>
      </c>
      <c r="L63" s="2" t="s">
        <v>250</v>
      </c>
      <c r="M63" s="2" t="s">
        <v>130</v>
      </c>
      <c r="N63" s="2" t="s">
        <v>481</v>
      </c>
      <c r="O63" s="2" t="s">
        <v>78</v>
      </c>
      <c r="P63" s="3" t="s">
        <v>293</v>
      </c>
      <c r="Q63" s="2" t="s">
        <v>80</v>
      </c>
      <c r="R63" s="2" t="s">
        <v>254</v>
      </c>
      <c r="S63" s="2" t="s">
        <v>81</v>
      </c>
      <c r="T63" s="13">
        <v>2.754</v>
      </c>
      <c r="U63" s="2" t="s">
        <v>482</v>
      </c>
      <c r="V63" s="8">
        <v>3.2000000000000001E-2</v>
      </c>
      <c r="W63" s="8">
        <v>4.3720000000000002E-2</v>
      </c>
      <c r="X63" s="2" t="s">
        <v>256</v>
      </c>
      <c r="Y63" s="2" t="s">
        <v>78</v>
      </c>
      <c r="Z63" s="6">
        <v>2008080</v>
      </c>
      <c r="AA63" s="13">
        <v>1</v>
      </c>
      <c r="AB63" s="6">
        <v>97.24</v>
      </c>
      <c r="AC63" s="6">
        <v>0</v>
      </c>
      <c r="AD63" s="6">
        <v>1952.6569999999999</v>
      </c>
      <c r="AG63" s="2" t="s">
        <v>23</v>
      </c>
      <c r="AH63" s="8">
        <v>1.4300000000000001E-3</v>
      </c>
      <c r="AI63" s="8">
        <v>5.9000000000000003E-4</v>
      </c>
      <c r="AJ63" s="8">
        <v>5.0000000000000002E-5</v>
      </c>
    </row>
    <row r="64" spans="1:36">
      <c r="A64" s="12">
        <v>1097</v>
      </c>
      <c r="B64" s="12">
        <v>1097</v>
      </c>
      <c r="C64" s="2" t="s">
        <v>477</v>
      </c>
      <c r="D64" s="3" t="s">
        <v>478</v>
      </c>
      <c r="E64" s="2" t="s">
        <v>245</v>
      </c>
      <c r="F64" s="2" t="s">
        <v>483</v>
      </c>
      <c r="G64" s="12" t="s">
        <v>484</v>
      </c>
      <c r="H64" s="2" t="s">
        <v>248</v>
      </c>
      <c r="I64" s="2" t="s">
        <v>261</v>
      </c>
      <c r="J64" s="2" t="s">
        <v>77</v>
      </c>
      <c r="K64" s="2" t="s">
        <v>77</v>
      </c>
      <c r="L64" s="2" t="s">
        <v>250</v>
      </c>
      <c r="M64" s="2" t="s">
        <v>130</v>
      </c>
      <c r="N64" s="2" t="s">
        <v>481</v>
      </c>
      <c r="O64" s="2" t="s">
        <v>78</v>
      </c>
      <c r="P64" s="3" t="s">
        <v>293</v>
      </c>
      <c r="Q64" s="2" t="s">
        <v>80</v>
      </c>
      <c r="R64" s="2" t="s">
        <v>254</v>
      </c>
      <c r="S64" s="2" t="s">
        <v>81</v>
      </c>
      <c r="T64" s="13">
        <v>2.8260000000000001</v>
      </c>
      <c r="U64" s="2" t="s">
        <v>482</v>
      </c>
      <c r="V64" s="8">
        <v>1.7000000000000001E-2</v>
      </c>
      <c r="W64" s="8">
        <v>2.53E-2</v>
      </c>
      <c r="X64" s="2" t="s">
        <v>256</v>
      </c>
      <c r="Y64" s="2" t="s">
        <v>78</v>
      </c>
      <c r="Z64" s="6">
        <v>14189815</v>
      </c>
      <c r="AA64" s="13">
        <v>1</v>
      </c>
      <c r="AB64" s="6">
        <v>112.86</v>
      </c>
      <c r="AC64" s="6">
        <v>0</v>
      </c>
      <c r="AD64" s="6">
        <v>16014.625</v>
      </c>
      <c r="AG64" s="2" t="s">
        <v>23</v>
      </c>
      <c r="AH64" s="8">
        <v>1.1180000000000001E-2</v>
      </c>
      <c r="AI64" s="8">
        <v>4.8399999999999997E-3</v>
      </c>
      <c r="AJ64" s="8">
        <v>4.0000000000000002E-4</v>
      </c>
    </row>
    <row r="65" spans="1:36">
      <c r="A65" s="12">
        <v>1097</v>
      </c>
      <c r="B65" s="12">
        <v>1097</v>
      </c>
      <c r="C65" s="2" t="s">
        <v>477</v>
      </c>
      <c r="D65" s="3" t="s">
        <v>478</v>
      </c>
      <c r="E65" s="2" t="s">
        <v>245</v>
      </c>
      <c r="F65" s="2" t="s">
        <v>485</v>
      </c>
      <c r="G65" s="12" t="s">
        <v>486</v>
      </c>
      <c r="H65" s="2" t="s">
        <v>248</v>
      </c>
      <c r="I65" s="2" t="s">
        <v>261</v>
      </c>
      <c r="J65" s="2" t="s">
        <v>77</v>
      </c>
      <c r="K65" s="2" t="s">
        <v>77</v>
      </c>
      <c r="L65" s="2" t="s">
        <v>250</v>
      </c>
      <c r="M65" s="2" t="s">
        <v>130</v>
      </c>
      <c r="N65" s="2" t="s">
        <v>481</v>
      </c>
      <c r="O65" s="2" t="s">
        <v>78</v>
      </c>
      <c r="P65" s="3" t="s">
        <v>293</v>
      </c>
      <c r="Q65" s="2" t="s">
        <v>80</v>
      </c>
      <c r="R65" s="2" t="s">
        <v>254</v>
      </c>
      <c r="S65" s="2" t="s">
        <v>81</v>
      </c>
      <c r="T65" s="13">
        <v>0.42199999999999999</v>
      </c>
      <c r="U65" s="2" t="s">
        <v>487</v>
      </c>
      <c r="V65" s="8">
        <v>2.1999999999999999E-2</v>
      </c>
      <c r="W65" s="8">
        <v>1.9230000000000001E-2</v>
      </c>
      <c r="X65" s="2" t="s">
        <v>256</v>
      </c>
      <c r="Y65" s="2" t="s">
        <v>78</v>
      </c>
      <c r="Z65" s="6">
        <v>502018.8</v>
      </c>
      <c r="AA65" s="13">
        <v>1</v>
      </c>
      <c r="AB65" s="6">
        <v>117.6</v>
      </c>
      <c r="AC65" s="6">
        <v>0</v>
      </c>
      <c r="AD65" s="6">
        <v>590.37400000000002</v>
      </c>
      <c r="AG65" s="2" t="s">
        <v>23</v>
      </c>
      <c r="AH65" s="8">
        <v>1.9E-3</v>
      </c>
      <c r="AI65" s="8">
        <v>1.8000000000000001E-4</v>
      </c>
      <c r="AJ65" s="8">
        <v>1.0000000000000001E-5</v>
      </c>
    </row>
    <row r="66" spans="1:36">
      <c r="A66" s="12">
        <v>1097</v>
      </c>
      <c r="B66" s="12">
        <v>1097</v>
      </c>
      <c r="C66" s="2" t="s">
        <v>477</v>
      </c>
      <c r="D66" s="3" t="s">
        <v>478</v>
      </c>
      <c r="E66" s="2" t="s">
        <v>245</v>
      </c>
      <c r="F66" s="2" t="s">
        <v>488</v>
      </c>
      <c r="G66" s="12" t="s">
        <v>489</v>
      </c>
      <c r="H66" s="2" t="s">
        <v>248</v>
      </c>
      <c r="I66" s="2" t="s">
        <v>261</v>
      </c>
      <c r="J66" s="2" t="s">
        <v>77</v>
      </c>
      <c r="K66" s="2" t="s">
        <v>77</v>
      </c>
      <c r="L66" s="2" t="s">
        <v>250</v>
      </c>
      <c r="M66" s="2" t="s">
        <v>130</v>
      </c>
      <c r="N66" s="2" t="s">
        <v>481</v>
      </c>
      <c r="O66" s="2" t="s">
        <v>78</v>
      </c>
      <c r="P66" s="3" t="s">
        <v>293</v>
      </c>
      <c r="Q66" s="2" t="s">
        <v>80</v>
      </c>
      <c r="R66" s="2" t="s">
        <v>254</v>
      </c>
      <c r="S66" s="2" t="s">
        <v>81</v>
      </c>
      <c r="T66" s="13">
        <v>7.6840000000000002</v>
      </c>
      <c r="U66" s="2" t="s">
        <v>490</v>
      </c>
      <c r="V66" s="8">
        <v>5.7999999999999996E-3</v>
      </c>
      <c r="W66" s="8">
        <v>2.7640000000000001E-2</v>
      </c>
      <c r="X66" s="2" t="s">
        <v>256</v>
      </c>
      <c r="Y66" s="2" t="s">
        <v>78</v>
      </c>
      <c r="Z66" s="6">
        <v>5066000</v>
      </c>
      <c r="AA66" s="13">
        <v>1</v>
      </c>
      <c r="AB66" s="6">
        <v>96.89</v>
      </c>
      <c r="AC66" s="6">
        <v>0</v>
      </c>
      <c r="AD66" s="6">
        <v>4908.4470000000001</v>
      </c>
      <c r="AG66" s="2" t="s">
        <v>23</v>
      </c>
      <c r="AH66" s="8">
        <v>8.3099999999999997E-3</v>
      </c>
      <c r="AI66" s="8">
        <v>1.48E-3</v>
      </c>
      <c r="AJ66" s="8">
        <v>1.2E-4</v>
      </c>
    </row>
    <row r="67" spans="1:36">
      <c r="A67" s="12">
        <v>1097</v>
      </c>
      <c r="B67" s="12">
        <v>1097</v>
      </c>
      <c r="C67" s="2" t="s">
        <v>491</v>
      </c>
      <c r="D67" s="3" t="s">
        <v>492</v>
      </c>
      <c r="E67" s="2" t="s">
        <v>245</v>
      </c>
      <c r="F67" s="2" t="s">
        <v>493</v>
      </c>
      <c r="G67" s="12" t="s">
        <v>494</v>
      </c>
      <c r="H67" s="2" t="s">
        <v>248</v>
      </c>
      <c r="I67" s="2" t="s">
        <v>249</v>
      </c>
      <c r="J67" s="2" t="s">
        <v>77</v>
      </c>
      <c r="K67" s="2" t="s">
        <v>77</v>
      </c>
      <c r="L67" s="2" t="s">
        <v>250</v>
      </c>
      <c r="M67" s="2" t="s">
        <v>130</v>
      </c>
      <c r="N67" s="2" t="s">
        <v>481</v>
      </c>
      <c r="O67" s="2" t="s">
        <v>78</v>
      </c>
      <c r="P67" s="3" t="s">
        <v>252</v>
      </c>
      <c r="Q67" s="2" t="s">
        <v>253</v>
      </c>
      <c r="R67" s="2" t="s">
        <v>254</v>
      </c>
      <c r="S67" s="2" t="s">
        <v>81</v>
      </c>
      <c r="T67" s="13">
        <v>3.976</v>
      </c>
      <c r="U67" s="2" t="s">
        <v>495</v>
      </c>
      <c r="V67" s="8">
        <v>5.5E-2</v>
      </c>
      <c r="W67" s="8">
        <v>4.6489999999999997E-2</v>
      </c>
      <c r="X67" s="2" t="s">
        <v>256</v>
      </c>
      <c r="Y67" s="2" t="s">
        <v>78</v>
      </c>
      <c r="Z67" s="6">
        <v>1373600</v>
      </c>
      <c r="AA67" s="13">
        <v>1</v>
      </c>
      <c r="AB67" s="6">
        <v>104.02</v>
      </c>
      <c r="AC67" s="6">
        <v>0</v>
      </c>
      <c r="AD67" s="6">
        <v>1428.819</v>
      </c>
      <c r="AG67" s="2" t="s">
        <v>23</v>
      </c>
      <c r="AH67" s="8">
        <v>1.3600000000000001E-3</v>
      </c>
      <c r="AI67" s="8">
        <v>4.2999999999999999E-4</v>
      </c>
      <c r="AJ67" s="8">
        <v>4.0000000000000003E-5</v>
      </c>
    </row>
    <row r="68" spans="1:36">
      <c r="A68" s="12">
        <v>1097</v>
      </c>
      <c r="B68" s="12">
        <v>1097</v>
      </c>
      <c r="C68" s="2" t="s">
        <v>496</v>
      </c>
      <c r="D68" s="3" t="s">
        <v>497</v>
      </c>
      <c r="E68" s="2" t="s">
        <v>245</v>
      </c>
      <c r="F68" s="2" t="s">
        <v>498</v>
      </c>
      <c r="G68" s="12" t="s">
        <v>499</v>
      </c>
      <c r="H68" s="2" t="s">
        <v>248</v>
      </c>
      <c r="I68" s="2" t="s">
        <v>261</v>
      </c>
      <c r="J68" s="2" t="s">
        <v>77</v>
      </c>
      <c r="K68" s="2" t="s">
        <v>77</v>
      </c>
      <c r="L68" s="2" t="s">
        <v>250</v>
      </c>
      <c r="M68" s="2" t="s">
        <v>130</v>
      </c>
      <c r="N68" s="2" t="s">
        <v>347</v>
      </c>
      <c r="O68" s="2" t="s">
        <v>78</v>
      </c>
      <c r="P68" s="3" t="s">
        <v>277</v>
      </c>
      <c r="Q68" s="2" t="s">
        <v>80</v>
      </c>
      <c r="R68" s="2" t="s">
        <v>254</v>
      </c>
      <c r="S68" s="2" t="s">
        <v>81</v>
      </c>
      <c r="T68" s="13">
        <v>4.9329999999999998</v>
      </c>
      <c r="U68" s="2" t="s">
        <v>500</v>
      </c>
      <c r="V68" s="8">
        <v>1.8700000000000001E-2</v>
      </c>
      <c r="W68" s="8">
        <v>2.9680000000000002E-2</v>
      </c>
      <c r="X68" s="2" t="s">
        <v>256</v>
      </c>
      <c r="Y68" s="2" t="s">
        <v>78</v>
      </c>
      <c r="Z68" s="6">
        <v>3668733.14</v>
      </c>
      <c r="AA68" s="13">
        <v>1</v>
      </c>
      <c r="AB68" s="6">
        <v>106.87</v>
      </c>
      <c r="AC68" s="6">
        <v>0</v>
      </c>
      <c r="AD68" s="6">
        <v>3920.7750000000001</v>
      </c>
      <c r="AG68" s="2" t="s">
        <v>23</v>
      </c>
      <c r="AH68" s="8">
        <v>3.7599999999999999E-3</v>
      </c>
      <c r="AI68" s="8">
        <v>1.1800000000000001E-3</v>
      </c>
      <c r="AJ68" s="8">
        <v>1E-4</v>
      </c>
    </row>
    <row r="69" spans="1:36">
      <c r="A69" s="12">
        <v>1097</v>
      </c>
      <c r="B69" s="12">
        <v>1097</v>
      </c>
      <c r="C69" s="2" t="s">
        <v>496</v>
      </c>
      <c r="D69" s="3" t="s">
        <v>497</v>
      </c>
      <c r="E69" s="2" t="s">
        <v>245</v>
      </c>
      <c r="F69" s="2" t="s">
        <v>501</v>
      </c>
      <c r="G69" s="12" t="s">
        <v>499</v>
      </c>
      <c r="H69" s="2" t="s">
        <v>248</v>
      </c>
      <c r="I69" s="2" t="s">
        <v>261</v>
      </c>
      <c r="J69" s="2" t="s">
        <v>77</v>
      </c>
      <c r="K69" s="2" t="s">
        <v>77</v>
      </c>
      <c r="L69" s="2" t="s">
        <v>353</v>
      </c>
      <c r="M69" s="2" t="s">
        <v>130</v>
      </c>
      <c r="N69" s="2" t="s">
        <v>347</v>
      </c>
      <c r="O69" s="2" t="s">
        <v>78</v>
      </c>
      <c r="P69" s="3" t="s">
        <v>277</v>
      </c>
      <c r="Q69" s="2" t="s">
        <v>80</v>
      </c>
      <c r="R69" s="2" t="s">
        <v>254</v>
      </c>
      <c r="S69" s="2" t="s">
        <v>81</v>
      </c>
      <c r="T69" s="13">
        <v>4.9329999999999998</v>
      </c>
      <c r="U69" s="2" t="s">
        <v>500</v>
      </c>
      <c r="V69" s="8">
        <v>1.8700000000000001E-2</v>
      </c>
      <c r="W69" s="8">
        <v>2.9680000000000002E-2</v>
      </c>
      <c r="X69" s="2" t="s">
        <v>256</v>
      </c>
      <c r="Y69" s="2" t="s">
        <v>78</v>
      </c>
      <c r="Z69" s="6">
        <v>531267</v>
      </c>
      <c r="AA69" s="13">
        <v>1</v>
      </c>
      <c r="AB69" s="6">
        <v>106.87</v>
      </c>
      <c r="AC69" s="6">
        <v>0</v>
      </c>
      <c r="AD69" s="6">
        <v>567.76499999999999</v>
      </c>
      <c r="AG69" s="2" t="s">
        <v>23</v>
      </c>
      <c r="AH69" s="8">
        <v>5.4000000000000001E-4</v>
      </c>
      <c r="AI69" s="8">
        <v>1.7000000000000001E-4</v>
      </c>
      <c r="AJ69" s="8">
        <v>1.0000000000000001E-5</v>
      </c>
    </row>
    <row r="70" spans="1:36">
      <c r="A70" s="12">
        <v>1097</v>
      </c>
      <c r="B70" s="12">
        <v>1097</v>
      </c>
      <c r="C70" s="2" t="s">
        <v>496</v>
      </c>
      <c r="D70" s="3" t="s">
        <v>497</v>
      </c>
      <c r="E70" s="2" t="s">
        <v>245</v>
      </c>
      <c r="F70" s="2" t="s">
        <v>502</v>
      </c>
      <c r="G70" s="12" t="s">
        <v>503</v>
      </c>
      <c r="H70" s="2" t="s">
        <v>248</v>
      </c>
      <c r="I70" s="2" t="s">
        <v>261</v>
      </c>
      <c r="J70" s="2" t="s">
        <v>77</v>
      </c>
      <c r="K70" s="2" t="s">
        <v>77</v>
      </c>
      <c r="L70" s="2" t="s">
        <v>250</v>
      </c>
      <c r="M70" s="2" t="s">
        <v>130</v>
      </c>
      <c r="N70" s="2" t="s">
        <v>347</v>
      </c>
      <c r="O70" s="2" t="s">
        <v>78</v>
      </c>
      <c r="P70" s="3" t="s">
        <v>287</v>
      </c>
      <c r="Q70" s="2" t="s">
        <v>253</v>
      </c>
      <c r="R70" s="2" t="s">
        <v>254</v>
      </c>
      <c r="S70" s="2" t="s">
        <v>81</v>
      </c>
      <c r="T70" s="13">
        <v>3.7530000000000001</v>
      </c>
      <c r="U70" s="2" t="s">
        <v>504</v>
      </c>
      <c r="V70" s="8">
        <v>1.17E-2</v>
      </c>
      <c r="W70" s="8">
        <v>2.809E-2</v>
      </c>
      <c r="X70" s="2" t="s">
        <v>256</v>
      </c>
      <c r="Y70" s="2" t="s">
        <v>78</v>
      </c>
      <c r="Z70" s="6">
        <v>5330019.26</v>
      </c>
      <c r="AA70" s="13">
        <v>1</v>
      </c>
      <c r="AB70" s="6">
        <v>110.06</v>
      </c>
      <c r="AC70" s="6">
        <v>0</v>
      </c>
      <c r="AD70" s="6">
        <v>5866.2190000000001</v>
      </c>
      <c r="AG70" s="2" t="s">
        <v>23</v>
      </c>
      <c r="AH70" s="8">
        <v>7.7400000000000004E-3</v>
      </c>
      <c r="AI70" s="8">
        <v>1.7700000000000001E-3</v>
      </c>
      <c r="AJ70" s="8">
        <v>1.4999999999999999E-4</v>
      </c>
    </row>
    <row r="71" spans="1:36">
      <c r="A71" s="12">
        <v>1097</v>
      </c>
      <c r="B71" s="12">
        <v>1097</v>
      </c>
      <c r="C71" s="2" t="s">
        <v>496</v>
      </c>
      <c r="D71" s="3" t="s">
        <v>497</v>
      </c>
      <c r="E71" s="2" t="s">
        <v>245</v>
      </c>
      <c r="F71" s="2" t="s">
        <v>505</v>
      </c>
      <c r="G71" s="12" t="s">
        <v>506</v>
      </c>
      <c r="H71" s="2" t="s">
        <v>248</v>
      </c>
      <c r="I71" s="2" t="s">
        <v>261</v>
      </c>
      <c r="J71" s="2" t="s">
        <v>77</v>
      </c>
      <c r="K71" s="2" t="s">
        <v>77</v>
      </c>
      <c r="L71" s="2" t="s">
        <v>250</v>
      </c>
      <c r="M71" s="2" t="s">
        <v>130</v>
      </c>
      <c r="N71" s="2" t="s">
        <v>347</v>
      </c>
      <c r="O71" s="2" t="s">
        <v>78</v>
      </c>
      <c r="P71" s="3" t="s">
        <v>293</v>
      </c>
      <c r="Q71" s="2" t="s">
        <v>80</v>
      </c>
      <c r="R71" s="2" t="s">
        <v>254</v>
      </c>
      <c r="S71" s="2" t="s">
        <v>81</v>
      </c>
      <c r="T71" s="13">
        <v>2.9430000000000001</v>
      </c>
      <c r="U71" s="2" t="s">
        <v>507</v>
      </c>
      <c r="V71" s="8">
        <v>7.7999999999999996E-3</v>
      </c>
      <c r="W71" s="8">
        <v>2.606E-2</v>
      </c>
      <c r="X71" s="2" t="s">
        <v>256</v>
      </c>
      <c r="Y71" s="2" t="s">
        <v>78</v>
      </c>
      <c r="Z71" s="6">
        <v>10117261.199999999</v>
      </c>
      <c r="AA71" s="13">
        <v>1</v>
      </c>
      <c r="AB71" s="6">
        <v>110.24</v>
      </c>
      <c r="AC71" s="6">
        <v>0</v>
      </c>
      <c r="AD71" s="6">
        <v>11153.269</v>
      </c>
      <c r="AG71" s="2" t="s">
        <v>23</v>
      </c>
      <c r="AH71" s="8">
        <v>1.7440000000000001E-2</v>
      </c>
      <c r="AI71" s="8">
        <v>3.3700000000000002E-3</v>
      </c>
      <c r="AJ71" s="8">
        <v>2.7999999999999998E-4</v>
      </c>
    </row>
    <row r="72" spans="1:36">
      <c r="A72" s="12">
        <v>1097</v>
      </c>
      <c r="B72" s="12">
        <v>1097</v>
      </c>
      <c r="C72" s="2" t="s">
        <v>496</v>
      </c>
      <c r="D72" s="3" t="s">
        <v>497</v>
      </c>
      <c r="E72" s="2" t="s">
        <v>245</v>
      </c>
      <c r="F72" s="2" t="s">
        <v>508</v>
      </c>
      <c r="G72" s="12" t="s">
        <v>509</v>
      </c>
      <c r="H72" s="2" t="s">
        <v>248</v>
      </c>
      <c r="I72" s="2" t="s">
        <v>261</v>
      </c>
      <c r="J72" s="2" t="s">
        <v>77</v>
      </c>
      <c r="K72" s="2" t="s">
        <v>77</v>
      </c>
      <c r="L72" s="2" t="s">
        <v>250</v>
      </c>
      <c r="M72" s="2" t="s">
        <v>130</v>
      </c>
      <c r="N72" s="2" t="s">
        <v>347</v>
      </c>
      <c r="O72" s="2" t="s">
        <v>78</v>
      </c>
      <c r="P72" s="3" t="s">
        <v>287</v>
      </c>
      <c r="Q72" s="2" t="s">
        <v>253</v>
      </c>
      <c r="R72" s="2" t="s">
        <v>254</v>
      </c>
      <c r="S72" s="2" t="s">
        <v>81</v>
      </c>
      <c r="T72" s="13">
        <v>3.7679999999999998</v>
      </c>
      <c r="U72" s="2" t="s">
        <v>422</v>
      </c>
      <c r="V72" s="8">
        <v>1.3299999999999999E-2</v>
      </c>
      <c r="W72" s="8">
        <v>2.8459999999999999E-2</v>
      </c>
      <c r="X72" s="2" t="s">
        <v>256</v>
      </c>
      <c r="Y72" s="2" t="s">
        <v>78</v>
      </c>
      <c r="Z72" s="6">
        <v>27221315.68</v>
      </c>
      <c r="AA72" s="13">
        <v>1</v>
      </c>
      <c r="AB72" s="6">
        <v>110.9</v>
      </c>
      <c r="AC72" s="6">
        <v>0</v>
      </c>
      <c r="AD72" s="6">
        <v>30188.438999999998</v>
      </c>
      <c r="AG72" s="2" t="s">
        <v>23</v>
      </c>
      <c r="AH72" s="8">
        <v>2.4199999999999999E-2</v>
      </c>
      <c r="AI72" s="8">
        <v>9.1199999999999996E-3</v>
      </c>
      <c r="AJ72" s="8">
        <v>7.5000000000000002E-4</v>
      </c>
    </row>
    <row r="73" spans="1:36">
      <c r="A73" s="12">
        <v>1097</v>
      </c>
      <c r="B73" s="12">
        <v>1097</v>
      </c>
      <c r="C73" s="2" t="s">
        <v>496</v>
      </c>
      <c r="D73" s="3" t="s">
        <v>497</v>
      </c>
      <c r="E73" s="2" t="s">
        <v>245</v>
      </c>
      <c r="F73" s="2" t="s">
        <v>510</v>
      </c>
      <c r="G73" s="12" t="s">
        <v>509</v>
      </c>
      <c r="H73" s="2" t="s">
        <v>248</v>
      </c>
      <c r="I73" s="2" t="s">
        <v>261</v>
      </c>
      <c r="J73" s="2" t="s">
        <v>77</v>
      </c>
      <c r="K73" s="2" t="s">
        <v>77</v>
      </c>
      <c r="L73" s="2" t="s">
        <v>353</v>
      </c>
      <c r="M73" s="2" t="s">
        <v>130</v>
      </c>
      <c r="N73" s="2" t="s">
        <v>347</v>
      </c>
      <c r="O73" s="2" t="s">
        <v>78</v>
      </c>
      <c r="P73" s="3" t="s">
        <v>287</v>
      </c>
      <c r="Q73" s="2" t="s">
        <v>253</v>
      </c>
      <c r="R73" s="2" t="s">
        <v>254</v>
      </c>
      <c r="S73" s="2" t="s">
        <v>81</v>
      </c>
      <c r="T73" s="13">
        <v>3.7679999999999998</v>
      </c>
      <c r="U73" s="2" t="s">
        <v>422</v>
      </c>
      <c r="V73" s="8">
        <v>1.3299999999999999E-2</v>
      </c>
      <c r="W73" s="8">
        <v>2.8459999999999999E-2</v>
      </c>
      <c r="X73" s="2" t="s">
        <v>256</v>
      </c>
      <c r="Y73" s="2" t="s">
        <v>78</v>
      </c>
      <c r="Z73" s="6">
        <v>950489</v>
      </c>
      <c r="AA73" s="13">
        <v>1</v>
      </c>
      <c r="AB73" s="6">
        <v>110.9</v>
      </c>
      <c r="AC73" s="6">
        <v>0</v>
      </c>
      <c r="AD73" s="6">
        <v>1054.0920000000001</v>
      </c>
      <c r="AG73" s="2" t="s">
        <v>23</v>
      </c>
      <c r="AH73" s="8">
        <v>8.4000000000000003E-4</v>
      </c>
      <c r="AI73" s="8">
        <v>3.2000000000000003E-4</v>
      </c>
      <c r="AJ73" s="8">
        <v>3.0000000000000001E-5</v>
      </c>
    </row>
    <row r="74" spans="1:36">
      <c r="A74" s="12">
        <v>1097</v>
      </c>
      <c r="B74" s="12">
        <v>1097</v>
      </c>
      <c r="C74" s="2" t="s">
        <v>496</v>
      </c>
      <c r="D74" s="3" t="s">
        <v>497</v>
      </c>
      <c r="E74" s="2" t="s">
        <v>245</v>
      </c>
      <c r="F74" s="2" t="s">
        <v>511</v>
      </c>
      <c r="G74" s="12" t="s">
        <v>512</v>
      </c>
      <c r="H74" s="2" t="s">
        <v>248</v>
      </c>
      <c r="I74" s="2" t="s">
        <v>261</v>
      </c>
      <c r="J74" s="2" t="s">
        <v>77</v>
      </c>
      <c r="K74" s="2" t="s">
        <v>77</v>
      </c>
      <c r="L74" s="2" t="s">
        <v>250</v>
      </c>
      <c r="M74" s="2" t="s">
        <v>130</v>
      </c>
      <c r="N74" s="2" t="s">
        <v>347</v>
      </c>
      <c r="O74" s="2" t="s">
        <v>78</v>
      </c>
      <c r="P74" s="3" t="s">
        <v>277</v>
      </c>
      <c r="Q74" s="2" t="s">
        <v>80</v>
      </c>
      <c r="R74" s="2" t="s">
        <v>254</v>
      </c>
      <c r="S74" s="2" t="s">
        <v>81</v>
      </c>
      <c r="T74" s="13">
        <v>0.96599999999999997</v>
      </c>
      <c r="U74" s="2" t="s">
        <v>513</v>
      </c>
      <c r="V74" s="8">
        <v>1.95E-2</v>
      </c>
      <c r="W74" s="8">
        <v>2.802E-2</v>
      </c>
      <c r="X74" s="2" t="s">
        <v>256</v>
      </c>
      <c r="Y74" s="2" t="s">
        <v>78</v>
      </c>
      <c r="Z74" s="6">
        <v>35588.370000000003</v>
      </c>
      <c r="AA74" s="13">
        <v>1</v>
      </c>
      <c r="AB74" s="6">
        <v>117.21</v>
      </c>
      <c r="AC74" s="6">
        <v>0</v>
      </c>
      <c r="AD74" s="6">
        <v>41.713000000000001</v>
      </c>
      <c r="AG74" s="2" t="s">
        <v>23</v>
      </c>
      <c r="AH74" s="8">
        <v>1.1E-4</v>
      </c>
      <c r="AI74" s="8">
        <v>1.0000000000000001E-5</v>
      </c>
      <c r="AJ74" s="8">
        <v>0</v>
      </c>
    </row>
    <row r="75" spans="1:36">
      <c r="A75" s="12">
        <v>1097</v>
      </c>
      <c r="B75" s="12">
        <v>1097</v>
      </c>
      <c r="C75" s="2" t="s">
        <v>496</v>
      </c>
      <c r="D75" s="3" t="s">
        <v>497</v>
      </c>
      <c r="E75" s="2" t="s">
        <v>245</v>
      </c>
      <c r="F75" s="2" t="s">
        <v>514</v>
      </c>
      <c r="G75" s="12" t="s">
        <v>503</v>
      </c>
      <c r="H75" s="2" t="s">
        <v>248</v>
      </c>
      <c r="I75" s="2" t="s">
        <v>261</v>
      </c>
      <c r="J75" s="2" t="s">
        <v>77</v>
      </c>
      <c r="K75" s="2" t="s">
        <v>77</v>
      </c>
      <c r="L75" s="2" t="s">
        <v>353</v>
      </c>
      <c r="M75" s="2" t="s">
        <v>130</v>
      </c>
      <c r="N75" s="2" t="s">
        <v>347</v>
      </c>
      <c r="O75" s="2" t="s">
        <v>78</v>
      </c>
      <c r="P75" s="3" t="s">
        <v>287</v>
      </c>
      <c r="Q75" s="2" t="s">
        <v>253</v>
      </c>
      <c r="R75" s="2" t="s">
        <v>254</v>
      </c>
      <c r="S75" s="2" t="s">
        <v>81</v>
      </c>
      <c r="T75" s="13">
        <v>3.7530000000000001</v>
      </c>
      <c r="U75" s="2" t="s">
        <v>504</v>
      </c>
      <c r="V75" s="8">
        <v>1.17E-2</v>
      </c>
      <c r="W75" s="8">
        <v>2.809E-2</v>
      </c>
      <c r="X75" s="2" t="s">
        <v>256</v>
      </c>
      <c r="Y75" s="2" t="s">
        <v>78</v>
      </c>
      <c r="Z75" s="6">
        <v>3195652</v>
      </c>
      <c r="AA75" s="13">
        <v>1</v>
      </c>
      <c r="AB75" s="6">
        <v>110.06</v>
      </c>
      <c r="AC75" s="6">
        <v>0</v>
      </c>
      <c r="AD75" s="6">
        <v>3517.1350000000002</v>
      </c>
      <c r="AG75" s="2" t="s">
        <v>23</v>
      </c>
      <c r="AH75" s="8">
        <v>4.64E-3</v>
      </c>
      <c r="AI75" s="8">
        <v>1.06E-3</v>
      </c>
      <c r="AJ75" s="8">
        <v>9.0000000000000006E-5</v>
      </c>
    </row>
    <row r="76" spans="1:36">
      <c r="A76" s="12">
        <v>1097</v>
      </c>
      <c r="B76" s="12">
        <v>1097</v>
      </c>
      <c r="C76" s="2" t="s">
        <v>496</v>
      </c>
      <c r="D76" s="3" t="s">
        <v>497</v>
      </c>
      <c r="E76" s="2" t="s">
        <v>245</v>
      </c>
      <c r="F76" s="2" t="s">
        <v>515</v>
      </c>
      <c r="G76" s="12" t="s">
        <v>516</v>
      </c>
      <c r="H76" s="2" t="s">
        <v>248</v>
      </c>
      <c r="I76" s="2" t="s">
        <v>261</v>
      </c>
      <c r="J76" s="2" t="s">
        <v>77</v>
      </c>
      <c r="K76" s="2" t="s">
        <v>77</v>
      </c>
      <c r="L76" s="2" t="s">
        <v>250</v>
      </c>
      <c r="M76" s="2" t="s">
        <v>130</v>
      </c>
      <c r="N76" s="2" t="s">
        <v>347</v>
      </c>
      <c r="O76" s="2" t="s">
        <v>78</v>
      </c>
      <c r="P76" s="3" t="s">
        <v>293</v>
      </c>
      <c r="Q76" s="2" t="s">
        <v>80</v>
      </c>
      <c r="R76" s="2" t="s">
        <v>254</v>
      </c>
      <c r="S76" s="2" t="s">
        <v>81</v>
      </c>
      <c r="T76" s="13">
        <v>2.1970000000000001</v>
      </c>
      <c r="U76" s="2" t="s">
        <v>517</v>
      </c>
      <c r="V76" s="8">
        <v>1.8200000000000001E-2</v>
      </c>
      <c r="W76" s="8">
        <v>2.7109999999999999E-2</v>
      </c>
      <c r="X76" s="2" t="s">
        <v>256</v>
      </c>
      <c r="Y76" s="2" t="s">
        <v>78</v>
      </c>
      <c r="Z76" s="6">
        <v>427932.64</v>
      </c>
      <c r="AA76" s="13">
        <v>1</v>
      </c>
      <c r="AB76" s="6">
        <v>115.13</v>
      </c>
      <c r="AC76" s="6">
        <v>0</v>
      </c>
      <c r="AD76" s="6">
        <v>492.67899999999997</v>
      </c>
      <c r="AG76" s="2" t="s">
        <v>23</v>
      </c>
      <c r="AH76" s="8">
        <v>8.5999999999999998E-4</v>
      </c>
      <c r="AI76" s="8">
        <v>1.4999999999999999E-4</v>
      </c>
      <c r="AJ76" s="8">
        <v>1.0000000000000001E-5</v>
      </c>
    </row>
    <row r="77" spans="1:36">
      <c r="A77" s="12">
        <v>1097</v>
      </c>
      <c r="B77" s="12">
        <v>1097</v>
      </c>
      <c r="C77" s="2" t="s">
        <v>496</v>
      </c>
      <c r="D77" s="3" t="s">
        <v>497</v>
      </c>
      <c r="E77" s="2" t="s">
        <v>245</v>
      </c>
      <c r="F77" s="2" t="s">
        <v>518</v>
      </c>
      <c r="G77" s="12" t="s">
        <v>519</v>
      </c>
      <c r="H77" s="2" t="s">
        <v>248</v>
      </c>
      <c r="I77" s="2" t="s">
        <v>261</v>
      </c>
      <c r="J77" s="2" t="s">
        <v>77</v>
      </c>
      <c r="K77" s="2" t="s">
        <v>77</v>
      </c>
      <c r="L77" s="2" t="s">
        <v>250</v>
      </c>
      <c r="M77" s="2" t="s">
        <v>130</v>
      </c>
      <c r="N77" s="2" t="s">
        <v>347</v>
      </c>
      <c r="O77" s="2" t="s">
        <v>78</v>
      </c>
      <c r="P77" s="3" t="s">
        <v>277</v>
      </c>
      <c r="Q77" s="2" t="s">
        <v>80</v>
      </c>
      <c r="R77" s="2" t="s">
        <v>254</v>
      </c>
      <c r="S77" s="2" t="s">
        <v>81</v>
      </c>
      <c r="T77" s="13">
        <v>2.1709999999999998</v>
      </c>
      <c r="U77" s="2" t="s">
        <v>520</v>
      </c>
      <c r="V77" s="8">
        <v>3.3500000000000002E-2</v>
      </c>
      <c r="W77" s="8">
        <v>2.8660000000000001E-2</v>
      </c>
      <c r="X77" s="2" t="s">
        <v>256</v>
      </c>
      <c r="Y77" s="2" t="s">
        <v>78</v>
      </c>
      <c r="Z77" s="6">
        <v>4038952.98</v>
      </c>
      <c r="AA77" s="13">
        <v>1</v>
      </c>
      <c r="AB77" s="6">
        <v>119.31</v>
      </c>
      <c r="AC77" s="6">
        <v>0</v>
      </c>
      <c r="AD77" s="6">
        <v>4818.875</v>
      </c>
      <c r="AG77" s="2" t="s">
        <v>23</v>
      </c>
      <c r="AH77" s="8">
        <v>6.7000000000000002E-3</v>
      </c>
      <c r="AI77" s="8">
        <v>1.4599999999999999E-3</v>
      </c>
      <c r="AJ77" s="8">
        <v>1.2E-4</v>
      </c>
    </row>
    <row r="78" spans="1:36">
      <c r="A78" s="12">
        <v>1097</v>
      </c>
      <c r="B78" s="12">
        <v>1097</v>
      </c>
      <c r="C78" s="2" t="s">
        <v>496</v>
      </c>
      <c r="D78" s="3" t="s">
        <v>497</v>
      </c>
      <c r="E78" s="2" t="s">
        <v>245</v>
      </c>
      <c r="F78" s="2" t="s">
        <v>521</v>
      </c>
      <c r="G78" s="12" t="s">
        <v>522</v>
      </c>
      <c r="H78" s="2" t="s">
        <v>248</v>
      </c>
      <c r="I78" s="2" t="s">
        <v>261</v>
      </c>
      <c r="J78" s="2" t="s">
        <v>77</v>
      </c>
      <c r="K78" s="2" t="s">
        <v>77</v>
      </c>
      <c r="L78" s="2" t="s">
        <v>250</v>
      </c>
      <c r="M78" s="2" t="s">
        <v>130</v>
      </c>
      <c r="N78" s="2" t="s">
        <v>347</v>
      </c>
      <c r="O78" s="2" t="s">
        <v>78</v>
      </c>
      <c r="P78" s="3" t="s">
        <v>293</v>
      </c>
      <c r="Q78" s="2" t="s">
        <v>80</v>
      </c>
      <c r="R78" s="2" t="s">
        <v>254</v>
      </c>
      <c r="S78" s="2" t="s">
        <v>81</v>
      </c>
      <c r="T78" s="13">
        <v>4.7279999999999998</v>
      </c>
      <c r="U78" s="2" t="s">
        <v>523</v>
      </c>
      <c r="V78" s="8">
        <v>2.5999999999999999E-2</v>
      </c>
      <c r="W78" s="8">
        <v>2.8320000000000001E-2</v>
      </c>
      <c r="X78" s="2" t="s">
        <v>256</v>
      </c>
      <c r="Y78" s="2" t="s">
        <v>78</v>
      </c>
      <c r="Z78" s="6">
        <v>25759000</v>
      </c>
      <c r="AA78" s="13">
        <v>1</v>
      </c>
      <c r="AB78" s="6">
        <v>104</v>
      </c>
      <c r="AC78" s="6">
        <v>351.78</v>
      </c>
      <c r="AD78" s="6">
        <v>27141.136999999999</v>
      </c>
      <c r="AG78" s="2" t="s">
        <v>23</v>
      </c>
      <c r="AH78" s="8">
        <v>4.8059999999999999E-2</v>
      </c>
      <c r="AI78" s="8">
        <v>8.2000000000000007E-3</v>
      </c>
      <c r="AJ78" s="8">
        <v>6.7000000000000002E-4</v>
      </c>
    </row>
    <row r="79" spans="1:36">
      <c r="A79" s="12">
        <v>1097</v>
      </c>
      <c r="B79" s="12">
        <v>1097</v>
      </c>
      <c r="C79" s="2" t="s">
        <v>524</v>
      </c>
      <c r="D79" s="3" t="s">
        <v>525</v>
      </c>
      <c r="E79" s="2" t="s">
        <v>245</v>
      </c>
      <c r="F79" s="2" t="s">
        <v>526</v>
      </c>
      <c r="G79" s="12" t="s">
        <v>527</v>
      </c>
      <c r="H79" s="2" t="s">
        <v>248</v>
      </c>
      <c r="I79" s="2" t="s">
        <v>261</v>
      </c>
      <c r="J79" s="2" t="s">
        <v>77</v>
      </c>
      <c r="K79" s="2" t="s">
        <v>77</v>
      </c>
      <c r="L79" s="2" t="s">
        <v>250</v>
      </c>
      <c r="M79" s="2" t="s">
        <v>130</v>
      </c>
      <c r="N79" s="2" t="s">
        <v>528</v>
      </c>
      <c r="O79" s="2" t="s">
        <v>78</v>
      </c>
      <c r="P79" s="3" t="s">
        <v>79</v>
      </c>
      <c r="Q79" s="2" t="s">
        <v>80</v>
      </c>
      <c r="R79" s="2" t="s">
        <v>254</v>
      </c>
      <c r="S79" s="2" t="s">
        <v>81</v>
      </c>
      <c r="T79" s="13">
        <v>0.19700000000000001</v>
      </c>
      <c r="U79" s="2" t="s">
        <v>529</v>
      </c>
      <c r="V79" s="8">
        <v>1E-3</v>
      </c>
      <c r="W79" s="8">
        <v>2.1940000000000001E-2</v>
      </c>
      <c r="X79" s="2" t="s">
        <v>256</v>
      </c>
      <c r="Y79" s="2" t="s">
        <v>78</v>
      </c>
      <c r="Z79" s="6">
        <v>6259763</v>
      </c>
      <c r="AA79" s="13">
        <v>1</v>
      </c>
      <c r="AB79" s="6">
        <v>115.96</v>
      </c>
      <c r="AC79" s="6">
        <v>0</v>
      </c>
      <c r="AD79" s="6">
        <v>7258.8209999999999</v>
      </c>
      <c r="AG79" s="2" t="s">
        <v>23</v>
      </c>
      <c r="AH79" s="8">
        <v>4.1700000000000001E-3</v>
      </c>
      <c r="AI79" s="8">
        <v>2.1900000000000001E-3</v>
      </c>
      <c r="AJ79" s="8">
        <v>1.8000000000000001E-4</v>
      </c>
    </row>
    <row r="80" spans="1:36">
      <c r="A80" s="12">
        <v>1097</v>
      </c>
      <c r="B80" s="12">
        <v>1097</v>
      </c>
      <c r="C80" s="2" t="s">
        <v>524</v>
      </c>
      <c r="D80" s="3" t="s">
        <v>525</v>
      </c>
      <c r="E80" s="2" t="s">
        <v>245</v>
      </c>
      <c r="F80" s="2" t="s">
        <v>530</v>
      </c>
      <c r="G80" s="12" t="s">
        <v>531</v>
      </c>
      <c r="H80" s="2" t="s">
        <v>248</v>
      </c>
      <c r="I80" s="2" t="s">
        <v>261</v>
      </c>
      <c r="J80" s="2" t="s">
        <v>77</v>
      </c>
      <c r="K80" s="2" t="s">
        <v>77</v>
      </c>
      <c r="L80" s="2" t="s">
        <v>250</v>
      </c>
      <c r="M80" s="2" t="s">
        <v>130</v>
      </c>
      <c r="N80" s="2" t="s">
        <v>528</v>
      </c>
      <c r="O80" s="2" t="s">
        <v>78</v>
      </c>
      <c r="P80" s="3" t="s">
        <v>79</v>
      </c>
      <c r="Q80" s="2" t="s">
        <v>80</v>
      </c>
      <c r="R80" s="2" t="s">
        <v>254</v>
      </c>
      <c r="S80" s="2" t="s">
        <v>81</v>
      </c>
      <c r="T80" s="13">
        <v>1.421</v>
      </c>
      <c r="U80" s="2" t="s">
        <v>532</v>
      </c>
      <c r="V80" s="8">
        <v>1E-3</v>
      </c>
      <c r="W80" s="8">
        <v>2.5530000000000001E-2</v>
      </c>
      <c r="X80" s="2" t="s">
        <v>256</v>
      </c>
      <c r="Y80" s="2" t="s">
        <v>78</v>
      </c>
      <c r="Z80" s="6">
        <v>5396113</v>
      </c>
      <c r="AA80" s="13">
        <v>1</v>
      </c>
      <c r="AB80" s="6">
        <v>110.36</v>
      </c>
      <c r="AC80" s="6">
        <v>0</v>
      </c>
      <c r="AD80" s="6">
        <v>5955.15</v>
      </c>
      <c r="AG80" s="2" t="s">
        <v>23</v>
      </c>
      <c r="AH80" s="8">
        <v>1.1560000000000001E-2</v>
      </c>
      <c r="AI80" s="8">
        <v>1.8E-3</v>
      </c>
      <c r="AJ80" s="8">
        <v>1.4999999999999999E-4</v>
      </c>
    </row>
    <row r="81" spans="1:36">
      <c r="A81" s="12">
        <v>1097</v>
      </c>
      <c r="B81" s="12">
        <v>1097</v>
      </c>
      <c r="C81" s="2" t="s">
        <v>533</v>
      </c>
      <c r="D81" s="3" t="s">
        <v>534</v>
      </c>
      <c r="E81" s="2" t="s">
        <v>245</v>
      </c>
      <c r="F81" s="2" t="s">
        <v>535</v>
      </c>
      <c r="G81" s="12" t="s">
        <v>536</v>
      </c>
      <c r="H81" s="2" t="s">
        <v>248</v>
      </c>
      <c r="I81" s="2" t="s">
        <v>261</v>
      </c>
      <c r="J81" s="2" t="s">
        <v>77</v>
      </c>
      <c r="K81" s="2" t="s">
        <v>77</v>
      </c>
      <c r="L81" s="2" t="s">
        <v>250</v>
      </c>
      <c r="M81" s="2" t="s">
        <v>130</v>
      </c>
      <c r="N81" s="2" t="s">
        <v>262</v>
      </c>
      <c r="O81" s="2" t="s">
        <v>78</v>
      </c>
      <c r="P81" s="3" t="s">
        <v>537</v>
      </c>
      <c r="Q81" s="2" t="s">
        <v>80</v>
      </c>
      <c r="R81" s="2" t="s">
        <v>254</v>
      </c>
      <c r="S81" s="2" t="s">
        <v>81</v>
      </c>
      <c r="T81" s="13">
        <v>1.466</v>
      </c>
      <c r="U81" s="2" t="s">
        <v>538</v>
      </c>
      <c r="V81" s="8">
        <v>0.04</v>
      </c>
      <c r="W81" s="8">
        <v>4.2459999999999998E-2</v>
      </c>
      <c r="X81" s="2" t="s">
        <v>256</v>
      </c>
      <c r="Y81" s="2" t="s">
        <v>78</v>
      </c>
      <c r="Z81" s="6">
        <v>2000000.16</v>
      </c>
      <c r="AA81" s="13">
        <v>1</v>
      </c>
      <c r="AB81" s="6">
        <v>116.46</v>
      </c>
      <c r="AC81" s="6">
        <v>0</v>
      </c>
      <c r="AD81" s="6">
        <v>2329.1999999999998</v>
      </c>
      <c r="AG81" s="2" t="s">
        <v>23</v>
      </c>
      <c r="AH81" s="8">
        <v>1.3699999999999999E-3</v>
      </c>
      <c r="AI81" s="8">
        <v>6.9999999999999999E-4</v>
      </c>
      <c r="AJ81" s="8">
        <v>6.0000000000000002E-5</v>
      </c>
    </row>
    <row r="82" spans="1:36">
      <c r="A82" s="12">
        <v>1097</v>
      </c>
      <c r="B82" s="12">
        <v>1097</v>
      </c>
      <c r="C82" s="2" t="s">
        <v>533</v>
      </c>
      <c r="D82" s="3" t="s">
        <v>534</v>
      </c>
      <c r="E82" s="2" t="s">
        <v>245</v>
      </c>
      <c r="F82" s="2" t="s">
        <v>539</v>
      </c>
      <c r="G82" s="12" t="s">
        <v>540</v>
      </c>
      <c r="H82" s="2" t="s">
        <v>248</v>
      </c>
      <c r="I82" s="2" t="s">
        <v>261</v>
      </c>
      <c r="J82" s="2" t="s">
        <v>77</v>
      </c>
      <c r="K82" s="2" t="s">
        <v>77</v>
      </c>
      <c r="L82" s="2" t="s">
        <v>250</v>
      </c>
      <c r="M82" s="2" t="s">
        <v>130</v>
      </c>
      <c r="N82" s="2" t="s">
        <v>262</v>
      </c>
      <c r="O82" s="2" t="s">
        <v>78</v>
      </c>
      <c r="P82" s="3" t="s">
        <v>374</v>
      </c>
      <c r="Q82" s="2" t="s">
        <v>80</v>
      </c>
      <c r="R82" s="2" t="s">
        <v>254</v>
      </c>
      <c r="S82" s="2" t="s">
        <v>81</v>
      </c>
      <c r="T82" s="13">
        <v>4.3490000000000002</v>
      </c>
      <c r="U82" s="2" t="s">
        <v>332</v>
      </c>
      <c r="V82" s="8">
        <v>4.24E-2</v>
      </c>
      <c r="W82" s="8">
        <v>3.3709999999999997E-2</v>
      </c>
      <c r="X82" s="2" t="s">
        <v>256</v>
      </c>
      <c r="Y82" s="2" t="s">
        <v>78</v>
      </c>
      <c r="Z82" s="6">
        <v>1250000</v>
      </c>
      <c r="AA82" s="13">
        <v>1</v>
      </c>
      <c r="AB82" s="6">
        <v>108.23</v>
      </c>
      <c r="AC82" s="6">
        <v>0</v>
      </c>
      <c r="AD82" s="6">
        <v>1352.875</v>
      </c>
      <c r="AG82" s="2" t="s">
        <v>23</v>
      </c>
      <c r="AH82" s="8">
        <v>1.9400000000000001E-3</v>
      </c>
      <c r="AI82" s="8">
        <v>4.0999999999999999E-4</v>
      </c>
      <c r="AJ82" s="8">
        <v>3.0000000000000001E-5</v>
      </c>
    </row>
    <row r="83" spans="1:36">
      <c r="A83" s="12">
        <v>1097</v>
      </c>
      <c r="B83" s="12">
        <v>1097</v>
      </c>
      <c r="C83" s="2" t="s">
        <v>533</v>
      </c>
      <c r="D83" s="3" t="s">
        <v>534</v>
      </c>
      <c r="E83" s="2" t="s">
        <v>245</v>
      </c>
      <c r="F83" s="2" t="s">
        <v>541</v>
      </c>
      <c r="G83" s="12" t="s">
        <v>542</v>
      </c>
      <c r="H83" s="2" t="s">
        <v>248</v>
      </c>
      <c r="I83" s="2" t="s">
        <v>261</v>
      </c>
      <c r="J83" s="2" t="s">
        <v>77</v>
      </c>
      <c r="K83" s="2" t="s">
        <v>77</v>
      </c>
      <c r="L83" s="2" t="s">
        <v>250</v>
      </c>
      <c r="M83" s="2" t="s">
        <v>130</v>
      </c>
      <c r="N83" s="2" t="s">
        <v>262</v>
      </c>
      <c r="O83" s="2" t="s">
        <v>78</v>
      </c>
      <c r="P83" s="3" t="s">
        <v>374</v>
      </c>
      <c r="Q83" s="2" t="s">
        <v>80</v>
      </c>
      <c r="R83" s="2" t="s">
        <v>254</v>
      </c>
      <c r="S83" s="2" t="s">
        <v>81</v>
      </c>
      <c r="T83" s="13">
        <v>4.1040000000000001</v>
      </c>
      <c r="U83" s="2" t="s">
        <v>543</v>
      </c>
      <c r="V83" s="8">
        <v>4.8300000000000003E-2</v>
      </c>
      <c r="W83" s="8">
        <v>4.0239999999999998E-2</v>
      </c>
      <c r="X83" s="2" t="s">
        <v>256</v>
      </c>
      <c r="Y83" s="2" t="s">
        <v>78</v>
      </c>
      <c r="Z83" s="6">
        <v>3907357</v>
      </c>
      <c r="AA83" s="13">
        <v>1</v>
      </c>
      <c r="AB83" s="6">
        <v>110.07</v>
      </c>
      <c r="AC83" s="6">
        <v>0</v>
      </c>
      <c r="AD83" s="6">
        <v>4300.8280000000004</v>
      </c>
      <c r="AG83" s="2" t="s">
        <v>23</v>
      </c>
      <c r="AH83" s="8">
        <v>9.5300000000000003E-3</v>
      </c>
      <c r="AI83" s="8">
        <v>1.2999999999999999E-3</v>
      </c>
      <c r="AJ83" s="8">
        <v>1.1E-4</v>
      </c>
    </row>
    <row r="84" spans="1:36">
      <c r="A84" s="12">
        <v>1097</v>
      </c>
      <c r="B84" s="12">
        <v>1097</v>
      </c>
      <c r="C84" s="2" t="s">
        <v>544</v>
      </c>
      <c r="D84" s="3" t="s">
        <v>545</v>
      </c>
      <c r="E84" s="2" t="s">
        <v>245</v>
      </c>
      <c r="F84" s="2" t="s">
        <v>546</v>
      </c>
      <c r="G84" s="12" t="s">
        <v>547</v>
      </c>
      <c r="H84" s="2" t="s">
        <v>248</v>
      </c>
      <c r="I84" s="2" t="s">
        <v>261</v>
      </c>
      <c r="J84" s="2" t="s">
        <v>77</v>
      </c>
      <c r="K84" s="2" t="s">
        <v>77</v>
      </c>
      <c r="L84" s="2" t="s">
        <v>250</v>
      </c>
      <c r="M84" s="2" t="s">
        <v>130</v>
      </c>
      <c r="N84" s="2" t="s">
        <v>337</v>
      </c>
      <c r="O84" s="2" t="s">
        <v>78</v>
      </c>
      <c r="P84" s="3" t="s">
        <v>306</v>
      </c>
      <c r="Q84" s="2" t="s">
        <v>80</v>
      </c>
      <c r="R84" s="2" t="s">
        <v>254</v>
      </c>
      <c r="S84" s="2" t="s">
        <v>81</v>
      </c>
      <c r="T84" s="13">
        <v>3.41</v>
      </c>
      <c r="U84" s="2" t="s">
        <v>548</v>
      </c>
      <c r="V84" s="8">
        <v>7.4999999999999997E-3</v>
      </c>
      <c r="W84" s="8">
        <v>3.0269999999999998E-2</v>
      </c>
      <c r="X84" s="2" t="s">
        <v>256</v>
      </c>
      <c r="Y84" s="2" t="s">
        <v>78</v>
      </c>
      <c r="Z84" s="6">
        <v>6011611.7000000002</v>
      </c>
      <c r="AA84" s="13">
        <v>1</v>
      </c>
      <c r="AB84" s="6">
        <v>106.88</v>
      </c>
      <c r="AC84" s="6">
        <v>0</v>
      </c>
      <c r="AD84" s="6">
        <v>6425.2110000000002</v>
      </c>
      <c r="AG84" s="2" t="s">
        <v>23</v>
      </c>
      <c r="AH84" s="8">
        <v>1.448E-2</v>
      </c>
      <c r="AI84" s="8">
        <v>1.9400000000000001E-3</v>
      </c>
      <c r="AJ84" s="8">
        <v>1.6000000000000001E-4</v>
      </c>
    </row>
    <row r="85" spans="1:36">
      <c r="A85" s="12">
        <v>1097</v>
      </c>
      <c r="B85" s="12">
        <v>1097</v>
      </c>
      <c r="C85" s="2" t="s">
        <v>544</v>
      </c>
      <c r="D85" s="3" t="s">
        <v>545</v>
      </c>
      <c r="E85" s="2" t="s">
        <v>245</v>
      </c>
      <c r="F85" s="2" t="s">
        <v>549</v>
      </c>
      <c r="G85" s="12" t="s">
        <v>550</v>
      </c>
      <c r="H85" s="2" t="s">
        <v>248</v>
      </c>
      <c r="I85" s="2" t="s">
        <v>261</v>
      </c>
      <c r="J85" s="2" t="s">
        <v>77</v>
      </c>
      <c r="K85" s="2" t="s">
        <v>77</v>
      </c>
      <c r="L85" s="2" t="s">
        <v>250</v>
      </c>
      <c r="M85" s="2" t="s">
        <v>130</v>
      </c>
      <c r="N85" s="2" t="s">
        <v>337</v>
      </c>
      <c r="O85" s="2" t="s">
        <v>78</v>
      </c>
      <c r="P85" s="3" t="s">
        <v>306</v>
      </c>
      <c r="Q85" s="2" t="s">
        <v>80</v>
      </c>
      <c r="R85" s="2" t="s">
        <v>254</v>
      </c>
      <c r="S85" s="2" t="s">
        <v>81</v>
      </c>
      <c r="T85" s="13">
        <v>4.0090000000000003</v>
      </c>
      <c r="U85" s="2" t="s">
        <v>551</v>
      </c>
      <c r="V85" s="8">
        <v>7.4999999999999997E-3</v>
      </c>
      <c r="W85" s="8">
        <v>3.0980000000000001E-2</v>
      </c>
      <c r="X85" s="2" t="s">
        <v>256</v>
      </c>
      <c r="Y85" s="2" t="s">
        <v>78</v>
      </c>
      <c r="Z85" s="6">
        <v>27000000</v>
      </c>
      <c r="AA85" s="13">
        <v>1</v>
      </c>
      <c r="AB85" s="6">
        <v>103.72</v>
      </c>
      <c r="AC85" s="6">
        <v>0</v>
      </c>
      <c r="AD85" s="6">
        <v>28004.400000000001</v>
      </c>
      <c r="AG85" s="2" t="s">
        <v>23</v>
      </c>
      <c r="AH85" s="8">
        <v>2.8629999999999999E-2</v>
      </c>
      <c r="AI85" s="8">
        <v>8.4600000000000005E-3</v>
      </c>
      <c r="AJ85" s="8">
        <v>6.8999999999999997E-4</v>
      </c>
    </row>
    <row r="86" spans="1:36">
      <c r="A86" s="12">
        <v>1097</v>
      </c>
      <c r="B86" s="12">
        <v>1097</v>
      </c>
      <c r="C86" s="2" t="s">
        <v>552</v>
      </c>
      <c r="D86" s="3" t="s">
        <v>553</v>
      </c>
      <c r="E86" s="2" t="s">
        <v>245</v>
      </c>
      <c r="F86" s="2" t="s">
        <v>554</v>
      </c>
      <c r="G86" s="12" t="s">
        <v>555</v>
      </c>
      <c r="H86" s="2" t="s">
        <v>248</v>
      </c>
      <c r="I86" s="2" t="s">
        <v>261</v>
      </c>
      <c r="J86" s="2" t="s">
        <v>77</v>
      </c>
      <c r="K86" s="2" t="s">
        <v>77</v>
      </c>
      <c r="L86" s="2" t="s">
        <v>250</v>
      </c>
      <c r="M86" s="2" t="s">
        <v>130</v>
      </c>
      <c r="N86" s="2" t="s">
        <v>347</v>
      </c>
      <c r="O86" s="2" t="s">
        <v>78</v>
      </c>
      <c r="P86" s="3" t="s">
        <v>293</v>
      </c>
      <c r="Q86" s="2" t="s">
        <v>80</v>
      </c>
      <c r="R86" s="2" t="s">
        <v>254</v>
      </c>
      <c r="S86" s="2" t="s">
        <v>81</v>
      </c>
      <c r="T86" s="13">
        <v>0.73899999999999999</v>
      </c>
      <c r="U86" s="2" t="s">
        <v>556</v>
      </c>
      <c r="V86" s="8">
        <v>4.7500000000000001E-2</v>
      </c>
      <c r="W86" s="8">
        <v>2.946E-2</v>
      </c>
      <c r="X86" s="2" t="s">
        <v>256</v>
      </c>
      <c r="Y86" s="2" t="s">
        <v>78</v>
      </c>
      <c r="Z86" s="6">
        <v>1371185.98</v>
      </c>
      <c r="AA86" s="13">
        <v>1</v>
      </c>
      <c r="AB86" s="6">
        <v>145.6</v>
      </c>
      <c r="AC86" s="6">
        <v>0</v>
      </c>
      <c r="AD86" s="6">
        <v>1996.4469999999999</v>
      </c>
      <c r="AG86" s="2" t="s">
        <v>23</v>
      </c>
      <c r="AH86" s="8">
        <v>2.8700000000000002E-3</v>
      </c>
      <c r="AI86" s="8">
        <v>5.9999999999999995E-4</v>
      </c>
      <c r="AJ86" s="8">
        <v>5.0000000000000002E-5</v>
      </c>
    </row>
    <row r="87" spans="1:36">
      <c r="A87" s="12">
        <v>1097</v>
      </c>
      <c r="B87" s="12">
        <v>1097</v>
      </c>
      <c r="C87" s="2" t="s">
        <v>552</v>
      </c>
      <c r="D87" s="3" t="s">
        <v>553</v>
      </c>
      <c r="E87" s="2" t="s">
        <v>245</v>
      </c>
      <c r="F87" s="2" t="s">
        <v>557</v>
      </c>
      <c r="G87" s="12" t="s">
        <v>558</v>
      </c>
      <c r="H87" s="2" t="s">
        <v>248</v>
      </c>
      <c r="I87" s="2" t="s">
        <v>249</v>
      </c>
      <c r="J87" s="2" t="s">
        <v>77</v>
      </c>
      <c r="K87" s="2" t="s">
        <v>77</v>
      </c>
      <c r="L87" s="2" t="s">
        <v>250</v>
      </c>
      <c r="M87" s="2" t="s">
        <v>130</v>
      </c>
      <c r="N87" s="2" t="s">
        <v>347</v>
      </c>
      <c r="O87" s="2" t="s">
        <v>78</v>
      </c>
      <c r="P87" s="3" t="s">
        <v>293</v>
      </c>
      <c r="Q87" s="2" t="s">
        <v>80</v>
      </c>
      <c r="R87" s="2" t="s">
        <v>254</v>
      </c>
      <c r="S87" s="2" t="s">
        <v>81</v>
      </c>
      <c r="T87" s="13">
        <v>4.8070000000000004</v>
      </c>
      <c r="U87" s="2" t="s">
        <v>559</v>
      </c>
      <c r="V87" s="8">
        <v>2.5499999999999998E-2</v>
      </c>
      <c r="W87" s="8">
        <v>4.9239999999999999E-2</v>
      </c>
      <c r="X87" s="2" t="s">
        <v>256</v>
      </c>
      <c r="Y87" s="2" t="s">
        <v>78</v>
      </c>
      <c r="Z87" s="6">
        <v>26536822.449999999</v>
      </c>
      <c r="AA87" s="13">
        <v>1</v>
      </c>
      <c r="AB87" s="6">
        <v>89.51</v>
      </c>
      <c r="AC87" s="6">
        <v>0</v>
      </c>
      <c r="AD87" s="6">
        <v>23753.11</v>
      </c>
      <c r="AG87" s="2" t="s">
        <v>23</v>
      </c>
      <c r="AH87" s="8">
        <v>9.5099999999999994E-3</v>
      </c>
      <c r="AI87" s="8">
        <v>7.1799999999999998E-3</v>
      </c>
      <c r="AJ87" s="8">
        <v>5.9000000000000003E-4</v>
      </c>
    </row>
    <row r="88" spans="1:36">
      <c r="A88" s="12">
        <v>1097</v>
      </c>
      <c r="B88" s="12">
        <v>1097</v>
      </c>
      <c r="C88" s="2" t="s">
        <v>552</v>
      </c>
      <c r="D88" s="3" t="s">
        <v>553</v>
      </c>
      <c r="E88" s="2" t="s">
        <v>245</v>
      </c>
      <c r="F88" s="2" t="s">
        <v>560</v>
      </c>
      <c r="G88" s="12" t="s">
        <v>561</v>
      </c>
      <c r="H88" s="2" t="s">
        <v>248</v>
      </c>
      <c r="I88" s="2" t="s">
        <v>261</v>
      </c>
      <c r="J88" s="2" t="s">
        <v>77</v>
      </c>
      <c r="K88" s="2" t="s">
        <v>77</v>
      </c>
      <c r="L88" s="2" t="s">
        <v>250</v>
      </c>
      <c r="M88" s="2" t="s">
        <v>130</v>
      </c>
      <c r="N88" s="2" t="s">
        <v>347</v>
      </c>
      <c r="O88" s="2" t="s">
        <v>78</v>
      </c>
      <c r="P88" s="3" t="s">
        <v>293</v>
      </c>
      <c r="Q88" s="2" t="s">
        <v>80</v>
      </c>
      <c r="R88" s="2" t="s">
        <v>254</v>
      </c>
      <c r="S88" s="2" t="s">
        <v>81</v>
      </c>
      <c r="T88" s="13">
        <v>3.9950000000000001</v>
      </c>
      <c r="U88" s="2" t="s">
        <v>375</v>
      </c>
      <c r="V88" s="8">
        <v>5.0000000000000001E-3</v>
      </c>
      <c r="W88" s="8">
        <v>2.8830000000000001E-2</v>
      </c>
      <c r="X88" s="2" t="s">
        <v>256</v>
      </c>
      <c r="Y88" s="2" t="s">
        <v>78</v>
      </c>
      <c r="Z88" s="6">
        <v>11753646.880000001</v>
      </c>
      <c r="AA88" s="13">
        <v>1</v>
      </c>
      <c r="AB88" s="6">
        <v>106.2</v>
      </c>
      <c r="AC88" s="6">
        <v>0</v>
      </c>
      <c r="AD88" s="6">
        <v>12482.373</v>
      </c>
      <c r="AG88" s="2" t="s">
        <v>23</v>
      </c>
      <c r="AH88" s="8">
        <v>8.8000000000000005E-3</v>
      </c>
      <c r="AI88" s="8">
        <v>3.7699999999999999E-3</v>
      </c>
      <c r="AJ88" s="8">
        <v>3.1E-4</v>
      </c>
    </row>
    <row r="89" spans="1:36">
      <c r="A89" s="12">
        <v>1097</v>
      </c>
      <c r="B89" s="12">
        <v>1097</v>
      </c>
      <c r="C89" s="2" t="s">
        <v>552</v>
      </c>
      <c r="D89" s="3" t="s">
        <v>553</v>
      </c>
      <c r="E89" s="2" t="s">
        <v>245</v>
      </c>
      <c r="F89" s="2" t="s">
        <v>562</v>
      </c>
      <c r="G89" s="12" t="s">
        <v>563</v>
      </c>
      <c r="H89" s="2" t="s">
        <v>248</v>
      </c>
      <c r="I89" s="2" t="s">
        <v>261</v>
      </c>
      <c r="J89" s="2" t="s">
        <v>77</v>
      </c>
      <c r="K89" s="2" t="s">
        <v>77</v>
      </c>
      <c r="L89" s="2" t="s">
        <v>250</v>
      </c>
      <c r="M89" s="2" t="s">
        <v>130</v>
      </c>
      <c r="N89" s="2" t="s">
        <v>347</v>
      </c>
      <c r="O89" s="2" t="s">
        <v>78</v>
      </c>
      <c r="P89" s="3" t="s">
        <v>293</v>
      </c>
      <c r="Q89" s="2" t="s">
        <v>80</v>
      </c>
      <c r="R89" s="2" t="s">
        <v>254</v>
      </c>
      <c r="S89" s="2" t="s">
        <v>81</v>
      </c>
      <c r="T89" s="13">
        <v>4.4530000000000003</v>
      </c>
      <c r="U89" s="2" t="s">
        <v>564</v>
      </c>
      <c r="V89" s="8">
        <v>5.8999999999999999E-3</v>
      </c>
      <c r="W89" s="8">
        <v>2.8709999999999999E-2</v>
      </c>
      <c r="X89" s="2" t="s">
        <v>256</v>
      </c>
      <c r="Y89" s="2" t="s">
        <v>78</v>
      </c>
      <c r="Z89" s="6">
        <v>36285000</v>
      </c>
      <c r="AA89" s="13">
        <v>1</v>
      </c>
      <c r="AB89" s="6">
        <v>102.74</v>
      </c>
      <c r="AC89" s="6">
        <v>0</v>
      </c>
      <c r="AD89" s="6">
        <v>37279.209000000003</v>
      </c>
      <c r="AG89" s="2" t="s">
        <v>23</v>
      </c>
      <c r="AH89" s="8">
        <v>2.5909999999999999E-2</v>
      </c>
      <c r="AI89" s="8">
        <v>1.1259999999999999E-2</v>
      </c>
      <c r="AJ89" s="8">
        <v>9.3000000000000005E-4</v>
      </c>
    </row>
    <row r="90" spans="1:36">
      <c r="A90" s="12">
        <v>1097</v>
      </c>
      <c r="B90" s="12">
        <v>1097</v>
      </c>
      <c r="C90" s="2" t="s">
        <v>552</v>
      </c>
      <c r="D90" s="3" t="s">
        <v>553</v>
      </c>
      <c r="E90" s="2" t="s">
        <v>245</v>
      </c>
      <c r="F90" s="2" t="s">
        <v>565</v>
      </c>
      <c r="G90" s="12" t="s">
        <v>566</v>
      </c>
      <c r="H90" s="2" t="s">
        <v>248</v>
      </c>
      <c r="I90" s="2" t="s">
        <v>261</v>
      </c>
      <c r="J90" s="2" t="s">
        <v>77</v>
      </c>
      <c r="K90" s="2" t="s">
        <v>77</v>
      </c>
      <c r="L90" s="2" t="s">
        <v>250</v>
      </c>
      <c r="M90" s="2" t="s">
        <v>130</v>
      </c>
      <c r="N90" s="2" t="s">
        <v>347</v>
      </c>
      <c r="O90" s="2" t="s">
        <v>78</v>
      </c>
      <c r="P90" s="3" t="s">
        <v>293</v>
      </c>
      <c r="Q90" s="2" t="s">
        <v>80</v>
      </c>
      <c r="R90" s="2" t="s">
        <v>254</v>
      </c>
      <c r="S90" s="2" t="s">
        <v>81</v>
      </c>
      <c r="T90" s="13">
        <v>3.0710000000000002</v>
      </c>
      <c r="U90" s="2" t="s">
        <v>205</v>
      </c>
      <c r="V90" s="8">
        <v>3.3399999999999999E-2</v>
      </c>
      <c r="W90" s="8">
        <v>2.9389999999999999E-2</v>
      </c>
      <c r="X90" s="2" t="s">
        <v>256</v>
      </c>
      <c r="Y90" s="2" t="s">
        <v>78</v>
      </c>
      <c r="Z90" s="6">
        <v>3030000</v>
      </c>
      <c r="AA90" s="13">
        <v>1</v>
      </c>
      <c r="AB90" s="6">
        <v>105.28</v>
      </c>
      <c r="AC90" s="6">
        <v>0</v>
      </c>
      <c r="AD90" s="6">
        <v>3189.9839999999999</v>
      </c>
      <c r="AG90" s="2" t="s">
        <v>23</v>
      </c>
      <c r="AH90" s="8">
        <v>2.82E-3</v>
      </c>
      <c r="AI90" s="8">
        <v>9.6000000000000002E-4</v>
      </c>
      <c r="AJ90" s="8">
        <v>8.0000000000000007E-5</v>
      </c>
    </row>
    <row r="91" spans="1:36">
      <c r="A91" s="12">
        <v>1097</v>
      </c>
      <c r="B91" s="12">
        <v>1097</v>
      </c>
      <c r="C91" s="2" t="s">
        <v>567</v>
      </c>
      <c r="D91" s="3" t="s">
        <v>568</v>
      </c>
      <c r="E91" s="2" t="s">
        <v>245</v>
      </c>
      <c r="F91" s="2" t="s">
        <v>569</v>
      </c>
      <c r="G91" s="12" t="s">
        <v>570</v>
      </c>
      <c r="H91" s="2" t="s">
        <v>248</v>
      </c>
      <c r="I91" s="2" t="s">
        <v>261</v>
      </c>
      <c r="J91" s="2" t="s">
        <v>77</v>
      </c>
      <c r="K91" s="2" t="s">
        <v>77</v>
      </c>
      <c r="L91" s="2" t="s">
        <v>250</v>
      </c>
      <c r="M91" s="2" t="s">
        <v>130</v>
      </c>
      <c r="N91" s="2" t="s">
        <v>347</v>
      </c>
      <c r="O91" s="2" t="s">
        <v>78</v>
      </c>
      <c r="P91" s="3" t="s">
        <v>283</v>
      </c>
      <c r="Q91" s="2" t="s">
        <v>253</v>
      </c>
      <c r="R91" s="2" t="s">
        <v>254</v>
      </c>
      <c r="S91" s="2" t="s">
        <v>81</v>
      </c>
      <c r="T91" s="13">
        <v>0.504</v>
      </c>
      <c r="U91" s="2" t="s">
        <v>571</v>
      </c>
      <c r="V91" s="8">
        <v>2.5000000000000001E-2</v>
      </c>
      <c r="W91" s="8">
        <v>3.3320000000000002E-2</v>
      </c>
      <c r="X91" s="2" t="s">
        <v>256</v>
      </c>
      <c r="Y91" s="2" t="s">
        <v>78</v>
      </c>
      <c r="Z91" s="6">
        <v>666666.67000000004</v>
      </c>
      <c r="AA91" s="13">
        <v>1</v>
      </c>
      <c r="AB91" s="6">
        <v>117.96</v>
      </c>
      <c r="AC91" s="6">
        <v>0</v>
      </c>
      <c r="AD91" s="6">
        <v>786.4</v>
      </c>
      <c r="AG91" s="2" t="s">
        <v>23</v>
      </c>
      <c r="AH91" s="8">
        <v>2.1900000000000001E-3</v>
      </c>
      <c r="AI91" s="8">
        <v>2.4000000000000001E-4</v>
      </c>
      <c r="AJ91" s="8">
        <v>2.0000000000000002E-5</v>
      </c>
    </row>
    <row r="92" spans="1:36">
      <c r="A92" s="12">
        <v>1097</v>
      </c>
      <c r="B92" s="12">
        <v>1097</v>
      </c>
      <c r="C92" s="2" t="s">
        <v>572</v>
      </c>
      <c r="D92" s="3" t="s">
        <v>573</v>
      </c>
      <c r="E92" s="2" t="s">
        <v>245</v>
      </c>
      <c r="F92" s="2" t="s">
        <v>574</v>
      </c>
      <c r="G92" s="12" t="s">
        <v>575</v>
      </c>
      <c r="H92" s="2" t="s">
        <v>248</v>
      </c>
      <c r="I92" s="2" t="s">
        <v>249</v>
      </c>
      <c r="J92" s="2" t="s">
        <v>77</v>
      </c>
      <c r="K92" s="2" t="s">
        <v>77</v>
      </c>
      <c r="L92" s="2" t="s">
        <v>250</v>
      </c>
      <c r="M92" s="2" t="s">
        <v>130</v>
      </c>
      <c r="N92" s="2" t="s">
        <v>528</v>
      </c>
      <c r="O92" s="2" t="s">
        <v>78</v>
      </c>
      <c r="P92" s="3" t="s">
        <v>79</v>
      </c>
      <c r="Q92" s="2" t="s">
        <v>80</v>
      </c>
      <c r="R92" s="2" t="s">
        <v>254</v>
      </c>
      <c r="S92" s="2" t="s">
        <v>81</v>
      </c>
      <c r="T92" s="13">
        <v>2.7410000000000001</v>
      </c>
      <c r="U92" s="2" t="s">
        <v>576</v>
      </c>
      <c r="V92" s="8">
        <v>2.6800000000000001E-2</v>
      </c>
      <c r="W92" s="8">
        <v>4.3130000000000002E-2</v>
      </c>
      <c r="X92" s="2" t="s">
        <v>256</v>
      </c>
      <c r="Y92" s="2" t="s">
        <v>78</v>
      </c>
      <c r="Z92" s="6">
        <v>82991104.890000001</v>
      </c>
      <c r="AA92" s="13">
        <v>1</v>
      </c>
      <c r="AB92" s="6">
        <v>97.18</v>
      </c>
      <c r="AC92" s="6">
        <v>0</v>
      </c>
      <c r="AD92" s="6">
        <v>80650.755999999994</v>
      </c>
      <c r="AG92" s="2" t="s">
        <v>23</v>
      </c>
      <c r="AH92" s="8">
        <v>4.24E-2</v>
      </c>
      <c r="AI92" s="8">
        <v>2.4369999999999999E-2</v>
      </c>
      <c r="AJ92" s="8">
        <v>2E-3</v>
      </c>
    </row>
    <row r="93" spans="1:36">
      <c r="A93" s="12">
        <v>1097</v>
      </c>
      <c r="B93" s="12">
        <v>1097</v>
      </c>
      <c r="C93" s="2" t="s">
        <v>572</v>
      </c>
      <c r="D93" s="3" t="s">
        <v>573</v>
      </c>
      <c r="E93" s="2" t="s">
        <v>245</v>
      </c>
      <c r="F93" s="2" t="s">
        <v>577</v>
      </c>
      <c r="G93" s="12" t="s">
        <v>578</v>
      </c>
      <c r="H93" s="2" t="s">
        <v>248</v>
      </c>
      <c r="I93" s="2" t="s">
        <v>261</v>
      </c>
      <c r="J93" s="2" t="s">
        <v>77</v>
      </c>
      <c r="K93" s="2" t="s">
        <v>77</v>
      </c>
      <c r="L93" s="2" t="s">
        <v>250</v>
      </c>
      <c r="M93" s="2" t="s">
        <v>130</v>
      </c>
      <c r="N93" s="2" t="s">
        <v>528</v>
      </c>
      <c r="O93" s="2" t="s">
        <v>78</v>
      </c>
      <c r="P93" s="3" t="s">
        <v>79</v>
      </c>
      <c r="Q93" s="2" t="s">
        <v>80</v>
      </c>
      <c r="R93" s="2" t="s">
        <v>254</v>
      </c>
      <c r="S93" s="2" t="s">
        <v>81</v>
      </c>
      <c r="T93" s="13">
        <v>4.8949999999999996</v>
      </c>
      <c r="U93" s="2" t="s">
        <v>579</v>
      </c>
      <c r="V93" s="8">
        <v>2.1100000000000001E-2</v>
      </c>
      <c r="W93" s="8">
        <v>2.6290000000000001E-2</v>
      </c>
      <c r="X93" s="2" t="s">
        <v>256</v>
      </c>
      <c r="Y93" s="2" t="s">
        <v>78</v>
      </c>
      <c r="Z93" s="6">
        <v>4756233</v>
      </c>
      <c r="AA93" s="13">
        <v>1</v>
      </c>
      <c r="AB93" s="6">
        <v>103.16</v>
      </c>
      <c r="AC93" s="6">
        <v>0</v>
      </c>
      <c r="AD93" s="6">
        <v>4906.53</v>
      </c>
      <c r="AG93" s="2" t="s">
        <v>23</v>
      </c>
      <c r="AH93" s="8">
        <v>1.83E-3</v>
      </c>
      <c r="AI93" s="8">
        <v>1.48E-3</v>
      </c>
      <c r="AJ93" s="8">
        <v>1.2E-4</v>
      </c>
    </row>
    <row r="94" spans="1:36">
      <c r="A94" s="12">
        <v>1097</v>
      </c>
      <c r="B94" s="12">
        <v>1097</v>
      </c>
      <c r="C94" s="2" t="s">
        <v>572</v>
      </c>
      <c r="D94" s="3" t="s">
        <v>573</v>
      </c>
      <c r="E94" s="2" t="s">
        <v>245</v>
      </c>
      <c r="F94" s="2" t="s">
        <v>580</v>
      </c>
      <c r="G94" s="12" t="s">
        <v>581</v>
      </c>
      <c r="H94" s="2" t="s">
        <v>248</v>
      </c>
      <c r="I94" s="2" t="s">
        <v>261</v>
      </c>
      <c r="J94" s="2" t="s">
        <v>77</v>
      </c>
      <c r="K94" s="2" t="s">
        <v>77</v>
      </c>
      <c r="L94" s="2" t="s">
        <v>250</v>
      </c>
      <c r="M94" s="2" t="s">
        <v>130</v>
      </c>
      <c r="N94" s="2" t="s">
        <v>528</v>
      </c>
      <c r="O94" s="2" t="s">
        <v>78</v>
      </c>
      <c r="P94" s="3" t="s">
        <v>79</v>
      </c>
      <c r="Q94" s="2" t="s">
        <v>80</v>
      </c>
      <c r="R94" s="2" t="s">
        <v>254</v>
      </c>
      <c r="S94" s="2" t="s">
        <v>81</v>
      </c>
      <c r="T94" s="13">
        <v>3.4990000000000001</v>
      </c>
      <c r="U94" s="2" t="s">
        <v>582</v>
      </c>
      <c r="V94" s="8">
        <v>2E-3</v>
      </c>
      <c r="W94" s="8">
        <v>2.5989999999999999E-2</v>
      </c>
      <c r="X94" s="2" t="s">
        <v>256</v>
      </c>
      <c r="Y94" s="2" t="s">
        <v>78</v>
      </c>
      <c r="Z94" s="6">
        <v>62667678.719999999</v>
      </c>
      <c r="AA94" s="13">
        <v>1</v>
      </c>
      <c r="AB94" s="6">
        <v>105.05</v>
      </c>
      <c r="AC94" s="6">
        <v>0</v>
      </c>
      <c r="AD94" s="6">
        <v>65832.396999999997</v>
      </c>
      <c r="AG94" s="2" t="s">
        <v>23</v>
      </c>
      <c r="AH94" s="8">
        <v>1.8380000000000001E-2</v>
      </c>
      <c r="AI94" s="8">
        <v>1.9890000000000001E-2</v>
      </c>
      <c r="AJ94" s="8">
        <v>1.6299999999999999E-3</v>
      </c>
    </row>
    <row r="95" spans="1:36">
      <c r="A95" s="12">
        <v>1097</v>
      </c>
      <c r="B95" s="12">
        <v>1097</v>
      </c>
      <c r="C95" s="2" t="s">
        <v>572</v>
      </c>
      <c r="D95" s="3" t="s">
        <v>573</v>
      </c>
      <c r="E95" s="2" t="s">
        <v>245</v>
      </c>
      <c r="F95" s="2" t="s">
        <v>583</v>
      </c>
      <c r="G95" s="12" t="s">
        <v>584</v>
      </c>
      <c r="H95" s="2" t="s">
        <v>248</v>
      </c>
      <c r="I95" s="2" t="s">
        <v>261</v>
      </c>
      <c r="J95" s="2" t="s">
        <v>77</v>
      </c>
      <c r="K95" s="2" t="s">
        <v>77</v>
      </c>
      <c r="L95" s="2" t="s">
        <v>250</v>
      </c>
      <c r="M95" s="2" t="s">
        <v>130</v>
      </c>
      <c r="N95" s="2" t="s">
        <v>528</v>
      </c>
      <c r="O95" s="2" t="s">
        <v>78</v>
      </c>
      <c r="P95" s="3" t="s">
        <v>79</v>
      </c>
      <c r="Q95" s="2" t="s">
        <v>80</v>
      </c>
      <c r="R95" s="2" t="s">
        <v>254</v>
      </c>
      <c r="S95" s="2" t="s">
        <v>81</v>
      </c>
      <c r="T95" s="13">
        <v>4.8179999999999996</v>
      </c>
      <c r="U95" s="2" t="s">
        <v>579</v>
      </c>
      <c r="V95" s="8">
        <v>2.4E-2</v>
      </c>
      <c r="W95" s="8">
        <v>2.6030000000000001E-2</v>
      </c>
      <c r="X95" s="2" t="s">
        <v>256</v>
      </c>
      <c r="Y95" s="2" t="s">
        <v>78</v>
      </c>
      <c r="Z95" s="6">
        <v>3000750</v>
      </c>
      <c r="AA95" s="13">
        <v>1</v>
      </c>
      <c r="AB95" s="6">
        <v>101.7</v>
      </c>
      <c r="AC95" s="6">
        <v>0</v>
      </c>
      <c r="AD95" s="6">
        <v>3051.7629999999999</v>
      </c>
      <c r="AG95" s="2" t="s">
        <v>23</v>
      </c>
      <c r="AH95" s="8">
        <v>1.3600000000000001E-3</v>
      </c>
      <c r="AI95" s="8">
        <v>9.2000000000000003E-4</v>
      </c>
      <c r="AJ95" s="8">
        <v>8.0000000000000007E-5</v>
      </c>
    </row>
    <row r="96" spans="1:36">
      <c r="A96" s="12">
        <v>1097</v>
      </c>
      <c r="B96" s="12">
        <v>1097</v>
      </c>
      <c r="C96" s="2" t="s">
        <v>572</v>
      </c>
      <c r="D96" s="3" t="s">
        <v>573</v>
      </c>
      <c r="E96" s="2" t="s">
        <v>245</v>
      </c>
      <c r="F96" s="2" t="s">
        <v>585</v>
      </c>
      <c r="G96" s="12" t="s">
        <v>586</v>
      </c>
      <c r="H96" s="2" t="s">
        <v>248</v>
      </c>
      <c r="I96" s="2" t="s">
        <v>261</v>
      </c>
      <c r="J96" s="2" t="s">
        <v>77</v>
      </c>
      <c r="K96" s="2" t="s">
        <v>77</v>
      </c>
      <c r="L96" s="2" t="s">
        <v>250</v>
      </c>
      <c r="M96" s="2" t="s">
        <v>130</v>
      </c>
      <c r="N96" s="2" t="s">
        <v>528</v>
      </c>
      <c r="O96" s="2" t="s">
        <v>78</v>
      </c>
      <c r="P96" s="3" t="s">
        <v>277</v>
      </c>
      <c r="Q96" s="2" t="s">
        <v>80</v>
      </c>
      <c r="R96" s="2" t="s">
        <v>254</v>
      </c>
      <c r="S96" s="2" t="s">
        <v>81</v>
      </c>
      <c r="T96" s="13">
        <v>4.9329999999999998</v>
      </c>
      <c r="U96" s="2" t="s">
        <v>587</v>
      </c>
      <c r="V96" s="8">
        <v>3.32E-2</v>
      </c>
      <c r="W96" s="8">
        <v>3.0009999999999998E-2</v>
      </c>
      <c r="X96" s="2" t="s">
        <v>256</v>
      </c>
      <c r="Y96" s="2" t="s">
        <v>78</v>
      </c>
      <c r="Z96" s="6">
        <v>1500000</v>
      </c>
      <c r="AA96" s="13">
        <v>1</v>
      </c>
      <c r="AB96" s="6">
        <v>106.72</v>
      </c>
      <c r="AC96" s="6">
        <v>0</v>
      </c>
      <c r="AD96" s="6">
        <v>1600.8</v>
      </c>
      <c r="AG96" s="2" t="s">
        <v>23</v>
      </c>
      <c r="AH96" s="8">
        <v>1.1999999999999999E-3</v>
      </c>
      <c r="AI96" s="8">
        <v>4.8000000000000001E-4</v>
      </c>
      <c r="AJ96" s="8">
        <v>4.0000000000000003E-5</v>
      </c>
    </row>
    <row r="97" spans="1:36">
      <c r="A97" s="12">
        <v>1097</v>
      </c>
      <c r="B97" s="12">
        <v>1097</v>
      </c>
      <c r="C97" s="2" t="s">
        <v>588</v>
      </c>
      <c r="D97" s="3" t="s">
        <v>589</v>
      </c>
      <c r="E97" s="2" t="s">
        <v>245</v>
      </c>
      <c r="F97" s="2" t="s">
        <v>590</v>
      </c>
      <c r="G97" s="12" t="s">
        <v>591</v>
      </c>
      <c r="H97" s="2" t="s">
        <v>248</v>
      </c>
      <c r="I97" s="2" t="s">
        <v>261</v>
      </c>
      <c r="J97" s="2" t="s">
        <v>77</v>
      </c>
      <c r="K97" s="2" t="s">
        <v>77</v>
      </c>
      <c r="L97" s="2" t="s">
        <v>250</v>
      </c>
      <c r="M97" s="2" t="s">
        <v>130</v>
      </c>
      <c r="N97" s="2" t="s">
        <v>373</v>
      </c>
      <c r="O97" s="2" t="s">
        <v>78</v>
      </c>
      <c r="P97" s="3" t="s">
        <v>592</v>
      </c>
      <c r="Q97" s="2" t="s">
        <v>253</v>
      </c>
      <c r="R97" s="2" t="s">
        <v>254</v>
      </c>
      <c r="S97" s="2" t="s">
        <v>81</v>
      </c>
      <c r="T97" s="13">
        <v>5.5640000000000001</v>
      </c>
      <c r="U97" s="2" t="s">
        <v>593</v>
      </c>
      <c r="V97" s="8">
        <v>3.3000000000000002E-2</v>
      </c>
      <c r="W97" s="8">
        <v>3.3009999999999998E-2</v>
      </c>
      <c r="X97" s="2" t="s">
        <v>256</v>
      </c>
      <c r="Y97" s="2" t="s">
        <v>78</v>
      </c>
      <c r="Z97" s="6">
        <v>2637837.84</v>
      </c>
      <c r="AA97" s="13">
        <v>1</v>
      </c>
      <c r="AB97" s="6">
        <v>109.3</v>
      </c>
      <c r="AC97" s="6">
        <v>0</v>
      </c>
      <c r="AD97" s="6">
        <v>2883.1570000000002</v>
      </c>
      <c r="AG97" s="2" t="s">
        <v>23</v>
      </c>
      <c r="AH97" s="8">
        <v>2.2200000000000002E-3</v>
      </c>
      <c r="AI97" s="8">
        <v>8.7000000000000001E-4</v>
      </c>
      <c r="AJ97" s="8">
        <v>6.9999999999999994E-5</v>
      </c>
    </row>
    <row r="98" spans="1:36">
      <c r="A98" s="12">
        <v>1097</v>
      </c>
      <c r="B98" s="12">
        <v>1097</v>
      </c>
      <c r="C98" s="2" t="s">
        <v>594</v>
      </c>
      <c r="D98" s="3" t="s">
        <v>595</v>
      </c>
      <c r="E98" s="2" t="s">
        <v>245</v>
      </c>
      <c r="F98" s="2" t="s">
        <v>596</v>
      </c>
      <c r="G98" s="12" t="s">
        <v>597</v>
      </c>
      <c r="H98" s="2" t="s">
        <v>248</v>
      </c>
      <c r="I98" s="2" t="s">
        <v>261</v>
      </c>
      <c r="J98" s="2" t="s">
        <v>77</v>
      </c>
      <c r="K98" s="2" t="s">
        <v>77</v>
      </c>
      <c r="L98" s="2" t="s">
        <v>250</v>
      </c>
      <c r="M98" s="2" t="s">
        <v>130</v>
      </c>
      <c r="N98" s="2" t="s">
        <v>347</v>
      </c>
      <c r="O98" s="2" t="s">
        <v>78</v>
      </c>
      <c r="P98" s="3" t="s">
        <v>374</v>
      </c>
      <c r="Q98" s="2" t="s">
        <v>80</v>
      </c>
      <c r="R98" s="2" t="s">
        <v>254</v>
      </c>
      <c r="S98" s="2" t="s">
        <v>81</v>
      </c>
      <c r="T98" s="13">
        <v>3.7040000000000002</v>
      </c>
      <c r="U98" s="2" t="s">
        <v>332</v>
      </c>
      <c r="V98" s="8">
        <v>4.3999999999999997E-2</v>
      </c>
      <c r="W98" s="8">
        <v>2.8369999999999999E-2</v>
      </c>
      <c r="X98" s="2" t="s">
        <v>256</v>
      </c>
      <c r="Y98" s="2" t="s">
        <v>78</v>
      </c>
      <c r="Z98" s="6">
        <v>1866250</v>
      </c>
      <c r="AA98" s="13">
        <v>1</v>
      </c>
      <c r="AB98" s="6">
        <v>113.64</v>
      </c>
      <c r="AC98" s="6">
        <v>0</v>
      </c>
      <c r="AD98" s="6">
        <v>2120.8069999999998</v>
      </c>
      <c r="AG98" s="2" t="s">
        <v>23</v>
      </c>
      <c r="AH98" s="8">
        <v>4.5199999999999997E-3</v>
      </c>
      <c r="AI98" s="8">
        <v>6.4000000000000005E-4</v>
      </c>
      <c r="AJ98" s="8">
        <v>5.0000000000000002E-5</v>
      </c>
    </row>
    <row r="99" spans="1:36">
      <c r="A99" s="12">
        <v>1097</v>
      </c>
      <c r="B99" s="12">
        <v>1097</v>
      </c>
      <c r="C99" s="2" t="s">
        <v>598</v>
      </c>
      <c r="D99" s="3" t="s">
        <v>599</v>
      </c>
      <c r="E99" s="2" t="s">
        <v>245</v>
      </c>
      <c r="F99" s="2" t="s">
        <v>600</v>
      </c>
      <c r="G99" s="12" t="s">
        <v>601</v>
      </c>
      <c r="H99" s="2" t="s">
        <v>248</v>
      </c>
      <c r="I99" s="2" t="s">
        <v>249</v>
      </c>
      <c r="J99" s="2" t="s">
        <v>77</v>
      </c>
      <c r="K99" s="2" t="s">
        <v>77</v>
      </c>
      <c r="L99" s="2" t="s">
        <v>250</v>
      </c>
      <c r="M99" s="2" t="s">
        <v>130</v>
      </c>
      <c r="N99" s="2" t="s">
        <v>602</v>
      </c>
      <c r="O99" s="2" t="s">
        <v>78</v>
      </c>
      <c r="P99" s="3" t="s">
        <v>277</v>
      </c>
      <c r="Q99" s="2" t="s">
        <v>80</v>
      </c>
      <c r="R99" s="2" t="s">
        <v>254</v>
      </c>
      <c r="S99" s="2" t="s">
        <v>81</v>
      </c>
      <c r="T99" s="13">
        <v>1.571</v>
      </c>
      <c r="U99" s="2" t="s">
        <v>603</v>
      </c>
      <c r="V99" s="8">
        <v>0.05</v>
      </c>
      <c r="W99" s="8">
        <v>4.9140000000000003E-2</v>
      </c>
      <c r="X99" s="2" t="s">
        <v>256</v>
      </c>
      <c r="Y99" s="2" t="s">
        <v>78</v>
      </c>
      <c r="Z99" s="6">
        <v>4975348.7699999996</v>
      </c>
      <c r="AA99" s="13">
        <v>1</v>
      </c>
      <c r="AB99" s="6">
        <v>101.87</v>
      </c>
      <c r="AC99" s="6">
        <v>0</v>
      </c>
      <c r="AD99" s="6">
        <v>5068.3879999999999</v>
      </c>
      <c r="AG99" s="2" t="s">
        <v>23</v>
      </c>
      <c r="AH99" s="8">
        <v>2.2290000000000001E-2</v>
      </c>
      <c r="AI99" s="8">
        <v>1.5299999999999999E-3</v>
      </c>
      <c r="AJ99" s="8">
        <v>1.2999999999999999E-4</v>
      </c>
    </row>
    <row r="100" spans="1:36">
      <c r="A100" s="12">
        <v>1097</v>
      </c>
      <c r="B100" s="12">
        <v>1097</v>
      </c>
      <c r="C100" s="2" t="s">
        <v>604</v>
      </c>
      <c r="D100" s="3" t="s">
        <v>605</v>
      </c>
      <c r="E100" s="2" t="s">
        <v>245</v>
      </c>
      <c r="F100" s="2" t="s">
        <v>606</v>
      </c>
      <c r="G100" s="12" t="s">
        <v>607</v>
      </c>
      <c r="H100" s="2" t="s">
        <v>248</v>
      </c>
      <c r="I100" s="2" t="s">
        <v>249</v>
      </c>
      <c r="J100" s="2" t="s">
        <v>77</v>
      </c>
      <c r="K100" s="2" t="s">
        <v>77</v>
      </c>
      <c r="L100" s="2" t="s">
        <v>250</v>
      </c>
      <c r="M100" s="2" t="s">
        <v>130</v>
      </c>
      <c r="N100" s="2" t="s">
        <v>251</v>
      </c>
      <c r="O100" s="2" t="s">
        <v>78</v>
      </c>
      <c r="P100" s="3" t="s">
        <v>283</v>
      </c>
      <c r="Q100" s="2" t="s">
        <v>253</v>
      </c>
      <c r="R100" s="2" t="s">
        <v>254</v>
      </c>
      <c r="S100" s="2" t="s">
        <v>81</v>
      </c>
      <c r="T100" s="13">
        <v>1.6919999999999999</v>
      </c>
      <c r="U100" s="2" t="s">
        <v>608</v>
      </c>
      <c r="V100" s="8">
        <v>2.58E-2</v>
      </c>
      <c r="W100" s="8">
        <v>4.913E-2</v>
      </c>
      <c r="X100" s="2" t="s">
        <v>256</v>
      </c>
      <c r="Y100" s="2" t="s">
        <v>78</v>
      </c>
      <c r="Z100" s="6">
        <v>2726280.46</v>
      </c>
      <c r="AA100" s="13">
        <v>1</v>
      </c>
      <c r="AB100" s="6">
        <v>96.27</v>
      </c>
      <c r="AC100" s="6">
        <v>0</v>
      </c>
      <c r="AD100" s="6">
        <v>2624.59</v>
      </c>
      <c r="AG100" s="2" t="s">
        <v>23</v>
      </c>
      <c r="AH100" s="8">
        <v>1.176E-2</v>
      </c>
      <c r="AI100" s="8">
        <v>7.9000000000000001E-4</v>
      </c>
      <c r="AJ100" s="8">
        <v>6.9999999999999994E-5</v>
      </c>
    </row>
    <row r="101" spans="1:36">
      <c r="A101" s="12">
        <v>1097</v>
      </c>
      <c r="B101" s="12">
        <v>1097</v>
      </c>
      <c r="C101" s="2" t="s">
        <v>604</v>
      </c>
      <c r="D101" s="3" t="s">
        <v>605</v>
      </c>
      <c r="E101" s="2" t="s">
        <v>245</v>
      </c>
      <c r="F101" s="2" t="s">
        <v>609</v>
      </c>
      <c r="G101" s="12" t="s">
        <v>610</v>
      </c>
      <c r="H101" s="2" t="s">
        <v>248</v>
      </c>
      <c r="I101" s="2" t="s">
        <v>249</v>
      </c>
      <c r="J101" s="2" t="s">
        <v>77</v>
      </c>
      <c r="K101" s="2" t="s">
        <v>77</v>
      </c>
      <c r="L101" s="2" t="s">
        <v>250</v>
      </c>
      <c r="M101" s="2" t="s">
        <v>130</v>
      </c>
      <c r="N101" s="2" t="s">
        <v>251</v>
      </c>
      <c r="O101" s="2" t="s">
        <v>78</v>
      </c>
      <c r="P101" s="3" t="s">
        <v>283</v>
      </c>
      <c r="Q101" s="2" t="s">
        <v>253</v>
      </c>
      <c r="R101" s="2" t="s">
        <v>254</v>
      </c>
      <c r="S101" s="2" t="s">
        <v>81</v>
      </c>
      <c r="T101" s="13">
        <v>4.3650000000000002</v>
      </c>
      <c r="U101" s="2" t="s">
        <v>611</v>
      </c>
      <c r="V101" s="8">
        <v>6.1199999999999997E-2</v>
      </c>
      <c r="W101" s="8">
        <v>4.8210000000000003E-2</v>
      </c>
      <c r="X101" s="2" t="s">
        <v>256</v>
      </c>
      <c r="Y101" s="2" t="s">
        <v>78</v>
      </c>
      <c r="Z101" s="6">
        <v>565000</v>
      </c>
      <c r="AA101" s="13">
        <v>1</v>
      </c>
      <c r="AB101" s="6">
        <v>105.9</v>
      </c>
      <c r="AC101" s="6">
        <v>0</v>
      </c>
      <c r="AD101" s="6">
        <v>598.33500000000004</v>
      </c>
      <c r="AG101" s="2" t="s">
        <v>23</v>
      </c>
      <c r="AH101" s="8">
        <v>1.99E-3</v>
      </c>
      <c r="AI101" s="8">
        <v>1.8000000000000001E-4</v>
      </c>
      <c r="AJ101" s="8">
        <v>1.0000000000000001E-5</v>
      </c>
    </row>
    <row r="102" spans="1:36">
      <c r="A102" s="12">
        <v>1097</v>
      </c>
      <c r="B102" s="12">
        <v>1097</v>
      </c>
      <c r="C102" s="2" t="s">
        <v>612</v>
      </c>
      <c r="D102" s="3" t="s">
        <v>613</v>
      </c>
      <c r="E102" s="2" t="s">
        <v>245</v>
      </c>
      <c r="F102" s="2" t="s">
        <v>614</v>
      </c>
      <c r="G102" s="12" t="s">
        <v>615</v>
      </c>
      <c r="H102" s="2" t="s">
        <v>248</v>
      </c>
      <c r="I102" s="2" t="s">
        <v>261</v>
      </c>
      <c r="J102" s="2" t="s">
        <v>77</v>
      </c>
      <c r="K102" s="2" t="s">
        <v>77</v>
      </c>
      <c r="L102" s="2" t="s">
        <v>250</v>
      </c>
      <c r="M102" s="2" t="s">
        <v>130</v>
      </c>
      <c r="N102" s="2" t="s">
        <v>347</v>
      </c>
      <c r="O102" s="2" t="s">
        <v>78</v>
      </c>
      <c r="P102" s="3" t="s">
        <v>374</v>
      </c>
      <c r="Q102" s="2" t="s">
        <v>80</v>
      </c>
      <c r="R102" s="2" t="s">
        <v>254</v>
      </c>
      <c r="S102" s="2" t="s">
        <v>81</v>
      </c>
      <c r="T102" s="13">
        <v>2.2559999999999998</v>
      </c>
      <c r="U102" s="2" t="s">
        <v>608</v>
      </c>
      <c r="V102" s="8">
        <v>1.7999999999999999E-2</v>
      </c>
      <c r="W102" s="8">
        <v>2.794E-2</v>
      </c>
      <c r="X102" s="2" t="s">
        <v>256</v>
      </c>
      <c r="Y102" s="2" t="s">
        <v>78</v>
      </c>
      <c r="Z102" s="6">
        <v>6108677.6799999997</v>
      </c>
      <c r="AA102" s="13">
        <v>1</v>
      </c>
      <c r="AB102" s="6">
        <v>115.55</v>
      </c>
      <c r="AC102" s="6">
        <v>0</v>
      </c>
      <c r="AD102" s="6">
        <v>7058.5770000000002</v>
      </c>
      <c r="AG102" s="2" t="s">
        <v>23</v>
      </c>
      <c r="AH102" s="8">
        <v>8.26E-3</v>
      </c>
      <c r="AI102" s="8">
        <v>2.1299999999999999E-3</v>
      </c>
      <c r="AJ102" s="8">
        <v>1.8000000000000001E-4</v>
      </c>
    </row>
    <row r="103" spans="1:36">
      <c r="A103" s="12">
        <v>1097</v>
      </c>
      <c r="B103" s="12">
        <v>1097</v>
      </c>
      <c r="C103" s="2" t="s">
        <v>612</v>
      </c>
      <c r="D103" s="3" t="s">
        <v>613</v>
      </c>
      <c r="E103" s="2" t="s">
        <v>245</v>
      </c>
      <c r="F103" s="2" t="s">
        <v>616</v>
      </c>
      <c r="G103" s="12" t="s">
        <v>617</v>
      </c>
      <c r="H103" s="2" t="s">
        <v>248</v>
      </c>
      <c r="I103" s="2" t="s">
        <v>261</v>
      </c>
      <c r="J103" s="2" t="s">
        <v>77</v>
      </c>
      <c r="K103" s="2" t="s">
        <v>77</v>
      </c>
      <c r="L103" s="2" t="s">
        <v>250</v>
      </c>
      <c r="M103" s="2" t="s">
        <v>130</v>
      </c>
      <c r="N103" s="2" t="s">
        <v>347</v>
      </c>
      <c r="O103" s="2" t="s">
        <v>78</v>
      </c>
      <c r="P103" s="3" t="s">
        <v>537</v>
      </c>
      <c r="Q103" s="2" t="s">
        <v>80</v>
      </c>
      <c r="R103" s="2" t="s">
        <v>254</v>
      </c>
      <c r="S103" s="2" t="s">
        <v>81</v>
      </c>
      <c r="T103" s="13">
        <v>1.474</v>
      </c>
      <c r="U103" s="2" t="s">
        <v>538</v>
      </c>
      <c r="V103" s="8">
        <v>2.2499999999999999E-2</v>
      </c>
      <c r="W103" s="8">
        <v>2.7740000000000001E-2</v>
      </c>
      <c r="X103" s="2" t="s">
        <v>256</v>
      </c>
      <c r="Y103" s="2" t="s">
        <v>78</v>
      </c>
      <c r="Z103" s="6">
        <v>429733.56</v>
      </c>
      <c r="AA103" s="13">
        <v>1</v>
      </c>
      <c r="AB103" s="6">
        <v>116.57</v>
      </c>
      <c r="AC103" s="6">
        <v>0</v>
      </c>
      <c r="AD103" s="6">
        <v>500.94</v>
      </c>
      <c r="AG103" s="2" t="s">
        <v>23</v>
      </c>
      <c r="AH103" s="8">
        <v>1.72E-3</v>
      </c>
      <c r="AI103" s="8">
        <v>1.4999999999999999E-4</v>
      </c>
      <c r="AJ103" s="8">
        <v>1.0000000000000001E-5</v>
      </c>
    </row>
    <row r="104" spans="1:36">
      <c r="A104" s="12">
        <v>1097</v>
      </c>
      <c r="B104" s="12">
        <v>1097</v>
      </c>
      <c r="C104" s="2" t="s">
        <v>612</v>
      </c>
      <c r="D104" s="3" t="s">
        <v>613</v>
      </c>
      <c r="E104" s="2" t="s">
        <v>245</v>
      </c>
      <c r="F104" s="2" t="s">
        <v>618</v>
      </c>
      <c r="G104" s="12" t="s">
        <v>619</v>
      </c>
      <c r="H104" s="2" t="s">
        <v>248</v>
      </c>
      <c r="I104" s="2" t="s">
        <v>261</v>
      </c>
      <c r="J104" s="2" t="s">
        <v>77</v>
      </c>
      <c r="K104" s="2" t="s">
        <v>77</v>
      </c>
      <c r="L104" s="2" t="s">
        <v>250</v>
      </c>
      <c r="M104" s="2" t="s">
        <v>130</v>
      </c>
      <c r="N104" s="2" t="s">
        <v>347</v>
      </c>
      <c r="O104" s="2" t="s">
        <v>78</v>
      </c>
      <c r="P104" s="3" t="s">
        <v>537</v>
      </c>
      <c r="Q104" s="2" t="s">
        <v>80</v>
      </c>
      <c r="R104" s="2" t="s">
        <v>254</v>
      </c>
      <c r="S104" s="2" t="s">
        <v>81</v>
      </c>
      <c r="T104" s="13">
        <v>1.885</v>
      </c>
      <c r="U104" s="2" t="s">
        <v>284</v>
      </c>
      <c r="V104" s="8">
        <v>3.3000000000000002E-2</v>
      </c>
      <c r="W104" s="8">
        <v>3.1220000000000001E-2</v>
      </c>
      <c r="X104" s="2" t="s">
        <v>256</v>
      </c>
      <c r="Y104" s="2" t="s">
        <v>78</v>
      </c>
      <c r="Z104" s="6">
        <v>1406500</v>
      </c>
      <c r="AA104" s="13">
        <v>1</v>
      </c>
      <c r="AB104" s="6">
        <v>117.23</v>
      </c>
      <c r="AC104" s="6">
        <v>0</v>
      </c>
      <c r="AD104" s="6">
        <v>1648.84</v>
      </c>
      <c r="AG104" s="2" t="s">
        <v>23</v>
      </c>
      <c r="AH104" s="8">
        <v>2.8400000000000001E-3</v>
      </c>
      <c r="AI104" s="8">
        <v>5.0000000000000001E-4</v>
      </c>
      <c r="AJ104" s="8">
        <v>4.0000000000000003E-5</v>
      </c>
    </row>
    <row r="105" spans="1:36">
      <c r="A105" s="12">
        <v>1097</v>
      </c>
      <c r="B105" s="12">
        <v>1097</v>
      </c>
      <c r="C105" s="2" t="s">
        <v>612</v>
      </c>
      <c r="D105" s="3" t="s">
        <v>613</v>
      </c>
      <c r="E105" s="2" t="s">
        <v>245</v>
      </c>
      <c r="F105" s="2" t="s">
        <v>620</v>
      </c>
      <c r="G105" s="12" t="s">
        <v>621</v>
      </c>
      <c r="H105" s="2" t="s">
        <v>248</v>
      </c>
      <c r="I105" s="2" t="s">
        <v>261</v>
      </c>
      <c r="J105" s="2" t="s">
        <v>77</v>
      </c>
      <c r="K105" s="2" t="s">
        <v>77</v>
      </c>
      <c r="L105" s="2" t="s">
        <v>250</v>
      </c>
      <c r="M105" s="2" t="s">
        <v>130</v>
      </c>
      <c r="N105" s="2" t="s">
        <v>347</v>
      </c>
      <c r="O105" s="2" t="s">
        <v>78</v>
      </c>
      <c r="P105" s="3" t="s">
        <v>374</v>
      </c>
      <c r="Q105" s="2" t="s">
        <v>80</v>
      </c>
      <c r="R105" s="2" t="s">
        <v>254</v>
      </c>
      <c r="S105" s="2" t="s">
        <v>81</v>
      </c>
      <c r="T105" s="13">
        <v>2.875</v>
      </c>
      <c r="U105" s="2" t="s">
        <v>381</v>
      </c>
      <c r="V105" s="8">
        <v>2.7E-2</v>
      </c>
      <c r="W105" s="8">
        <v>2.9100000000000001E-2</v>
      </c>
      <c r="X105" s="2" t="s">
        <v>256</v>
      </c>
      <c r="Y105" s="2" t="s">
        <v>78</v>
      </c>
      <c r="Z105" s="6">
        <v>1299100</v>
      </c>
      <c r="AA105" s="13">
        <v>1</v>
      </c>
      <c r="AB105" s="6">
        <v>108.07</v>
      </c>
      <c r="AC105" s="6">
        <v>0</v>
      </c>
      <c r="AD105" s="6">
        <v>1403.9369999999999</v>
      </c>
      <c r="AG105" s="2" t="s">
        <v>23</v>
      </c>
      <c r="AH105" s="8">
        <v>3.3E-3</v>
      </c>
      <c r="AI105" s="8">
        <v>4.2000000000000002E-4</v>
      </c>
      <c r="AJ105" s="8">
        <v>3.0000000000000001E-5</v>
      </c>
    </row>
    <row r="106" spans="1:36">
      <c r="A106" s="12">
        <v>1097</v>
      </c>
      <c r="B106" s="12">
        <v>1097</v>
      </c>
      <c r="C106" s="2" t="s">
        <v>612</v>
      </c>
      <c r="D106" s="3" t="s">
        <v>613</v>
      </c>
      <c r="E106" s="2" t="s">
        <v>245</v>
      </c>
      <c r="F106" s="2" t="s">
        <v>622</v>
      </c>
      <c r="G106" s="12" t="s">
        <v>623</v>
      </c>
      <c r="H106" s="2" t="s">
        <v>248</v>
      </c>
      <c r="I106" s="2" t="s">
        <v>261</v>
      </c>
      <c r="J106" s="2" t="s">
        <v>77</v>
      </c>
      <c r="K106" s="2" t="s">
        <v>77</v>
      </c>
      <c r="L106" s="2" t="s">
        <v>250</v>
      </c>
      <c r="M106" s="2" t="s">
        <v>130</v>
      </c>
      <c r="N106" s="2" t="s">
        <v>347</v>
      </c>
      <c r="O106" s="2" t="s">
        <v>78</v>
      </c>
      <c r="P106" s="3" t="s">
        <v>537</v>
      </c>
      <c r="Q106" s="2" t="s">
        <v>80</v>
      </c>
      <c r="R106" s="2" t="s">
        <v>254</v>
      </c>
      <c r="S106" s="2" t="s">
        <v>81</v>
      </c>
      <c r="T106" s="13">
        <v>4.2329999999999997</v>
      </c>
      <c r="U106" s="2" t="s">
        <v>548</v>
      </c>
      <c r="V106" s="8">
        <v>4.4499999999999998E-2</v>
      </c>
      <c r="W106" s="8">
        <v>3.3079999999999998E-2</v>
      </c>
      <c r="X106" s="2" t="s">
        <v>256</v>
      </c>
      <c r="Y106" s="2" t="s">
        <v>78</v>
      </c>
      <c r="Z106" s="6">
        <v>800000</v>
      </c>
      <c r="AA106" s="13">
        <v>1</v>
      </c>
      <c r="AB106" s="6">
        <v>109.95</v>
      </c>
      <c r="AC106" s="6">
        <v>0</v>
      </c>
      <c r="AD106" s="6">
        <v>879.6</v>
      </c>
      <c r="AG106" s="2" t="s">
        <v>23</v>
      </c>
      <c r="AH106" s="8">
        <v>1.7799999999999999E-3</v>
      </c>
      <c r="AI106" s="8">
        <v>2.7E-4</v>
      </c>
      <c r="AJ106" s="8">
        <v>2.0000000000000002E-5</v>
      </c>
    </row>
    <row r="107" spans="1:36">
      <c r="A107" s="12">
        <v>1097</v>
      </c>
      <c r="B107" s="12">
        <v>1097</v>
      </c>
      <c r="C107" s="2" t="s">
        <v>624</v>
      </c>
      <c r="D107" s="3" t="s">
        <v>625</v>
      </c>
      <c r="E107" s="2" t="s">
        <v>245</v>
      </c>
      <c r="F107" s="2" t="s">
        <v>626</v>
      </c>
      <c r="G107" s="12" t="s">
        <v>627</v>
      </c>
      <c r="H107" s="2" t="s">
        <v>248</v>
      </c>
      <c r="I107" s="2" t="s">
        <v>261</v>
      </c>
      <c r="J107" s="2" t="s">
        <v>77</v>
      </c>
      <c r="K107" s="2" t="s">
        <v>77</v>
      </c>
      <c r="L107" s="2" t="s">
        <v>250</v>
      </c>
      <c r="M107" s="2" t="s">
        <v>130</v>
      </c>
      <c r="N107" s="2" t="s">
        <v>628</v>
      </c>
      <c r="O107" s="2" t="s">
        <v>78</v>
      </c>
      <c r="P107" s="3" t="s">
        <v>277</v>
      </c>
      <c r="Q107" s="2" t="s">
        <v>80</v>
      </c>
      <c r="R107" s="2" t="s">
        <v>254</v>
      </c>
      <c r="S107" s="2" t="s">
        <v>81</v>
      </c>
      <c r="T107" s="13">
        <v>1.486</v>
      </c>
      <c r="U107" s="2" t="s">
        <v>381</v>
      </c>
      <c r="V107" s="8">
        <v>2.4E-2</v>
      </c>
      <c r="W107" s="8">
        <v>2.512E-2</v>
      </c>
      <c r="X107" s="2" t="s">
        <v>629</v>
      </c>
      <c r="Y107" s="2" t="s">
        <v>78</v>
      </c>
      <c r="Z107" s="6">
        <v>575375</v>
      </c>
      <c r="AA107" s="13">
        <v>1</v>
      </c>
      <c r="AB107" s="6">
        <v>116.85</v>
      </c>
      <c r="AC107" s="6">
        <v>0</v>
      </c>
      <c r="AD107" s="6">
        <v>672.32600000000002</v>
      </c>
      <c r="AG107" s="2" t="s">
        <v>23</v>
      </c>
      <c r="AH107" s="8">
        <v>1.9499999999999999E-3</v>
      </c>
      <c r="AI107" s="8">
        <v>2.0000000000000001E-4</v>
      </c>
      <c r="AJ107" s="8">
        <v>2.0000000000000002E-5</v>
      </c>
    </row>
    <row r="108" spans="1:36">
      <c r="A108" s="12">
        <v>1097</v>
      </c>
      <c r="B108" s="12">
        <v>1097</v>
      </c>
      <c r="C108" s="2" t="s">
        <v>624</v>
      </c>
      <c r="D108" s="3" t="s">
        <v>625</v>
      </c>
      <c r="E108" s="2" t="s">
        <v>245</v>
      </c>
      <c r="F108" s="2" t="s">
        <v>630</v>
      </c>
      <c r="G108" s="12" t="s">
        <v>631</v>
      </c>
      <c r="H108" s="2" t="s">
        <v>248</v>
      </c>
      <c r="I108" s="2" t="s">
        <v>249</v>
      </c>
      <c r="J108" s="2" t="s">
        <v>77</v>
      </c>
      <c r="K108" s="2" t="s">
        <v>77</v>
      </c>
      <c r="L108" s="2" t="s">
        <v>250</v>
      </c>
      <c r="M108" s="2" t="s">
        <v>130</v>
      </c>
      <c r="N108" s="2" t="s">
        <v>628</v>
      </c>
      <c r="O108" s="2" t="s">
        <v>78</v>
      </c>
      <c r="P108" s="3" t="s">
        <v>277</v>
      </c>
      <c r="Q108" s="2" t="s">
        <v>80</v>
      </c>
      <c r="R108" s="2" t="s">
        <v>254</v>
      </c>
      <c r="S108" s="2" t="s">
        <v>81</v>
      </c>
      <c r="T108" s="13">
        <v>4.9530000000000003</v>
      </c>
      <c r="U108" s="2" t="s">
        <v>458</v>
      </c>
      <c r="V108" s="8">
        <v>4.36E-2</v>
      </c>
      <c r="W108" s="8">
        <v>4.4150000000000002E-2</v>
      </c>
      <c r="X108" s="2" t="s">
        <v>629</v>
      </c>
      <c r="Y108" s="2" t="s">
        <v>78</v>
      </c>
      <c r="Z108" s="6">
        <v>3938779</v>
      </c>
      <c r="AA108" s="13">
        <v>1</v>
      </c>
      <c r="AB108" s="6">
        <v>99.95</v>
      </c>
      <c r="AC108" s="6">
        <v>0</v>
      </c>
      <c r="AD108" s="6">
        <v>3936.81</v>
      </c>
      <c r="AG108" s="2" t="s">
        <v>23</v>
      </c>
      <c r="AH108" s="8">
        <v>1.3129999999999999E-2</v>
      </c>
      <c r="AI108" s="8">
        <v>1.1900000000000001E-3</v>
      </c>
      <c r="AJ108" s="8">
        <v>1E-4</v>
      </c>
    </row>
    <row r="109" spans="1:36">
      <c r="A109" s="12">
        <v>1097</v>
      </c>
      <c r="B109" s="12">
        <v>1097</v>
      </c>
      <c r="C109" s="2" t="s">
        <v>624</v>
      </c>
      <c r="D109" s="3" t="s">
        <v>625</v>
      </c>
      <c r="E109" s="2" t="s">
        <v>245</v>
      </c>
      <c r="F109" s="2" t="s">
        <v>632</v>
      </c>
      <c r="G109" s="12" t="s">
        <v>633</v>
      </c>
      <c r="H109" s="2" t="s">
        <v>248</v>
      </c>
      <c r="I109" s="2" t="s">
        <v>249</v>
      </c>
      <c r="J109" s="2" t="s">
        <v>77</v>
      </c>
      <c r="K109" s="2" t="s">
        <v>77</v>
      </c>
      <c r="L109" s="2" t="s">
        <v>250</v>
      </c>
      <c r="M109" s="2" t="s">
        <v>130</v>
      </c>
      <c r="N109" s="2" t="s">
        <v>628</v>
      </c>
      <c r="O109" s="2" t="s">
        <v>78</v>
      </c>
      <c r="P109" s="3" t="s">
        <v>277</v>
      </c>
      <c r="Q109" s="2" t="s">
        <v>80</v>
      </c>
      <c r="R109" s="2" t="s">
        <v>254</v>
      </c>
      <c r="S109" s="2" t="s">
        <v>81</v>
      </c>
      <c r="T109" s="13">
        <v>3.3039999999999998</v>
      </c>
      <c r="U109" s="2" t="s">
        <v>634</v>
      </c>
      <c r="V109" s="8">
        <v>3.95E-2</v>
      </c>
      <c r="W109" s="8">
        <v>4.369E-2</v>
      </c>
      <c r="X109" s="2" t="s">
        <v>629</v>
      </c>
      <c r="Y109" s="2" t="s">
        <v>78</v>
      </c>
      <c r="Z109" s="6">
        <v>296434</v>
      </c>
      <c r="AA109" s="13">
        <v>1</v>
      </c>
      <c r="AB109" s="6">
        <v>98.79</v>
      </c>
      <c r="AC109" s="6">
        <v>0</v>
      </c>
      <c r="AD109" s="6">
        <v>292.84699999999998</v>
      </c>
      <c r="AG109" s="2" t="s">
        <v>23</v>
      </c>
      <c r="AH109" s="8">
        <v>1.24E-3</v>
      </c>
      <c r="AI109" s="8">
        <v>9.0000000000000006E-5</v>
      </c>
      <c r="AJ109" s="8">
        <v>1.0000000000000001E-5</v>
      </c>
    </row>
    <row r="110" spans="1:36">
      <c r="A110" s="12">
        <v>1097</v>
      </c>
      <c r="B110" s="12">
        <v>1097</v>
      </c>
      <c r="C110" s="2" t="s">
        <v>624</v>
      </c>
      <c r="D110" s="3" t="s">
        <v>625</v>
      </c>
      <c r="E110" s="2" t="s">
        <v>245</v>
      </c>
      <c r="F110" s="2" t="s">
        <v>635</v>
      </c>
      <c r="G110" s="12" t="s">
        <v>636</v>
      </c>
      <c r="H110" s="2" t="s">
        <v>248</v>
      </c>
      <c r="I110" s="2" t="s">
        <v>249</v>
      </c>
      <c r="J110" s="2" t="s">
        <v>77</v>
      </c>
      <c r="K110" s="2" t="s">
        <v>77</v>
      </c>
      <c r="L110" s="2" t="s">
        <v>250</v>
      </c>
      <c r="M110" s="2" t="s">
        <v>130</v>
      </c>
      <c r="N110" s="2" t="s">
        <v>628</v>
      </c>
      <c r="O110" s="2" t="s">
        <v>78</v>
      </c>
      <c r="P110" s="3" t="s">
        <v>277</v>
      </c>
      <c r="Q110" s="2" t="s">
        <v>80</v>
      </c>
      <c r="R110" s="2" t="s">
        <v>254</v>
      </c>
      <c r="S110" s="2" t="s">
        <v>81</v>
      </c>
      <c r="T110" s="13">
        <v>5.09</v>
      </c>
      <c r="U110" s="2" t="s">
        <v>461</v>
      </c>
      <c r="V110" s="8">
        <v>3.0499999999999999E-2</v>
      </c>
      <c r="W110" s="8">
        <v>4.6429999999999999E-2</v>
      </c>
      <c r="X110" s="2" t="s">
        <v>629</v>
      </c>
      <c r="Y110" s="2" t="s">
        <v>78</v>
      </c>
      <c r="Z110" s="6">
        <v>58004381</v>
      </c>
      <c r="AA110" s="13">
        <v>1</v>
      </c>
      <c r="AB110" s="6">
        <v>92.57</v>
      </c>
      <c r="AC110" s="6">
        <v>0</v>
      </c>
      <c r="AD110" s="6">
        <v>53694.654999999999</v>
      </c>
      <c r="AG110" s="2" t="s">
        <v>23</v>
      </c>
      <c r="AH110" s="8">
        <v>7.9579999999999998E-2</v>
      </c>
      <c r="AI110" s="8">
        <v>1.6219999999999998E-2</v>
      </c>
      <c r="AJ110" s="8">
        <v>1.33E-3</v>
      </c>
    </row>
    <row r="111" spans="1:36">
      <c r="A111" s="12">
        <v>1097</v>
      </c>
      <c r="B111" s="12">
        <v>1097</v>
      </c>
      <c r="C111" s="2" t="s">
        <v>624</v>
      </c>
      <c r="D111" s="3" t="s">
        <v>625</v>
      </c>
      <c r="E111" s="2" t="s">
        <v>245</v>
      </c>
      <c r="F111" s="2" t="s">
        <v>637</v>
      </c>
      <c r="G111" s="12" t="s">
        <v>638</v>
      </c>
      <c r="H111" s="2" t="s">
        <v>248</v>
      </c>
      <c r="I111" s="2" t="s">
        <v>249</v>
      </c>
      <c r="J111" s="2" t="s">
        <v>77</v>
      </c>
      <c r="K111" s="2" t="s">
        <v>77</v>
      </c>
      <c r="L111" s="2" t="s">
        <v>250</v>
      </c>
      <c r="M111" s="2" t="s">
        <v>130</v>
      </c>
      <c r="N111" s="2" t="s">
        <v>628</v>
      </c>
      <c r="O111" s="2" t="s">
        <v>78</v>
      </c>
      <c r="P111" s="3" t="s">
        <v>277</v>
      </c>
      <c r="Q111" s="2" t="s">
        <v>80</v>
      </c>
      <c r="R111" s="2" t="s">
        <v>254</v>
      </c>
      <c r="S111" s="2" t="s">
        <v>81</v>
      </c>
      <c r="T111" s="13">
        <v>5.9160000000000004</v>
      </c>
      <c r="U111" s="2" t="s">
        <v>639</v>
      </c>
      <c r="V111" s="8">
        <v>3.0499999999999999E-2</v>
      </c>
      <c r="W111" s="8">
        <v>4.6940000000000003E-2</v>
      </c>
      <c r="X111" s="2" t="s">
        <v>629</v>
      </c>
      <c r="Y111" s="2" t="s">
        <v>78</v>
      </c>
      <c r="Z111" s="6">
        <v>68100899</v>
      </c>
      <c r="AA111" s="13">
        <v>1</v>
      </c>
      <c r="AB111" s="6">
        <v>91.15</v>
      </c>
      <c r="AC111" s="6">
        <v>0</v>
      </c>
      <c r="AD111" s="6">
        <v>62073.968999999997</v>
      </c>
      <c r="AG111" s="2" t="s">
        <v>23</v>
      </c>
      <c r="AH111" s="8">
        <v>9.9760000000000001E-2</v>
      </c>
      <c r="AI111" s="8">
        <v>1.8759999999999999E-2</v>
      </c>
      <c r="AJ111" s="8">
        <v>1.5399999999999999E-3</v>
      </c>
    </row>
    <row r="112" spans="1:36">
      <c r="A112" s="12">
        <v>1097</v>
      </c>
      <c r="B112" s="12">
        <v>1097</v>
      </c>
      <c r="C112" s="2" t="s">
        <v>624</v>
      </c>
      <c r="D112" s="3" t="s">
        <v>625</v>
      </c>
      <c r="E112" s="2" t="s">
        <v>245</v>
      </c>
      <c r="F112" s="2" t="s">
        <v>640</v>
      </c>
      <c r="G112" s="12" t="s">
        <v>641</v>
      </c>
      <c r="H112" s="2" t="s">
        <v>248</v>
      </c>
      <c r="I112" s="2" t="s">
        <v>249</v>
      </c>
      <c r="J112" s="2" t="s">
        <v>77</v>
      </c>
      <c r="K112" s="2" t="s">
        <v>77</v>
      </c>
      <c r="L112" s="2" t="s">
        <v>250</v>
      </c>
      <c r="M112" s="2" t="s">
        <v>130</v>
      </c>
      <c r="N112" s="2" t="s">
        <v>628</v>
      </c>
      <c r="O112" s="2" t="s">
        <v>78</v>
      </c>
      <c r="P112" s="3" t="s">
        <v>277</v>
      </c>
      <c r="Q112" s="2" t="s">
        <v>80</v>
      </c>
      <c r="R112" s="2" t="s">
        <v>254</v>
      </c>
      <c r="S112" s="2" t="s">
        <v>81</v>
      </c>
      <c r="T112" s="13">
        <v>0.99299999999999999</v>
      </c>
      <c r="U112" s="2" t="s">
        <v>288</v>
      </c>
      <c r="V112" s="8">
        <v>2.9100000000000001E-2</v>
      </c>
      <c r="W112" s="8">
        <v>4.8309999999999999E-2</v>
      </c>
      <c r="X112" s="2" t="s">
        <v>629</v>
      </c>
      <c r="Y112" s="2" t="s">
        <v>78</v>
      </c>
      <c r="Z112" s="6">
        <v>4000000</v>
      </c>
      <c r="AA112" s="13">
        <v>1</v>
      </c>
      <c r="AB112" s="6">
        <v>98.2</v>
      </c>
      <c r="AC112" s="6">
        <v>0</v>
      </c>
      <c r="AD112" s="6">
        <v>3928</v>
      </c>
      <c r="AG112" s="2" t="s">
        <v>23</v>
      </c>
      <c r="AH112" s="8">
        <v>6.6699999999999997E-3</v>
      </c>
      <c r="AI112" s="8">
        <v>1.1900000000000001E-3</v>
      </c>
      <c r="AJ112" s="8">
        <v>1E-4</v>
      </c>
    </row>
    <row r="113" spans="1:36">
      <c r="A113" s="12">
        <v>1097</v>
      </c>
      <c r="B113" s="12">
        <v>1097</v>
      </c>
      <c r="C113" s="2" t="s">
        <v>624</v>
      </c>
      <c r="D113" s="3" t="s">
        <v>625</v>
      </c>
      <c r="E113" s="2" t="s">
        <v>245</v>
      </c>
      <c r="F113" s="2" t="s">
        <v>642</v>
      </c>
      <c r="G113" s="12" t="s">
        <v>643</v>
      </c>
      <c r="H113" s="2" t="s">
        <v>248</v>
      </c>
      <c r="I113" s="2" t="s">
        <v>249</v>
      </c>
      <c r="J113" s="2" t="s">
        <v>77</v>
      </c>
      <c r="K113" s="2" t="s">
        <v>77</v>
      </c>
      <c r="L113" s="2" t="s">
        <v>250</v>
      </c>
      <c r="M113" s="2" t="s">
        <v>130</v>
      </c>
      <c r="N113" s="2" t="s">
        <v>628</v>
      </c>
      <c r="O113" s="2" t="s">
        <v>78</v>
      </c>
      <c r="P113" s="3" t="s">
        <v>277</v>
      </c>
      <c r="Q113" s="2" t="s">
        <v>80</v>
      </c>
      <c r="R113" s="2" t="s">
        <v>254</v>
      </c>
      <c r="S113" s="2" t="s">
        <v>81</v>
      </c>
      <c r="T113" s="13">
        <v>6.8</v>
      </c>
      <c r="U113" s="2" t="s">
        <v>644</v>
      </c>
      <c r="V113" s="8">
        <v>2.63E-2</v>
      </c>
      <c r="W113" s="8">
        <v>4.743E-2</v>
      </c>
      <c r="X113" s="2" t="s">
        <v>629</v>
      </c>
      <c r="Y113" s="2" t="s">
        <v>78</v>
      </c>
      <c r="Z113" s="6">
        <v>30000000</v>
      </c>
      <c r="AA113" s="13">
        <v>1</v>
      </c>
      <c r="AB113" s="6">
        <v>87.1</v>
      </c>
      <c r="AC113" s="6">
        <v>0</v>
      </c>
      <c r="AD113" s="6">
        <v>26130</v>
      </c>
      <c r="AG113" s="2" t="s">
        <v>23</v>
      </c>
      <c r="AH113" s="8">
        <v>4.3249999999999997E-2</v>
      </c>
      <c r="AI113" s="8">
        <v>7.9000000000000008E-3</v>
      </c>
      <c r="AJ113" s="8">
        <v>6.4999999999999997E-4</v>
      </c>
    </row>
    <row r="114" spans="1:36">
      <c r="A114" s="12">
        <v>1097</v>
      </c>
      <c r="B114" s="12">
        <v>1097</v>
      </c>
      <c r="C114" s="2" t="s">
        <v>624</v>
      </c>
      <c r="D114" s="3" t="s">
        <v>625</v>
      </c>
      <c r="E114" s="2" t="s">
        <v>245</v>
      </c>
      <c r="F114" s="2" t="s">
        <v>645</v>
      </c>
      <c r="G114" s="12" t="s">
        <v>646</v>
      </c>
      <c r="H114" s="2" t="s">
        <v>248</v>
      </c>
      <c r="I114" s="2" t="s">
        <v>249</v>
      </c>
      <c r="J114" s="2" t="s">
        <v>77</v>
      </c>
      <c r="K114" s="2" t="s">
        <v>77</v>
      </c>
      <c r="L114" s="2" t="s">
        <v>250</v>
      </c>
      <c r="M114" s="2" t="s">
        <v>130</v>
      </c>
      <c r="N114" s="2" t="s">
        <v>628</v>
      </c>
      <c r="O114" s="2" t="s">
        <v>78</v>
      </c>
      <c r="P114" s="3" t="s">
        <v>277</v>
      </c>
      <c r="Q114" s="2" t="s">
        <v>80</v>
      </c>
      <c r="R114" s="2" t="s">
        <v>254</v>
      </c>
      <c r="S114" s="2" t="s">
        <v>81</v>
      </c>
      <c r="T114" s="13">
        <v>6.8659999999999997</v>
      </c>
      <c r="U114" s="2" t="s">
        <v>647</v>
      </c>
      <c r="V114" s="8">
        <v>6.0199999999999997E-2</v>
      </c>
      <c r="W114" s="8">
        <v>4.7719999999999999E-2</v>
      </c>
      <c r="X114" s="2" t="s">
        <v>256</v>
      </c>
      <c r="Y114" s="2" t="s">
        <v>78</v>
      </c>
      <c r="Z114" s="6">
        <v>2999000</v>
      </c>
      <c r="AA114" s="13">
        <v>1</v>
      </c>
      <c r="AB114" s="6">
        <v>109.04</v>
      </c>
      <c r="AC114" s="6">
        <v>0</v>
      </c>
      <c r="AD114" s="6">
        <v>3270.11</v>
      </c>
      <c r="AG114" s="2" t="s">
        <v>23</v>
      </c>
      <c r="AH114" s="8">
        <v>6.0000000000000001E-3</v>
      </c>
      <c r="AI114" s="8">
        <v>9.8999999999999999E-4</v>
      </c>
      <c r="AJ114" s="8">
        <v>8.0000000000000007E-5</v>
      </c>
    </row>
    <row r="115" spans="1:36">
      <c r="A115" s="12">
        <v>1097</v>
      </c>
      <c r="B115" s="12">
        <v>1097</v>
      </c>
      <c r="C115" s="2" t="s">
        <v>624</v>
      </c>
      <c r="D115" s="3" t="s">
        <v>625</v>
      </c>
      <c r="E115" s="2" t="s">
        <v>245</v>
      </c>
      <c r="F115" s="2" t="s">
        <v>648</v>
      </c>
      <c r="G115" s="12" t="s">
        <v>633</v>
      </c>
      <c r="H115" s="2" t="s">
        <v>248</v>
      </c>
      <c r="I115" s="2" t="s">
        <v>249</v>
      </c>
      <c r="J115" s="2" t="s">
        <v>77</v>
      </c>
      <c r="K115" s="2" t="s">
        <v>77</v>
      </c>
      <c r="L115" s="2" t="s">
        <v>353</v>
      </c>
      <c r="M115" s="2" t="s">
        <v>130</v>
      </c>
      <c r="N115" s="2" t="s">
        <v>628</v>
      </c>
      <c r="O115" s="2" t="s">
        <v>78</v>
      </c>
      <c r="P115" s="3" t="s">
        <v>277</v>
      </c>
      <c r="Q115" s="2" t="s">
        <v>80</v>
      </c>
      <c r="R115" s="2" t="s">
        <v>254</v>
      </c>
      <c r="S115" s="2" t="s">
        <v>81</v>
      </c>
      <c r="T115" s="13">
        <v>3.3039999999999998</v>
      </c>
      <c r="U115" s="2" t="s">
        <v>634</v>
      </c>
      <c r="V115" s="8">
        <v>3.95E-2</v>
      </c>
      <c r="W115" s="8">
        <v>4.369E-2</v>
      </c>
      <c r="X115" s="2" t="s">
        <v>256</v>
      </c>
      <c r="Y115" s="2" t="s">
        <v>78</v>
      </c>
      <c r="Z115" s="6">
        <v>3703566</v>
      </c>
      <c r="AA115" s="13">
        <v>1</v>
      </c>
      <c r="AB115" s="6">
        <v>98.79</v>
      </c>
      <c r="AC115" s="6">
        <v>0</v>
      </c>
      <c r="AD115" s="6">
        <v>3658.7530000000002</v>
      </c>
      <c r="AG115" s="2" t="s">
        <v>23</v>
      </c>
      <c r="AH115" s="8">
        <v>1.5429999999999999E-2</v>
      </c>
      <c r="AI115" s="8">
        <v>1.1100000000000001E-3</v>
      </c>
      <c r="AJ115" s="8">
        <v>9.0000000000000006E-5</v>
      </c>
    </row>
    <row r="116" spans="1:36">
      <c r="A116" s="12">
        <v>1097</v>
      </c>
      <c r="B116" s="12">
        <v>1097</v>
      </c>
      <c r="C116" s="2" t="s">
        <v>624</v>
      </c>
      <c r="D116" s="3" t="s">
        <v>625</v>
      </c>
      <c r="E116" s="2" t="s">
        <v>245</v>
      </c>
      <c r="F116" s="2" t="s">
        <v>649</v>
      </c>
      <c r="G116" s="12" t="s">
        <v>631</v>
      </c>
      <c r="H116" s="2" t="s">
        <v>248</v>
      </c>
      <c r="I116" s="2" t="s">
        <v>249</v>
      </c>
      <c r="J116" s="2" t="s">
        <v>77</v>
      </c>
      <c r="K116" s="2" t="s">
        <v>77</v>
      </c>
      <c r="L116" s="2" t="s">
        <v>353</v>
      </c>
      <c r="M116" s="2" t="s">
        <v>130</v>
      </c>
      <c r="N116" s="2" t="s">
        <v>628</v>
      </c>
      <c r="O116" s="2" t="s">
        <v>78</v>
      </c>
      <c r="P116" s="3" t="s">
        <v>277</v>
      </c>
      <c r="Q116" s="2" t="s">
        <v>80</v>
      </c>
      <c r="R116" s="2" t="s">
        <v>254</v>
      </c>
      <c r="S116" s="2" t="s">
        <v>81</v>
      </c>
      <c r="T116" s="13">
        <v>4.9530000000000003</v>
      </c>
      <c r="U116" s="2" t="s">
        <v>458</v>
      </c>
      <c r="V116" s="8">
        <v>4.36E-2</v>
      </c>
      <c r="W116" s="8">
        <v>4.4150000000000002E-2</v>
      </c>
      <c r="X116" s="2" t="s">
        <v>256</v>
      </c>
      <c r="Y116" s="2" t="s">
        <v>78</v>
      </c>
      <c r="Z116" s="6">
        <v>7271221</v>
      </c>
      <c r="AA116" s="13">
        <v>1</v>
      </c>
      <c r="AB116" s="6">
        <v>99.95</v>
      </c>
      <c r="AC116" s="6">
        <v>0</v>
      </c>
      <c r="AD116" s="6">
        <v>7267.585</v>
      </c>
      <c r="AG116" s="2" t="s">
        <v>23</v>
      </c>
      <c r="AH116" s="8">
        <v>2.4240000000000001E-2</v>
      </c>
      <c r="AI116" s="8">
        <v>2.2000000000000001E-3</v>
      </c>
      <c r="AJ116" s="8">
        <v>1.8000000000000001E-4</v>
      </c>
    </row>
    <row r="117" spans="1:36">
      <c r="A117" s="12">
        <v>1097</v>
      </c>
      <c r="B117" s="12">
        <v>1097</v>
      </c>
      <c r="C117" s="2" t="s">
        <v>650</v>
      </c>
      <c r="D117" s="3" t="s">
        <v>651</v>
      </c>
      <c r="E117" s="2" t="s">
        <v>245</v>
      </c>
      <c r="F117" s="2" t="s">
        <v>652</v>
      </c>
      <c r="G117" s="12" t="s">
        <v>653</v>
      </c>
      <c r="H117" s="2" t="s">
        <v>248</v>
      </c>
      <c r="I117" s="2" t="s">
        <v>249</v>
      </c>
      <c r="J117" s="2" t="s">
        <v>77</v>
      </c>
      <c r="K117" s="2" t="s">
        <v>77</v>
      </c>
      <c r="L117" s="2" t="s">
        <v>250</v>
      </c>
      <c r="M117" s="2" t="s">
        <v>130</v>
      </c>
      <c r="N117" s="2" t="s">
        <v>628</v>
      </c>
      <c r="O117" s="2" t="s">
        <v>78</v>
      </c>
      <c r="P117" s="3" t="s">
        <v>654</v>
      </c>
      <c r="Q117" s="2" t="s">
        <v>253</v>
      </c>
      <c r="R117" s="2" t="s">
        <v>254</v>
      </c>
      <c r="S117" s="2" t="s">
        <v>81</v>
      </c>
      <c r="T117" s="13">
        <v>4.9400000000000004</v>
      </c>
      <c r="U117" s="2" t="s">
        <v>644</v>
      </c>
      <c r="V117" s="8">
        <v>1.95E-2</v>
      </c>
      <c r="W117" s="8">
        <v>4.5400000000000003E-2</v>
      </c>
      <c r="X117" s="2" t="s">
        <v>256</v>
      </c>
      <c r="Y117" s="2" t="s">
        <v>78</v>
      </c>
      <c r="Z117" s="6">
        <v>18695492.550000001</v>
      </c>
      <c r="AA117" s="13">
        <v>1</v>
      </c>
      <c r="AB117" s="6">
        <v>88.13</v>
      </c>
      <c r="AC117" s="6">
        <v>0</v>
      </c>
      <c r="AD117" s="6">
        <v>16476.338</v>
      </c>
      <c r="AG117" s="2" t="s">
        <v>23</v>
      </c>
      <c r="AH117" s="8">
        <v>1.9519999999999999E-2</v>
      </c>
      <c r="AI117" s="8">
        <v>4.9800000000000001E-3</v>
      </c>
      <c r="AJ117" s="8">
        <v>4.0999999999999999E-4</v>
      </c>
    </row>
    <row r="118" spans="1:36">
      <c r="A118" s="12">
        <v>1097</v>
      </c>
      <c r="B118" s="12">
        <v>1097</v>
      </c>
      <c r="C118" s="2" t="s">
        <v>655</v>
      </c>
      <c r="D118" s="3" t="s">
        <v>656</v>
      </c>
      <c r="E118" s="2" t="s">
        <v>245</v>
      </c>
      <c r="F118" s="2" t="s">
        <v>657</v>
      </c>
      <c r="G118" s="12" t="s">
        <v>658</v>
      </c>
      <c r="H118" s="2" t="s">
        <v>248</v>
      </c>
      <c r="I118" s="2" t="s">
        <v>261</v>
      </c>
      <c r="J118" s="2" t="s">
        <v>77</v>
      </c>
      <c r="K118" s="2" t="s">
        <v>77</v>
      </c>
      <c r="L118" s="2" t="s">
        <v>250</v>
      </c>
      <c r="M118" s="2" t="s">
        <v>130</v>
      </c>
      <c r="N118" s="2" t="s">
        <v>347</v>
      </c>
      <c r="O118" s="2" t="s">
        <v>78</v>
      </c>
      <c r="P118" s="3" t="s">
        <v>252</v>
      </c>
      <c r="Q118" s="2" t="s">
        <v>253</v>
      </c>
      <c r="R118" s="2" t="s">
        <v>254</v>
      </c>
      <c r="S118" s="2" t="s">
        <v>81</v>
      </c>
      <c r="T118" s="13">
        <v>3.161</v>
      </c>
      <c r="U118" s="2" t="s">
        <v>381</v>
      </c>
      <c r="V118" s="8">
        <v>2.8899999999999999E-2</v>
      </c>
      <c r="W118" s="8">
        <v>2.818E-2</v>
      </c>
      <c r="X118" s="2" t="s">
        <v>256</v>
      </c>
      <c r="Y118" s="2" t="s">
        <v>78</v>
      </c>
      <c r="Z118" s="6">
        <v>444000</v>
      </c>
      <c r="AA118" s="13">
        <v>1</v>
      </c>
      <c r="AB118" s="6">
        <v>108.56</v>
      </c>
      <c r="AC118" s="6">
        <v>0</v>
      </c>
      <c r="AD118" s="6">
        <v>482.00599999999997</v>
      </c>
      <c r="AG118" s="2" t="s">
        <v>23</v>
      </c>
      <c r="AH118" s="8">
        <v>1.6299999999999999E-3</v>
      </c>
      <c r="AI118" s="8">
        <v>1.4999999999999999E-4</v>
      </c>
      <c r="AJ118" s="8">
        <v>1.0000000000000001E-5</v>
      </c>
    </row>
    <row r="119" spans="1:36">
      <c r="A119" s="12">
        <v>1097</v>
      </c>
      <c r="B119" s="12">
        <v>1097</v>
      </c>
      <c r="C119" s="2" t="s">
        <v>655</v>
      </c>
      <c r="D119" s="3" t="s">
        <v>656</v>
      </c>
      <c r="E119" s="2" t="s">
        <v>245</v>
      </c>
      <c r="F119" s="2" t="s">
        <v>659</v>
      </c>
      <c r="G119" s="12" t="s">
        <v>660</v>
      </c>
      <c r="H119" s="2" t="s">
        <v>248</v>
      </c>
      <c r="I119" s="2" t="s">
        <v>261</v>
      </c>
      <c r="J119" s="2" t="s">
        <v>77</v>
      </c>
      <c r="K119" s="2" t="s">
        <v>77</v>
      </c>
      <c r="L119" s="2" t="s">
        <v>250</v>
      </c>
      <c r="M119" s="2" t="s">
        <v>130</v>
      </c>
      <c r="N119" s="2" t="s">
        <v>347</v>
      </c>
      <c r="O119" s="2" t="s">
        <v>78</v>
      </c>
      <c r="P119" s="3" t="s">
        <v>252</v>
      </c>
      <c r="Q119" s="2" t="s">
        <v>253</v>
      </c>
      <c r="R119" s="2" t="s">
        <v>254</v>
      </c>
      <c r="S119" s="2" t="s">
        <v>81</v>
      </c>
      <c r="T119" s="13">
        <v>5.1139999999999999</v>
      </c>
      <c r="U119" s="2" t="s">
        <v>611</v>
      </c>
      <c r="V119" s="8">
        <v>3.1800000000000002E-2</v>
      </c>
      <c r="W119" s="8">
        <v>3.0470000000000001E-2</v>
      </c>
      <c r="X119" s="2" t="s">
        <v>256</v>
      </c>
      <c r="Y119" s="2" t="s">
        <v>78</v>
      </c>
      <c r="Z119" s="6">
        <v>1500000</v>
      </c>
      <c r="AA119" s="13">
        <v>1</v>
      </c>
      <c r="AB119" s="6">
        <v>102.65</v>
      </c>
      <c r="AC119" s="6">
        <v>0</v>
      </c>
      <c r="AD119" s="6">
        <v>1539.75</v>
      </c>
      <c r="AG119" s="2" t="s">
        <v>23</v>
      </c>
      <c r="AH119" s="8">
        <v>6.7200000000000003E-3</v>
      </c>
      <c r="AI119" s="8">
        <v>4.6999999999999999E-4</v>
      </c>
      <c r="AJ119" s="8">
        <v>4.0000000000000003E-5</v>
      </c>
    </row>
    <row r="120" spans="1:36">
      <c r="A120" s="12">
        <v>1097</v>
      </c>
      <c r="B120" s="12">
        <v>1097</v>
      </c>
      <c r="C120" s="2" t="s">
        <v>661</v>
      </c>
      <c r="D120" s="3" t="s">
        <v>662</v>
      </c>
      <c r="E120" s="2" t="s">
        <v>245</v>
      </c>
      <c r="F120" s="2" t="s">
        <v>663</v>
      </c>
      <c r="G120" s="12" t="s">
        <v>664</v>
      </c>
      <c r="H120" s="2" t="s">
        <v>248</v>
      </c>
      <c r="I120" s="2" t="s">
        <v>249</v>
      </c>
      <c r="J120" s="2" t="s">
        <v>77</v>
      </c>
      <c r="K120" s="2" t="s">
        <v>77</v>
      </c>
      <c r="L120" s="2" t="s">
        <v>250</v>
      </c>
      <c r="M120" s="2" t="s">
        <v>130</v>
      </c>
      <c r="N120" s="2" t="s">
        <v>276</v>
      </c>
      <c r="O120" s="2" t="s">
        <v>78</v>
      </c>
      <c r="P120" s="3" t="s">
        <v>306</v>
      </c>
      <c r="Q120" s="2" t="s">
        <v>80</v>
      </c>
      <c r="R120" s="2" t="s">
        <v>254</v>
      </c>
      <c r="S120" s="2" t="s">
        <v>81</v>
      </c>
      <c r="T120" s="13">
        <v>2.0649999999999999</v>
      </c>
      <c r="U120" s="2" t="s">
        <v>665</v>
      </c>
      <c r="V120" s="8">
        <v>2.1999999999999999E-2</v>
      </c>
      <c r="W120" s="8">
        <v>4.8840000000000001E-2</v>
      </c>
      <c r="X120" s="2" t="s">
        <v>256</v>
      </c>
      <c r="Y120" s="2" t="s">
        <v>78</v>
      </c>
      <c r="Z120" s="6">
        <v>25080000.050000001</v>
      </c>
      <c r="AA120" s="13">
        <v>1</v>
      </c>
      <c r="AB120" s="6">
        <v>94.79</v>
      </c>
      <c r="AC120" s="6">
        <v>0</v>
      </c>
      <c r="AD120" s="6">
        <v>23773.331999999999</v>
      </c>
      <c r="AG120" s="2" t="s">
        <v>23</v>
      </c>
      <c r="AH120" s="8">
        <v>2.8930000000000001E-2</v>
      </c>
      <c r="AI120" s="8">
        <v>7.1799999999999998E-3</v>
      </c>
      <c r="AJ120" s="8">
        <v>5.9000000000000003E-4</v>
      </c>
    </row>
    <row r="121" spans="1:36">
      <c r="A121" s="12">
        <v>1097</v>
      </c>
      <c r="B121" s="12">
        <v>1097</v>
      </c>
      <c r="C121" s="2" t="s">
        <v>661</v>
      </c>
      <c r="D121" s="3" t="s">
        <v>662</v>
      </c>
      <c r="E121" s="2" t="s">
        <v>245</v>
      </c>
      <c r="F121" s="2" t="s">
        <v>666</v>
      </c>
      <c r="G121" s="12" t="s">
        <v>667</v>
      </c>
      <c r="H121" s="2" t="s">
        <v>248</v>
      </c>
      <c r="I121" s="2" t="s">
        <v>249</v>
      </c>
      <c r="J121" s="2" t="s">
        <v>77</v>
      </c>
      <c r="K121" s="2" t="s">
        <v>77</v>
      </c>
      <c r="L121" s="2" t="s">
        <v>250</v>
      </c>
      <c r="M121" s="2" t="s">
        <v>130</v>
      </c>
      <c r="N121" s="2" t="s">
        <v>276</v>
      </c>
      <c r="O121" s="2" t="s">
        <v>78</v>
      </c>
      <c r="P121" s="3" t="s">
        <v>306</v>
      </c>
      <c r="Q121" s="2" t="s">
        <v>80</v>
      </c>
      <c r="R121" s="2" t="s">
        <v>254</v>
      </c>
      <c r="S121" s="2" t="s">
        <v>81</v>
      </c>
      <c r="T121" s="13">
        <v>2.9489999999999998</v>
      </c>
      <c r="U121" s="2" t="s">
        <v>668</v>
      </c>
      <c r="V121" s="8">
        <v>2.7400000000000001E-2</v>
      </c>
      <c r="W121" s="8">
        <v>4.8079999999999998E-2</v>
      </c>
      <c r="X121" s="2" t="s">
        <v>256</v>
      </c>
      <c r="Y121" s="2" t="s">
        <v>78</v>
      </c>
      <c r="Z121" s="6">
        <v>5000000</v>
      </c>
      <c r="AA121" s="13">
        <v>1</v>
      </c>
      <c r="AB121" s="6">
        <v>95.36</v>
      </c>
      <c r="AC121" s="6">
        <v>0</v>
      </c>
      <c r="AD121" s="6">
        <v>4768</v>
      </c>
      <c r="AG121" s="2" t="s">
        <v>23</v>
      </c>
      <c r="AH121" s="8">
        <v>6.6699999999999997E-3</v>
      </c>
      <c r="AI121" s="8">
        <v>1.4400000000000001E-3</v>
      </c>
      <c r="AJ121" s="8">
        <v>1.2E-4</v>
      </c>
    </row>
    <row r="122" spans="1:36">
      <c r="A122" s="12">
        <v>1097</v>
      </c>
      <c r="B122" s="12">
        <v>1097</v>
      </c>
      <c r="C122" s="2" t="s">
        <v>669</v>
      </c>
      <c r="D122" s="3" t="s">
        <v>670</v>
      </c>
      <c r="E122" s="2" t="s">
        <v>245</v>
      </c>
      <c r="F122" s="2" t="s">
        <v>671</v>
      </c>
      <c r="G122" s="12" t="s">
        <v>672</v>
      </c>
      <c r="H122" s="2" t="s">
        <v>248</v>
      </c>
      <c r="I122" s="2" t="s">
        <v>249</v>
      </c>
      <c r="J122" s="2" t="s">
        <v>77</v>
      </c>
      <c r="K122" s="2" t="s">
        <v>77</v>
      </c>
      <c r="L122" s="2" t="s">
        <v>250</v>
      </c>
      <c r="M122" s="2" t="s">
        <v>130</v>
      </c>
      <c r="N122" s="2" t="s">
        <v>380</v>
      </c>
      <c r="O122" s="2" t="s">
        <v>78</v>
      </c>
      <c r="P122" s="3" t="s">
        <v>283</v>
      </c>
      <c r="Q122" s="2" t="s">
        <v>253</v>
      </c>
      <c r="R122" s="2" t="s">
        <v>254</v>
      </c>
      <c r="S122" s="2" t="s">
        <v>81</v>
      </c>
      <c r="T122" s="13">
        <v>3.4350000000000001</v>
      </c>
      <c r="U122" s="2" t="s">
        <v>673</v>
      </c>
      <c r="V122" s="8">
        <v>3.9399999999999998E-2</v>
      </c>
      <c r="W122" s="8">
        <v>4.5990000000000003E-2</v>
      </c>
      <c r="X122" s="2" t="s">
        <v>256</v>
      </c>
      <c r="Y122" s="2" t="s">
        <v>78</v>
      </c>
      <c r="Z122" s="6">
        <v>3166174.18</v>
      </c>
      <c r="AA122" s="13">
        <v>1</v>
      </c>
      <c r="AB122" s="6">
        <v>97.95</v>
      </c>
      <c r="AC122" s="6">
        <v>292.98</v>
      </c>
      <c r="AD122" s="6">
        <v>3394.252</v>
      </c>
      <c r="AG122" s="2" t="s">
        <v>23</v>
      </c>
      <c r="AH122" s="8">
        <v>2.2169999999999999E-2</v>
      </c>
      <c r="AI122" s="8">
        <v>1.0300000000000001E-3</v>
      </c>
      <c r="AJ122" s="8">
        <v>8.0000000000000007E-5</v>
      </c>
    </row>
    <row r="123" spans="1:36">
      <c r="A123" s="12">
        <v>1097</v>
      </c>
      <c r="B123" s="12">
        <v>1097</v>
      </c>
      <c r="C123" s="2" t="s">
        <v>674</v>
      </c>
      <c r="D123" s="3" t="s">
        <v>675</v>
      </c>
      <c r="E123" s="2" t="s">
        <v>245</v>
      </c>
      <c r="F123" s="2" t="s">
        <v>676</v>
      </c>
      <c r="G123" s="12" t="s">
        <v>677</v>
      </c>
      <c r="H123" s="2" t="s">
        <v>248</v>
      </c>
      <c r="I123" s="2" t="s">
        <v>249</v>
      </c>
      <c r="J123" s="2" t="s">
        <v>77</v>
      </c>
      <c r="K123" s="2" t="s">
        <v>77</v>
      </c>
      <c r="L123" s="2" t="s">
        <v>250</v>
      </c>
      <c r="M123" s="2" t="s">
        <v>130</v>
      </c>
      <c r="N123" s="2" t="s">
        <v>678</v>
      </c>
      <c r="O123" s="2" t="s">
        <v>78</v>
      </c>
      <c r="P123" s="3" t="s">
        <v>277</v>
      </c>
      <c r="Q123" s="2" t="s">
        <v>80</v>
      </c>
      <c r="R123" s="2" t="s">
        <v>254</v>
      </c>
      <c r="S123" s="2" t="s">
        <v>81</v>
      </c>
      <c r="T123" s="13">
        <v>1.784</v>
      </c>
      <c r="U123" s="2" t="s">
        <v>679</v>
      </c>
      <c r="V123" s="8">
        <v>2.18E-2</v>
      </c>
      <c r="W123" s="8">
        <v>4.8250000000000001E-2</v>
      </c>
      <c r="X123" s="2" t="s">
        <v>256</v>
      </c>
      <c r="Y123" s="2" t="s">
        <v>78</v>
      </c>
      <c r="Z123" s="6">
        <v>2439294.4500000002</v>
      </c>
      <c r="AA123" s="13">
        <v>1</v>
      </c>
      <c r="AB123" s="6">
        <v>95.82</v>
      </c>
      <c r="AC123" s="6">
        <v>0</v>
      </c>
      <c r="AD123" s="6">
        <v>2337.3319999999999</v>
      </c>
      <c r="AG123" s="2" t="s">
        <v>23</v>
      </c>
      <c r="AH123" s="8">
        <v>8.5400000000000007E-3</v>
      </c>
      <c r="AI123" s="8">
        <v>7.1000000000000002E-4</v>
      </c>
      <c r="AJ123" s="8">
        <v>6.0000000000000002E-5</v>
      </c>
    </row>
    <row r="124" spans="1:36">
      <c r="A124" s="12">
        <v>1097</v>
      </c>
      <c r="B124" s="12">
        <v>1097</v>
      </c>
      <c r="C124" s="2" t="s">
        <v>674</v>
      </c>
      <c r="D124" s="3" t="s">
        <v>675</v>
      </c>
      <c r="E124" s="2" t="s">
        <v>245</v>
      </c>
      <c r="F124" s="2" t="s">
        <v>680</v>
      </c>
      <c r="G124" s="12" t="s">
        <v>681</v>
      </c>
      <c r="H124" s="2" t="s">
        <v>248</v>
      </c>
      <c r="I124" s="2" t="s">
        <v>261</v>
      </c>
      <c r="J124" s="2" t="s">
        <v>77</v>
      </c>
      <c r="K124" s="2" t="s">
        <v>77</v>
      </c>
      <c r="L124" s="2" t="s">
        <v>250</v>
      </c>
      <c r="M124" s="2" t="s">
        <v>130</v>
      </c>
      <c r="N124" s="2" t="s">
        <v>678</v>
      </c>
      <c r="O124" s="2" t="s">
        <v>78</v>
      </c>
      <c r="P124" s="3" t="s">
        <v>277</v>
      </c>
      <c r="Q124" s="2" t="s">
        <v>80</v>
      </c>
      <c r="R124" s="2" t="s">
        <v>254</v>
      </c>
      <c r="S124" s="2" t="s">
        <v>81</v>
      </c>
      <c r="T124" s="13">
        <v>2.7269999999999999</v>
      </c>
      <c r="U124" s="2" t="s">
        <v>682</v>
      </c>
      <c r="V124" s="8">
        <v>2.1999999999999999E-2</v>
      </c>
      <c r="W124" s="8">
        <v>2.9579999999999999E-2</v>
      </c>
      <c r="X124" s="2" t="s">
        <v>256</v>
      </c>
      <c r="Y124" s="2" t="s">
        <v>78</v>
      </c>
      <c r="Z124" s="6">
        <v>5477354.1699999999</v>
      </c>
      <c r="AA124" s="13">
        <v>1</v>
      </c>
      <c r="AB124" s="6">
        <v>106.76</v>
      </c>
      <c r="AC124" s="6">
        <v>0</v>
      </c>
      <c r="AD124" s="6">
        <v>5847.6229999999996</v>
      </c>
      <c r="AG124" s="2" t="s">
        <v>23</v>
      </c>
      <c r="AH124" s="8">
        <v>1.8329999999999999E-2</v>
      </c>
      <c r="AI124" s="8">
        <v>1.7700000000000001E-3</v>
      </c>
      <c r="AJ124" s="8">
        <v>1.4999999999999999E-4</v>
      </c>
    </row>
    <row r="125" spans="1:36">
      <c r="A125" s="12">
        <v>1097</v>
      </c>
      <c r="B125" s="12">
        <v>1097</v>
      </c>
      <c r="C125" s="2" t="s">
        <v>683</v>
      </c>
      <c r="D125" s="3" t="s">
        <v>684</v>
      </c>
      <c r="E125" s="2" t="s">
        <v>245</v>
      </c>
      <c r="F125" s="2" t="s">
        <v>685</v>
      </c>
      <c r="G125" s="12" t="s">
        <v>686</v>
      </c>
      <c r="H125" s="2" t="s">
        <v>248</v>
      </c>
      <c r="I125" s="2" t="s">
        <v>261</v>
      </c>
      <c r="J125" s="2" t="s">
        <v>77</v>
      </c>
      <c r="K125" s="2" t="s">
        <v>77</v>
      </c>
      <c r="L125" s="2" t="s">
        <v>250</v>
      </c>
      <c r="M125" s="2" t="s">
        <v>130</v>
      </c>
      <c r="N125" s="2" t="s">
        <v>528</v>
      </c>
      <c r="O125" s="2" t="s">
        <v>78</v>
      </c>
      <c r="P125" s="3" t="s">
        <v>277</v>
      </c>
      <c r="Q125" s="2" t="s">
        <v>80</v>
      </c>
      <c r="R125" s="2" t="s">
        <v>254</v>
      </c>
      <c r="S125" s="2" t="s">
        <v>81</v>
      </c>
      <c r="T125" s="13">
        <v>0.998</v>
      </c>
      <c r="U125" s="2" t="s">
        <v>687</v>
      </c>
      <c r="V125" s="8">
        <v>2E-3</v>
      </c>
      <c r="W125" s="8">
        <v>2.4570000000000002E-2</v>
      </c>
      <c r="X125" s="2" t="s">
        <v>256</v>
      </c>
      <c r="Y125" s="2" t="s">
        <v>78</v>
      </c>
      <c r="Z125" s="6">
        <v>1050236</v>
      </c>
      <c r="AA125" s="13">
        <v>1</v>
      </c>
      <c r="AB125" s="6">
        <v>113.44</v>
      </c>
      <c r="AC125" s="6">
        <v>0</v>
      </c>
      <c r="AD125" s="6">
        <v>1191.3879999999999</v>
      </c>
      <c r="AG125" s="2" t="s">
        <v>23</v>
      </c>
      <c r="AH125" s="8">
        <v>3.7699999999999999E-3</v>
      </c>
      <c r="AI125" s="8">
        <v>3.6000000000000002E-4</v>
      </c>
      <c r="AJ125" s="8">
        <v>3.0000000000000001E-5</v>
      </c>
    </row>
    <row r="126" spans="1:36">
      <c r="A126" s="12">
        <v>1097</v>
      </c>
      <c r="B126" s="12">
        <v>1097</v>
      </c>
      <c r="C126" s="2" t="s">
        <v>683</v>
      </c>
      <c r="D126" s="3" t="s">
        <v>684</v>
      </c>
      <c r="E126" s="2" t="s">
        <v>245</v>
      </c>
      <c r="F126" s="2" t="s">
        <v>688</v>
      </c>
      <c r="G126" s="12" t="s">
        <v>689</v>
      </c>
      <c r="H126" s="2" t="s">
        <v>248</v>
      </c>
      <c r="I126" s="2" t="s">
        <v>261</v>
      </c>
      <c r="J126" s="2" t="s">
        <v>77</v>
      </c>
      <c r="K126" s="2" t="s">
        <v>77</v>
      </c>
      <c r="L126" s="2" t="s">
        <v>250</v>
      </c>
      <c r="M126" s="2" t="s">
        <v>130</v>
      </c>
      <c r="N126" s="2" t="s">
        <v>528</v>
      </c>
      <c r="O126" s="2" t="s">
        <v>78</v>
      </c>
      <c r="P126" s="3" t="s">
        <v>277</v>
      </c>
      <c r="Q126" s="2" t="s">
        <v>80</v>
      </c>
      <c r="R126" s="2" t="s">
        <v>254</v>
      </c>
      <c r="S126" s="2" t="s">
        <v>81</v>
      </c>
      <c r="T126" s="13">
        <v>1.982</v>
      </c>
      <c r="U126" s="2" t="s">
        <v>665</v>
      </c>
      <c r="V126" s="8">
        <v>2E-3</v>
      </c>
      <c r="W126" s="8">
        <v>2.6030000000000001E-2</v>
      </c>
      <c r="X126" s="2" t="s">
        <v>256</v>
      </c>
      <c r="Y126" s="2" t="s">
        <v>78</v>
      </c>
      <c r="Z126" s="6">
        <v>3120000</v>
      </c>
      <c r="AA126" s="13">
        <v>1</v>
      </c>
      <c r="AB126" s="6">
        <v>111.76</v>
      </c>
      <c r="AC126" s="6">
        <v>0</v>
      </c>
      <c r="AD126" s="6">
        <v>3486.9119999999998</v>
      </c>
      <c r="AG126" s="2" t="s">
        <v>23</v>
      </c>
      <c r="AH126" s="8">
        <v>4.9399999999999999E-3</v>
      </c>
      <c r="AI126" s="8">
        <v>1.0499999999999999E-3</v>
      </c>
      <c r="AJ126" s="8">
        <v>9.0000000000000006E-5</v>
      </c>
    </row>
    <row r="127" spans="1:36">
      <c r="A127" s="12">
        <v>1097</v>
      </c>
      <c r="B127" s="12">
        <v>1097</v>
      </c>
      <c r="C127" s="2" t="s">
        <v>683</v>
      </c>
      <c r="D127" s="3" t="s">
        <v>684</v>
      </c>
      <c r="E127" s="2" t="s">
        <v>245</v>
      </c>
      <c r="F127" s="2" t="s">
        <v>690</v>
      </c>
      <c r="G127" s="12" t="s">
        <v>691</v>
      </c>
      <c r="H127" s="2" t="s">
        <v>248</v>
      </c>
      <c r="I127" s="2" t="s">
        <v>261</v>
      </c>
      <c r="J127" s="2" t="s">
        <v>77</v>
      </c>
      <c r="K127" s="2" t="s">
        <v>77</v>
      </c>
      <c r="L127" s="2" t="s">
        <v>250</v>
      </c>
      <c r="M127" s="2" t="s">
        <v>130</v>
      </c>
      <c r="N127" s="2" t="s">
        <v>528</v>
      </c>
      <c r="O127" s="2" t="s">
        <v>78</v>
      </c>
      <c r="P127" s="3" t="s">
        <v>277</v>
      </c>
      <c r="Q127" s="2" t="s">
        <v>80</v>
      </c>
      <c r="R127" s="2" t="s">
        <v>254</v>
      </c>
      <c r="S127" s="2" t="s">
        <v>81</v>
      </c>
      <c r="T127" s="13">
        <v>2.1949999999999998</v>
      </c>
      <c r="U127" s="2" t="s">
        <v>329</v>
      </c>
      <c r="V127" s="8">
        <v>2E-3</v>
      </c>
      <c r="W127" s="8">
        <v>2.7150000000000001E-2</v>
      </c>
      <c r="X127" s="2" t="s">
        <v>256</v>
      </c>
      <c r="Y127" s="2" t="s">
        <v>78</v>
      </c>
      <c r="Z127" s="6">
        <v>1500000</v>
      </c>
      <c r="AA127" s="13">
        <v>1</v>
      </c>
      <c r="AB127" s="6">
        <v>108.23</v>
      </c>
      <c r="AC127" s="6">
        <v>0</v>
      </c>
      <c r="AD127" s="6">
        <v>1623.45</v>
      </c>
      <c r="AG127" s="2" t="s">
        <v>23</v>
      </c>
      <c r="AH127" s="8">
        <v>1.8600000000000001E-3</v>
      </c>
      <c r="AI127" s="8">
        <v>4.8999999999999998E-4</v>
      </c>
      <c r="AJ127" s="8">
        <v>4.0000000000000003E-5</v>
      </c>
    </row>
    <row r="128" spans="1:36">
      <c r="A128" s="12">
        <v>1097</v>
      </c>
      <c r="B128" s="12">
        <v>1097</v>
      </c>
      <c r="C128" s="2" t="s">
        <v>683</v>
      </c>
      <c r="D128" s="3" t="s">
        <v>684</v>
      </c>
      <c r="E128" s="2" t="s">
        <v>245</v>
      </c>
      <c r="F128" s="2" t="s">
        <v>692</v>
      </c>
      <c r="G128" s="12" t="s">
        <v>693</v>
      </c>
      <c r="H128" s="2" t="s">
        <v>248</v>
      </c>
      <c r="I128" s="2" t="s">
        <v>261</v>
      </c>
      <c r="J128" s="2" t="s">
        <v>77</v>
      </c>
      <c r="K128" s="2" t="s">
        <v>77</v>
      </c>
      <c r="L128" s="2" t="s">
        <v>250</v>
      </c>
      <c r="M128" s="2" t="s">
        <v>130</v>
      </c>
      <c r="N128" s="2" t="s">
        <v>528</v>
      </c>
      <c r="O128" s="2" t="s">
        <v>78</v>
      </c>
      <c r="P128" s="3" t="s">
        <v>277</v>
      </c>
      <c r="Q128" s="2" t="s">
        <v>80</v>
      </c>
      <c r="R128" s="2" t="s">
        <v>254</v>
      </c>
      <c r="S128" s="2" t="s">
        <v>81</v>
      </c>
      <c r="T128" s="13">
        <v>3.8769999999999998</v>
      </c>
      <c r="U128" s="2" t="s">
        <v>694</v>
      </c>
      <c r="V128" s="8">
        <v>2.5899999999999999E-2</v>
      </c>
      <c r="W128" s="8">
        <v>2.7449999999999999E-2</v>
      </c>
      <c r="X128" s="2" t="s">
        <v>256</v>
      </c>
      <c r="Y128" s="2" t="s">
        <v>78</v>
      </c>
      <c r="Z128" s="6">
        <v>1020000</v>
      </c>
      <c r="AA128" s="13">
        <v>1</v>
      </c>
      <c r="AB128" s="6">
        <v>105.24</v>
      </c>
      <c r="AC128" s="6">
        <v>0</v>
      </c>
      <c r="AD128" s="6">
        <v>1073.4480000000001</v>
      </c>
      <c r="AG128" s="2" t="s">
        <v>23</v>
      </c>
      <c r="AH128" s="8">
        <v>1.49E-3</v>
      </c>
      <c r="AI128" s="8">
        <v>3.2000000000000003E-4</v>
      </c>
      <c r="AJ128" s="8">
        <v>3.0000000000000001E-5</v>
      </c>
    </row>
    <row r="129" spans="1:36">
      <c r="A129" s="12">
        <v>1097</v>
      </c>
      <c r="B129" s="12">
        <v>1097</v>
      </c>
      <c r="C129" s="2" t="s">
        <v>695</v>
      </c>
      <c r="D129" s="3" t="s">
        <v>696</v>
      </c>
      <c r="E129" s="2" t="s">
        <v>245</v>
      </c>
      <c r="F129" s="2" t="s">
        <v>697</v>
      </c>
      <c r="G129" s="12" t="s">
        <v>698</v>
      </c>
      <c r="H129" s="2" t="s">
        <v>248</v>
      </c>
      <c r="I129" s="2" t="s">
        <v>249</v>
      </c>
      <c r="J129" s="2" t="s">
        <v>77</v>
      </c>
      <c r="K129" s="2" t="s">
        <v>77</v>
      </c>
      <c r="L129" s="2" t="s">
        <v>250</v>
      </c>
      <c r="M129" s="2" t="s">
        <v>130</v>
      </c>
      <c r="N129" s="2" t="s">
        <v>347</v>
      </c>
      <c r="O129" s="2" t="s">
        <v>78</v>
      </c>
      <c r="P129" s="3" t="s">
        <v>287</v>
      </c>
      <c r="Q129" s="2" t="s">
        <v>253</v>
      </c>
      <c r="R129" s="2" t="s">
        <v>254</v>
      </c>
      <c r="S129" s="2" t="s">
        <v>81</v>
      </c>
      <c r="T129" s="13">
        <v>1.127</v>
      </c>
      <c r="U129" s="2" t="s">
        <v>699</v>
      </c>
      <c r="V129" s="8">
        <v>5.0500000000000003E-2</v>
      </c>
      <c r="W129" s="8">
        <v>4.7719999999999999E-2</v>
      </c>
      <c r="X129" s="2" t="s">
        <v>256</v>
      </c>
      <c r="Y129" s="2" t="s">
        <v>78</v>
      </c>
      <c r="Z129" s="6">
        <v>287883.90999999997</v>
      </c>
      <c r="AA129" s="13">
        <v>1</v>
      </c>
      <c r="AB129" s="6">
        <v>102.04</v>
      </c>
      <c r="AC129" s="6">
        <v>0</v>
      </c>
      <c r="AD129" s="6">
        <v>293.75700000000001</v>
      </c>
      <c r="AG129" s="2" t="s">
        <v>23</v>
      </c>
      <c r="AH129" s="8">
        <v>1.5499999999999999E-3</v>
      </c>
      <c r="AI129" s="8">
        <v>9.0000000000000006E-5</v>
      </c>
      <c r="AJ129" s="8">
        <v>1.0000000000000001E-5</v>
      </c>
    </row>
    <row r="130" spans="1:36">
      <c r="A130" s="12">
        <v>1097</v>
      </c>
      <c r="B130" s="12">
        <v>1097</v>
      </c>
      <c r="C130" s="2" t="s">
        <v>695</v>
      </c>
      <c r="D130" s="3" t="s">
        <v>696</v>
      </c>
      <c r="E130" s="2" t="s">
        <v>245</v>
      </c>
      <c r="F130" s="2" t="s">
        <v>700</v>
      </c>
      <c r="G130" s="12" t="s">
        <v>701</v>
      </c>
      <c r="H130" s="2" t="s">
        <v>248</v>
      </c>
      <c r="I130" s="2" t="s">
        <v>261</v>
      </c>
      <c r="J130" s="2" t="s">
        <v>77</v>
      </c>
      <c r="K130" s="2" t="s">
        <v>77</v>
      </c>
      <c r="L130" s="2" t="s">
        <v>250</v>
      </c>
      <c r="M130" s="2" t="s">
        <v>130</v>
      </c>
      <c r="N130" s="2" t="s">
        <v>347</v>
      </c>
      <c r="O130" s="2" t="s">
        <v>78</v>
      </c>
      <c r="P130" s="3" t="s">
        <v>293</v>
      </c>
      <c r="Q130" s="2" t="s">
        <v>80</v>
      </c>
      <c r="R130" s="2" t="s">
        <v>254</v>
      </c>
      <c r="S130" s="2" t="s">
        <v>81</v>
      </c>
      <c r="T130" s="13">
        <v>1.7629999999999999</v>
      </c>
      <c r="U130" s="2" t="s">
        <v>702</v>
      </c>
      <c r="V130" s="8">
        <v>1.5800000000000002E-2</v>
      </c>
      <c r="W130" s="8">
        <v>2.7699999999999999E-2</v>
      </c>
      <c r="X130" s="2" t="s">
        <v>256</v>
      </c>
      <c r="Y130" s="2" t="s">
        <v>78</v>
      </c>
      <c r="Z130" s="6">
        <v>1070821.9099999999</v>
      </c>
      <c r="AA130" s="13">
        <v>1</v>
      </c>
      <c r="AB130" s="6">
        <v>116.04</v>
      </c>
      <c r="AC130" s="6">
        <v>0</v>
      </c>
      <c r="AD130" s="6">
        <v>1242.5820000000001</v>
      </c>
      <c r="AG130" s="2" t="s">
        <v>23</v>
      </c>
      <c r="AH130" s="8">
        <v>2.7200000000000002E-3</v>
      </c>
      <c r="AI130" s="8">
        <v>3.8000000000000002E-4</v>
      </c>
      <c r="AJ130" s="8">
        <v>3.0000000000000001E-5</v>
      </c>
    </row>
    <row r="131" spans="1:36">
      <c r="A131" s="12">
        <v>1097</v>
      </c>
      <c r="B131" s="12">
        <v>1097</v>
      </c>
      <c r="C131" s="2" t="s">
        <v>695</v>
      </c>
      <c r="D131" s="3" t="s">
        <v>696</v>
      </c>
      <c r="E131" s="2" t="s">
        <v>245</v>
      </c>
      <c r="F131" s="2" t="s">
        <v>703</v>
      </c>
      <c r="G131" s="12" t="s">
        <v>704</v>
      </c>
      <c r="H131" s="2" t="s">
        <v>248</v>
      </c>
      <c r="I131" s="2" t="s">
        <v>261</v>
      </c>
      <c r="J131" s="2" t="s">
        <v>77</v>
      </c>
      <c r="K131" s="2" t="s">
        <v>77</v>
      </c>
      <c r="L131" s="2" t="s">
        <v>250</v>
      </c>
      <c r="M131" s="2" t="s">
        <v>130</v>
      </c>
      <c r="N131" s="2" t="s">
        <v>347</v>
      </c>
      <c r="O131" s="2" t="s">
        <v>78</v>
      </c>
      <c r="P131" s="3" t="s">
        <v>287</v>
      </c>
      <c r="Q131" s="2" t="s">
        <v>253</v>
      </c>
      <c r="R131" s="2" t="s">
        <v>254</v>
      </c>
      <c r="S131" s="2" t="s">
        <v>81</v>
      </c>
      <c r="T131" s="13">
        <v>2.9790000000000001</v>
      </c>
      <c r="U131" s="2" t="s">
        <v>705</v>
      </c>
      <c r="V131" s="8">
        <v>2.4E-2</v>
      </c>
      <c r="W131" s="8">
        <v>2.955E-2</v>
      </c>
      <c r="X131" s="2" t="s">
        <v>256</v>
      </c>
      <c r="Y131" s="2" t="s">
        <v>78</v>
      </c>
      <c r="Z131" s="6">
        <v>2442439.12</v>
      </c>
      <c r="AA131" s="13">
        <v>1</v>
      </c>
      <c r="AB131" s="6">
        <v>117.41</v>
      </c>
      <c r="AC131" s="6">
        <v>0</v>
      </c>
      <c r="AD131" s="6">
        <v>2867.6680000000001</v>
      </c>
      <c r="AG131" s="2" t="s">
        <v>23</v>
      </c>
      <c r="AH131" s="8">
        <v>2.0500000000000002E-3</v>
      </c>
      <c r="AI131" s="8">
        <v>8.7000000000000001E-4</v>
      </c>
      <c r="AJ131" s="8">
        <v>6.9999999999999994E-5</v>
      </c>
    </row>
    <row r="132" spans="1:36">
      <c r="A132" s="12">
        <v>1097</v>
      </c>
      <c r="B132" s="12">
        <v>1097</v>
      </c>
      <c r="C132" s="2" t="s">
        <v>695</v>
      </c>
      <c r="D132" s="3" t="s">
        <v>696</v>
      </c>
      <c r="E132" s="2" t="s">
        <v>245</v>
      </c>
      <c r="F132" s="2" t="s">
        <v>706</v>
      </c>
      <c r="G132" s="12" t="s">
        <v>707</v>
      </c>
      <c r="H132" s="2" t="s">
        <v>248</v>
      </c>
      <c r="I132" s="2" t="s">
        <v>261</v>
      </c>
      <c r="J132" s="2" t="s">
        <v>77</v>
      </c>
      <c r="K132" s="2" t="s">
        <v>77</v>
      </c>
      <c r="L132" s="2" t="s">
        <v>250</v>
      </c>
      <c r="M132" s="2" t="s">
        <v>130</v>
      </c>
      <c r="N132" s="2" t="s">
        <v>347</v>
      </c>
      <c r="O132" s="2" t="s">
        <v>78</v>
      </c>
      <c r="P132" s="3" t="s">
        <v>293</v>
      </c>
      <c r="Q132" s="2" t="s">
        <v>80</v>
      </c>
      <c r="R132" s="2" t="s">
        <v>254</v>
      </c>
      <c r="S132" s="2" t="s">
        <v>81</v>
      </c>
      <c r="T132" s="13">
        <v>4.2270000000000003</v>
      </c>
      <c r="U132" s="2" t="s">
        <v>708</v>
      </c>
      <c r="V132" s="8">
        <v>8.3999999999999995E-3</v>
      </c>
      <c r="W132" s="8">
        <v>2.785E-2</v>
      </c>
      <c r="X132" s="2" t="s">
        <v>256</v>
      </c>
      <c r="Y132" s="2" t="s">
        <v>78</v>
      </c>
      <c r="Z132" s="6">
        <v>3030782.1</v>
      </c>
      <c r="AA132" s="13">
        <v>1</v>
      </c>
      <c r="AB132" s="6">
        <v>107.28</v>
      </c>
      <c r="AC132" s="6">
        <v>0</v>
      </c>
      <c r="AD132" s="6">
        <v>3251.4229999999998</v>
      </c>
      <c r="AG132" s="2" t="s">
        <v>23</v>
      </c>
      <c r="AH132" s="8">
        <v>3.9500000000000004E-3</v>
      </c>
      <c r="AI132" s="8">
        <v>9.7999999999999997E-4</v>
      </c>
      <c r="AJ132" s="8">
        <v>8.0000000000000007E-5</v>
      </c>
    </row>
    <row r="133" spans="1:36">
      <c r="A133" s="12">
        <v>1097</v>
      </c>
      <c r="B133" s="12">
        <v>1097</v>
      </c>
      <c r="C133" s="2" t="s">
        <v>695</v>
      </c>
      <c r="D133" s="3" t="s">
        <v>696</v>
      </c>
      <c r="E133" s="2" t="s">
        <v>245</v>
      </c>
      <c r="F133" s="2" t="s">
        <v>709</v>
      </c>
      <c r="G133" s="12" t="s">
        <v>710</v>
      </c>
      <c r="H133" s="2" t="s">
        <v>248</v>
      </c>
      <c r="I133" s="2" t="s">
        <v>261</v>
      </c>
      <c r="J133" s="2" t="s">
        <v>77</v>
      </c>
      <c r="K133" s="2" t="s">
        <v>77</v>
      </c>
      <c r="L133" s="2" t="s">
        <v>250</v>
      </c>
      <c r="M133" s="2" t="s">
        <v>130</v>
      </c>
      <c r="N133" s="2" t="s">
        <v>347</v>
      </c>
      <c r="O133" s="2" t="s">
        <v>78</v>
      </c>
      <c r="P133" s="3" t="s">
        <v>287</v>
      </c>
      <c r="Q133" s="2" t="s">
        <v>253</v>
      </c>
      <c r="R133" s="2" t="s">
        <v>254</v>
      </c>
      <c r="S133" s="2" t="s">
        <v>81</v>
      </c>
      <c r="T133" s="13">
        <v>5.5640000000000001</v>
      </c>
      <c r="U133" s="2" t="s">
        <v>711</v>
      </c>
      <c r="V133" s="8">
        <v>1.4999999999999999E-2</v>
      </c>
      <c r="W133" s="8">
        <v>3.1189999999999999E-2</v>
      </c>
      <c r="X133" s="2" t="s">
        <v>256</v>
      </c>
      <c r="Y133" s="2" t="s">
        <v>78</v>
      </c>
      <c r="Z133" s="6">
        <v>1338249.51</v>
      </c>
      <c r="AA133" s="13">
        <v>1</v>
      </c>
      <c r="AB133" s="6">
        <v>103.74</v>
      </c>
      <c r="AC133" s="6">
        <v>0</v>
      </c>
      <c r="AD133" s="6">
        <v>1388.3</v>
      </c>
      <c r="AG133" s="2" t="s">
        <v>23</v>
      </c>
      <c r="AH133" s="8">
        <v>2.6900000000000001E-3</v>
      </c>
      <c r="AI133" s="8">
        <v>4.2000000000000002E-4</v>
      </c>
      <c r="AJ133" s="8">
        <v>3.0000000000000001E-5</v>
      </c>
    </row>
    <row r="134" spans="1:36">
      <c r="A134" s="12">
        <v>1097</v>
      </c>
      <c r="B134" s="12">
        <v>1097</v>
      </c>
      <c r="C134" s="2" t="s">
        <v>712</v>
      </c>
      <c r="D134" s="3" t="s">
        <v>713</v>
      </c>
      <c r="E134" s="2" t="s">
        <v>245</v>
      </c>
      <c r="F134" s="2" t="s">
        <v>714</v>
      </c>
      <c r="G134" s="12" t="s">
        <v>715</v>
      </c>
      <c r="H134" s="2" t="s">
        <v>248</v>
      </c>
      <c r="I134" s="2" t="s">
        <v>249</v>
      </c>
      <c r="J134" s="2" t="s">
        <v>77</v>
      </c>
      <c r="K134" s="2" t="s">
        <v>77</v>
      </c>
      <c r="L134" s="2" t="s">
        <v>250</v>
      </c>
      <c r="M134" s="2" t="s">
        <v>130</v>
      </c>
      <c r="N134" s="2" t="s">
        <v>628</v>
      </c>
      <c r="O134" s="2" t="s">
        <v>78</v>
      </c>
      <c r="P134" s="3" t="s">
        <v>277</v>
      </c>
      <c r="Q134" s="2" t="s">
        <v>80</v>
      </c>
      <c r="R134" s="2" t="s">
        <v>254</v>
      </c>
      <c r="S134" s="2" t="s">
        <v>81</v>
      </c>
      <c r="T134" s="13">
        <v>1.5669999999999999</v>
      </c>
      <c r="U134" s="2" t="s">
        <v>716</v>
      </c>
      <c r="V134" s="8">
        <v>4.7E-2</v>
      </c>
      <c r="W134" s="8">
        <v>4.3700000000000003E-2</v>
      </c>
      <c r="X134" s="2" t="s">
        <v>256</v>
      </c>
      <c r="Y134" s="2" t="s">
        <v>78</v>
      </c>
      <c r="Z134" s="6">
        <v>1848000</v>
      </c>
      <c r="AA134" s="13">
        <v>1</v>
      </c>
      <c r="AB134" s="6">
        <v>102.06</v>
      </c>
      <c r="AC134" s="6">
        <v>0</v>
      </c>
      <c r="AD134" s="6">
        <v>1886.069</v>
      </c>
      <c r="AG134" s="2" t="s">
        <v>23</v>
      </c>
      <c r="AH134" s="8">
        <v>2.0600000000000002E-3</v>
      </c>
      <c r="AI134" s="8">
        <v>5.6999999999999998E-4</v>
      </c>
      <c r="AJ134" s="8">
        <v>5.0000000000000002E-5</v>
      </c>
    </row>
    <row r="135" spans="1:36">
      <c r="A135" s="12">
        <v>1097</v>
      </c>
      <c r="B135" s="12">
        <v>1097</v>
      </c>
      <c r="C135" s="2" t="s">
        <v>717</v>
      </c>
      <c r="D135" s="3" t="s">
        <v>718</v>
      </c>
      <c r="E135" s="2" t="s">
        <v>245</v>
      </c>
      <c r="F135" s="2" t="s">
        <v>719</v>
      </c>
      <c r="G135" s="12" t="s">
        <v>720</v>
      </c>
      <c r="H135" s="2" t="s">
        <v>248</v>
      </c>
      <c r="I135" s="2" t="s">
        <v>249</v>
      </c>
      <c r="J135" s="2" t="s">
        <v>77</v>
      </c>
      <c r="K135" s="2" t="s">
        <v>77</v>
      </c>
      <c r="L135" s="2" t="s">
        <v>250</v>
      </c>
      <c r="M135" s="2" t="s">
        <v>130</v>
      </c>
      <c r="N135" s="2" t="s">
        <v>628</v>
      </c>
      <c r="O135" s="2" t="s">
        <v>78</v>
      </c>
      <c r="P135" s="3" t="s">
        <v>277</v>
      </c>
      <c r="Q135" s="2" t="s">
        <v>80</v>
      </c>
      <c r="R135" s="2" t="s">
        <v>254</v>
      </c>
      <c r="S135" s="2" t="s">
        <v>81</v>
      </c>
      <c r="T135" s="13">
        <v>4.452</v>
      </c>
      <c r="U135" s="2" t="s">
        <v>721</v>
      </c>
      <c r="V135" s="8">
        <v>2.64E-2</v>
      </c>
      <c r="W135" s="8">
        <v>4.6210000000000001E-2</v>
      </c>
      <c r="X135" s="2" t="s">
        <v>629</v>
      </c>
      <c r="Y135" s="2" t="s">
        <v>78</v>
      </c>
      <c r="Z135" s="6">
        <v>151294861</v>
      </c>
      <c r="AA135" s="13">
        <v>1</v>
      </c>
      <c r="AB135" s="6">
        <v>92.5</v>
      </c>
      <c r="AC135" s="6">
        <v>0</v>
      </c>
      <c r="AD135" s="6">
        <v>139947.74600000001</v>
      </c>
      <c r="AG135" s="2" t="s">
        <v>23</v>
      </c>
      <c r="AH135" s="8">
        <v>9.2469999999999997E-2</v>
      </c>
      <c r="AI135" s="8">
        <v>4.2279999999999998E-2</v>
      </c>
      <c r="AJ135" s="8">
        <v>3.47E-3</v>
      </c>
    </row>
    <row r="136" spans="1:36">
      <c r="A136" s="12">
        <v>1097</v>
      </c>
      <c r="B136" s="12">
        <v>1097</v>
      </c>
      <c r="C136" s="2" t="s">
        <v>717</v>
      </c>
      <c r="D136" s="3" t="s">
        <v>718</v>
      </c>
      <c r="E136" s="2" t="s">
        <v>245</v>
      </c>
      <c r="F136" s="2" t="s">
        <v>722</v>
      </c>
      <c r="G136" s="12" t="s">
        <v>723</v>
      </c>
      <c r="H136" s="2" t="s">
        <v>248</v>
      </c>
      <c r="I136" s="2" t="s">
        <v>249</v>
      </c>
      <c r="J136" s="2" t="s">
        <v>77</v>
      </c>
      <c r="K136" s="2" t="s">
        <v>77</v>
      </c>
      <c r="L136" s="2" t="s">
        <v>250</v>
      </c>
      <c r="M136" s="2" t="s">
        <v>130</v>
      </c>
      <c r="N136" s="2" t="s">
        <v>628</v>
      </c>
      <c r="O136" s="2" t="s">
        <v>78</v>
      </c>
      <c r="P136" s="3" t="s">
        <v>277</v>
      </c>
      <c r="Q136" s="2" t="s">
        <v>80</v>
      </c>
      <c r="R136" s="2" t="s">
        <v>254</v>
      </c>
      <c r="S136" s="2" t="s">
        <v>81</v>
      </c>
      <c r="T136" s="13">
        <v>6.1669999999999998</v>
      </c>
      <c r="U136" s="2" t="s">
        <v>208</v>
      </c>
      <c r="V136" s="8">
        <v>2.5000000000000001E-2</v>
      </c>
      <c r="W136" s="8">
        <v>4.854E-2</v>
      </c>
      <c r="X136" s="2" t="s">
        <v>256</v>
      </c>
      <c r="Y136" s="2" t="s">
        <v>78</v>
      </c>
      <c r="Z136" s="6">
        <v>21680192</v>
      </c>
      <c r="AA136" s="13">
        <v>1</v>
      </c>
      <c r="AB136" s="6">
        <v>87.5</v>
      </c>
      <c r="AC136" s="6">
        <v>0</v>
      </c>
      <c r="AD136" s="6">
        <v>18970.168000000001</v>
      </c>
      <c r="AG136" s="2" t="s">
        <v>23</v>
      </c>
      <c r="AH136" s="8">
        <v>1.626E-2</v>
      </c>
      <c r="AI136" s="8">
        <v>5.7299999999999999E-3</v>
      </c>
      <c r="AJ136" s="8">
        <v>4.6999999999999999E-4</v>
      </c>
    </row>
    <row r="137" spans="1:36">
      <c r="A137" s="12">
        <v>1097</v>
      </c>
      <c r="B137" s="12">
        <v>1097</v>
      </c>
      <c r="C137" s="2" t="s">
        <v>717</v>
      </c>
      <c r="D137" s="3" t="s">
        <v>718</v>
      </c>
      <c r="E137" s="2" t="s">
        <v>245</v>
      </c>
      <c r="F137" s="2" t="s">
        <v>724</v>
      </c>
      <c r="G137" s="12" t="s">
        <v>725</v>
      </c>
      <c r="H137" s="2" t="s">
        <v>248</v>
      </c>
      <c r="I137" s="2" t="s">
        <v>249</v>
      </c>
      <c r="J137" s="2" t="s">
        <v>77</v>
      </c>
      <c r="K137" s="2" t="s">
        <v>77</v>
      </c>
      <c r="L137" s="2" t="s">
        <v>250</v>
      </c>
      <c r="M137" s="2" t="s">
        <v>130</v>
      </c>
      <c r="N137" s="2" t="s">
        <v>628</v>
      </c>
      <c r="O137" s="2" t="s">
        <v>78</v>
      </c>
      <c r="P137" s="3" t="s">
        <v>277</v>
      </c>
      <c r="Q137" s="2" t="s">
        <v>80</v>
      </c>
      <c r="R137" s="2" t="s">
        <v>254</v>
      </c>
      <c r="S137" s="2" t="s">
        <v>81</v>
      </c>
      <c r="T137" s="13">
        <v>7.2030000000000003</v>
      </c>
      <c r="U137" s="2" t="s">
        <v>726</v>
      </c>
      <c r="V137" s="8">
        <v>5.3100000000000001E-2</v>
      </c>
      <c r="W137" s="8">
        <v>4.9419999999999999E-2</v>
      </c>
      <c r="X137" s="2" t="s">
        <v>256</v>
      </c>
      <c r="Y137" s="2" t="s">
        <v>78</v>
      </c>
      <c r="Z137" s="6">
        <v>1200000</v>
      </c>
      <c r="AA137" s="13">
        <v>1</v>
      </c>
      <c r="AB137" s="6">
        <v>105.3</v>
      </c>
      <c r="AC137" s="6">
        <v>0</v>
      </c>
      <c r="AD137" s="6">
        <v>1263.5999999999999</v>
      </c>
      <c r="AG137" s="2" t="s">
        <v>23</v>
      </c>
      <c r="AH137" s="8">
        <v>9.3999999999999997E-4</v>
      </c>
      <c r="AI137" s="8">
        <v>3.8000000000000002E-4</v>
      </c>
      <c r="AJ137" s="8">
        <v>3.0000000000000001E-5</v>
      </c>
    </row>
    <row r="138" spans="1:36">
      <c r="A138" s="12">
        <v>1097</v>
      </c>
      <c r="B138" s="12">
        <v>1097</v>
      </c>
      <c r="C138" s="2" t="s">
        <v>717</v>
      </c>
      <c r="D138" s="3" t="s">
        <v>718</v>
      </c>
      <c r="E138" s="2" t="s">
        <v>245</v>
      </c>
      <c r="F138" s="2" t="s">
        <v>727</v>
      </c>
      <c r="G138" s="12" t="s">
        <v>720</v>
      </c>
      <c r="H138" s="2" t="s">
        <v>248</v>
      </c>
      <c r="I138" s="2" t="s">
        <v>249</v>
      </c>
      <c r="J138" s="2" t="s">
        <v>77</v>
      </c>
      <c r="K138" s="2" t="s">
        <v>77</v>
      </c>
      <c r="L138" s="2" t="s">
        <v>353</v>
      </c>
      <c r="M138" s="2" t="s">
        <v>130</v>
      </c>
      <c r="N138" s="2" t="s">
        <v>628</v>
      </c>
      <c r="O138" s="2" t="s">
        <v>78</v>
      </c>
      <c r="P138" s="3" t="s">
        <v>277</v>
      </c>
      <c r="Q138" s="2" t="s">
        <v>80</v>
      </c>
      <c r="R138" s="2" t="s">
        <v>254</v>
      </c>
      <c r="S138" s="2" t="s">
        <v>81</v>
      </c>
      <c r="T138" s="13">
        <v>4.452</v>
      </c>
      <c r="U138" s="2" t="s">
        <v>721</v>
      </c>
      <c r="V138" s="8">
        <v>2.64E-2</v>
      </c>
      <c r="W138" s="8">
        <v>4.6210000000000001E-2</v>
      </c>
      <c r="X138" s="2" t="s">
        <v>256</v>
      </c>
      <c r="Y138" s="2" t="s">
        <v>78</v>
      </c>
      <c r="Z138" s="6">
        <v>140000</v>
      </c>
      <c r="AA138" s="13">
        <v>1</v>
      </c>
      <c r="AB138" s="6">
        <v>92.5</v>
      </c>
      <c r="AC138" s="6">
        <v>0</v>
      </c>
      <c r="AD138" s="6">
        <v>129.5</v>
      </c>
      <c r="AG138" s="2" t="s">
        <v>23</v>
      </c>
      <c r="AH138" s="8">
        <v>9.0000000000000006E-5</v>
      </c>
      <c r="AI138" s="8">
        <v>4.0000000000000003E-5</v>
      </c>
      <c r="AJ138" s="8">
        <v>0</v>
      </c>
    </row>
    <row r="139" spans="1:36">
      <c r="A139" s="12">
        <v>1097</v>
      </c>
      <c r="B139" s="12">
        <v>1097</v>
      </c>
      <c r="C139" s="2" t="s">
        <v>728</v>
      </c>
      <c r="D139" s="3" t="s">
        <v>729</v>
      </c>
      <c r="E139" s="2" t="s">
        <v>245</v>
      </c>
      <c r="F139" s="2" t="s">
        <v>730</v>
      </c>
      <c r="G139" s="12" t="s">
        <v>731</v>
      </c>
      <c r="H139" s="2" t="s">
        <v>248</v>
      </c>
      <c r="I139" s="2" t="s">
        <v>261</v>
      </c>
      <c r="J139" s="2" t="s">
        <v>77</v>
      </c>
      <c r="K139" s="2" t="s">
        <v>77</v>
      </c>
      <c r="L139" s="2" t="s">
        <v>250</v>
      </c>
      <c r="M139" s="2" t="s">
        <v>130</v>
      </c>
      <c r="N139" s="2" t="s">
        <v>528</v>
      </c>
      <c r="O139" s="2" t="s">
        <v>78</v>
      </c>
      <c r="P139" s="3" t="s">
        <v>79</v>
      </c>
      <c r="Q139" s="2" t="s">
        <v>80</v>
      </c>
      <c r="R139" s="2" t="s">
        <v>254</v>
      </c>
      <c r="S139" s="2" t="s">
        <v>81</v>
      </c>
      <c r="T139" s="13">
        <v>1</v>
      </c>
      <c r="U139" s="2" t="s">
        <v>365</v>
      </c>
      <c r="V139" s="8">
        <v>8.3000000000000001E-3</v>
      </c>
      <c r="W139" s="8">
        <v>2.4760000000000001E-2</v>
      </c>
      <c r="X139" s="2" t="s">
        <v>256</v>
      </c>
      <c r="Y139" s="2" t="s">
        <v>78</v>
      </c>
      <c r="Z139" s="6">
        <v>1080316</v>
      </c>
      <c r="AA139" s="13">
        <v>1</v>
      </c>
      <c r="AB139" s="6">
        <v>115.16</v>
      </c>
      <c r="AC139" s="6">
        <v>0</v>
      </c>
      <c r="AD139" s="6">
        <v>1244.0920000000001</v>
      </c>
      <c r="AG139" s="2" t="s">
        <v>23</v>
      </c>
      <c r="AH139" s="8">
        <v>7.1000000000000002E-4</v>
      </c>
      <c r="AI139" s="8">
        <v>3.8000000000000002E-4</v>
      </c>
      <c r="AJ139" s="8">
        <v>3.0000000000000001E-5</v>
      </c>
    </row>
    <row r="140" spans="1:36">
      <c r="A140" s="12">
        <v>1097</v>
      </c>
      <c r="B140" s="12">
        <v>1097</v>
      </c>
      <c r="C140" s="2" t="s">
        <v>728</v>
      </c>
      <c r="D140" s="3" t="s">
        <v>729</v>
      </c>
      <c r="E140" s="2" t="s">
        <v>245</v>
      </c>
      <c r="F140" s="2" t="s">
        <v>732</v>
      </c>
      <c r="G140" s="12" t="s">
        <v>733</v>
      </c>
      <c r="H140" s="2" t="s">
        <v>248</v>
      </c>
      <c r="I140" s="2" t="s">
        <v>261</v>
      </c>
      <c r="J140" s="2" t="s">
        <v>77</v>
      </c>
      <c r="K140" s="2" t="s">
        <v>77</v>
      </c>
      <c r="L140" s="2" t="s">
        <v>250</v>
      </c>
      <c r="M140" s="2" t="s">
        <v>130</v>
      </c>
      <c r="N140" s="2" t="s">
        <v>528</v>
      </c>
      <c r="O140" s="2" t="s">
        <v>78</v>
      </c>
      <c r="P140" s="3" t="s">
        <v>79</v>
      </c>
      <c r="Q140" s="2" t="s">
        <v>80</v>
      </c>
      <c r="R140" s="2" t="s">
        <v>254</v>
      </c>
      <c r="S140" s="2" t="s">
        <v>81</v>
      </c>
      <c r="T140" s="13">
        <v>2.4020000000000001</v>
      </c>
      <c r="U140" s="2" t="s">
        <v>734</v>
      </c>
      <c r="V140" s="8">
        <v>1E-3</v>
      </c>
      <c r="W140" s="8">
        <v>2.4910000000000002E-2</v>
      </c>
      <c r="X140" s="2" t="s">
        <v>256</v>
      </c>
      <c r="Y140" s="2" t="s">
        <v>78</v>
      </c>
      <c r="Z140" s="6">
        <v>8543580</v>
      </c>
      <c r="AA140" s="13">
        <v>1</v>
      </c>
      <c r="AB140" s="6">
        <v>107.95</v>
      </c>
      <c r="AC140" s="6">
        <v>0</v>
      </c>
      <c r="AD140" s="6">
        <v>9222.7950000000001</v>
      </c>
      <c r="AG140" s="2" t="s">
        <v>23</v>
      </c>
      <c r="AH140" s="8">
        <v>2.7200000000000002E-3</v>
      </c>
      <c r="AI140" s="8">
        <v>2.7899999999999999E-3</v>
      </c>
      <c r="AJ140" s="8">
        <v>2.3000000000000001E-4</v>
      </c>
    </row>
    <row r="141" spans="1:36">
      <c r="A141" s="12">
        <v>1097</v>
      </c>
      <c r="B141" s="12">
        <v>1097</v>
      </c>
      <c r="C141" s="2" t="s">
        <v>728</v>
      </c>
      <c r="D141" s="3" t="s">
        <v>729</v>
      </c>
      <c r="E141" s="2" t="s">
        <v>245</v>
      </c>
      <c r="F141" s="2" t="s">
        <v>735</v>
      </c>
      <c r="G141" s="12" t="s">
        <v>736</v>
      </c>
      <c r="H141" s="2" t="s">
        <v>248</v>
      </c>
      <c r="I141" s="2" t="s">
        <v>261</v>
      </c>
      <c r="J141" s="2" t="s">
        <v>77</v>
      </c>
      <c r="K141" s="2" t="s">
        <v>77</v>
      </c>
      <c r="L141" s="2" t="s">
        <v>250</v>
      </c>
      <c r="M141" s="2" t="s">
        <v>130</v>
      </c>
      <c r="N141" s="2" t="s">
        <v>528</v>
      </c>
      <c r="O141" s="2" t="s">
        <v>78</v>
      </c>
      <c r="P141" s="3" t="s">
        <v>79</v>
      </c>
      <c r="Q141" s="2" t="s">
        <v>80</v>
      </c>
      <c r="R141" s="2" t="s">
        <v>254</v>
      </c>
      <c r="S141" s="2" t="s">
        <v>81</v>
      </c>
      <c r="T141" s="13">
        <v>4.3949999999999996</v>
      </c>
      <c r="U141" s="2" t="s">
        <v>737</v>
      </c>
      <c r="V141" s="8">
        <v>1E-3</v>
      </c>
      <c r="W141" s="8">
        <v>2.579E-2</v>
      </c>
      <c r="X141" s="2" t="s">
        <v>256</v>
      </c>
      <c r="Y141" s="2" t="s">
        <v>78</v>
      </c>
      <c r="Z141" s="6">
        <v>11350000</v>
      </c>
      <c r="AA141" s="13">
        <v>1</v>
      </c>
      <c r="AB141" s="6">
        <v>102.6</v>
      </c>
      <c r="AC141" s="6">
        <v>0</v>
      </c>
      <c r="AD141" s="6">
        <v>11645.1</v>
      </c>
      <c r="AG141" s="2" t="s">
        <v>23</v>
      </c>
      <c r="AH141" s="8">
        <v>2.65E-3</v>
      </c>
      <c r="AI141" s="8">
        <v>3.5200000000000001E-3</v>
      </c>
      <c r="AJ141" s="8">
        <v>2.9E-4</v>
      </c>
    </row>
    <row r="142" spans="1:36">
      <c r="A142" s="12">
        <v>1097</v>
      </c>
      <c r="B142" s="12">
        <v>1097</v>
      </c>
      <c r="C142" s="2" t="s">
        <v>728</v>
      </c>
      <c r="D142" s="3" t="s">
        <v>729</v>
      </c>
      <c r="E142" s="2" t="s">
        <v>245</v>
      </c>
      <c r="F142" s="2" t="s">
        <v>738</v>
      </c>
      <c r="G142" s="12" t="s">
        <v>739</v>
      </c>
      <c r="H142" s="2" t="s">
        <v>248</v>
      </c>
      <c r="I142" s="2" t="s">
        <v>261</v>
      </c>
      <c r="J142" s="2" t="s">
        <v>77</v>
      </c>
      <c r="K142" s="2" t="s">
        <v>77</v>
      </c>
      <c r="L142" s="2" t="s">
        <v>250</v>
      </c>
      <c r="M142" s="2" t="s">
        <v>130</v>
      </c>
      <c r="N142" s="2" t="s">
        <v>528</v>
      </c>
      <c r="O142" s="2" t="s">
        <v>78</v>
      </c>
      <c r="P142" s="3" t="s">
        <v>79</v>
      </c>
      <c r="Q142" s="2" t="s">
        <v>80</v>
      </c>
      <c r="R142" s="2" t="s">
        <v>254</v>
      </c>
      <c r="S142" s="2" t="s">
        <v>81</v>
      </c>
      <c r="T142" s="13">
        <v>4.391</v>
      </c>
      <c r="U142" s="2" t="s">
        <v>740</v>
      </c>
      <c r="V142" s="8">
        <v>2.0199999999999999E-2</v>
      </c>
      <c r="W142" s="8">
        <v>2.6349999999999998E-2</v>
      </c>
      <c r="X142" s="2" t="s">
        <v>256</v>
      </c>
      <c r="Y142" s="2" t="s">
        <v>78</v>
      </c>
      <c r="Z142" s="6">
        <v>6480000</v>
      </c>
      <c r="AA142" s="13">
        <v>1</v>
      </c>
      <c r="AB142" s="6">
        <v>102.52</v>
      </c>
      <c r="AC142" s="6">
        <v>0</v>
      </c>
      <c r="AD142" s="6">
        <v>6643.2960000000003</v>
      </c>
      <c r="AG142" s="2" t="s">
        <v>23</v>
      </c>
      <c r="AH142" s="8">
        <v>1.82E-3</v>
      </c>
      <c r="AI142" s="8">
        <v>2.0100000000000001E-3</v>
      </c>
      <c r="AJ142" s="8">
        <v>1.6000000000000001E-4</v>
      </c>
    </row>
    <row r="143" spans="1:36">
      <c r="A143" s="12">
        <v>1097</v>
      </c>
      <c r="B143" s="12">
        <v>1097</v>
      </c>
      <c r="C143" s="2" t="s">
        <v>728</v>
      </c>
      <c r="D143" s="3" t="s">
        <v>729</v>
      </c>
      <c r="E143" s="2" t="s">
        <v>245</v>
      </c>
      <c r="F143" s="2" t="s">
        <v>741</v>
      </c>
      <c r="G143" s="12" t="s">
        <v>742</v>
      </c>
      <c r="H143" s="2" t="s">
        <v>248</v>
      </c>
      <c r="I143" s="2" t="s">
        <v>261</v>
      </c>
      <c r="J143" s="2" t="s">
        <v>77</v>
      </c>
      <c r="K143" s="2" t="s">
        <v>77</v>
      </c>
      <c r="L143" s="2" t="s">
        <v>250</v>
      </c>
      <c r="M143" s="2" t="s">
        <v>130</v>
      </c>
      <c r="N143" s="2" t="s">
        <v>528</v>
      </c>
      <c r="O143" s="2" t="s">
        <v>78</v>
      </c>
      <c r="P143" s="3" t="s">
        <v>277</v>
      </c>
      <c r="Q143" s="2" t="s">
        <v>80</v>
      </c>
      <c r="R143" s="2" t="s">
        <v>254</v>
      </c>
      <c r="S143" s="2" t="s">
        <v>81</v>
      </c>
      <c r="T143" s="13">
        <v>2.6970000000000001</v>
      </c>
      <c r="U143" s="2" t="s">
        <v>743</v>
      </c>
      <c r="V143" s="8">
        <v>1.4999999999999999E-2</v>
      </c>
      <c r="W143" s="8">
        <v>2.9489999999999999E-2</v>
      </c>
      <c r="X143" s="2" t="s">
        <v>629</v>
      </c>
      <c r="Y143" s="2" t="s">
        <v>78</v>
      </c>
      <c r="Z143" s="6">
        <v>7750000</v>
      </c>
      <c r="AA143" s="13">
        <v>1</v>
      </c>
      <c r="AB143" s="6">
        <v>109.15</v>
      </c>
      <c r="AC143" s="6">
        <v>0</v>
      </c>
      <c r="AD143" s="6">
        <v>8459.125</v>
      </c>
      <c r="AG143" s="2" t="s">
        <v>23</v>
      </c>
      <c r="AH143" s="8">
        <v>5.5199999999999997E-3</v>
      </c>
      <c r="AI143" s="8">
        <v>2.5600000000000002E-3</v>
      </c>
      <c r="AJ143" s="8">
        <v>2.1000000000000001E-4</v>
      </c>
    </row>
    <row r="144" spans="1:36">
      <c r="A144" s="12">
        <v>1097</v>
      </c>
      <c r="B144" s="12">
        <v>1097</v>
      </c>
      <c r="C144" s="2" t="s">
        <v>728</v>
      </c>
      <c r="D144" s="3" t="s">
        <v>729</v>
      </c>
      <c r="E144" s="2" t="s">
        <v>245</v>
      </c>
      <c r="F144" s="2" t="s">
        <v>744</v>
      </c>
      <c r="G144" s="12" t="s">
        <v>745</v>
      </c>
      <c r="H144" s="2" t="s">
        <v>248</v>
      </c>
      <c r="I144" s="2" t="s">
        <v>261</v>
      </c>
      <c r="J144" s="2" t="s">
        <v>77</v>
      </c>
      <c r="K144" s="2" t="s">
        <v>77</v>
      </c>
      <c r="L144" s="2" t="s">
        <v>250</v>
      </c>
      <c r="M144" s="2" t="s">
        <v>130</v>
      </c>
      <c r="N144" s="2" t="s">
        <v>528</v>
      </c>
      <c r="O144" s="2" t="s">
        <v>78</v>
      </c>
      <c r="P144" s="3" t="s">
        <v>277</v>
      </c>
      <c r="Q144" s="2" t="s">
        <v>80</v>
      </c>
      <c r="R144" s="2" t="s">
        <v>254</v>
      </c>
      <c r="S144" s="2" t="s">
        <v>81</v>
      </c>
      <c r="T144" s="13">
        <v>5.2350000000000003</v>
      </c>
      <c r="U144" s="2" t="s">
        <v>746</v>
      </c>
      <c r="V144" s="8">
        <v>3.1E-2</v>
      </c>
      <c r="W144" s="8">
        <v>2.9350000000000001E-2</v>
      </c>
      <c r="X144" s="2" t="s">
        <v>256</v>
      </c>
      <c r="Y144" s="2" t="s">
        <v>78</v>
      </c>
      <c r="Z144" s="6">
        <v>7700000</v>
      </c>
      <c r="AA144" s="13">
        <v>1</v>
      </c>
      <c r="AB144" s="6">
        <v>103.76</v>
      </c>
      <c r="AC144" s="6">
        <v>0</v>
      </c>
      <c r="AD144" s="6">
        <v>7989.52</v>
      </c>
      <c r="AG144" s="2" t="s">
        <v>23</v>
      </c>
      <c r="AH144" s="8">
        <v>5.0200000000000002E-3</v>
      </c>
      <c r="AI144" s="8">
        <v>2.4099999999999998E-3</v>
      </c>
      <c r="AJ144" s="8">
        <v>2.0000000000000001E-4</v>
      </c>
    </row>
    <row r="145" spans="1:36">
      <c r="A145" s="12">
        <v>1097</v>
      </c>
      <c r="B145" s="12">
        <v>1097</v>
      </c>
      <c r="C145" s="2" t="s">
        <v>747</v>
      </c>
      <c r="D145" s="3" t="s">
        <v>748</v>
      </c>
      <c r="E145" s="2" t="s">
        <v>245</v>
      </c>
      <c r="F145" s="2" t="s">
        <v>749</v>
      </c>
      <c r="G145" s="12" t="s">
        <v>750</v>
      </c>
      <c r="H145" s="2" t="s">
        <v>248</v>
      </c>
      <c r="I145" s="2" t="s">
        <v>261</v>
      </c>
      <c r="J145" s="2" t="s">
        <v>77</v>
      </c>
      <c r="K145" s="2" t="s">
        <v>77</v>
      </c>
      <c r="L145" s="2" t="s">
        <v>250</v>
      </c>
      <c r="M145" s="2" t="s">
        <v>130</v>
      </c>
      <c r="N145" s="2" t="s">
        <v>337</v>
      </c>
      <c r="O145" s="2" t="s">
        <v>78</v>
      </c>
      <c r="P145" s="3" t="s">
        <v>252</v>
      </c>
      <c r="Q145" s="2" t="s">
        <v>253</v>
      </c>
      <c r="R145" s="2" t="s">
        <v>254</v>
      </c>
      <c r="S145" s="2" t="s">
        <v>81</v>
      </c>
      <c r="T145" s="13">
        <v>2.4430000000000001</v>
      </c>
      <c r="U145" s="2" t="s">
        <v>751</v>
      </c>
      <c r="V145" s="8">
        <v>3.73E-2</v>
      </c>
      <c r="W145" s="8">
        <v>3.1739999999999997E-2</v>
      </c>
      <c r="X145" s="2" t="s">
        <v>256</v>
      </c>
      <c r="Y145" s="2" t="s">
        <v>78</v>
      </c>
      <c r="Z145" s="6">
        <v>1075200</v>
      </c>
      <c r="AA145" s="13">
        <v>1</v>
      </c>
      <c r="AB145" s="6">
        <v>111.71</v>
      </c>
      <c r="AC145" s="6">
        <v>0</v>
      </c>
      <c r="AD145" s="6">
        <v>1201.106</v>
      </c>
      <c r="AG145" s="2" t="s">
        <v>23</v>
      </c>
      <c r="AH145" s="8">
        <v>2.4499999999999999E-3</v>
      </c>
      <c r="AI145" s="8">
        <v>3.6000000000000002E-4</v>
      </c>
      <c r="AJ145" s="8">
        <v>3.0000000000000001E-5</v>
      </c>
    </row>
    <row r="146" spans="1:36">
      <c r="A146" s="12">
        <v>1097</v>
      </c>
      <c r="B146" s="12">
        <v>1097</v>
      </c>
      <c r="C146" s="2" t="s">
        <v>752</v>
      </c>
      <c r="D146" s="3" t="s">
        <v>753</v>
      </c>
      <c r="E146" s="2" t="s">
        <v>245</v>
      </c>
      <c r="F146" s="2" t="s">
        <v>754</v>
      </c>
      <c r="G146" s="12" t="s">
        <v>755</v>
      </c>
      <c r="H146" s="2" t="s">
        <v>248</v>
      </c>
      <c r="I146" s="2" t="s">
        <v>249</v>
      </c>
      <c r="J146" s="2" t="s">
        <v>77</v>
      </c>
      <c r="K146" s="2" t="s">
        <v>77</v>
      </c>
      <c r="L146" s="2" t="s">
        <v>250</v>
      </c>
      <c r="M146" s="2" t="s">
        <v>130</v>
      </c>
      <c r="N146" s="2" t="s">
        <v>347</v>
      </c>
      <c r="O146" s="2" t="s">
        <v>78</v>
      </c>
      <c r="P146" s="3" t="s">
        <v>293</v>
      </c>
      <c r="Q146" s="2" t="s">
        <v>80</v>
      </c>
      <c r="R146" s="2" t="s">
        <v>254</v>
      </c>
      <c r="S146" s="2" t="s">
        <v>81</v>
      </c>
      <c r="T146" s="13">
        <v>1.909</v>
      </c>
      <c r="U146" s="2" t="s">
        <v>665</v>
      </c>
      <c r="V146" s="8">
        <v>5.6500000000000002E-2</v>
      </c>
      <c r="W146" s="8">
        <v>4.7329999999999997E-2</v>
      </c>
      <c r="X146" s="2" t="s">
        <v>256</v>
      </c>
      <c r="Y146" s="2" t="s">
        <v>78</v>
      </c>
      <c r="Z146" s="6">
        <v>3760506.01</v>
      </c>
      <c r="AA146" s="13">
        <v>1</v>
      </c>
      <c r="AB146" s="6">
        <v>101.82</v>
      </c>
      <c r="AC146" s="6">
        <v>0</v>
      </c>
      <c r="AD146" s="6">
        <v>3828.9470000000001</v>
      </c>
      <c r="AG146" s="2" t="s">
        <v>23</v>
      </c>
      <c r="AH146" s="8">
        <v>3.2129999999999999E-2</v>
      </c>
      <c r="AI146" s="8">
        <v>1.16E-3</v>
      </c>
      <c r="AJ146" s="8">
        <v>1E-4</v>
      </c>
    </row>
    <row r="147" spans="1:36">
      <c r="A147" s="12">
        <v>1097</v>
      </c>
      <c r="B147" s="12">
        <v>1097</v>
      </c>
      <c r="C147" s="2" t="s">
        <v>752</v>
      </c>
      <c r="D147" s="3" t="s">
        <v>753</v>
      </c>
      <c r="E147" s="2" t="s">
        <v>245</v>
      </c>
      <c r="F147" s="2" t="s">
        <v>756</v>
      </c>
      <c r="G147" s="12" t="s">
        <v>757</v>
      </c>
      <c r="H147" s="2" t="s">
        <v>248</v>
      </c>
      <c r="I147" s="2" t="s">
        <v>261</v>
      </c>
      <c r="J147" s="2" t="s">
        <v>77</v>
      </c>
      <c r="K147" s="2" t="s">
        <v>77</v>
      </c>
      <c r="L147" s="2" t="s">
        <v>250</v>
      </c>
      <c r="M147" s="2" t="s">
        <v>130</v>
      </c>
      <c r="N147" s="2" t="s">
        <v>347</v>
      </c>
      <c r="O147" s="2" t="s">
        <v>78</v>
      </c>
      <c r="P147" s="3" t="s">
        <v>293</v>
      </c>
      <c r="Q147" s="2" t="s">
        <v>80</v>
      </c>
      <c r="R147" s="2" t="s">
        <v>254</v>
      </c>
      <c r="S147" s="2" t="s">
        <v>81</v>
      </c>
      <c r="T147" s="13">
        <v>2.782</v>
      </c>
      <c r="U147" s="2" t="s">
        <v>381</v>
      </c>
      <c r="V147" s="8">
        <v>2.81E-2</v>
      </c>
      <c r="W147" s="8">
        <v>2.7119999999999998E-2</v>
      </c>
      <c r="X147" s="2" t="s">
        <v>256</v>
      </c>
      <c r="Y147" s="2" t="s">
        <v>78</v>
      </c>
      <c r="Z147" s="6">
        <v>3850845</v>
      </c>
      <c r="AA147" s="13">
        <v>1</v>
      </c>
      <c r="AB147" s="6">
        <v>118.81</v>
      </c>
      <c r="AC147" s="6">
        <v>0</v>
      </c>
      <c r="AD147" s="6">
        <v>4575.1890000000003</v>
      </c>
      <c r="AG147" s="2" t="s">
        <v>23</v>
      </c>
      <c r="AH147" s="8">
        <v>2.8E-3</v>
      </c>
      <c r="AI147" s="8">
        <v>1.3799999999999999E-3</v>
      </c>
      <c r="AJ147" s="8">
        <v>1.1E-4</v>
      </c>
    </row>
    <row r="148" spans="1:36">
      <c r="A148" s="12">
        <v>1097</v>
      </c>
      <c r="B148" s="12">
        <v>1097</v>
      </c>
      <c r="C148" s="2" t="s">
        <v>752</v>
      </c>
      <c r="D148" s="3" t="s">
        <v>753</v>
      </c>
      <c r="E148" s="2" t="s">
        <v>245</v>
      </c>
      <c r="F148" s="2" t="s">
        <v>758</v>
      </c>
      <c r="G148" s="12" t="s">
        <v>759</v>
      </c>
      <c r="H148" s="2" t="s">
        <v>248</v>
      </c>
      <c r="I148" s="2" t="s">
        <v>261</v>
      </c>
      <c r="J148" s="2" t="s">
        <v>77</v>
      </c>
      <c r="K148" s="2" t="s">
        <v>77</v>
      </c>
      <c r="L148" s="2" t="s">
        <v>250</v>
      </c>
      <c r="M148" s="2" t="s">
        <v>130</v>
      </c>
      <c r="N148" s="2" t="s">
        <v>347</v>
      </c>
      <c r="O148" s="2" t="s">
        <v>78</v>
      </c>
      <c r="P148" s="3" t="s">
        <v>293</v>
      </c>
      <c r="Q148" s="2" t="s">
        <v>80</v>
      </c>
      <c r="R148" s="2" t="s">
        <v>254</v>
      </c>
      <c r="S148" s="2" t="s">
        <v>81</v>
      </c>
      <c r="T148" s="13">
        <v>1.1619999999999999</v>
      </c>
      <c r="U148" s="2" t="s">
        <v>338</v>
      </c>
      <c r="V148" s="8">
        <v>2.4E-2</v>
      </c>
      <c r="W148" s="8">
        <v>2.8469999999999999E-2</v>
      </c>
      <c r="X148" s="2" t="s">
        <v>256</v>
      </c>
      <c r="Y148" s="2" t="s">
        <v>78</v>
      </c>
      <c r="Z148" s="6">
        <v>2935282.87</v>
      </c>
      <c r="AA148" s="13">
        <v>1</v>
      </c>
      <c r="AB148" s="6">
        <v>117.85</v>
      </c>
      <c r="AC148" s="6">
        <v>0</v>
      </c>
      <c r="AD148" s="6">
        <v>3459.2310000000002</v>
      </c>
      <c r="AG148" s="2" t="s">
        <v>23</v>
      </c>
      <c r="AH148" s="8">
        <v>5.4599999999999996E-3</v>
      </c>
      <c r="AI148" s="8">
        <v>1.0499999999999999E-3</v>
      </c>
      <c r="AJ148" s="8">
        <v>9.0000000000000006E-5</v>
      </c>
    </row>
    <row r="149" spans="1:36">
      <c r="A149" s="12">
        <v>1097</v>
      </c>
      <c r="B149" s="12">
        <v>1097</v>
      </c>
      <c r="C149" s="2" t="s">
        <v>752</v>
      </c>
      <c r="D149" s="3" t="s">
        <v>753</v>
      </c>
      <c r="E149" s="2" t="s">
        <v>245</v>
      </c>
      <c r="F149" s="2" t="s">
        <v>760</v>
      </c>
      <c r="G149" s="12" t="s">
        <v>761</v>
      </c>
      <c r="H149" s="2" t="s">
        <v>248</v>
      </c>
      <c r="I149" s="2" t="s">
        <v>261</v>
      </c>
      <c r="J149" s="2" t="s">
        <v>77</v>
      </c>
      <c r="K149" s="2" t="s">
        <v>77</v>
      </c>
      <c r="L149" s="2" t="s">
        <v>250</v>
      </c>
      <c r="M149" s="2" t="s">
        <v>130</v>
      </c>
      <c r="N149" s="2" t="s">
        <v>347</v>
      </c>
      <c r="O149" s="2" t="s">
        <v>78</v>
      </c>
      <c r="P149" s="3" t="s">
        <v>293</v>
      </c>
      <c r="Q149" s="2" t="s">
        <v>80</v>
      </c>
      <c r="R149" s="2" t="s">
        <v>254</v>
      </c>
      <c r="S149" s="2" t="s">
        <v>81</v>
      </c>
      <c r="T149" s="13">
        <v>5.117</v>
      </c>
      <c r="U149" s="2" t="s">
        <v>551</v>
      </c>
      <c r="V149" s="8">
        <v>3.5000000000000001E-3</v>
      </c>
      <c r="W149" s="8">
        <v>2.9219999999999999E-2</v>
      </c>
      <c r="X149" s="2" t="s">
        <v>256</v>
      </c>
      <c r="Y149" s="2" t="s">
        <v>78</v>
      </c>
      <c r="Z149" s="6">
        <v>51302434</v>
      </c>
      <c r="AA149" s="13">
        <v>1</v>
      </c>
      <c r="AB149" s="6">
        <v>100.33</v>
      </c>
      <c r="AC149" s="6">
        <v>0</v>
      </c>
      <c r="AD149" s="6">
        <v>51471.732000000004</v>
      </c>
      <c r="AG149" s="2" t="s">
        <v>23</v>
      </c>
      <c r="AH149" s="8">
        <v>1.472E-2</v>
      </c>
      <c r="AI149" s="8">
        <v>1.555E-2</v>
      </c>
      <c r="AJ149" s="8">
        <v>1.2800000000000001E-3</v>
      </c>
    </row>
    <row r="150" spans="1:36">
      <c r="A150" s="12">
        <v>1097</v>
      </c>
      <c r="B150" s="12">
        <v>1097</v>
      </c>
      <c r="C150" s="2" t="s">
        <v>752</v>
      </c>
      <c r="D150" s="3" t="s">
        <v>753</v>
      </c>
      <c r="E150" s="2" t="s">
        <v>245</v>
      </c>
      <c r="F150" s="2" t="s">
        <v>762</v>
      </c>
      <c r="G150" s="12" t="s">
        <v>761</v>
      </c>
      <c r="H150" s="2" t="s">
        <v>248</v>
      </c>
      <c r="I150" s="2" t="s">
        <v>261</v>
      </c>
      <c r="J150" s="2" t="s">
        <v>77</v>
      </c>
      <c r="K150" s="2" t="s">
        <v>77</v>
      </c>
      <c r="L150" s="2" t="s">
        <v>353</v>
      </c>
      <c r="M150" s="2" t="s">
        <v>130</v>
      </c>
      <c r="N150" s="2" t="s">
        <v>347</v>
      </c>
      <c r="O150" s="2" t="s">
        <v>78</v>
      </c>
      <c r="P150" s="3" t="s">
        <v>293</v>
      </c>
      <c r="Q150" s="2" t="s">
        <v>80</v>
      </c>
      <c r="R150" s="2" t="s">
        <v>254</v>
      </c>
      <c r="S150" s="2" t="s">
        <v>81</v>
      </c>
      <c r="T150" s="13">
        <v>5.117</v>
      </c>
      <c r="U150" s="2" t="s">
        <v>551</v>
      </c>
      <c r="V150" s="8">
        <v>3.5000000000000001E-3</v>
      </c>
      <c r="W150" s="8">
        <v>2.9219999999999999E-2</v>
      </c>
      <c r="X150" s="2" t="s">
        <v>256</v>
      </c>
      <c r="Y150" s="2" t="s">
        <v>78</v>
      </c>
      <c r="Z150" s="6">
        <v>6147566</v>
      </c>
      <c r="AA150" s="13">
        <v>1</v>
      </c>
      <c r="AB150" s="6">
        <v>100.33</v>
      </c>
      <c r="AC150" s="6">
        <v>0</v>
      </c>
      <c r="AD150" s="6">
        <v>6167.8530000000001</v>
      </c>
      <c r="AG150" s="2" t="s">
        <v>23</v>
      </c>
      <c r="AH150" s="8">
        <v>1.7600000000000001E-3</v>
      </c>
      <c r="AI150" s="8">
        <v>1.8600000000000001E-3</v>
      </c>
      <c r="AJ150" s="8">
        <v>1.4999999999999999E-4</v>
      </c>
    </row>
    <row r="151" spans="1:36">
      <c r="A151" s="12">
        <v>1097</v>
      </c>
      <c r="B151" s="12">
        <v>1097</v>
      </c>
      <c r="C151" s="2" t="s">
        <v>763</v>
      </c>
      <c r="D151" s="3" t="s">
        <v>764</v>
      </c>
      <c r="E151" s="2" t="s">
        <v>245</v>
      </c>
      <c r="F151" s="2" t="s">
        <v>765</v>
      </c>
      <c r="G151" s="12" t="s">
        <v>766</v>
      </c>
      <c r="H151" s="2" t="s">
        <v>248</v>
      </c>
      <c r="I151" s="2" t="s">
        <v>249</v>
      </c>
      <c r="J151" s="2" t="s">
        <v>77</v>
      </c>
      <c r="K151" s="2" t="s">
        <v>77</v>
      </c>
      <c r="L151" s="2" t="s">
        <v>250</v>
      </c>
      <c r="M151" s="2" t="s">
        <v>130</v>
      </c>
      <c r="N151" s="2" t="s">
        <v>628</v>
      </c>
      <c r="O151" s="2" t="s">
        <v>78</v>
      </c>
      <c r="P151" s="3" t="s">
        <v>283</v>
      </c>
      <c r="Q151" s="2" t="s">
        <v>253</v>
      </c>
      <c r="R151" s="2" t="s">
        <v>254</v>
      </c>
      <c r="S151" s="2" t="s">
        <v>81</v>
      </c>
      <c r="T151" s="13">
        <v>4.5090000000000003</v>
      </c>
      <c r="U151" s="2" t="s">
        <v>205</v>
      </c>
      <c r="V151" s="8">
        <v>2.3800000000000002E-2</v>
      </c>
      <c r="W151" s="8">
        <v>4.6379999999999998E-2</v>
      </c>
      <c r="X151" s="2" t="s">
        <v>629</v>
      </c>
      <c r="Y151" s="2" t="s">
        <v>78</v>
      </c>
      <c r="Z151" s="6">
        <v>23743000</v>
      </c>
      <c r="AA151" s="13">
        <v>1</v>
      </c>
      <c r="AB151" s="6">
        <v>91.15</v>
      </c>
      <c r="AC151" s="6">
        <v>0</v>
      </c>
      <c r="AD151" s="6">
        <v>21641.744999999999</v>
      </c>
      <c r="AG151" s="2" t="s">
        <v>23</v>
      </c>
      <c r="AH151" s="8">
        <v>3.6519999999999997E-2</v>
      </c>
      <c r="AI151" s="8">
        <v>6.5399999999999998E-3</v>
      </c>
      <c r="AJ151" s="8">
        <v>5.4000000000000001E-4</v>
      </c>
    </row>
    <row r="152" spans="1:36">
      <c r="A152" s="12">
        <v>1097</v>
      </c>
      <c r="B152" s="12">
        <v>1097</v>
      </c>
      <c r="C152" s="2" t="s">
        <v>763</v>
      </c>
      <c r="D152" s="3" t="s">
        <v>764</v>
      </c>
      <c r="E152" s="2" t="s">
        <v>245</v>
      </c>
      <c r="F152" s="2" t="s">
        <v>767</v>
      </c>
      <c r="G152" s="12" t="s">
        <v>768</v>
      </c>
      <c r="H152" s="2" t="s">
        <v>248</v>
      </c>
      <c r="I152" s="2" t="s">
        <v>249</v>
      </c>
      <c r="J152" s="2" t="s">
        <v>77</v>
      </c>
      <c r="K152" s="2" t="s">
        <v>77</v>
      </c>
      <c r="L152" s="2" t="s">
        <v>250</v>
      </c>
      <c r="M152" s="2" t="s">
        <v>130</v>
      </c>
      <c r="N152" s="2" t="s">
        <v>628</v>
      </c>
      <c r="O152" s="2" t="s">
        <v>78</v>
      </c>
      <c r="P152" s="3" t="s">
        <v>283</v>
      </c>
      <c r="Q152" s="2" t="s">
        <v>253</v>
      </c>
      <c r="R152" s="2" t="s">
        <v>254</v>
      </c>
      <c r="S152" s="2" t="s">
        <v>81</v>
      </c>
      <c r="T152" s="13">
        <v>2.657</v>
      </c>
      <c r="U152" s="2" t="s">
        <v>769</v>
      </c>
      <c r="V152" s="8">
        <v>3.2599999999999997E-2</v>
      </c>
      <c r="W152" s="8">
        <v>4.6850000000000003E-2</v>
      </c>
      <c r="X152" s="2" t="s">
        <v>629</v>
      </c>
      <c r="Y152" s="2" t="s">
        <v>78</v>
      </c>
      <c r="Z152" s="6">
        <v>62208000</v>
      </c>
      <c r="AA152" s="13">
        <v>1</v>
      </c>
      <c r="AB152" s="6">
        <v>97.19</v>
      </c>
      <c r="AC152" s="6">
        <v>0</v>
      </c>
      <c r="AD152" s="6">
        <v>60459.955000000002</v>
      </c>
      <c r="AG152" s="2" t="s">
        <v>23</v>
      </c>
      <c r="AH152" s="8">
        <v>6.3109999999999999E-2</v>
      </c>
      <c r="AI152" s="8">
        <v>1.8270000000000002E-2</v>
      </c>
      <c r="AJ152" s="8">
        <v>1.5E-3</v>
      </c>
    </row>
    <row r="153" spans="1:36">
      <c r="A153" s="12">
        <v>1097</v>
      </c>
      <c r="B153" s="12">
        <v>1097</v>
      </c>
      <c r="C153" s="2" t="s">
        <v>763</v>
      </c>
      <c r="D153" s="3" t="s">
        <v>764</v>
      </c>
      <c r="E153" s="2" t="s">
        <v>245</v>
      </c>
      <c r="F153" s="2" t="s">
        <v>770</v>
      </c>
      <c r="G153" s="12" t="s">
        <v>771</v>
      </c>
      <c r="H153" s="2" t="s">
        <v>248</v>
      </c>
      <c r="I153" s="2" t="s">
        <v>249</v>
      </c>
      <c r="J153" s="2" t="s">
        <v>77</v>
      </c>
      <c r="K153" s="2" t="s">
        <v>77</v>
      </c>
      <c r="L153" s="2" t="s">
        <v>250</v>
      </c>
      <c r="M153" s="2" t="s">
        <v>130</v>
      </c>
      <c r="N153" s="2" t="s">
        <v>628</v>
      </c>
      <c r="O153" s="2" t="s">
        <v>78</v>
      </c>
      <c r="P153" s="3" t="s">
        <v>283</v>
      </c>
      <c r="Q153" s="2" t="s">
        <v>253</v>
      </c>
      <c r="R153" s="2" t="s">
        <v>254</v>
      </c>
      <c r="S153" s="2" t="s">
        <v>81</v>
      </c>
      <c r="T153" s="13">
        <v>3.629</v>
      </c>
      <c r="U153" s="2" t="s">
        <v>772</v>
      </c>
      <c r="V153" s="8">
        <v>6.0699999999999997E-2</v>
      </c>
      <c r="W153" s="8">
        <v>4.231E-2</v>
      </c>
      <c r="X153" s="2" t="s">
        <v>256</v>
      </c>
      <c r="Y153" s="2" t="s">
        <v>78</v>
      </c>
      <c r="Z153" s="6">
        <v>1408499.9950000001</v>
      </c>
      <c r="AA153" s="13">
        <v>1</v>
      </c>
      <c r="AB153" s="6">
        <v>106.87</v>
      </c>
      <c r="AC153" s="6">
        <v>0</v>
      </c>
      <c r="AD153" s="6">
        <v>1505.2639999999999</v>
      </c>
      <c r="AG153" s="2" t="s">
        <v>23</v>
      </c>
      <c r="AH153" s="8">
        <v>2.2399999999999998E-3</v>
      </c>
      <c r="AI153" s="8">
        <v>4.4999999999999999E-4</v>
      </c>
      <c r="AJ153" s="8">
        <v>4.0000000000000003E-5</v>
      </c>
    </row>
    <row r="154" spans="1:36">
      <c r="A154" s="12">
        <v>1097</v>
      </c>
      <c r="B154" s="12">
        <v>1097</v>
      </c>
      <c r="C154" s="2" t="s">
        <v>763</v>
      </c>
      <c r="D154" s="3" t="s">
        <v>764</v>
      </c>
      <c r="E154" s="2" t="s">
        <v>245</v>
      </c>
      <c r="F154" s="2" t="s">
        <v>773</v>
      </c>
      <c r="G154" s="12" t="s">
        <v>774</v>
      </c>
      <c r="H154" s="2" t="s">
        <v>248</v>
      </c>
      <c r="I154" s="2" t="s">
        <v>249</v>
      </c>
      <c r="J154" s="2" t="s">
        <v>77</v>
      </c>
      <c r="K154" s="2" t="s">
        <v>77</v>
      </c>
      <c r="L154" s="2" t="s">
        <v>250</v>
      </c>
      <c r="M154" s="2" t="s">
        <v>130</v>
      </c>
      <c r="N154" s="2" t="s">
        <v>628</v>
      </c>
      <c r="O154" s="2" t="s">
        <v>78</v>
      </c>
      <c r="P154" s="3" t="s">
        <v>283</v>
      </c>
      <c r="Q154" s="2" t="s">
        <v>253</v>
      </c>
      <c r="R154" s="2" t="s">
        <v>254</v>
      </c>
      <c r="S154" s="2" t="s">
        <v>81</v>
      </c>
      <c r="T154" s="13">
        <v>3.629</v>
      </c>
      <c r="U154" s="2" t="s">
        <v>775</v>
      </c>
      <c r="V154" s="8">
        <v>6.0699999999999997E-2</v>
      </c>
      <c r="W154" s="8">
        <v>4.1349999999999998E-2</v>
      </c>
      <c r="X154" s="2" t="s">
        <v>256</v>
      </c>
      <c r="Y154" s="2" t="s">
        <v>78</v>
      </c>
      <c r="Z154" s="6">
        <v>1408499.9950000001</v>
      </c>
      <c r="AA154" s="13">
        <v>1</v>
      </c>
      <c r="AB154" s="6">
        <v>107.23</v>
      </c>
      <c r="AC154" s="6">
        <v>0</v>
      </c>
      <c r="AD154" s="6">
        <v>1510.335</v>
      </c>
      <c r="AG154" s="2" t="s">
        <v>23</v>
      </c>
      <c r="AH154" s="8">
        <v>2.2399999999999998E-3</v>
      </c>
      <c r="AI154" s="8">
        <v>4.6000000000000001E-4</v>
      </c>
      <c r="AJ154" s="8">
        <v>4.0000000000000003E-5</v>
      </c>
    </row>
    <row r="155" spans="1:36">
      <c r="A155" s="12">
        <v>1097</v>
      </c>
      <c r="B155" s="12">
        <v>1097</v>
      </c>
      <c r="C155" s="2" t="s">
        <v>776</v>
      </c>
      <c r="D155" s="3" t="s">
        <v>777</v>
      </c>
      <c r="E155" s="2" t="s">
        <v>245</v>
      </c>
      <c r="F155" s="2" t="s">
        <v>778</v>
      </c>
      <c r="G155" s="12" t="s">
        <v>779</v>
      </c>
      <c r="H155" s="2" t="s">
        <v>248</v>
      </c>
      <c r="I155" s="2" t="s">
        <v>249</v>
      </c>
      <c r="J155" s="2" t="s">
        <v>77</v>
      </c>
      <c r="K155" s="2" t="s">
        <v>77</v>
      </c>
      <c r="L155" s="2" t="s">
        <v>250</v>
      </c>
      <c r="M155" s="2" t="s">
        <v>130</v>
      </c>
      <c r="N155" s="2" t="s">
        <v>347</v>
      </c>
      <c r="O155" s="2" t="s">
        <v>78</v>
      </c>
      <c r="P155" s="3" t="s">
        <v>252</v>
      </c>
      <c r="Q155" s="2" t="s">
        <v>253</v>
      </c>
      <c r="R155" s="2" t="s">
        <v>254</v>
      </c>
      <c r="S155" s="2" t="s">
        <v>81</v>
      </c>
      <c r="T155" s="13">
        <v>2.7509999999999999</v>
      </c>
      <c r="U155" s="2" t="s">
        <v>288</v>
      </c>
      <c r="V155" s="8">
        <v>3.04E-2</v>
      </c>
      <c r="W155" s="8">
        <v>4.7E-2</v>
      </c>
      <c r="X155" s="2" t="s">
        <v>256</v>
      </c>
      <c r="Y155" s="2" t="s">
        <v>78</v>
      </c>
      <c r="Z155" s="6">
        <v>1355064.67</v>
      </c>
      <c r="AA155" s="13">
        <v>1</v>
      </c>
      <c r="AB155" s="6">
        <v>95.74</v>
      </c>
      <c r="AC155" s="6">
        <v>0</v>
      </c>
      <c r="AD155" s="6">
        <v>1297.3389999999999</v>
      </c>
      <c r="AG155" s="2" t="s">
        <v>23</v>
      </c>
      <c r="AH155" s="8">
        <v>4.4000000000000003E-3</v>
      </c>
      <c r="AI155" s="8">
        <v>3.8999999999999999E-4</v>
      </c>
      <c r="AJ155" s="8">
        <v>3.0000000000000001E-5</v>
      </c>
    </row>
    <row r="156" spans="1:36">
      <c r="A156" s="12">
        <v>1097</v>
      </c>
      <c r="B156" s="12">
        <v>1097</v>
      </c>
      <c r="C156" s="2" t="s">
        <v>776</v>
      </c>
      <c r="D156" s="3" t="s">
        <v>777</v>
      </c>
      <c r="E156" s="2" t="s">
        <v>245</v>
      </c>
      <c r="F156" s="2" t="s">
        <v>780</v>
      </c>
      <c r="G156" s="12" t="s">
        <v>781</v>
      </c>
      <c r="H156" s="2" t="s">
        <v>248</v>
      </c>
      <c r="I156" s="2" t="s">
        <v>249</v>
      </c>
      <c r="J156" s="2" t="s">
        <v>77</v>
      </c>
      <c r="K156" s="2" t="s">
        <v>77</v>
      </c>
      <c r="L156" s="2" t="s">
        <v>250</v>
      </c>
      <c r="M156" s="2" t="s">
        <v>130</v>
      </c>
      <c r="N156" s="2" t="s">
        <v>347</v>
      </c>
      <c r="O156" s="2" t="s">
        <v>78</v>
      </c>
      <c r="P156" s="3" t="s">
        <v>252</v>
      </c>
      <c r="Q156" s="2" t="s">
        <v>253</v>
      </c>
      <c r="R156" s="2" t="s">
        <v>254</v>
      </c>
      <c r="S156" s="2" t="s">
        <v>81</v>
      </c>
      <c r="T156" s="13">
        <v>4.8840000000000003</v>
      </c>
      <c r="U156" s="2" t="s">
        <v>611</v>
      </c>
      <c r="V156" s="8">
        <v>5.4800000000000001E-2</v>
      </c>
      <c r="W156" s="8">
        <v>4.8239999999999998E-2</v>
      </c>
      <c r="X156" s="2" t="s">
        <v>256</v>
      </c>
      <c r="Y156" s="2" t="s">
        <v>78</v>
      </c>
      <c r="Z156" s="6">
        <v>2812000</v>
      </c>
      <c r="AA156" s="13">
        <v>1</v>
      </c>
      <c r="AB156" s="6">
        <v>103.44</v>
      </c>
      <c r="AC156" s="6">
        <v>0</v>
      </c>
      <c r="AD156" s="6">
        <v>2908.7330000000002</v>
      </c>
      <c r="AG156" s="2" t="s">
        <v>23</v>
      </c>
      <c r="AH156" s="8">
        <v>9.3699999999999999E-3</v>
      </c>
      <c r="AI156" s="8">
        <v>8.8000000000000003E-4</v>
      </c>
      <c r="AJ156" s="8">
        <v>6.9999999999999994E-5</v>
      </c>
    </row>
    <row r="157" spans="1:36">
      <c r="A157" s="12">
        <v>1097</v>
      </c>
      <c r="B157" s="12">
        <v>1097</v>
      </c>
      <c r="C157" s="2" t="s">
        <v>782</v>
      </c>
      <c r="D157" s="3" t="s">
        <v>783</v>
      </c>
      <c r="E157" s="2" t="s">
        <v>245</v>
      </c>
      <c r="F157" s="2" t="s">
        <v>784</v>
      </c>
      <c r="G157" s="12" t="s">
        <v>785</v>
      </c>
      <c r="H157" s="2" t="s">
        <v>248</v>
      </c>
      <c r="I157" s="2" t="s">
        <v>261</v>
      </c>
      <c r="J157" s="2" t="s">
        <v>77</v>
      </c>
      <c r="K157" s="2" t="s">
        <v>77</v>
      </c>
      <c r="L157" s="2" t="s">
        <v>250</v>
      </c>
      <c r="M157" s="2" t="s">
        <v>130</v>
      </c>
      <c r="N157" s="2" t="s">
        <v>347</v>
      </c>
      <c r="O157" s="2" t="s">
        <v>78</v>
      </c>
      <c r="P157" s="3" t="s">
        <v>306</v>
      </c>
      <c r="Q157" s="2" t="s">
        <v>80</v>
      </c>
      <c r="R157" s="2" t="s">
        <v>254</v>
      </c>
      <c r="S157" s="2" t="s">
        <v>81</v>
      </c>
      <c r="T157" s="13">
        <v>3.589</v>
      </c>
      <c r="U157" s="2" t="s">
        <v>786</v>
      </c>
      <c r="V157" s="8">
        <v>8.3999999999999995E-3</v>
      </c>
      <c r="W157" s="8">
        <v>2.9929999999999998E-2</v>
      </c>
      <c r="X157" s="2" t="s">
        <v>256</v>
      </c>
      <c r="Y157" s="2" t="s">
        <v>78</v>
      </c>
      <c r="Z157" s="6">
        <v>52165959.43</v>
      </c>
      <c r="AA157" s="13">
        <v>1</v>
      </c>
      <c r="AB157" s="6">
        <v>108.57</v>
      </c>
      <c r="AC157" s="6">
        <v>0</v>
      </c>
      <c r="AD157" s="6">
        <v>56636.582000000002</v>
      </c>
      <c r="AG157" s="2" t="s">
        <v>23</v>
      </c>
      <c r="AH157" s="8">
        <v>6.3380000000000006E-2</v>
      </c>
      <c r="AI157" s="8">
        <v>1.711E-2</v>
      </c>
      <c r="AJ157" s="8">
        <v>1.41E-3</v>
      </c>
    </row>
    <row r="158" spans="1:36">
      <c r="A158" s="12">
        <v>1097</v>
      </c>
      <c r="B158" s="12">
        <v>1097</v>
      </c>
      <c r="C158" s="2" t="s">
        <v>782</v>
      </c>
      <c r="D158" s="3" t="s">
        <v>783</v>
      </c>
      <c r="E158" s="2" t="s">
        <v>245</v>
      </c>
      <c r="F158" s="2" t="s">
        <v>787</v>
      </c>
      <c r="G158" s="12" t="s">
        <v>788</v>
      </c>
      <c r="H158" s="2" t="s">
        <v>248</v>
      </c>
      <c r="I158" s="2" t="s">
        <v>261</v>
      </c>
      <c r="J158" s="2" t="s">
        <v>77</v>
      </c>
      <c r="K158" s="2" t="s">
        <v>77</v>
      </c>
      <c r="L158" s="2" t="s">
        <v>250</v>
      </c>
      <c r="M158" s="2" t="s">
        <v>130</v>
      </c>
      <c r="N158" s="2" t="s">
        <v>347</v>
      </c>
      <c r="O158" s="2" t="s">
        <v>78</v>
      </c>
      <c r="P158" s="3" t="s">
        <v>306</v>
      </c>
      <c r="Q158" s="2" t="s">
        <v>80</v>
      </c>
      <c r="R158" s="2" t="s">
        <v>254</v>
      </c>
      <c r="S158" s="2" t="s">
        <v>81</v>
      </c>
      <c r="T158" s="13">
        <v>5.1879999999999997</v>
      </c>
      <c r="U158" s="2" t="s">
        <v>789</v>
      </c>
      <c r="V158" s="8">
        <v>5.0000000000000001E-3</v>
      </c>
      <c r="W158" s="8">
        <v>2.8070000000000001E-2</v>
      </c>
      <c r="X158" s="2" t="s">
        <v>256</v>
      </c>
      <c r="Y158" s="2" t="s">
        <v>78</v>
      </c>
      <c r="Z158" s="6">
        <v>10603825.27</v>
      </c>
      <c r="AA158" s="13">
        <v>1</v>
      </c>
      <c r="AB158" s="6">
        <v>102.61</v>
      </c>
      <c r="AC158" s="6">
        <v>0</v>
      </c>
      <c r="AD158" s="6">
        <v>10880.584999999999</v>
      </c>
      <c r="AG158" s="2" t="s">
        <v>23</v>
      </c>
      <c r="AH158" s="8">
        <v>9.8760000000000001E-2</v>
      </c>
      <c r="AI158" s="8">
        <v>3.29E-3</v>
      </c>
      <c r="AJ158" s="8">
        <v>2.7E-4</v>
      </c>
    </row>
    <row r="159" spans="1:36">
      <c r="A159" s="12">
        <v>1097</v>
      </c>
      <c r="B159" s="12">
        <v>1097</v>
      </c>
      <c r="C159" s="2" t="s">
        <v>782</v>
      </c>
      <c r="D159" s="3" t="s">
        <v>783</v>
      </c>
      <c r="E159" s="2" t="s">
        <v>245</v>
      </c>
      <c r="F159" s="2" t="s">
        <v>790</v>
      </c>
      <c r="G159" s="12" t="s">
        <v>791</v>
      </c>
      <c r="H159" s="2" t="s">
        <v>248</v>
      </c>
      <c r="I159" s="2" t="s">
        <v>261</v>
      </c>
      <c r="J159" s="2" t="s">
        <v>77</v>
      </c>
      <c r="K159" s="2" t="s">
        <v>77</v>
      </c>
      <c r="L159" s="2" t="s">
        <v>250</v>
      </c>
      <c r="M159" s="2" t="s">
        <v>130</v>
      </c>
      <c r="N159" s="2" t="s">
        <v>347</v>
      </c>
      <c r="O159" s="2" t="s">
        <v>78</v>
      </c>
      <c r="P159" s="3" t="s">
        <v>306</v>
      </c>
      <c r="Q159" s="2" t="s">
        <v>80</v>
      </c>
      <c r="R159" s="2" t="s">
        <v>254</v>
      </c>
      <c r="S159" s="2" t="s">
        <v>81</v>
      </c>
      <c r="T159" s="13">
        <v>5.1130000000000004</v>
      </c>
      <c r="U159" s="2" t="s">
        <v>789</v>
      </c>
      <c r="V159" s="8">
        <v>9.7000000000000003E-3</v>
      </c>
      <c r="W159" s="8">
        <v>3.2009999999999997E-2</v>
      </c>
      <c r="X159" s="2" t="s">
        <v>256</v>
      </c>
      <c r="Y159" s="2" t="s">
        <v>78</v>
      </c>
      <c r="Z159" s="6">
        <v>18768725.899999999</v>
      </c>
      <c r="AA159" s="13">
        <v>1</v>
      </c>
      <c r="AB159" s="6">
        <v>103.36</v>
      </c>
      <c r="AC159" s="6">
        <v>0</v>
      </c>
      <c r="AD159" s="6">
        <v>19399.355</v>
      </c>
      <c r="AG159" s="2" t="s">
        <v>23</v>
      </c>
      <c r="AH159" s="8">
        <v>3.1189999999999999E-2</v>
      </c>
      <c r="AI159" s="8">
        <v>5.8599999999999998E-3</v>
      </c>
      <c r="AJ159" s="8">
        <v>4.8000000000000001E-4</v>
      </c>
    </row>
    <row r="160" spans="1:36">
      <c r="A160" s="12">
        <v>1097</v>
      </c>
      <c r="B160" s="12">
        <v>1097</v>
      </c>
      <c r="C160" s="2" t="s">
        <v>782</v>
      </c>
      <c r="D160" s="3" t="s">
        <v>783</v>
      </c>
      <c r="E160" s="2" t="s">
        <v>245</v>
      </c>
      <c r="F160" s="2" t="s">
        <v>792</v>
      </c>
      <c r="G160" s="12" t="s">
        <v>793</v>
      </c>
      <c r="H160" s="2" t="s">
        <v>248</v>
      </c>
      <c r="I160" s="2" t="s">
        <v>261</v>
      </c>
      <c r="J160" s="2" t="s">
        <v>77</v>
      </c>
      <c r="K160" s="2" t="s">
        <v>77</v>
      </c>
      <c r="L160" s="2" t="s">
        <v>250</v>
      </c>
      <c r="M160" s="2" t="s">
        <v>130</v>
      </c>
      <c r="N160" s="2" t="s">
        <v>347</v>
      </c>
      <c r="O160" s="2" t="s">
        <v>78</v>
      </c>
      <c r="P160" s="3" t="s">
        <v>277</v>
      </c>
      <c r="Q160" s="2" t="s">
        <v>80</v>
      </c>
      <c r="R160" s="2" t="s">
        <v>254</v>
      </c>
      <c r="S160" s="2" t="s">
        <v>81</v>
      </c>
      <c r="T160" s="13">
        <v>5.0199999999999996</v>
      </c>
      <c r="U160" s="2" t="s">
        <v>500</v>
      </c>
      <c r="V160" s="8">
        <v>3.1800000000000002E-2</v>
      </c>
      <c r="W160" s="8">
        <v>2.921E-2</v>
      </c>
      <c r="X160" s="2" t="s">
        <v>256</v>
      </c>
      <c r="Y160" s="2" t="s">
        <v>78</v>
      </c>
      <c r="Z160" s="6">
        <v>1444000</v>
      </c>
      <c r="AA160" s="13">
        <v>1</v>
      </c>
      <c r="AB160" s="6">
        <v>104.39</v>
      </c>
      <c r="AC160" s="6">
        <v>0</v>
      </c>
      <c r="AD160" s="6">
        <v>1507.3920000000001</v>
      </c>
      <c r="AG160" s="2" t="s">
        <v>23</v>
      </c>
      <c r="AH160" s="8">
        <v>3.16E-3</v>
      </c>
      <c r="AI160" s="8">
        <v>4.6000000000000001E-4</v>
      </c>
      <c r="AJ160" s="8">
        <v>4.0000000000000003E-5</v>
      </c>
    </row>
    <row r="161" spans="1:36">
      <c r="A161" s="12">
        <v>1097</v>
      </c>
      <c r="B161" s="12">
        <v>1097</v>
      </c>
      <c r="C161" s="2" t="s">
        <v>782</v>
      </c>
      <c r="D161" s="3" t="s">
        <v>783</v>
      </c>
      <c r="E161" s="2" t="s">
        <v>245</v>
      </c>
      <c r="F161" s="2" t="s">
        <v>794</v>
      </c>
      <c r="G161" s="12" t="s">
        <v>795</v>
      </c>
      <c r="H161" s="2" t="s">
        <v>248</v>
      </c>
      <c r="I161" s="2" t="s">
        <v>261</v>
      </c>
      <c r="J161" s="2" t="s">
        <v>77</v>
      </c>
      <c r="K161" s="2" t="s">
        <v>77</v>
      </c>
      <c r="L161" s="2" t="s">
        <v>250</v>
      </c>
      <c r="M161" s="2" t="s">
        <v>130</v>
      </c>
      <c r="N161" s="2" t="s">
        <v>347</v>
      </c>
      <c r="O161" s="2" t="s">
        <v>78</v>
      </c>
      <c r="P161" s="3" t="s">
        <v>306</v>
      </c>
      <c r="Q161" s="2" t="s">
        <v>80</v>
      </c>
      <c r="R161" s="2" t="s">
        <v>254</v>
      </c>
      <c r="S161" s="2" t="s">
        <v>81</v>
      </c>
      <c r="T161" s="13">
        <v>0.995</v>
      </c>
      <c r="U161" s="2" t="s">
        <v>365</v>
      </c>
      <c r="V161" s="8">
        <v>2.0500000000000001E-2</v>
      </c>
      <c r="W161" s="8">
        <v>3.1130000000000001E-2</v>
      </c>
      <c r="X161" s="2" t="s">
        <v>256</v>
      </c>
      <c r="Y161" s="2" t="s">
        <v>78</v>
      </c>
      <c r="Z161" s="6">
        <v>132880.92000000001</v>
      </c>
      <c r="AA161" s="13">
        <v>1</v>
      </c>
      <c r="AB161" s="6">
        <v>117.36</v>
      </c>
      <c r="AC161" s="6">
        <v>0</v>
      </c>
      <c r="AD161" s="6">
        <v>155.94900000000001</v>
      </c>
      <c r="AG161" s="2" t="s">
        <v>23</v>
      </c>
      <c r="AH161" s="8">
        <v>1.08E-3</v>
      </c>
      <c r="AI161" s="8">
        <v>5.0000000000000002E-5</v>
      </c>
      <c r="AJ161" s="8">
        <v>0</v>
      </c>
    </row>
    <row r="162" spans="1:36">
      <c r="A162" s="12">
        <v>1097</v>
      </c>
      <c r="B162" s="12">
        <v>1097</v>
      </c>
      <c r="C162" s="2" t="s">
        <v>782</v>
      </c>
      <c r="D162" s="3" t="s">
        <v>783</v>
      </c>
      <c r="E162" s="2" t="s">
        <v>245</v>
      </c>
      <c r="F162" s="2" t="s">
        <v>796</v>
      </c>
      <c r="G162" s="12" t="s">
        <v>797</v>
      </c>
      <c r="H162" s="2" t="s">
        <v>248</v>
      </c>
      <c r="I162" s="2" t="s">
        <v>261</v>
      </c>
      <c r="J162" s="2" t="s">
        <v>77</v>
      </c>
      <c r="K162" s="2" t="s">
        <v>77</v>
      </c>
      <c r="L162" s="2" t="s">
        <v>250</v>
      </c>
      <c r="M162" s="2" t="s">
        <v>130</v>
      </c>
      <c r="N162" s="2" t="s">
        <v>347</v>
      </c>
      <c r="O162" s="2" t="s">
        <v>78</v>
      </c>
      <c r="P162" s="3" t="s">
        <v>306</v>
      </c>
      <c r="Q162" s="2" t="s">
        <v>80</v>
      </c>
      <c r="R162" s="2" t="s">
        <v>254</v>
      </c>
      <c r="S162" s="2" t="s">
        <v>81</v>
      </c>
      <c r="T162" s="13">
        <v>1.139</v>
      </c>
      <c r="U162" s="2" t="s">
        <v>798</v>
      </c>
      <c r="V162" s="8">
        <v>2.0500000000000001E-2</v>
      </c>
      <c r="W162" s="8">
        <v>3.2259999999999997E-2</v>
      </c>
      <c r="X162" s="2" t="s">
        <v>256</v>
      </c>
      <c r="Y162" s="2" t="s">
        <v>78</v>
      </c>
      <c r="Z162" s="6">
        <v>1669764.67</v>
      </c>
      <c r="AA162" s="13">
        <v>1</v>
      </c>
      <c r="AB162" s="6">
        <v>117.83</v>
      </c>
      <c r="AC162" s="6">
        <v>0</v>
      </c>
      <c r="AD162" s="6">
        <v>1967.4839999999999</v>
      </c>
      <c r="AG162" s="2" t="s">
        <v>23</v>
      </c>
      <c r="AH162" s="8">
        <v>2.2100000000000002E-3</v>
      </c>
      <c r="AI162" s="8">
        <v>5.9000000000000003E-4</v>
      </c>
      <c r="AJ162" s="8">
        <v>5.0000000000000002E-5</v>
      </c>
    </row>
    <row r="163" spans="1:36">
      <c r="A163" s="12">
        <v>1097</v>
      </c>
      <c r="B163" s="12">
        <v>1097</v>
      </c>
      <c r="C163" s="2" t="s">
        <v>782</v>
      </c>
      <c r="D163" s="3" t="s">
        <v>783</v>
      </c>
      <c r="E163" s="2" t="s">
        <v>245</v>
      </c>
      <c r="F163" s="2" t="s">
        <v>799</v>
      </c>
      <c r="G163" s="12" t="s">
        <v>800</v>
      </c>
      <c r="H163" s="2" t="s">
        <v>248</v>
      </c>
      <c r="I163" s="2" t="s">
        <v>261</v>
      </c>
      <c r="J163" s="2" t="s">
        <v>77</v>
      </c>
      <c r="K163" s="2" t="s">
        <v>77</v>
      </c>
      <c r="L163" s="2" t="s">
        <v>250</v>
      </c>
      <c r="M163" s="2" t="s">
        <v>130</v>
      </c>
      <c r="N163" s="2" t="s">
        <v>347</v>
      </c>
      <c r="O163" s="2" t="s">
        <v>78</v>
      </c>
      <c r="P163" s="3" t="s">
        <v>277</v>
      </c>
      <c r="Q163" s="2" t="s">
        <v>80</v>
      </c>
      <c r="R163" s="2" t="s">
        <v>254</v>
      </c>
      <c r="S163" s="2" t="s">
        <v>81</v>
      </c>
      <c r="T163" s="13">
        <v>1.399</v>
      </c>
      <c r="U163" s="2" t="s">
        <v>188</v>
      </c>
      <c r="V163" s="8">
        <v>1.4E-2</v>
      </c>
      <c r="W163" s="8">
        <v>2.8719999999999999E-2</v>
      </c>
      <c r="X163" s="2" t="s">
        <v>256</v>
      </c>
      <c r="Y163" s="2" t="s">
        <v>78</v>
      </c>
      <c r="Z163" s="6">
        <v>5870705.4000000004</v>
      </c>
      <c r="AA163" s="13">
        <v>1</v>
      </c>
      <c r="AB163" s="6">
        <v>115.68</v>
      </c>
      <c r="AC163" s="6">
        <v>0</v>
      </c>
      <c r="AD163" s="6">
        <v>6791.232</v>
      </c>
      <c r="AG163" s="2" t="s">
        <v>23</v>
      </c>
      <c r="AH163" s="8">
        <v>9.7000000000000003E-3</v>
      </c>
      <c r="AI163" s="8">
        <v>2.0500000000000002E-3</v>
      </c>
      <c r="AJ163" s="8">
        <v>1.7000000000000001E-4</v>
      </c>
    </row>
    <row r="164" spans="1:36">
      <c r="A164" s="12">
        <v>1097</v>
      </c>
      <c r="B164" s="12">
        <v>1097</v>
      </c>
      <c r="C164" s="2" t="s">
        <v>801</v>
      </c>
      <c r="D164" s="3" t="s">
        <v>802</v>
      </c>
      <c r="E164" s="2" t="s">
        <v>245</v>
      </c>
      <c r="F164" s="2" t="s">
        <v>803</v>
      </c>
      <c r="G164" s="12" t="s">
        <v>804</v>
      </c>
      <c r="H164" s="2" t="s">
        <v>248</v>
      </c>
      <c r="I164" s="2" t="s">
        <v>261</v>
      </c>
      <c r="J164" s="2" t="s">
        <v>77</v>
      </c>
      <c r="K164" s="2" t="s">
        <v>77</v>
      </c>
      <c r="L164" s="2" t="s">
        <v>250</v>
      </c>
      <c r="M164" s="2" t="s">
        <v>130</v>
      </c>
      <c r="N164" s="2" t="s">
        <v>528</v>
      </c>
      <c r="O164" s="2" t="s">
        <v>78</v>
      </c>
      <c r="P164" s="3" t="s">
        <v>79</v>
      </c>
      <c r="Q164" s="2" t="s">
        <v>80</v>
      </c>
      <c r="R164" s="2" t="s">
        <v>254</v>
      </c>
      <c r="S164" s="2" t="s">
        <v>81</v>
      </c>
      <c r="T164" s="13">
        <v>3.3050000000000002</v>
      </c>
      <c r="U164" s="2" t="s">
        <v>805</v>
      </c>
      <c r="V164" s="8">
        <v>1E-3</v>
      </c>
      <c r="W164" s="8">
        <v>2.581E-2</v>
      </c>
      <c r="X164" s="2" t="s">
        <v>256</v>
      </c>
      <c r="Y164" s="2" t="s">
        <v>78</v>
      </c>
      <c r="Z164" s="6">
        <v>10600000</v>
      </c>
      <c r="AA164" s="13">
        <v>1</v>
      </c>
      <c r="AB164" s="6">
        <v>105.48</v>
      </c>
      <c r="AC164" s="6">
        <v>0</v>
      </c>
      <c r="AD164" s="6">
        <v>11180.88</v>
      </c>
      <c r="AG164" s="2" t="s">
        <v>23</v>
      </c>
      <c r="AH164" s="8">
        <v>3.14E-3</v>
      </c>
      <c r="AI164" s="8">
        <v>3.3800000000000002E-3</v>
      </c>
      <c r="AJ164" s="8">
        <v>2.7999999999999998E-4</v>
      </c>
    </row>
    <row r="165" spans="1:36">
      <c r="A165" s="12">
        <v>1097</v>
      </c>
      <c r="B165" s="12">
        <v>1097</v>
      </c>
      <c r="C165" s="2" t="s">
        <v>801</v>
      </c>
      <c r="D165" s="3" t="s">
        <v>802</v>
      </c>
      <c r="E165" s="2" t="s">
        <v>245</v>
      </c>
      <c r="F165" s="2" t="s">
        <v>806</v>
      </c>
      <c r="G165" s="12" t="s">
        <v>807</v>
      </c>
      <c r="H165" s="2" t="s">
        <v>248</v>
      </c>
      <c r="I165" s="2" t="s">
        <v>261</v>
      </c>
      <c r="J165" s="2" t="s">
        <v>77</v>
      </c>
      <c r="K165" s="2" t="s">
        <v>77</v>
      </c>
      <c r="L165" s="2" t="s">
        <v>250</v>
      </c>
      <c r="M165" s="2" t="s">
        <v>130</v>
      </c>
      <c r="N165" s="2" t="s">
        <v>528</v>
      </c>
      <c r="O165" s="2" t="s">
        <v>78</v>
      </c>
      <c r="P165" s="3" t="s">
        <v>79</v>
      </c>
      <c r="Q165" s="2" t="s">
        <v>80</v>
      </c>
      <c r="R165" s="2" t="s">
        <v>254</v>
      </c>
      <c r="S165" s="2" t="s">
        <v>81</v>
      </c>
      <c r="T165" s="13">
        <v>3.2770000000000001</v>
      </c>
      <c r="U165" s="2" t="s">
        <v>808</v>
      </c>
      <c r="V165" s="8">
        <v>1.6400000000000001E-2</v>
      </c>
      <c r="W165" s="8">
        <v>2.615E-2</v>
      </c>
      <c r="X165" s="2" t="s">
        <v>256</v>
      </c>
      <c r="Y165" s="2" t="s">
        <v>78</v>
      </c>
      <c r="Z165" s="6">
        <v>3889000.17</v>
      </c>
      <c r="AA165" s="13">
        <v>1</v>
      </c>
      <c r="AB165" s="6">
        <v>106.26</v>
      </c>
      <c r="AC165" s="6">
        <v>0</v>
      </c>
      <c r="AD165" s="6">
        <v>4132.4520000000002</v>
      </c>
      <c r="AG165" s="2" t="s">
        <v>23</v>
      </c>
      <c r="AH165" s="8">
        <v>4.13E-3</v>
      </c>
      <c r="AI165" s="8">
        <v>1.25E-3</v>
      </c>
      <c r="AJ165" s="8">
        <v>1E-4</v>
      </c>
    </row>
    <row r="166" spans="1:36">
      <c r="A166" s="12">
        <v>1097</v>
      </c>
      <c r="B166" s="12">
        <v>1097</v>
      </c>
      <c r="C166" s="2" t="s">
        <v>801</v>
      </c>
      <c r="D166" s="3" t="s">
        <v>802</v>
      </c>
      <c r="E166" s="2" t="s">
        <v>245</v>
      </c>
      <c r="F166" s="2" t="s">
        <v>809</v>
      </c>
      <c r="G166" s="12" t="s">
        <v>810</v>
      </c>
      <c r="H166" s="2" t="s">
        <v>248</v>
      </c>
      <c r="I166" s="2" t="s">
        <v>261</v>
      </c>
      <c r="J166" s="2" t="s">
        <v>77</v>
      </c>
      <c r="K166" s="2" t="s">
        <v>77</v>
      </c>
      <c r="L166" s="2" t="s">
        <v>250</v>
      </c>
      <c r="M166" s="2" t="s">
        <v>130</v>
      </c>
      <c r="N166" s="2" t="s">
        <v>528</v>
      </c>
      <c r="O166" s="2" t="s">
        <v>78</v>
      </c>
      <c r="P166" s="3" t="s">
        <v>79</v>
      </c>
      <c r="Q166" s="2" t="s">
        <v>80</v>
      </c>
      <c r="R166" s="2" t="s">
        <v>254</v>
      </c>
      <c r="S166" s="2" t="s">
        <v>81</v>
      </c>
      <c r="T166" s="13">
        <v>4.2190000000000003</v>
      </c>
      <c r="U166" s="2" t="s">
        <v>811</v>
      </c>
      <c r="V166" s="8">
        <v>2.06E-2</v>
      </c>
      <c r="W166" s="8">
        <v>2.588E-2</v>
      </c>
      <c r="X166" s="2" t="s">
        <v>256</v>
      </c>
      <c r="Y166" s="2" t="s">
        <v>78</v>
      </c>
      <c r="Z166" s="6">
        <v>1200000</v>
      </c>
      <c r="AA166" s="13">
        <v>1</v>
      </c>
      <c r="AB166" s="6">
        <v>103.97</v>
      </c>
      <c r="AC166" s="6">
        <v>0</v>
      </c>
      <c r="AD166" s="6">
        <v>1247.6400000000001</v>
      </c>
      <c r="AG166" s="2" t="s">
        <v>23</v>
      </c>
      <c r="AH166" s="8">
        <v>7.5000000000000002E-4</v>
      </c>
      <c r="AI166" s="8">
        <v>3.8000000000000002E-4</v>
      </c>
      <c r="AJ166" s="8">
        <v>3.0000000000000001E-5</v>
      </c>
    </row>
    <row r="167" spans="1:36">
      <c r="A167" s="12">
        <v>1097</v>
      </c>
      <c r="B167" s="12">
        <v>1097</v>
      </c>
      <c r="C167" s="2" t="s">
        <v>801</v>
      </c>
      <c r="D167" s="3" t="s">
        <v>802</v>
      </c>
      <c r="E167" s="2" t="s">
        <v>245</v>
      </c>
      <c r="F167" s="2" t="s">
        <v>812</v>
      </c>
      <c r="G167" s="12" t="s">
        <v>813</v>
      </c>
      <c r="H167" s="2" t="s">
        <v>248</v>
      </c>
      <c r="I167" s="2" t="s">
        <v>261</v>
      </c>
      <c r="J167" s="2" t="s">
        <v>77</v>
      </c>
      <c r="K167" s="2" t="s">
        <v>77</v>
      </c>
      <c r="L167" s="2" t="s">
        <v>250</v>
      </c>
      <c r="M167" s="2" t="s">
        <v>130</v>
      </c>
      <c r="N167" s="2" t="s">
        <v>528</v>
      </c>
      <c r="O167" s="2" t="s">
        <v>78</v>
      </c>
      <c r="P167" s="3" t="s">
        <v>79</v>
      </c>
      <c r="Q167" s="2" t="s">
        <v>80</v>
      </c>
      <c r="R167" s="2" t="s">
        <v>254</v>
      </c>
      <c r="S167" s="2" t="s">
        <v>81</v>
      </c>
      <c r="T167" s="13">
        <v>5.3369999999999997</v>
      </c>
      <c r="U167" s="2" t="s">
        <v>814</v>
      </c>
      <c r="V167" s="8">
        <v>2.6800000000000001E-2</v>
      </c>
      <c r="W167" s="8">
        <v>2.6370000000000001E-2</v>
      </c>
      <c r="X167" s="2" t="s">
        <v>256</v>
      </c>
      <c r="Y167" s="2" t="s">
        <v>78</v>
      </c>
      <c r="Z167" s="6">
        <v>2000000</v>
      </c>
      <c r="AA167" s="13">
        <v>1</v>
      </c>
      <c r="AB167" s="6">
        <v>103.01</v>
      </c>
      <c r="AC167" s="6">
        <v>0</v>
      </c>
      <c r="AD167" s="6">
        <v>2060.1999999999998</v>
      </c>
      <c r="AG167" s="2" t="s">
        <v>23</v>
      </c>
      <c r="AH167" s="8">
        <v>7.1000000000000002E-4</v>
      </c>
      <c r="AI167" s="8">
        <v>6.2E-4</v>
      </c>
      <c r="AJ167" s="8">
        <v>5.0000000000000002E-5</v>
      </c>
    </row>
    <row r="168" spans="1:36">
      <c r="A168" s="12">
        <v>1097</v>
      </c>
      <c r="B168" s="12">
        <v>1097</v>
      </c>
      <c r="C168" s="2" t="s">
        <v>801</v>
      </c>
      <c r="D168" s="3" t="s">
        <v>802</v>
      </c>
      <c r="E168" s="2" t="s">
        <v>245</v>
      </c>
      <c r="F168" s="2" t="s">
        <v>815</v>
      </c>
      <c r="G168" s="12" t="s">
        <v>816</v>
      </c>
      <c r="H168" s="2" t="s">
        <v>248</v>
      </c>
      <c r="I168" s="2" t="s">
        <v>261</v>
      </c>
      <c r="J168" s="2" t="s">
        <v>77</v>
      </c>
      <c r="K168" s="2" t="s">
        <v>77</v>
      </c>
      <c r="L168" s="2" t="s">
        <v>250</v>
      </c>
      <c r="M168" s="2" t="s">
        <v>130</v>
      </c>
      <c r="N168" s="2" t="s">
        <v>528</v>
      </c>
      <c r="O168" s="2" t="s">
        <v>78</v>
      </c>
      <c r="P168" s="3" t="s">
        <v>817</v>
      </c>
      <c r="Q168" s="2" t="s">
        <v>253</v>
      </c>
      <c r="R168" s="2" t="s">
        <v>254</v>
      </c>
      <c r="S168" s="2" t="s">
        <v>81</v>
      </c>
      <c r="T168" s="13">
        <v>1.425</v>
      </c>
      <c r="U168" s="2" t="s">
        <v>818</v>
      </c>
      <c r="V168" s="8">
        <v>5.0000000000000001E-3</v>
      </c>
      <c r="W168" s="8">
        <v>2.6100000000000002E-2</v>
      </c>
      <c r="X168" s="2" t="s">
        <v>256</v>
      </c>
      <c r="Y168" s="2" t="s">
        <v>78</v>
      </c>
      <c r="Z168" s="6">
        <v>10358404</v>
      </c>
      <c r="AA168" s="13">
        <v>1</v>
      </c>
      <c r="AB168" s="6">
        <v>112.82</v>
      </c>
      <c r="AC168" s="6">
        <v>0</v>
      </c>
      <c r="AD168" s="6">
        <v>11686.351000000001</v>
      </c>
      <c r="AG168" s="2" t="s">
        <v>23</v>
      </c>
      <c r="AH168" s="8">
        <v>1.357E-2</v>
      </c>
      <c r="AI168" s="8">
        <v>3.5300000000000002E-3</v>
      </c>
      <c r="AJ168" s="8">
        <v>2.9E-4</v>
      </c>
    </row>
    <row r="169" spans="1:36">
      <c r="A169" s="12">
        <v>1097</v>
      </c>
      <c r="B169" s="12">
        <v>1097</v>
      </c>
      <c r="C169" s="2" t="s">
        <v>801</v>
      </c>
      <c r="D169" s="3" t="s">
        <v>802</v>
      </c>
      <c r="E169" s="2" t="s">
        <v>245</v>
      </c>
      <c r="F169" s="2" t="s">
        <v>819</v>
      </c>
      <c r="G169" s="12" t="s">
        <v>820</v>
      </c>
      <c r="H169" s="2" t="s">
        <v>248</v>
      </c>
      <c r="I169" s="2" t="s">
        <v>261</v>
      </c>
      <c r="J169" s="2" t="s">
        <v>77</v>
      </c>
      <c r="K169" s="2" t="s">
        <v>77</v>
      </c>
      <c r="L169" s="2" t="s">
        <v>250</v>
      </c>
      <c r="M169" s="2" t="s">
        <v>130</v>
      </c>
      <c r="N169" s="2" t="s">
        <v>528</v>
      </c>
      <c r="O169" s="2" t="s">
        <v>78</v>
      </c>
      <c r="P169" s="3" t="s">
        <v>277</v>
      </c>
      <c r="Q169" s="2" t="s">
        <v>80</v>
      </c>
      <c r="R169" s="2" t="s">
        <v>254</v>
      </c>
      <c r="S169" s="2" t="s">
        <v>81</v>
      </c>
      <c r="T169" s="13">
        <v>3.7970000000000002</v>
      </c>
      <c r="U169" s="2" t="s">
        <v>821</v>
      </c>
      <c r="V169" s="8">
        <v>3.3599999999999998E-2</v>
      </c>
      <c r="W169" s="8">
        <v>2.734E-2</v>
      </c>
      <c r="X169" s="2" t="s">
        <v>256</v>
      </c>
      <c r="Y169" s="2" t="s">
        <v>78</v>
      </c>
      <c r="Z169" s="6">
        <v>1000000</v>
      </c>
      <c r="AA169" s="13">
        <v>1</v>
      </c>
      <c r="AB169" s="6">
        <v>107.56</v>
      </c>
      <c r="AC169" s="6">
        <v>0</v>
      </c>
      <c r="AD169" s="6">
        <v>1075.5999999999999</v>
      </c>
      <c r="AG169" s="2" t="s">
        <v>23</v>
      </c>
      <c r="AH169" s="8">
        <v>8.5999999999999998E-4</v>
      </c>
      <c r="AI169" s="8">
        <v>3.2000000000000003E-4</v>
      </c>
      <c r="AJ169" s="8">
        <v>3.0000000000000001E-5</v>
      </c>
    </row>
    <row r="170" spans="1:36">
      <c r="A170" s="12">
        <v>1097</v>
      </c>
      <c r="B170" s="12">
        <v>1097</v>
      </c>
      <c r="C170" s="2" t="s">
        <v>801</v>
      </c>
      <c r="D170" s="3" t="s">
        <v>802</v>
      </c>
      <c r="E170" s="2" t="s">
        <v>245</v>
      </c>
      <c r="F170" s="2" t="s">
        <v>822</v>
      </c>
      <c r="G170" s="12" t="s">
        <v>823</v>
      </c>
      <c r="H170" s="2" t="s">
        <v>248</v>
      </c>
      <c r="I170" s="2" t="s">
        <v>261</v>
      </c>
      <c r="J170" s="2" t="s">
        <v>77</v>
      </c>
      <c r="K170" s="2" t="s">
        <v>77</v>
      </c>
      <c r="L170" s="2" t="s">
        <v>250</v>
      </c>
      <c r="M170" s="2" t="s">
        <v>130</v>
      </c>
      <c r="N170" s="2" t="s">
        <v>528</v>
      </c>
      <c r="O170" s="2" t="s">
        <v>78</v>
      </c>
      <c r="P170" s="3" t="s">
        <v>277</v>
      </c>
      <c r="Q170" s="2" t="s">
        <v>80</v>
      </c>
      <c r="R170" s="2" t="s">
        <v>254</v>
      </c>
      <c r="S170" s="2" t="s">
        <v>81</v>
      </c>
      <c r="T170" s="13">
        <v>4.95</v>
      </c>
      <c r="U170" s="2" t="s">
        <v>824</v>
      </c>
      <c r="V170" s="8">
        <v>3.3799999999999997E-2</v>
      </c>
      <c r="W170" s="8">
        <v>2.989E-2</v>
      </c>
      <c r="X170" s="2" t="s">
        <v>256</v>
      </c>
      <c r="Y170" s="2" t="s">
        <v>78</v>
      </c>
      <c r="Z170" s="6">
        <v>3580000</v>
      </c>
      <c r="AA170" s="13">
        <v>1</v>
      </c>
      <c r="AB170" s="6">
        <v>105.14</v>
      </c>
      <c r="AC170" s="6">
        <v>0</v>
      </c>
      <c r="AD170" s="6">
        <v>3764.0120000000002</v>
      </c>
      <c r="AG170" s="2" t="s">
        <v>23</v>
      </c>
      <c r="AH170" s="8">
        <v>4.2100000000000002E-3</v>
      </c>
      <c r="AI170" s="8">
        <v>1.14E-3</v>
      </c>
      <c r="AJ170" s="8">
        <v>9.0000000000000006E-5</v>
      </c>
    </row>
    <row r="171" spans="1:36">
      <c r="A171" s="12">
        <v>1097</v>
      </c>
      <c r="B171" s="12">
        <v>1097</v>
      </c>
      <c r="C171" s="2" t="s">
        <v>801</v>
      </c>
      <c r="D171" s="3" t="s">
        <v>802</v>
      </c>
      <c r="E171" s="2" t="s">
        <v>245</v>
      </c>
      <c r="F171" s="2" t="s">
        <v>825</v>
      </c>
      <c r="G171" s="12" t="s">
        <v>826</v>
      </c>
      <c r="H171" s="2" t="s">
        <v>248</v>
      </c>
      <c r="I171" s="2" t="s">
        <v>261</v>
      </c>
      <c r="J171" s="2" t="s">
        <v>77</v>
      </c>
      <c r="K171" s="2" t="s">
        <v>77</v>
      </c>
      <c r="L171" s="2" t="s">
        <v>250</v>
      </c>
      <c r="M171" s="2" t="s">
        <v>130</v>
      </c>
      <c r="N171" s="2" t="s">
        <v>528</v>
      </c>
      <c r="O171" s="2" t="s">
        <v>78</v>
      </c>
      <c r="P171" s="3" t="s">
        <v>79</v>
      </c>
      <c r="Q171" s="2" t="s">
        <v>80</v>
      </c>
      <c r="R171" s="2" t="s">
        <v>254</v>
      </c>
      <c r="S171" s="2" t="s">
        <v>81</v>
      </c>
      <c r="T171" s="13">
        <v>4.9809999999999999</v>
      </c>
      <c r="U171" s="2" t="s">
        <v>827</v>
      </c>
      <c r="V171" s="8">
        <v>2E-3</v>
      </c>
      <c r="W171" s="8">
        <v>2.614E-2</v>
      </c>
      <c r="X171" s="2" t="s">
        <v>256</v>
      </c>
      <c r="Y171" s="2" t="s">
        <v>78</v>
      </c>
      <c r="Z171" s="6">
        <v>2974372</v>
      </c>
      <c r="AA171" s="13">
        <v>1</v>
      </c>
      <c r="AB171" s="6">
        <v>104.05</v>
      </c>
      <c r="AC171" s="6">
        <v>6.97</v>
      </c>
      <c r="AD171" s="6">
        <v>3101.8029999999999</v>
      </c>
      <c r="AG171" s="2" t="s">
        <v>23</v>
      </c>
      <c r="AH171" s="8">
        <v>8.5999999999999998E-4</v>
      </c>
      <c r="AI171" s="8">
        <v>9.3999999999999997E-4</v>
      </c>
      <c r="AJ171" s="8">
        <v>8.0000000000000007E-5</v>
      </c>
    </row>
    <row r="172" spans="1:36">
      <c r="A172" s="12">
        <v>1097</v>
      </c>
      <c r="B172" s="12">
        <v>1097</v>
      </c>
      <c r="C172" s="2" t="s">
        <v>801</v>
      </c>
      <c r="D172" s="3" t="s">
        <v>802</v>
      </c>
      <c r="E172" s="2" t="s">
        <v>245</v>
      </c>
      <c r="F172" s="2" t="s">
        <v>828</v>
      </c>
      <c r="G172" s="12" t="s">
        <v>829</v>
      </c>
      <c r="H172" s="2" t="s">
        <v>248</v>
      </c>
      <c r="I172" s="2" t="s">
        <v>261</v>
      </c>
      <c r="J172" s="2" t="s">
        <v>77</v>
      </c>
      <c r="K172" s="2" t="s">
        <v>77</v>
      </c>
      <c r="L172" s="2" t="s">
        <v>250</v>
      </c>
      <c r="M172" s="2" t="s">
        <v>130</v>
      </c>
      <c r="N172" s="2" t="s">
        <v>528</v>
      </c>
      <c r="O172" s="2" t="s">
        <v>78</v>
      </c>
      <c r="P172" s="3" t="s">
        <v>79</v>
      </c>
      <c r="Q172" s="2" t="s">
        <v>80</v>
      </c>
      <c r="R172" s="2" t="s">
        <v>254</v>
      </c>
      <c r="S172" s="2" t="s">
        <v>81</v>
      </c>
      <c r="T172" s="13">
        <v>0.98099999999999998</v>
      </c>
      <c r="U172" s="2" t="s">
        <v>830</v>
      </c>
      <c r="V172" s="8">
        <v>3.8E-3</v>
      </c>
      <c r="W172" s="8">
        <v>2.546E-2</v>
      </c>
      <c r="X172" s="2" t="s">
        <v>256</v>
      </c>
      <c r="Y172" s="2" t="s">
        <v>78</v>
      </c>
      <c r="Z172" s="6">
        <v>10444681</v>
      </c>
      <c r="AA172" s="13">
        <v>1</v>
      </c>
      <c r="AB172" s="6">
        <v>112.93</v>
      </c>
      <c r="AC172" s="6">
        <v>0</v>
      </c>
      <c r="AD172" s="6">
        <v>11795.178</v>
      </c>
      <c r="AG172" s="2" t="s">
        <v>23</v>
      </c>
      <c r="AH172" s="8">
        <v>3.48E-3</v>
      </c>
      <c r="AI172" s="8">
        <v>3.5599999999999998E-3</v>
      </c>
      <c r="AJ172" s="8">
        <v>2.9E-4</v>
      </c>
    </row>
    <row r="173" spans="1:36">
      <c r="A173" s="12">
        <v>1097</v>
      </c>
      <c r="B173" s="12">
        <v>1097</v>
      </c>
      <c r="C173" s="2" t="s">
        <v>801</v>
      </c>
      <c r="D173" s="3" t="s">
        <v>802</v>
      </c>
      <c r="E173" s="2" t="s">
        <v>245</v>
      </c>
      <c r="F173" s="2" t="s">
        <v>831</v>
      </c>
      <c r="G173" s="12" t="s">
        <v>832</v>
      </c>
      <c r="H173" s="2" t="s">
        <v>248</v>
      </c>
      <c r="I173" s="2" t="s">
        <v>261</v>
      </c>
      <c r="J173" s="2" t="s">
        <v>77</v>
      </c>
      <c r="K173" s="2" t="s">
        <v>77</v>
      </c>
      <c r="L173" s="2" t="s">
        <v>250</v>
      </c>
      <c r="M173" s="2" t="s">
        <v>130</v>
      </c>
      <c r="N173" s="2" t="s">
        <v>528</v>
      </c>
      <c r="O173" s="2" t="s">
        <v>78</v>
      </c>
      <c r="P173" s="3" t="s">
        <v>79</v>
      </c>
      <c r="Q173" s="2" t="s">
        <v>80</v>
      </c>
      <c r="R173" s="2" t="s">
        <v>254</v>
      </c>
      <c r="S173" s="2" t="s">
        <v>81</v>
      </c>
      <c r="T173" s="13">
        <v>4.63</v>
      </c>
      <c r="U173" s="2" t="s">
        <v>833</v>
      </c>
      <c r="V173" s="8">
        <v>3.4029999999999998E-2</v>
      </c>
      <c r="W173" s="8">
        <v>2.6190000000000001E-2</v>
      </c>
      <c r="X173" s="2" t="s">
        <v>256</v>
      </c>
      <c r="Y173" s="2" t="s">
        <v>78</v>
      </c>
      <c r="Z173" s="6">
        <v>3167499</v>
      </c>
      <c r="AA173" s="13">
        <v>1</v>
      </c>
      <c r="AB173" s="6">
        <v>122.31</v>
      </c>
      <c r="AC173" s="6">
        <v>0</v>
      </c>
      <c r="AD173" s="6">
        <v>3874.1680000000001</v>
      </c>
      <c r="AG173" s="2" t="s">
        <v>23</v>
      </c>
      <c r="AH173" s="8">
        <v>4.5100000000000001E-3</v>
      </c>
      <c r="AI173" s="8">
        <v>1.17E-3</v>
      </c>
      <c r="AJ173" s="8">
        <v>1E-4</v>
      </c>
    </row>
    <row r="174" spans="1:36">
      <c r="A174" s="12">
        <v>1097</v>
      </c>
      <c r="B174" s="12">
        <v>1097</v>
      </c>
      <c r="C174" s="2" t="s">
        <v>801</v>
      </c>
      <c r="D174" s="3" t="s">
        <v>802</v>
      </c>
      <c r="E174" s="2" t="s">
        <v>245</v>
      </c>
      <c r="F174" s="2" t="s">
        <v>834</v>
      </c>
      <c r="G174" s="12" t="s">
        <v>835</v>
      </c>
      <c r="H174" s="2" t="s">
        <v>248</v>
      </c>
      <c r="I174" s="2" t="s">
        <v>261</v>
      </c>
      <c r="J174" s="2" t="s">
        <v>77</v>
      </c>
      <c r="K174" s="2" t="s">
        <v>77</v>
      </c>
      <c r="L174" s="2" t="s">
        <v>250</v>
      </c>
      <c r="M174" s="2" t="s">
        <v>130</v>
      </c>
      <c r="N174" s="2" t="s">
        <v>528</v>
      </c>
      <c r="O174" s="2" t="s">
        <v>78</v>
      </c>
      <c r="P174" s="3" t="s">
        <v>79</v>
      </c>
      <c r="Q174" s="2" t="s">
        <v>80</v>
      </c>
      <c r="R174" s="2" t="s">
        <v>254</v>
      </c>
      <c r="S174" s="2" t="s">
        <v>81</v>
      </c>
      <c r="T174" s="13">
        <v>2.21</v>
      </c>
      <c r="U174" s="2" t="s">
        <v>836</v>
      </c>
      <c r="V174" s="8">
        <v>1.2200000000000001E-2</v>
      </c>
      <c r="W174" s="8">
        <v>2.5020000000000001E-2</v>
      </c>
      <c r="X174" s="2" t="s">
        <v>256</v>
      </c>
      <c r="Y174" s="2" t="s">
        <v>78</v>
      </c>
      <c r="Z174" s="6">
        <v>56445615</v>
      </c>
      <c r="AA174" s="13">
        <v>1</v>
      </c>
      <c r="AB174" s="6">
        <v>116.02</v>
      </c>
      <c r="AC174" s="6">
        <v>0</v>
      </c>
      <c r="AD174" s="6">
        <v>65488.203000000001</v>
      </c>
      <c r="AG174" s="2" t="s">
        <v>23</v>
      </c>
      <c r="AH174" s="8">
        <v>1.8720000000000001E-2</v>
      </c>
      <c r="AI174" s="8">
        <v>1.9789999999999999E-2</v>
      </c>
      <c r="AJ174" s="8">
        <v>1.6299999999999999E-3</v>
      </c>
    </row>
    <row r="175" spans="1:36">
      <c r="A175" s="12">
        <v>1097</v>
      </c>
      <c r="B175" s="12">
        <v>1097</v>
      </c>
      <c r="C175" s="2" t="s">
        <v>837</v>
      </c>
      <c r="D175" s="3" t="s">
        <v>838</v>
      </c>
      <c r="E175" s="2" t="s">
        <v>245</v>
      </c>
      <c r="F175" s="2" t="s">
        <v>839</v>
      </c>
      <c r="G175" s="12" t="s">
        <v>840</v>
      </c>
      <c r="H175" s="2" t="s">
        <v>248</v>
      </c>
      <c r="I175" s="2" t="s">
        <v>261</v>
      </c>
      <c r="J175" s="2" t="s">
        <v>77</v>
      </c>
      <c r="K175" s="2" t="s">
        <v>77</v>
      </c>
      <c r="L175" s="2" t="s">
        <v>250</v>
      </c>
      <c r="M175" s="2" t="s">
        <v>130</v>
      </c>
      <c r="N175" s="2" t="s">
        <v>841</v>
      </c>
      <c r="O175" s="2" t="s">
        <v>78</v>
      </c>
      <c r="P175" s="3" t="s">
        <v>283</v>
      </c>
      <c r="Q175" s="2" t="s">
        <v>253</v>
      </c>
      <c r="R175" s="2" t="s">
        <v>254</v>
      </c>
      <c r="S175" s="2" t="s">
        <v>81</v>
      </c>
      <c r="T175" s="13">
        <v>0.44700000000000001</v>
      </c>
      <c r="U175" s="2" t="s">
        <v>842</v>
      </c>
      <c r="V175" s="8">
        <v>3.95E-2</v>
      </c>
      <c r="W175" s="8">
        <v>2.147E-2</v>
      </c>
      <c r="X175" s="2" t="s">
        <v>256</v>
      </c>
      <c r="Y175" s="2" t="s">
        <v>78</v>
      </c>
      <c r="Z175" s="6">
        <v>524196.15</v>
      </c>
      <c r="AA175" s="13">
        <v>1</v>
      </c>
      <c r="AB175" s="6">
        <v>125.2</v>
      </c>
      <c r="AC175" s="6">
        <v>0</v>
      </c>
      <c r="AD175" s="6">
        <v>656.29399999999998</v>
      </c>
      <c r="AG175" s="2" t="s">
        <v>23</v>
      </c>
      <c r="AH175" s="8">
        <v>6.43E-3</v>
      </c>
      <c r="AI175" s="8">
        <v>2.0000000000000001E-4</v>
      </c>
      <c r="AJ175" s="8">
        <v>2.0000000000000002E-5</v>
      </c>
    </row>
    <row r="176" spans="1:36">
      <c r="A176" s="12">
        <v>1097</v>
      </c>
      <c r="B176" s="12">
        <v>1097</v>
      </c>
      <c r="C176" s="2" t="s">
        <v>837</v>
      </c>
      <c r="D176" s="3" t="s">
        <v>838</v>
      </c>
      <c r="E176" s="2" t="s">
        <v>245</v>
      </c>
      <c r="F176" s="2" t="s">
        <v>843</v>
      </c>
      <c r="G176" s="12" t="s">
        <v>844</v>
      </c>
      <c r="H176" s="2" t="s">
        <v>248</v>
      </c>
      <c r="I176" s="2" t="s">
        <v>249</v>
      </c>
      <c r="J176" s="2" t="s">
        <v>77</v>
      </c>
      <c r="K176" s="2" t="s">
        <v>77</v>
      </c>
      <c r="L176" s="2" t="s">
        <v>250</v>
      </c>
      <c r="M176" s="2" t="s">
        <v>130</v>
      </c>
      <c r="N176" s="2" t="s">
        <v>841</v>
      </c>
      <c r="O176" s="2" t="s">
        <v>78</v>
      </c>
      <c r="P176" s="3" t="s">
        <v>283</v>
      </c>
      <c r="Q176" s="2" t="s">
        <v>253</v>
      </c>
      <c r="R176" s="2" t="s">
        <v>254</v>
      </c>
      <c r="S176" s="2" t="s">
        <v>81</v>
      </c>
      <c r="T176" s="13">
        <v>2.6579999999999999</v>
      </c>
      <c r="U176" s="2" t="s">
        <v>845</v>
      </c>
      <c r="V176" s="8">
        <v>2.1100000000000001E-2</v>
      </c>
      <c r="W176" s="8">
        <v>4.6039999999999998E-2</v>
      </c>
      <c r="X176" s="2" t="s">
        <v>256</v>
      </c>
      <c r="Y176" s="2" t="s">
        <v>78</v>
      </c>
      <c r="Z176" s="6">
        <v>16256448.779999999</v>
      </c>
      <c r="AA176" s="13">
        <v>1</v>
      </c>
      <c r="AB176" s="6">
        <v>93.88</v>
      </c>
      <c r="AC176" s="6">
        <v>0</v>
      </c>
      <c r="AD176" s="6">
        <v>15261.554</v>
      </c>
      <c r="AG176" s="2" t="s">
        <v>23</v>
      </c>
      <c r="AH176" s="8">
        <v>3.075E-2</v>
      </c>
      <c r="AI176" s="8">
        <v>4.6100000000000004E-3</v>
      </c>
      <c r="AJ176" s="8">
        <v>3.8000000000000002E-4</v>
      </c>
    </row>
    <row r="177" spans="1:36">
      <c r="A177" s="12">
        <v>1097</v>
      </c>
      <c r="B177" s="12">
        <v>1097</v>
      </c>
      <c r="C177" s="2" t="s">
        <v>846</v>
      </c>
      <c r="D177" s="3" t="s">
        <v>847</v>
      </c>
      <c r="E177" s="2" t="s">
        <v>245</v>
      </c>
      <c r="F177" s="2" t="s">
        <v>848</v>
      </c>
      <c r="G177" s="12" t="s">
        <v>849</v>
      </c>
      <c r="H177" s="2" t="s">
        <v>248</v>
      </c>
      <c r="I177" s="2" t="s">
        <v>261</v>
      </c>
      <c r="J177" s="2" t="s">
        <v>77</v>
      </c>
      <c r="K177" s="2" t="s">
        <v>77</v>
      </c>
      <c r="L177" s="2" t="s">
        <v>250</v>
      </c>
      <c r="M177" s="2" t="s">
        <v>130</v>
      </c>
      <c r="N177" s="2" t="s">
        <v>850</v>
      </c>
      <c r="O177" s="2" t="s">
        <v>78</v>
      </c>
      <c r="P177" s="3" t="s">
        <v>283</v>
      </c>
      <c r="Q177" s="2" t="s">
        <v>253</v>
      </c>
      <c r="R177" s="2" t="s">
        <v>254</v>
      </c>
      <c r="S177" s="2" t="s">
        <v>81</v>
      </c>
      <c r="T177" s="13">
        <v>2.7869999999999999</v>
      </c>
      <c r="U177" s="2" t="s">
        <v>851</v>
      </c>
      <c r="V177" s="8">
        <v>0.01</v>
      </c>
      <c r="W177" s="8">
        <v>3.1029999999999999E-2</v>
      </c>
      <c r="X177" s="2" t="s">
        <v>256</v>
      </c>
      <c r="Y177" s="2" t="s">
        <v>78</v>
      </c>
      <c r="Z177" s="6">
        <v>6753400.04</v>
      </c>
      <c r="AA177" s="13">
        <v>1</v>
      </c>
      <c r="AB177" s="6">
        <v>108.19</v>
      </c>
      <c r="AC177" s="6">
        <v>0</v>
      </c>
      <c r="AD177" s="6">
        <v>7306.5039999999999</v>
      </c>
      <c r="AG177" s="2" t="s">
        <v>23</v>
      </c>
      <c r="AH177" s="8">
        <v>3.7499999999999999E-3</v>
      </c>
      <c r="AI177" s="8">
        <v>2.2100000000000002E-3</v>
      </c>
      <c r="AJ177" s="8">
        <v>1.8000000000000001E-4</v>
      </c>
    </row>
    <row r="178" spans="1:36">
      <c r="A178" s="12">
        <v>1097</v>
      </c>
      <c r="B178" s="12">
        <v>1097</v>
      </c>
      <c r="C178" s="2" t="s">
        <v>846</v>
      </c>
      <c r="D178" s="3" t="s">
        <v>847</v>
      </c>
      <c r="E178" s="2" t="s">
        <v>245</v>
      </c>
      <c r="F178" s="2" t="s">
        <v>852</v>
      </c>
      <c r="G178" s="12" t="s">
        <v>853</v>
      </c>
      <c r="H178" s="2" t="s">
        <v>248</v>
      </c>
      <c r="I178" s="2" t="s">
        <v>261</v>
      </c>
      <c r="J178" s="2" t="s">
        <v>77</v>
      </c>
      <c r="K178" s="2" t="s">
        <v>77</v>
      </c>
      <c r="L178" s="2" t="s">
        <v>250</v>
      </c>
      <c r="M178" s="2" t="s">
        <v>130</v>
      </c>
      <c r="N178" s="2" t="s">
        <v>850</v>
      </c>
      <c r="O178" s="2" t="s">
        <v>78</v>
      </c>
      <c r="P178" s="3" t="s">
        <v>283</v>
      </c>
      <c r="Q178" s="2" t="s">
        <v>253</v>
      </c>
      <c r="R178" s="2" t="s">
        <v>254</v>
      </c>
      <c r="S178" s="2" t="s">
        <v>81</v>
      </c>
      <c r="T178" s="13">
        <v>0.504</v>
      </c>
      <c r="U178" s="2" t="s">
        <v>571</v>
      </c>
      <c r="V178" s="8">
        <v>1.8499999999999999E-2</v>
      </c>
      <c r="W178" s="8">
        <v>2.7609999999999999E-2</v>
      </c>
      <c r="X178" s="2" t="s">
        <v>256</v>
      </c>
      <c r="Y178" s="2" t="s">
        <v>78</v>
      </c>
      <c r="Z178" s="6">
        <v>380532.47999999998</v>
      </c>
      <c r="AA178" s="13">
        <v>1</v>
      </c>
      <c r="AB178" s="6">
        <v>116.51</v>
      </c>
      <c r="AC178" s="6">
        <v>0</v>
      </c>
      <c r="AD178" s="6">
        <v>443.358</v>
      </c>
      <c r="AG178" s="2" t="s">
        <v>23</v>
      </c>
      <c r="AH178" s="8">
        <v>2.5799999999999998E-3</v>
      </c>
      <c r="AI178" s="8">
        <v>1.2999999999999999E-4</v>
      </c>
      <c r="AJ178" s="8">
        <v>1.0000000000000001E-5</v>
      </c>
    </row>
    <row r="179" spans="1:36">
      <c r="A179" s="12">
        <v>1097</v>
      </c>
      <c r="B179" s="12">
        <v>1097</v>
      </c>
      <c r="C179" s="2" t="s">
        <v>854</v>
      </c>
      <c r="D179" s="3" t="s">
        <v>855</v>
      </c>
      <c r="E179" s="2" t="s">
        <v>245</v>
      </c>
      <c r="F179" s="2" t="s">
        <v>856</v>
      </c>
      <c r="G179" s="12" t="s">
        <v>857</v>
      </c>
      <c r="H179" s="2" t="s">
        <v>248</v>
      </c>
      <c r="I179" s="2" t="s">
        <v>261</v>
      </c>
      <c r="J179" s="2" t="s">
        <v>77</v>
      </c>
      <c r="K179" s="2" t="s">
        <v>77</v>
      </c>
      <c r="L179" s="2" t="s">
        <v>250</v>
      </c>
      <c r="M179" s="2" t="s">
        <v>130</v>
      </c>
      <c r="N179" s="2" t="s">
        <v>347</v>
      </c>
      <c r="O179" s="2" t="s">
        <v>78</v>
      </c>
      <c r="P179" s="3" t="s">
        <v>293</v>
      </c>
      <c r="Q179" s="2" t="s">
        <v>80</v>
      </c>
      <c r="R179" s="2" t="s">
        <v>254</v>
      </c>
      <c r="S179" s="2" t="s">
        <v>81</v>
      </c>
      <c r="T179" s="13">
        <v>2.8940000000000001</v>
      </c>
      <c r="U179" s="2" t="s">
        <v>858</v>
      </c>
      <c r="V179" s="8">
        <v>6.4999999999999997E-3</v>
      </c>
      <c r="W179" s="8">
        <v>2.5610000000000001E-2</v>
      </c>
      <c r="X179" s="2" t="s">
        <v>256</v>
      </c>
      <c r="Y179" s="2" t="s">
        <v>78</v>
      </c>
      <c r="Z179" s="6">
        <v>11125000.039999999</v>
      </c>
      <c r="AA179" s="13">
        <v>1</v>
      </c>
      <c r="AB179" s="6">
        <v>110.61</v>
      </c>
      <c r="AC179" s="6">
        <v>188.71</v>
      </c>
      <c r="AD179" s="6">
        <v>12494.075000000001</v>
      </c>
      <c r="AG179" s="2" t="s">
        <v>23</v>
      </c>
      <c r="AH179" s="8">
        <v>2.0809999999999999E-2</v>
      </c>
      <c r="AI179" s="8">
        <v>3.7799999999999999E-3</v>
      </c>
      <c r="AJ179" s="8">
        <v>3.1E-4</v>
      </c>
    </row>
    <row r="180" spans="1:36">
      <c r="A180" s="12">
        <v>1097</v>
      </c>
      <c r="B180" s="12">
        <v>1097</v>
      </c>
      <c r="C180" s="2" t="s">
        <v>854</v>
      </c>
      <c r="D180" s="3" t="s">
        <v>855</v>
      </c>
      <c r="E180" s="2" t="s">
        <v>245</v>
      </c>
      <c r="F180" s="2" t="s">
        <v>859</v>
      </c>
      <c r="G180" s="12" t="s">
        <v>860</v>
      </c>
      <c r="H180" s="2" t="s">
        <v>248</v>
      </c>
      <c r="I180" s="2" t="s">
        <v>261</v>
      </c>
      <c r="J180" s="2" t="s">
        <v>77</v>
      </c>
      <c r="K180" s="2" t="s">
        <v>77</v>
      </c>
      <c r="L180" s="2" t="s">
        <v>250</v>
      </c>
      <c r="M180" s="2" t="s">
        <v>130</v>
      </c>
      <c r="N180" s="2" t="s">
        <v>347</v>
      </c>
      <c r="O180" s="2" t="s">
        <v>78</v>
      </c>
      <c r="P180" s="3" t="s">
        <v>293</v>
      </c>
      <c r="Q180" s="2" t="s">
        <v>80</v>
      </c>
      <c r="R180" s="2" t="s">
        <v>254</v>
      </c>
      <c r="S180" s="2" t="s">
        <v>81</v>
      </c>
      <c r="T180" s="13">
        <v>3.7469999999999999</v>
      </c>
      <c r="U180" s="2" t="s">
        <v>455</v>
      </c>
      <c r="V180" s="8">
        <v>1.43E-2</v>
      </c>
      <c r="W180" s="8">
        <v>2.8070000000000001E-2</v>
      </c>
      <c r="X180" s="2" t="s">
        <v>256</v>
      </c>
      <c r="Y180" s="2" t="s">
        <v>78</v>
      </c>
      <c r="Z180" s="6">
        <v>7899791.6299999999</v>
      </c>
      <c r="AA180" s="13">
        <v>1</v>
      </c>
      <c r="AB180" s="6">
        <v>111.28</v>
      </c>
      <c r="AC180" s="6">
        <v>169.57</v>
      </c>
      <c r="AD180" s="6">
        <v>8960.4599999999991</v>
      </c>
      <c r="AG180" s="2" t="s">
        <v>23</v>
      </c>
      <c r="AH180" s="8">
        <v>4.1000000000000003E-3</v>
      </c>
      <c r="AI180" s="8">
        <v>2.7100000000000002E-3</v>
      </c>
      <c r="AJ180" s="8">
        <v>2.2000000000000001E-4</v>
      </c>
    </row>
    <row r="181" spans="1:36">
      <c r="A181" s="12">
        <v>1097</v>
      </c>
      <c r="B181" s="12">
        <v>1097</v>
      </c>
      <c r="C181" s="2" t="s">
        <v>854</v>
      </c>
      <c r="D181" s="3" t="s">
        <v>855</v>
      </c>
      <c r="E181" s="2" t="s">
        <v>245</v>
      </c>
      <c r="F181" s="2" t="s">
        <v>861</v>
      </c>
      <c r="G181" s="12" t="s">
        <v>862</v>
      </c>
      <c r="H181" s="2" t="s">
        <v>248</v>
      </c>
      <c r="I181" s="2" t="s">
        <v>261</v>
      </c>
      <c r="J181" s="2" t="s">
        <v>77</v>
      </c>
      <c r="K181" s="2" t="s">
        <v>77</v>
      </c>
      <c r="L181" s="2" t="s">
        <v>250</v>
      </c>
      <c r="M181" s="2" t="s">
        <v>130</v>
      </c>
      <c r="N181" s="2" t="s">
        <v>347</v>
      </c>
      <c r="O181" s="2" t="s">
        <v>78</v>
      </c>
      <c r="P181" s="3" t="s">
        <v>293</v>
      </c>
      <c r="Q181" s="2" t="s">
        <v>80</v>
      </c>
      <c r="R181" s="2" t="s">
        <v>254</v>
      </c>
      <c r="S181" s="2" t="s">
        <v>81</v>
      </c>
      <c r="T181" s="13">
        <v>5.6</v>
      </c>
      <c r="U181" s="2" t="s">
        <v>863</v>
      </c>
      <c r="V181" s="8">
        <v>3.61E-2</v>
      </c>
      <c r="W181" s="8">
        <v>2.9270000000000001E-2</v>
      </c>
      <c r="X181" s="2" t="s">
        <v>256</v>
      </c>
      <c r="Y181" s="2" t="s">
        <v>78</v>
      </c>
      <c r="Z181" s="6">
        <v>2061156.11</v>
      </c>
      <c r="AA181" s="13">
        <v>1</v>
      </c>
      <c r="AB181" s="6">
        <v>111.6</v>
      </c>
      <c r="AC181" s="6">
        <v>45.74</v>
      </c>
      <c r="AD181" s="6">
        <v>2345.9859999999999</v>
      </c>
      <c r="AG181" s="2" t="s">
        <v>23</v>
      </c>
      <c r="AH181" s="8">
        <v>1.31E-3</v>
      </c>
      <c r="AI181" s="8">
        <v>7.1000000000000002E-4</v>
      </c>
      <c r="AJ181" s="8">
        <v>6.0000000000000002E-5</v>
      </c>
    </row>
    <row r="182" spans="1:36">
      <c r="A182" s="12">
        <v>1097</v>
      </c>
      <c r="B182" s="12">
        <v>1097</v>
      </c>
      <c r="C182" s="2" t="s">
        <v>854</v>
      </c>
      <c r="D182" s="3" t="s">
        <v>855</v>
      </c>
      <c r="E182" s="2" t="s">
        <v>245</v>
      </c>
      <c r="F182" s="2" t="s">
        <v>864</v>
      </c>
      <c r="G182" s="12" t="s">
        <v>865</v>
      </c>
      <c r="H182" s="2" t="s">
        <v>248</v>
      </c>
      <c r="I182" s="2" t="s">
        <v>261</v>
      </c>
      <c r="J182" s="2" t="s">
        <v>77</v>
      </c>
      <c r="K182" s="2" t="s">
        <v>77</v>
      </c>
      <c r="L182" s="2" t="s">
        <v>250</v>
      </c>
      <c r="M182" s="2" t="s">
        <v>130</v>
      </c>
      <c r="N182" s="2" t="s">
        <v>347</v>
      </c>
      <c r="O182" s="2" t="s">
        <v>78</v>
      </c>
      <c r="P182" s="3" t="s">
        <v>293</v>
      </c>
      <c r="Q182" s="2" t="s">
        <v>80</v>
      </c>
      <c r="R182" s="2" t="s">
        <v>254</v>
      </c>
      <c r="S182" s="2" t="s">
        <v>81</v>
      </c>
      <c r="T182" s="13">
        <v>2.7E-2</v>
      </c>
      <c r="U182" s="2" t="s">
        <v>866</v>
      </c>
      <c r="V182" s="8">
        <v>1.7600000000000001E-2</v>
      </c>
      <c r="W182" s="8">
        <v>7.3289999999999994E-2</v>
      </c>
      <c r="X182" s="2" t="s">
        <v>256</v>
      </c>
      <c r="Y182" s="2" t="s">
        <v>78</v>
      </c>
      <c r="Z182" s="6">
        <v>1073559.78</v>
      </c>
      <c r="AA182" s="13">
        <v>1</v>
      </c>
      <c r="AB182" s="6">
        <v>119.74</v>
      </c>
      <c r="AC182" s="6">
        <v>0</v>
      </c>
      <c r="AD182" s="6">
        <v>1285.48</v>
      </c>
      <c r="AG182" s="2" t="s">
        <v>23</v>
      </c>
      <c r="AH182" s="8">
        <v>3.9899999999999996E-3</v>
      </c>
      <c r="AI182" s="8">
        <v>3.8999999999999999E-4</v>
      </c>
      <c r="AJ182" s="8">
        <v>3.0000000000000001E-5</v>
      </c>
    </row>
    <row r="183" spans="1:36">
      <c r="A183" s="12">
        <v>1097</v>
      </c>
      <c r="B183" s="12">
        <v>1097</v>
      </c>
      <c r="C183" s="2" t="s">
        <v>854</v>
      </c>
      <c r="D183" s="3" t="s">
        <v>855</v>
      </c>
      <c r="E183" s="2" t="s">
        <v>245</v>
      </c>
      <c r="F183" s="2" t="s">
        <v>867</v>
      </c>
      <c r="G183" s="12" t="s">
        <v>868</v>
      </c>
      <c r="H183" s="2" t="s">
        <v>248</v>
      </c>
      <c r="I183" s="2" t="s">
        <v>261</v>
      </c>
      <c r="J183" s="2" t="s">
        <v>77</v>
      </c>
      <c r="K183" s="2" t="s">
        <v>77</v>
      </c>
      <c r="L183" s="2" t="s">
        <v>250</v>
      </c>
      <c r="M183" s="2" t="s">
        <v>130</v>
      </c>
      <c r="N183" s="2" t="s">
        <v>347</v>
      </c>
      <c r="O183" s="2" t="s">
        <v>78</v>
      </c>
      <c r="P183" s="3" t="s">
        <v>293</v>
      </c>
      <c r="Q183" s="2" t="s">
        <v>80</v>
      </c>
      <c r="R183" s="2" t="s">
        <v>254</v>
      </c>
      <c r="S183" s="2" t="s">
        <v>81</v>
      </c>
      <c r="T183" s="13">
        <v>2.7E-2</v>
      </c>
      <c r="U183" s="2" t="s">
        <v>866</v>
      </c>
      <c r="V183" s="8">
        <v>2.3E-2</v>
      </c>
      <c r="W183" s="8">
        <v>3.8159999999999999E-2</v>
      </c>
      <c r="X183" s="2" t="s">
        <v>256</v>
      </c>
      <c r="Y183" s="2" t="s">
        <v>78</v>
      </c>
      <c r="Z183" s="6">
        <v>1611032.52</v>
      </c>
      <c r="AA183" s="13">
        <v>1</v>
      </c>
      <c r="AB183" s="6">
        <v>120.17</v>
      </c>
      <c r="AC183" s="6">
        <v>0</v>
      </c>
      <c r="AD183" s="6">
        <v>1935.9780000000001</v>
      </c>
      <c r="AG183" s="2" t="s">
        <v>23</v>
      </c>
      <c r="AH183" s="8">
        <v>2.0200000000000001E-3</v>
      </c>
      <c r="AI183" s="8">
        <v>5.8E-4</v>
      </c>
      <c r="AJ183" s="8">
        <v>5.0000000000000002E-5</v>
      </c>
    </row>
    <row r="184" spans="1:36">
      <c r="A184" s="12">
        <v>1097</v>
      </c>
      <c r="B184" s="12">
        <v>1097</v>
      </c>
      <c r="C184" s="2" t="s">
        <v>854</v>
      </c>
      <c r="D184" s="3" t="s">
        <v>855</v>
      </c>
      <c r="E184" s="2" t="s">
        <v>245</v>
      </c>
      <c r="F184" s="2" t="s">
        <v>869</v>
      </c>
      <c r="G184" s="12" t="s">
        <v>870</v>
      </c>
      <c r="H184" s="2" t="s">
        <v>248</v>
      </c>
      <c r="I184" s="2" t="s">
        <v>261</v>
      </c>
      <c r="J184" s="2" t="s">
        <v>77</v>
      </c>
      <c r="K184" s="2" t="s">
        <v>77</v>
      </c>
      <c r="L184" s="2" t="s">
        <v>250</v>
      </c>
      <c r="M184" s="2" t="s">
        <v>130</v>
      </c>
      <c r="N184" s="2" t="s">
        <v>347</v>
      </c>
      <c r="O184" s="2" t="s">
        <v>78</v>
      </c>
      <c r="P184" s="3" t="s">
        <v>293</v>
      </c>
      <c r="Q184" s="2" t="s">
        <v>80</v>
      </c>
      <c r="R184" s="2" t="s">
        <v>254</v>
      </c>
      <c r="S184" s="2" t="s">
        <v>81</v>
      </c>
      <c r="T184" s="13">
        <v>0.81299999999999994</v>
      </c>
      <c r="U184" s="2" t="s">
        <v>871</v>
      </c>
      <c r="V184" s="8">
        <v>2.1499999999999998E-2</v>
      </c>
      <c r="W184" s="8">
        <v>3.1629999999999998E-2</v>
      </c>
      <c r="X184" s="2" t="s">
        <v>256</v>
      </c>
      <c r="Y184" s="2" t="s">
        <v>78</v>
      </c>
      <c r="Z184" s="6">
        <v>6550369.7599999998</v>
      </c>
      <c r="AA184" s="13">
        <v>1</v>
      </c>
      <c r="AB184" s="6">
        <v>118.67</v>
      </c>
      <c r="AC184" s="6">
        <v>0</v>
      </c>
      <c r="AD184" s="6">
        <v>7773.3239999999996</v>
      </c>
      <c r="AG184" s="2" t="s">
        <v>23</v>
      </c>
      <c r="AH184" s="8">
        <v>5.6299999999999996E-3</v>
      </c>
      <c r="AI184" s="8">
        <v>2.3500000000000001E-3</v>
      </c>
      <c r="AJ184" s="8">
        <v>1.9000000000000001E-4</v>
      </c>
    </row>
    <row r="185" spans="1:36">
      <c r="A185" s="12">
        <v>1097</v>
      </c>
      <c r="B185" s="12">
        <v>1097</v>
      </c>
      <c r="C185" s="2" t="s">
        <v>854</v>
      </c>
      <c r="D185" s="3" t="s">
        <v>855</v>
      </c>
      <c r="E185" s="2" t="s">
        <v>245</v>
      </c>
      <c r="F185" s="2" t="s">
        <v>872</v>
      </c>
      <c r="G185" s="12" t="s">
        <v>873</v>
      </c>
      <c r="H185" s="2" t="s">
        <v>248</v>
      </c>
      <c r="I185" s="2" t="s">
        <v>261</v>
      </c>
      <c r="J185" s="2" t="s">
        <v>77</v>
      </c>
      <c r="K185" s="2" t="s">
        <v>77</v>
      </c>
      <c r="L185" s="2" t="s">
        <v>250</v>
      </c>
      <c r="M185" s="2" t="s">
        <v>130</v>
      </c>
      <c r="N185" s="2" t="s">
        <v>347</v>
      </c>
      <c r="O185" s="2" t="s">
        <v>78</v>
      </c>
      <c r="P185" s="3" t="s">
        <v>293</v>
      </c>
      <c r="Q185" s="2" t="s">
        <v>80</v>
      </c>
      <c r="R185" s="2" t="s">
        <v>254</v>
      </c>
      <c r="S185" s="2" t="s">
        <v>81</v>
      </c>
      <c r="T185" s="13">
        <v>3.3340000000000001</v>
      </c>
      <c r="U185" s="2" t="s">
        <v>874</v>
      </c>
      <c r="V185" s="8">
        <v>2.2499999999999999E-2</v>
      </c>
      <c r="W185" s="8">
        <v>2.8580000000000001E-2</v>
      </c>
      <c r="X185" s="2" t="s">
        <v>256</v>
      </c>
      <c r="Y185" s="2" t="s">
        <v>78</v>
      </c>
      <c r="Z185" s="6">
        <v>11405380.189999999</v>
      </c>
      <c r="AA185" s="13">
        <v>1</v>
      </c>
      <c r="AB185" s="6">
        <v>116.27</v>
      </c>
      <c r="AC185" s="6">
        <v>362.51</v>
      </c>
      <c r="AD185" s="6">
        <v>13623.545</v>
      </c>
      <c r="AG185" s="2" t="s">
        <v>23</v>
      </c>
      <c r="AH185" s="8">
        <v>6.5700000000000003E-3</v>
      </c>
      <c r="AI185" s="8">
        <v>4.1200000000000004E-3</v>
      </c>
      <c r="AJ185" s="8">
        <v>3.4000000000000002E-4</v>
      </c>
    </row>
    <row r="186" spans="1:36">
      <c r="A186" s="12">
        <v>1097</v>
      </c>
      <c r="B186" s="12">
        <v>1097</v>
      </c>
      <c r="C186" s="2" t="s">
        <v>854</v>
      </c>
      <c r="D186" s="3" t="s">
        <v>855</v>
      </c>
      <c r="E186" s="2" t="s">
        <v>245</v>
      </c>
      <c r="F186" s="2" t="s">
        <v>875</v>
      </c>
      <c r="G186" s="12" t="s">
        <v>876</v>
      </c>
      <c r="H186" s="2" t="s">
        <v>248</v>
      </c>
      <c r="I186" s="2" t="s">
        <v>261</v>
      </c>
      <c r="J186" s="2" t="s">
        <v>77</v>
      </c>
      <c r="K186" s="2" t="s">
        <v>77</v>
      </c>
      <c r="L186" s="2" t="s">
        <v>250</v>
      </c>
      <c r="M186" s="2" t="s">
        <v>130</v>
      </c>
      <c r="N186" s="2" t="s">
        <v>347</v>
      </c>
      <c r="O186" s="2" t="s">
        <v>78</v>
      </c>
      <c r="P186" s="3" t="s">
        <v>293</v>
      </c>
      <c r="Q186" s="2" t="s">
        <v>80</v>
      </c>
      <c r="R186" s="2" t="s">
        <v>254</v>
      </c>
      <c r="S186" s="2" t="s">
        <v>81</v>
      </c>
      <c r="T186" s="13">
        <v>4.6950000000000003</v>
      </c>
      <c r="U186" s="2" t="s">
        <v>827</v>
      </c>
      <c r="V186" s="8">
        <v>2.5000000000000001E-3</v>
      </c>
      <c r="W186" s="8">
        <v>2.7E-2</v>
      </c>
      <c r="X186" s="2" t="s">
        <v>256</v>
      </c>
      <c r="Y186" s="2" t="s">
        <v>78</v>
      </c>
      <c r="Z186" s="6">
        <v>3685100.51</v>
      </c>
      <c r="AA186" s="13">
        <v>1</v>
      </c>
      <c r="AB186" s="6">
        <v>102.52</v>
      </c>
      <c r="AC186" s="6">
        <v>54.57</v>
      </c>
      <c r="AD186" s="6">
        <v>3832.5320000000002</v>
      </c>
      <c r="AG186" s="2" t="s">
        <v>23</v>
      </c>
      <c r="AH186" s="8">
        <v>2.7599999999999999E-3</v>
      </c>
      <c r="AI186" s="8">
        <v>1.16E-3</v>
      </c>
      <c r="AJ186" s="8">
        <v>1E-4</v>
      </c>
    </row>
    <row r="187" spans="1:36">
      <c r="A187" s="12">
        <v>1097</v>
      </c>
      <c r="B187" s="12">
        <v>1097</v>
      </c>
      <c r="C187" s="2" t="s">
        <v>877</v>
      </c>
      <c r="D187" s="3" t="s">
        <v>878</v>
      </c>
      <c r="E187" s="2" t="s">
        <v>245</v>
      </c>
      <c r="F187" s="2" t="s">
        <v>879</v>
      </c>
      <c r="G187" s="12" t="s">
        <v>880</v>
      </c>
      <c r="H187" s="2" t="s">
        <v>248</v>
      </c>
      <c r="I187" s="2" t="s">
        <v>249</v>
      </c>
      <c r="J187" s="2" t="s">
        <v>77</v>
      </c>
      <c r="K187" s="2" t="s">
        <v>77</v>
      </c>
      <c r="L187" s="2" t="s">
        <v>250</v>
      </c>
      <c r="M187" s="2" t="s">
        <v>130</v>
      </c>
      <c r="N187" s="2" t="s">
        <v>305</v>
      </c>
      <c r="O187" s="2" t="s">
        <v>78</v>
      </c>
      <c r="P187" s="3" t="s">
        <v>306</v>
      </c>
      <c r="Q187" s="2" t="s">
        <v>80</v>
      </c>
      <c r="R187" s="2" t="s">
        <v>254</v>
      </c>
      <c r="S187" s="2" t="s">
        <v>81</v>
      </c>
      <c r="T187" s="13">
        <v>1.931</v>
      </c>
      <c r="U187" s="2" t="s">
        <v>284</v>
      </c>
      <c r="V187" s="8">
        <v>2.3900000000000001E-2</v>
      </c>
      <c r="W187" s="8">
        <v>4.981E-2</v>
      </c>
      <c r="X187" s="2" t="s">
        <v>256</v>
      </c>
      <c r="Y187" s="2" t="s">
        <v>78</v>
      </c>
      <c r="Z187" s="6">
        <v>216155.88</v>
      </c>
      <c r="AA187" s="13">
        <v>1</v>
      </c>
      <c r="AB187" s="6">
        <v>95.28</v>
      </c>
      <c r="AC187" s="6">
        <v>0</v>
      </c>
      <c r="AD187" s="6">
        <v>205.953</v>
      </c>
      <c r="AG187" s="2" t="s">
        <v>23</v>
      </c>
      <c r="AH187" s="8">
        <v>1.66E-3</v>
      </c>
      <c r="AI187" s="8">
        <v>6.0000000000000002E-5</v>
      </c>
      <c r="AJ187" s="8">
        <v>1.0000000000000001E-5</v>
      </c>
    </row>
    <row r="188" spans="1:36">
      <c r="A188" s="12">
        <v>1097</v>
      </c>
      <c r="B188" s="12">
        <v>1097</v>
      </c>
      <c r="C188" s="2" t="s">
        <v>881</v>
      </c>
      <c r="D188" s="3" t="s">
        <v>882</v>
      </c>
      <c r="E188" s="2" t="s">
        <v>245</v>
      </c>
      <c r="F188" s="2" t="s">
        <v>883</v>
      </c>
      <c r="G188" s="12" t="s">
        <v>884</v>
      </c>
      <c r="H188" s="2" t="s">
        <v>248</v>
      </c>
      <c r="I188" s="2" t="s">
        <v>249</v>
      </c>
      <c r="J188" s="2" t="s">
        <v>77</v>
      </c>
      <c r="K188" s="2" t="s">
        <v>77</v>
      </c>
      <c r="L188" s="2" t="s">
        <v>250</v>
      </c>
      <c r="M188" s="2" t="s">
        <v>130</v>
      </c>
      <c r="N188" s="2" t="s">
        <v>628</v>
      </c>
      <c r="O188" s="2" t="s">
        <v>78</v>
      </c>
      <c r="P188" s="3" t="s">
        <v>287</v>
      </c>
      <c r="Q188" s="2" t="s">
        <v>253</v>
      </c>
      <c r="R188" s="2" t="s">
        <v>254</v>
      </c>
      <c r="S188" s="2" t="s">
        <v>81</v>
      </c>
      <c r="T188" s="13">
        <v>3.77</v>
      </c>
      <c r="U188" s="2" t="s">
        <v>611</v>
      </c>
      <c r="V188" s="8">
        <v>3.4299999999999997E-2</v>
      </c>
      <c r="W188" s="8">
        <v>4.4220000000000002E-2</v>
      </c>
      <c r="X188" s="2" t="s">
        <v>629</v>
      </c>
      <c r="Y188" s="2" t="s">
        <v>78</v>
      </c>
      <c r="Z188" s="6">
        <v>28108475</v>
      </c>
      <c r="AA188" s="13">
        <v>1</v>
      </c>
      <c r="AB188" s="6">
        <v>96.56</v>
      </c>
      <c r="AC188" s="6">
        <v>0</v>
      </c>
      <c r="AD188" s="6">
        <v>27141.543000000001</v>
      </c>
      <c r="AG188" s="2" t="s">
        <v>23</v>
      </c>
      <c r="AH188" s="8">
        <v>9.2499999999999999E-2</v>
      </c>
      <c r="AI188" s="8">
        <v>8.2000000000000007E-3</v>
      </c>
      <c r="AJ188" s="8">
        <v>6.7000000000000002E-4</v>
      </c>
    </row>
    <row r="189" spans="1:36">
      <c r="A189" s="12">
        <v>1097</v>
      </c>
      <c r="B189" s="12">
        <v>1097</v>
      </c>
      <c r="C189" s="2" t="s">
        <v>881</v>
      </c>
      <c r="D189" s="3" t="s">
        <v>882</v>
      </c>
      <c r="E189" s="2" t="s">
        <v>245</v>
      </c>
      <c r="F189" s="2" t="s">
        <v>885</v>
      </c>
      <c r="G189" s="12" t="s">
        <v>884</v>
      </c>
      <c r="H189" s="2" t="s">
        <v>248</v>
      </c>
      <c r="I189" s="2" t="s">
        <v>249</v>
      </c>
      <c r="J189" s="2" t="s">
        <v>77</v>
      </c>
      <c r="K189" s="2" t="s">
        <v>77</v>
      </c>
      <c r="L189" s="2" t="s">
        <v>353</v>
      </c>
      <c r="M189" s="2" t="s">
        <v>130</v>
      </c>
      <c r="N189" s="2" t="s">
        <v>628</v>
      </c>
      <c r="O189" s="2" t="s">
        <v>78</v>
      </c>
      <c r="P189" s="3" t="s">
        <v>287</v>
      </c>
      <c r="Q189" s="2" t="s">
        <v>253</v>
      </c>
      <c r="R189" s="2" t="s">
        <v>254</v>
      </c>
      <c r="S189" s="2" t="s">
        <v>81</v>
      </c>
      <c r="T189" s="13">
        <v>3.77</v>
      </c>
      <c r="U189" s="2" t="s">
        <v>611</v>
      </c>
      <c r="V189" s="8">
        <v>3.4299999999999997E-2</v>
      </c>
      <c r="W189" s="8">
        <v>4.4220000000000002E-2</v>
      </c>
      <c r="X189" s="2" t="s">
        <v>256</v>
      </c>
      <c r="Y189" s="2" t="s">
        <v>78</v>
      </c>
      <c r="Z189" s="6">
        <v>732454</v>
      </c>
      <c r="AA189" s="13">
        <v>1</v>
      </c>
      <c r="AB189" s="6">
        <v>96.56</v>
      </c>
      <c r="AC189" s="6">
        <v>0</v>
      </c>
      <c r="AD189" s="6">
        <v>707.25800000000004</v>
      </c>
      <c r="AG189" s="2" t="s">
        <v>23</v>
      </c>
      <c r="AH189" s="8">
        <v>2.4099999999999998E-3</v>
      </c>
      <c r="AI189" s="8">
        <v>2.1000000000000001E-4</v>
      </c>
      <c r="AJ189" s="8">
        <v>2.0000000000000002E-5</v>
      </c>
    </row>
    <row r="190" spans="1:36">
      <c r="A190" s="12">
        <v>1097</v>
      </c>
      <c r="B190" s="12">
        <v>1097</v>
      </c>
      <c r="C190" s="2" t="s">
        <v>881</v>
      </c>
      <c r="D190" s="3" t="s">
        <v>882</v>
      </c>
      <c r="E190" s="2" t="s">
        <v>245</v>
      </c>
      <c r="F190" s="2" t="s">
        <v>886</v>
      </c>
      <c r="G190" s="12" t="s">
        <v>887</v>
      </c>
      <c r="H190" s="2" t="s">
        <v>248</v>
      </c>
      <c r="I190" s="2" t="s">
        <v>249</v>
      </c>
      <c r="J190" s="2" t="s">
        <v>77</v>
      </c>
      <c r="K190" s="2" t="s">
        <v>77</v>
      </c>
      <c r="L190" s="2" t="s">
        <v>250</v>
      </c>
      <c r="M190" s="2" t="s">
        <v>130</v>
      </c>
      <c r="N190" s="2" t="s">
        <v>628</v>
      </c>
      <c r="O190" s="2" t="s">
        <v>78</v>
      </c>
      <c r="P190" s="3" t="s">
        <v>287</v>
      </c>
      <c r="Q190" s="2" t="s">
        <v>253</v>
      </c>
      <c r="R190" s="2" t="s">
        <v>254</v>
      </c>
      <c r="S190" s="2" t="s">
        <v>81</v>
      </c>
      <c r="T190" s="13">
        <v>1.238</v>
      </c>
      <c r="U190" s="2" t="s">
        <v>332</v>
      </c>
      <c r="V190" s="8">
        <v>1.84E-2</v>
      </c>
      <c r="W190" s="8">
        <v>4.6379999999999998E-2</v>
      </c>
      <c r="X190" s="2" t="s">
        <v>629</v>
      </c>
      <c r="Y190" s="2" t="s">
        <v>78</v>
      </c>
      <c r="Z190" s="6">
        <v>27183709</v>
      </c>
      <c r="AA190" s="13">
        <v>1</v>
      </c>
      <c r="AB190" s="6">
        <v>97.15</v>
      </c>
      <c r="AC190" s="6">
        <v>0</v>
      </c>
      <c r="AD190" s="6">
        <v>26408.973000000002</v>
      </c>
      <c r="AG190" s="2" t="s">
        <v>23</v>
      </c>
      <c r="AH190" s="8">
        <v>9.0609999999999996E-2</v>
      </c>
      <c r="AI190" s="8">
        <v>7.9799999999999992E-3</v>
      </c>
      <c r="AJ190" s="8">
        <v>6.6E-4</v>
      </c>
    </row>
    <row r="191" spans="1:36">
      <c r="A191" s="12">
        <v>1097</v>
      </c>
      <c r="B191" s="12">
        <v>1097</v>
      </c>
      <c r="C191" s="2" t="s">
        <v>881</v>
      </c>
      <c r="D191" s="3" t="s">
        <v>882</v>
      </c>
      <c r="E191" s="2" t="s">
        <v>245</v>
      </c>
      <c r="F191" s="2" t="s">
        <v>888</v>
      </c>
      <c r="G191" s="12" t="s">
        <v>887</v>
      </c>
      <c r="H191" s="2" t="s">
        <v>248</v>
      </c>
      <c r="I191" s="2" t="s">
        <v>249</v>
      </c>
      <c r="J191" s="2" t="s">
        <v>77</v>
      </c>
      <c r="K191" s="2" t="s">
        <v>77</v>
      </c>
      <c r="L191" s="2" t="s">
        <v>353</v>
      </c>
      <c r="M191" s="2" t="s">
        <v>130</v>
      </c>
      <c r="N191" s="2" t="s">
        <v>628</v>
      </c>
      <c r="O191" s="2" t="s">
        <v>78</v>
      </c>
      <c r="P191" s="3" t="s">
        <v>287</v>
      </c>
      <c r="Q191" s="2" t="s">
        <v>253</v>
      </c>
      <c r="R191" s="2" t="s">
        <v>254</v>
      </c>
      <c r="S191" s="2" t="s">
        <v>81</v>
      </c>
      <c r="T191" s="13">
        <v>1.238</v>
      </c>
      <c r="U191" s="2" t="s">
        <v>332</v>
      </c>
      <c r="V191" s="8">
        <v>1.84E-2</v>
      </c>
      <c r="W191" s="8">
        <v>4.6379999999999998E-2</v>
      </c>
      <c r="X191" s="2" t="s">
        <v>256</v>
      </c>
      <c r="Y191" s="2" t="s">
        <v>78</v>
      </c>
      <c r="Z191" s="6">
        <v>100000</v>
      </c>
      <c r="AA191" s="13">
        <v>1</v>
      </c>
      <c r="AB191" s="6">
        <v>97.15</v>
      </c>
      <c r="AC191" s="6">
        <v>0</v>
      </c>
      <c r="AD191" s="6">
        <v>97.15</v>
      </c>
      <c r="AG191" s="2" t="s">
        <v>23</v>
      </c>
      <c r="AH191" s="8">
        <v>3.3E-4</v>
      </c>
      <c r="AI191" s="8">
        <v>3.0000000000000001E-5</v>
      </c>
      <c r="AJ191" s="8">
        <v>0</v>
      </c>
    </row>
    <row r="192" spans="1:36">
      <c r="A192" s="12">
        <v>1097</v>
      </c>
      <c r="B192" s="12">
        <v>1097</v>
      </c>
      <c r="C192" s="2" t="s">
        <v>881</v>
      </c>
      <c r="D192" s="3" t="s">
        <v>882</v>
      </c>
      <c r="E192" s="2" t="s">
        <v>245</v>
      </c>
      <c r="F192" s="2" t="s">
        <v>889</v>
      </c>
      <c r="G192" s="12" t="s">
        <v>890</v>
      </c>
      <c r="H192" s="2" t="s">
        <v>248</v>
      </c>
      <c r="I192" s="2" t="s">
        <v>249</v>
      </c>
      <c r="J192" s="2" t="s">
        <v>77</v>
      </c>
      <c r="K192" s="2" t="s">
        <v>77</v>
      </c>
      <c r="L192" s="2" t="s">
        <v>250</v>
      </c>
      <c r="M192" s="2" t="s">
        <v>130</v>
      </c>
      <c r="N192" s="2" t="s">
        <v>628</v>
      </c>
      <c r="O192" s="2" t="s">
        <v>78</v>
      </c>
      <c r="P192" s="3" t="s">
        <v>287</v>
      </c>
      <c r="Q192" s="2" t="s">
        <v>253</v>
      </c>
      <c r="R192" s="2" t="s">
        <v>254</v>
      </c>
      <c r="S192" s="2" t="s">
        <v>81</v>
      </c>
      <c r="T192" s="13">
        <v>5.0990000000000002</v>
      </c>
      <c r="U192" s="2" t="s">
        <v>461</v>
      </c>
      <c r="V192" s="8">
        <v>2.98E-2</v>
      </c>
      <c r="W192" s="8">
        <v>4.5530000000000001E-2</v>
      </c>
      <c r="X192" s="2" t="s">
        <v>629</v>
      </c>
      <c r="Y192" s="2" t="s">
        <v>78</v>
      </c>
      <c r="Z192" s="6">
        <v>27282000</v>
      </c>
      <c r="AA192" s="13">
        <v>1</v>
      </c>
      <c r="AB192" s="6">
        <v>92.64</v>
      </c>
      <c r="AC192" s="6">
        <v>0</v>
      </c>
      <c r="AD192" s="6">
        <v>25274.044999999998</v>
      </c>
      <c r="AG192" s="2" t="s">
        <v>23</v>
      </c>
      <c r="AH192" s="8">
        <v>6.9500000000000006E-2</v>
      </c>
      <c r="AI192" s="8">
        <v>7.6400000000000001E-3</v>
      </c>
      <c r="AJ192" s="8">
        <v>6.3000000000000003E-4</v>
      </c>
    </row>
    <row r="193" spans="1:36">
      <c r="A193" s="12">
        <v>1097</v>
      </c>
      <c r="B193" s="12">
        <v>1097</v>
      </c>
      <c r="C193" s="2" t="s">
        <v>881</v>
      </c>
      <c r="D193" s="3" t="s">
        <v>882</v>
      </c>
      <c r="E193" s="2" t="s">
        <v>245</v>
      </c>
      <c r="F193" s="2" t="s">
        <v>891</v>
      </c>
      <c r="G193" s="12" t="s">
        <v>892</v>
      </c>
      <c r="H193" s="2" t="s">
        <v>248</v>
      </c>
      <c r="I193" s="2" t="s">
        <v>249</v>
      </c>
      <c r="J193" s="2" t="s">
        <v>77</v>
      </c>
      <c r="K193" s="2" t="s">
        <v>77</v>
      </c>
      <c r="L193" s="2" t="s">
        <v>250</v>
      </c>
      <c r="M193" s="2" t="s">
        <v>130</v>
      </c>
      <c r="N193" s="2" t="s">
        <v>628</v>
      </c>
      <c r="O193" s="2" t="s">
        <v>78</v>
      </c>
      <c r="P193" s="3" t="s">
        <v>287</v>
      </c>
      <c r="Q193" s="2" t="s">
        <v>253</v>
      </c>
      <c r="R193" s="2" t="s">
        <v>254</v>
      </c>
      <c r="S193" s="2" t="s">
        <v>81</v>
      </c>
      <c r="T193" s="13">
        <v>6.1</v>
      </c>
      <c r="U193" s="2" t="s">
        <v>893</v>
      </c>
      <c r="V193" s="8">
        <v>5.0200000000000002E-2</v>
      </c>
      <c r="W193" s="8">
        <v>4.7879999999999999E-2</v>
      </c>
      <c r="X193" s="2" t="s">
        <v>256</v>
      </c>
      <c r="Y193" s="2" t="s">
        <v>78</v>
      </c>
      <c r="Z193" s="6">
        <v>31720000</v>
      </c>
      <c r="AA193" s="13">
        <v>1</v>
      </c>
      <c r="AB193" s="6">
        <v>103.09</v>
      </c>
      <c r="AC193" s="6">
        <v>0</v>
      </c>
      <c r="AD193" s="6">
        <v>32700.148000000001</v>
      </c>
      <c r="AG193" s="2" t="s">
        <v>23</v>
      </c>
      <c r="AH193" s="8">
        <v>7.9299999999999995E-2</v>
      </c>
      <c r="AI193" s="8">
        <v>9.8799999999999999E-3</v>
      </c>
      <c r="AJ193" s="8">
        <v>8.0999999999999996E-4</v>
      </c>
    </row>
    <row r="194" spans="1:36">
      <c r="A194" s="12">
        <v>1097</v>
      </c>
      <c r="B194" s="12">
        <v>1097</v>
      </c>
      <c r="C194" s="2" t="s">
        <v>881</v>
      </c>
      <c r="D194" s="3" t="s">
        <v>882</v>
      </c>
      <c r="E194" s="2" t="s">
        <v>245</v>
      </c>
      <c r="F194" s="2" t="s">
        <v>894</v>
      </c>
      <c r="G194" s="12" t="s">
        <v>892</v>
      </c>
      <c r="H194" s="2" t="s">
        <v>248</v>
      </c>
      <c r="I194" s="2" t="s">
        <v>249</v>
      </c>
      <c r="J194" s="2" t="s">
        <v>77</v>
      </c>
      <c r="K194" s="2" t="s">
        <v>77</v>
      </c>
      <c r="L194" s="2" t="s">
        <v>353</v>
      </c>
      <c r="M194" s="2" t="s">
        <v>130</v>
      </c>
      <c r="N194" s="2" t="s">
        <v>628</v>
      </c>
      <c r="O194" s="2" t="s">
        <v>78</v>
      </c>
      <c r="P194" s="3" t="s">
        <v>287</v>
      </c>
      <c r="Q194" s="2" t="s">
        <v>253</v>
      </c>
      <c r="R194" s="2" t="s">
        <v>254</v>
      </c>
      <c r="S194" s="2" t="s">
        <v>81</v>
      </c>
      <c r="T194" s="13">
        <v>6.1</v>
      </c>
      <c r="U194" s="2" t="s">
        <v>893</v>
      </c>
      <c r="V194" s="8">
        <v>5.0200000000000002E-2</v>
      </c>
      <c r="W194" s="8">
        <v>4.7879999999999999E-2</v>
      </c>
      <c r="X194" s="2" t="s">
        <v>256</v>
      </c>
      <c r="Y194" s="2" t="s">
        <v>78</v>
      </c>
      <c r="Z194" s="6">
        <v>280000</v>
      </c>
      <c r="AA194" s="13">
        <v>1</v>
      </c>
      <c r="AB194" s="6">
        <v>103.09</v>
      </c>
      <c r="AC194" s="6">
        <v>0</v>
      </c>
      <c r="AD194" s="6">
        <v>288.65199999999999</v>
      </c>
      <c r="AG194" s="2" t="s">
        <v>23</v>
      </c>
      <c r="AH194" s="8">
        <v>6.9999999999999999E-4</v>
      </c>
      <c r="AI194" s="8">
        <v>9.0000000000000006E-5</v>
      </c>
      <c r="AJ194" s="8">
        <v>1.0000000000000001E-5</v>
      </c>
    </row>
    <row r="195" spans="1:36">
      <c r="A195" s="12">
        <v>1097</v>
      </c>
      <c r="B195" s="12">
        <v>1097</v>
      </c>
      <c r="C195" s="2" t="s">
        <v>895</v>
      </c>
      <c r="D195" s="3" t="s">
        <v>896</v>
      </c>
      <c r="E195" s="2" t="s">
        <v>245</v>
      </c>
      <c r="F195" s="2" t="s">
        <v>897</v>
      </c>
      <c r="G195" s="12" t="s">
        <v>898</v>
      </c>
      <c r="H195" s="2" t="s">
        <v>248</v>
      </c>
      <c r="I195" s="2" t="s">
        <v>249</v>
      </c>
      <c r="J195" s="2" t="s">
        <v>77</v>
      </c>
      <c r="K195" s="2" t="s">
        <v>77</v>
      </c>
      <c r="L195" s="2" t="s">
        <v>250</v>
      </c>
      <c r="M195" s="2" t="s">
        <v>130</v>
      </c>
      <c r="N195" s="2" t="s">
        <v>628</v>
      </c>
      <c r="O195" s="2" t="s">
        <v>78</v>
      </c>
      <c r="P195" s="3" t="s">
        <v>654</v>
      </c>
      <c r="Q195" s="2" t="s">
        <v>253</v>
      </c>
      <c r="R195" s="2" t="s">
        <v>254</v>
      </c>
      <c r="S195" s="2" t="s">
        <v>81</v>
      </c>
      <c r="T195" s="13">
        <v>0.73699999999999999</v>
      </c>
      <c r="U195" s="2" t="s">
        <v>338</v>
      </c>
      <c r="V195" s="8">
        <v>2.9399999999999999E-2</v>
      </c>
      <c r="W195" s="8">
        <v>4.8230000000000002E-2</v>
      </c>
      <c r="X195" s="2" t="s">
        <v>629</v>
      </c>
      <c r="Y195" s="2" t="s">
        <v>78</v>
      </c>
      <c r="Z195" s="6">
        <v>7472415.4800000004</v>
      </c>
      <c r="AA195" s="13">
        <v>1</v>
      </c>
      <c r="AB195" s="6">
        <v>100.83</v>
      </c>
      <c r="AC195" s="6">
        <v>0</v>
      </c>
      <c r="AD195" s="6">
        <v>7534.4369999999999</v>
      </c>
      <c r="AG195" s="2" t="s">
        <v>23</v>
      </c>
      <c r="AH195" s="8">
        <v>6.9669999999999996E-2</v>
      </c>
      <c r="AI195" s="8">
        <v>2.2799999999999999E-3</v>
      </c>
      <c r="AJ195" s="8">
        <v>1.9000000000000001E-4</v>
      </c>
    </row>
    <row r="196" spans="1:36">
      <c r="A196" s="12">
        <v>1097</v>
      </c>
      <c r="B196" s="12">
        <v>1097</v>
      </c>
      <c r="C196" s="2" t="s">
        <v>899</v>
      </c>
      <c r="D196" s="3" t="s">
        <v>900</v>
      </c>
      <c r="E196" s="2" t="s">
        <v>245</v>
      </c>
      <c r="F196" s="2" t="s">
        <v>901</v>
      </c>
      <c r="G196" s="12" t="s">
        <v>902</v>
      </c>
      <c r="H196" s="2" t="s">
        <v>248</v>
      </c>
      <c r="I196" s="2" t="s">
        <v>261</v>
      </c>
      <c r="J196" s="2" t="s">
        <v>77</v>
      </c>
      <c r="K196" s="2" t="s">
        <v>77</v>
      </c>
      <c r="L196" s="2" t="s">
        <v>250</v>
      </c>
      <c r="M196" s="2" t="s">
        <v>130</v>
      </c>
      <c r="N196" s="2" t="s">
        <v>305</v>
      </c>
      <c r="O196" s="2" t="s">
        <v>78</v>
      </c>
      <c r="P196" s="3" t="s">
        <v>79</v>
      </c>
      <c r="Q196" s="2" t="s">
        <v>80</v>
      </c>
      <c r="R196" s="2" t="s">
        <v>254</v>
      </c>
      <c r="S196" s="2" t="s">
        <v>81</v>
      </c>
      <c r="T196" s="13">
        <v>1.4870000000000001</v>
      </c>
      <c r="U196" s="2" t="s">
        <v>608</v>
      </c>
      <c r="V196" s="8">
        <v>1E-3</v>
      </c>
      <c r="W196" s="8">
        <v>2.5919999999999999E-2</v>
      </c>
      <c r="X196" s="2" t="s">
        <v>256</v>
      </c>
      <c r="Y196" s="2" t="s">
        <v>78</v>
      </c>
      <c r="Z196" s="6">
        <v>1735141.8</v>
      </c>
      <c r="AA196" s="13">
        <v>1</v>
      </c>
      <c r="AB196" s="6">
        <v>111.15</v>
      </c>
      <c r="AC196" s="6">
        <v>0</v>
      </c>
      <c r="AD196" s="6">
        <v>1928.61</v>
      </c>
      <c r="AG196" s="2" t="s">
        <v>23</v>
      </c>
      <c r="AH196" s="8">
        <v>2.7000000000000001E-3</v>
      </c>
      <c r="AI196" s="8">
        <v>5.8E-4</v>
      </c>
      <c r="AJ196" s="8">
        <v>5.0000000000000002E-5</v>
      </c>
    </row>
    <row r="197" spans="1:36">
      <c r="A197" s="12">
        <v>1097</v>
      </c>
      <c r="B197" s="12">
        <v>1097</v>
      </c>
      <c r="C197" s="2" t="s">
        <v>899</v>
      </c>
      <c r="D197" s="3" t="s">
        <v>900</v>
      </c>
      <c r="E197" s="2" t="s">
        <v>245</v>
      </c>
      <c r="F197" s="2" t="s">
        <v>903</v>
      </c>
      <c r="G197" s="12" t="s">
        <v>904</v>
      </c>
      <c r="H197" s="2" t="s">
        <v>248</v>
      </c>
      <c r="I197" s="2" t="s">
        <v>261</v>
      </c>
      <c r="J197" s="2" t="s">
        <v>77</v>
      </c>
      <c r="K197" s="2" t="s">
        <v>77</v>
      </c>
      <c r="L197" s="2" t="s">
        <v>250</v>
      </c>
      <c r="M197" s="2" t="s">
        <v>130</v>
      </c>
      <c r="N197" s="2" t="s">
        <v>305</v>
      </c>
      <c r="O197" s="2" t="s">
        <v>78</v>
      </c>
      <c r="P197" s="3" t="s">
        <v>79</v>
      </c>
      <c r="Q197" s="2" t="s">
        <v>80</v>
      </c>
      <c r="R197" s="2" t="s">
        <v>254</v>
      </c>
      <c r="S197" s="2" t="s">
        <v>81</v>
      </c>
      <c r="T197" s="13">
        <v>11.725</v>
      </c>
      <c r="U197" s="2" t="s">
        <v>905</v>
      </c>
      <c r="V197" s="8">
        <v>2.07E-2</v>
      </c>
      <c r="W197" s="8">
        <v>2.776E-2</v>
      </c>
      <c r="X197" s="2" t="s">
        <v>256</v>
      </c>
      <c r="Y197" s="2" t="s">
        <v>78</v>
      </c>
      <c r="Z197" s="6">
        <v>198556789.61000001</v>
      </c>
      <c r="AA197" s="13">
        <v>1</v>
      </c>
      <c r="AB197" s="6">
        <v>106.32</v>
      </c>
      <c r="AC197" s="6">
        <v>0</v>
      </c>
      <c r="AD197" s="6">
        <v>211105.579</v>
      </c>
      <c r="AG197" s="2" t="s">
        <v>23</v>
      </c>
      <c r="AH197" s="8">
        <v>3.6319999999999998E-2</v>
      </c>
      <c r="AI197" s="8">
        <v>6.3789999999999999E-2</v>
      </c>
      <c r="AJ197" s="8">
        <v>5.2399999999999999E-3</v>
      </c>
    </row>
    <row r="198" spans="1:36">
      <c r="A198" s="12">
        <v>1097</v>
      </c>
      <c r="B198" s="12">
        <v>1097</v>
      </c>
      <c r="C198" s="2" t="s">
        <v>906</v>
      </c>
      <c r="D198" s="3" t="s">
        <v>907</v>
      </c>
      <c r="E198" s="2" t="s">
        <v>245</v>
      </c>
      <c r="F198" s="2" t="s">
        <v>908</v>
      </c>
      <c r="G198" s="12" t="s">
        <v>909</v>
      </c>
      <c r="H198" s="2" t="s">
        <v>248</v>
      </c>
      <c r="I198" s="2" t="s">
        <v>249</v>
      </c>
      <c r="J198" s="2" t="s">
        <v>77</v>
      </c>
      <c r="K198" s="2" t="s">
        <v>77</v>
      </c>
      <c r="L198" s="2" t="s">
        <v>250</v>
      </c>
      <c r="M198" s="2" t="s">
        <v>130</v>
      </c>
      <c r="N198" s="2" t="s">
        <v>347</v>
      </c>
      <c r="O198" s="2" t="s">
        <v>78</v>
      </c>
      <c r="P198" s="3" t="s">
        <v>306</v>
      </c>
      <c r="Q198" s="2" t="s">
        <v>80</v>
      </c>
      <c r="R198" s="2" t="s">
        <v>254</v>
      </c>
      <c r="S198" s="2" t="s">
        <v>81</v>
      </c>
      <c r="T198" s="13">
        <v>2.3330000000000002</v>
      </c>
      <c r="U198" s="2" t="s">
        <v>910</v>
      </c>
      <c r="V198" s="8">
        <v>6.6299999999999998E-2</v>
      </c>
      <c r="W198" s="8">
        <v>5.0900000000000001E-2</v>
      </c>
      <c r="X198" s="2" t="s">
        <v>256</v>
      </c>
      <c r="Y198" s="2" t="s">
        <v>78</v>
      </c>
      <c r="Z198" s="6">
        <v>37931000</v>
      </c>
      <c r="AA198" s="13">
        <v>1</v>
      </c>
      <c r="AB198" s="6">
        <v>103.8</v>
      </c>
      <c r="AC198" s="6">
        <v>0</v>
      </c>
      <c r="AD198" s="6">
        <v>39372.377999999997</v>
      </c>
      <c r="AG198" s="2" t="s">
        <v>23</v>
      </c>
      <c r="AH198" s="8">
        <v>2.8649999999999998E-2</v>
      </c>
      <c r="AI198" s="8">
        <v>1.1900000000000001E-2</v>
      </c>
      <c r="AJ198" s="8">
        <v>9.7999999999999997E-4</v>
      </c>
    </row>
    <row r="199" spans="1:36">
      <c r="A199" s="12">
        <v>1097</v>
      </c>
      <c r="B199" s="12">
        <v>1097</v>
      </c>
      <c r="C199" s="2" t="s">
        <v>906</v>
      </c>
      <c r="D199" s="3" t="s">
        <v>907</v>
      </c>
      <c r="E199" s="2" t="s">
        <v>245</v>
      </c>
      <c r="F199" s="2" t="s">
        <v>911</v>
      </c>
      <c r="G199" s="12" t="s">
        <v>912</v>
      </c>
      <c r="H199" s="2" t="s">
        <v>248</v>
      </c>
      <c r="I199" s="2" t="s">
        <v>261</v>
      </c>
      <c r="J199" s="2" t="s">
        <v>77</v>
      </c>
      <c r="K199" s="2" t="s">
        <v>77</v>
      </c>
      <c r="L199" s="2" t="s">
        <v>250</v>
      </c>
      <c r="M199" s="2" t="s">
        <v>130</v>
      </c>
      <c r="N199" s="2" t="s">
        <v>347</v>
      </c>
      <c r="O199" s="2" t="s">
        <v>78</v>
      </c>
      <c r="P199" s="3" t="s">
        <v>374</v>
      </c>
      <c r="Q199" s="2" t="s">
        <v>80</v>
      </c>
      <c r="R199" s="2" t="s">
        <v>254</v>
      </c>
      <c r="S199" s="2" t="s">
        <v>81</v>
      </c>
      <c r="T199" s="13">
        <v>3.5609999999999999</v>
      </c>
      <c r="U199" s="2" t="s">
        <v>455</v>
      </c>
      <c r="V199" s="8">
        <v>3.6200000000000003E-2</v>
      </c>
      <c r="W199" s="8">
        <v>2.9989999999999999E-2</v>
      </c>
      <c r="X199" s="2" t="s">
        <v>256</v>
      </c>
      <c r="Y199" s="2" t="s">
        <v>78</v>
      </c>
      <c r="Z199" s="6">
        <v>8909042.8399999999</v>
      </c>
      <c r="AA199" s="13">
        <v>1</v>
      </c>
      <c r="AB199" s="6">
        <v>110.37</v>
      </c>
      <c r="AC199" s="6">
        <v>0</v>
      </c>
      <c r="AD199" s="6">
        <v>9832.9110000000001</v>
      </c>
      <c r="AG199" s="2" t="s">
        <v>23</v>
      </c>
      <c r="AH199" s="8">
        <v>4.9100000000000003E-3</v>
      </c>
      <c r="AI199" s="8">
        <v>2.97E-3</v>
      </c>
      <c r="AJ199" s="8">
        <v>2.4000000000000001E-4</v>
      </c>
    </row>
    <row r="200" spans="1:36">
      <c r="A200" s="12">
        <v>1097</v>
      </c>
      <c r="B200" s="12">
        <v>1097</v>
      </c>
      <c r="C200" s="2" t="s">
        <v>906</v>
      </c>
      <c r="D200" s="3" t="s">
        <v>907</v>
      </c>
      <c r="E200" s="2" t="s">
        <v>245</v>
      </c>
      <c r="F200" s="2" t="s">
        <v>913</v>
      </c>
      <c r="G200" s="12" t="s">
        <v>914</v>
      </c>
      <c r="H200" s="2" t="s">
        <v>248</v>
      </c>
      <c r="I200" s="2" t="s">
        <v>261</v>
      </c>
      <c r="J200" s="2" t="s">
        <v>77</v>
      </c>
      <c r="K200" s="2" t="s">
        <v>77</v>
      </c>
      <c r="L200" s="2" t="s">
        <v>250</v>
      </c>
      <c r="M200" s="2" t="s">
        <v>130</v>
      </c>
      <c r="N200" s="2" t="s">
        <v>347</v>
      </c>
      <c r="O200" s="2" t="s">
        <v>78</v>
      </c>
      <c r="P200" s="3" t="s">
        <v>374</v>
      </c>
      <c r="Q200" s="2" t="s">
        <v>80</v>
      </c>
      <c r="R200" s="2" t="s">
        <v>254</v>
      </c>
      <c r="S200" s="2" t="s">
        <v>81</v>
      </c>
      <c r="T200" s="13">
        <v>0.504</v>
      </c>
      <c r="U200" s="2" t="s">
        <v>571</v>
      </c>
      <c r="V200" s="8">
        <v>4.9500000000000002E-2</v>
      </c>
      <c r="W200" s="8">
        <v>3.057E-2</v>
      </c>
      <c r="X200" s="2" t="s">
        <v>256</v>
      </c>
      <c r="Y200" s="2" t="s">
        <v>78</v>
      </c>
      <c r="Z200" s="6">
        <v>280889.23</v>
      </c>
      <c r="AA200" s="13">
        <v>1</v>
      </c>
      <c r="AB200" s="6">
        <v>142.71</v>
      </c>
      <c r="AC200" s="6">
        <v>0</v>
      </c>
      <c r="AD200" s="6">
        <v>400.85700000000003</v>
      </c>
      <c r="AG200" s="2" t="s">
        <v>23</v>
      </c>
      <c r="AH200" s="8">
        <v>1.2800000000000001E-3</v>
      </c>
      <c r="AI200" s="8">
        <v>1.2E-4</v>
      </c>
      <c r="AJ200" s="8">
        <v>1.0000000000000001E-5</v>
      </c>
    </row>
    <row r="201" spans="1:36">
      <c r="A201" s="12">
        <v>1097</v>
      </c>
      <c r="B201" s="12">
        <v>1097</v>
      </c>
      <c r="C201" s="2" t="s">
        <v>915</v>
      </c>
      <c r="D201" s="3" t="s">
        <v>916</v>
      </c>
      <c r="E201" s="2" t="s">
        <v>245</v>
      </c>
      <c r="F201" s="2" t="s">
        <v>917</v>
      </c>
      <c r="G201" s="12" t="s">
        <v>918</v>
      </c>
      <c r="H201" s="2" t="s">
        <v>248</v>
      </c>
      <c r="I201" s="2" t="s">
        <v>261</v>
      </c>
      <c r="J201" s="2" t="s">
        <v>77</v>
      </c>
      <c r="K201" s="2" t="s">
        <v>77</v>
      </c>
      <c r="L201" s="2" t="s">
        <v>250</v>
      </c>
      <c r="M201" s="2" t="s">
        <v>130</v>
      </c>
      <c r="N201" s="2" t="s">
        <v>347</v>
      </c>
      <c r="O201" s="2" t="s">
        <v>78</v>
      </c>
      <c r="P201" s="3" t="s">
        <v>79</v>
      </c>
      <c r="Q201" s="2" t="s">
        <v>80</v>
      </c>
      <c r="R201" s="2" t="s">
        <v>254</v>
      </c>
      <c r="S201" s="2" t="s">
        <v>81</v>
      </c>
      <c r="T201" s="13">
        <v>12.789</v>
      </c>
      <c r="U201" s="2" t="s">
        <v>919</v>
      </c>
      <c r="V201" s="8">
        <v>9.5999999999999992E-3</v>
      </c>
      <c r="W201" s="8">
        <v>2.7550000000000002E-2</v>
      </c>
      <c r="X201" s="2" t="s">
        <v>256</v>
      </c>
      <c r="Y201" s="2" t="s">
        <v>78</v>
      </c>
      <c r="Z201" s="6">
        <v>5739465</v>
      </c>
      <c r="AA201" s="13">
        <v>1</v>
      </c>
      <c r="AB201" s="6">
        <v>92.47</v>
      </c>
      <c r="AC201" s="6">
        <v>0</v>
      </c>
      <c r="AD201" s="6">
        <v>5307.2830000000004</v>
      </c>
      <c r="AG201" s="2" t="s">
        <v>23</v>
      </c>
      <c r="AH201" s="8">
        <v>5.2599999999999999E-3</v>
      </c>
      <c r="AI201" s="8">
        <v>1.6000000000000001E-3</v>
      </c>
      <c r="AJ201" s="8">
        <v>1.2999999999999999E-4</v>
      </c>
    </row>
    <row r="202" spans="1:36">
      <c r="A202" s="12">
        <v>1097</v>
      </c>
      <c r="B202" s="12">
        <v>1097</v>
      </c>
      <c r="C202" s="2" t="s">
        <v>915</v>
      </c>
      <c r="D202" s="3" t="s">
        <v>916</v>
      </c>
      <c r="E202" s="2" t="s">
        <v>245</v>
      </c>
      <c r="F202" s="2" t="s">
        <v>920</v>
      </c>
      <c r="G202" s="12" t="s">
        <v>921</v>
      </c>
      <c r="H202" s="2" t="s">
        <v>248</v>
      </c>
      <c r="I202" s="2" t="s">
        <v>261</v>
      </c>
      <c r="J202" s="2" t="s">
        <v>77</v>
      </c>
      <c r="K202" s="2" t="s">
        <v>77</v>
      </c>
      <c r="L202" s="2" t="s">
        <v>250</v>
      </c>
      <c r="M202" s="2" t="s">
        <v>130</v>
      </c>
      <c r="N202" s="2" t="s">
        <v>347</v>
      </c>
      <c r="O202" s="2" t="s">
        <v>78</v>
      </c>
      <c r="P202" s="3" t="s">
        <v>79</v>
      </c>
      <c r="Q202" s="2" t="s">
        <v>80</v>
      </c>
      <c r="R202" s="2" t="s">
        <v>254</v>
      </c>
      <c r="S202" s="2" t="s">
        <v>81</v>
      </c>
      <c r="T202" s="13">
        <v>4.3250000000000002</v>
      </c>
      <c r="U202" s="2" t="s">
        <v>634</v>
      </c>
      <c r="V202" s="8">
        <v>1.6500000000000001E-2</v>
      </c>
      <c r="W202" s="8">
        <v>2.5100000000000001E-2</v>
      </c>
      <c r="X202" s="2" t="s">
        <v>256</v>
      </c>
      <c r="Y202" s="2" t="s">
        <v>78</v>
      </c>
      <c r="Z202" s="6">
        <v>15546768</v>
      </c>
      <c r="AA202" s="13">
        <v>1</v>
      </c>
      <c r="AB202" s="6">
        <v>113.88</v>
      </c>
      <c r="AC202" s="6">
        <v>0</v>
      </c>
      <c r="AD202" s="6">
        <v>17704.659</v>
      </c>
      <c r="AG202" s="2" t="s">
        <v>23</v>
      </c>
      <c r="AH202" s="8">
        <v>7.3499999999999998E-3</v>
      </c>
      <c r="AI202" s="8">
        <v>5.3499999999999997E-3</v>
      </c>
      <c r="AJ202" s="8">
        <v>4.4000000000000002E-4</v>
      </c>
    </row>
    <row r="203" spans="1:36">
      <c r="A203" s="12">
        <v>1097</v>
      </c>
      <c r="B203" s="12">
        <v>1097</v>
      </c>
      <c r="C203" s="2" t="s">
        <v>922</v>
      </c>
      <c r="D203" s="3" t="s">
        <v>923</v>
      </c>
      <c r="E203" s="2" t="s">
        <v>245</v>
      </c>
      <c r="F203" s="2" t="s">
        <v>924</v>
      </c>
      <c r="G203" s="12" t="s">
        <v>925</v>
      </c>
      <c r="H203" s="2" t="s">
        <v>248</v>
      </c>
      <c r="I203" s="2" t="s">
        <v>261</v>
      </c>
      <c r="J203" s="2" t="s">
        <v>77</v>
      </c>
      <c r="K203" s="2" t="s">
        <v>77</v>
      </c>
      <c r="L203" s="2" t="s">
        <v>250</v>
      </c>
      <c r="M203" s="2" t="s">
        <v>130</v>
      </c>
      <c r="N203" s="2" t="s">
        <v>305</v>
      </c>
      <c r="O203" s="2" t="s">
        <v>78</v>
      </c>
      <c r="P203" s="3" t="s">
        <v>926</v>
      </c>
      <c r="Q203" s="2" t="s">
        <v>253</v>
      </c>
      <c r="R203" s="2" t="s">
        <v>254</v>
      </c>
      <c r="S203" s="2" t="s">
        <v>81</v>
      </c>
      <c r="T203" s="13">
        <v>5.0460000000000003</v>
      </c>
      <c r="U203" s="2" t="s">
        <v>375</v>
      </c>
      <c r="V203" s="8">
        <v>2.6499999999999999E-2</v>
      </c>
      <c r="W203" s="8">
        <v>2.5229999999999999E-2</v>
      </c>
      <c r="X203" s="2" t="s">
        <v>256</v>
      </c>
      <c r="Y203" s="2" t="s">
        <v>78</v>
      </c>
      <c r="Z203" s="6">
        <v>3496243.16</v>
      </c>
      <c r="AA203" s="13">
        <v>1</v>
      </c>
      <c r="AB203" s="6">
        <v>118.55</v>
      </c>
      <c r="AC203" s="6">
        <v>0</v>
      </c>
      <c r="AD203" s="6">
        <v>4144.7960000000003</v>
      </c>
      <c r="AG203" s="2" t="s">
        <v>23</v>
      </c>
      <c r="AH203" s="8">
        <v>2.4599999999999999E-3</v>
      </c>
      <c r="AI203" s="8">
        <v>1.25E-3</v>
      </c>
      <c r="AJ203" s="8">
        <v>1E-4</v>
      </c>
    </row>
    <row r="204" spans="1:36">
      <c r="A204" s="12">
        <v>1097</v>
      </c>
      <c r="B204" s="12">
        <v>1097</v>
      </c>
      <c r="C204" s="2" t="s">
        <v>927</v>
      </c>
      <c r="D204" s="3" t="s">
        <v>928</v>
      </c>
      <c r="E204" s="2" t="s">
        <v>245</v>
      </c>
      <c r="F204" s="2" t="s">
        <v>929</v>
      </c>
      <c r="G204" s="12" t="s">
        <v>930</v>
      </c>
      <c r="H204" s="2" t="s">
        <v>248</v>
      </c>
      <c r="I204" s="2" t="s">
        <v>261</v>
      </c>
      <c r="J204" s="2" t="s">
        <v>77</v>
      </c>
      <c r="K204" s="2" t="s">
        <v>77</v>
      </c>
      <c r="L204" s="2" t="s">
        <v>250</v>
      </c>
      <c r="M204" s="2" t="s">
        <v>130</v>
      </c>
      <c r="N204" s="2" t="s">
        <v>347</v>
      </c>
      <c r="O204" s="2" t="s">
        <v>78</v>
      </c>
      <c r="P204" s="3" t="s">
        <v>287</v>
      </c>
      <c r="Q204" s="2" t="s">
        <v>253</v>
      </c>
      <c r="R204" s="2" t="s">
        <v>254</v>
      </c>
      <c r="S204" s="2" t="s">
        <v>81</v>
      </c>
      <c r="T204" s="13">
        <v>5.9029999999999996</v>
      </c>
      <c r="U204" s="2" t="s">
        <v>743</v>
      </c>
      <c r="V204" s="8">
        <v>1.5800000000000002E-2</v>
      </c>
      <c r="W204" s="8">
        <v>3.0099999999999998E-2</v>
      </c>
      <c r="X204" s="2" t="s">
        <v>256</v>
      </c>
      <c r="Y204" s="2" t="s">
        <v>78</v>
      </c>
      <c r="Z204" s="6">
        <v>2773273.71</v>
      </c>
      <c r="AA204" s="13">
        <v>1</v>
      </c>
      <c r="AB204" s="6">
        <v>108.34</v>
      </c>
      <c r="AC204" s="6">
        <v>0</v>
      </c>
      <c r="AD204" s="6">
        <v>3004.5650000000001</v>
      </c>
      <c r="AG204" s="2" t="s">
        <v>23</v>
      </c>
      <c r="AH204" s="8">
        <v>2.5100000000000001E-3</v>
      </c>
      <c r="AI204" s="8">
        <v>9.1E-4</v>
      </c>
      <c r="AJ204" s="8">
        <v>6.9999999999999994E-5</v>
      </c>
    </row>
    <row r="205" spans="1:36">
      <c r="A205" s="12">
        <v>1097</v>
      </c>
      <c r="B205" s="12">
        <v>1097</v>
      </c>
      <c r="C205" s="2" t="s">
        <v>927</v>
      </c>
      <c r="D205" s="3" t="s">
        <v>928</v>
      </c>
      <c r="E205" s="2" t="s">
        <v>245</v>
      </c>
      <c r="F205" s="2" t="s">
        <v>931</v>
      </c>
      <c r="G205" s="12" t="s">
        <v>932</v>
      </c>
      <c r="H205" s="2" t="s">
        <v>248</v>
      </c>
      <c r="I205" s="2" t="s">
        <v>261</v>
      </c>
      <c r="J205" s="2" t="s">
        <v>77</v>
      </c>
      <c r="K205" s="2" t="s">
        <v>77</v>
      </c>
      <c r="L205" s="2" t="s">
        <v>250</v>
      </c>
      <c r="M205" s="2" t="s">
        <v>130</v>
      </c>
      <c r="N205" s="2" t="s">
        <v>347</v>
      </c>
      <c r="O205" s="2" t="s">
        <v>78</v>
      </c>
      <c r="P205" s="3" t="s">
        <v>287</v>
      </c>
      <c r="Q205" s="2" t="s">
        <v>253</v>
      </c>
      <c r="R205" s="2" t="s">
        <v>254</v>
      </c>
      <c r="S205" s="2" t="s">
        <v>81</v>
      </c>
      <c r="T205" s="13">
        <v>2.2149999999999999</v>
      </c>
      <c r="U205" s="2" t="s">
        <v>933</v>
      </c>
      <c r="V205" s="8">
        <v>1.9599999999999999E-2</v>
      </c>
      <c r="W205" s="8">
        <v>2.9440000000000001E-2</v>
      </c>
      <c r="X205" s="2" t="s">
        <v>256</v>
      </c>
      <c r="Y205" s="2" t="s">
        <v>78</v>
      </c>
      <c r="Z205" s="6">
        <v>2352928.94</v>
      </c>
      <c r="AA205" s="13">
        <v>1</v>
      </c>
      <c r="AB205" s="6">
        <v>115.75</v>
      </c>
      <c r="AC205" s="6">
        <v>0</v>
      </c>
      <c r="AD205" s="6">
        <v>2723.5149999999999</v>
      </c>
      <c r="AG205" s="2" t="s">
        <v>23</v>
      </c>
      <c r="AH205" s="8">
        <v>2.0500000000000002E-3</v>
      </c>
      <c r="AI205" s="8">
        <v>8.1999999999999998E-4</v>
      </c>
      <c r="AJ205" s="8">
        <v>6.9999999999999994E-5</v>
      </c>
    </row>
    <row r="206" spans="1:36">
      <c r="A206" s="12">
        <v>1097</v>
      </c>
      <c r="B206" s="12">
        <v>1097</v>
      </c>
      <c r="C206" s="2" t="s">
        <v>934</v>
      </c>
      <c r="D206" s="3" t="s">
        <v>935</v>
      </c>
      <c r="E206" s="2" t="s">
        <v>245</v>
      </c>
      <c r="F206" s="2" t="s">
        <v>936</v>
      </c>
      <c r="G206" s="12" t="s">
        <v>937</v>
      </c>
      <c r="H206" s="2" t="s">
        <v>248</v>
      </c>
      <c r="I206" s="2" t="s">
        <v>249</v>
      </c>
      <c r="J206" s="2" t="s">
        <v>77</v>
      </c>
      <c r="K206" s="2" t="s">
        <v>77</v>
      </c>
      <c r="L206" s="2" t="s">
        <v>250</v>
      </c>
      <c r="M206" s="2" t="s">
        <v>130</v>
      </c>
      <c r="N206" s="2" t="s">
        <v>481</v>
      </c>
      <c r="O206" s="2" t="s">
        <v>78</v>
      </c>
      <c r="P206" s="3" t="s">
        <v>306</v>
      </c>
      <c r="Q206" s="2" t="s">
        <v>80</v>
      </c>
      <c r="R206" s="2" t="s">
        <v>254</v>
      </c>
      <c r="S206" s="2" t="s">
        <v>81</v>
      </c>
      <c r="T206" s="13">
        <v>1.5589999999999999</v>
      </c>
      <c r="U206" s="2" t="s">
        <v>938</v>
      </c>
      <c r="V206" s="8">
        <v>2.5000000000000001E-2</v>
      </c>
      <c r="W206" s="8">
        <v>4.8349999999999997E-2</v>
      </c>
      <c r="X206" s="2" t="s">
        <v>256</v>
      </c>
      <c r="Y206" s="2" t="s">
        <v>78</v>
      </c>
      <c r="Z206" s="6">
        <v>1049044.1200000001</v>
      </c>
      <c r="AA206" s="13">
        <v>1</v>
      </c>
      <c r="AB206" s="6">
        <v>97.69</v>
      </c>
      <c r="AC206" s="6">
        <v>0</v>
      </c>
      <c r="AD206" s="6">
        <v>1024.8109999999999</v>
      </c>
      <c r="AG206" s="2" t="s">
        <v>23</v>
      </c>
      <c r="AH206" s="8">
        <v>1.4300000000000001E-3</v>
      </c>
      <c r="AI206" s="8">
        <v>3.1E-4</v>
      </c>
      <c r="AJ206" s="8">
        <v>3.0000000000000001E-5</v>
      </c>
    </row>
    <row r="207" spans="1:36">
      <c r="A207" s="12">
        <v>1097</v>
      </c>
      <c r="B207" s="12">
        <v>1097</v>
      </c>
      <c r="C207" s="2" t="s">
        <v>934</v>
      </c>
      <c r="D207" s="3" t="s">
        <v>935</v>
      </c>
      <c r="E207" s="2" t="s">
        <v>245</v>
      </c>
      <c r="F207" s="2" t="s">
        <v>939</v>
      </c>
      <c r="G207" s="12" t="s">
        <v>940</v>
      </c>
      <c r="H207" s="2" t="s">
        <v>248</v>
      </c>
      <c r="I207" s="2" t="s">
        <v>249</v>
      </c>
      <c r="J207" s="2" t="s">
        <v>77</v>
      </c>
      <c r="K207" s="2" t="s">
        <v>77</v>
      </c>
      <c r="L207" s="2" t="s">
        <v>250</v>
      </c>
      <c r="M207" s="2" t="s">
        <v>130</v>
      </c>
      <c r="N207" s="2" t="s">
        <v>481</v>
      </c>
      <c r="O207" s="2" t="s">
        <v>78</v>
      </c>
      <c r="P207" s="3" t="s">
        <v>306</v>
      </c>
      <c r="Q207" s="2" t="s">
        <v>80</v>
      </c>
      <c r="R207" s="2" t="s">
        <v>254</v>
      </c>
      <c r="S207" s="2" t="s">
        <v>81</v>
      </c>
      <c r="T207" s="13">
        <v>2.8140000000000001</v>
      </c>
      <c r="U207" s="2" t="s">
        <v>941</v>
      </c>
      <c r="V207" s="8">
        <v>4.7300000000000002E-2</v>
      </c>
      <c r="W207" s="8">
        <v>4.7140000000000001E-2</v>
      </c>
      <c r="X207" s="2" t="s">
        <v>256</v>
      </c>
      <c r="Y207" s="2" t="s">
        <v>78</v>
      </c>
      <c r="Z207" s="6">
        <v>738150</v>
      </c>
      <c r="AA207" s="13">
        <v>1</v>
      </c>
      <c r="AB207" s="6">
        <v>100.11</v>
      </c>
      <c r="AC207" s="6">
        <v>17.46</v>
      </c>
      <c r="AD207" s="6">
        <v>756.41899999999998</v>
      </c>
      <c r="AG207" s="2" t="s">
        <v>23</v>
      </c>
      <c r="AH207" s="8">
        <v>1.57E-3</v>
      </c>
      <c r="AI207" s="8">
        <v>2.3000000000000001E-4</v>
      </c>
      <c r="AJ207" s="8">
        <v>2.0000000000000002E-5</v>
      </c>
    </row>
    <row r="208" spans="1:36">
      <c r="A208" s="12">
        <v>1097</v>
      </c>
      <c r="B208" s="12">
        <v>1097</v>
      </c>
      <c r="C208" s="2" t="s">
        <v>942</v>
      </c>
      <c r="D208" s="3" t="s">
        <v>943</v>
      </c>
      <c r="E208" s="2" t="s">
        <v>245</v>
      </c>
      <c r="F208" s="2" t="s">
        <v>944</v>
      </c>
      <c r="G208" s="12" t="s">
        <v>945</v>
      </c>
      <c r="H208" s="2" t="s">
        <v>248</v>
      </c>
      <c r="I208" s="2" t="s">
        <v>261</v>
      </c>
      <c r="J208" s="2" t="s">
        <v>77</v>
      </c>
      <c r="K208" s="2" t="s">
        <v>77</v>
      </c>
      <c r="L208" s="2" t="s">
        <v>250</v>
      </c>
      <c r="M208" s="2" t="s">
        <v>130</v>
      </c>
      <c r="N208" s="2" t="s">
        <v>347</v>
      </c>
      <c r="O208" s="2" t="s">
        <v>78</v>
      </c>
      <c r="P208" s="3" t="s">
        <v>300</v>
      </c>
      <c r="Q208" s="2" t="s">
        <v>80</v>
      </c>
      <c r="R208" s="2" t="s">
        <v>254</v>
      </c>
      <c r="S208" s="2" t="s">
        <v>81</v>
      </c>
      <c r="T208" s="13">
        <v>6.4180000000000001</v>
      </c>
      <c r="U208" s="2" t="s">
        <v>946</v>
      </c>
      <c r="V208" s="8">
        <v>8.9999999999999993E-3</v>
      </c>
      <c r="W208" s="8">
        <v>2.8410000000000001E-2</v>
      </c>
      <c r="X208" s="2" t="s">
        <v>256</v>
      </c>
      <c r="Y208" s="2" t="s">
        <v>78</v>
      </c>
      <c r="Z208" s="6">
        <v>87813724.319999993</v>
      </c>
      <c r="AA208" s="13">
        <v>1</v>
      </c>
      <c r="AB208" s="6">
        <v>101.93</v>
      </c>
      <c r="AC208" s="6">
        <v>2574.63</v>
      </c>
      <c r="AD208" s="6">
        <v>92083.159</v>
      </c>
      <c r="AG208" s="2" t="s">
        <v>23</v>
      </c>
      <c r="AH208" s="8">
        <v>3.2579999999999998E-2</v>
      </c>
      <c r="AI208" s="8">
        <v>2.7820000000000001E-2</v>
      </c>
      <c r="AJ208" s="8">
        <v>2.2899999999999999E-3</v>
      </c>
    </row>
    <row r="209" spans="1:36">
      <c r="A209" s="12">
        <v>1097</v>
      </c>
      <c r="B209" s="12">
        <v>1097</v>
      </c>
      <c r="C209" s="2" t="s">
        <v>942</v>
      </c>
      <c r="D209" s="3" t="s">
        <v>943</v>
      </c>
      <c r="E209" s="2" t="s">
        <v>245</v>
      </c>
      <c r="F209" s="2" t="s">
        <v>947</v>
      </c>
      <c r="G209" s="12" t="s">
        <v>948</v>
      </c>
      <c r="H209" s="2" t="s">
        <v>248</v>
      </c>
      <c r="I209" s="2" t="s">
        <v>261</v>
      </c>
      <c r="J209" s="2" t="s">
        <v>77</v>
      </c>
      <c r="K209" s="2" t="s">
        <v>77</v>
      </c>
      <c r="L209" s="2" t="s">
        <v>250</v>
      </c>
      <c r="M209" s="2" t="s">
        <v>130</v>
      </c>
      <c r="N209" s="2" t="s">
        <v>347</v>
      </c>
      <c r="O209" s="2" t="s">
        <v>78</v>
      </c>
      <c r="P209" s="3" t="s">
        <v>926</v>
      </c>
      <c r="Q209" s="2" t="s">
        <v>253</v>
      </c>
      <c r="R209" s="2" t="s">
        <v>254</v>
      </c>
      <c r="S209" s="2" t="s">
        <v>81</v>
      </c>
      <c r="T209" s="13">
        <v>2.6819999999999999</v>
      </c>
      <c r="U209" s="2" t="s">
        <v>949</v>
      </c>
      <c r="V209" s="8">
        <v>1.34E-2</v>
      </c>
      <c r="W209" s="8">
        <v>2.7990000000000001E-2</v>
      </c>
      <c r="X209" s="2" t="s">
        <v>256</v>
      </c>
      <c r="Y209" s="2" t="s">
        <v>78</v>
      </c>
      <c r="Z209" s="6">
        <v>23300959.420000002</v>
      </c>
      <c r="AA209" s="13">
        <v>1</v>
      </c>
      <c r="AB209" s="6">
        <v>114.07</v>
      </c>
      <c r="AC209" s="6">
        <v>2966.28</v>
      </c>
      <c r="AD209" s="6">
        <v>29545.682000000001</v>
      </c>
      <c r="AG209" s="2" t="s">
        <v>23</v>
      </c>
      <c r="AH209" s="8">
        <v>1.055E-2</v>
      </c>
      <c r="AI209" s="8">
        <v>8.9300000000000004E-3</v>
      </c>
      <c r="AJ209" s="8">
        <v>7.2999999999999996E-4</v>
      </c>
    </row>
    <row r="210" spans="1:36">
      <c r="A210" s="12">
        <v>1097</v>
      </c>
      <c r="B210" s="12">
        <v>1097</v>
      </c>
      <c r="C210" s="2" t="s">
        <v>942</v>
      </c>
      <c r="D210" s="3" t="s">
        <v>943</v>
      </c>
      <c r="E210" s="2" t="s">
        <v>245</v>
      </c>
      <c r="F210" s="2" t="s">
        <v>950</v>
      </c>
      <c r="G210" s="12" t="s">
        <v>951</v>
      </c>
      <c r="H210" s="2" t="s">
        <v>248</v>
      </c>
      <c r="I210" s="2" t="s">
        <v>261</v>
      </c>
      <c r="J210" s="2" t="s">
        <v>77</v>
      </c>
      <c r="K210" s="2" t="s">
        <v>77</v>
      </c>
      <c r="L210" s="2" t="s">
        <v>250</v>
      </c>
      <c r="M210" s="2" t="s">
        <v>130</v>
      </c>
      <c r="N210" s="2" t="s">
        <v>347</v>
      </c>
      <c r="O210" s="2" t="s">
        <v>78</v>
      </c>
      <c r="P210" s="3" t="s">
        <v>926</v>
      </c>
      <c r="Q210" s="2" t="s">
        <v>253</v>
      </c>
      <c r="R210" s="2" t="s">
        <v>254</v>
      </c>
      <c r="S210" s="2" t="s">
        <v>81</v>
      </c>
      <c r="T210" s="13">
        <v>1.9610000000000001</v>
      </c>
      <c r="U210" s="2" t="s">
        <v>665</v>
      </c>
      <c r="V210" s="8">
        <v>1.77E-2</v>
      </c>
      <c r="W210" s="8">
        <v>2.8160000000000001E-2</v>
      </c>
      <c r="X210" s="2" t="s">
        <v>256</v>
      </c>
      <c r="Y210" s="2" t="s">
        <v>78</v>
      </c>
      <c r="Z210" s="6">
        <v>27725005.760000002</v>
      </c>
      <c r="AA210" s="13">
        <v>1</v>
      </c>
      <c r="AB210" s="6">
        <v>114.73</v>
      </c>
      <c r="AC210" s="6">
        <v>0</v>
      </c>
      <c r="AD210" s="6">
        <v>31808.899000000001</v>
      </c>
      <c r="AG210" s="2" t="s">
        <v>23</v>
      </c>
      <c r="AH210" s="8">
        <v>1.14E-2</v>
      </c>
      <c r="AI210" s="8">
        <v>9.6100000000000005E-3</v>
      </c>
      <c r="AJ210" s="8">
        <v>7.9000000000000001E-4</v>
      </c>
    </row>
    <row r="211" spans="1:36">
      <c r="A211" s="12">
        <v>1097</v>
      </c>
      <c r="B211" s="12">
        <v>1097</v>
      </c>
      <c r="C211" s="2" t="s">
        <v>942</v>
      </c>
      <c r="D211" s="3" t="s">
        <v>943</v>
      </c>
      <c r="E211" s="2" t="s">
        <v>245</v>
      </c>
      <c r="F211" s="2" t="s">
        <v>952</v>
      </c>
      <c r="G211" s="12" t="s">
        <v>953</v>
      </c>
      <c r="H211" s="2" t="s">
        <v>248</v>
      </c>
      <c r="I211" s="2" t="s">
        <v>261</v>
      </c>
      <c r="J211" s="2" t="s">
        <v>77</v>
      </c>
      <c r="K211" s="2" t="s">
        <v>77</v>
      </c>
      <c r="L211" s="2" t="s">
        <v>250</v>
      </c>
      <c r="M211" s="2" t="s">
        <v>130</v>
      </c>
      <c r="N211" s="2" t="s">
        <v>347</v>
      </c>
      <c r="O211" s="2" t="s">
        <v>78</v>
      </c>
      <c r="P211" s="3" t="s">
        <v>926</v>
      </c>
      <c r="Q211" s="2" t="s">
        <v>253</v>
      </c>
      <c r="R211" s="2" t="s">
        <v>254</v>
      </c>
      <c r="S211" s="2" t="s">
        <v>81</v>
      </c>
      <c r="T211" s="13">
        <v>4.8639999999999999</v>
      </c>
      <c r="U211" s="2" t="s">
        <v>954</v>
      </c>
      <c r="V211" s="8">
        <v>2.4799999999999999E-2</v>
      </c>
      <c r="W211" s="8">
        <v>2.775E-2</v>
      </c>
      <c r="X211" s="2" t="s">
        <v>256</v>
      </c>
      <c r="Y211" s="2" t="s">
        <v>78</v>
      </c>
      <c r="Z211" s="6">
        <v>77093483</v>
      </c>
      <c r="AA211" s="13">
        <v>1</v>
      </c>
      <c r="AB211" s="6">
        <v>115.49</v>
      </c>
      <c r="AC211" s="6">
        <v>0</v>
      </c>
      <c r="AD211" s="6">
        <v>89035.263999999996</v>
      </c>
      <c r="AG211" s="2" t="s">
        <v>23</v>
      </c>
      <c r="AH211" s="8">
        <v>2.3400000000000001E-2</v>
      </c>
      <c r="AI211" s="8">
        <v>2.69E-2</v>
      </c>
      <c r="AJ211" s="8">
        <v>2.2100000000000002E-3</v>
      </c>
    </row>
    <row r="212" spans="1:36">
      <c r="A212" s="12">
        <v>1097</v>
      </c>
      <c r="B212" s="12">
        <v>1097</v>
      </c>
      <c r="C212" s="2" t="s">
        <v>942</v>
      </c>
      <c r="D212" s="3" t="s">
        <v>943</v>
      </c>
      <c r="E212" s="2" t="s">
        <v>245</v>
      </c>
      <c r="F212" s="2" t="s">
        <v>955</v>
      </c>
      <c r="G212" s="12" t="s">
        <v>953</v>
      </c>
      <c r="H212" s="2" t="s">
        <v>248</v>
      </c>
      <c r="I212" s="2" t="s">
        <v>261</v>
      </c>
      <c r="J212" s="2" t="s">
        <v>77</v>
      </c>
      <c r="K212" s="2" t="s">
        <v>77</v>
      </c>
      <c r="L212" s="2" t="s">
        <v>353</v>
      </c>
      <c r="M212" s="2" t="s">
        <v>130</v>
      </c>
      <c r="N212" s="2" t="s">
        <v>347</v>
      </c>
      <c r="O212" s="2" t="s">
        <v>78</v>
      </c>
      <c r="P212" s="3" t="s">
        <v>926</v>
      </c>
      <c r="Q212" s="2" t="s">
        <v>253</v>
      </c>
      <c r="R212" s="2" t="s">
        <v>254</v>
      </c>
      <c r="S212" s="2" t="s">
        <v>81</v>
      </c>
      <c r="T212" s="13">
        <v>4.8639999999999999</v>
      </c>
      <c r="U212" s="2" t="s">
        <v>954</v>
      </c>
      <c r="V212" s="8">
        <v>2.4799999999999999E-2</v>
      </c>
      <c r="W212" s="8">
        <v>2.775E-2</v>
      </c>
      <c r="X212" s="2" t="s">
        <v>256</v>
      </c>
      <c r="Y212" s="2" t="s">
        <v>78</v>
      </c>
      <c r="Z212" s="6">
        <v>2056716</v>
      </c>
      <c r="AA212" s="13">
        <v>1</v>
      </c>
      <c r="AB212" s="6">
        <v>115.49</v>
      </c>
      <c r="AC212" s="6">
        <v>0</v>
      </c>
      <c r="AD212" s="6">
        <v>2375.3009999999999</v>
      </c>
      <c r="AG212" s="2" t="s">
        <v>23</v>
      </c>
      <c r="AH212" s="8">
        <v>6.2E-4</v>
      </c>
      <c r="AI212" s="8">
        <v>7.2000000000000005E-4</v>
      </c>
      <c r="AJ212" s="8">
        <v>6.0000000000000002E-5</v>
      </c>
    </row>
    <row r="213" spans="1:36">
      <c r="A213" s="12">
        <v>1097</v>
      </c>
      <c r="B213" s="12">
        <v>1097</v>
      </c>
      <c r="C213" s="2" t="s">
        <v>942</v>
      </c>
      <c r="D213" s="3" t="s">
        <v>943</v>
      </c>
      <c r="E213" s="2" t="s">
        <v>245</v>
      </c>
      <c r="F213" s="2" t="s">
        <v>956</v>
      </c>
      <c r="G213" s="12" t="s">
        <v>957</v>
      </c>
      <c r="H213" s="2" t="s">
        <v>248</v>
      </c>
      <c r="I213" s="2" t="s">
        <v>261</v>
      </c>
      <c r="J213" s="2" t="s">
        <v>77</v>
      </c>
      <c r="K213" s="2" t="s">
        <v>77</v>
      </c>
      <c r="L213" s="2" t="s">
        <v>250</v>
      </c>
      <c r="M213" s="2" t="s">
        <v>130</v>
      </c>
      <c r="N213" s="2" t="s">
        <v>347</v>
      </c>
      <c r="O213" s="2" t="s">
        <v>78</v>
      </c>
      <c r="P213" s="3" t="s">
        <v>300</v>
      </c>
      <c r="Q213" s="2" t="s">
        <v>80</v>
      </c>
      <c r="R213" s="2" t="s">
        <v>254</v>
      </c>
      <c r="S213" s="2" t="s">
        <v>81</v>
      </c>
      <c r="T213" s="13">
        <v>9.8800000000000008</v>
      </c>
      <c r="U213" s="2" t="s">
        <v>958</v>
      </c>
      <c r="V213" s="8">
        <v>1.6899999999999998E-2</v>
      </c>
      <c r="W213" s="8">
        <v>2.9510000000000002E-2</v>
      </c>
      <c r="X213" s="2" t="s">
        <v>256</v>
      </c>
      <c r="Y213" s="2" t="s">
        <v>78</v>
      </c>
      <c r="Z213" s="6">
        <v>30020000</v>
      </c>
      <c r="AA213" s="13">
        <v>1</v>
      </c>
      <c r="AB213" s="6">
        <v>102.05</v>
      </c>
      <c r="AC213" s="6">
        <v>292.5</v>
      </c>
      <c r="AD213" s="6">
        <v>30927.907999999999</v>
      </c>
      <c r="AG213" s="2" t="s">
        <v>23</v>
      </c>
      <c r="AH213" s="8">
        <v>6.8799999999999998E-3</v>
      </c>
      <c r="AI213" s="8">
        <v>9.3399999999999993E-3</v>
      </c>
      <c r="AJ213" s="8">
        <v>7.6999999999999996E-4</v>
      </c>
    </row>
    <row r="214" spans="1:36">
      <c r="A214" s="12">
        <v>1097</v>
      </c>
      <c r="B214" s="12">
        <v>1097</v>
      </c>
      <c r="C214" s="2" t="s">
        <v>942</v>
      </c>
      <c r="D214" s="3" t="s">
        <v>943</v>
      </c>
      <c r="E214" s="2" t="s">
        <v>245</v>
      </c>
      <c r="F214" s="2" t="s">
        <v>959</v>
      </c>
      <c r="G214" s="12" t="s">
        <v>960</v>
      </c>
      <c r="H214" s="2" t="s">
        <v>248</v>
      </c>
      <c r="I214" s="2" t="s">
        <v>261</v>
      </c>
      <c r="J214" s="2" t="s">
        <v>77</v>
      </c>
      <c r="K214" s="2" t="s">
        <v>77</v>
      </c>
      <c r="L214" s="2" t="s">
        <v>250</v>
      </c>
      <c r="M214" s="2" t="s">
        <v>130</v>
      </c>
      <c r="N214" s="2" t="s">
        <v>347</v>
      </c>
      <c r="O214" s="2" t="s">
        <v>78</v>
      </c>
      <c r="P214" s="3" t="s">
        <v>300</v>
      </c>
      <c r="Q214" s="2" t="s">
        <v>80</v>
      </c>
      <c r="R214" s="2" t="s">
        <v>254</v>
      </c>
      <c r="S214" s="2" t="s">
        <v>81</v>
      </c>
      <c r="T214" s="13">
        <v>11.933999999999999</v>
      </c>
      <c r="U214" s="2" t="s">
        <v>961</v>
      </c>
      <c r="V214" s="8">
        <v>3.6700000000000003E-2</v>
      </c>
      <c r="W214" s="8">
        <v>3.1629999999999998E-2</v>
      </c>
      <c r="X214" s="2" t="s">
        <v>256</v>
      </c>
      <c r="Y214" s="2" t="s">
        <v>78</v>
      </c>
      <c r="Z214" s="6">
        <v>4400000</v>
      </c>
      <c r="AA214" s="13">
        <v>1</v>
      </c>
      <c r="AB214" s="6">
        <v>109.54</v>
      </c>
      <c r="AC214" s="6">
        <v>83.16</v>
      </c>
      <c r="AD214" s="6">
        <v>4902.9160000000002</v>
      </c>
      <c r="AG214" s="2" t="s">
        <v>23</v>
      </c>
      <c r="AH214" s="8">
        <v>1.34E-3</v>
      </c>
      <c r="AI214" s="8">
        <v>1.48E-3</v>
      </c>
      <c r="AJ214" s="8">
        <v>1.2E-4</v>
      </c>
    </row>
    <row r="215" spans="1:36">
      <c r="A215" s="12">
        <v>1097</v>
      </c>
      <c r="B215" s="12">
        <v>1097</v>
      </c>
      <c r="C215" s="2" t="s">
        <v>962</v>
      </c>
      <c r="D215" s="3" t="s">
        <v>963</v>
      </c>
      <c r="E215" s="2" t="s">
        <v>245</v>
      </c>
      <c r="F215" s="2" t="s">
        <v>964</v>
      </c>
      <c r="G215" s="12" t="s">
        <v>965</v>
      </c>
      <c r="H215" s="2" t="s">
        <v>248</v>
      </c>
      <c r="I215" s="2" t="s">
        <v>249</v>
      </c>
      <c r="J215" s="2" t="s">
        <v>77</v>
      </c>
      <c r="K215" s="2" t="s">
        <v>77</v>
      </c>
      <c r="L215" s="2" t="s">
        <v>250</v>
      </c>
      <c r="M215" s="2" t="s">
        <v>130</v>
      </c>
      <c r="N215" s="2" t="s">
        <v>528</v>
      </c>
      <c r="O215" s="2" t="s">
        <v>78</v>
      </c>
      <c r="P215" s="3" t="s">
        <v>79</v>
      </c>
      <c r="Q215" s="2" t="s">
        <v>80</v>
      </c>
      <c r="R215" s="2" t="s">
        <v>254</v>
      </c>
      <c r="S215" s="2" t="s">
        <v>81</v>
      </c>
      <c r="T215" s="13">
        <v>3.1859999999999999</v>
      </c>
      <c r="U215" s="2" t="s">
        <v>966</v>
      </c>
      <c r="V215" s="8">
        <v>2.5000000000000001E-2</v>
      </c>
      <c r="W215" s="8">
        <v>4.3020000000000003E-2</v>
      </c>
      <c r="X215" s="2" t="s">
        <v>256</v>
      </c>
      <c r="Y215" s="2" t="s">
        <v>78</v>
      </c>
      <c r="Z215" s="6">
        <v>39200000.420000002</v>
      </c>
      <c r="AA215" s="13">
        <v>1</v>
      </c>
      <c r="AB215" s="6">
        <v>95.85</v>
      </c>
      <c r="AC215" s="6">
        <v>0</v>
      </c>
      <c r="AD215" s="6">
        <v>37573.199999999997</v>
      </c>
      <c r="AG215" s="2" t="s">
        <v>23</v>
      </c>
      <c r="AH215" s="8">
        <v>1.933E-2</v>
      </c>
      <c r="AI215" s="8">
        <v>1.1350000000000001E-2</v>
      </c>
      <c r="AJ215" s="8">
        <v>9.3000000000000005E-4</v>
      </c>
    </row>
    <row r="216" spans="1:36">
      <c r="A216" s="12">
        <v>1097</v>
      </c>
      <c r="B216" s="12">
        <v>1097</v>
      </c>
      <c r="C216" s="2" t="s">
        <v>962</v>
      </c>
      <c r="D216" s="3" t="s">
        <v>963</v>
      </c>
      <c r="E216" s="2" t="s">
        <v>245</v>
      </c>
      <c r="F216" s="2" t="s">
        <v>967</v>
      </c>
      <c r="G216" s="12" t="s">
        <v>968</v>
      </c>
      <c r="H216" s="2" t="s">
        <v>248</v>
      </c>
      <c r="I216" s="2" t="s">
        <v>261</v>
      </c>
      <c r="J216" s="2" t="s">
        <v>77</v>
      </c>
      <c r="K216" s="2" t="s">
        <v>77</v>
      </c>
      <c r="L216" s="2" t="s">
        <v>250</v>
      </c>
      <c r="M216" s="2" t="s">
        <v>130</v>
      </c>
      <c r="N216" s="2" t="s">
        <v>528</v>
      </c>
      <c r="O216" s="2" t="s">
        <v>78</v>
      </c>
      <c r="P216" s="3" t="s">
        <v>79</v>
      </c>
      <c r="Q216" s="2" t="s">
        <v>80</v>
      </c>
      <c r="R216" s="2" t="s">
        <v>254</v>
      </c>
      <c r="S216" s="2" t="s">
        <v>81</v>
      </c>
      <c r="T216" s="13">
        <v>3.339</v>
      </c>
      <c r="U216" s="2" t="s">
        <v>966</v>
      </c>
      <c r="V216" s="8">
        <v>1E-3</v>
      </c>
      <c r="W216" s="8">
        <v>2.5700000000000001E-2</v>
      </c>
      <c r="X216" s="2" t="s">
        <v>256</v>
      </c>
      <c r="Y216" s="2" t="s">
        <v>78</v>
      </c>
      <c r="Z216" s="6">
        <v>52133939.5</v>
      </c>
      <c r="AA216" s="13">
        <v>1</v>
      </c>
      <c r="AB216" s="6">
        <v>105.19</v>
      </c>
      <c r="AC216" s="6">
        <v>0</v>
      </c>
      <c r="AD216" s="6">
        <v>54839.690999999999</v>
      </c>
      <c r="AG216" s="2" t="s">
        <v>23</v>
      </c>
      <c r="AH216" s="8">
        <v>5.2970000000000003E-2</v>
      </c>
      <c r="AI216" s="8">
        <v>1.6570000000000001E-2</v>
      </c>
      <c r="AJ216" s="8">
        <v>1.3600000000000001E-3</v>
      </c>
    </row>
    <row r="217" spans="1:36">
      <c r="A217" s="12">
        <v>1097</v>
      </c>
      <c r="B217" s="12">
        <v>1097</v>
      </c>
      <c r="C217" s="2" t="s">
        <v>962</v>
      </c>
      <c r="D217" s="3" t="s">
        <v>963</v>
      </c>
      <c r="E217" s="2" t="s">
        <v>245</v>
      </c>
      <c r="F217" s="2" t="s">
        <v>969</v>
      </c>
      <c r="G217" s="12" t="s">
        <v>970</v>
      </c>
      <c r="H217" s="2" t="s">
        <v>248</v>
      </c>
      <c r="I217" s="2" t="s">
        <v>261</v>
      </c>
      <c r="J217" s="2" t="s">
        <v>77</v>
      </c>
      <c r="K217" s="2" t="s">
        <v>77</v>
      </c>
      <c r="L217" s="2" t="s">
        <v>250</v>
      </c>
      <c r="M217" s="2" t="s">
        <v>130</v>
      </c>
      <c r="N217" s="2" t="s">
        <v>528</v>
      </c>
      <c r="O217" s="2" t="s">
        <v>78</v>
      </c>
      <c r="P217" s="3" t="s">
        <v>79</v>
      </c>
      <c r="Q217" s="2" t="s">
        <v>80</v>
      </c>
      <c r="R217" s="2" t="s">
        <v>254</v>
      </c>
      <c r="S217" s="2" t="s">
        <v>81</v>
      </c>
      <c r="T217" s="13">
        <v>3.718</v>
      </c>
      <c r="U217" s="2" t="s">
        <v>971</v>
      </c>
      <c r="V217" s="8">
        <v>1.3899999999999999E-2</v>
      </c>
      <c r="W217" s="8">
        <v>2.5080000000000002E-2</v>
      </c>
      <c r="X217" s="2" t="s">
        <v>256</v>
      </c>
      <c r="Y217" s="2" t="s">
        <v>78</v>
      </c>
      <c r="Z217" s="6">
        <v>4595200.05</v>
      </c>
      <c r="AA217" s="13">
        <v>1</v>
      </c>
      <c r="AB217" s="6">
        <v>105.13</v>
      </c>
      <c r="AC217" s="6">
        <v>0</v>
      </c>
      <c r="AD217" s="6">
        <v>4830.9340000000002</v>
      </c>
      <c r="AG217" s="2" t="s">
        <v>23</v>
      </c>
      <c r="AH217" s="8">
        <v>2.8700000000000002E-3</v>
      </c>
      <c r="AI217" s="8">
        <v>1.4599999999999999E-3</v>
      </c>
      <c r="AJ217" s="8">
        <v>1.2E-4</v>
      </c>
    </row>
    <row r="218" spans="1:36">
      <c r="A218" s="12">
        <v>1097</v>
      </c>
      <c r="B218" s="12">
        <v>1097</v>
      </c>
      <c r="C218" s="2" t="s">
        <v>962</v>
      </c>
      <c r="D218" s="3" t="s">
        <v>963</v>
      </c>
      <c r="E218" s="2" t="s">
        <v>245</v>
      </c>
      <c r="F218" s="2" t="s">
        <v>972</v>
      </c>
      <c r="G218" s="12" t="s">
        <v>973</v>
      </c>
      <c r="H218" s="2" t="s">
        <v>248</v>
      </c>
      <c r="I218" s="2" t="s">
        <v>261</v>
      </c>
      <c r="J218" s="2" t="s">
        <v>77</v>
      </c>
      <c r="K218" s="2" t="s">
        <v>77</v>
      </c>
      <c r="L218" s="2" t="s">
        <v>250</v>
      </c>
      <c r="M218" s="2" t="s">
        <v>130</v>
      </c>
      <c r="N218" s="2" t="s">
        <v>528</v>
      </c>
      <c r="O218" s="2" t="s">
        <v>78</v>
      </c>
      <c r="P218" s="3" t="s">
        <v>79</v>
      </c>
      <c r="Q218" s="2" t="s">
        <v>80</v>
      </c>
      <c r="R218" s="2" t="s">
        <v>254</v>
      </c>
      <c r="S218" s="2" t="s">
        <v>81</v>
      </c>
      <c r="T218" s="13">
        <v>1.8109999999999999</v>
      </c>
      <c r="U218" s="2" t="s">
        <v>974</v>
      </c>
      <c r="V218" s="8">
        <v>6.0000000000000001E-3</v>
      </c>
      <c r="W218" s="8">
        <v>2.469E-2</v>
      </c>
      <c r="X218" s="2" t="s">
        <v>256</v>
      </c>
      <c r="Y218" s="2" t="s">
        <v>78</v>
      </c>
      <c r="Z218" s="6">
        <v>1525714.3</v>
      </c>
      <c r="AA218" s="13">
        <v>1</v>
      </c>
      <c r="AB218" s="6">
        <v>114.32</v>
      </c>
      <c r="AC218" s="6">
        <v>0</v>
      </c>
      <c r="AD218" s="6">
        <v>1744.1969999999999</v>
      </c>
      <c r="AG218" s="2" t="s">
        <v>23</v>
      </c>
      <c r="AH218" s="8">
        <v>2.2899999999999999E-3</v>
      </c>
      <c r="AI218" s="8">
        <v>5.2999999999999998E-4</v>
      </c>
      <c r="AJ218" s="8">
        <v>4.0000000000000003E-5</v>
      </c>
    </row>
    <row r="219" spans="1:36">
      <c r="A219" s="12">
        <v>1097</v>
      </c>
      <c r="B219" s="12">
        <v>1097</v>
      </c>
      <c r="C219" s="2" t="s">
        <v>962</v>
      </c>
      <c r="D219" s="3" t="s">
        <v>963</v>
      </c>
      <c r="E219" s="2" t="s">
        <v>245</v>
      </c>
      <c r="F219" s="2" t="s">
        <v>975</v>
      </c>
      <c r="G219" s="12" t="s">
        <v>976</v>
      </c>
      <c r="H219" s="2" t="s">
        <v>248</v>
      </c>
      <c r="I219" s="2" t="s">
        <v>261</v>
      </c>
      <c r="J219" s="2" t="s">
        <v>77</v>
      </c>
      <c r="K219" s="2" t="s">
        <v>77</v>
      </c>
      <c r="L219" s="2" t="s">
        <v>250</v>
      </c>
      <c r="M219" s="2" t="s">
        <v>130</v>
      </c>
      <c r="N219" s="2" t="s">
        <v>528</v>
      </c>
      <c r="O219" s="2" t="s">
        <v>78</v>
      </c>
      <c r="P219" s="3" t="s">
        <v>79</v>
      </c>
      <c r="Q219" s="2" t="s">
        <v>80</v>
      </c>
      <c r="R219" s="2" t="s">
        <v>254</v>
      </c>
      <c r="S219" s="2" t="s">
        <v>81</v>
      </c>
      <c r="T219" s="13">
        <v>2.8079999999999998</v>
      </c>
      <c r="U219" s="2" t="s">
        <v>977</v>
      </c>
      <c r="V219" s="8">
        <v>1.7500000000000002E-2</v>
      </c>
      <c r="W219" s="8">
        <v>2.443E-2</v>
      </c>
      <c r="X219" s="2" t="s">
        <v>256</v>
      </c>
      <c r="Y219" s="2" t="s">
        <v>78</v>
      </c>
      <c r="Z219" s="6">
        <v>32757004.25</v>
      </c>
      <c r="AA219" s="13">
        <v>1</v>
      </c>
      <c r="AB219" s="6">
        <v>115.29</v>
      </c>
      <c r="AC219" s="6">
        <v>0</v>
      </c>
      <c r="AD219" s="6">
        <v>37765.550000000003</v>
      </c>
      <c r="AG219" s="2" t="s">
        <v>23</v>
      </c>
      <c r="AH219" s="8">
        <v>1.469E-2</v>
      </c>
      <c r="AI219" s="8">
        <v>1.141E-2</v>
      </c>
      <c r="AJ219" s="8">
        <v>9.3999999999999997E-4</v>
      </c>
    </row>
    <row r="220" spans="1:36">
      <c r="A220" s="12">
        <v>1097</v>
      </c>
      <c r="B220" s="12">
        <v>1097</v>
      </c>
      <c r="C220" s="2" t="s">
        <v>962</v>
      </c>
      <c r="D220" s="3" t="s">
        <v>963</v>
      </c>
      <c r="E220" s="2" t="s">
        <v>245</v>
      </c>
      <c r="F220" s="2" t="s">
        <v>978</v>
      </c>
      <c r="G220" s="12" t="s">
        <v>979</v>
      </c>
      <c r="H220" s="2" t="s">
        <v>248</v>
      </c>
      <c r="I220" s="2" t="s">
        <v>261</v>
      </c>
      <c r="J220" s="2" t="s">
        <v>77</v>
      </c>
      <c r="K220" s="2" t="s">
        <v>77</v>
      </c>
      <c r="L220" s="2" t="s">
        <v>250</v>
      </c>
      <c r="M220" s="2" t="s">
        <v>130</v>
      </c>
      <c r="N220" s="2" t="s">
        <v>528</v>
      </c>
      <c r="O220" s="2" t="s">
        <v>78</v>
      </c>
      <c r="P220" s="3" t="s">
        <v>277</v>
      </c>
      <c r="Q220" s="2" t="s">
        <v>80</v>
      </c>
      <c r="R220" s="2" t="s">
        <v>254</v>
      </c>
      <c r="S220" s="2" t="s">
        <v>81</v>
      </c>
      <c r="T220" s="13">
        <v>6.56</v>
      </c>
      <c r="U220" s="2" t="s">
        <v>980</v>
      </c>
      <c r="V220" s="8">
        <v>3.4500000000000003E-2</v>
      </c>
      <c r="W220" s="8">
        <v>2.903E-2</v>
      </c>
      <c r="X220" s="2" t="s">
        <v>256</v>
      </c>
      <c r="Y220" s="2" t="s">
        <v>78</v>
      </c>
      <c r="Z220" s="6">
        <v>6980000</v>
      </c>
      <c r="AA220" s="13">
        <v>1</v>
      </c>
      <c r="AB220" s="6">
        <v>106.85</v>
      </c>
      <c r="AC220" s="6">
        <v>0</v>
      </c>
      <c r="AD220" s="6">
        <v>7458.13</v>
      </c>
      <c r="AG220" s="2" t="s">
        <v>23</v>
      </c>
      <c r="AH220" s="8">
        <v>4.7400000000000003E-3</v>
      </c>
      <c r="AI220" s="8">
        <v>2.2499999999999998E-3</v>
      </c>
      <c r="AJ220" s="8">
        <v>1.9000000000000001E-4</v>
      </c>
    </row>
    <row r="221" spans="1:36">
      <c r="A221" s="12">
        <v>1097</v>
      </c>
      <c r="B221" s="12">
        <v>1097</v>
      </c>
      <c r="C221" s="2" t="s">
        <v>962</v>
      </c>
      <c r="D221" s="3" t="s">
        <v>963</v>
      </c>
      <c r="E221" s="2" t="s">
        <v>245</v>
      </c>
      <c r="F221" s="2" t="s">
        <v>981</v>
      </c>
      <c r="G221" s="12" t="s">
        <v>982</v>
      </c>
      <c r="H221" s="2" t="s">
        <v>248</v>
      </c>
      <c r="I221" s="2" t="s">
        <v>261</v>
      </c>
      <c r="J221" s="2" t="s">
        <v>77</v>
      </c>
      <c r="K221" s="2" t="s">
        <v>77</v>
      </c>
      <c r="L221" s="2" t="s">
        <v>250</v>
      </c>
      <c r="M221" s="2" t="s">
        <v>130</v>
      </c>
      <c r="N221" s="2" t="s">
        <v>528</v>
      </c>
      <c r="O221" s="2" t="s">
        <v>78</v>
      </c>
      <c r="P221" s="3" t="s">
        <v>277</v>
      </c>
      <c r="Q221" s="2" t="s">
        <v>80</v>
      </c>
      <c r="R221" s="2" t="s">
        <v>254</v>
      </c>
      <c r="S221" s="2" t="s">
        <v>81</v>
      </c>
      <c r="T221" s="13">
        <v>2.6779999999999999</v>
      </c>
      <c r="U221" s="2" t="s">
        <v>983</v>
      </c>
      <c r="V221" s="8">
        <v>8.3999999999999995E-3</v>
      </c>
      <c r="W221" s="8">
        <v>2.9669999999999998E-2</v>
      </c>
      <c r="X221" s="2" t="s">
        <v>629</v>
      </c>
      <c r="Y221" s="2" t="s">
        <v>78</v>
      </c>
      <c r="Z221" s="6">
        <v>3800000</v>
      </c>
      <c r="AA221" s="13">
        <v>1</v>
      </c>
      <c r="AB221" s="6">
        <v>107.82</v>
      </c>
      <c r="AC221" s="6">
        <v>0</v>
      </c>
      <c r="AD221" s="6">
        <v>4097.16</v>
      </c>
      <c r="AG221" s="2" t="s">
        <v>23</v>
      </c>
      <c r="AH221" s="8">
        <v>9.5600000000000008E-3</v>
      </c>
      <c r="AI221" s="8">
        <v>1.24E-3</v>
      </c>
      <c r="AJ221" s="8">
        <v>1E-4</v>
      </c>
    </row>
    <row r="222" spans="1:36">
      <c r="A222" s="12">
        <v>1097</v>
      </c>
      <c r="B222" s="12">
        <v>1097</v>
      </c>
      <c r="C222" s="2" t="s">
        <v>962</v>
      </c>
      <c r="D222" s="3" t="s">
        <v>963</v>
      </c>
      <c r="E222" s="2" t="s">
        <v>245</v>
      </c>
      <c r="F222" s="2" t="s">
        <v>984</v>
      </c>
      <c r="G222" s="12" t="s">
        <v>985</v>
      </c>
      <c r="H222" s="2" t="s">
        <v>248</v>
      </c>
      <c r="I222" s="2" t="s">
        <v>261</v>
      </c>
      <c r="J222" s="2" t="s">
        <v>77</v>
      </c>
      <c r="K222" s="2" t="s">
        <v>77</v>
      </c>
      <c r="L222" s="2" t="s">
        <v>250</v>
      </c>
      <c r="M222" s="2" t="s">
        <v>130</v>
      </c>
      <c r="N222" s="2" t="s">
        <v>528</v>
      </c>
      <c r="O222" s="2" t="s">
        <v>78</v>
      </c>
      <c r="P222" s="3" t="s">
        <v>277</v>
      </c>
      <c r="Q222" s="2" t="s">
        <v>80</v>
      </c>
      <c r="R222" s="2" t="s">
        <v>254</v>
      </c>
      <c r="S222" s="2" t="s">
        <v>81</v>
      </c>
      <c r="T222" s="13">
        <v>3.24</v>
      </c>
      <c r="U222" s="2" t="s">
        <v>986</v>
      </c>
      <c r="V222" s="8">
        <v>3.09E-2</v>
      </c>
      <c r="W222" s="8">
        <v>2.9850000000000002E-2</v>
      </c>
      <c r="X222" s="2" t="s">
        <v>629</v>
      </c>
      <c r="Y222" s="2" t="s">
        <v>78</v>
      </c>
      <c r="Z222" s="6">
        <v>5450000</v>
      </c>
      <c r="AA222" s="13">
        <v>1</v>
      </c>
      <c r="AB222" s="6">
        <v>110.98</v>
      </c>
      <c r="AC222" s="6">
        <v>0</v>
      </c>
      <c r="AD222" s="6">
        <v>6048.41</v>
      </c>
      <c r="AG222" s="2" t="s">
        <v>23</v>
      </c>
      <c r="AH222" s="8">
        <v>5.7400000000000003E-3</v>
      </c>
      <c r="AI222" s="8">
        <v>1.83E-3</v>
      </c>
      <c r="AJ222" s="8">
        <v>1.4999999999999999E-4</v>
      </c>
    </row>
    <row r="223" spans="1:36">
      <c r="A223" s="12">
        <v>1097</v>
      </c>
      <c r="B223" s="12">
        <v>1097</v>
      </c>
      <c r="C223" s="2" t="s">
        <v>987</v>
      </c>
      <c r="D223" s="3" t="s">
        <v>988</v>
      </c>
      <c r="E223" s="2" t="s">
        <v>245</v>
      </c>
      <c r="F223" s="2" t="s">
        <v>989</v>
      </c>
      <c r="G223" s="12" t="s">
        <v>990</v>
      </c>
      <c r="H223" s="2" t="s">
        <v>248</v>
      </c>
      <c r="I223" s="2" t="s">
        <v>261</v>
      </c>
      <c r="J223" s="2" t="s">
        <v>77</v>
      </c>
      <c r="K223" s="2" t="s">
        <v>77</v>
      </c>
      <c r="L223" s="2" t="s">
        <v>250</v>
      </c>
      <c r="M223" s="2" t="s">
        <v>130</v>
      </c>
      <c r="N223" s="2" t="s">
        <v>373</v>
      </c>
      <c r="O223" s="2" t="s">
        <v>78</v>
      </c>
      <c r="P223" s="3" t="s">
        <v>277</v>
      </c>
      <c r="Q223" s="2" t="s">
        <v>80</v>
      </c>
      <c r="R223" s="2" t="s">
        <v>254</v>
      </c>
      <c r="S223" s="2" t="s">
        <v>81</v>
      </c>
      <c r="T223" s="13">
        <v>2.8559999999999999</v>
      </c>
      <c r="U223" s="2" t="s">
        <v>991</v>
      </c>
      <c r="V223" s="8">
        <v>1.23E-2</v>
      </c>
      <c r="W223" s="8">
        <v>2.7619999999999999E-2</v>
      </c>
      <c r="X223" s="2" t="s">
        <v>256</v>
      </c>
      <c r="Y223" s="2" t="s">
        <v>78</v>
      </c>
      <c r="Z223" s="6">
        <v>6560724.7300000004</v>
      </c>
      <c r="AA223" s="13">
        <v>1</v>
      </c>
      <c r="AB223" s="6">
        <v>112.88</v>
      </c>
      <c r="AC223" s="6">
        <v>0</v>
      </c>
      <c r="AD223" s="6">
        <v>7405.7460000000001</v>
      </c>
      <c r="AG223" s="2" t="s">
        <v>23</v>
      </c>
      <c r="AH223" s="8">
        <v>6.8500000000000002E-3</v>
      </c>
      <c r="AI223" s="8">
        <v>2.2399999999999998E-3</v>
      </c>
      <c r="AJ223" s="8">
        <v>1.8000000000000001E-4</v>
      </c>
    </row>
    <row r="224" spans="1:36">
      <c r="A224" s="12">
        <v>1097</v>
      </c>
      <c r="B224" s="12">
        <v>1097</v>
      </c>
      <c r="C224" s="2" t="s">
        <v>987</v>
      </c>
      <c r="D224" s="3" t="s">
        <v>988</v>
      </c>
      <c r="E224" s="2" t="s">
        <v>245</v>
      </c>
      <c r="F224" s="2" t="s">
        <v>992</v>
      </c>
      <c r="G224" s="12" t="s">
        <v>993</v>
      </c>
      <c r="H224" s="2" t="s">
        <v>248</v>
      </c>
      <c r="I224" s="2" t="s">
        <v>249</v>
      </c>
      <c r="J224" s="2" t="s">
        <v>77</v>
      </c>
      <c r="K224" s="2" t="s">
        <v>77</v>
      </c>
      <c r="L224" s="2" t="s">
        <v>250</v>
      </c>
      <c r="M224" s="2" t="s">
        <v>130</v>
      </c>
      <c r="N224" s="2" t="s">
        <v>373</v>
      </c>
      <c r="O224" s="2" t="s">
        <v>78</v>
      </c>
      <c r="P224" s="3" t="s">
        <v>277</v>
      </c>
      <c r="Q224" s="2" t="s">
        <v>80</v>
      </c>
      <c r="R224" s="2" t="s">
        <v>254</v>
      </c>
      <c r="S224" s="2" t="s">
        <v>81</v>
      </c>
      <c r="T224" s="13">
        <v>3.1640000000000001</v>
      </c>
      <c r="U224" s="2" t="s">
        <v>175</v>
      </c>
      <c r="V224" s="8">
        <v>2.4299999999999999E-2</v>
      </c>
      <c r="W224" s="8">
        <v>4.6589999999999999E-2</v>
      </c>
      <c r="X224" s="2" t="s">
        <v>256</v>
      </c>
      <c r="Y224" s="2" t="s">
        <v>78</v>
      </c>
      <c r="Z224" s="6">
        <v>98733818</v>
      </c>
      <c r="AA224" s="13">
        <v>1</v>
      </c>
      <c r="AB224" s="6">
        <v>93.56</v>
      </c>
      <c r="AC224" s="6">
        <v>0</v>
      </c>
      <c r="AD224" s="6">
        <v>92375.360000000001</v>
      </c>
      <c r="AG224" s="2" t="s">
        <v>23</v>
      </c>
      <c r="AH224" s="8">
        <v>6.7409999999999998E-2</v>
      </c>
      <c r="AI224" s="8">
        <v>2.7910000000000001E-2</v>
      </c>
      <c r="AJ224" s="8">
        <v>2.2899999999999999E-3</v>
      </c>
    </row>
    <row r="225" spans="1:36">
      <c r="A225" s="12">
        <v>1097</v>
      </c>
      <c r="B225" s="12">
        <v>1097</v>
      </c>
      <c r="C225" s="2" t="s">
        <v>987</v>
      </c>
      <c r="D225" s="3" t="s">
        <v>988</v>
      </c>
      <c r="E225" s="2" t="s">
        <v>245</v>
      </c>
      <c r="F225" s="2" t="s">
        <v>994</v>
      </c>
      <c r="G225" s="12" t="s">
        <v>993</v>
      </c>
      <c r="H225" s="2" t="s">
        <v>248</v>
      </c>
      <c r="I225" s="2" t="s">
        <v>249</v>
      </c>
      <c r="J225" s="2" t="s">
        <v>77</v>
      </c>
      <c r="K225" s="2" t="s">
        <v>77</v>
      </c>
      <c r="L225" s="2" t="s">
        <v>353</v>
      </c>
      <c r="M225" s="2" t="s">
        <v>130</v>
      </c>
      <c r="N225" s="2" t="s">
        <v>373</v>
      </c>
      <c r="O225" s="2" t="s">
        <v>78</v>
      </c>
      <c r="P225" s="3" t="s">
        <v>277</v>
      </c>
      <c r="Q225" s="2" t="s">
        <v>80</v>
      </c>
      <c r="R225" s="2" t="s">
        <v>254</v>
      </c>
      <c r="S225" s="2" t="s">
        <v>81</v>
      </c>
      <c r="T225" s="13">
        <v>3.1640000000000001</v>
      </c>
      <c r="U225" s="2" t="s">
        <v>175</v>
      </c>
      <c r="V225" s="8">
        <v>2.4299999999999999E-2</v>
      </c>
      <c r="W225" s="8">
        <v>4.6589999999999999E-2</v>
      </c>
      <c r="X225" s="2" t="s">
        <v>256</v>
      </c>
      <c r="Y225" s="2" t="s">
        <v>78</v>
      </c>
      <c r="Z225" s="6">
        <v>266182</v>
      </c>
      <c r="AA225" s="13">
        <v>1</v>
      </c>
      <c r="AB225" s="6">
        <v>93.56</v>
      </c>
      <c r="AC225" s="6">
        <v>0</v>
      </c>
      <c r="AD225" s="6">
        <v>249.04</v>
      </c>
      <c r="AG225" s="2" t="s">
        <v>23</v>
      </c>
      <c r="AH225" s="8">
        <v>1.8000000000000001E-4</v>
      </c>
      <c r="AI225" s="8">
        <v>8.0000000000000007E-5</v>
      </c>
      <c r="AJ225" s="8">
        <v>1.0000000000000001E-5</v>
      </c>
    </row>
    <row r="226" spans="1:36">
      <c r="A226" s="12">
        <v>1097</v>
      </c>
      <c r="B226" s="12">
        <v>1097</v>
      </c>
      <c r="C226" s="2" t="s">
        <v>987</v>
      </c>
      <c r="D226" s="3" t="s">
        <v>988</v>
      </c>
      <c r="E226" s="2" t="s">
        <v>245</v>
      </c>
      <c r="F226" s="2" t="s">
        <v>995</v>
      </c>
      <c r="G226" s="12" t="s">
        <v>996</v>
      </c>
      <c r="H226" s="2" t="s">
        <v>248</v>
      </c>
      <c r="I226" s="2" t="s">
        <v>249</v>
      </c>
      <c r="J226" s="2" t="s">
        <v>77</v>
      </c>
      <c r="K226" s="2" t="s">
        <v>77</v>
      </c>
      <c r="L226" s="2" t="s">
        <v>250</v>
      </c>
      <c r="M226" s="2" t="s">
        <v>130</v>
      </c>
      <c r="N226" s="2" t="s">
        <v>373</v>
      </c>
      <c r="O226" s="2" t="s">
        <v>78</v>
      </c>
      <c r="P226" s="3" t="s">
        <v>277</v>
      </c>
      <c r="Q226" s="2" t="s">
        <v>80</v>
      </c>
      <c r="R226" s="2" t="s">
        <v>254</v>
      </c>
      <c r="S226" s="2" t="s">
        <v>81</v>
      </c>
      <c r="T226" s="13">
        <v>6.2910000000000004</v>
      </c>
      <c r="U226" s="2" t="s">
        <v>997</v>
      </c>
      <c r="V226" s="8">
        <v>5.8599999999999999E-2</v>
      </c>
      <c r="W226" s="8">
        <v>4.8500000000000001E-2</v>
      </c>
      <c r="X226" s="2" t="s">
        <v>256</v>
      </c>
      <c r="Y226" s="2" t="s">
        <v>78</v>
      </c>
      <c r="Z226" s="6">
        <v>4000000</v>
      </c>
      <c r="AA226" s="13">
        <v>1</v>
      </c>
      <c r="AB226" s="6">
        <v>107.25</v>
      </c>
      <c r="AC226" s="6">
        <v>0</v>
      </c>
      <c r="AD226" s="6">
        <v>4290</v>
      </c>
      <c r="AG226" s="2" t="s">
        <v>23</v>
      </c>
      <c r="AH226" s="8">
        <v>2.0049999999999998E-2</v>
      </c>
      <c r="AI226" s="8">
        <v>1.2999999999999999E-3</v>
      </c>
      <c r="AJ226" s="8">
        <v>1.1E-4</v>
      </c>
    </row>
    <row r="227" spans="1:36">
      <c r="A227" s="12">
        <v>1097</v>
      </c>
      <c r="B227" s="12">
        <v>1097</v>
      </c>
      <c r="C227" s="2" t="s">
        <v>998</v>
      </c>
      <c r="D227" s="3" t="s">
        <v>999</v>
      </c>
      <c r="E227" s="2" t="s">
        <v>245</v>
      </c>
      <c r="F227" s="2" t="s">
        <v>1000</v>
      </c>
      <c r="G227" s="12" t="s">
        <v>1001</v>
      </c>
      <c r="H227" s="2" t="s">
        <v>248</v>
      </c>
      <c r="I227" s="2" t="s">
        <v>249</v>
      </c>
      <c r="J227" s="2" t="s">
        <v>77</v>
      </c>
      <c r="K227" s="2" t="s">
        <v>77</v>
      </c>
      <c r="L227" s="2" t="s">
        <v>250</v>
      </c>
      <c r="M227" s="2" t="s">
        <v>130</v>
      </c>
      <c r="N227" s="2" t="s">
        <v>481</v>
      </c>
      <c r="O227" s="2" t="s">
        <v>78</v>
      </c>
      <c r="P227" s="3" t="s">
        <v>277</v>
      </c>
      <c r="Q227" s="2" t="s">
        <v>80</v>
      </c>
      <c r="R227" s="2" t="s">
        <v>254</v>
      </c>
      <c r="S227" s="2" t="s">
        <v>81</v>
      </c>
      <c r="T227" s="13">
        <v>3.5750000000000002</v>
      </c>
      <c r="U227" s="2" t="s">
        <v>1002</v>
      </c>
      <c r="V227" s="8">
        <v>2.0799999999999999E-2</v>
      </c>
      <c r="W227" s="8">
        <v>4.4110000000000003E-2</v>
      </c>
      <c r="X227" s="2" t="s">
        <v>256</v>
      </c>
      <c r="Y227" s="2" t="s">
        <v>78</v>
      </c>
      <c r="Z227" s="6">
        <v>656000</v>
      </c>
      <c r="AA227" s="13">
        <v>1</v>
      </c>
      <c r="AB227" s="6">
        <v>92.23</v>
      </c>
      <c r="AC227" s="6">
        <v>0</v>
      </c>
      <c r="AD227" s="6">
        <v>605.029</v>
      </c>
      <c r="AG227" s="2" t="s">
        <v>23</v>
      </c>
      <c r="AH227" s="8">
        <v>4.13E-3</v>
      </c>
      <c r="AI227" s="8">
        <v>1.8000000000000001E-4</v>
      </c>
      <c r="AJ227" s="8">
        <v>2.0000000000000002E-5</v>
      </c>
    </row>
    <row r="228" spans="1:36">
      <c r="A228" s="12">
        <v>1097</v>
      </c>
      <c r="B228" s="12">
        <v>1097</v>
      </c>
      <c r="C228" s="2" t="s">
        <v>1003</v>
      </c>
      <c r="D228" s="3" t="s">
        <v>1004</v>
      </c>
      <c r="E228" s="2" t="s">
        <v>245</v>
      </c>
      <c r="F228" s="2" t="s">
        <v>1005</v>
      </c>
      <c r="G228" s="12" t="s">
        <v>1006</v>
      </c>
      <c r="H228" s="2" t="s">
        <v>248</v>
      </c>
      <c r="I228" s="2" t="s">
        <v>261</v>
      </c>
      <c r="J228" s="2" t="s">
        <v>77</v>
      </c>
      <c r="K228" s="2" t="s">
        <v>77</v>
      </c>
      <c r="L228" s="2" t="s">
        <v>250</v>
      </c>
      <c r="M228" s="2" t="s">
        <v>130</v>
      </c>
      <c r="N228" s="2" t="s">
        <v>1007</v>
      </c>
      <c r="O228" s="2" t="s">
        <v>78</v>
      </c>
      <c r="P228" s="3" t="s">
        <v>252</v>
      </c>
      <c r="Q228" s="2" t="s">
        <v>253</v>
      </c>
      <c r="R228" s="2" t="s">
        <v>254</v>
      </c>
      <c r="S228" s="2" t="s">
        <v>81</v>
      </c>
      <c r="T228" s="13">
        <v>3.411</v>
      </c>
      <c r="U228" s="2" t="s">
        <v>954</v>
      </c>
      <c r="V228" s="8">
        <v>3.2500000000000001E-2</v>
      </c>
      <c r="W228" s="8">
        <v>3.0790000000000001E-2</v>
      </c>
      <c r="X228" s="2" t="s">
        <v>256</v>
      </c>
      <c r="Y228" s="2" t="s">
        <v>78</v>
      </c>
      <c r="Z228" s="6">
        <v>1245311.83</v>
      </c>
      <c r="AA228" s="13">
        <v>1</v>
      </c>
      <c r="AB228" s="6">
        <v>111.12</v>
      </c>
      <c r="AC228" s="6">
        <v>0</v>
      </c>
      <c r="AD228" s="6">
        <v>1383.7909999999999</v>
      </c>
      <c r="AG228" s="2" t="s">
        <v>23</v>
      </c>
      <c r="AH228" s="8">
        <v>3.4299999999999999E-3</v>
      </c>
      <c r="AI228" s="8">
        <v>4.2000000000000002E-4</v>
      </c>
      <c r="AJ228" s="8">
        <v>3.0000000000000001E-5</v>
      </c>
    </row>
    <row r="229" spans="1:36">
      <c r="A229" s="12">
        <v>1097</v>
      </c>
      <c r="B229" s="12">
        <v>1097</v>
      </c>
      <c r="C229" s="2" t="s">
        <v>1003</v>
      </c>
      <c r="D229" s="3" t="s">
        <v>1004</v>
      </c>
      <c r="E229" s="2" t="s">
        <v>245</v>
      </c>
      <c r="F229" s="2" t="s">
        <v>1008</v>
      </c>
      <c r="G229" s="12" t="s">
        <v>1009</v>
      </c>
      <c r="H229" s="2" t="s">
        <v>248</v>
      </c>
      <c r="I229" s="2" t="s">
        <v>249</v>
      </c>
      <c r="J229" s="2" t="s">
        <v>77</v>
      </c>
      <c r="K229" s="2" t="s">
        <v>77</v>
      </c>
      <c r="L229" s="2" t="s">
        <v>250</v>
      </c>
      <c r="M229" s="2" t="s">
        <v>130</v>
      </c>
      <c r="N229" s="2" t="s">
        <v>1007</v>
      </c>
      <c r="O229" s="2" t="s">
        <v>78</v>
      </c>
      <c r="P229" s="3" t="s">
        <v>252</v>
      </c>
      <c r="Q229" s="2" t="s">
        <v>253</v>
      </c>
      <c r="R229" s="2" t="s">
        <v>254</v>
      </c>
      <c r="S229" s="2" t="s">
        <v>81</v>
      </c>
      <c r="T229" s="13">
        <v>3.8879999999999999</v>
      </c>
      <c r="U229" s="2" t="s">
        <v>1010</v>
      </c>
      <c r="V229" s="8">
        <v>6.3299999999999995E-2</v>
      </c>
      <c r="W229" s="8">
        <v>5.2519999999999997E-2</v>
      </c>
      <c r="X229" s="2" t="s">
        <v>256</v>
      </c>
      <c r="Y229" s="2" t="s">
        <v>78</v>
      </c>
      <c r="Z229" s="6">
        <v>2980149</v>
      </c>
      <c r="AA229" s="13">
        <v>1</v>
      </c>
      <c r="AB229" s="6">
        <v>106.58</v>
      </c>
      <c r="AC229" s="6">
        <v>0</v>
      </c>
      <c r="AD229" s="6">
        <v>3176.2429999999999</v>
      </c>
      <c r="AG229" s="2" t="s">
        <v>23</v>
      </c>
      <c r="AH229" s="8">
        <v>6.5199999999999998E-3</v>
      </c>
      <c r="AI229" s="8">
        <v>9.6000000000000002E-4</v>
      </c>
      <c r="AJ229" s="8">
        <v>8.0000000000000007E-5</v>
      </c>
    </row>
    <row r="230" spans="1:36">
      <c r="A230" s="12">
        <v>1097</v>
      </c>
      <c r="B230" s="12">
        <v>1097</v>
      </c>
      <c r="C230" s="2" t="s">
        <v>1011</v>
      </c>
      <c r="D230" s="3" t="s">
        <v>1012</v>
      </c>
      <c r="E230" s="2" t="s">
        <v>245</v>
      </c>
      <c r="F230" s="2" t="s">
        <v>1013</v>
      </c>
      <c r="G230" s="12" t="s">
        <v>1014</v>
      </c>
      <c r="H230" s="2" t="s">
        <v>248</v>
      </c>
      <c r="I230" s="2" t="s">
        <v>261</v>
      </c>
      <c r="J230" s="2" t="s">
        <v>77</v>
      </c>
      <c r="K230" s="2" t="s">
        <v>77</v>
      </c>
      <c r="L230" s="2" t="s">
        <v>250</v>
      </c>
      <c r="M230" s="2" t="s">
        <v>130</v>
      </c>
      <c r="N230" s="2" t="s">
        <v>337</v>
      </c>
      <c r="O230" s="2" t="s">
        <v>78</v>
      </c>
      <c r="P230" s="3" t="s">
        <v>306</v>
      </c>
      <c r="Q230" s="2" t="s">
        <v>80</v>
      </c>
      <c r="R230" s="2" t="s">
        <v>254</v>
      </c>
      <c r="S230" s="2" t="s">
        <v>81</v>
      </c>
      <c r="T230" s="13">
        <v>3.6709999999999998</v>
      </c>
      <c r="U230" s="2" t="s">
        <v>634</v>
      </c>
      <c r="V230" s="8">
        <v>7.4999999999999997E-3</v>
      </c>
      <c r="W230" s="8">
        <v>3.0849999999999999E-2</v>
      </c>
      <c r="X230" s="2" t="s">
        <v>256</v>
      </c>
      <c r="Y230" s="2" t="s">
        <v>78</v>
      </c>
      <c r="Z230" s="6">
        <v>2887499.9</v>
      </c>
      <c r="AA230" s="13">
        <v>1</v>
      </c>
      <c r="AB230" s="6">
        <v>104.87</v>
      </c>
      <c r="AC230" s="6">
        <v>0</v>
      </c>
      <c r="AD230" s="6">
        <v>3028.1210000000001</v>
      </c>
      <c r="AG230" s="2" t="s">
        <v>23</v>
      </c>
      <c r="AH230" s="8">
        <v>4.9300000000000004E-3</v>
      </c>
      <c r="AI230" s="8">
        <v>9.1E-4</v>
      </c>
      <c r="AJ230" s="8">
        <v>8.0000000000000007E-5</v>
      </c>
    </row>
    <row r="231" spans="1:36">
      <c r="A231" s="12">
        <v>1097</v>
      </c>
      <c r="B231" s="12">
        <v>1097</v>
      </c>
      <c r="C231" s="2" t="s">
        <v>1015</v>
      </c>
      <c r="D231" s="3" t="s">
        <v>1016</v>
      </c>
      <c r="E231" s="2" t="s">
        <v>245</v>
      </c>
      <c r="F231" s="2" t="s">
        <v>1017</v>
      </c>
      <c r="G231" s="12" t="s">
        <v>1018</v>
      </c>
      <c r="H231" s="2" t="s">
        <v>248</v>
      </c>
      <c r="I231" s="2" t="s">
        <v>249</v>
      </c>
      <c r="J231" s="2" t="s">
        <v>77</v>
      </c>
      <c r="K231" s="2" t="s">
        <v>77</v>
      </c>
      <c r="L231" s="2" t="s">
        <v>250</v>
      </c>
      <c r="M231" s="2" t="s">
        <v>130</v>
      </c>
      <c r="N231" s="2" t="s">
        <v>251</v>
      </c>
      <c r="O231" s="2" t="s">
        <v>78</v>
      </c>
      <c r="P231" s="3" t="s">
        <v>592</v>
      </c>
      <c r="Q231" s="2" t="s">
        <v>253</v>
      </c>
      <c r="R231" s="2" t="s">
        <v>254</v>
      </c>
      <c r="S231" s="2" t="s">
        <v>81</v>
      </c>
      <c r="T231" s="13">
        <v>2.0819999999999999</v>
      </c>
      <c r="U231" s="2" t="s">
        <v>284</v>
      </c>
      <c r="V231" s="8">
        <v>2.5000000000000001E-2</v>
      </c>
      <c r="W231" s="8">
        <v>5.2560000000000003E-2</v>
      </c>
      <c r="X231" s="2" t="s">
        <v>256</v>
      </c>
      <c r="Y231" s="2" t="s">
        <v>78</v>
      </c>
      <c r="Z231" s="6">
        <v>948153.75</v>
      </c>
      <c r="AA231" s="13">
        <v>1</v>
      </c>
      <c r="AB231" s="6">
        <v>94.61</v>
      </c>
      <c r="AC231" s="6">
        <v>0</v>
      </c>
      <c r="AD231" s="6">
        <v>897.048</v>
      </c>
      <c r="AG231" s="2" t="s">
        <v>23</v>
      </c>
      <c r="AH231" s="8">
        <v>4.2300000000000003E-3</v>
      </c>
      <c r="AI231" s="8">
        <v>2.7E-4</v>
      </c>
      <c r="AJ231" s="8">
        <v>2.0000000000000002E-5</v>
      </c>
    </row>
    <row r="232" spans="1:36">
      <c r="A232" s="12">
        <v>1097</v>
      </c>
      <c r="B232" s="12">
        <v>1097</v>
      </c>
      <c r="C232" s="2" t="s">
        <v>1019</v>
      </c>
      <c r="D232" s="3" t="s">
        <v>1020</v>
      </c>
      <c r="E232" s="2" t="s">
        <v>245</v>
      </c>
      <c r="F232" s="2" t="s">
        <v>1021</v>
      </c>
      <c r="G232" s="12" t="s">
        <v>1022</v>
      </c>
      <c r="H232" s="2" t="s">
        <v>248</v>
      </c>
      <c r="I232" s="2" t="s">
        <v>249</v>
      </c>
      <c r="J232" s="2" t="s">
        <v>77</v>
      </c>
      <c r="K232" s="2" t="s">
        <v>77</v>
      </c>
      <c r="L232" s="2" t="s">
        <v>250</v>
      </c>
      <c r="M232" s="2" t="s">
        <v>130</v>
      </c>
      <c r="N232" s="2" t="s">
        <v>678</v>
      </c>
      <c r="O232" s="2" t="s">
        <v>78</v>
      </c>
      <c r="P232" s="3" t="s">
        <v>277</v>
      </c>
      <c r="Q232" s="2" t="s">
        <v>80</v>
      </c>
      <c r="R232" s="2" t="s">
        <v>254</v>
      </c>
      <c r="S232" s="2" t="s">
        <v>81</v>
      </c>
      <c r="T232" s="13">
        <v>0.66300000000000003</v>
      </c>
      <c r="U232" s="2" t="s">
        <v>1023</v>
      </c>
      <c r="V232" s="8">
        <v>2.75E-2</v>
      </c>
      <c r="W232" s="8">
        <v>5.0189999999999999E-2</v>
      </c>
      <c r="X232" s="2" t="s">
        <v>256</v>
      </c>
      <c r="Y232" s="2" t="s">
        <v>78</v>
      </c>
      <c r="Z232" s="6">
        <v>1191991.8999999999</v>
      </c>
      <c r="AA232" s="13">
        <v>1</v>
      </c>
      <c r="AB232" s="6">
        <v>99.46</v>
      </c>
      <c r="AC232" s="6">
        <v>0</v>
      </c>
      <c r="AD232" s="6">
        <v>1185.5550000000001</v>
      </c>
      <c r="AG232" s="2" t="s">
        <v>23</v>
      </c>
      <c r="AH232" s="8">
        <v>8.7899999999999992E-3</v>
      </c>
      <c r="AI232" s="8">
        <v>3.6000000000000002E-4</v>
      </c>
      <c r="AJ232" s="8">
        <v>3.0000000000000001E-5</v>
      </c>
    </row>
    <row r="233" spans="1:36">
      <c r="A233" s="12">
        <v>1097</v>
      </c>
      <c r="B233" s="12">
        <v>1097</v>
      </c>
      <c r="C233" s="2" t="s">
        <v>1019</v>
      </c>
      <c r="D233" s="3" t="s">
        <v>1020</v>
      </c>
      <c r="E233" s="2" t="s">
        <v>245</v>
      </c>
      <c r="F233" s="2" t="s">
        <v>1024</v>
      </c>
      <c r="G233" s="12" t="s">
        <v>1025</v>
      </c>
      <c r="H233" s="2" t="s">
        <v>248</v>
      </c>
      <c r="I233" s="2" t="s">
        <v>249</v>
      </c>
      <c r="J233" s="2" t="s">
        <v>77</v>
      </c>
      <c r="K233" s="2" t="s">
        <v>77</v>
      </c>
      <c r="L233" s="2" t="s">
        <v>250</v>
      </c>
      <c r="M233" s="2" t="s">
        <v>130</v>
      </c>
      <c r="N233" s="2" t="s">
        <v>678</v>
      </c>
      <c r="O233" s="2" t="s">
        <v>78</v>
      </c>
      <c r="P233" s="3" t="s">
        <v>277</v>
      </c>
      <c r="Q233" s="2" t="s">
        <v>80</v>
      </c>
      <c r="R233" s="2" t="s">
        <v>254</v>
      </c>
      <c r="S233" s="2" t="s">
        <v>81</v>
      </c>
      <c r="T233" s="13">
        <v>1.272</v>
      </c>
      <c r="U233" s="2" t="s">
        <v>263</v>
      </c>
      <c r="V233" s="8">
        <v>2.3E-2</v>
      </c>
      <c r="W233" s="8">
        <v>4.9110000000000001E-2</v>
      </c>
      <c r="X233" s="2" t="s">
        <v>256</v>
      </c>
      <c r="Y233" s="2" t="s">
        <v>78</v>
      </c>
      <c r="Z233" s="6">
        <v>77608.7</v>
      </c>
      <c r="AA233" s="13">
        <v>1</v>
      </c>
      <c r="AB233" s="6">
        <v>97.57</v>
      </c>
      <c r="AC233" s="6">
        <v>0</v>
      </c>
      <c r="AD233" s="6">
        <v>75.722999999999999</v>
      </c>
      <c r="AG233" s="2" t="s">
        <v>23</v>
      </c>
      <c r="AH233" s="8">
        <v>6.9999999999999994E-5</v>
      </c>
      <c r="AI233" s="8">
        <v>2.0000000000000002E-5</v>
      </c>
      <c r="AJ233" s="8">
        <v>0</v>
      </c>
    </row>
    <row r="234" spans="1:36">
      <c r="A234" s="12">
        <v>1097</v>
      </c>
      <c r="B234" s="12">
        <v>1097</v>
      </c>
      <c r="C234" s="2" t="s">
        <v>1019</v>
      </c>
      <c r="D234" s="3" t="s">
        <v>1020</v>
      </c>
      <c r="E234" s="2" t="s">
        <v>245</v>
      </c>
      <c r="F234" s="2" t="s">
        <v>1026</v>
      </c>
      <c r="G234" s="12" t="s">
        <v>1027</v>
      </c>
      <c r="H234" s="2" t="s">
        <v>248</v>
      </c>
      <c r="I234" s="2" t="s">
        <v>249</v>
      </c>
      <c r="J234" s="2" t="s">
        <v>77</v>
      </c>
      <c r="K234" s="2" t="s">
        <v>77</v>
      </c>
      <c r="L234" s="2" t="s">
        <v>250</v>
      </c>
      <c r="M234" s="2" t="s">
        <v>130</v>
      </c>
      <c r="N234" s="2" t="s">
        <v>678</v>
      </c>
      <c r="O234" s="2" t="s">
        <v>78</v>
      </c>
      <c r="P234" s="3" t="s">
        <v>277</v>
      </c>
      <c r="Q234" s="2" t="s">
        <v>80</v>
      </c>
      <c r="R234" s="2" t="s">
        <v>254</v>
      </c>
      <c r="S234" s="2" t="s">
        <v>81</v>
      </c>
      <c r="T234" s="13">
        <v>1.6990000000000001</v>
      </c>
      <c r="U234" s="2" t="s">
        <v>1028</v>
      </c>
      <c r="V234" s="8">
        <v>2.1499999999999998E-2</v>
      </c>
      <c r="W234" s="8">
        <v>4.9349999999999998E-2</v>
      </c>
      <c r="X234" s="2" t="s">
        <v>256</v>
      </c>
      <c r="Y234" s="2" t="s">
        <v>78</v>
      </c>
      <c r="Z234" s="6">
        <v>650524.72</v>
      </c>
      <c r="AA234" s="13">
        <v>1</v>
      </c>
      <c r="AB234" s="6">
        <v>95.52</v>
      </c>
      <c r="AC234" s="6">
        <v>53.69</v>
      </c>
      <c r="AD234" s="6">
        <v>675.07100000000003</v>
      </c>
      <c r="AG234" s="2" t="s">
        <v>23</v>
      </c>
      <c r="AH234" s="8">
        <v>9.2000000000000003E-4</v>
      </c>
      <c r="AI234" s="8">
        <v>2.0000000000000001E-4</v>
      </c>
      <c r="AJ234" s="8">
        <v>2.0000000000000002E-5</v>
      </c>
    </row>
    <row r="235" spans="1:36">
      <c r="A235" s="12">
        <v>1097</v>
      </c>
      <c r="B235" s="12">
        <v>1097</v>
      </c>
      <c r="C235" s="2" t="s">
        <v>1029</v>
      </c>
      <c r="D235" s="3" t="s">
        <v>1030</v>
      </c>
      <c r="E235" s="2" t="s">
        <v>245</v>
      </c>
      <c r="F235" s="2" t="s">
        <v>1031</v>
      </c>
      <c r="G235" s="12" t="s">
        <v>1032</v>
      </c>
      <c r="H235" s="2" t="s">
        <v>248</v>
      </c>
      <c r="I235" s="2" t="s">
        <v>261</v>
      </c>
      <c r="J235" s="2" t="s">
        <v>77</v>
      </c>
      <c r="K235" s="2" t="s">
        <v>77</v>
      </c>
      <c r="L235" s="2" t="s">
        <v>250</v>
      </c>
      <c r="M235" s="2" t="s">
        <v>130</v>
      </c>
      <c r="N235" s="2" t="s">
        <v>347</v>
      </c>
      <c r="O235" s="2" t="s">
        <v>78</v>
      </c>
      <c r="P235" s="3" t="s">
        <v>277</v>
      </c>
      <c r="Q235" s="2" t="s">
        <v>80</v>
      </c>
      <c r="R235" s="2" t="s">
        <v>254</v>
      </c>
      <c r="S235" s="2" t="s">
        <v>81</v>
      </c>
      <c r="T235" s="13">
        <v>0.91</v>
      </c>
      <c r="U235" s="2" t="s">
        <v>1033</v>
      </c>
      <c r="V235" s="8">
        <v>2.1499999999999998E-2</v>
      </c>
      <c r="W235" s="8">
        <v>2.8330000000000001E-2</v>
      </c>
      <c r="X235" s="2" t="s">
        <v>256</v>
      </c>
      <c r="Y235" s="2" t="s">
        <v>78</v>
      </c>
      <c r="Z235" s="6">
        <v>2030574.29</v>
      </c>
      <c r="AA235" s="13">
        <v>1</v>
      </c>
      <c r="AB235" s="6">
        <v>118.18</v>
      </c>
      <c r="AC235" s="6">
        <v>0</v>
      </c>
      <c r="AD235" s="6">
        <v>2399.7330000000002</v>
      </c>
      <c r="AG235" s="2" t="s">
        <v>23</v>
      </c>
      <c r="AH235" s="8">
        <v>1.4499999999999999E-3</v>
      </c>
      <c r="AI235" s="8">
        <v>7.2999999999999996E-4</v>
      </c>
      <c r="AJ235" s="8">
        <v>6.0000000000000002E-5</v>
      </c>
    </row>
    <row r="236" spans="1:36">
      <c r="A236" s="12">
        <v>1097</v>
      </c>
      <c r="B236" s="12">
        <v>1097</v>
      </c>
      <c r="C236" s="2" t="s">
        <v>1029</v>
      </c>
      <c r="D236" s="3" t="s">
        <v>1030</v>
      </c>
      <c r="E236" s="2" t="s">
        <v>245</v>
      </c>
      <c r="F236" s="2" t="s">
        <v>1034</v>
      </c>
      <c r="G236" s="12" t="s">
        <v>1035</v>
      </c>
      <c r="H236" s="2" t="s">
        <v>248</v>
      </c>
      <c r="I236" s="2" t="s">
        <v>261</v>
      </c>
      <c r="J236" s="2" t="s">
        <v>77</v>
      </c>
      <c r="K236" s="2" t="s">
        <v>77</v>
      </c>
      <c r="L236" s="2" t="s">
        <v>250</v>
      </c>
      <c r="M236" s="2" t="s">
        <v>130</v>
      </c>
      <c r="N236" s="2" t="s">
        <v>347</v>
      </c>
      <c r="O236" s="2" t="s">
        <v>78</v>
      </c>
      <c r="P236" s="3" t="s">
        <v>293</v>
      </c>
      <c r="Q236" s="2" t="s">
        <v>80</v>
      </c>
      <c r="R236" s="2" t="s">
        <v>254</v>
      </c>
      <c r="S236" s="2" t="s">
        <v>81</v>
      </c>
      <c r="T236" s="13">
        <v>0.92200000000000004</v>
      </c>
      <c r="U236" s="2" t="s">
        <v>1033</v>
      </c>
      <c r="V236" s="8">
        <v>1.6E-2</v>
      </c>
      <c r="W236" s="8">
        <v>2.7150000000000001E-2</v>
      </c>
      <c r="X236" s="2" t="s">
        <v>256</v>
      </c>
      <c r="Y236" s="2" t="s">
        <v>78</v>
      </c>
      <c r="Z236" s="6">
        <v>978367.9</v>
      </c>
      <c r="AA236" s="13">
        <v>1</v>
      </c>
      <c r="AB236" s="6">
        <v>117.65</v>
      </c>
      <c r="AC236" s="6">
        <v>0</v>
      </c>
      <c r="AD236" s="6">
        <v>1151.05</v>
      </c>
      <c r="AG236" s="2" t="s">
        <v>23</v>
      </c>
      <c r="AH236" s="8">
        <v>3.4499999999999999E-3</v>
      </c>
      <c r="AI236" s="8">
        <v>3.5E-4</v>
      </c>
      <c r="AJ236" s="8">
        <v>3.0000000000000001E-5</v>
      </c>
    </row>
    <row r="237" spans="1:36">
      <c r="A237" s="12">
        <v>1097</v>
      </c>
      <c r="B237" s="12">
        <v>1097</v>
      </c>
      <c r="C237" s="2" t="s">
        <v>1029</v>
      </c>
      <c r="D237" s="3" t="s">
        <v>1030</v>
      </c>
      <c r="E237" s="2" t="s">
        <v>245</v>
      </c>
      <c r="F237" s="2" t="s">
        <v>1036</v>
      </c>
      <c r="G237" s="12" t="s">
        <v>1037</v>
      </c>
      <c r="H237" s="2" t="s">
        <v>248</v>
      </c>
      <c r="I237" s="2" t="s">
        <v>261</v>
      </c>
      <c r="J237" s="2" t="s">
        <v>77</v>
      </c>
      <c r="K237" s="2" t="s">
        <v>77</v>
      </c>
      <c r="L237" s="2" t="s">
        <v>250</v>
      </c>
      <c r="M237" s="2" t="s">
        <v>130</v>
      </c>
      <c r="N237" s="2" t="s">
        <v>347</v>
      </c>
      <c r="O237" s="2" t="s">
        <v>78</v>
      </c>
      <c r="P237" s="3" t="s">
        <v>277</v>
      </c>
      <c r="Q237" s="2" t="s">
        <v>80</v>
      </c>
      <c r="R237" s="2" t="s">
        <v>254</v>
      </c>
      <c r="S237" s="2" t="s">
        <v>81</v>
      </c>
      <c r="T237" s="13">
        <v>5.6449999999999996</v>
      </c>
      <c r="U237" s="2" t="s">
        <v>564</v>
      </c>
      <c r="V237" s="8">
        <v>1.15E-2</v>
      </c>
      <c r="W237" s="8">
        <v>3.143E-2</v>
      </c>
      <c r="X237" s="2" t="s">
        <v>256</v>
      </c>
      <c r="Y237" s="2" t="s">
        <v>78</v>
      </c>
      <c r="Z237" s="6">
        <v>43142467.020000003</v>
      </c>
      <c r="AA237" s="13">
        <v>1</v>
      </c>
      <c r="AB237" s="6">
        <v>104.61</v>
      </c>
      <c r="AC237" s="6">
        <v>0</v>
      </c>
      <c r="AD237" s="6">
        <v>45131.334999999999</v>
      </c>
      <c r="AG237" s="2" t="s">
        <v>23</v>
      </c>
      <c r="AH237" s="8">
        <v>4.3150000000000001E-2</v>
      </c>
      <c r="AI237" s="8">
        <v>1.3639999999999999E-2</v>
      </c>
      <c r="AJ237" s="8">
        <v>1.1199999999999999E-3</v>
      </c>
    </row>
    <row r="238" spans="1:36">
      <c r="A238" s="12">
        <v>1097</v>
      </c>
      <c r="B238" s="12">
        <v>1097</v>
      </c>
      <c r="C238" s="2" t="s">
        <v>1029</v>
      </c>
      <c r="D238" s="3" t="s">
        <v>1030</v>
      </c>
      <c r="E238" s="2" t="s">
        <v>245</v>
      </c>
      <c r="F238" s="2" t="s">
        <v>1038</v>
      </c>
      <c r="G238" s="12" t="s">
        <v>1037</v>
      </c>
      <c r="H238" s="2" t="s">
        <v>248</v>
      </c>
      <c r="I238" s="2" t="s">
        <v>261</v>
      </c>
      <c r="J238" s="2" t="s">
        <v>77</v>
      </c>
      <c r="K238" s="2" t="s">
        <v>77</v>
      </c>
      <c r="L238" s="2" t="s">
        <v>353</v>
      </c>
      <c r="M238" s="2" t="s">
        <v>130</v>
      </c>
      <c r="N238" s="2" t="s">
        <v>347</v>
      </c>
      <c r="O238" s="2" t="s">
        <v>78</v>
      </c>
      <c r="P238" s="3" t="s">
        <v>277</v>
      </c>
      <c r="Q238" s="2" t="s">
        <v>80</v>
      </c>
      <c r="R238" s="2" t="s">
        <v>254</v>
      </c>
      <c r="S238" s="2" t="s">
        <v>81</v>
      </c>
      <c r="T238" s="13">
        <v>5.6449999999999996</v>
      </c>
      <c r="U238" s="2" t="s">
        <v>564</v>
      </c>
      <c r="V238" s="8">
        <v>1.15E-2</v>
      </c>
      <c r="W238" s="8">
        <v>3.143E-2</v>
      </c>
      <c r="X238" s="2" t="s">
        <v>256</v>
      </c>
      <c r="Y238" s="2" t="s">
        <v>78</v>
      </c>
      <c r="Z238" s="6">
        <v>607320</v>
      </c>
      <c r="AA238" s="13">
        <v>1</v>
      </c>
      <c r="AB238" s="6">
        <v>104.61</v>
      </c>
      <c r="AC238" s="6">
        <v>0</v>
      </c>
      <c r="AD238" s="6">
        <v>635.31700000000001</v>
      </c>
      <c r="AG238" s="2" t="s">
        <v>23</v>
      </c>
      <c r="AH238" s="8">
        <v>6.0999999999999997E-4</v>
      </c>
      <c r="AI238" s="8">
        <v>1.9000000000000001E-4</v>
      </c>
      <c r="AJ238" s="8">
        <v>2.0000000000000002E-5</v>
      </c>
    </row>
    <row r="239" spans="1:36">
      <c r="A239" s="12">
        <v>1097</v>
      </c>
      <c r="B239" s="12">
        <v>1097</v>
      </c>
      <c r="C239" s="2" t="s">
        <v>1029</v>
      </c>
      <c r="D239" s="3" t="s">
        <v>1030</v>
      </c>
      <c r="E239" s="2" t="s">
        <v>245</v>
      </c>
      <c r="F239" s="2" t="s">
        <v>1039</v>
      </c>
      <c r="G239" s="12" t="s">
        <v>1040</v>
      </c>
      <c r="H239" s="2" t="s">
        <v>248</v>
      </c>
      <c r="I239" s="2" t="s">
        <v>261</v>
      </c>
      <c r="J239" s="2" t="s">
        <v>77</v>
      </c>
      <c r="K239" s="2" t="s">
        <v>77</v>
      </c>
      <c r="L239" s="2" t="s">
        <v>250</v>
      </c>
      <c r="M239" s="2" t="s">
        <v>130</v>
      </c>
      <c r="N239" s="2" t="s">
        <v>347</v>
      </c>
      <c r="O239" s="2" t="s">
        <v>78</v>
      </c>
      <c r="P239" s="3" t="s">
        <v>293</v>
      </c>
      <c r="Q239" s="2" t="s">
        <v>80</v>
      </c>
      <c r="R239" s="2" t="s">
        <v>254</v>
      </c>
      <c r="S239" s="2" t="s">
        <v>81</v>
      </c>
      <c r="T239" s="13">
        <v>2.0569999999999999</v>
      </c>
      <c r="U239" s="2" t="s">
        <v>1041</v>
      </c>
      <c r="V239" s="8">
        <v>1.4200000000000001E-2</v>
      </c>
      <c r="W239" s="8">
        <v>2.835E-2</v>
      </c>
      <c r="X239" s="2" t="s">
        <v>256</v>
      </c>
      <c r="Y239" s="2" t="s">
        <v>78</v>
      </c>
      <c r="Z239" s="6">
        <v>20861547.190000001</v>
      </c>
      <c r="AA239" s="13">
        <v>1</v>
      </c>
      <c r="AB239" s="6">
        <v>114.01</v>
      </c>
      <c r="AC239" s="6">
        <v>0</v>
      </c>
      <c r="AD239" s="6">
        <v>23784.25</v>
      </c>
      <c r="AG239" s="2" t="s">
        <v>23</v>
      </c>
      <c r="AH239" s="8">
        <v>2.0539999999999999E-2</v>
      </c>
      <c r="AI239" s="8">
        <v>7.1900000000000002E-3</v>
      </c>
      <c r="AJ239" s="8">
        <v>5.9000000000000003E-4</v>
      </c>
    </row>
    <row r="240" spans="1:36">
      <c r="A240" s="12">
        <v>1097</v>
      </c>
      <c r="B240" s="12">
        <v>1097</v>
      </c>
      <c r="C240" s="2" t="s">
        <v>1029</v>
      </c>
      <c r="D240" s="3" t="s">
        <v>1030</v>
      </c>
      <c r="E240" s="2" t="s">
        <v>245</v>
      </c>
      <c r="F240" s="2" t="s">
        <v>1042</v>
      </c>
      <c r="G240" s="12" t="s">
        <v>1040</v>
      </c>
      <c r="H240" s="2" t="s">
        <v>248</v>
      </c>
      <c r="I240" s="2" t="s">
        <v>261</v>
      </c>
      <c r="J240" s="2" t="s">
        <v>77</v>
      </c>
      <c r="K240" s="2" t="s">
        <v>77</v>
      </c>
      <c r="L240" s="2" t="s">
        <v>353</v>
      </c>
      <c r="M240" s="2" t="s">
        <v>130</v>
      </c>
      <c r="N240" s="2" t="s">
        <v>347</v>
      </c>
      <c r="O240" s="2" t="s">
        <v>78</v>
      </c>
      <c r="P240" s="3" t="s">
        <v>293</v>
      </c>
      <c r="Q240" s="2" t="s">
        <v>80</v>
      </c>
      <c r="R240" s="2" t="s">
        <v>254</v>
      </c>
      <c r="S240" s="2" t="s">
        <v>81</v>
      </c>
      <c r="T240" s="13">
        <v>2.0569999999999999</v>
      </c>
      <c r="U240" s="2" t="s">
        <v>1041</v>
      </c>
      <c r="V240" s="8">
        <v>1.4200000000000001E-2</v>
      </c>
      <c r="W240" s="8">
        <v>2.835E-2</v>
      </c>
      <c r="X240" s="2" t="s">
        <v>256</v>
      </c>
      <c r="Y240" s="2" t="s">
        <v>78</v>
      </c>
      <c r="Z240" s="6">
        <v>1416182</v>
      </c>
      <c r="AA240" s="13">
        <v>1</v>
      </c>
      <c r="AB240" s="6">
        <v>114.01</v>
      </c>
      <c r="AC240" s="6">
        <v>0</v>
      </c>
      <c r="AD240" s="6">
        <v>1614.5889999999999</v>
      </c>
      <c r="AG240" s="2" t="s">
        <v>23</v>
      </c>
      <c r="AH240" s="8">
        <v>1.39E-3</v>
      </c>
      <c r="AI240" s="8">
        <v>4.8999999999999998E-4</v>
      </c>
      <c r="AJ240" s="8">
        <v>4.0000000000000003E-5</v>
      </c>
    </row>
    <row r="241" spans="1:36">
      <c r="A241" s="12">
        <v>1097</v>
      </c>
      <c r="B241" s="12">
        <v>1097</v>
      </c>
      <c r="C241" s="2" t="s">
        <v>1029</v>
      </c>
      <c r="D241" s="3" t="s">
        <v>1030</v>
      </c>
      <c r="E241" s="2" t="s">
        <v>245</v>
      </c>
      <c r="F241" s="2" t="s">
        <v>1043</v>
      </c>
      <c r="G241" s="12" t="s">
        <v>1044</v>
      </c>
      <c r="H241" s="2" t="s">
        <v>248</v>
      </c>
      <c r="I241" s="2" t="s">
        <v>261</v>
      </c>
      <c r="J241" s="2" t="s">
        <v>77</v>
      </c>
      <c r="K241" s="2" t="s">
        <v>77</v>
      </c>
      <c r="L241" s="2" t="s">
        <v>250</v>
      </c>
      <c r="M241" s="2" t="s">
        <v>130</v>
      </c>
      <c r="N241" s="2" t="s">
        <v>347</v>
      </c>
      <c r="O241" s="2" t="s">
        <v>78</v>
      </c>
      <c r="P241" s="3" t="s">
        <v>293</v>
      </c>
      <c r="Q241" s="2" t="s">
        <v>80</v>
      </c>
      <c r="R241" s="2" t="s">
        <v>254</v>
      </c>
      <c r="S241" s="2" t="s">
        <v>81</v>
      </c>
      <c r="T241" s="13">
        <v>5.8680000000000003</v>
      </c>
      <c r="U241" s="2" t="s">
        <v>1045</v>
      </c>
      <c r="V241" s="8">
        <v>1.4999999999999999E-2</v>
      </c>
      <c r="W241" s="8">
        <v>2.9520000000000001E-2</v>
      </c>
      <c r="X241" s="2" t="s">
        <v>256</v>
      </c>
      <c r="Y241" s="2" t="s">
        <v>78</v>
      </c>
      <c r="Z241" s="6">
        <v>5712000</v>
      </c>
      <c r="AA241" s="13">
        <v>1</v>
      </c>
      <c r="AB241" s="6">
        <v>93.77</v>
      </c>
      <c r="AC241" s="6">
        <v>0</v>
      </c>
      <c r="AD241" s="6">
        <v>5356.1419999999998</v>
      </c>
      <c r="AG241" s="2" t="s">
        <v>23</v>
      </c>
      <c r="AH241" s="8">
        <v>1.388E-2</v>
      </c>
      <c r="AI241" s="8">
        <v>1.6199999999999999E-3</v>
      </c>
      <c r="AJ241" s="8">
        <v>1.2999999999999999E-4</v>
      </c>
    </row>
    <row r="242" spans="1:36">
      <c r="A242" s="12">
        <v>1097</v>
      </c>
      <c r="B242" s="12">
        <v>1097</v>
      </c>
      <c r="C242" s="2" t="s">
        <v>1046</v>
      </c>
      <c r="D242" s="3" t="s">
        <v>1047</v>
      </c>
      <c r="E242" s="2" t="s">
        <v>245</v>
      </c>
      <c r="F242" s="2" t="s">
        <v>1048</v>
      </c>
      <c r="G242" s="12" t="s">
        <v>1049</v>
      </c>
      <c r="H242" s="2" t="s">
        <v>248</v>
      </c>
      <c r="I242" s="2" t="s">
        <v>261</v>
      </c>
      <c r="J242" s="2" t="s">
        <v>77</v>
      </c>
      <c r="K242" s="2" t="s">
        <v>77</v>
      </c>
      <c r="L242" s="2" t="s">
        <v>250</v>
      </c>
      <c r="M242" s="2" t="s">
        <v>130</v>
      </c>
      <c r="N242" s="2" t="s">
        <v>347</v>
      </c>
      <c r="O242" s="2" t="s">
        <v>78</v>
      </c>
      <c r="P242" s="3" t="s">
        <v>293</v>
      </c>
      <c r="Q242" s="2" t="s">
        <v>80</v>
      </c>
      <c r="R242" s="2" t="s">
        <v>254</v>
      </c>
      <c r="S242" s="2" t="s">
        <v>81</v>
      </c>
      <c r="T242" s="13">
        <v>1.659</v>
      </c>
      <c r="U242" s="2" t="s">
        <v>1050</v>
      </c>
      <c r="V242" s="8">
        <v>0.04</v>
      </c>
      <c r="W242" s="8">
        <v>2.92E-2</v>
      </c>
      <c r="X242" s="2" t="s">
        <v>256</v>
      </c>
      <c r="Y242" s="2" t="s">
        <v>78</v>
      </c>
      <c r="Z242" s="6">
        <v>1827360.953</v>
      </c>
      <c r="AA242" s="13">
        <v>1</v>
      </c>
      <c r="AB242" s="6">
        <v>121.17</v>
      </c>
      <c r="AC242" s="6">
        <v>0</v>
      </c>
      <c r="AD242" s="6">
        <v>2214.2130000000002</v>
      </c>
      <c r="AG242" s="2" t="s">
        <v>23</v>
      </c>
      <c r="AH242" s="8">
        <v>2.1700000000000001E-3</v>
      </c>
      <c r="AI242" s="8">
        <v>6.7000000000000002E-4</v>
      </c>
      <c r="AJ242" s="8">
        <v>5.0000000000000002E-5</v>
      </c>
    </row>
    <row r="243" spans="1:36">
      <c r="A243" s="12">
        <v>1097</v>
      </c>
      <c r="B243" s="12">
        <v>1097</v>
      </c>
      <c r="C243" s="2" t="s">
        <v>1046</v>
      </c>
      <c r="D243" s="3" t="s">
        <v>1047</v>
      </c>
      <c r="E243" s="2" t="s">
        <v>245</v>
      </c>
      <c r="F243" s="2" t="s">
        <v>1051</v>
      </c>
      <c r="G243" s="12" t="s">
        <v>1052</v>
      </c>
      <c r="H243" s="2" t="s">
        <v>248</v>
      </c>
      <c r="I243" s="2" t="s">
        <v>261</v>
      </c>
      <c r="J243" s="2" t="s">
        <v>77</v>
      </c>
      <c r="K243" s="2" t="s">
        <v>77</v>
      </c>
      <c r="L243" s="2" t="s">
        <v>250</v>
      </c>
      <c r="M243" s="2" t="s">
        <v>130</v>
      </c>
      <c r="N243" s="2" t="s">
        <v>347</v>
      </c>
      <c r="O243" s="2" t="s">
        <v>78</v>
      </c>
      <c r="P243" s="3" t="s">
        <v>293</v>
      </c>
      <c r="Q243" s="2" t="s">
        <v>80</v>
      </c>
      <c r="R243" s="2" t="s">
        <v>254</v>
      </c>
      <c r="S243" s="2" t="s">
        <v>81</v>
      </c>
      <c r="T243" s="13">
        <v>3.0179999999999998</v>
      </c>
      <c r="U243" s="2" t="s">
        <v>1053</v>
      </c>
      <c r="V243" s="8">
        <v>3.5000000000000003E-2</v>
      </c>
      <c r="W243" s="8">
        <v>2.81E-2</v>
      </c>
      <c r="X243" s="2" t="s">
        <v>256</v>
      </c>
      <c r="Y243" s="2" t="s">
        <v>78</v>
      </c>
      <c r="Z243" s="6">
        <v>9154435.4399999995</v>
      </c>
      <c r="AA243" s="13">
        <v>1</v>
      </c>
      <c r="AB243" s="6">
        <v>122.62</v>
      </c>
      <c r="AC243" s="6">
        <v>0</v>
      </c>
      <c r="AD243" s="6">
        <v>11225.169</v>
      </c>
      <c r="AG243" s="2" t="s">
        <v>23</v>
      </c>
      <c r="AH243" s="8">
        <v>1.145E-2</v>
      </c>
      <c r="AI243" s="8">
        <v>3.3899999999999998E-3</v>
      </c>
      <c r="AJ243" s="8">
        <v>2.7999999999999998E-4</v>
      </c>
    </row>
    <row r="244" spans="1:36">
      <c r="A244" s="12">
        <v>1097</v>
      </c>
      <c r="B244" s="12">
        <v>1097</v>
      </c>
      <c r="C244" s="2" t="s">
        <v>1046</v>
      </c>
      <c r="D244" s="3" t="s">
        <v>1047</v>
      </c>
      <c r="E244" s="2" t="s">
        <v>245</v>
      </c>
      <c r="F244" s="2" t="s">
        <v>1054</v>
      </c>
      <c r="G244" s="12" t="s">
        <v>1055</v>
      </c>
      <c r="H244" s="2" t="s">
        <v>248</v>
      </c>
      <c r="I244" s="2" t="s">
        <v>261</v>
      </c>
      <c r="J244" s="2" t="s">
        <v>77</v>
      </c>
      <c r="K244" s="2" t="s">
        <v>77</v>
      </c>
      <c r="L244" s="2" t="s">
        <v>250</v>
      </c>
      <c r="M244" s="2" t="s">
        <v>130</v>
      </c>
      <c r="N244" s="2" t="s">
        <v>347</v>
      </c>
      <c r="O244" s="2" t="s">
        <v>78</v>
      </c>
      <c r="P244" s="3" t="s">
        <v>293</v>
      </c>
      <c r="Q244" s="2" t="s">
        <v>80</v>
      </c>
      <c r="R244" s="2" t="s">
        <v>254</v>
      </c>
      <c r="S244" s="2" t="s">
        <v>81</v>
      </c>
      <c r="T244" s="13">
        <v>6.0039999999999996</v>
      </c>
      <c r="U244" s="2" t="s">
        <v>1056</v>
      </c>
      <c r="V244" s="8">
        <v>2.5000000000000001E-2</v>
      </c>
      <c r="W244" s="8">
        <v>2.9499999999999998E-2</v>
      </c>
      <c r="X244" s="2" t="s">
        <v>256</v>
      </c>
      <c r="Y244" s="2" t="s">
        <v>78</v>
      </c>
      <c r="Z244" s="6">
        <v>12919120.51</v>
      </c>
      <c r="AA244" s="13">
        <v>1</v>
      </c>
      <c r="AB244" s="6">
        <v>114.89</v>
      </c>
      <c r="AC244" s="6">
        <v>0</v>
      </c>
      <c r="AD244" s="6">
        <v>14842.778</v>
      </c>
      <c r="AG244" s="2" t="s">
        <v>23</v>
      </c>
      <c r="AH244" s="8">
        <v>9.5700000000000004E-3</v>
      </c>
      <c r="AI244" s="8">
        <v>4.4799999999999996E-3</v>
      </c>
      <c r="AJ244" s="8">
        <v>3.6999999999999999E-4</v>
      </c>
    </row>
    <row r="245" spans="1:36">
      <c r="A245" s="12">
        <v>1097</v>
      </c>
      <c r="B245" s="12">
        <v>1097</v>
      </c>
      <c r="C245" s="2" t="s">
        <v>1057</v>
      </c>
      <c r="D245" s="3" t="s">
        <v>1058</v>
      </c>
      <c r="E245" s="2" t="s">
        <v>245</v>
      </c>
      <c r="F245" s="2" t="s">
        <v>1059</v>
      </c>
      <c r="G245" s="12" t="s">
        <v>1060</v>
      </c>
      <c r="H245" s="2" t="s">
        <v>248</v>
      </c>
      <c r="I245" s="2" t="s">
        <v>261</v>
      </c>
      <c r="J245" s="2" t="s">
        <v>77</v>
      </c>
      <c r="K245" s="2" t="s">
        <v>77</v>
      </c>
      <c r="L245" s="2" t="s">
        <v>250</v>
      </c>
      <c r="M245" s="2" t="s">
        <v>130</v>
      </c>
      <c r="N245" s="2" t="s">
        <v>347</v>
      </c>
      <c r="O245" s="2" t="s">
        <v>78</v>
      </c>
      <c r="P245" s="3" t="s">
        <v>537</v>
      </c>
      <c r="Q245" s="2" t="s">
        <v>80</v>
      </c>
      <c r="R245" s="2" t="s">
        <v>254</v>
      </c>
      <c r="S245" s="2" t="s">
        <v>81</v>
      </c>
      <c r="T245" s="13">
        <v>2.4409999999999998</v>
      </c>
      <c r="U245" s="2" t="s">
        <v>1061</v>
      </c>
      <c r="V245" s="8">
        <v>1.0800000000000001E-2</v>
      </c>
      <c r="W245" s="8">
        <v>3.1609999999999999E-2</v>
      </c>
      <c r="X245" s="2" t="s">
        <v>256</v>
      </c>
      <c r="Y245" s="2" t="s">
        <v>78</v>
      </c>
      <c r="Z245" s="6">
        <v>1434638.72</v>
      </c>
      <c r="AA245" s="13">
        <v>1</v>
      </c>
      <c r="AB245" s="6">
        <v>111.57</v>
      </c>
      <c r="AC245" s="6">
        <v>0</v>
      </c>
      <c r="AD245" s="6">
        <v>1600.626</v>
      </c>
      <c r="AG245" s="2" t="s">
        <v>23</v>
      </c>
      <c r="AH245" s="8">
        <v>4.4999999999999997E-3</v>
      </c>
      <c r="AI245" s="8">
        <v>4.8000000000000001E-4</v>
      </c>
      <c r="AJ245" s="8">
        <v>4.0000000000000003E-5</v>
      </c>
    </row>
    <row r="246" spans="1:36">
      <c r="A246" s="12">
        <v>1097</v>
      </c>
      <c r="B246" s="12">
        <v>1097</v>
      </c>
      <c r="C246" s="2" t="s">
        <v>1062</v>
      </c>
      <c r="D246" s="3" t="s">
        <v>1063</v>
      </c>
      <c r="E246" s="2" t="s">
        <v>245</v>
      </c>
      <c r="F246" s="2" t="s">
        <v>1064</v>
      </c>
      <c r="G246" s="12" t="s">
        <v>1065</v>
      </c>
      <c r="H246" s="2" t="s">
        <v>248</v>
      </c>
      <c r="I246" s="2" t="s">
        <v>249</v>
      </c>
      <c r="J246" s="2" t="s">
        <v>77</v>
      </c>
      <c r="K246" s="2" t="s">
        <v>77</v>
      </c>
      <c r="L246" s="2" t="s">
        <v>250</v>
      </c>
      <c r="M246" s="2" t="s">
        <v>130</v>
      </c>
      <c r="N246" s="2" t="s">
        <v>373</v>
      </c>
      <c r="O246" s="2" t="s">
        <v>78</v>
      </c>
      <c r="P246" s="3" t="s">
        <v>592</v>
      </c>
      <c r="Q246" s="2" t="s">
        <v>253</v>
      </c>
      <c r="R246" s="2" t="s">
        <v>254</v>
      </c>
      <c r="S246" s="2" t="s">
        <v>81</v>
      </c>
      <c r="T246" s="13">
        <v>4.2770000000000001</v>
      </c>
      <c r="U246" s="2" t="s">
        <v>559</v>
      </c>
      <c r="V246" s="8">
        <v>6.7699999999999996E-2</v>
      </c>
      <c r="W246" s="8">
        <v>5.015E-2</v>
      </c>
      <c r="X246" s="2" t="s">
        <v>256</v>
      </c>
      <c r="Y246" s="2" t="s">
        <v>78</v>
      </c>
      <c r="Z246" s="6">
        <v>3781800</v>
      </c>
      <c r="AA246" s="13">
        <v>1</v>
      </c>
      <c r="AB246" s="6">
        <v>107.74</v>
      </c>
      <c r="AC246" s="6">
        <v>0</v>
      </c>
      <c r="AD246" s="6">
        <v>4074.511</v>
      </c>
      <c r="AG246" s="2" t="s">
        <v>23</v>
      </c>
      <c r="AH246" s="8">
        <v>5.5999999999999999E-3</v>
      </c>
      <c r="AI246" s="8">
        <v>1.23E-3</v>
      </c>
      <c r="AJ246" s="8">
        <v>1E-4</v>
      </c>
    </row>
    <row r="247" spans="1:36">
      <c r="A247" s="12">
        <v>1097</v>
      </c>
      <c r="B247" s="12">
        <v>1097</v>
      </c>
      <c r="C247" s="2" t="s">
        <v>1066</v>
      </c>
      <c r="D247" s="3" t="s">
        <v>1067</v>
      </c>
      <c r="E247" s="2" t="s">
        <v>245</v>
      </c>
      <c r="F247" s="2" t="s">
        <v>1068</v>
      </c>
      <c r="G247" s="12" t="s">
        <v>1069</v>
      </c>
      <c r="H247" s="2" t="s">
        <v>248</v>
      </c>
      <c r="I247" s="2" t="s">
        <v>261</v>
      </c>
      <c r="J247" s="2" t="s">
        <v>77</v>
      </c>
      <c r="K247" s="2" t="s">
        <v>77</v>
      </c>
      <c r="L247" s="2" t="s">
        <v>250</v>
      </c>
      <c r="M247" s="2" t="s">
        <v>130</v>
      </c>
      <c r="N247" s="2" t="s">
        <v>380</v>
      </c>
      <c r="O247" s="2" t="s">
        <v>78</v>
      </c>
      <c r="P247" s="3" t="s">
        <v>293</v>
      </c>
      <c r="Q247" s="2" t="s">
        <v>80</v>
      </c>
      <c r="R247" s="2" t="s">
        <v>254</v>
      </c>
      <c r="S247" s="2" t="s">
        <v>81</v>
      </c>
      <c r="T247" s="13">
        <v>2.165</v>
      </c>
      <c r="U247" s="2" t="s">
        <v>1070</v>
      </c>
      <c r="V247" s="8">
        <v>2.9899999999999999E-2</v>
      </c>
      <c r="W247" s="8">
        <v>2.725E-2</v>
      </c>
      <c r="X247" s="2" t="s">
        <v>256</v>
      </c>
      <c r="Y247" s="2" t="s">
        <v>78</v>
      </c>
      <c r="Z247" s="6">
        <v>1906741.91</v>
      </c>
      <c r="AA247" s="13">
        <v>1</v>
      </c>
      <c r="AB247" s="6">
        <v>119.99</v>
      </c>
      <c r="AC247" s="6">
        <v>0</v>
      </c>
      <c r="AD247" s="6">
        <v>2287.9</v>
      </c>
      <c r="AG247" s="2" t="s">
        <v>23</v>
      </c>
      <c r="AH247" s="8">
        <v>1.2919999999999999E-2</v>
      </c>
      <c r="AI247" s="8">
        <v>6.8999999999999997E-4</v>
      </c>
      <c r="AJ247" s="8">
        <v>6.0000000000000002E-5</v>
      </c>
    </row>
    <row r="248" spans="1:36">
      <c r="A248" s="12">
        <v>1097</v>
      </c>
      <c r="B248" s="12">
        <v>1097</v>
      </c>
      <c r="C248" s="2" t="s">
        <v>1066</v>
      </c>
      <c r="D248" s="3" t="s">
        <v>1067</v>
      </c>
      <c r="E248" s="2" t="s">
        <v>245</v>
      </c>
      <c r="F248" s="2" t="s">
        <v>1071</v>
      </c>
      <c r="G248" s="12" t="s">
        <v>1072</v>
      </c>
      <c r="H248" s="2" t="s">
        <v>248</v>
      </c>
      <c r="I248" s="2" t="s">
        <v>249</v>
      </c>
      <c r="J248" s="2" t="s">
        <v>77</v>
      </c>
      <c r="K248" s="2" t="s">
        <v>77</v>
      </c>
      <c r="L248" s="2" t="s">
        <v>250</v>
      </c>
      <c r="M248" s="2" t="s">
        <v>130</v>
      </c>
      <c r="N248" s="2" t="s">
        <v>380</v>
      </c>
      <c r="O248" s="2" t="s">
        <v>78</v>
      </c>
      <c r="P248" s="3" t="s">
        <v>293</v>
      </c>
      <c r="Q248" s="2" t="s">
        <v>80</v>
      </c>
      <c r="R248" s="2" t="s">
        <v>254</v>
      </c>
      <c r="S248" s="2" t="s">
        <v>81</v>
      </c>
      <c r="T248" s="13">
        <v>2.0979999999999999</v>
      </c>
      <c r="U248" s="2" t="s">
        <v>1070</v>
      </c>
      <c r="V248" s="8">
        <v>5.0900000000000001E-2</v>
      </c>
      <c r="W248" s="8">
        <v>4.505E-2</v>
      </c>
      <c r="X248" s="2" t="s">
        <v>256</v>
      </c>
      <c r="Y248" s="2" t="s">
        <v>78</v>
      </c>
      <c r="Z248" s="6">
        <v>9178309.7100000009</v>
      </c>
      <c r="AA248" s="13">
        <v>1</v>
      </c>
      <c r="AB248" s="6">
        <v>104.89</v>
      </c>
      <c r="AC248" s="6">
        <v>0</v>
      </c>
      <c r="AD248" s="6">
        <v>9627.1290000000008</v>
      </c>
      <c r="AG248" s="2" t="s">
        <v>23</v>
      </c>
      <c r="AH248" s="8">
        <v>1.7780000000000001E-2</v>
      </c>
      <c r="AI248" s="8">
        <v>2.9099999999999998E-3</v>
      </c>
      <c r="AJ248" s="8">
        <v>2.4000000000000001E-4</v>
      </c>
    </row>
    <row r="249" spans="1:36">
      <c r="A249" s="12">
        <v>1097</v>
      </c>
      <c r="B249" s="12">
        <v>1097</v>
      </c>
      <c r="C249" s="2" t="s">
        <v>1066</v>
      </c>
      <c r="D249" s="3" t="s">
        <v>1067</v>
      </c>
      <c r="E249" s="2" t="s">
        <v>245</v>
      </c>
      <c r="F249" s="2" t="s">
        <v>1073</v>
      </c>
      <c r="G249" s="12" t="s">
        <v>1074</v>
      </c>
      <c r="H249" s="2" t="s">
        <v>248</v>
      </c>
      <c r="I249" s="2" t="s">
        <v>261</v>
      </c>
      <c r="J249" s="2" t="s">
        <v>77</v>
      </c>
      <c r="K249" s="2" t="s">
        <v>77</v>
      </c>
      <c r="L249" s="2" t="s">
        <v>250</v>
      </c>
      <c r="M249" s="2" t="s">
        <v>130</v>
      </c>
      <c r="N249" s="2" t="s">
        <v>380</v>
      </c>
      <c r="O249" s="2" t="s">
        <v>78</v>
      </c>
      <c r="P249" s="3" t="s">
        <v>293</v>
      </c>
      <c r="Q249" s="2" t="s">
        <v>80</v>
      </c>
      <c r="R249" s="2" t="s">
        <v>254</v>
      </c>
      <c r="S249" s="2" t="s">
        <v>81</v>
      </c>
      <c r="T249" s="13">
        <v>1.6919999999999999</v>
      </c>
      <c r="U249" s="2" t="s">
        <v>1075</v>
      </c>
      <c r="V249" s="8">
        <v>4.2999999999999997E-2</v>
      </c>
      <c r="W249" s="8">
        <v>2.7380000000000002E-2</v>
      </c>
      <c r="X249" s="2" t="s">
        <v>256</v>
      </c>
      <c r="Y249" s="2" t="s">
        <v>78</v>
      </c>
      <c r="Z249" s="6">
        <v>6415626.2300000004</v>
      </c>
      <c r="AA249" s="13">
        <v>1</v>
      </c>
      <c r="AB249" s="6">
        <v>123.76</v>
      </c>
      <c r="AC249" s="6">
        <v>0</v>
      </c>
      <c r="AD249" s="6">
        <v>7939.9790000000003</v>
      </c>
      <c r="AG249" s="2" t="s">
        <v>23</v>
      </c>
      <c r="AH249" s="8">
        <v>1.5730000000000001E-2</v>
      </c>
      <c r="AI249" s="8">
        <v>2.3999999999999998E-3</v>
      </c>
      <c r="AJ249" s="8">
        <v>2.0000000000000001E-4</v>
      </c>
    </row>
    <row r="250" spans="1:36">
      <c r="A250" s="12">
        <v>1097</v>
      </c>
      <c r="B250" s="12">
        <v>1097</v>
      </c>
      <c r="C250" s="2" t="s">
        <v>1066</v>
      </c>
      <c r="D250" s="3" t="s">
        <v>1067</v>
      </c>
      <c r="E250" s="2" t="s">
        <v>245</v>
      </c>
      <c r="F250" s="2" t="s">
        <v>1076</v>
      </c>
      <c r="G250" s="12" t="s">
        <v>1077</v>
      </c>
      <c r="H250" s="2" t="s">
        <v>248</v>
      </c>
      <c r="I250" s="2" t="s">
        <v>249</v>
      </c>
      <c r="J250" s="2" t="s">
        <v>77</v>
      </c>
      <c r="K250" s="2" t="s">
        <v>77</v>
      </c>
      <c r="L250" s="2" t="s">
        <v>250</v>
      </c>
      <c r="M250" s="2" t="s">
        <v>130</v>
      </c>
      <c r="N250" s="2" t="s">
        <v>380</v>
      </c>
      <c r="O250" s="2" t="s">
        <v>78</v>
      </c>
      <c r="P250" s="3" t="s">
        <v>293</v>
      </c>
      <c r="Q250" s="2" t="s">
        <v>80</v>
      </c>
      <c r="R250" s="2" t="s">
        <v>254</v>
      </c>
      <c r="S250" s="2" t="s">
        <v>81</v>
      </c>
      <c r="T250" s="13">
        <v>2.81</v>
      </c>
      <c r="U250" s="2" t="s">
        <v>1078</v>
      </c>
      <c r="V250" s="8">
        <v>3.5200000000000002E-2</v>
      </c>
      <c r="W250" s="8">
        <v>4.5019999999999998E-2</v>
      </c>
      <c r="X250" s="2" t="s">
        <v>256</v>
      </c>
      <c r="Y250" s="2" t="s">
        <v>78</v>
      </c>
      <c r="Z250" s="6">
        <v>44416772.130000003</v>
      </c>
      <c r="AA250" s="13">
        <v>1</v>
      </c>
      <c r="AB250" s="6">
        <v>98.68</v>
      </c>
      <c r="AC250" s="6">
        <v>0</v>
      </c>
      <c r="AD250" s="6">
        <v>43830.470999999998</v>
      </c>
      <c r="AG250" s="2" t="s">
        <v>23</v>
      </c>
      <c r="AH250" s="8">
        <v>6.1120000000000001E-2</v>
      </c>
      <c r="AI250" s="8">
        <v>1.324E-2</v>
      </c>
      <c r="AJ250" s="8">
        <v>1.09E-3</v>
      </c>
    </row>
    <row r="251" spans="1:36">
      <c r="A251" s="12">
        <v>1097</v>
      </c>
      <c r="B251" s="12">
        <v>1097</v>
      </c>
      <c r="C251" s="2" t="s">
        <v>1066</v>
      </c>
      <c r="D251" s="3" t="s">
        <v>1067</v>
      </c>
      <c r="E251" s="2" t="s">
        <v>245</v>
      </c>
      <c r="F251" s="2" t="s">
        <v>1079</v>
      </c>
      <c r="G251" s="12" t="s">
        <v>1077</v>
      </c>
      <c r="H251" s="2" t="s">
        <v>248</v>
      </c>
      <c r="I251" s="2" t="s">
        <v>249</v>
      </c>
      <c r="J251" s="2" t="s">
        <v>77</v>
      </c>
      <c r="K251" s="2" t="s">
        <v>77</v>
      </c>
      <c r="L251" s="2" t="s">
        <v>353</v>
      </c>
      <c r="M251" s="2" t="s">
        <v>130</v>
      </c>
      <c r="N251" s="2" t="s">
        <v>380</v>
      </c>
      <c r="O251" s="2" t="s">
        <v>78</v>
      </c>
      <c r="P251" s="3" t="s">
        <v>293</v>
      </c>
      <c r="Q251" s="2" t="s">
        <v>80</v>
      </c>
      <c r="R251" s="2" t="s">
        <v>254</v>
      </c>
      <c r="S251" s="2" t="s">
        <v>81</v>
      </c>
      <c r="T251" s="13">
        <v>2.81</v>
      </c>
      <c r="U251" s="2" t="s">
        <v>1078</v>
      </c>
      <c r="V251" s="8">
        <v>3.5200000000000002E-2</v>
      </c>
      <c r="W251" s="8">
        <v>4.5019999999999998E-2</v>
      </c>
      <c r="X251" s="2" t="s">
        <v>256</v>
      </c>
      <c r="Y251" s="2" t="s">
        <v>78</v>
      </c>
      <c r="Z251" s="6">
        <v>8793705</v>
      </c>
      <c r="AA251" s="13">
        <v>1</v>
      </c>
      <c r="AB251" s="6">
        <v>98.68</v>
      </c>
      <c r="AC251" s="6">
        <v>0</v>
      </c>
      <c r="AD251" s="6">
        <v>8677.6280000000006</v>
      </c>
      <c r="AG251" s="2" t="s">
        <v>23</v>
      </c>
      <c r="AH251" s="8">
        <v>1.21E-2</v>
      </c>
      <c r="AI251" s="8">
        <v>2.6199999999999999E-3</v>
      </c>
      <c r="AJ251" s="8">
        <v>2.2000000000000001E-4</v>
      </c>
    </row>
    <row r="252" spans="1:36">
      <c r="A252" s="12">
        <v>1097</v>
      </c>
      <c r="B252" s="12">
        <v>1097</v>
      </c>
      <c r="C252" s="2" t="s">
        <v>1080</v>
      </c>
      <c r="D252" s="3" t="s">
        <v>1081</v>
      </c>
      <c r="E252" s="2" t="s">
        <v>245</v>
      </c>
      <c r="F252" s="2" t="s">
        <v>1082</v>
      </c>
      <c r="G252" s="12" t="s">
        <v>1083</v>
      </c>
      <c r="H252" s="2" t="s">
        <v>248</v>
      </c>
      <c r="I252" s="2" t="s">
        <v>249</v>
      </c>
      <c r="J252" s="2" t="s">
        <v>77</v>
      </c>
      <c r="K252" s="2" t="s">
        <v>77</v>
      </c>
      <c r="L252" s="2" t="s">
        <v>250</v>
      </c>
      <c r="M252" s="2" t="s">
        <v>130</v>
      </c>
      <c r="N252" s="2" t="s">
        <v>1084</v>
      </c>
      <c r="O252" s="2" t="s">
        <v>78</v>
      </c>
      <c r="P252" s="3" t="s">
        <v>300</v>
      </c>
      <c r="Q252" s="2" t="s">
        <v>80</v>
      </c>
      <c r="R252" s="2" t="s">
        <v>254</v>
      </c>
      <c r="S252" s="2" t="s">
        <v>81</v>
      </c>
      <c r="T252" s="13">
        <v>6.0579999999999998</v>
      </c>
      <c r="U252" s="2" t="s">
        <v>1085</v>
      </c>
      <c r="V252" s="8">
        <v>1.9E-2</v>
      </c>
      <c r="W252" s="8">
        <v>4.6149999999999997E-2</v>
      </c>
      <c r="X252" s="2" t="s">
        <v>256</v>
      </c>
      <c r="Y252" s="2" t="s">
        <v>78</v>
      </c>
      <c r="Z252" s="6">
        <v>7386686.8600000003</v>
      </c>
      <c r="AA252" s="13">
        <v>1</v>
      </c>
      <c r="AB252" s="6">
        <v>85</v>
      </c>
      <c r="AC252" s="6">
        <v>0</v>
      </c>
      <c r="AD252" s="6">
        <v>6278.6840000000002</v>
      </c>
      <c r="AG252" s="2" t="s">
        <v>23</v>
      </c>
      <c r="AH252" s="8">
        <v>4.9699999999999996E-3</v>
      </c>
      <c r="AI252" s="8">
        <v>1.9E-3</v>
      </c>
      <c r="AJ252" s="8">
        <v>1.6000000000000001E-4</v>
      </c>
    </row>
    <row r="253" spans="1:36">
      <c r="A253" s="12">
        <v>1097</v>
      </c>
      <c r="B253" s="12">
        <v>1097</v>
      </c>
      <c r="C253" s="2" t="s">
        <v>1080</v>
      </c>
      <c r="D253" s="3" t="s">
        <v>1081</v>
      </c>
      <c r="E253" s="2" t="s">
        <v>245</v>
      </c>
      <c r="F253" s="2" t="s">
        <v>1086</v>
      </c>
      <c r="G253" s="12" t="s">
        <v>1087</v>
      </c>
      <c r="H253" s="2" t="s">
        <v>248</v>
      </c>
      <c r="I253" s="2" t="s">
        <v>249</v>
      </c>
      <c r="J253" s="2" t="s">
        <v>77</v>
      </c>
      <c r="K253" s="2" t="s">
        <v>77</v>
      </c>
      <c r="L253" s="2" t="s">
        <v>250</v>
      </c>
      <c r="M253" s="2" t="s">
        <v>130</v>
      </c>
      <c r="N253" s="2" t="s">
        <v>1084</v>
      </c>
      <c r="O253" s="2" t="s">
        <v>78</v>
      </c>
      <c r="P253" s="3" t="s">
        <v>300</v>
      </c>
      <c r="Q253" s="2" t="s">
        <v>80</v>
      </c>
      <c r="R253" s="2" t="s">
        <v>254</v>
      </c>
      <c r="S253" s="2" t="s">
        <v>81</v>
      </c>
      <c r="T253" s="13">
        <v>1.4730000000000001</v>
      </c>
      <c r="U253" s="2" t="s">
        <v>538</v>
      </c>
      <c r="V253" s="8">
        <v>2.6100000000000002E-2</v>
      </c>
      <c r="W253" s="8">
        <v>4.4540000000000003E-2</v>
      </c>
      <c r="X253" s="2" t="s">
        <v>256</v>
      </c>
      <c r="Y253" s="2" t="s">
        <v>78</v>
      </c>
      <c r="Z253" s="6">
        <v>7729652.9000000004</v>
      </c>
      <c r="AA253" s="13">
        <v>1</v>
      </c>
      <c r="AB253" s="6">
        <v>97.43</v>
      </c>
      <c r="AC253" s="6">
        <v>0</v>
      </c>
      <c r="AD253" s="6">
        <v>7531.0010000000002</v>
      </c>
      <c r="AG253" s="2" t="s">
        <v>23</v>
      </c>
      <c r="AH253" s="8">
        <v>3.2039999999999999E-2</v>
      </c>
      <c r="AI253" s="8">
        <v>2.2799999999999999E-3</v>
      </c>
      <c r="AJ253" s="8">
        <v>1.9000000000000001E-4</v>
      </c>
    </row>
    <row r="254" spans="1:36">
      <c r="A254" s="12">
        <v>1097</v>
      </c>
      <c r="B254" s="12">
        <v>1097</v>
      </c>
      <c r="C254" s="2" t="s">
        <v>1088</v>
      </c>
      <c r="D254" s="3" t="s">
        <v>1089</v>
      </c>
      <c r="E254" s="2" t="s">
        <v>245</v>
      </c>
      <c r="F254" s="2" t="s">
        <v>1090</v>
      </c>
      <c r="G254" s="12" t="s">
        <v>1091</v>
      </c>
      <c r="H254" s="2" t="s">
        <v>248</v>
      </c>
      <c r="I254" s="2" t="s">
        <v>249</v>
      </c>
      <c r="J254" s="2" t="s">
        <v>77</v>
      </c>
      <c r="K254" s="2" t="s">
        <v>77</v>
      </c>
      <c r="L254" s="2" t="s">
        <v>250</v>
      </c>
      <c r="M254" s="2" t="s">
        <v>130</v>
      </c>
      <c r="N254" s="2" t="s">
        <v>251</v>
      </c>
      <c r="O254" s="2" t="s">
        <v>78</v>
      </c>
      <c r="P254" s="3" t="s">
        <v>374</v>
      </c>
      <c r="Q254" s="2" t="s">
        <v>80</v>
      </c>
      <c r="R254" s="2" t="s">
        <v>254</v>
      </c>
      <c r="S254" s="2" t="s">
        <v>81</v>
      </c>
      <c r="T254" s="13">
        <v>2.66</v>
      </c>
      <c r="U254" s="2" t="s">
        <v>1092</v>
      </c>
      <c r="V254" s="8">
        <v>2.8000000000000001E-2</v>
      </c>
      <c r="W254" s="8">
        <v>5.1839999999999997E-2</v>
      </c>
      <c r="X254" s="2" t="s">
        <v>256</v>
      </c>
      <c r="Y254" s="2" t="s">
        <v>78</v>
      </c>
      <c r="Z254" s="6">
        <v>7601375</v>
      </c>
      <c r="AA254" s="13">
        <v>1</v>
      </c>
      <c r="AB254" s="6">
        <v>94.52</v>
      </c>
      <c r="AC254" s="6">
        <v>0</v>
      </c>
      <c r="AD254" s="6">
        <v>7184.82</v>
      </c>
      <c r="AG254" s="2" t="s">
        <v>23</v>
      </c>
      <c r="AH254" s="8">
        <v>4.8799999999999998E-3</v>
      </c>
      <c r="AI254" s="8">
        <v>2.1700000000000001E-3</v>
      </c>
      <c r="AJ254" s="8">
        <v>1.8000000000000001E-4</v>
      </c>
    </row>
    <row r="255" spans="1:36">
      <c r="A255" s="12">
        <v>1097</v>
      </c>
      <c r="B255" s="12">
        <v>1097</v>
      </c>
      <c r="C255" s="2" t="s">
        <v>1088</v>
      </c>
      <c r="D255" s="3" t="s">
        <v>1089</v>
      </c>
      <c r="E255" s="2" t="s">
        <v>245</v>
      </c>
      <c r="F255" s="2" t="s">
        <v>1093</v>
      </c>
      <c r="G255" s="12" t="s">
        <v>1094</v>
      </c>
      <c r="H255" s="2" t="s">
        <v>248</v>
      </c>
      <c r="I255" s="2" t="s">
        <v>261</v>
      </c>
      <c r="J255" s="2" t="s">
        <v>77</v>
      </c>
      <c r="K255" s="2" t="s">
        <v>77</v>
      </c>
      <c r="L255" s="2" t="s">
        <v>250</v>
      </c>
      <c r="M255" s="2" t="s">
        <v>130</v>
      </c>
      <c r="N255" s="2" t="s">
        <v>251</v>
      </c>
      <c r="O255" s="2" t="s">
        <v>78</v>
      </c>
      <c r="P255" s="3" t="s">
        <v>374</v>
      </c>
      <c r="Q255" s="2" t="s">
        <v>80</v>
      </c>
      <c r="R255" s="2" t="s">
        <v>254</v>
      </c>
      <c r="S255" s="2" t="s">
        <v>81</v>
      </c>
      <c r="T255" s="13">
        <v>2.23</v>
      </c>
      <c r="U255" s="2" t="s">
        <v>1095</v>
      </c>
      <c r="V255" s="8">
        <v>3.9E-2</v>
      </c>
      <c r="W255" s="8">
        <v>3.1719999999999998E-2</v>
      </c>
      <c r="X255" s="2" t="s">
        <v>256</v>
      </c>
      <c r="Y255" s="2" t="s">
        <v>78</v>
      </c>
      <c r="Z255" s="6">
        <v>6886879.0099999998</v>
      </c>
      <c r="AA255" s="13">
        <v>1</v>
      </c>
      <c r="AB255" s="6">
        <v>120.32</v>
      </c>
      <c r="AC255" s="6">
        <v>0</v>
      </c>
      <c r="AD255" s="6">
        <v>8286.2929999999997</v>
      </c>
      <c r="AG255" s="2" t="s">
        <v>23</v>
      </c>
      <c r="AH255" s="8">
        <v>4.9899999999999996E-3</v>
      </c>
      <c r="AI255" s="8">
        <v>2.5000000000000001E-3</v>
      </c>
      <c r="AJ255" s="8">
        <v>2.1000000000000001E-4</v>
      </c>
    </row>
    <row r="256" spans="1:36">
      <c r="A256" s="12">
        <v>1097</v>
      </c>
      <c r="B256" s="12">
        <v>1097</v>
      </c>
      <c r="C256" s="2" t="s">
        <v>1088</v>
      </c>
      <c r="D256" s="3" t="s">
        <v>1089</v>
      </c>
      <c r="E256" s="2" t="s">
        <v>245</v>
      </c>
      <c r="F256" s="2" t="s">
        <v>1096</v>
      </c>
      <c r="G256" s="12" t="s">
        <v>1097</v>
      </c>
      <c r="H256" s="2" t="s">
        <v>248</v>
      </c>
      <c r="I256" s="2" t="s">
        <v>261</v>
      </c>
      <c r="J256" s="2" t="s">
        <v>77</v>
      </c>
      <c r="K256" s="2" t="s">
        <v>77</v>
      </c>
      <c r="L256" s="2" t="s">
        <v>250</v>
      </c>
      <c r="M256" s="2" t="s">
        <v>130</v>
      </c>
      <c r="N256" s="2" t="s">
        <v>251</v>
      </c>
      <c r="O256" s="2" t="s">
        <v>78</v>
      </c>
      <c r="P256" s="3" t="s">
        <v>374</v>
      </c>
      <c r="Q256" s="2" t="s">
        <v>80</v>
      </c>
      <c r="R256" s="2" t="s">
        <v>254</v>
      </c>
      <c r="S256" s="2" t="s">
        <v>81</v>
      </c>
      <c r="T256" s="13">
        <v>3.7549999999999999</v>
      </c>
      <c r="U256" s="2" t="s">
        <v>271</v>
      </c>
      <c r="V256" s="8">
        <v>3.2500000000000001E-2</v>
      </c>
      <c r="W256" s="8">
        <v>3.125E-2</v>
      </c>
      <c r="X256" s="2" t="s">
        <v>256</v>
      </c>
      <c r="Y256" s="2" t="s">
        <v>78</v>
      </c>
      <c r="Z256" s="6">
        <v>1895589.94</v>
      </c>
      <c r="AA256" s="13">
        <v>1</v>
      </c>
      <c r="AB256" s="6">
        <v>118.75</v>
      </c>
      <c r="AC256" s="6">
        <v>0</v>
      </c>
      <c r="AD256" s="6">
        <v>2251.0129999999999</v>
      </c>
      <c r="AG256" s="2" t="s">
        <v>23</v>
      </c>
      <c r="AH256" s="8">
        <v>5.5500000000000002E-3</v>
      </c>
      <c r="AI256" s="8">
        <v>6.8000000000000005E-4</v>
      </c>
      <c r="AJ256" s="8">
        <v>6.0000000000000002E-5</v>
      </c>
    </row>
    <row r="257" spans="1:36">
      <c r="A257" s="12">
        <v>1097</v>
      </c>
      <c r="B257" s="12">
        <v>1097</v>
      </c>
      <c r="C257" s="2" t="s">
        <v>1098</v>
      </c>
      <c r="D257" s="3" t="s">
        <v>1099</v>
      </c>
      <c r="E257" s="2" t="s">
        <v>245</v>
      </c>
      <c r="F257" s="2" t="s">
        <v>1100</v>
      </c>
      <c r="G257" s="12" t="s">
        <v>1101</v>
      </c>
      <c r="H257" s="2" t="s">
        <v>248</v>
      </c>
      <c r="I257" s="2" t="s">
        <v>249</v>
      </c>
      <c r="J257" s="2" t="s">
        <v>77</v>
      </c>
      <c r="K257" s="2" t="s">
        <v>77</v>
      </c>
      <c r="L257" s="2" t="s">
        <v>250</v>
      </c>
      <c r="M257" s="2" t="s">
        <v>130</v>
      </c>
      <c r="N257" s="2" t="s">
        <v>305</v>
      </c>
      <c r="O257" s="2" t="s">
        <v>78</v>
      </c>
      <c r="P257" s="3" t="s">
        <v>293</v>
      </c>
      <c r="Q257" s="2" t="s">
        <v>80</v>
      </c>
      <c r="R257" s="2" t="s">
        <v>254</v>
      </c>
      <c r="S257" s="2" t="s">
        <v>81</v>
      </c>
      <c r="T257" s="13">
        <v>0.59399999999999997</v>
      </c>
      <c r="U257" s="2" t="s">
        <v>1102</v>
      </c>
      <c r="V257" s="8">
        <v>2.7E-2</v>
      </c>
      <c r="W257" s="8">
        <v>4.5249999999999999E-2</v>
      </c>
      <c r="X257" s="2" t="s">
        <v>256</v>
      </c>
      <c r="Y257" s="2" t="s">
        <v>78</v>
      </c>
      <c r="Z257" s="6">
        <v>31980.66</v>
      </c>
      <c r="AA257" s="13">
        <v>1</v>
      </c>
      <c r="AB257" s="6">
        <v>99.04</v>
      </c>
      <c r="AC257" s="6">
        <v>0</v>
      </c>
      <c r="AD257" s="6">
        <v>31.673999999999999</v>
      </c>
      <c r="AG257" s="2" t="s">
        <v>23</v>
      </c>
      <c r="AH257" s="8">
        <v>5.1000000000000004E-4</v>
      </c>
      <c r="AI257" s="8">
        <v>1.0000000000000001E-5</v>
      </c>
      <c r="AJ257" s="8">
        <v>0</v>
      </c>
    </row>
    <row r="258" spans="1:36">
      <c r="A258" s="12">
        <v>1097</v>
      </c>
      <c r="B258" s="12">
        <v>1097</v>
      </c>
      <c r="C258" s="2" t="s">
        <v>1098</v>
      </c>
      <c r="D258" s="3" t="s">
        <v>1099</v>
      </c>
      <c r="E258" s="2" t="s">
        <v>245</v>
      </c>
      <c r="F258" s="2" t="s">
        <v>1103</v>
      </c>
      <c r="G258" s="12" t="s">
        <v>1104</v>
      </c>
      <c r="H258" s="2" t="s">
        <v>248</v>
      </c>
      <c r="I258" s="2" t="s">
        <v>261</v>
      </c>
      <c r="J258" s="2" t="s">
        <v>77</v>
      </c>
      <c r="K258" s="2" t="s">
        <v>77</v>
      </c>
      <c r="L258" s="2" t="s">
        <v>250</v>
      </c>
      <c r="M258" s="2" t="s">
        <v>130</v>
      </c>
      <c r="N258" s="2" t="s">
        <v>305</v>
      </c>
      <c r="O258" s="2" t="s">
        <v>78</v>
      </c>
      <c r="P258" s="3" t="s">
        <v>293</v>
      </c>
      <c r="Q258" s="2" t="s">
        <v>80</v>
      </c>
      <c r="R258" s="2" t="s">
        <v>254</v>
      </c>
      <c r="S258" s="2" t="s">
        <v>81</v>
      </c>
      <c r="T258" s="13">
        <v>3.18</v>
      </c>
      <c r="U258" s="2" t="s">
        <v>1105</v>
      </c>
      <c r="V258" s="8">
        <v>2.1999999999999999E-2</v>
      </c>
      <c r="W258" s="8">
        <v>2.8150000000000001E-2</v>
      </c>
      <c r="X258" s="2" t="s">
        <v>256</v>
      </c>
      <c r="Y258" s="2" t="s">
        <v>78</v>
      </c>
      <c r="Z258" s="6">
        <v>1042708.98</v>
      </c>
      <c r="AA258" s="13">
        <v>1</v>
      </c>
      <c r="AB258" s="6">
        <v>106.33</v>
      </c>
      <c r="AC258" s="6">
        <v>0</v>
      </c>
      <c r="AD258" s="6">
        <v>1108.712</v>
      </c>
      <c r="AG258" s="2" t="s">
        <v>23</v>
      </c>
      <c r="AH258" s="8">
        <v>1.81E-3</v>
      </c>
      <c r="AI258" s="8">
        <v>3.3E-4</v>
      </c>
      <c r="AJ258" s="8">
        <v>3.0000000000000001E-5</v>
      </c>
    </row>
    <row r="259" spans="1:36">
      <c r="A259" s="12">
        <v>1097</v>
      </c>
      <c r="B259" s="12">
        <v>1097</v>
      </c>
      <c r="C259" s="2" t="s">
        <v>1098</v>
      </c>
      <c r="D259" s="3" t="s">
        <v>1099</v>
      </c>
      <c r="E259" s="2" t="s">
        <v>245</v>
      </c>
      <c r="F259" s="2" t="s">
        <v>1106</v>
      </c>
      <c r="G259" s="12" t="s">
        <v>1107</v>
      </c>
      <c r="H259" s="2" t="s">
        <v>248</v>
      </c>
      <c r="I259" s="2" t="s">
        <v>249</v>
      </c>
      <c r="J259" s="2" t="s">
        <v>77</v>
      </c>
      <c r="K259" s="2" t="s">
        <v>77</v>
      </c>
      <c r="L259" s="2" t="s">
        <v>250</v>
      </c>
      <c r="M259" s="2" t="s">
        <v>130</v>
      </c>
      <c r="N259" s="2" t="s">
        <v>305</v>
      </c>
      <c r="O259" s="2" t="s">
        <v>78</v>
      </c>
      <c r="P259" s="3" t="s">
        <v>293</v>
      </c>
      <c r="Q259" s="2" t="s">
        <v>80</v>
      </c>
      <c r="R259" s="2" t="s">
        <v>254</v>
      </c>
      <c r="S259" s="2" t="s">
        <v>81</v>
      </c>
      <c r="T259" s="13">
        <v>3.05</v>
      </c>
      <c r="U259" s="2" t="s">
        <v>1105</v>
      </c>
      <c r="V259" s="8">
        <v>4.5600000000000002E-2</v>
      </c>
      <c r="W259" s="8">
        <v>4.7E-2</v>
      </c>
      <c r="X259" s="2" t="s">
        <v>256</v>
      </c>
      <c r="Y259" s="2" t="s">
        <v>78</v>
      </c>
      <c r="Z259" s="6">
        <v>4738506.72</v>
      </c>
      <c r="AA259" s="13">
        <v>1</v>
      </c>
      <c r="AB259" s="6">
        <v>99.94</v>
      </c>
      <c r="AC259" s="6">
        <v>0</v>
      </c>
      <c r="AD259" s="6">
        <v>4735.6639999999998</v>
      </c>
      <c r="AG259" s="2" t="s">
        <v>23</v>
      </c>
      <c r="AH259" s="8">
        <v>7.6600000000000001E-3</v>
      </c>
      <c r="AI259" s="8">
        <v>1.4300000000000001E-3</v>
      </c>
      <c r="AJ259" s="8">
        <v>1.2E-4</v>
      </c>
    </row>
    <row r="260" spans="1:36">
      <c r="A260" s="12">
        <v>1097</v>
      </c>
      <c r="B260" s="12">
        <v>1097</v>
      </c>
      <c r="C260" s="2" t="s">
        <v>1098</v>
      </c>
      <c r="D260" s="3" t="s">
        <v>1099</v>
      </c>
      <c r="E260" s="2" t="s">
        <v>245</v>
      </c>
      <c r="F260" s="2" t="s">
        <v>1108</v>
      </c>
      <c r="G260" s="12" t="s">
        <v>1109</v>
      </c>
      <c r="H260" s="2" t="s">
        <v>248</v>
      </c>
      <c r="I260" s="2" t="s">
        <v>261</v>
      </c>
      <c r="J260" s="2" t="s">
        <v>77</v>
      </c>
      <c r="K260" s="2" t="s">
        <v>77</v>
      </c>
      <c r="L260" s="2" t="s">
        <v>250</v>
      </c>
      <c r="M260" s="2" t="s">
        <v>130</v>
      </c>
      <c r="N260" s="2" t="s">
        <v>305</v>
      </c>
      <c r="O260" s="2" t="s">
        <v>78</v>
      </c>
      <c r="P260" s="3" t="s">
        <v>293</v>
      </c>
      <c r="Q260" s="2" t="s">
        <v>80</v>
      </c>
      <c r="R260" s="2" t="s">
        <v>254</v>
      </c>
      <c r="S260" s="2" t="s">
        <v>81</v>
      </c>
      <c r="T260" s="13">
        <v>0.59599999999999997</v>
      </c>
      <c r="U260" s="2" t="s">
        <v>1102</v>
      </c>
      <c r="V260" s="8">
        <v>1.7999999999999999E-2</v>
      </c>
      <c r="W260" s="8">
        <v>2.93E-2</v>
      </c>
      <c r="X260" s="2" t="s">
        <v>256</v>
      </c>
      <c r="Y260" s="2" t="s">
        <v>78</v>
      </c>
      <c r="Z260" s="6">
        <v>1939248.34</v>
      </c>
      <c r="AA260" s="13">
        <v>1</v>
      </c>
      <c r="AB260" s="6">
        <v>116.91</v>
      </c>
      <c r="AC260" s="6">
        <v>0</v>
      </c>
      <c r="AD260" s="6">
        <v>2267.1750000000002</v>
      </c>
      <c r="AG260" s="2" t="s">
        <v>23</v>
      </c>
      <c r="AH260" s="8">
        <v>5.9699999999999996E-3</v>
      </c>
      <c r="AI260" s="8">
        <v>6.8999999999999997E-4</v>
      </c>
      <c r="AJ260" s="8">
        <v>6.0000000000000002E-5</v>
      </c>
    </row>
    <row r="261" spans="1:36">
      <c r="A261" s="12">
        <v>1097</v>
      </c>
      <c r="B261" s="12">
        <v>1097</v>
      </c>
      <c r="C261" s="2" t="s">
        <v>1110</v>
      </c>
      <c r="D261" s="3" t="s">
        <v>1111</v>
      </c>
      <c r="E261" s="2" t="s">
        <v>245</v>
      </c>
      <c r="F261" s="2" t="s">
        <v>1112</v>
      </c>
      <c r="G261" s="12" t="s">
        <v>1113</v>
      </c>
      <c r="H261" s="2" t="s">
        <v>248</v>
      </c>
      <c r="I261" s="2" t="s">
        <v>249</v>
      </c>
      <c r="J261" s="2" t="s">
        <v>77</v>
      </c>
      <c r="K261" s="2" t="s">
        <v>77</v>
      </c>
      <c r="L261" s="2" t="s">
        <v>250</v>
      </c>
      <c r="M261" s="2" t="s">
        <v>130</v>
      </c>
      <c r="N261" s="2" t="s">
        <v>1114</v>
      </c>
      <c r="O261" s="2" t="s">
        <v>78</v>
      </c>
      <c r="P261" s="3" t="s">
        <v>306</v>
      </c>
      <c r="Q261" s="2" t="s">
        <v>80</v>
      </c>
      <c r="R261" s="2" t="s">
        <v>254</v>
      </c>
      <c r="S261" s="2" t="s">
        <v>81</v>
      </c>
      <c r="T261" s="13">
        <v>5.5179999999999998</v>
      </c>
      <c r="U261" s="2" t="s">
        <v>1115</v>
      </c>
      <c r="V261" s="8">
        <v>2.3400000000000001E-2</v>
      </c>
      <c r="W261" s="8">
        <v>4.8710000000000003E-2</v>
      </c>
      <c r="X261" s="2" t="s">
        <v>256</v>
      </c>
      <c r="Y261" s="2" t="s">
        <v>78</v>
      </c>
      <c r="Z261" s="6">
        <v>28129369.899999999</v>
      </c>
      <c r="AA261" s="13">
        <v>1</v>
      </c>
      <c r="AB261" s="6">
        <v>87.27</v>
      </c>
      <c r="AC261" s="6">
        <v>0</v>
      </c>
      <c r="AD261" s="6">
        <v>24548.501</v>
      </c>
      <c r="AG261" s="2" t="s">
        <v>23</v>
      </c>
      <c r="AH261" s="8">
        <v>3.073E-2</v>
      </c>
      <c r="AI261" s="8">
        <v>7.4200000000000004E-3</v>
      </c>
      <c r="AJ261" s="8">
        <v>6.0999999999999997E-4</v>
      </c>
    </row>
    <row r="262" spans="1:36">
      <c r="A262" s="12">
        <v>1097</v>
      </c>
      <c r="B262" s="12">
        <v>1097</v>
      </c>
      <c r="C262" s="2" t="s">
        <v>1110</v>
      </c>
      <c r="D262" s="3" t="s">
        <v>1111</v>
      </c>
      <c r="E262" s="2" t="s">
        <v>245</v>
      </c>
      <c r="F262" s="2" t="s">
        <v>1116</v>
      </c>
      <c r="G262" s="12" t="s">
        <v>1117</v>
      </c>
      <c r="H262" s="2" t="s">
        <v>248</v>
      </c>
      <c r="I262" s="2" t="s">
        <v>249</v>
      </c>
      <c r="J262" s="2" t="s">
        <v>77</v>
      </c>
      <c r="K262" s="2" t="s">
        <v>77</v>
      </c>
      <c r="L262" s="2" t="s">
        <v>250</v>
      </c>
      <c r="M262" s="2" t="s">
        <v>130</v>
      </c>
      <c r="N262" s="2" t="s">
        <v>1114</v>
      </c>
      <c r="O262" s="2" t="s">
        <v>78</v>
      </c>
      <c r="P262" s="3" t="s">
        <v>306</v>
      </c>
      <c r="Q262" s="2" t="s">
        <v>80</v>
      </c>
      <c r="R262" s="2" t="s">
        <v>254</v>
      </c>
      <c r="S262" s="2" t="s">
        <v>81</v>
      </c>
      <c r="T262" s="13">
        <v>0.26</v>
      </c>
      <c r="U262" s="2" t="s">
        <v>1118</v>
      </c>
      <c r="V262" s="8">
        <v>3.3500000000000002E-2</v>
      </c>
      <c r="W262" s="8">
        <v>5.4109999999999998E-2</v>
      </c>
      <c r="X262" s="2" t="s">
        <v>256</v>
      </c>
      <c r="Y262" s="2" t="s">
        <v>78</v>
      </c>
      <c r="Z262" s="6">
        <v>0.12</v>
      </c>
      <c r="AA262" s="13">
        <v>1</v>
      </c>
      <c r="AB262" s="6">
        <v>100.29</v>
      </c>
      <c r="AC262" s="6">
        <v>0</v>
      </c>
      <c r="AD262" s="6">
        <v>0</v>
      </c>
      <c r="AG262" s="2" t="s">
        <v>23</v>
      </c>
      <c r="AH262" s="8">
        <v>0</v>
      </c>
      <c r="AI262" s="8">
        <v>0</v>
      </c>
      <c r="AJ262" s="8">
        <v>0</v>
      </c>
    </row>
    <row r="263" spans="1:36">
      <c r="A263" s="12">
        <v>1097</v>
      </c>
      <c r="B263" s="12">
        <v>1097</v>
      </c>
      <c r="C263" s="2" t="s">
        <v>1110</v>
      </c>
      <c r="D263" s="3" t="s">
        <v>1111</v>
      </c>
      <c r="E263" s="2" t="s">
        <v>245</v>
      </c>
      <c r="F263" s="2" t="s">
        <v>1119</v>
      </c>
      <c r="G263" s="12" t="s">
        <v>1120</v>
      </c>
      <c r="H263" s="2" t="s">
        <v>248</v>
      </c>
      <c r="I263" s="2" t="s">
        <v>249</v>
      </c>
      <c r="J263" s="2" t="s">
        <v>77</v>
      </c>
      <c r="K263" s="2" t="s">
        <v>77</v>
      </c>
      <c r="L263" s="2" t="s">
        <v>250</v>
      </c>
      <c r="M263" s="2" t="s">
        <v>130</v>
      </c>
      <c r="N263" s="2" t="s">
        <v>1114</v>
      </c>
      <c r="O263" s="2" t="s">
        <v>78</v>
      </c>
      <c r="P263" s="3" t="s">
        <v>306</v>
      </c>
      <c r="Q263" s="2" t="s">
        <v>80</v>
      </c>
      <c r="R263" s="2" t="s">
        <v>254</v>
      </c>
      <c r="S263" s="2" t="s">
        <v>81</v>
      </c>
      <c r="T263" s="13">
        <v>2.8679999999999999</v>
      </c>
      <c r="U263" s="2" t="s">
        <v>949</v>
      </c>
      <c r="V263" s="8">
        <v>2.6200000000000001E-2</v>
      </c>
      <c r="W263" s="8">
        <v>4.8689999999999997E-2</v>
      </c>
      <c r="X263" s="2" t="s">
        <v>256</v>
      </c>
      <c r="Y263" s="2" t="s">
        <v>78</v>
      </c>
      <c r="Z263" s="6">
        <v>23259449.190000001</v>
      </c>
      <c r="AA263" s="13">
        <v>1</v>
      </c>
      <c r="AB263" s="6">
        <v>93.94</v>
      </c>
      <c r="AC263" s="6">
        <v>4972.54</v>
      </c>
      <c r="AD263" s="6">
        <v>26822.464</v>
      </c>
      <c r="AG263" s="2" t="s">
        <v>23</v>
      </c>
      <c r="AH263" s="8">
        <v>6.4860000000000001E-2</v>
      </c>
      <c r="AI263" s="8">
        <v>8.0999999999999996E-3</v>
      </c>
      <c r="AJ263" s="8">
        <v>6.7000000000000002E-4</v>
      </c>
    </row>
    <row r="264" spans="1:36">
      <c r="A264" s="12">
        <v>1097</v>
      </c>
      <c r="B264" s="12">
        <v>1097</v>
      </c>
      <c r="C264" s="2" t="s">
        <v>1110</v>
      </c>
      <c r="D264" s="3" t="s">
        <v>1111</v>
      </c>
      <c r="E264" s="2" t="s">
        <v>245</v>
      </c>
      <c r="F264" s="2" t="s">
        <v>1121</v>
      </c>
      <c r="G264" s="12" t="s">
        <v>1113</v>
      </c>
      <c r="H264" s="2" t="s">
        <v>248</v>
      </c>
      <c r="I264" s="2" t="s">
        <v>249</v>
      </c>
      <c r="J264" s="2" t="s">
        <v>77</v>
      </c>
      <c r="K264" s="2" t="s">
        <v>77</v>
      </c>
      <c r="L264" s="2" t="s">
        <v>353</v>
      </c>
      <c r="M264" s="2" t="s">
        <v>130</v>
      </c>
      <c r="N264" s="2" t="s">
        <v>1114</v>
      </c>
      <c r="O264" s="2" t="s">
        <v>78</v>
      </c>
      <c r="P264" s="3" t="s">
        <v>306</v>
      </c>
      <c r="Q264" s="2" t="s">
        <v>80</v>
      </c>
      <c r="R264" s="2" t="s">
        <v>254</v>
      </c>
      <c r="S264" s="2" t="s">
        <v>81</v>
      </c>
      <c r="T264" s="13">
        <v>5.5179999999999998</v>
      </c>
      <c r="U264" s="2" t="s">
        <v>1115</v>
      </c>
      <c r="V264" s="8">
        <v>2.3400000000000001E-2</v>
      </c>
      <c r="W264" s="8">
        <v>4.8710000000000003E-2</v>
      </c>
      <c r="X264" s="2" t="s">
        <v>256</v>
      </c>
      <c r="Y264" s="2" t="s">
        <v>78</v>
      </c>
      <c r="Z264" s="6">
        <v>100941</v>
      </c>
      <c r="AA264" s="13">
        <v>1</v>
      </c>
      <c r="AB264" s="6">
        <v>87.27</v>
      </c>
      <c r="AC264" s="6">
        <v>0</v>
      </c>
      <c r="AD264" s="6">
        <v>88.090999999999994</v>
      </c>
      <c r="AG264" s="2" t="s">
        <v>23</v>
      </c>
      <c r="AH264" s="8">
        <v>1.1E-4</v>
      </c>
      <c r="AI264" s="8">
        <v>3.0000000000000001E-5</v>
      </c>
      <c r="AJ264" s="8">
        <v>0</v>
      </c>
    </row>
    <row r="265" spans="1:36">
      <c r="A265" s="12">
        <v>1097</v>
      </c>
      <c r="B265" s="12">
        <v>1097</v>
      </c>
      <c r="C265" s="2" t="s">
        <v>1122</v>
      </c>
      <c r="D265" s="3" t="s">
        <v>1123</v>
      </c>
      <c r="E265" s="2" t="s">
        <v>245</v>
      </c>
      <c r="F265" s="2" t="s">
        <v>1124</v>
      </c>
      <c r="G265" s="12" t="s">
        <v>1125</v>
      </c>
      <c r="H265" s="2" t="s">
        <v>248</v>
      </c>
      <c r="I265" s="2" t="s">
        <v>249</v>
      </c>
      <c r="J265" s="2" t="s">
        <v>77</v>
      </c>
      <c r="K265" s="2" t="s">
        <v>77</v>
      </c>
      <c r="L265" s="2" t="s">
        <v>250</v>
      </c>
      <c r="M265" s="2" t="s">
        <v>130</v>
      </c>
      <c r="N265" s="2" t="s">
        <v>678</v>
      </c>
      <c r="O265" s="2" t="s">
        <v>78</v>
      </c>
      <c r="P265" s="3" t="s">
        <v>283</v>
      </c>
      <c r="Q265" s="2" t="s">
        <v>253</v>
      </c>
      <c r="R265" s="2" t="s">
        <v>254</v>
      </c>
      <c r="S265" s="2" t="s">
        <v>81</v>
      </c>
      <c r="T265" s="13">
        <v>1.9450000000000001</v>
      </c>
      <c r="U265" s="2" t="s">
        <v>665</v>
      </c>
      <c r="V265" s="8">
        <v>1.7500000000000002E-2</v>
      </c>
      <c r="W265" s="8">
        <v>4.9790000000000001E-2</v>
      </c>
      <c r="X265" s="2" t="s">
        <v>256</v>
      </c>
      <c r="Y265" s="2" t="s">
        <v>78</v>
      </c>
      <c r="Z265" s="6">
        <v>1344200.28</v>
      </c>
      <c r="AA265" s="13">
        <v>1</v>
      </c>
      <c r="AB265" s="6">
        <v>94.06</v>
      </c>
      <c r="AC265" s="6">
        <v>0</v>
      </c>
      <c r="AD265" s="6">
        <v>1264.355</v>
      </c>
      <c r="AG265" s="2" t="s">
        <v>23</v>
      </c>
      <c r="AH265" s="8">
        <v>1.9859999999999999E-2</v>
      </c>
      <c r="AI265" s="8">
        <v>3.8000000000000002E-4</v>
      </c>
      <c r="AJ265" s="8">
        <v>3.0000000000000001E-5</v>
      </c>
    </row>
    <row r="266" spans="1:36">
      <c r="A266" s="12">
        <v>1097</v>
      </c>
      <c r="B266" s="12">
        <v>1097</v>
      </c>
      <c r="C266" s="2" t="s">
        <v>1126</v>
      </c>
      <c r="D266" s="3" t="s">
        <v>1127</v>
      </c>
      <c r="E266" s="2" t="s">
        <v>245</v>
      </c>
      <c r="F266" s="2" t="s">
        <v>1128</v>
      </c>
      <c r="G266" s="12" t="s">
        <v>1129</v>
      </c>
      <c r="H266" s="2" t="s">
        <v>248</v>
      </c>
      <c r="I266" s="2" t="s">
        <v>261</v>
      </c>
      <c r="J266" s="2" t="s">
        <v>77</v>
      </c>
      <c r="K266" s="2" t="s">
        <v>77</v>
      </c>
      <c r="L266" s="2" t="s">
        <v>250</v>
      </c>
      <c r="M266" s="2" t="s">
        <v>130</v>
      </c>
      <c r="N266" s="2" t="s">
        <v>373</v>
      </c>
      <c r="O266" s="2" t="s">
        <v>78</v>
      </c>
      <c r="P266" s="3" t="s">
        <v>817</v>
      </c>
      <c r="Q266" s="2" t="s">
        <v>253</v>
      </c>
      <c r="R266" s="2" t="s">
        <v>254</v>
      </c>
      <c r="S266" s="2" t="s">
        <v>81</v>
      </c>
      <c r="T266" s="13">
        <v>11.587999999999999</v>
      </c>
      <c r="U266" s="2" t="s">
        <v>1130</v>
      </c>
      <c r="V266" s="8">
        <v>3.2899999999999999E-2</v>
      </c>
      <c r="W266" s="8">
        <v>2.6669999999999999E-2</v>
      </c>
      <c r="X266" s="2" t="s">
        <v>256</v>
      </c>
      <c r="Y266" s="2" t="s">
        <v>78</v>
      </c>
      <c r="Z266" s="6">
        <v>47446175</v>
      </c>
      <c r="AA266" s="13">
        <v>1</v>
      </c>
      <c r="AB266" s="6">
        <v>109.05</v>
      </c>
      <c r="AC266" s="6">
        <v>0</v>
      </c>
      <c r="AD266" s="6">
        <v>51740.053999999996</v>
      </c>
      <c r="AG266" s="2" t="s">
        <v>23</v>
      </c>
      <c r="AH266" s="8">
        <v>9.4890000000000002E-2</v>
      </c>
      <c r="AI266" s="8">
        <v>1.5630000000000002E-2</v>
      </c>
      <c r="AJ266" s="8">
        <v>1.2800000000000001E-3</v>
      </c>
    </row>
    <row r="267" spans="1:36">
      <c r="A267" s="12">
        <v>1097</v>
      </c>
      <c r="B267" s="12">
        <v>1097</v>
      </c>
      <c r="C267" s="2" t="s">
        <v>1126</v>
      </c>
      <c r="D267" s="3" t="s">
        <v>1127</v>
      </c>
      <c r="E267" s="2" t="s">
        <v>245</v>
      </c>
      <c r="F267" s="2" t="s">
        <v>1131</v>
      </c>
      <c r="G267" s="12" t="s">
        <v>1129</v>
      </c>
      <c r="H267" s="2" t="s">
        <v>248</v>
      </c>
      <c r="I267" s="2" t="s">
        <v>261</v>
      </c>
      <c r="J267" s="2" t="s">
        <v>77</v>
      </c>
      <c r="K267" s="2" t="s">
        <v>77</v>
      </c>
      <c r="L267" s="2" t="s">
        <v>353</v>
      </c>
      <c r="M267" s="2" t="s">
        <v>130</v>
      </c>
      <c r="N267" s="2" t="s">
        <v>373</v>
      </c>
      <c r="O267" s="2" t="s">
        <v>78</v>
      </c>
      <c r="P267" s="3" t="s">
        <v>817</v>
      </c>
      <c r="Q267" s="2" t="s">
        <v>253</v>
      </c>
      <c r="R267" s="2" t="s">
        <v>254</v>
      </c>
      <c r="S267" s="2" t="s">
        <v>81</v>
      </c>
      <c r="T267" s="13">
        <v>11.587999999999999</v>
      </c>
      <c r="U267" s="2" t="s">
        <v>1130</v>
      </c>
      <c r="V267" s="8">
        <v>3.2899999999999999E-2</v>
      </c>
      <c r="W267" s="8">
        <v>2.6669999999999999E-2</v>
      </c>
      <c r="X267" s="2" t="s">
        <v>256</v>
      </c>
      <c r="Y267" s="2" t="s">
        <v>78</v>
      </c>
      <c r="Z267" s="6">
        <v>2465825</v>
      </c>
      <c r="AA267" s="13">
        <v>1</v>
      </c>
      <c r="AB267" s="6">
        <v>109.05</v>
      </c>
      <c r="AC267" s="6">
        <v>0</v>
      </c>
      <c r="AD267" s="6">
        <v>2688.982</v>
      </c>
      <c r="AG267" s="2" t="s">
        <v>23</v>
      </c>
      <c r="AH267" s="8">
        <v>4.9300000000000004E-3</v>
      </c>
      <c r="AI267" s="8">
        <v>8.0999999999999996E-4</v>
      </c>
      <c r="AJ267" s="8">
        <v>6.9999999999999994E-5</v>
      </c>
    </row>
    <row r="268" spans="1:36">
      <c r="A268" s="12">
        <v>1097</v>
      </c>
      <c r="B268" s="12">
        <v>1097</v>
      </c>
      <c r="C268" s="2" t="s">
        <v>1132</v>
      </c>
      <c r="D268" s="3" t="s">
        <v>1133</v>
      </c>
      <c r="E268" s="2" t="s">
        <v>1134</v>
      </c>
      <c r="F268" s="2" t="s">
        <v>1135</v>
      </c>
      <c r="G268" s="12" t="s">
        <v>1136</v>
      </c>
      <c r="H268" s="2" t="s">
        <v>248</v>
      </c>
      <c r="I268" s="2" t="s">
        <v>132</v>
      </c>
      <c r="J268" s="2" t="s">
        <v>109</v>
      </c>
      <c r="K268" s="2" t="s">
        <v>226</v>
      </c>
      <c r="L268" s="2" t="s">
        <v>250</v>
      </c>
      <c r="M268" s="2" t="s">
        <v>132</v>
      </c>
      <c r="N268" s="2" t="s">
        <v>1137</v>
      </c>
      <c r="O268" s="2" t="s">
        <v>78</v>
      </c>
      <c r="P268" s="3" t="s">
        <v>1138</v>
      </c>
      <c r="Q268" s="2" t="s">
        <v>228</v>
      </c>
      <c r="R268" s="2" t="s">
        <v>254</v>
      </c>
      <c r="S268" s="2" t="s">
        <v>96</v>
      </c>
      <c r="T268" s="13">
        <v>0.7923</v>
      </c>
      <c r="U268" s="2" t="s">
        <v>1139</v>
      </c>
      <c r="V268" s="8">
        <v>3.5000000000000003E-2</v>
      </c>
      <c r="W268" s="8">
        <v>5.3999999999999999E-2</v>
      </c>
      <c r="X268" s="2" t="s">
        <v>256</v>
      </c>
      <c r="Y268" s="2" t="s">
        <v>78</v>
      </c>
      <c r="Z268" s="6">
        <v>2600000</v>
      </c>
      <c r="AA268" s="13">
        <v>3.3719999999999999</v>
      </c>
      <c r="AB268" s="6">
        <v>99.007000000000005</v>
      </c>
      <c r="AC268" s="6">
        <v>0</v>
      </c>
      <c r="AD268" s="6">
        <v>8680.1710000000003</v>
      </c>
      <c r="AG268" s="2" t="s">
        <v>23</v>
      </c>
      <c r="AH268" s="8">
        <v>2.0799999999999998E-3</v>
      </c>
      <c r="AI268" s="8">
        <v>2.6199999999999999E-3</v>
      </c>
      <c r="AJ268" s="8">
        <v>2.2000000000000001E-4</v>
      </c>
    </row>
    <row r="269" spans="1:36">
      <c r="A269" s="12">
        <v>1097</v>
      </c>
      <c r="B269" s="12">
        <v>1097</v>
      </c>
      <c r="C269" s="2" t="s">
        <v>1140</v>
      </c>
      <c r="D269" s="3" t="s">
        <v>1141</v>
      </c>
      <c r="E269" s="2" t="s">
        <v>1134</v>
      </c>
      <c r="F269" s="2" t="s">
        <v>1142</v>
      </c>
      <c r="G269" s="12" t="s">
        <v>1143</v>
      </c>
      <c r="H269" s="2" t="s">
        <v>248</v>
      </c>
      <c r="I269" s="2" t="s">
        <v>132</v>
      </c>
      <c r="J269" s="2" t="s">
        <v>109</v>
      </c>
      <c r="K269" s="2" t="s">
        <v>1144</v>
      </c>
      <c r="L269" s="2" t="s">
        <v>250</v>
      </c>
      <c r="M269" s="2" t="s">
        <v>132</v>
      </c>
      <c r="N269" s="2" t="s">
        <v>1145</v>
      </c>
      <c r="O269" s="2" t="s">
        <v>78</v>
      </c>
      <c r="P269" s="3" t="s">
        <v>1146</v>
      </c>
      <c r="Q269" s="2" t="s">
        <v>228</v>
      </c>
      <c r="R269" s="2" t="s">
        <v>254</v>
      </c>
      <c r="S269" s="2" t="s">
        <v>101</v>
      </c>
      <c r="T269" s="13">
        <v>2.7637999999999998</v>
      </c>
      <c r="U269" s="2" t="s">
        <v>1147</v>
      </c>
      <c r="V269" s="8">
        <v>0.10125000000000001</v>
      </c>
      <c r="W269" s="8">
        <v>9.1800000000000007E-2</v>
      </c>
      <c r="X269" s="2" t="s">
        <v>256</v>
      </c>
      <c r="Y269" s="2" t="s">
        <v>78</v>
      </c>
      <c r="Z269" s="6">
        <v>34000000</v>
      </c>
      <c r="AA269" s="13">
        <v>0.17899999999999999</v>
      </c>
      <c r="AB269" s="6">
        <v>107.223</v>
      </c>
      <c r="AC269" s="6">
        <v>0</v>
      </c>
      <c r="AD269" s="6">
        <v>6510.9939999999997</v>
      </c>
      <c r="AG269" s="2" t="s">
        <v>23</v>
      </c>
      <c r="AH269" s="8">
        <v>1.9400000000000001E-3</v>
      </c>
      <c r="AI269" s="8">
        <v>1.97E-3</v>
      </c>
      <c r="AJ269" s="8">
        <v>1.6000000000000001E-4</v>
      </c>
    </row>
    <row r="270" spans="1:36">
      <c r="A270" s="12">
        <v>1097</v>
      </c>
      <c r="B270" s="12">
        <v>1097</v>
      </c>
      <c r="C270" s="2" t="s">
        <v>1148</v>
      </c>
      <c r="D270" s="3" t="s">
        <v>1149</v>
      </c>
      <c r="E270" s="2" t="s">
        <v>1134</v>
      </c>
      <c r="F270" s="2" t="s">
        <v>1150</v>
      </c>
      <c r="G270" s="12" t="s">
        <v>1151</v>
      </c>
      <c r="H270" s="2" t="s">
        <v>248</v>
      </c>
      <c r="I270" s="2" t="s">
        <v>132</v>
      </c>
      <c r="J270" s="2" t="s">
        <v>109</v>
      </c>
      <c r="K270" s="2" t="s">
        <v>1152</v>
      </c>
      <c r="L270" s="2" t="s">
        <v>250</v>
      </c>
      <c r="M270" s="2" t="s">
        <v>132</v>
      </c>
      <c r="N270" s="2" t="s">
        <v>1137</v>
      </c>
      <c r="O270" s="2" t="s">
        <v>78</v>
      </c>
      <c r="P270" s="3" t="s">
        <v>110</v>
      </c>
      <c r="Q270" s="2" t="s">
        <v>111</v>
      </c>
      <c r="R270" s="2" t="s">
        <v>254</v>
      </c>
      <c r="S270" s="2" t="s">
        <v>96</v>
      </c>
      <c r="T270" s="13">
        <v>5.5804999999999998</v>
      </c>
      <c r="U270" s="2" t="s">
        <v>1153</v>
      </c>
      <c r="V270" s="8">
        <v>2.6460000000000001E-2</v>
      </c>
      <c r="W270" s="8">
        <v>5.11E-2</v>
      </c>
      <c r="X270" s="2" t="s">
        <v>256</v>
      </c>
      <c r="Y270" s="2" t="s">
        <v>78</v>
      </c>
      <c r="Z270" s="6">
        <v>1970000</v>
      </c>
      <c r="AA270" s="13">
        <v>3.3719999999999999</v>
      </c>
      <c r="AB270" s="6">
        <v>87.39</v>
      </c>
      <c r="AC270" s="6">
        <v>0</v>
      </c>
      <c r="AD270" s="6">
        <v>5805.1850000000004</v>
      </c>
      <c r="AG270" s="2" t="s">
        <v>23</v>
      </c>
      <c r="AH270" s="8">
        <v>3.9399999999999999E-3</v>
      </c>
      <c r="AI270" s="8">
        <v>1.75E-3</v>
      </c>
      <c r="AJ270" s="8">
        <v>1.3999999999999999E-4</v>
      </c>
    </row>
    <row r="271" spans="1:36">
      <c r="A271" s="12">
        <v>1097</v>
      </c>
      <c r="B271" s="12">
        <v>1097</v>
      </c>
      <c r="C271" s="2" t="s">
        <v>1154</v>
      </c>
      <c r="D271" s="3" t="s">
        <v>1155</v>
      </c>
      <c r="E271" s="2" t="s">
        <v>1134</v>
      </c>
      <c r="F271" s="2" t="s">
        <v>1156</v>
      </c>
      <c r="G271" s="12" t="s">
        <v>1157</v>
      </c>
      <c r="H271" s="2" t="s">
        <v>248</v>
      </c>
      <c r="I271" s="2" t="s">
        <v>132</v>
      </c>
      <c r="J271" s="2" t="s">
        <v>109</v>
      </c>
      <c r="K271" s="2" t="s">
        <v>1158</v>
      </c>
      <c r="L271" s="2" t="s">
        <v>250</v>
      </c>
      <c r="M271" s="2" t="s">
        <v>132</v>
      </c>
      <c r="N271" s="2" t="s">
        <v>1159</v>
      </c>
      <c r="O271" s="2" t="s">
        <v>78</v>
      </c>
      <c r="P271" s="3" t="s">
        <v>1160</v>
      </c>
      <c r="Q271" s="2" t="s">
        <v>1161</v>
      </c>
      <c r="R271" s="2" t="s">
        <v>254</v>
      </c>
      <c r="S271" s="2" t="s">
        <v>96</v>
      </c>
      <c r="T271" s="13">
        <v>9.4458000000000002</v>
      </c>
      <c r="U271" s="2" t="s">
        <v>1162</v>
      </c>
      <c r="V271" s="8">
        <v>0.04</v>
      </c>
      <c r="W271" s="8">
        <v>5.2400000000000002E-2</v>
      </c>
      <c r="X271" s="2" t="s">
        <v>256</v>
      </c>
      <c r="Y271" s="2" t="s">
        <v>78</v>
      </c>
      <c r="Z271" s="6">
        <v>1120000</v>
      </c>
      <c r="AA271" s="13">
        <v>3.3719999999999999</v>
      </c>
      <c r="AB271" s="6">
        <v>88.546999999999997</v>
      </c>
      <c r="AC271" s="6">
        <v>0</v>
      </c>
      <c r="AD271" s="6">
        <v>3344.0889999999999</v>
      </c>
      <c r="AG271" s="2" t="s">
        <v>23</v>
      </c>
      <c r="AH271" s="8">
        <v>1.1199999999999999E-3</v>
      </c>
      <c r="AI271" s="8">
        <v>1.01E-3</v>
      </c>
      <c r="AJ271" s="8">
        <v>8.0000000000000007E-5</v>
      </c>
    </row>
    <row r="272" spans="1:36">
      <c r="A272" s="12">
        <v>1097</v>
      </c>
      <c r="B272" s="12">
        <v>1097</v>
      </c>
      <c r="C272" s="2" t="s">
        <v>1163</v>
      </c>
      <c r="D272" s="3" t="s">
        <v>1164</v>
      </c>
      <c r="E272" s="2" t="s">
        <v>1134</v>
      </c>
      <c r="F272" s="2" t="s">
        <v>1165</v>
      </c>
      <c r="G272" s="12" t="s">
        <v>1166</v>
      </c>
      <c r="H272" s="2" t="s">
        <v>248</v>
      </c>
      <c r="I272" s="2" t="s">
        <v>132</v>
      </c>
      <c r="J272" s="2" t="s">
        <v>109</v>
      </c>
      <c r="K272" s="2" t="s">
        <v>226</v>
      </c>
      <c r="L272" s="2" t="s">
        <v>250</v>
      </c>
      <c r="M272" s="2" t="s">
        <v>132</v>
      </c>
      <c r="N272" s="2" t="s">
        <v>1167</v>
      </c>
      <c r="O272" s="2" t="s">
        <v>78</v>
      </c>
      <c r="P272" s="3" t="s">
        <v>1168</v>
      </c>
      <c r="Q272" s="2" t="s">
        <v>111</v>
      </c>
      <c r="R272" s="2" t="s">
        <v>254</v>
      </c>
      <c r="S272" s="2" t="s">
        <v>96</v>
      </c>
      <c r="T272" s="13">
        <v>4.4294000000000002</v>
      </c>
      <c r="U272" s="2" t="s">
        <v>1169</v>
      </c>
      <c r="V272" s="8">
        <v>2.5919999999999999E-2</v>
      </c>
      <c r="W272" s="8">
        <v>4.5499999999999999E-2</v>
      </c>
      <c r="X272" s="2" t="s">
        <v>256</v>
      </c>
      <c r="Y272" s="2" t="s">
        <v>78</v>
      </c>
      <c r="Z272" s="6">
        <v>940000</v>
      </c>
      <c r="AA272" s="13">
        <v>3.3719999999999999</v>
      </c>
      <c r="AB272" s="6">
        <v>91.876999999999995</v>
      </c>
      <c r="AC272" s="6">
        <v>0</v>
      </c>
      <c r="AD272" s="6">
        <v>2912.2130000000002</v>
      </c>
      <c r="AG272" s="2" t="s">
        <v>23</v>
      </c>
      <c r="AH272" s="8">
        <v>3.1E-4</v>
      </c>
      <c r="AI272" s="8">
        <v>8.8000000000000003E-4</v>
      </c>
      <c r="AJ272" s="8">
        <v>6.9999999999999994E-5</v>
      </c>
    </row>
    <row r="273" spans="1:36">
      <c r="A273" s="12">
        <v>1097</v>
      </c>
      <c r="B273" s="12">
        <v>1097</v>
      </c>
      <c r="C273" s="2" t="s">
        <v>1170</v>
      </c>
      <c r="D273" s="3" t="s">
        <v>1171</v>
      </c>
      <c r="E273" s="2" t="s">
        <v>1134</v>
      </c>
      <c r="F273" s="2" t="s">
        <v>1172</v>
      </c>
      <c r="G273" s="12" t="s">
        <v>1173</v>
      </c>
      <c r="H273" s="2" t="s">
        <v>248</v>
      </c>
      <c r="I273" s="2" t="s">
        <v>132</v>
      </c>
      <c r="J273" s="2" t="s">
        <v>109</v>
      </c>
      <c r="K273" s="2" t="s">
        <v>1174</v>
      </c>
      <c r="L273" s="2" t="s">
        <v>250</v>
      </c>
      <c r="M273" s="2" t="s">
        <v>132</v>
      </c>
      <c r="N273" s="2" t="s">
        <v>1167</v>
      </c>
      <c r="O273" s="2" t="s">
        <v>78</v>
      </c>
      <c r="P273" s="3" t="s">
        <v>1175</v>
      </c>
      <c r="Q273" s="2" t="s">
        <v>111</v>
      </c>
      <c r="R273" s="2" t="s">
        <v>254</v>
      </c>
      <c r="S273" s="2" t="s">
        <v>96</v>
      </c>
      <c r="T273" s="13">
        <v>1.2526999999999999</v>
      </c>
      <c r="U273" s="2" t="s">
        <v>1176</v>
      </c>
      <c r="V273" s="8">
        <v>2.0449999999999999E-2</v>
      </c>
      <c r="W273" s="8">
        <v>4.6300000000000001E-2</v>
      </c>
      <c r="X273" s="2" t="s">
        <v>256</v>
      </c>
      <c r="Y273" s="2" t="s">
        <v>78</v>
      </c>
      <c r="Z273" s="6">
        <v>2400000</v>
      </c>
      <c r="AA273" s="13">
        <v>3.3719999999999999</v>
      </c>
      <c r="AB273" s="6">
        <v>97.120999999999995</v>
      </c>
      <c r="AC273" s="6">
        <v>0</v>
      </c>
      <c r="AD273" s="6">
        <v>7859.8050000000003</v>
      </c>
      <c r="AG273" s="2" t="s">
        <v>23</v>
      </c>
      <c r="AH273" s="8">
        <v>2.3999999999999998E-3</v>
      </c>
      <c r="AI273" s="8">
        <v>2.3700000000000001E-3</v>
      </c>
      <c r="AJ273" s="8">
        <v>2.0000000000000001E-4</v>
      </c>
    </row>
    <row r="274" spans="1:36">
      <c r="A274" s="12">
        <v>1097</v>
      </c>
      <c r="B274" s="12">
        <v>1097</v>
      </c>
      <c r="C274" s="2" t="s">
        <v>1177</v>
      </c>
      <c r="D274" s="3" t="s">
        <v>1178</v>
      </c>
      <c r="E274" s="2" t="s">
        <v>1134</v>
      </c>
      <c r="F274" s="2" t="s">
        <v>1179</v>
      </c>
      <c r="G274" s="12" t="s">
        <v>1180</v>
      </c>
      <c r="H274" s="2" t="s">
        <v>248</v>
      </c>
      <c r="I274" s="2" t="s">
        <v>132</v>
      </c>
      <c r="J274" s="2" t="s">
        <v>109</v>
      </c>
      <c r="K274" s="2" t="s">
        <v>226</v>
      </c>
      <c r="L274" s="2" t="s">
        <v>250</v>
      </c>
      <c r="M274" s="2" t="s">
        <v>132</v>
      </c>
      <c r="N274" s="2" t="s">
        <v>1181</v>
      </c>
      <c r="O274" s="2" t="s">
        <v>78</v>
      </c>
      <c r="P274" s="3" t="s">
        <v>1168</v>
      </c>
      <c r="Q274" s="2" t="s">
        <v>111</v>
      </c>
      <c r="R274" s="2" t="s">
        <v>254</v>
      </c>
      <c r="S274" s="2" t="s">
        <v>96</v>
      </c>
      <c r="T274" s="13">
        <v>14.922499999999999</v>
      </c>
      <c r="U274" s="2" t="s">
        <v>1182</v>
      </c>
      <c r="V274" s="8">
        <v>0.03</v>
      </c>
      <c r="W274" s="8">
        <v>5.6500000000000002E-2</v>
      </c>
      <c r="X274" s="2" t="s">
        <v>256</v>
      </c>
      <c r="Y274" s="2" t="s">
        <v>78</v>
      </c>
      <c r="Z274" s="6">
        <v>1630000</v>
      </c>
      <c r="AA274" s="13">
        <v>3.3719999999999999</v>
      </c>
      <c r="AB274" s="6">
        <v>65.456999999999994</v>
      </c>
      <c r="AC274" s="6">
        <v>0</v>
      </c>
      <c r="AD274" s="6">
        <v>3597.752</v>
      </c>
      <c r="AG274" s="2" t="s">
        <v>23</v>
      </c>
      <c r="AH274" s="8">
        <v>8.1999999999999998E-4</v>
      </c>
      <c r="AI274" s="8">
        <v>1.09E-3</v>
      </c>
      <c r="AJ274" s="8">
        <v>9.0000000000000006E-5</v>
      </c>
    </row>
    <row r="275" spans="1:36">
      <c r="A275" s="12">
        <v>1097</v>
      </c>
      <c r="B275" s="12">
        <v>1097</v>
      </c>
      <c r="C275" s="2" t="s">
        <v>1183</v>
      </c>
      <c r="D275" s="3" t="s">
        <v>1184</v>
      </c>
      <c r="E275" s="2" t="s">
        <v>1134</v>
      </c>
      <c r="F275" s="2" t="s">
        <v>1185</v>
      </c>
      <c r="G275" s="12" t="s">
        <v>1186</v>
      </c>
      <c r="H275" s="2" t="s">
        <v>248</v>
      </c>
      <c r="I275" s="2" t="s">
        <v>132</v>
      </c>
      <c r="J275" s="2" t="s">
        <v>109</v>
      </c>
      <c r="K275" s="2" t="s">
        <v>226</v>
      </c>
      <c r="L275" s="2" t="s">
        <v>250</v>
      </c>
      <c r="M275" s="2" t="s">
        <v>132</v>
      </c>
      <c r="N275" s="2" t="s">
        <v>1181</v>
      </c>
      <c r="O275" s="2" t="s">
        <v>78</v>
      </c>
      <c r="P275" s="3" t="s">
        <v>1187</v>
      </c>
      <c r="Q275" s="2" t="s">
        <v>111</v>
      </c>
      <c r="R275" s="2" t="s">
        <v>254</v>
      </c>
      <c r="S275" s="2" t="s">
        <v>96</v>
      </c>
      <c r="T275" s="13">
        <v>0.2198</v>
      </c>
      <c r="U275" s="2" t="s">
        <v>1188</v>
      </c>
      <c r="V275" s="8">
        <v>4.3749999999999997E-2</v>
      </c>
      <c r="W275" s="8">
        <v>4.8599999999999997E-2</v>
      </c>
      <c r="X275" s="2" t="s">
        <v>256</v>
      </c>
      <c r="Y275" s="2" t="s">
        <v>78</v>
      </c>
      <c r="Z275" s="6">
        <v>1940000</v>
      </c>
      <c r="AA275" s="13">
        <v>3.3719999999999999</v>
      </c>
      <c r="AB275" s="6">
        <v>101.05</v>
      </c>
      <c r="AC275" s="6">
        <v>0</v>
      </c>
      <c r="AD275" s="6">
        <v>6610.3459999999995</v>
      </c>
      <c r="AG275" s="2" t="s">
        <v>23</v>
      </c>
      <c r="AH275" s="8">
        <v>7.7999999999999999E-4</v>
      </c>
      <c r="AI275" s="8">
        <v>2E-3</v>
      </c>
      <c r="AJ275" s="8">
        <v>1.6000000000000001E-4</v>
      </c>
    </row>
    <row r="276" spans="1:36">
      <c r="A276" s="12">
        <v>1097</v>
      </c>
      <c r="B276" s="12">
        <v>1097</v>
      </c>
      <c r="C276" s="2" t="s">
        <v>1189</v>
      </c>
      <c r="D276" s="3" t="s">
        <v>1190</v>
      </c>
      <c r="E276" s="2" t="s">
        <v>1134</v>
      </c>
      <c r="F276" s="2" t="s">
        <v>1191</v>
      </c>
      <c r="G276" s="12" t="s">
        <v>1192</v>
      </c>
      <c r="H276" s="2" t="s">
        <v>248</v>
      </c>
      <c r="I276" s="2" t="s">
        <v>132</v>
      </c>
      <c r="J276" s="2" t="s">
        <v>109</v>
      </c>
      <c r="K276" s="2" t="s">
        <v>226</v>
      </c>
      <c r="L276" s="2" t="s">
        <v>250</v>
      </c>
      <c r="M276" s="2" t="s">
        <v>132</v>
      </c>
      <c r="N276" s="2" t="s">
        <v>1167</v>
      </c>
      <c r="O276" s="2" t="s">
        <v>78</v>
      </c>
      <c r="P276" s="3" t="s">
        <v>1175</v>
      </c>
      <c r="Q276" s="2" t="s">
        <v>111</v>
      </c>
      <c r="R276" s="2" t="s">
        <v>254</v>
      </c>
      <c r="S276" s="2" t="s">
        <v>96</v>
      </c>
      <c r="T276" s="13">
        <v>4.1856999999999998</v>
      </c>
      <c r="U276" s="2" t="s">
        <v>271</v>
      </c>
      <c r="V276" s="8">
        <v>4.4119999999999999E-2</v>
      </c>
      <c r="W276" s="8">
        <v>4.6199999999999998E-2</v>
      </c>
      <c r="X276" s="2" t="s">
        <v>256</v>
      </c>
      <c r="Y276" s="2" t="s">
        <v>78</v>
      </c>
      <c r="Z276" s="6">
        <v>1120000</v>
      </c>
      <c r="AA276" s="13">
        <v>3.3719999999999999</v>
      </c>
      <c r="AB276" s="6">
        <v>100.069</v>
      </c>
      <c r="AC276" s="6">
        <v>0</v>
      </c>
      <c r="AD276" s="6">
        <v>3779.2460000000001</v>
      </c>
      <c r="AG276" s="2" t="s">
        <v>23</v>
      </c>
      <c r="AH276" s="8">
        <v>2.7999999999999998E-4</v>
      </c>
      <c r="AI276" s="8">
        <v>1.14E-3</v>
      </c>
      <c r="AJ276" s="8">
        <v>9.0000000000000006E-5</v>
      </c>
    </row>
    <row r="277" spans="1:36">
      <c r="A277" s="12">
        <v>1097</v>
      </c>
      <c r="B277" s="12">
        <v>1097</v>
      </c>
      <c r="C277" s="2" t="s">
        <v>1193</v>
      </c>
      <c r="D277" s="3" t="s">
        <v>1194</v>
      </c>
      <c r="E277" s="2" t="s">
        <v>1134</v>
      </c>
      <c r="F277" s="2" t="s">
        <v>1195</v>
      </c>
      <c r="G277" s="12" t="s">
        <v>1196</v>
      </c>
      <c r="H277" s="2" t="s">
        <v>248</v>
      </c>
      <c r="I277" s="2" t="s">
        <v>132</v>
      </c>
      <c r="J277" s="2" t="s">
        <v>109</v>
      </c>
      <c r="K277" s="2" t="s">
        <v>1197</v>
      </c>
      <c r="L277" s="2" t="s">
        <v>250</v>
      </c>
      <c r="M277" s="2" t="s">
        <v>132</v>
      </c>
      <c r="N277" s="2" t="s">
        <v>1198</v>
      </c>
      <c r="O277" s="2" t="s">
        <v>78</v>
      </c>
      <c r="P277" s="3" t="s">
        <v>1199</v>
      </c>
      <c r="Q277" s="2" t="s">
        <v>228</v>
      </c>
      <c r="R277" s="2" t="s">
        <v>254</v>
      </c>
      <c r="S277" s="2" t="s">
        <v>96</v>
      </c>
      <c r="T277" s="13">
        <v>3.8816000000000002</v>
      </c>
      <c r="U277" s="2" t="s">
        <v>329</v>
      </c>
      <c r="V277" s="8">
        <v>0.03</v>
      </c>
      <c r="W277" s="8">
        <v>4.82E-2</v>
      </c>
      <c r="X277" s="2" t="s">
        <v>256</v>
      </c>
      <c r="Y277" s="2" t="s">
        <v>78</v>
      </c>
      <c r="Z277" s="6">
        <v>850000</v>
      </c>
      <c r="AA277" s="13">
        <v>3.3719999999999999</v>
      </c>
      <c r="AB277" s="6">
        <v>93.491</v>
      </c>
      <c r="AC277" s="6">
        <v>0</v>
      </c>
      <c r="AD277" s="6">
        <v>2679.6390000000001</v>
      </c>
      <c r="AG277" s="2" t="s">
        <v>23</v>
      </c>
      <c r="AH277" s="8">
        <v>7.6999999999999996E-4</v>
      </c>
      <c r="AI277" s="8">
        <v>8.0999999999999996E-4</v>
      </c>
      <c r="AJ277" s="8">
        <v>6.9999999999999994E-5</v>
      </c>
    </row>
    <row r="278" spans="1:36">
      <c r="A278" s="12">
        <v>1097</v>
      </c>
      <c r="B278" s="12">
        <v>1097</v>
      </c>
      <c r="C278" s="2" t="s">
        <v>1200</v>
      </c>
      <c r="D278" s="3" t="s">
        <v>1201</v>
      </c>
      <c r="E278" s="2" t="s">
        <v>1134</v>
      </c>
      <c r="F278" s="2" t="s">
        <v>1202</v>
      </c>
      <c r="G278" s="12" t="s">
        <v>1203</v>
      </c>
      <c r="H278" s="2" t="s">
        <v>248</v>
      </c>
      <c r="I278" s="2" t="s">
        <v>132</v>
      </c>
      <c r="J278" s="2" t="s">
        <v>109</v>
      </c>
      <c r="K278" s="2" t="s">
        <v>226</v>
      </c>
      <c r="L278" s="2" t="s">
        <v>250</v>
      </c>
      <c r="M278" s="2" t="s">
        <v>132</v>
      </c>
      <c r="N278" s="2" t="s">
        <v>1167</v>
      </c>
      <c r="O278" s="2" t="s">
        <v>78</v>
      </c>
      <c r="P278" s="3" t="s">
        <v>1175</v>
      </c>
      <c r="Q278" s="2" t="s">
        <v>111</v>
      </c>
      <c r="R278" s="2" t="s">
        <v>254</v>
      </c>
      <c r="S278" s="2" t="s">
        <v>96</v>
      </c>
      <c r="T278" s="13">
        <v>6.0071000000000003</v>
      </c>
      <c r="U278" s="2" t="s">
        <v>1204</v>
      </c>
      <c r="V278" s="8">
        <v>6.1249999999999999E-2</v>
      </c>
      <c r="W278" s="8">
        <v>4.6100000000000002E-2</v>
      </c>
      <c r="X278" s="2" t="s">
        <v>256</v>
      </c>
      <c r="Y278" s="2" t="s">
        <v>78</v>
      </c>
      <c r="Z278" s="6">
        <v>730000</v>
      </c>
      <c r="AA278" s="13">
        <v>3.3719999999999999</v>
      </c>
      <c r="AB278" s="6">
        <v>111.654</v>
      </c>
      <c r="AC278" s="6">
        <v>0</v>
      </c>
      <c r="AD278" s="6">
        <v>2748.4259999999999</v>
      </c>
      <c r="AG278" s="2" t="s">
        <v>23</v>
      </c>
      <c r="AH278" s="8">
        <v>3.1E-4</v>
      </c>
      <c r="AI278" s="8">
        <v>8.3000000000000001E-4</v>
      </c>
      <c r="AJ278" s="8">
        <v>6.9999999999999994E-5</v>
      </c>
    </row>
    <row r="279" spans="1:36">
      <c r="A279" s="12">
        <v>1097</v>
      </c>
      <c r="B279" s="12">
        <v>1097</v>
      </c>
      <c r="C279" s="2" t="s">
        <v>1205</v>
      </c>
      <c r="D279" s="3" t="s">
        <v>1206</v>
      </c>
      <c r="E279" s="2" t="s">
        <v>1134</v>
      </c>
      <c r="F279" s="2" t="s">
        <v>1207</v>
      </c>
      <c r="G279" s="12" t="s">
        <v>1208</v>
      </c>
      <c r="H279" s="2" t="s">
        <v>248</v>
      </c>
      <c r="I279" s="2" t="s">
        <v>132</v>
      </c>
      <c r="J279" s="2" t="s">
        <v>109</v>
      </c>
      <c r="K279" s="2" t="s">
        <v>226</v>
      </c>
      <c r="L279" s="2" t="s">
        <v>250</v>
      </c>
      <c r="M279" s="2" t="s">
        <v>132</v>
      </c>
      <c r="N279" s="2" t="s">
        <v>1167</v>
      </c>
      <c r="O279" s="2" t="s">
        <v>78</v>
      </c>
      <c r="P279" s="3" t="s">
        <v>1168</v>
      </c>
      <c r="Q279" s="2" t="s">
        <v>111</v>
      </c>
      <c r="R279" s="2" t="s">
        <v>254</v>
      </c>
      <c r="S279" s="2" t="s">
        <v>96</v>
      </c>
      <c r="T279" s="13">
        <v>5.2930999999999999</v>
      </c>
      <c r="U279" s="2" t="s">
        <v>1209</v>
      </c>
      <c r="V279" s="8">
        <v>2.8039999999999999E-2</v>
      </c>
      <c r="W279" s="8">
        <v>4.9799999999999997E-2</v>
      </c>
      <c r="X279" s="2" t="s">
        <v>256</v>
      </c>
      <c r="Y279" s="2" t="s">
        <v>78</v>
      </c>
      <c r="Z279" s="6">
        <v>245000</v>
      </c>
      <c r="AA279" s="13">
        <v>3.3719999999999999</v>
      </c>
      <c r="AB279" s="6">
        <v>89.088999999999999</v>
      </c>
      <c r="AC279" s="6">
        <v>0</v>
      </c>
      <c r="AD279" s="6">
        <v>735.99800000000005</v>
      </c>
      <c r="AG279" s="2" t="s">
        <v>23</v>
      </c>
      <c r="AH279" s="8">
        <v>8.0000000000000007E-5</v>
      </c>
      <c r="AI279" s="8">
        <v>2.2000000000000001E-4</v>
      </c>
      <c r="AJ279" s="8">
        <v>2.0000000000000002E-5</v>
      </c>
    </row>
    <row r="280" spans="1:36">
      <c r="A280" s="12">
        <v>1097</v>
      </c>
      <c r="B280" s="12">
        <v>1097</v>
      </c>
      <c r="C280" s="2" t="s">
        <v>1210</v>
      </c>
      <c r="D280" s="3" t="s">
        <v>1206</v>
      </c>
      <c r="E280" s="2" t="s">
        <v>1134</v>
      </c>
      <c r="F280" s="2" t="s">
        <v>1211</v>
      </c>
      <c r="G280" s="12" t="s">
        <v>1212</v>
      </c>
      <c r="H280" s="2" t="s">
        <v>248</v>
      </c>
      <c r="I280" s="2" t="s">
        <v>132</v>
      </c>
      <c r="J280" s="2" t="s">
        <v>109</v>
      </c>
      <c r="K280" s="2" t="s">
        <v>1213</v>
      </c>
      <c r="L280" s="2" t="s">
        <v>250</v>
      </c>
      <c r="M280" s="2" t="s">
        <v>132</v>
      </c>
      <c r="N280" s="2" t="s">
        <v>1167</v>
      </c>
      <c r="O280" s="2" t="s">
        <v>78</v>
      </c>
      <c r="P280" s="3" t="s">
        <v>1168</v>
      </c>
      <c r="Q280" s="2" t="s">
        <v>111</v>
      </c>
      <c r="R280" s="2" t="s">
        <v>254</v>
      </c>
      <c r="S280" s="2" t="s">
        <v>96</v>
      </c>
      <c r="T280" s="13">
        <v>10.653600000000001</v>
      </c>
      <c r="U280" s="2" t="s">
        <v>1214</v>
      </c>
      <c r="V280" s="8">
        <v>6.3320000000000001E-2</v>
      </c>
      <c r="W280" s="8">
        <v>5.6099999999999997E-2</v>
      </c>
      <c r="X280" s="2" t="s">
        <v>256</v>
      </c>
      <c r="Y280" s="2" t="s">
        <v>78</v>
      </c>
      <c r="Z280" s="6">
        <v>2250000</v>
      </c>
      <c r="AA280" s="13">
        <v>3.3719999999999999</v>
      </c>
      <c r="AB280" s="6">
        <v>109.205</v>
      </c>
      <c r="AC280" s="6">
        <v>0</v>
      </c>
      <c r="AD280" s="6">
        <v>8285.3799999999992</v>
      </c>
      <c r="AG280" s="2" t="s">
        <v>23</v>
      </c>
      <c r="AH280" s="8">
        <v>8.1999999999999998E-4</v>
      </c>
      <c r="AI280" s="8">
        <v>2.5000000000000001E-3</v>
      </c>
      <c r="AJ280" s="8">
        <v>2.1000000000000001E-4</v>
      </c>
    </row>
    <row r="281" spans="1:36">
      <c r="A281" s="12">
        <v>1097</v>
      </c>
      <c r="B281" s="12">
        <v>1097</v>
      </c>
      <c r="C281" s="2" t="s">
        <v>1215</v>
      </c>
      <c r="D281" s="3" t="s">
        <v>1216</v>
      </c>
      <c r="E281" s="2" t="s">
        <v>1134</v>
      </c>
      <c r="F281" s="2" t="s">
        <v>1217</v>
      </c>
      <c r="G281" s="12" t="s">
        <v>1218</v>
      </c>
      <c r="H281" s="2" t="s">
        <v>248</v>
      </c>
      <c r="I281" s="2" t="s">
        <v>132</v>
      </c>
      <c r="J281" s="2" t="s">
        <v>109</v>
      </c>
      <c r="K281" s="2" t="s">
        <v>226</v>
      </c>
      <c r="L281" s="2" t="s">
        <v>250</v>
      </c>
      <c r="M281" s="2" t="s">
        <v>132</v>
      </c>
      <c r="N281" s="2" t="s">
        <v>1219</v>
      </c>
      <c r="O281" s="2" t="s">
        <v>78</v>
      </c>
      <c r="P281" s="3" t="s">
        <v>1168</v>
      </c>
      <c r="Q281" s="2" t="s">
        <v>111</v>
      </c>
      <c r="R281" s="2" t="s">
        <v>254</v>
      </c>
      <c r="S281" s="2" t="s">
        <v>96</v>
      </c>
      <c r="T281" s="13">
        <v>3.5569000000000002</v>
      </c>
      <c r="U281" s="2" t="s">
        <v>1220</v>
      </c>
      <c r="V281" s="8">
        <v>3.5000000000000003E-2</v>
      </c>
      <c r="W281" s="8">
        <v>4.2500000000000003E-2</v>
      </c>
      <c r="X281" s="2" t="s">
        <v>256</v>
      </c>
      <c r="Y281" s="2" t="s">
        <v>78</v>
      </c>
      <c r="Z281" s="6">
        <v>405000</v>
      </c>
      <c r="AA281" s="13">
        <v>3.3719999999999999</v>
      </c>
      <c r="AB281" s="6">
        <v>97.628</v>
      </c>
      <c r="AC281" s="6">
        <v>0</v>
      </c>
      <c r="AD281" s="6">
        <v>1333.2729999999999</v>
      </c>
      <c r="AG281" s="2" t="s">
        <v>23</v>
      </c>
      <c r="AH281" s="8">
        <v>1.2E-4</v>
      </c>
      <c r="AI281" s="8">
        <v>4.0000000000000002E-4</v>
      </c>
      <c r="AJ281" s="8">
        <v>3.0000000000000001E-5</v>
      </c>
    </row>
    <row r="282" spans="1:36">
      <c r="A282" s="12">
        <v>1097</v>
      </c>
      <c r="B282" s="12">
        <v>1097</v>
      </c>
      <c r="C282" s="2" t="s">
        <v>1221</v>
      </c>
      <c r="D282" s="3" t="s">
        <v>1222</v>
      </c>
      <c r="E282" s="2" t="s">
        <v>1134</v>
      </c>
      <c r="F282" s="2" t="s">
        <v>1223</v>
      </c>
      <c r="G282" s="12" t="s">
        <v>1224</v>
      </c>
      <c r="H282" s="2" t="s">
        <v>248</v>
      </c>
      <c r="I282" s="2" t="s">
        <v>132</v>
      </c>
      <c r="J282" s="2" t="s">
        <v>109</v>
      </c>
      <c r="K282" s="2" t="s">
        <v>77</v>
      </c>
      <c r="L282" s="2" t="s">
        <v>250</v>
      </c>
      <c r="M282" s="2" t="s">
        <v>132</v>
      </c>
      <c r="N282" s="2" t="s">
        <v>528</v>
      </c>
      <c r="O282" s="2" t="s">
        <v>78</v>
      </c>
      <c r="P282" s="3" t="s">
        <v>1146</v>
      </c>
      <c r="Q282" s="2" t="s">
        <v>228</v>
      </c>
      <c r="R282" s="2" t="s">
        <v>254</v>
      </c>
      <c r="S282" s="2" t="s">
        <v>96</v>
      </c>
      <c r="T282" s="13">
        <v>2.2456999999999998</v>
      </c>
      <c r="U282" s="2" t="s">
        <v>1225</v>
      </c>
      <c r="V282" s="8">
        <v>5.3749999999999999E-2</v>
      </c>
      <c r="W282" s="8">
        <v>5.21E-2</v>
      </c>
      <c r="X282" s="2" t="s">
        <v>256</v>
      </c>
      <c r="Y282" s="2" t="s">
        <v>78</v>
      </c>
      <c r="Z282" s="6">
        <v>420000</v>
      </c>
      <c r="AA282" s="13">
        <v>3.3719999999999999</v>
      </c>
      <c r="AB282" s="6">
        <v>102.48</v>
      </c>
      <c r="AC282" s="6">
        <v>0</v>
      </c>
      <c r="AD282" s="6">
        <v>1451.3679999999999</v>
      </c>
      <c r="AG282" s="2" t="s">
        <v>23</v>
      </c>
      <c r="AH282" s="8">
        <v>5.2999999999999998E-4</v>
      </c>
      <c r="AI282" s="8">
        <v>4.4000000000000002E-4</v>
      </c>
      <c r="AJ282" s="8">
        <v>4.0000000000000003E-5</v>
      </c>
    </row>
    <row r="283" spans="1:36">
      <c r="A283" s="12">
        <v>1097</v>
      </c>
      <c r="B283" s="12">
        <v>1097</v>
      </c>
      <c r="C283" s="2" t="s">
        <v>1226</v>
      </c>
      <c r="D283" s="3" t="s">
        <v>1227</v>
      </c>
      <c r="E283" s="2" t="s">
        <v>1134</v>
      </c>
      <c r="F283" s="2" t="s">
        <v>1228</v>
      </c>
      <c r="G283" s="12" t="s">
        <v>1229</v>
      </c>
      <c r="H283" s="2" t="s">
        <v>248</v>
      </c>
      <c r="I283" s="2" t="s">
        <v>132</v>
      </c>
      <c r="J283" s="2" t="s">
        <v>109</v>
      </c>
      <c r="K283" s="2" t="s">
        <v>1230</v>
      </c>
      <c r="L283" s="2" t="s">
        <v>250</v>
      </c>
      <c r="M283" s="2" t="s">
        <v>132</v>
      </c>
      <c r="N283" s="2" t="s">
        <v>1181</v>
      </c>
      <c r="O283" s="2" t="s">
        <v>78</v>
      </c>
      <c r="P283" s="3" t="s">
        <v>110</v>
      </c>
      <c r="Q283" s="2" t="s">
        <v>111</v>
      </c>
      <c r="R283" s="2" t="s">
        <v>254</v>
      </c>
      <c r="S283" s="2" t="s">
        <v>96</v>
      </c>
      <c r="T283" s="13">
        <v>12.442399999999999</v>
      </c>
      <c r="U283" s="2" t="s">
        <v>1231</v>
      </c>
      <c r="V283" s="8">
        <v>4.3749999999999997E-2</v>
      </c>
      <c r="W283" s="8">
        <v>5.5599999999999997E-2</v>
      </c>
      <c r="X283" s="2" t="s">
        <v>256</v>
      </c>
      <c r="Y283" s="2" t="s">
        <v>78</v>
      </c>
      <c r="Z283" s="6">
        <v>432000</v>
      </c>
      <c r="AA283" s="13">
        <v>3.3719999999999999</v>
      </c>
      <c r="AB283" s="6">
        <v>85.563999999999993</v>
      </c>
      <c r="AC283" s="6">
        <v>0</v>
      </c>
      <c r="AD283" s="6">
        <v>1246.4190000000001</v>
      </c>
      <c r="AG283" s="2" t="s">
        <v>23</v>
      </c>
      <c r="AH283" s="8">
        <v>1.3999999999999999E-4</v>
      </c>
      <c r="AI283" s="8">
        <v>3.8000000000000002E-4</v>
      </c>
      <c r="AJ283" s="8">
        <v>3.0000000000000001E-5</v>
      </c>
    </row>
    <row r="284" spans="1:36">
      <c r="A284" s="12">
        <v>1097</v>
      </c>
      <c r="B284" s="12">
        <v>1097</v>
      </c>
      <c r="C284" s="2" t="s">
        <v>1232</v>
      </c>
      <c r="D284" s="3" t="s">
        <v>1233</v>
      </c>
      <c r="E284" s="2" t="s">
        <v>1134</v>
      </c>
      <c r="F284" s="2" t="s">
        <v>1234</v>
      </c>
      <c r="G284" s="12" t="s">
        <v>1235</v>
      </c>
      <c r="H284" s="2" t="s">
        <v>248</v>
      </c>
      <c r="I284" s="2" t="s">
        <v>132</v>
      </c>
      <c r="J284" s="2" t="s">
        <v>109</v>
      </c>
      <c r="K284" s="2" t="s">
        <v>1174</v>
      </c>
      <c r="L284" s="2" t="s">
        <v>250</v>
      </c>
      <c r="M284" s="2" t="s">
        <v>132</v>
      </c>
      <c r="N284" s="2" t="s">
        <v>1167</v>
      </c>
      <c r="O284" s="2" t="s">
        <v>78</v>
      </c>
      <c r="P284" s="3" t="s">
        <v>1187</v>
      </c>
      <c r="Q284" s="2" t="s">
        <v>111</v>
      </c>
      <c r="R284" s="2" t="s">
        <v>254</v>
      </c>
      <c r="S284" s="2" t="s">
        <v>96</v>
      </c>
      <c r="T284" s="13">
        <v>0.91020000000000001</v>
      </c>
      <c r="U284" s="2" t="s">
        <v>1236</v>
      </c>
      <c r="V284" s="8">
        <v>1.7919999999999998E-2</v>
      </c>
      <c r="W284" s="8">
        <v>4.6899999999999997E-2</v>
      </c>
      <c r="X284" s="2" t="s">
        <v>256</v>
      </c>
      <c r="Y284" s="2" t="s">
        <v>78</v>
      </c>
      <c r="Z284" s="6">
        <v>2589000</v>
      </c>
      <c r="AA284" s="13">
        <v>3.3719999999999999</v>
      </c>
      <c r="AB284" s="6">
        <v>97.43</v>
      </c>
      <c r="AC284" s="6">
        <v>0</v>
      </c>
      <c r="AD284" s="6">
        <v>8505.7029999999995</v>
      </c>
      <c r="AG284" s="2" t="s">
        <v>23</v>
      </c>
      <c r="AH284" s="8">
        <v>2.0699999999999998E-3</v>
      </c>
      <c r="AI284" s="8">
        <v>2.5699999999999998E-3</v>
      </c>
      <c r="AJ284" s="8">
        <v>2.1000000000000001E-4</v>
      </c>
    </row>
    <row r="285" spans="1:36">
      <c r="A285" s="12">
        <v>1097</v>
      </c>
      <c r="B285" s="12">
        <v>1097</v>
      </c>
      <c r="C285" s="2" t="s">
        <v>1237</v>
      </c>
      <c r="D285" s="3" t="s">
        <v>1238</v>
      </c>
      <c r="E285" s="2" t="s">
        <v>1134</v>
      </c>
      <c r="F285" s="2" t="s">
        <v>1239</v>
      </c>
      <c r="G285" s="12" t="s">
        <v>1240</v>
      </c>
      <c r="H285" s="2" t="s">
        <v>248</v>
      </c>
      <c r="I285" s="2" t="s">
        <v>132</v>
      </c>
      <c r="J285" s="2" t="s">
        <v>109</v>
      </c>
      <c r="K285" s="2" t="s">
        <v>1241</v>
      </c>
      <c r="L285" s="2" t="s">
        <v>250</v>
      </c>
      <c r="M285" s="2" t="s">
        <v>132</v>
      </c>
      <c r="N285" s="2" t="s">
        <v>1167</v>
      </c>
      <c r="O285" s="2" t="s">
        <v>78</v>
      </c>
      <c r="P285" s="3" t="s">
        <v>1168</v>
      </c>
      <c r="Q285" s="2" t="s">
        <v>111</v>
      </c>
      <c r="R285" s="2" t="s">
        <v>254</v>
      </c>
      <c r="S285" s="2" t="s">
        <v>96</v>
      </c>
      <c r="T285" s="13">
        <v>3.6871</v>
      </c>
      <c r="U285" s="2" t="s">
        <v>1242</v>
      </c>
      <c r="V285" s="8">
        <v>3.04E-2</v>
      </c>
      <c r="W285" s="8">
        <v>4.4400000000000002E-2</v>
      </c>
      <c r="X285" s="2" t="s">
        <v>256</v>
      </c>
      <c r="Y285" s="2" t="s">
        <v>78</v>
      </c>
      <c r="Z285" s="6">
        <v>218000</v>
      </c>
      <c r="AA285" s="13">
        <v>3.3719999999999999</v>
      </c>
      <c r="AB285" s="6">
        <v>96.11</v>
      </c>
      <c r="AC285" s="6">
        <v>0</v>
      </c>
      <c r="AD285" s="6">
        <v>706.5</v>
      </c>
      <c r="AG285" s="2" t="s">
        <v>23</v>
      </c>
      <c r="AH285" s="8">
        <v>9.0000000000000006E-5</v>
      </c>
      <c r="AI285" s="8">
        <v>2.1000000000000001E-4</v>
      </c>
      <c r="AJ285" s="8">
        <v>2.0000000000000002E-5</v>
      </c>
    </row>
    <row r="286" spans="1:36">
      <c r="A286" s="12">
        <v>1097</v>
      </c>
      <c r="B286" s="12">
        <v>1097</v>
      </c>
      <c r="C286" s="2" t="s">
        <v>1243</v>
      </c>
      <c r="D286" s="3" t="s">
        <v>1244</v>
      </c>
      <c r="E286" s="2" t="s">
        <v>1134</v>
      </c>
      <c r="F286" s="2" t="s">
        <v>1245</v>
      </c>
      <c r="G286" s="12" t="s">
        <v>1246</v>
      </c>
      <c r="H286" s="2" t="s">
        <v>248</v>
      </c>
      <c r="I286" s="2" t="s">
        <v>132</v>
      </c>
      <c r="J286" s="2" t="s">
        <v>109</v>
      </c>
      <c r="K286" s="2" t="s">
        <v>1158</v>
      </c>
      <c r="L286" s="2" t="s">
        <v>250</v>
      </c>
      <c r="M286" s="2" t="s">
        <v>132</v>
      </c>
      <c r="N286" s="2" t="s">
        <v>1247</v>
      </c>
      <c r="O286" s="2" t="s">
        <v>78</v>
      </c>
      <c r="P286" s="3" t="s">
        <v>1248</v>
      </c>
      <c r="Q286" s="2" t="s">
        <v>1248</v>
      </c>
      <c r="R286" s="2" t="s">
        <v>254</v>
      </c>
      <c r="S286" s="2" t="s">
        <v>96</v>
      </c>
      <c r="T286" s="13">
        <v>3.8833000000000002</v>
      </c>
      <c r="U286" s="2" t="s">
        <v>1249</v>
      </c>
      <c r="V286" s="8">
        <v>0.09</v>
      </c>
      <c r="W286" s="8">
        <v>8.8700000000000001E-2</v>
      </c>
      <c r="X286" s="2" t="s">
        <v>256</v>
      </c>
      <c r="Y286" s="2" t="s">
        <v>78</v>
      </c>
      <c r="Z286" s="6">
        <v>3000000</v>
      </c>
      <c r="AA286" s="13">
        <v>3.3719999999999999</v>
      </c>
      <c r="AB286" s="6">
        <v>100.75</v>
      </c>
      <c r="AC286" s="6">
        <v>0</v>
      </c>
      <c r="AD286" s="6">
        <v>10191.870000000001</v>
      </c>
      <c r="AG286" s="2" t="s">
        <v>23</v>
      </c>
      <c r="AH286" s="8">
        <v>1.7600000000000001E-3</v>
      </c>
      <c r="AI286" s="8">
        <v>3.0799999999999998E-3</v>
      </c>
      <c r="AJ286" s="8">
        <v>2.5000000000000001E-4</v>
      </c>
    </row>
    <row r="287" spans="1:36">
      <c r="A287" s="12">
        <v>1097</v>
      </c>
      <c r="B287" s="12">
        <v>1097</v>
      </c>
      <c r="C287" s="2" t="s">
        <v>1250</v>
      </c>
      <c r="D287" s="3" t="s">
        <v>1251</v>
      </c>
      <c r="E287" s="2" t="s">
        <v>1134</v>
      </c>
      <c r="F287" s="2" t="s">
        <v>1252</v>
      </c>
      <c r="G287" s="12" t="s">
        <v>1253</v>
      </c>
      <c r="H287" s="2" t="s">
        <v>248</v>
      </c>
      <c r="I287" s="2" t="s">
        <v>132</v>
      </c>
      <c r="J287" s="2" t="s">
        <v>109</v>
      </c>
      <c r="K287" s="2" t="s">
        <v>226</v>
      </c>
      <c r="L287" s="2" t="s">
        <v>250</v>
      </c>
      <c r="M287" s="2" t="s">
        <v>132</v>
      </c>
      <c r="N287" s="2" t="s">
        <v>1254</v>
      </c>
      <c r="O287" s="2" t="s">
        <v>78</v>
      </c>
      <c r="P287" s="3" t="s">
        <v>1175</v>
      </c>
      <c r="Q287" s="2" t="s">
        <v>111</v>
      </c>
      <c r="R287" s="2" t="s">
        <v>254</v>
      </c>
      <c r="S287" s="2" t="s">
        <v>96</v>
      </c>
      <c r="T287" s="13">
        <v>3.9923999999999999</v>
      </c>
      <c r="U287" s="2" t="s">
        <v>1255</v>
      </c>
      <c r="V287" s="8">
        <v>4.0160000000000001E-2</v>
      </c>
      <c r="W287" s="8">
        <v>4.2999999999999997E-2</v>
      </c>
      <c r="X287" s="2" t="s">
        <v>256</v>
      </c>
      <c r="Y287" s="2" t="s">
        <v>78</v>
      </c>
      <c r="Z287" s="6">
        <v>1000000</v>
      </c>
      <c r="AA287" s="13">
        <v>3.3719999999999999</v>
      </c>
      <c r="AB287" s="6">
        <v>99.069000000000003</v>
      </c>
      <c r="AC287" s="6">
        <v>0</v>
      </c>
      <c r="AD287" s="6">
        <v>3340.6129999999998</v>
      </c>
      <c r="AG287" s="2" t="s">
        <v>23</v>
      </c>
      <c r="AH287" s="8">
        <v>2.5000000000000001E-4</v>
      </c>
      <c r="AI287" s="8">
        <v>1.01E-3</v>
      </c>
      <c r="AJ287" s="8">
        <v>8.0000000000000007E-5</v>
      </c>
    </row>
    <row r="288" spans="1:36">
      <c r="A288" s="12">
        <v>1097</v>
      </c>
      <c r="B288" s="12">
        <v>1097</v>
      </c>
      <c r="C288" s="2" t="s">
        <v>1256</v>
      </c>
      <c r="D288" s="3" t="s">
        <v>1257</v>
      </c>
      <c r="E288" s="2" t="s">
        <v>1134</v>
      </c>
      <c r="F288" s="2" t="s">
        <v>1258</v>
      </c>
      <c r="G288" s="12" t="s">
        <v>1259</v>
      </c>
      <c r="H288" s="2" t="s">
        <v>248</v>
      </c>
      <c r="I288" s="2" t="s">
        <v>132</v>
      </c>
      <c r="J288" s="2" t="s">
        <v>109</v>
      </c>
      <c r="K288" s="2" t="s">
        <v>1260</v>
      </c>
      <c r="L288" s="2" t="s">
        <v>250</v>
      </c>
      <c r="M288" s="2" t="s">
        <v>132</v>
      </c>
      <c r="N288" s="2" t="s">
        <v>1261</v>
      </c>
      <c r="O288" s="2" t="s">
        <v>78</v>
      </c>
      <c r="P288" s="3" t="s">
        <v>110</v>
      </c>
      <c r="Q288" s="2" t="s">
        <v>111</v>
      </c>
      <c r="R288" s="2" t="s">
        <v>254</v>
      </c>
      <c r="S288" s="2" t="s">
        <v>96</v>
      </c>
      <c r="T288" s="13">
        <v>5.0648999999999997</v>
      </c>
      <c r="U288" s="2" t="s">
        <v>1262</v>
      </c>
      <c r="V288" s="8">
        <v>0.03</v>
      </c>
      <c r="W288" s="8">
        <v>5.4300000000000001E-2</v>
      </c>
      <c r="X288" s="2" t="s">
        <v>256</v>
      </c>
      <c r="Y288" s="2" t="s">
        <v>78</v>
      </c>
      <c r="Z288" s="6">
        <v>1370000</v>
      </c>
      <c r="AA288" s="13">
        <v>3.3719999999999999</v>
      </c>
      <c r="AB288" s="6">
        <v>88.575999999999993</v>
      </c>
      <c r="AC288" s="6">
        <v>0</v>
      </c>
      <c r="AD288" s="6">
        <v>4091.8919999999998</v>
      </c>
      <c r="AG288" s="2" t="s">
        <v>23</v>
      </c>
      <c r="AH288" s="8">
        <v>7.7999999999999999E-4</v>
      </c>
      <c r="AI288" s="8">
        <v>1.24E-3</v>
      </c>
      <c r="AJ288" s="8">
        <v>1E-4</v>
      </c>
    </row>
    <row r="289" spans="1:36">
      <c r="A289" s="12">
        <v>1097</v>
      </c>
      <c r="B289" s="12">
        <v>1097</v>
      </c>
      <c r="C289" s="2" t="s">
        <v>1256</v>
      </c>
      <c r="D289" s="3" t="s">
        <v>1257</v>
      </c>
      <c r="E289" s="2" t="s">
        <v>1134</v>
      </c>
      <c r="F289" s="2" t="s">
        <v>1263</v>
      </c>
      <c r="G289" s="12" t="s">
        <v>1264</v>
      </c>
      <c r="H289" s="2" t="s">
        <v>248</v>
      </c>
      <c r="I289" s="2" t="s">
        <v>132</v>
      </c>
      <c r="J289" s="2" t="s">
        <v>109</v>
      </c>
      <c r="K289" s="2" t="s">
        <v>1260</v>
      </c>
      <c r="L289" s="2" t="s">
        <v>250</v>
      </c>
      <c r="M289" s="2" t="s">
        <v>132</v>
      </c>
      <c r="N289" s="2" t="s">
        <v>1137</v>
      </c>
      <c r="O289" s="2" t="s">
        <v>78</v>
      </c>
      <c r="P289" s="3" t="s">
        <v>110</v>
      </c>
      <c r="Q289" s="2" t="s">
        <v>111</v>
      </c>
      <c r="R289" s="2" t="s">
        <v>254</v>
      </c>
      <c r="S289" s="2" t="s">
        <v>96</v>
      </c>
      <c r="T289" s="13">
        <v>0.92859999999999998</v>
      </c>
      <c r="U289" s="2" t="s">
        <v>1265</v>
      </c>
      <c r="V289" s="8">
        <v>5.6250000000000001E-2</v>
      </c>
      <c r="W289" s="8">
        <v>5.1299999999999998E-2</v>
      </c>
      <c r="X289" s="2" t="s">
        <v>256</v>
      </c>
      <c r="Y289" s="2" t="s">
        <v>78</v>
      </c>
      <c r="Z289" s="6">
        <v>1198000</v>
      </c>
      <c r="AA289" s="13">
        <v>3.3719999999999999</v>
      </c>
      <c r="AB289" s="6">
        <v>100.498</v>
      </c>
      <c r="AC289" s="6">
        <v>0</v>
      </c>
      <c r="AD289" s="6">
        <v>4059.7629999999999</v>
      </c>
      <c r="AG289" s="2" t="s">
        <v>23</v>
      </c>
      <c r="AH289" s="8">
        <v>1.1999999999999999E-3</v>
      </c>
      <c r="AI289" s="8">
        <v>1.23E-3</v>
      </c>
      <c r="AJ289" s="8">
        <v>1E-4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0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116</v>
      </c>
      <c r="N1" s="1" t="s">
        <v>236</v>
      </c>
      <c r="O1" s="1" t="s">
        <v>65</v>
      </c>
      <c r="P1" s="1" t="s">
        <v>68</v>
      </c>
      <c r="Q1" s="1" t="s">
        <v>122</v>
      </c>
      <c r="R1" s="1" t="s">
        <v>70</v>
      </c>
      <c r="S1" s="1" t="s">
        <v>123</v>
      </c>
      <c r="T1" s="1" t="s">
        <v>121</v>
      </c>
      <c r="U1" s="1" t="s">
        <v>72</v>
      </c>
      <c r="V1" s="1" t="s">
        <v>125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 t="s">
        <v>243</v>
      </c>
      <c r="D2" s="3" t="s">
        <v>244</v>
      </c>
      <c r="E2" s="2" t="s">
        <v>245</v>
      </c>
      <c r="F2" s="2" t="s">
        <v>1266</v>
      </c>
      <c r="G2" s="12" t="s">
        <v>1267</v>
      </c>
      <c r="H2" s="2" t="s">
        <v>248</v>
      </c>
      <c r="I2" s="2" t="s">
        <v>1268</v>
      </c>
      <c r="J2" s="2" t="s">
        <v>77</v>
      </c>
      <c r="K2" s="2" t="s">
        <v>77</v>
      </c>
      <c r="L2" s="2" t="s">
        <v>250</v>
      </c>
      <c r="M2" s="2" t="s">
        <v>130</v>
      </c>
      <c r="N2" s="2" t="s">
        <v>251</v>
      </c>
      <c r="O2" s="2" t="s">
        <v>78</v>
      </c>
      <c r="P2" s="2" t="s">
        <v>81</v>
      </c>
      <c r="Q2" s="6">
        <v>122332</v>
      </c>
      <c r="R2" s="13">
        <v>1</v>
      </c>
      <c r="S2" s="6">
        <v>2410</v>
      </c>
      <c r="T2" s="6">
        <v>0</v>
      </c>
      <c r="U2" s="6">
        <v>2948.201</v>
      </c>
      <c r="V2" s="8">
        <v>4.2999999999999999E-4</v>
      </c>
      <c r="W2" s="8">
        <v>1.2899999999999999E-3</v>
      </c>
      <c r="X2" s="8">
        <v>6.9999999999999994E-5</v>
      </c>
    </row>
    <row r="3" spans="1:24">
      <c r="A3" s="12">
        <v>1097</v>
      </c>
      <c r="B3" s="12">
        <v>1097</v>
      </c>
      <c r="C3" s="2" t="s">
        <v>289</v>
      </c>
      <c r="D3" s="3" t="s">
        <v>290</v>
      </c>
      <c r="E3" s="2" t="s">
        <v>245</v>
      </c>
      <c r="F3" s="2" t="s">
        <v>1269</v>
      </c>
      <c r="G3" s="12" t="s">
        <v>1270</v>
      </c>
      <c r="H3" s="2" t="s">
        <v>248</v>
      </c>
      <c r="I3" s="2" t="s">
        <v>1268</v>
      </c>
      <c r="J3" s="2" t="s">
        <v>77</v>
      </c>
      <c r="K3" s="2" t="s">
        <v>77</v>
      </c>
      <c r="L3" s="2" t="s">
        <v>250</v>
      </c>
      <c r="M3" s="2" t="s">
        <v>130</v>
      </c>
      <c r="N3" s="2" t="s">
        <v>276</v>
      </c>
      <c r="O3" s="2" t="s">
        <v>78</v>
      </c>
      <c r="P3" s="2" t="s">
        <v>81</v>
      </c>
      <c r="Q3" s="6">
        <v>683858</v>
      </c>
      <c r="R3" s="13">
        <v>1</v>
      </c>
      <c r="S3" s="6">
        <v>2309</v>
      </c>
      <c r="T3" s="6">
        <v>0</v>
      </c>
      <c r="U3" s="6">
        <v>15790.281000000001</v>
      </c>
      <c r="V3" s="8">
        <v>5.2999999999999998E-4</v>
      </c>
      <c r="W3" s="8">
        <v>6.9300000000000004E-3</v>
      </c>
      <c r="X3" s="8">
        <v>3.8999999999999999E-4</v>
      </c>
    </row>
    <row r="4" spans="1:24">
      <c r="A4" s="12">
        <v>1097</v>
      </c>
      <c r="B4" s="12">
        <v>1097</v>
      </c>
      <c r="C4" s="2" t="s">
        <v>1271</v>
      </c>
      <c r="D4" s="3" t="s">
        <v>1272</v>
      </c>
      <c r="E4" s="2" t="s">
        <v>245</v>
      </c>
      <c r="F4" s="2" t="s">
        <v>1273</v>
      </c>
      <c r="G4" s="12" t="s">
        <v>1274</v>
      </c>
      <c r="H4" s="2" t="s">
        <v>248</v>
      </c>
      <c r="I4" s="2" t="s">
        <v>1268</v>
      </c>
      <c r="J4" s="2" t="s">
        <v>77</v>
      </c>
      <c r="K4" s="2" t="s">
        <v>77</v>
      </c>
      <c r="L4" s="2" t="s">
        <v>250</v>
      </c>
      <c r="M4" s="2" t="s">
        <v>130</v>
      </c>
      <c r="N4" s="2" t="s">
        <v>1114</v>
      </c>
      <c r="O4" s="2" t="s">
        <v>78</v>
      </c>
      <c r="P4" s="2" t="s">
        <v>81</v>
      </c>
      <c r="Q4" s="6">
        <v>76959</v>
      </c>
      <c r="R4" s="13">
        <v>1</v>
      </c>
      <c r="S4" s="6">
        <v>2100</v>
      </c>
      <c r="T4" s="6">
        <v>0</v>
      </c>
      <c r="U4" s="6">
        <v>1616.1389999999999</v>
      </c>
      <c r="V4" s="8">
        <v>5.1999999999999995E-4</v>
      </c>
      <c r="W4" s="8">
        <v>7.1000000000000002E-4</v>
      </c>
      <c r="X4" s="8">
        <v>4.0000000000000003E-5</v>
      </c>
    </row>
    <row r="5" spans="1:24">
      <c r="A5" s="12">
        <v>1097</v>
      </c>
      <c r="B5" s="12">
        <v>1097</v>
      </c>
      <c r="C5" s="2" t="s">
        <v>295</v>
      </c>
      <c r="D5" s="3" t="s">
        <v>296</v>
      </c>
      <c r="E5" s="2" t="s">
        <v>245</v>
      </c>
      <c r="F5" s="2" t="s">
        <v>1275</v>
      </c>
      <c r="G5" s="12" t="s">
        <v>1276</v>
      </c>
      <c r="H5" s="2" t="s">
        <v>248</v>
      </c>
      <c r="I5" s="2" t="s">
        <v>1268</v>
      </c>
      <c r="J5" s="2" t="s">
        <v>77</v>
      </c>
      <c r="K5" s="2" t="s">
        <v>77</v>
      </c>
      <c r="L5" s="2" t="s">
        <v>250</v>
      </c>
      <c r="M5" s="2" t="s">
        <v>130</v>
      </c>
      <c r="N5" s="2" t="s">
        <v>299</v>
      </c>
      <c r="O5" s="2" t="s">
        <v>78</v>
      </c>
      <c r="P5" s="2" t="s">
        <v>81</v>
      </c>
      <c r="Q5" s="6">
        <v>140883</v>
      </c>
      <c r="R5" s="13">
        <v>1</v>
      </c>
      <c r="S5" s="6">
        <v>149800</v>
      </c>
      <c r="T5" s="6">
        <v>285.04000000000002</v>
      </c>
      <c r="U5" s="6">
        <v>211327.77799999999</v>
      </c>
      <c r="V5" s="8">
        <v>3.0400000000000002E-3</v>
      </c>
      <c r="W5" s="8">
        <v>9.2740000000000003E-2</v>
      </c>
      <c r="X5" s="8">
        <v>5.2399999999999999E-3</v>
      </c>
    </row>
    <row r="6" spans="1:24">
      <c r="A6" s="12">
        <v>1097</v>
      </c>
      <c r="B6" s="12">
        <v>1097</v>
      </c>
      <c r="C6" s="2" t="s">
        <v>343</v>
      </c>
      <c r="D6" s="3" t="s">
        <v>344</v>
      </c>
      <c r="E6" s="2" t="s">
        <v>245</v>
      </c>
      <c r="F6" s="2" t="s">
        <v>1277</v>
      </c>
      <c r="G6" s="12" t="s">
        <v>1278</v>
      </c>
      <c r="H6" s="2" t="s">
        <v>248</v>
      </c>
      <c r="I6" s="2" t="s">
        <v>1268</v>
      </c>
      <c r="J6" s="2" t="s">
        <v>77</v>
      </c>
      <c r="K6" s="2" t="s">
        <v>77</v>
      </c>
      <c r="L6" s="2" t="s">
        <v>250</v>
      </c>
      <c r="M6" s="2" t="s">
        <v>130</v>
      </c>
      <c r="N6" s="2" t="s">
        <v>347</v>
      </c>
      <c r="O6" s="2" t="s">
        <v>78</v>
      </c>
      <c r="P6" s="2" t="s">
        <v>81</v>
      </c>
      <c r="Q6" s="6">
        <v>1787429</v>
      </c>
      <c r="R6" s="13">
        <v>1</v>
      </c>
      <c r="S6" s="6">
        <v>3489</v>
      </c>
      <c r="T6" s="6">
        <v>0</v>
      </c>
      <c r="U6" s="6">
        <v>62363.398000000001</v>
      </c>
      <c r="V6" s="8">
        <v>8.3099999999999997E-3</v>
      </c>
      <c r="W6" s="8">
        <v>2.7369999999999998E-2</v>
      </c>
      <c r="X6" s="8">
        <v>1.5499999999999999E-3</v>
      </c>
    </row>
    <row r="7" spans="1:24">
      <c r="A7" s="12">
        <v>1097</v>
      </c>
      <c r="B7" s="12">
        <v>1097</v>
      </c>
      <c r="C7" s="2" t="s">
        <v>356</v>
      </c>
      <c r="D7" s="3" t="s">
        <v>357</v>
      </c>
      <c r="E7" s="2" t="s">
        <v>245</v>
      </c>
      <c r="F7" s="2" t="s">
        <v>1279</v>
      </c>
      <c r="G7" s="12" t="s">
        <v>1280</v>
      </c>
      <c r="H7" s="2" t="s">
        <v>248</v>
      </c>
      <c r="I7" s="2" t="s">
        <v>1268</v>
      </c>
      <c r="J7" s="2" t="s">
        <v>77</v>
      </c>
      <c r="K7" s="2" t="s">
        <v>77</v>
      </c>
      <c r="L7" s="2" t="s">
        <v>250</v>
      </c>
      <c r="M7" s="2" t="s">
        <v>130</v>
      </c>
      <c r="N7" s="2" t="s">
        <v>337</v>
      </c>
      <c r="O7" s="2" t="s">
        <v>78</v>
      </c>
      <c r="P7" s="2" t="s">
        <v>81</v>
      </c>
      <c r="Q7" s="6">
        <v>696497</v>
      </c>
      <c r="R7" s="13">
        <v>1</v>
      </c>
      <c r="S7" s="6">
        <v>18600</v>
      </c>
      <c r="T7" s="6">
        <v>0</v>
      </c>
      <c r="U7" s="6">
        <v>129548.442</v>
      </c>
      <c r="V7" s="8">
        <v>2.5860000000000001E-2</v>
      </c>
      <c r="W7" s="8">
        <v>5.6849999999999998E-2</v>
      </c>
      <c r="X7" s="8">
        <v>3.2100000000000002E-3</v>
      </c>
    </row>
    <row r="8" spans="1:24">
      <c r="A8" s="12">
        <v>1097</v>
      </c>
      <c r="B8" s="12">
        <v>1097</v>
      </c>
      <c r="C8" s="2" t="s">
        <v>361</v>
      </c>
      <c r="D8" s="3" t="s">
        <v>362</v>
      </c>
      <c r="E8" s="2" t="s">
        <v>245</v>
      </c>
      <c r="F8" s="2" t="s">
        <v>1281</v>
      </c>
      <c r="G8" s="12" t="s">
        <v>1282</v>
      </c>
      <c r="H8" s="2" t="s">
        <v>248</v>
      </c>
      <c r="I8" s="2" t="s">
        <v>1268</v>
      </c>
      <c r="J8" s="2" t="s">
        <v>77</v>
      </c>
      <c r="K8" s="2" t="s">
        <v>77</v>
      </c>
      <c r="L8" s="2" t="s">
        <v>250</v>
      </c>
      <c r="M8" s="2" t="s">
        <v>130</v>
      </c>
      <c r="N8" s="2" t="s">
        <v>337</v>
      </c>
      <c r="O8" s="2" t="s">
        <v>78</v>
      </c>
      <c r="P8" s="2" t="s">
        <v>81</v>
      </c>
      <c r="Q8" s="6">
        <v>68171</v>
      </c>
      <c r="R8" s="13">
        <v>1</v>
      </c>
      <c r="S8" s="6">
        <v>215900</v>
      </c>
      <c r="T8" s="6">
        <v>0</v>
      </c>
      <c r="U8" s="6">
        <v>147181.18900000001</v>
      </c>
      <c r="V8" s="8">
        <v>1.78E-2</v>
      </c>
      <c r="W8" s="8">
        <v>6.4589999999999995E-2</v>
      </c>
      <c r="X8" s="8">
        <v>3.65E-3</v>
      </c>
    </row>
    <row r="9" spans="1:24">
      <c r="A9" s="12">
        <v>1097</v>
      </c>
      <c r="B9" s="12">
        <v>1097</v>
      </c>
      <c r="C9" s="2" t="s">
        <v>387</v>
      </c>
      <c r="D9" s="3" t="s">
        <v>388</v>
      </c>
      <c r="E9" s="2" t="s">
        <v>245</v>
      </c>
      <c r="F9" s="2" t="s">
        <v>1283</v>
      </c>
      <c r="G9" s="12" t="s">
        <v>1284</v>
      </c>
      <c r="H9" s="2" t="s">
        <v>248</v>
      </c>
      <c r="I9" s="2" t="s">
        <v>1268</v>
      </c>
      <c r="J9" s="2" t="s">
        <v>77</v>
      </c>
      <c r="K9" s="2" t="s">
        <v>77</v>
      </c>
      <c r="L9" s="2" t="s">
        <v>250</v>
      </c>
      <c r="M9" s="2" t="s">
        <v>130</v>
      </c>
      <c r="N9" s="2" t="s">
        <v>347</v>
      </c>
      <c r="O9" s="2" t="s">
        <v>78</v>
      </c>
      <c r="P9" s="2" t="s">
        <v>81</v>
      </c>
      <c r="Q9" s="6">
        <v>3005490</v>
      </c>
      <c r="R9" s="13">
        <v>1</v>
      </c>
      <c r="S9" s="6">
        <v>2281</v>
      </c>
      <c r="T9" s="6">
        <v>0</v>
      </c>
      <c r="U9" s="6">
        <v>68555.226999999999</v>
      </c>
      <c r="V9" s="8">
        <v>6.3699999999999998E-3</v>
      </c>
      <c r="W9" s="8">
        <v>3.0089999999999999E-2</v>
      </c>
      <c r="X9" s="8">
        <v>1.6999999999999999E-3</v>
      </c>
    </row>
    <row r="10" spans="1:24">
      <c r="A10" s="12">
        <v>1097</v>
      </c>
      <c r="B10" s="12">
        <v>1097</v>
      </c>
      <c r="C10" s="2" t="s">
        <v>1285</v>
      </c>
      <c r="D10" s="3" t="s">
        <v>1286</v>
      </c>
      <c r="E10" s="2" t="s">
        <v>245</v>
      </c>
      <c r="F10" s="2" t="s">
        <v>1287</v>
      </c>
      <c r="G10" s="12" t="s">
        <v>1288</v>
      </c>
      <c r="H10" s="2" t="s">
        <v>248</v>
      </c>
      <c r="I10" s="2" t="s">
        <v>1268</v>
      </c>
      <c r="J10" s="2" t="s">
        <v>77</v>
      </c>
      <c r="K10" s="2" t="s">
        <v>77</v>
      </c>
      <c r="L10" s="2" t="s">
        <v>250</v>
      </c>
      <c r="M10" s="2" t="s">
        <v>130</v>
      </c>
      <c r="N10" s="2" t="s">
        <v>1289</v>
      </c>
      <c r="O10" s="2" t="s">
        <v>78</v>
      </c>
      <c r="P10" s="2" t="s">
        <v>81</v>
      </c>
      <c r="Q10" s="6">
        <v>51212</v>
      </c>
      <c r="R10" s="13">
        <v>1</v>
      </c>
      <c r="S10" s="6">
        <v>4272</v>
      </c>
      <c r="T10" s="6">
        <v>51.81</v>
      </c>
      <c r="U10" s="6">
        <v>2239.5830000000001</v>
      </c>
      <c r="V10" s="8">
        <v>2.7999999999999998E-4</v>
      </c>
      <c r="W10" s="8">
        <v>9.7999999999999997E-4</v>
      </c>
      <c r="X10" s="8">
        <v>6.0000000000000002E-5</v>
      </c>
    </row>
    <row r="11" spans="1:24">
      <c r="A11" s="12">
        <v>1097</v>
      </c>
      <c r="B11" s="12">
        <v>1097</v>
      </c>
      <c r="C11" s="2" t="s">
        <v>1290</v>
      </c>
      <c r="D11" s="3" t="s">
        <v>1291</v>
      </c>
      <c r="E11" s="2" t="s">
        <v>245</v>
      </c>
      <c r="F11" s="2" t="s">
        <v>1292</v>
      </c>
      <c r="G11" s="12" t="s">
        <v>1293</v>
      </c>
      <c r="H11" s="2" t="s">
        <v>248</v>
      </c>
      <c r="I11" s="2" t="s">
        <v>1268</v>
      </c>
      <c r="J11" s="2" t="s">
        <v>77</v>
      </c>
      <c r="K11" s="2" t="s">
        <v>77</v>
      </c>
      <c r="L11" s="2" t="s">
        <v>250</v>
      </c>
      <c r="M11" s="2" t="s">
        <v>130</v>
      </c>
      <c r="N11" s="2" t="s">
        <v>1294</v>
      </c>
      <c r="O11" s="2" t="s">
        <v>78</v>
      </c>
      <c r="P11" s="2" t="s">
        <v>81</v>
      </c>
      <c r="Q11" s="6">
        <v>85953</v>
      </c>
      <c r="R11" s="13">
        <v>1</v>
      </c>
      <c r="S11" s="6">
        <v>1244</v>
      </c>
      <c r="T11" s="6">
        <v>0</v>
      </c>
      <c r="U11" s="6">
        <v>1069.2550000000001</v>
      </c>
      <c r="V11" s="8">
        <v>1.6000000000000001E-4</v>
      </c>
      <c r="W11" s="8">
        <v>4.6999999999999999E-4</v>
      </c>
      <c r="X11" s="8">
        <v>3.0000000000000001E-5</v>
      </c>
    </row>
    <row r="12" spans="1:24">
      <c r="A12" s="12">
        <v>1097</v>
      </c>
      <c r="B12" s="12">
        <v>1097</v>
      </c>
      <c r="C12" s="2" t="s">
        <v>423</v>
      </c>
      <c r="D12" s="3" t="s">
        <v>424</v>
      </c>
      <c r="E12" s="2" t="s">
        <v>245</v>
      </c>
      <c r="F12" s="2" t="s">
        <v>1295</v>
      </c>
      <c r="G12" s="12" t="s">
        <v>1296</v>
      </c>
      <c r="H12" s="2" t="s">
        <v>248</v>
      </c>
      <c r="I12" s="2" t="s">
        <v>1268</v>
      </c>
      <c r="J12" s="2" t="s">
        <v>77</v>
      </c>
      <c r="K12" s="2" t="s">
        <v>77</v>
      </c>
      <c r="L12" s="2" t="s">
        <v>250</v>
      </c>
      <c r="M12" s="2" t="s">
        <v>130</v>
      </c>
      <c r="N12" s="2" t="s">
        <v>251</v>
      </c>
      <c r="O12" s="2" t="s">
        <v>78</v>
      </c>
      <c r="P12" s="2" t="s">
        <v>81</v>
      </c>
      <c r="Q12" s="6">
        <v>5889</v>
      </c>
      <c r="R12" s="13">
        <v>1</v>
      </c>
      <c r="S12" s="6">
        <v>30100</v>
      </c>
      <c r="T12" s="6">
        <v>0</v>
      </c>
      <c r="U12" s="6">
        <v>1772.5889999999999</v>
      </c>
      <c r="V12" s="8">
        <v>4.6999999999999999E-4</v>
      </c>
      <c r="W12" s="8">
        <v>7.7999999999999999E-4</v>
      </c>
      <c r="X12" s="8">
        <v>4.0000000000000003E-5</v>
      </c>
    </row>
    <row r="13" spans="1:24">
      <c r="A13" s="12">
        <v>1097</v>
      </c>
      <c r="B13" s="12">
        <v>1097</v>
      </c>
      <c r="C13" s="2" t="s">
        <v>427</v>
      </c>
      <c r="D13" s="3" t="s">
        <v>428</v>
      </c>
      <c r="E13" s="2" t="s">
        <v>245</v>
      </c>
      <c r="F13" s="2" t="s">
        <v>1297</v>
      </c>
      <c r="G13" s="12" t="s">
        <v>1298</v>
      </c>
      <c r="H13" s="2" t="s">
        <v>248</v>
      </c>
      <c r="I13" s="2" t="s">
        <v>1268</v>
      </c>
      <c r="J13" s="2" t="s">
        <v>77</v>
      </c>
      <c r="K13" s="2" t="s">
        <v>77</v>
      </c>
      <c r="L13" s="2" t="s">
        <v>250</v>
      </c>
      <c r="M13" s="2" t="s">
        <v>130</v>
      </c>
      <c r="N13" s="2" t="s">
        <v>347</v>
      </c>
      <c r="O13" s="2" t="s">
        <v>78</v>
      </c>
      <c r="P13" s="2" t="s">
        <v>81</v>
      </c>
      <c r="Q13" s="6">
        <v>80553</v>
      </c>
      <c r="R13" s="13">
        <v>1</v>
      </c>
      <c r="S13" s="6">
        <v>6170</v>
      </c>
      <c r="T13" s="6">
        <v>0</v>
      </c>
      <c r="U13" s="6">
        <v>4970.12</v>
      </c>
      <c r="V13" s="8">
        <v>6.8999999999999997E-4</v>
      </c>
      <c r="W13" s="8">
        <v>2.1800000000000001E-3</v>
      </c>
      <c r="X13" s="8">
        <v>1.2E-4</v>
      </c>
    </row>
    <row r="14" spans="1:24">
      <c r="A14" s="12">
        <v>1097</v>
      </c>
      <c r="B14" s="12">
        <v>1097</v>
      </c>
      <c r="C14" s="2" t="s">
        <v>462</v>
      </c>
      <c r="D14" s="3" t="s">
        <v>463</v>
      </c>
      <c r="E14" s="2" t="s">
        <v>245</v>
      </c>
      <c r="F14" s="2" t="s">
        <v>1299</v>
      </c>
      <c r="G14" s="12" t="s">
        <v>1300</v>
      </c>
      <c r="H14" s="2" t="s">
        <v>248</v>
      </c>
      <c r="I14" s="2" t="s">
        <v>1268</v>
      </c>
      <c r="J14" s="2" t="s">
        <v>77</v>
      </c>
      <c r="K14" s="2" t="s">
        <v>77</v>
      </c>
      <c r="L14" s="2" t="s">
        <v>250</v>
      </c>
      <c r="M14" s="2" t="s">
        <v>130</v>
      </c>
      <c r="N14" s="2" t="s">
        <v>251</v>
      </c>
      <c r="O14" s="2" t="s">
        <v>78</v>
      </c>
      <c r="P14" s="2" t="s">
        <v>81</v>
      </c>
      <c r="Q14" s="6">
        <v>395458</v>
      </c>
      <c r="R14" s="13">
        <v>1</v>
      </c>
      <c r="S14" s="6">
        <v>7670</v>
      </c>
      <c r="T14" s="6">
        <v>0</v>
      </c>
      <c r="U14" s="6">
        <v>30331.629000000001</v>
      </c>
      <c r="V14" s="8">
        <v>3.5500000000000002E-3</v>
      </c>
      <c r="W14" s="8">
        <v>1.3310000000000001E-2</v>
      </c>
      <c r="X14" s="8">
        <v>7.5000000000000002E-4</v>
      </c>
    </row>
    <row r="15" spans="1:24">
      <c r="A15" s="12">
        <v>1097</v>
      </c>
      <c r="B15" s="12">
        <v>1097</v>
      </c>
      <c r="C15" s="2" t="s">
        <v>477</v>
      </c>
      <c r="D15" s="3" t="s">
        <v>478</v>
      </c>
      <c r="E15" s="2" t="s">
        <v>245</v>
      </c>
      <c r="F15" s="2" t="s">
        <v>1301</v>
      </c>
      <c r="G15" s="12" t="s">
        <v>1302</v>
      </c>
      <c r="H15" s="2" t="s">
        <v>248</v>
      </c>
      <c r="I15" s="2" t="s">
        <v>1268</v>
      </c>
      <c r="J15" s="2" t="s">
        <v>77</v>
      </c>
      <c r="K15" s="2" t="s">
        <v>77</v>
      </c>
      <c r="L15" s="2" t="s">
        <v>250</v>
      </c>
      <c r="M15" s="2" t="s">
        <v>130</v>
      </c>
      <c r="N15" s="2" t="s">
        <v>481</v>
      </c>
      <c r="O15" s="2" t="s">
        <v>78</v>
      </c>
      <c r="P15" s="2" t="s">
        <v>81</v>
      </c>
      <c r="Q15" s="6">
        <v>1195522</v>
      </c>
      <c r="R15" s="13">
        <v>1</v>
      </c>
      <c r="S15" s="6">
        <v>575</v>
      </c>
      <c r="T15" s="6">
        <v>0</v>
      </c>
      <c r="U15" s="6">
        <v>6874.2520000000004</v>
      </c>
      <c r="V15" s="8">
        <v>4.2999999999999999E-4</v>
      </c>
      <c r="W15" s="8">
        <v>3.0200000000000001E-3</v>
      </c>
      <c r="X15" s="8">
        <v>1.7000000000000001E-4</v>
      </c>
    </row>
    <row r="16" spans="1:24">
      <c r="A16" s="12">
        <v>1097</v>
      </c>
      <c r="B16" s="12">
        <v>1097</v>
      </c>
      <c r="C16" s="2" t="s">
        <v>496</v>
      </c>
      <c r="D16" s="3" t="s">
        <v>497</v>
      </c>
      <c r="E16" s="2" t="s">
        <v>245</v>
      </c>
      <c r="F16" s="2" t="s">
        <v>1303</v>
      </c>
      <c r="G16" s="12" t="s">
        <v>1304</v>
      </c>
      <c r="H16" s="2" t="s">
        <v>248</v>
      </c>
      <c r="I16" s="2" t="s">
        <v>1268</v>
      </c>
      <c r="J16" s="2" t="s">
        <v>77</v>
      </c>
      <c r="K16" s="2" t="s">
        <v>77</v>
      </c>
      <c r="L16" s="2" t="s">
        <v>250</v>
      </c>
      <c r="M16" s="2" t="s">
        <v>130</v>
      </c>
      <c r="N16" s="2" t="s">
        <v>347</v>
      </c>
      <c r="O16" s="2" t="s">
        <v>78</v>
      </c>
      <c r="P16" s="2" t="s">
        <v>81</v>
      </c>
      <c r="Q16" s="6">
        <v>16350</v>
      </c>
      <c r="R16" s="13">
        <v>1</v>
      </c>
      <c r="S16" s="6">
        <v>64490</v>
      </c>
      <c r="T16" s="6">
        <v>0</v>
      </c>
      <c r="U16" s="6">
        <v>10544.115</v>
      </c>
      <c r="V16" s="8">
        <v>6.6E-4</v>
      </c>
      <c r="W16" s="8">
        <v>4.6299999999999996E-3</v>
      </c>
      <c r="X16" s="8">
        <v>2.5999999999999998E-4</v>
      </c>
    </row>
    <row r="17" spans="1:24">
      <c r="A17" s="12">
        <v>1097</v>
      </c>
      <c r="B17" s="12">
        <v>1097</v>
      </c>
      <c r="C17" s="2" t="s">
        <v>1305</v>
      </c>
      <c r="D17" s="3" t="s">
        <v>1306</v>
      </c>
      <c r="E17" s="2" t="s">
        <v>245</v>
      </c>
      <c r="F17" s="2" t="s">
        <v>90</v>
      </c>
      <c r="G17" s="12" t="s">
        <v>1307</v>
      </c>
      <c r="H17" s="2" t="s">
        <v>248</v>
      </c>
      <c r="I17" s="2" t="s">
        <v>1268</v>
      </c>
      <c r="J17" s="2" t="s">
        <v>77</v>
      </c>
      <c r="K17" s="2" t="s">
        <v>77</v>
      </c>
      <c r="L17" s="2" t="s">
        <v>250</v>
      </c>
      <c r="M17" s="2" t="s">
        <v>130</v>
      </c>
      <c r="N17" s="2" t="s">
        <v>528</v>
      </c>
      <c r="O17" s="2" t="s">
        <v>78</v>
      </c>
      <c r="P17" s="2" t="s">
        <v>81</v>
      </c>
      <c r="Q17" s="6">
        <v>49466</v>
      </c>
      <c r="R17" s="13">
        <v>1</v>
      </c>
      <c r="S17" s="6">
        <v>24370</v>
      </c>
      <c r="T17" s="6">
        <v>0</v>
      </c>
      <c r="U17" s="6">
        <v>12054.864</v>
      </c>
      <c r="V17" s="8">
        <v>4.8999999999999998E-4</v>
      </c>
      <c r="W17" s="8">
        <v>5.2900000000000004E-3</v>
      </c>
      <c r="X17" s="8">
        <v>2.9999999999999997E-4</v>
      </c>
    </row>
    <row r="18" spans="1:24">
      <c r="A18" s="12">
        <v>1097</v>
      </c>
      <c r="B18" s="12">
        <v>1097</v>
      </c>
      <c r="C18" s="2" t="s">
        <v>1308</v>
      </c>
      <c r="D18" s="3" t="s">
        <v>1309</v>
      </c>
      <c r="E18" s="2" t="s">
        <v>245</v>
      </c>
      <c r="F18" s="2" t="s">
        <v>1310</v>
      </c>
      <c r="G18" s="12" t="s">
        <v>1311</v>
      </c>
      <c r="H18" s="2" t="s">
        <v>248</v>
      </c>
      <c r="I18" s="2" t="s">
        <v>1268</v>
      </c>
      <c r="J18" s="2" t="s">
        <v>77</v>
      </c>
      <c r="K18" s="2" t="s">
        <v>77</v>
      </c>
      <c r="L18" s="2" t="s">
        <v>250</v>
      </c>
      <c r="M18" s="2" t="s">
        <v>130</v>
      </c>
      <c r="N18" s="2" t="s">
        <v>1114</v>
      </c>
      <c r="O18" s="2" t="s">
        <v>78</v>
      </c>
      <c r="P18" s="2" t="s">
        <v>81</v>
      </c>
      <c r="Q18" s="6">
        <v>5447</v>
      </c>
      <c r="R18" s="13">
        <v>1</v>
      </c>
      <c r="S18" s="6">
        <v>56070</v>
      </c>
      <c r="T18" s="6">
        <v>0</v>
      </c>
      <c r="U18" s="6">
        <v>3054.1329999999998</v>
      </c>
      <c r="V18" s="8">
        <v>5.9999999999999995E-4</v>
      </c>
      <c r="W18" s="8">
        <v>1.34E-3</v>
      </c>
      <c r="X18" s="8">
        <v>8.0000000000000007E-5</v>
      </c>
    </row>
    <row r="19" spans="1:24">
      <c r="A19" s="12">
        <v>1097</v>
      </c>
      <c r="B19" s="12">
        <v>1097</v>
      </c>
      <c r="C19" s="2" t="s">
        <v>1312</v>
      </c>
      <c r="D19" s="3" t="s">
        <v>1313</v>
      </c>
      <c r="E19" s="2" t="s">
        <v>245</v>
      </c>
      <c r="F19" s="2" t="s">
        <v>1312</v>
      </c>
      <c r="G19" s="12" t="s">
        <v>1314</v>
      </c>
      <c r="H19" s="2" t="s">
        <v>248</v>
      </c>
      <c r="I19" s="2" t="s">
        <v>1268</v>
      </c>
      <c r="J19" s="2" t="s">
        <v>77</v>
      </c>
      <c r="K19" s="2" t="s">
        <v>77</v>
      </c>
      <c r="L19" s="2" t="s">
        <v>250</v>
      </c>
      <c r="M19" s="2" t="s">
        <v>130</v>
      </c>
      <c r="N19" s="2" t="s">
        <v>1294</v>
      </c>
      <c r="O19" s="2" t="s">
        <v>78</v>
      </c>
      <c r="P19" s="2" t="s">
        <v>81</v>
      </c>
      <c r="Q19" s="6">
        <v>135029</v>
      </c>
      <c r="R19" s="13">
        <v>1</v>
      </c>
      <c r="S19" s="6">
        <v>1532</v>
      </c>
      <c r="T19" s="6">
        <v>0</v>
      </c>
      <c r="U19" s="6">
        <v>2068.6439999999998</v>
      </c>
      <c r="V19" s="8">
        <v>7.6000000000000004E-4</v>
      </c>
      <c r="W19" s="8">
        <v>9.1E-4</v>
      </c>
      <c r="X19" s="8">
        <v>5.0000000000000002E-5</v>
      </c>
    </row>
    <row r="20" spans="1:24">
      <c r="A20" s="12">
        <v>1097</v>
      </c>
      <c r="B20" s="12">
        <v>1097</v>
      </c>
      <c r="C20" s="2" t="s">
        <v>1315</v>
      </c>
      <c r="D20" s="3" t="s">
        <v>1316</v>
      </c>
      <c r="E20" s="2" t="s">
        <v>245</v>
      </c>
      <c r="F20" s="2" t="s">
        <v>1317</v>
      </c>
      <c r="G20" s="12" t="s">
        <v>1318</v>
      </c>
      <c r="H20" s="2" t="s">
        <v>248</v>
      </c>
      <c r="I20" s="2" t="s">
        <v>1268</v>
      </c>
      <c r="J20" s="2" t="s">
        <v>77</v>
      </c>
      <c r="K20" s="2" t="s">
        <v>77</v>
      </c>
      <c r="L20" s="2" t="s">
        <v>250</v>
      </c>
      <c r="M20" s="2" t="s">
        <v>130</v>
      </c>
      <c r="N20" s="2" t="s">
        <v>528</v>
      </c>
      <c r="O20" s="2" t="s">
        <v>78</v>
      </c>
      <c r="P20" s="2" t="s">
        <v>81</v>
      </c>
      <c r="Q20" s="6">
        <v>570198</v>
      </c>
      <c r="R20" s="13">
        <v>1</v>
      </c>
      <c r="S20" s="6">
        <v>3356</v>
      </c>
      <c r="T20" s="6">
        <v>0</v>
      </c>
      <c r="U20" s="6">
        <v>19135.845000000001</v>
      </c>
      <c r="V20" s="8">
        <v>4.6999999999999999E-4</v>
      </c>
      <c r="W20" s="8">
        <v>8.3999999999999995E-3</v>
      </c>
      <c r="X20" s="8">
        <v>4.6999999999999999E-4</v>
      </c>
    </row>
    <row r="21" spans="1:24">
      <c r="A21" s="12">
        <v>1097</v>
      </c>
      <c r="B21" s="12">
        <v>1097</v>
      </c>
      <c r="C21" s="2" t="s">
        <v>1319</v>
      </c>
      <c r="D21" s="3" t="s">
        <v>1320</v>
      </c>
      <c r="E21" s="2" t="s">
        <v>245</v>
      </c>
      <c r="F21" s="2" t="s">
        <v>1321</v>
      </c>
      <c r="G21" s="12" t="s">
        <v>1322</v>
      </c>
      <c r="H21" s="2" t="s">
        <v>248</v>
      </c>
      <c r="I21" s="2" t="s">
        <v>1268</v>
      </c>
      <c r="J21" s="2" t="s">
        <v>77</v>
      </c>
      <c r="K21" s="2" t="s">
        <v>77</v>
      </c>
      <c r="L21" s="2" t="s">
        <v>250</v>
      </c>
      <c r="M21" s="2" t="s">
        <v>130</v>
      </c>
      <c r="N21" s="2" t="s">
        <v>1289</v>
      </c>
      <c r="O21" s="2" t="s">
        <v>78</v>
      </c>
      <c r="P21" s="2" t="s">
        <v>81</v>
      </c>
      <c r="Q21" s="6">
        <v>1748</v>
      </c>
      <c r="R21" s="13">
        <v>1</v>
      </c>
      <c r="S21" s="6">
        <v>69740</v>
      </c>
      <c r="T21" s="6">
        <v>0</v>
      </c>
      <c r="U21" s="6">
        <v>1219.0550000000001</v>
      </c>
      <c r="V21" s="8">
        <v>1E-4</v>
      </c>
      <c r="W21" s="8">
        <v>5.2999999999999998E-4</v>
      </c>
      <c r="X21" s="8">
        <v>3.0000000000000001E-5</v>
      </c>
    </row>
    <row r="22" spans="1:24">
      <c r="A22" s="12">
        <v>1097</v>
      </c>
      <c r="B22" s="12">
        <v>1097</v>
      </c>
      <c r="C22" s="2" t="s">
        <v>598</v>
      </c>
      <c r="D22" s="3" t="s">
        <v>599</v>
      </c>
      <c r="E22" s="2" t="s">
        <v>245</v>
      </c>
      <c r="F22" s="2" t="s">
        <v>1323</v>
      </c>
      <c r="G22" s="12" t="s">
        <v>1324</v>
      </c>
      <c r="H22" s="2" t="s">
        <v>248</v>
      </c>
      <c r="I22" s="2" t="s">
        <v>1268</v>
      </c>
      <c r="J22" s="2" t="s">
        <v>77</v>
      </c>
      <c r="K22" s="2" t="s">
        <v>77</v>
      </c>
      <c r="L22" s="2" t="s">
        <v>250</v>
      </c>
      <c r="M22" s="2" t="s">
        <v>130</v>
      </c>
      <c r="N22" s="2" t="s">
        <v>602</v>
      </c>
      <c r="O22" s="2" t="s">
        <v>78</v>
      </c>
      <c r="P22" s="2" t="s">
        <v>81</v>
      </c>
      <c r="Q22" s="6">
        <v>23131</v>
      </c>
      <c r="R22" s="13">
        <v>1</v>
      </c>
      <c r="S22" s="6">
        <v>17880</v>
      </c>
      <c r="T22" s="6">
        <v>0</v>
      </c>
      <c r="U22" s="6">
        <v>4135.8230000000003</v>
      </c>
      <c r="V22" s="8">
        <v>8.8999999999999995E-4</v>
      </c>
      <c r="W22" s="8">
        <v>1.82E-3</v>
      </c>
      <c r="X22" s="8">
        <v>1E-4</v>
      </c>
    </row>
    <row r="23" spans="1:24">
      <c r="A23" s="12">
        <v>1097</v>
      </c>
      <c r="B23" s="12">
        <v>1097</v>
      </c>
      <c r="C23" s="2" t="s">
        <v>1325</v>
      </c>
      <c r="D23" s="3" t="s">
        <v>1326</v>
      </c>
      <c r="E23" s="2" t="s">
        <v>245</v>
      </c>
      <c r="F23" s="2" t="s">
        <v>1327</v>
      </c>
      <c r="G23" s="12" t="s">
        <v>1328</v>
      </c>
      <c r="H23" s="2" t="s">
        <v>248</v>
      </c>
      <c r="I23" s="2" t="s">
        <v>1268</v>
      </c>
      <c r="J23" s="2" t="s">
        <v>77</v>
      </c>
      <c r="K23" s="2" t="s">
        <v>77</v>
      </c>
      <c r="L23" s="2" t="s">
        <v>250</v>
      </c>
      <c r="M23" s="2" t="s">
        <v>130</v>
      </c>
      <c r="N23" s="2" t="s">
        <v>305</v>
      </c>
      <c r="O23" s="2" t="s">
        <v>78</v>
      </c>
      <c r="P23" s="2" t="s">
        <v>81</v>
      </c>
      <c r="Q23" s="6">
        <v>3061</v>
      </c>
      <c r="R23" s="13">
        <v>1</v>
      </c>
      <c r="S23" s="6">
        <v>48100</v>
      </c>
      <c r="T23" s="6">
        <v>0</v>
      </c>
      <c r="U23" s="6">
        <v>1472.3409999999999</v>
      </c>
      <c r="V23" s="8">
        <v>5.1999999999999995E-4</v>
      </c>
      <c r="W23" s="8">
        <v>6.4999999999999997E-4</v>
      </c>
      <c r="X23" s="8">
        <v>4.0000000000000003E-5</v>
      </c>
    </row>
    <row r="24" spans="1:24">
      <c r="A24" s="12">
        <v>1097</v>
      </c>
      <c r="B24" s="12">
        <v>1097</v>
      </c>
      <c r="C24" s="2" t="s">
        <v>650</v>
      </c>
      <c r="D24" s="3" t="s">
        <v>651</v>
      </c>
      <c r="E24" s="2" t="s">
        <v>245</v>
      </c>
      <c r="F24" s="2" t="s">
        <v>1329</v>
      </c>
      <c r="G24" s="12" t="s">
        <v>1330</v>
      </c>
      <c r="H24" s="2" t="s">
        <v>248</v>
      </c>
      <c r="I24" s="2" t="s">
        <v>1268</v>
      </c>
      <c r="J24" s="2" t="s">
        <v>77</v>
      </c>
      <c r="K24" s="2" t="s">
        <v>77</v>
      </c>
      <c r="L24" s="2" t="s">
        <v>250</v>
      </c>
      <c r="M24" s="2" t="s">
        <v>130</v>
      </c>
      <c r="N24" s="2" t="s">
        <v>628</v>
      </c>
      <c r="O24" s="2" t="s">
        <v>78</v>
      </c>
      <c r="P24" s="2" t="s">
        <v>81</v>
      </c>
      <c r="Q24" s="6">
        <v>137089</v>
      </c>
      <c r="R24" s="13">
        <v>1</v>
      </c>
      <c r="S24" s="6">
        <v>9432</v>
      </c>
      <c r="T24" s="6">
        <v>0</v>
      </c>
      <c r="U24" s="6">
        <v>12930.234</v>
      </c>
      <c r="V24" s="8">
        <v>6.6E-4</v>
      </c>
      <c r="W24" s="8">
        <v>5.6699999999999997E-3</v>
      </c>
      <c r="X24" s="8">
        <v>3.2000000000000003E-4</v>
      </c>
    </row>
    <row r="25" spans="1:24">
      <c r="A25" s="12">
        <v>1097</v>
      </c>
      <c r="B25" s="12">
        <v>1097</v>
      </c>
      <c r="C25" s="2" t="s">
        <v>1331</v>
      </c>
      <c r="D25" s="3" t="s">
        <v>1332</v>
      </c>
      <c r="E25" s="2" t="s">
        <v>245</v>
      </c>
      <c r="F25" s="2" t="s">
        <v>1333</v>
      </c>
      <c r="G25" s="12" t="s">
        <v>1334</v>
      </c>
      <c r="H25" s="2" t="s">
        <v>248</v>
      </c>
      <c r="I25" s="2" t="s">
        <v>1268</v>
      </c>
      <c r="J25" s="2" t="s">
        <v>77</v>
      </c>
      <c r="K25" s="2" t="s">
        <v>77</v>
      </c>
      <c r="L25" s="2" t="s">
        <v>250</v>
      </c>
      <c r="M25" s="2" t="s">
        <v>130</v>
      </c>
      <c r="N25" s="2" t="s">
        <v>1335</v>
      </c>
      <c r="O25" s="2" t="s">
        <v>78</v>
      </c>
      <c r="P25" s="2" t="s">
        <v>81</v>
      </c>
      <c r="Q25" s="6">
        <v>28277</v>
      </c>
      <c r="R25" s="13">
        <v>1</v>
      </c>
      <c r="S25" s="6">
        <v>28610</v>
      </c>
      <c r="T25" s="6">
        <v>0</v>
      </c>
      <c r="U25" s="6">
        <v>8090.05</v>
      </c>
      <c r="V25" s="8">
        <v>1.23E-3</v>
      </c>
      <c r="W25" s="8">
        <v>3.5500000000000002E-3</v>
      </c>
      <c r="X25" s="8">
        <v>2.0000000000000001E-4</v>
      </c>
    </row>
    <row r="26" spans="1:24">
      <c r="A26" s="12">
        <v>1097</v>
      </c>
      <c r="B26" s="12">
        <v>1097</v>
      </c>
      <c r="C26" s="2" t="s">
        <v>1336</v>
      </c>
      <c r="D26" s="3" t="s">
        <v>1337</v>
      </c>
      <c r="E26" s="2" t="s">
        <v>245</v>
      </c>
      <c r="F26" s="2" t="s">
        <v>1338</v>
      </c>
      <c r="G26" s="12" t="s">
        <v>1339</v>
      </c>
      <c r="H26" s="2" t="s">
        <v>248</v>
      </c>
      <c r="I26" s="2" t="s">
        <v>1268</v>
      </c>
      <c r="J26" s="2" t="s">
        <v>77</v>
      </c>
      <c r="K26" s="2" t="s">
        <v>77</v>
      </c>
      <c r="L26" s="2" t="s">
        <v>250</v>
      </c>
      <c r="M26" s="2" t="s">
        <v>130</v>
      </c>
      <c r="N26" s="2" t="s">
        <v>1340</v>
      </c>
      <c r="O26" s="2" t="s">
        <v>78</v>
      </c>
      <c r="P26" s="2" t="s">
        <v>81</v>
      </c>
      <c r="Q26" s="6">
        <v>63470</v>
      </c>
      <c r="R26" s="13">
        <v>1</v>
      </c>
      <c r="S26" s="6">
        <v>14620</v>
      </c>
      <c r="T26" s="6">
        <v>0</v>
      </c>
      <c r="U26" s="6">
        <v>9279.3140000000003</v>
      </c>
      <c r="V26" s="8">
        <v>5.6999999999999998E-4</v>
      </c>
      <c r="W26" s="8">
        <v>4.0699999999999998E-3</v>
      </c>
      <c r="X26" s="8">
        <v>2.3000000000000001E-4</v>
      </c>
    </row>
    <row r="27" spans="1:24">
      <c r="A27" s="12">
        <v>1097</v>
      </c>
      <c r="B27" s="12">
        <v>1097</v>
      </c>
      <c r="C27" s="2" t="s">
        <v>1341</v>
      </c>
      <c r="D27" s="3" t="s">
        <v>1342</v>
      </c>
      <c r="E27" s="2" t="s">
        <v>245</v>
      </c>
      <c r="F27" s="2" t="s">
        <v>1343</v>
      </c>
      <c r="G27" s="12" t="s">
        <v>1344</v>
      </c>
      <c r="H27" s="2" t="s">
        <v>248</v>
      </c>
      <c r="I27" s="2" t="s">
        <v>1268</v>
      </c>
      <c r="J27" s="2" t="s">
        <v>77</v>
      </c>
      <c r="K27" s="2" t="s">
        <v>77</v>
      </c>
      <c r="L27" s="2" t="s">
        <v>250</v>
      </c>
      <c r="M27" s="2" t="s">
        <v>130</v>
      </c>
      <c r="N27" s="2" t="s">
        <v>1345</v>
      </c>
      <c r="O27" s="2" t="s">
        <v>78</v>
      </c>
      <c r="P27" s="2" t="s">
        <v>81</v>
      </c>
      <c r="Q27" s="6">
        <v>301310</v>
      </c>
      <c r="R27" s="13">
        <v>1</v>
      </c>
      <c r="S27" s="6">
        <v>5699</v>
      </c>
      <c r="T27" s="6">
        <v>0</v>
      </c>
      <c r="U27" s="6">
        <v>17171.656999999999</v>
      </c>
      <c r="V27" s="8">
        <v>2.5999999999999998E-4</v>
      </c>
      <c r="W27" s="8">
        <v>7.5399999999999998E-3</v>
      </c>
      <c r="X27" s="8">
        <v>4.2999999999999999E-4</v>
      </c>
    </row>
    <row r="28" spans="1:24">
      <c r="A28" s="12">
        <v>1097</v>
      </c>
      <c r="B28" s="12">
        <v>1097</v>
      </c>
      <c r="C28" s="2" t="s">
        <v>1346</v>
      </c>
      <c r="D28" s="3" t="s">
        <v>1347</v>
      </c>
      <c r="E28" s="2" t="s">
        <v>245</v>
      </c>
      <c r="F28" s="2" t="s">
        <v>1348</v>
      </c>
      <c r="G28" s="12" t="s">
        <v>1349</v>
      </c>
      <c r="H28" s="2" t="s">
        <v>248</v>
      </c>
      <c r="I28" s="2" t="s">
        <v>1268</v>
      </c>
      <c r="J28" s="2" t="s">
        <v>77</v>
      </c>
      <c r="K28" s="2" t="s">
        <v>77</v>
      </c>
      <c r="L28" s="2" t="s">
        <v>250</v>
      </c>
      <c r="M28" s="2" t="s">
        <v>130</v>
      </c>
      <c r="N28" s="2" t="s">
        <v>251</v>
      </c>
      <c r="O28" s="2" t="s">
        <v>78</v>
      </c>
      <c r="P28" s="2" t="s">
        <v>81</v>
      </c>
      <c r="Q28" s="6">
        <v>136211</v>
      </c>
      <c r="R28" s="13">
        <v>1</v>
      </c>
      <c r="S28" s="6">
        <v>1515</v>
      </c>
      <c r="T28" s="6">
        <v>0</v>
      </c>
      <c r="U28" s="6">
        <v>2063.5970000000002</v>
      </c>
      <c r="V28" s="8">
        <v>4.0999999999999999E-4</v>
      </c>
      <c r="W28" s="8">
        <v>9.1E-4</v>
      </c>
      <c r="X28" s="8">
        <v>5.0000000000000002E-5</v>
      </c>
    </row>
    <row r="29" spans="1:24">
      <c r="A29" s="12">
        <v>1097</v>
      </c>
      <c r="B29" s="12">
        <v>1097</v>
      </c>
      <c r="C29" s="2" t="s">
        <v>695</v>
      </c>
      <c r="D29" s="3" t="s">
        <v>696</v>
      </c>
      <c r="E29" s="2" t="s">
        <v>245</v>
      </c>
      <c r="F29" s="2" t="s">
        <v>1350</v>
      </c>
      <c r="G29" s="12" t="s">
        <v>1351</v>
      </c>
      <c r="H29" s="2" t="s">
        <v>248</v>
      </c>
      <c r="I29" s="2" t="s">
        <v>1268</v>
      </c>
      <c r="J29" s="2" t="s">
        <v>77</v>
      </c>
      <c r="K29" s="2" t="s">
        <v>77</v>
      </c>
      <c r="L29" s="2" t="s">
        <v>250</v>
      </c>
      <c r="M29" s="2" t="s">
        <v>130</v>
      </c>
      <c r="N29" s="2" t="s">
        <v>347</v>
      </c>
      <c r="O29" s="2" t="s">
        <v>78</v>
      </c>
      <c r="P29" s="2" t="s">
        <v>81</v>
      </c>
      <c r="Q29" s="6">
        <v>1897</v>
      </c>
      <c r="R29" s="13">
        <v>1</v>
      </c>
      <c r="S29" s="6">
        <v>95780</v>
      </c>
      <c r="T29" s="6">
        <v>0</v>
      </c>
      <c r="U29" s="6">
        <v>1816.9469999999999</v>
      </c>
      <c r="V29" s="8">
        <v>3.8000000000000002E-4</v>
      </c>
      <c r="W29" s="8">
        <v>8.0000000000000004E-4</v>
      </c>
      <c r="X29" s="8">
        <v>5.0000000000000002E-5</v>
      </c>
    </row>
    <row r="30" spans="1:24">
      <c r="A30" s="12">
        <v>1097</v>
      </c>
      <c r="B30" s="12">
        <v>1097</v>
      </c>
      <c r="C30" s="2" t="s">
        <v>712</v>
      </c>
      <c r="D30" s="3" t="s">
        <v>713</v>
      </c>
      <c r="E30" s="2" t="s">
        <v>245</v>
      </c>
      <c r="F30" s="2" t="s">
        <v>1352</v>
      </c>
      <c r="G30" s="12" t="s">
        <v>1353</v>
      </c>
      <c r="H30" s="2" t="s">
        <v>248</v>
      </c>
      <c r="I30" s="2" t="s">
        <v>1268</v>
      </c>
      <c r="J30" s="2" t="s">
        <v>77</v>
      </c>
      <c r="K30" s="2" t="s">
        <v>77</v>
      </c>
      <c r="L30" s="2" t="s">
        <v>250</v>
      </c>
      <c r="M30" s="2" t="s">
        <v>130</v>
      </c>
      <c r="N30" s="2" t="s">
        <v>628</v>
      </c>
      <c r="O30" s="2" t="s">
        <v>78</v>
      </c>
      <c r="P30" s="2" t="s">
        <v>81</v>
      </c>
      <c r="Q30" s="6">
        <v>43132</v>
      </c>
      <c r="R30" s="13">
        <v>1</v>
      </c>
      <c r="S30" s="6">
        <v>14880</v>
      </c>
      <c r="T30" s="6">
        <v>0</v>
      </c>
      <c r="U30" s="6">
        <v>6418.0420000000004</v>
      </c>
      <c r="V30" s="8">
        <v>5.4000000000000001E-4</v>
      </c>
      <c r="W30" s="8">
        <v>2.82E-3</v>
      </c>
      <c r="X30" s="8">
        <v>1.6000000000000001E-4</v>
      </c>
    </row>
    <row r="31" spans="1:24">
      <c r="A31" s="12">
        <v>1097</v>
      </c>
      <c r="B31" s="12">
        <v>1097</v>
      </c>
      <c r="C31" s="2" t="s">
        <v>728</v>
      </c>
      <c r="D31" s="3" t="s">
        <v>729</v>
      </c>
      <c r="E31" s="2" t="s">
        <v>245</v>
      </c>
      <c r="F31" s="2" t="s">
        <v>88</v>
      </c>
      <c r="G31" s="12" t="s">
        <v>1354</v>
      </c>
      <c r="H31" s="2" t="s">
        <v>248</v>
      </c>
      <c r="I31" s="2" t="s">
        <v>1268</v>
      </c>
      <c r="J31" s="2" t="s">
        <v>77</v>
      </c>
      <c r="K31" s="2" t="s">
        <v>77</v>
      </c>
      <c r="L31" s="2" t="s">
        <v>250</v>
      </c>
      <c r="M31" s="2" t="s">
        <v>130</v>
      </c>
      <c r="N31" s="2" t="s">
        <v>528</v>
      </c>
      <c r="O31" s="2" t="s">
        <v>78</v>
      </c>
      <c r="P31" s="2" t="s">
        <v>81</v>
      </c>
      <c r="Q31" s="6">
        <v>652599</v>
      </c>
      <c r="R31" s="13">
        <v>1</v>
      </c>
      <c r="S31" s="6">
        <v>6262</v>
      </c>
      <c r="T31" s="6">
        <v>0</v>
      </c>
      <c r="U31" s="6">
        <v>40865.749000000003</v>
      </c>
      <c r="V31" s="8">
        <v>4.4000000000000002E-4</v>
      </c>
      <c r="W31" s="8">
        <v>1.7930000000000001E-2</v>
      </c>
      <c r="X31" s="8">
        <v>1.01E-3</v>
      </c>
    </row>
    <row r="32" spans="1:24">
      <c r="A32" s="12">
        <v>1097</v>
      </c>
      <c r="B32" s="12">
        <v>1097</v>
      </c>
      <c r="C32" s="2" t="s">
        <v>752</v>
      </c>
      <c r="D32" s="3" t="s">
        <v>753</v>
      </c>
      <c r="E32" s="2" t="s">
        <v>245</v>
      </c>
      <c r="F32" s="2" t="s">
        <v>1355</v>
      </c>
      <c r="G32" s="12" t="s">
        <v>1356</v>
      </c>
      <c r="H32" s="2" t="s">
        <v>248</v>
      </c>
      <c r="I32" s="2" t="s">
        <v>1268</v>
      </c>
      <c r="J32" s="2" t="s">
        <v>77</v>
      </c>
      <c r="K32" s="2" t="s">
        <v>77</v>
      </c>
      <c r="L32" s="2" t="s">
        <v>250</v>
      </c>
      <c r="M32" s="2" t="s">
        <v>130</v>
      </c>
      <c r="N32" s="2" t="s">
        <v>347</v>
      </c>
      <c r="O32" s="2" t="s">
        <v>78</v>
      </c>
      <c r="P32" s="2" t="s">
        <v>81</v>
      </c>
      <c r="Q32" s="6">
        <v>8372997.9210000001</v>
      </c>
      <c r="R32" s="13">
        <v>1</v>
      </c>
      <c r="S32" s="6">
        <v>1262</v>
      </c>
      <c r="T32" s="6">
        <v>0</v>
      </c>
      <c r="U32" s="6">
        <v>105667.234</v>
      </c>
      <c r="V32" s="8">
        <v>1.157E-2</v>
      </c>
      <c r="W32" s="8">
        <v>4.6370000000000001E-2</v>
      </c>
      <c r="X32" s="8">
        <v>2.6199999999999999E-3</v>
      </c>
    </row>
    <row r="33" spans="1:24">
      <c r="A33" s="12">
        <v>1097</v>
      </c>
      <c r="B33" s="12">
        <v>1097</v>
      </c>
      <c r="C33" s="2" t="s">
        <v>1357</v>
      </c>
      <c r="D33" s="3" t="s">
        <v>1358</v>
      </c>
      <c r="E33" s="2" t="s">
        <v>245</v>
      </c>
      <c r="F33" s="2" t="s">
        <v>1359</v>
      </c>
      <c r="G33" s="12" t="s">
        <v>1360</v>
      </c>
      <c r="H33" s="2" t="s">
        <v>248</v>
      </c>
      <c r="I33" s="2" t="s">
        <v>1268</v>
      </c>
      <c r="J33" s="2" t="s">
        <v>77</v>
      </c>
      <c r="K33" s="2" t="s">
        <v>77</v>
      </c>
      <c r="L33" s="2" t="s">
        <v>250</v>
      </c>
      <c r="M33" s="2" t="s">
        <v>130</v>
      </c>
      <c r="N33" s="2" t="s">
        <v>628</v>
      </c>
      <c r="O33" s="2" t="s">
        <v>78</v>
      </c>
      <c r="P33" s="2" t="s">
        <v>81</v>
      </c>
      <c r="Q33" s="6">
        <v>310932</v>
      </c>
      <c r="R33" s="13">
        <v>1</v>
      </c>
      <c r="S33" s="6">
        <v>927.1</v>
      </c>
      <c r="T33" s="6">
        <v>0</v>
      </c>
      <c r="U33" s="6">
        <v>2882.6509999999998</v>
      </c>
      <c r="V33" s="8">
        <v>2.9E-4</v>
      </c>
      <c r="W33" s="8">
        <v>1.2700000000000001E-3</v>
      </c>
      <c r="X33" s="8">
        <v>6.9999999999999994E-5</v>
      </c>
    </row>
    <row r="34" spans="1:24">
      <c r="A34" s="12">
        <v>1097</v>
      </c>
      <c r="B34" s="12">
        <v>1097</v>
      </c>
      <c r="C34" s="2" t="s">
        <v>1361</v>
      </c>
      <c r="D34" s="3" t="s">
        <v>1362</v>
      </c>
      <c r="E34" s="2" t="s">
        <v>245</v>
      </c>
      <c r="F34" s="2" t="s">
        <v>1363</v>
      </c>
      <c r="G34" s="12" t="s">
        <v>1364</v>
      </c>
      <c r="H34" s="2" t="s">
        <v>248</v>
      </c>
      <c r="I34" s="2" t="s">
        <v>1268</v>
      </c>
      <c r="J34" s="2" t="s">
        <v>77</v>
      </c>
      <c r="K34" s="2" t="s">
        <v>77</v>
      </c>
      <c r="L34" s="2" t="s">
        <v>250</v>
      </c>
      <c r="M34" s="2" t="s">
        <v>130</v>
      </c>
      <c r="N34" s="2" t="s">
        <v>528</v>
      </c>
      <c r="O34" s="2" t="s">
        <v>78</v>
      </c>
      <c r="P34" s="2" t="s">
        <v>81</v>
      </c>
      <c r="Q34" s="6">
        <v>130662</v>
      </c>
      <c r="R34" s="13">
        <v>1</v>
      </c>
      <c r="S34" s="6">
        <v>21950</v>
      </c>
      <c r="T34" s="6">
        <v>0</v>
      </c>
      <c r="U34" s="6">
        <v>28680.309000000001</v>
      </c>
      <c r="V34" s="8">
        <v>5.0000000000000001E-4</v>
      </c>
      <c r="W34" s="8">
        <v>1.259E-2</v>
      </c>
      <c r="X34" s="8">
        <v>7.1000000000000002E-4</v>
      </c>
    </row>
    <row r="35" spans="1:24">
      <c r="A35" s="12">
        <v>1097</v>
      </c>
      <c r="B35" s="12">
        <v>1097</v>
      </c>
      <c r="C35" s="2" t="s">
        <v>1365</v>
      </c>
      <c r="D35" s="3" t="s">
        <v>1366</v>
      </c>
      <c r="E35" s="2" t="s">
        <v>245</v>
      </c>
      <c r="F35" s="2" t="s">
        <v>1367</v>
      </c>
      <c r="G35" s="12" t="s">
        <v>1368</v>
      </c>
      <c r="H35" s="2" t="s">
        <v>248</v>
      </c>
      <c r="I35" s="2" t="s">
        <v>1268</v>
      </c>
      <c r="J35" s="2" t="s">
        <v>77</v>
      </c>
      <c r="K35" s="2" t="s">
        <v>77</v>
      </c>
      <c r="L35" s="2" t="s">
        <v>250</v>
      </c>
      <c r="M35" s="2" t="s">
        <v>130</v>
      </c>
      <c r="N35" s="2" t="s">
        <v>1335</v>
      </c>
      <c r="O35" s="2" t="s">
        <v>78</v>
      </c>
      <c r="P35" s="2" t="s">
        <v>81</v>
      </c>
      <c r="Q35" s="6">
        <v>63426</v>
      </c>
      <c r="R35" s="13">
        <v>1</v>
      </c>
      <c r="S35" s="6">
        <v>11720</v>
      </c>
      <c r="T35" s="6">
        <v>0</v>
      </c>
      <c r="U35" s="6">
        <v>7433.527</v>
      </c>
      <c r="V35" s="8">
        <v>1E-3</v>
      </c>
      <c r="W35" s="8">
        <v>3.2599999999999999E-3</v>
      </c>
      <c r="X35" s="8">
        <v>1.8000000000000001E-4</v>
      </c>
    </row>
    <row r="36" spans="1:24">
      <c r="A36" s="12">
        <v>1097</v>
      </c>
      <c r="B36" s="12">
        <v>1097</v>
      </c>
      <c r="C36" s="2" t="s">
        <v>837</v>
      </c>
      <c r="D36" s="3" t="s">
        <v>838</v>
      </c>
      <c r="E36" s="2" t="s">
        <v>245</v>
      </c>
      <c r="F36" s="2" t="s">
        <v>1369</v>
      </c>
      <c r="G36" s="12" t="s">
        <v>1370</v>
      </c>
      <c r="H36" s="2" t="s">
        <v>248</v>
      </c>
      <c r="I36" s="2" t="s">
        <v>1268</v>
      </c>
      <c r="J36" s="2" t="s">
        <v>77</v>
      </c>
      <c r="K36" s="2" t="s">
        <v>77</v>
      </c>
      <c r="L36" s="2" t="s">
        <v>250</v>
      </c>
      <c r="M36" s="2" t="s">
        <v>130</v>
      </c>
      <c r="N36" s="2" t="s">
        <v>841</v>
      </c>
      <c r="O36" s="2" t="s">
        <v>78</v>
      </c>
      <c r="P36" s="2" t="s">
        <v>81</v>
      </c>
      <c r="Q36" s="6">
        <v>31106</v>
      </c>
      <c r="R36" s="13">
        <v>1</v>
      </c>
      <c r="S36" s="6">
        <v>7396</v>
      </c>
      <c r="T36" s="6">
        <v>0</v>
      </c>
      <c r="U36" s="6">
        <v>2300.6</v>
      </c>
      <c r="V36" s="8">
        <v>4.0000000000000002E-4</v>
      </c>
      <c r="W36" s="8">
        <v>1.01E-3</v>
      </c>
      <c r="X36" s="8">
        <v>6.0000000000000002E-5</v>
      </c>
    </row>
    <row r="37" spans="1:24">
      <c r="A37" s="12">
        <v>1097</v>
      </c>
      <c r="B37" s="12">
        <v>1097</v>
      </c>
      <c r="C37" s="2" t="s">
        <v>854</v>
      </c>
      <c r="D37" s="3" t="s">
        <v>855</v>
      </c>
      <c r="E37" s="2" t="s">
        <v>245</v>
      </c>
      <c r="F37" s="2" t="s">
        <v>1371</v>
      </c>
      <c r="G37" s="12" t="s">
        <v>1372</v>
      </c>
      <c r="H37" s="2" t="s">
        <v>248</v>
      </c>
      <c r="I37" s="2" t="s">
        <v>1268</v>
      </c>
      <c r="J37" s="2" t="s">
        <v>77</v>
      </c>
      <c r="K37" s="2" t="s">
        <v>77</v>
      </c>
      <c r="L37" s="2" t="s">
        <v>250</v>
      </c>
      <c r="M37" s="2" t="s">
        <v>130</v>
      </c>
      <c r="N37" s="2" t="s">
        <v>347</v>
      </c>
      <c r="O37" s="2" t="s">
        <v>78</v>
      </c>
      <c r="P37" s="2" t="s">
        <v>81</v>
      </c>
      <c r="Q37" s="6">
        <v>22551</v>
      </c>
      <c r="R37" s="13">
        <v>1</v>
      </c>
      <c r="S37" s="6">
        <v>38400</v>
      </c>
      <c r="T37" s="6">
        <v>0</v>
      </c>
      <c r="U37" s="6">
        <v>8659.5840000000007</v>
      </c>
      <c r="V37" s="8">
        <v>4.6999999999999999E-4</v>
      </c>
      <c r="W37" s="8">
        <v>3.8E-3</v>
      </c>
      <c r="X37" s="8">
        <v>2.1000000000000001E-4</v>
      </c>
    </row>
    <row r="38" spans="1:24">
      <c r="A38" s="12">
        <v>1097</v>
      </c>
      <c r="B38" s="12">
        <v>1097</v>
      </c>
      <c r="C38" s="2" t="s">
        <v>895</v>
      </c>
      <c r="D38" s="3" t="s">
        <v>896</v>
      </c>
      <c r="E38" s="2" t="s">
        <v>245</v>
      </c>
      <c r="F38" s="2" t="s">
        <v>1373</v>
      </c>
      <c r="G38" s="12" t="s">
        <v>1374</v>
      </c>
      <c r="H38" s="2" t="s">
        <v>248</v>
      </c>
      <c r="I38" s="2" t="s">
        <v>1268</v>
      </c>
      <c r="J38" s="2" t="s">
        <v>77</v>
      </c>
      <c r="K38" s="2" t="s">
        <v>77</v>
      </c>
      <c r="L38" s="2" t="s">
        <v>250</v>
      </c>
      <c r="M38" s="2" t="s">
        <v>130</v>
      </c>
      <c r="N38" s="2" t="s">
        <v>628</v>
      </c>
      <c r="O38" s="2" t="s">
        <v>78</v>
      </c>
      <c r="P38" s="2" t="s">
        <v>81</v>
      </c>
      <c r="Q38" s="6">
        <v>18431</v>
      </c>
      <c r="R38" s="13">
        <v>1</v>
      </c>
      <c r="S38" s="6">
        <v>26530</v>
      </c>
      <c r="T38" s="6">
        <v>0</v>
      </c>
      <c r="U38" s="6">
        <v>4889.7439999999997</v>
      </c>
      <c r="V38" s="8">
        <v>2.9999999999999997E-4</v>
      </c>
      <c r="W38" s="8">
        <v>2.15E-3</v>
      </c>
      <c r="X38" s="8">
        <v>1.2E-4</v>
      </c>
    </row>
    <row r="39" spans="1:24">
      <c r="A39" s="12">
        <v>1097</v>
      </c>
      <c r="B39" s="12">
        <v>1097</v>
      </c>
      <c r="C39" s="2" t="s">
        <v>1375</v>
      </c>
      <c r="D39" s="3" t="s">
        <v>1376</v>
      </c>
      <c r="E39" s="2" t="s">
        <v>245</v>
      </c>
      <c r="F39" s="2" t="s">
        <v>1377</v>
      </c>
      <c r="G39" s="12" t="s">
        <v>1378</v>
      </c>
      <c r="H39" s="2" t="s">
        <v>248</v>
      </c>
      <c r="I39" s="2" t="s">
        <v>1268</v>
      </c>
      <c r="J39" s="2" t="s">
        <v>77</v>
      </c>
      <c r="K39" s="2" t="s">
        <v>77</v>
      </c>
      <c r="L39" s="2" t="s">
        <v>250</v>
      </c>
      <c r="M39" s="2" t="s">
        <v>130</v>
      </c>
      <c r="N39" s="2" t="s">
        <v>347</v>
      </c>
      <c r="O39" s="2" t="s">
        <v>78</v>
      </c>
      <c r="P39" s="2" t="s">
        <v>81</v>
      </c>
      <c r="Q39" s="6">
        <v>0</v>
      </c>
      <c r="R39" s="13">
        <v>1</v>
      </c>
      <c r="S39" s="6">
        <v>204.00200000000001</v>
      </c>
      <c r="T39" s="6">
        <v>545.32000000000005</v>
      </c>
      <c r="U39" s="6">
        <v>545.31899999999996</v>
      </c>
      <c r="V39" s="8">
        <v>0</v>
      </c>
      <c r="W39" s="8">
        <v>2.4000000000000001E-4</v>
      </c>
      <c r="X39" s="8">
        <v>1.0000000000000001E-5</v>
      </c>
    </row>
    <row r="40" spans="1:24">
      <c r="A40" s="12">
        <v>1097</v>
      </c>
      <c r="B40" s="12">
        <v>1097</v>
      </c>
      <c r="C40" s="2" t="s">
        <v>1379</v>
      </c>
      <c r="D40" s="3" t="s">
        <v>1380</v>
      </c>
      <c r="E40" s="2" t="s">
        <v>245</v>
      </c>
      <c r="F40" s="2" t="s">
        <v>1381</v>
      </c>
      <c r="G40" s="12" t="s">
        <v>1382</v>
      </c>
      <c r="H40" s="2" t="s">
        <v>248</v>
      </c>
      <c r="I40" s="2" t="s">
        <v>1268</v>
      </c>
      <c r="J40" s="2" t="s">
        <v>77</v>
      </c>
      <c r="K40" s="2" t="s">
        <v>77</v>
      </c>
      <c r="L40" s="2" t="s">
        <v>250</v>
      </c>
      <c r="M40" s="2" t="s">
        <v>130</v>
      </c>
      <c r="N40" s="2" t="s">
        <v>1289</v>
      </c>
      <c r="O40" s="2" t="s">
        <v>78</v>
      </c>
      <c r="P40" s="2" t="s">
        <v>81</v>
      </c>
      <c r="Q40" s="6">
        <v>23586</v>
      </c>
      <c r="R40" s="13">
        <v>1</v>
      </c>
      <c r="S40" s="6">
        <v>9900</v>
      </c>
      <c r="T40" s="6">
        <v>0</v>
      </c>
      <c r="U40" s="6">
        <v>2335.0140000000001</v>
      </c>
      <c r="V40" s="8">
        <v>2.3000000000000001E-4</v>
      </c>
      <c r="W40" s="8">
        <v>1.0200000000000001E-3</v>
      </c>
      <c r="X40" s="8">
        <v>6.0000000000000002E-5</v>
      </c>
    </row>
    <row r="41" spans="1:24">
      <c r="A41" s="12">
        <v>1097</v>
      </c>
      <c r="B41" s="12">
        <v>1097</v>
      </c>
      <c r="C41" s="2" t="s">
        <v>1383</v>
      </c>
      <c r="D41" s="3" t="s">
        <v>1384</v>
      </c>
      <c r="E41" s="2" t="s">
        <v>245</v>
      </c>
      <c r="F41" s="2" t="s">
        <v>1385</v>
      </c>
      <c r="G41" s="12" t="s">
        <v>1386</v>
      </c>
      <c r="H41" s="2" t="s">
        <v>248</v>
      </c>
      <c r="I41" s="2" t="s">
        <v>1268</v>
      </c>
      <c r="J41" s="2" t="s">
        <v>77</v>
      </c>
      <c r="K41" s="2" t="s">
        <v>77</v>
      </c>
      <c r="L41" s="2" t="s">
        <v>250</v>
      </c>
      <c r="M41" s="2" t="s">
        <v>130</v>
      </c>
      <c r="N41" s="2" t="s">
        <v>1340</v>
      </c>
      <c r="O41" s="2" t="s">
        <v>78</v>
      </c>
      <c r="P41" s="2" t="s">
        <v>81</v>
      </c>
      <c r="Q41" s="6">
        <v>21286</v>
      </c>
      <c r="R41" s="13">
        <v>1</v>
      </c>
      <c r="S41" s="6">
        <v>95280</v>
      </c>
      <c r="T41" s="6">
        <v>0</v>
      </c>
      <c r="U41" s="6">
        <v>20281.300999999999</v>
      </c>
      <c r="V41" s="8">
        <v>7.2999999999999996E-4</v>
      </c>
      <c r="W41" s="8">
        <v>8.8999999999999999E-3</v>
      </c>
      <c r="X41" s="8">
        <v>5.0000000000000001E-4</v>
      </c>
    </row>
    <row r="42" spans="1:24">
      <c r="A42" s="12">
        <v>1097</v>
      </c>
      <c r="B42" s="12">
        <v>1097</v>
      </c>
      <c r="C42" s="2" t="s">
        <v>1387</v>
      </c>
      <c r="D42" s="3" t="s">
        <v>1388</v>
      </c>
      <c r="E42" s="2" t="s">
        <v>245</v>
      </c>
      <c r="F42" s="2" t="s">
        <v>1389</v>
      </c>
      <c r="G42" s="12" t="s">
        <v>1390</v>
      </c>
      <c r="H42" s="2" t="s">
        <v>248</v>
      </c>
      <c r="I42" s="2" t="s">
        <v>1268</v>
      </c>
      <c r="J42" s="2" t="s">
        <v>77</v>
      </c>
      <c r="K42" s="2" t="s">
        <v>77</v>
      </c>
      <c r="L42" s="2" t="s">
        <v>250</v>
      </c>
      <c r="M42" s="2" t="s">
        <v>130</v>
      </c>
      <c r="N42" s="2" t="s">
        <v>1294</v>
      </c>
      <c r="O42" s="2" t="s">
        <v>78</v>
      </c>
      <c r="P42" s="2" t="s">
        <v>81</v>
      </c>
      <c r="Q42" s="6">
        <v>10962</v>
      </c>
      <c r="R42" s="13">
        <v>1</v>
      </c>
      <c r="S42" s="6">
        <v>9339</v>
      </c>
      <c r="T42" s="6">
        <v>0</v>
      </c>
      <c r="U42" s="6">
        <v>1023.741</v>
      </c>
      <c r="V42" s="8">
        <v>3.1E-4</v>
      </c>
      <c r="W42" s="8">
        <v>4.4999999999999999E-4</v>
      </c>
      <c r="X42" s="8">
        <v>3.0000000000000001E-5</v>
      </c>
    </row>
    <row r="43" spans="1:24">
      <c r="A43" s="12">
        <v>1097</v>
      </c>
      <c r="B43" s="12">
        <v>1097</v>
      </c>
      <c r="C43" s="2" t="s">
        <v>1391</v>
      </c>
      <c r="D43" s="3" t="s">
        <v>1392</v>
      </c>
      <c r="E43" s="2" t="s">
        <v>245</v>
      </c>
      <c r="F43" s="2" t="s">
        <v>1393</v>
      </c>
      <c r="G43" s="12" t="s">
        <v>1394</v>
      </c>
      <c r="H43" s="2" t="s">
        <v>248</v>
      </c>
      <c r="I43" s="2" t="s">
        <v>1268</v>
      </c>
      <c r="J43" s="2" t="s">
        <v>77</v>
      </c>
      <c r="K43" s="2" t="s">
        <v>77</v>
      </c>
      <c r="L43" s="2" t="s">
        <v>250</v>
      </c>
      <c r="M43" s="2" t="s">
        <v>130</v>
      </c>
      <c r="N43" s="2" t="s">
        <v>1395</v>
      </c>
      <c r="O43" s="2" t="s">
        <v>78</v>
      </c>
      <c r="P43" s="2" t="s">
        <v>81</v>
      </c>
      <c r="Q43" s="6">
        <v>21742</v>
      </c>
      <c r="R43" s="13">
        <v>1</v>
      </c>
      <c r="S43" s="6">
        <v>57150</v>
      </c>
      <c r="T43" s="6">
        <v>0</v>
      </c>
      <c r="U43" s="6">
        <v>12425.553</v>
      </c>
      <c r="V43" s="8">
        <v>3.4000000000000002E-4</v>
      </c>
      <c r="W43" s="8">
        <v>5.45E-3</v>
      </c>
      <c r="X43" s="8">
        <v>3.1E-4</v>
      </c>
    </row>
    <row r="44" spans="1:24">
      <c r="A44" s="12">
        <v>1097</v>
      </c>
      <c r="B44" s="12">
        <v>1097</v>
      </c>
      <c r="C44" s="2" t="s">
        <v>1396</v>
      </c>
      <c r="D44" s="3" t="s">
        <v>1397</v>
      </c>
      <c r="E44" s="2" t="s">
        <v>245</v>
      </c>
      <c r="F44" s="2" t="s">
        <v>1398</v>
      </c>
      <c r="G44" s="12" t="s">
        <v>1399</v>
      </c>
      <c r="H44" s="2" t="s">
        <v>248</v>
      </c>
      <c r="I44" s="2" t="s">
        <v>1268</v>
      </c>
      <c r="J44" s="2" t="s">
        <v>77</v>
      </c>
      <c r="K44" s="2" t="s">
        <v>77</v>
      </c>
      <c r="L44" s="2" t="s">
        <v>250</v>
      </c>
      <c r="M44" s="2" t="s">
        <v>130</v>
      </c>
      <c r="N44" s="2" t="s">
        <v>299</v>
      </c>
      <c r="O44" s="2" t="s">
        <v>78</v>
      </c>
      <c r="P44" s="2" t="s">
        <v>81</v>
      </c>
      <c r="Q44" s="6">
        <v>49385</v>
      </c>
      <c r="R44" s="13">
        <v>1</v>
      </c>
      <c r="S44" s="6">
        <v>12570</v>
      </c>
      <c r="T44" s="6">
        <v>0</v>
      </c>
      <c r="U44" s="6">
        <v>6207.6949999999997</v>
      </c>
      <c r="V44" s="8">
        <v>6.0999999999999997E-4</v>
      </c>
      <c r="W44" s="8">
        <v>2.7200000000000002E-3</v>
      </c>
      <c r="X44" s="8">
        <v>1.4999999999999999E-4</v>
      </c>
    </row>
    <row r="45" spans="1:24">
      <c r="A45" s="12">
        <v>1097</v>
      </c>
      <c r="B45" s="12">
        <v>1097</v>
      </c>
      <c r="C45" s="2" t="s">
        <v>1400</v>
      </c>
      <c r="D45" s="3" t="s">
        <v>1401</v>
      </c>
      <c r="E45" s="2" t="s">
        <v>245</v>
      </c>
      <c r="F45" s="2" t="s">
        <v>1402</v>
      </c>
      <c r="G45" s="12" t="s">
        <v>1403</v>
      </c>
      <c r="H45" s="2" t="s">
        <v>248</v>
      </c>
      <c r="I45" s="2" t="s">
        <v>1268</v>
      </c>
      <c r="J45" s="2" t="s">
        <v>77</v>
      </c>
      <c r="K45" s="2" t="s">
        <v>77</v>
      </c>
      <c r="L45" s="2" t="s">
        <v>250</v>
      </c>
      <c r="M45" s="2" t="s">
        <v>130</v>
      </c>
      <c r="N45" s="2" t="s">
        <v>262</v>
      </c>
      <c r="O45" s="2" t="s">
        <v>78</v>
      </c>
      <c r="P45" s="2" t="s">
        <v>81</v>
      </c>
      <c r="Q45" s="6">
        <v>27000</v>
      </c>
      <c r="R45" s="13">
        <v>1</v>
      </c>
      <c r="S45" s="6">
        <v>6127</v>
      </c>
      <c r="T45" s="6">
        <v>0</v>
      </c>
      <c r="U45" s="6">
        <v>1654.29</v>
      </c>
      <c r="V45" s="8">
        <v>3.6999999999999999E-4</v>
      </c>
      <c r="W45" s="8">
        <v>7.2999999999999996E-4</v>
      </c>
      <c r="X45" s="8">
        <v>4.0000000000000003E-5</v>
      </c>
    </row>
    <row r="46" spans="1:24">
      <c r="A46" s="12">
        <v>1097</v>
      </c>
      <c r="B46" s="12">
        <v>1097</v>
      </c>
      <c r="C46" s="2" t="s">
        <v>927</v>
      </c>
      <c r="D46" s="3" t="s">
        <v>928</v>
      </c>
      <c r="E46" s="2" t="s">
        <v>245</v>
      </c>
      <c r="F46" s="2" t="s">
        <v>1404</v>
      </c>
      <c r="G46" s="12" t="s">
        <v>1405</v>
      </c>
      <c r="H46" s="2" t="s">
        <v>248</v>
      </c>
      <c r="I46" s="2" t="s">
        <v>1268</v>
      </c>
      <c r="J46" s="2" t="s">
        <v>77</v>
      </c>
      <c r="K46" s="2" t="s">
        <v>77</v>
      </c>
      <c r="L46" s="2" t="s">
        <v>250</v>
      </c>
      <c r="M46" s="2" t="s">
        <v>130</v>
      </c>
      <c r="N46" s="2" t="s">
        <v>347</v>
      </c>
      <c r="O46" s="2" t="s">
        <v>78</v>
      </c>
      <c r="P46" s="2" t="s">
        <v>81</v>
      </c>
      <c r="Q46" s="6">
        <v>181641</v>
      </c>
      <c r="R46" s="13">
        <v>1</v>
      </c>
      <c r="S46" s="6">
        <v>1095</v>
      </c>
      <c r="T46" s="6">
        <v>0</v>
      </c>
      <c r="U46" s="6">
        <v>1988.9690000000001</v>
      </c>
      <c r="V46" s="8">
        <v>8.0999999999999996E-4</v>
      </c>
      <c r="W46" s="8">
        <v>8.7000000000000001E-4</v>
      </c>
      <c r="X46" s="8">
        <v>5.0000000000000002E-5</v>
      </c>
    </row>
    <row r="47" spans="1:24">
      <c r="A47" s="12">
        <v>1097</v>
      </c>
      <c r="B47" s="12">
        <v>1097</v>
      </c>
      <c r="C47" s="2" t="s">
        <v>934</v>
      </c>
      <c r="D47" s="3" t="s">
        <v>935</v>
      </c>
      <c r="E47" s="2" t="s">
        <v>245</v>
      </c>
      <c r="F47" s="2" t="s">
        <v>1406</v>
      </c>
      <c r="G47" s="12" t="s">
        <v>1407</v>
      </c>
      <c r="H47" s="2" t="s">
        <v>248</v>
      </c>
      <c r="I47" s="2" t="s">
        <v>1268</v>
      </c>
      <c r="J47" s="2" t="s">
        <v>77</v>
      </c>
      <c r="K47" s="2" t="s">
        <v>77</v>
      </c>
      <c r="L47" s="2" t="s">
        <v>250</v>
      </c>
      <c r="M47" s="2" t="s">
        <v>130</v>
      </c>
      <c r="N47" s="2" t="s">
        <v>481</v>
      </c>
      <c r="O47" s="2" t="s">
        <v>78</v>
      </c>
      <c r="P47" s="2" t="s">
        <v>81</v>
      </c>
      <c r="Q47" s="6">
        <v>33205</v>
      </c>
      <c r="R47" s="13">
        <v>1</v>
      </c>
      <c r="S47" s="6">
        <v>2734</v>
      </c>
      <c r="T47" s="6">
        <v>0</v>
      </c>
      <c r="U47" s="6">
        <v>907.82500000000005</v>
      </c>
      <c r="V47" s="8">
        <v>2.0000000000000001E-4</v>
      </c>
      <c r="W47" s="8">
        <v>4.0000000000000002E-4</v>
      </c>
      <c r="X47" s="8">
        <v>2.0000000000000002E-5</v>
      </c>
    </row>
    <row r="48" spans="1:24">
      <c r="A48" s="12">
        <v>1097</v>
      </c>
      <c r="B48" s="12">
        <v>1097</v>
      </c>
      <c r="C48" s="2" t="s">
        <v>942</v>
      </c>
      <c r="D48" s="3" t="s">
        <v>943</v>
      </c>
      <c r="E48" s="2" t="s">
        <v>245</v>
      </c>
      <c r="F48" s="2" t="s">
        <v>1408</v>
      </c>
      <c r="G48" s="12" t="s">
        <v>1409</v>
      </c>
      <c r="H48" s="2" t="s">
        <v>248</v>
      </c>
      <c r="I48" s="2" t="s">
        <v>1268</v>
      </c>
      <c r="J48" s="2" t="s">
        <v>77</v>
      </c>
      <c r="K48" s="2" t="s">
        <v>77</v>
      </c>
      <c r="L48" s="2" t="s">
        <v>250</v>
      </c>
      <c r="M48" s="2" t="s">
        <v>130</v>
      </c>
      <c r="N48" s="2" t="s">
        <v>347</v>
      </c>
      <c r="O48" s="2" t="s">
        <v>78</v>
      </c>
      <c r="P48" s="2" t="s">
        <v>81</v>
      </c>
      <c r="Q48" s="6">
        <v>225523</v>
      </c>
      <c r="R48" s="13">
        <v>1</v>
      </c>
      <c r="S48" s="6">
        <v>30970</v>
      </c>
      <c r="T48" s="6">
        <v>0</v>
      </c>
      <c r="U48" s="6">
        <v>69844.472999999998</v>
      </c>
      <c r="V48" s="8">
        <v>1.8600000000000001E-3</v>
      </c>
      <c r="W48" s="8">
        <v>3.065E-2</v>
      </c>
      <c r="X48" s="8">
        <v>1.73E-3</v>
      </c>
    </row>
    <row r="49" spans="1:24">
      <c r="A49" s="12">
        <v>1097</v>
      </c>
      <c r="B49" s="12">
        <v>1097</v>
      </c>
      <c r="C49" s="2" t="s">
        <v>962</v>
      </c>
      <c r="D49" s="3" t="s">
        <v>963</v>
      </c>
      <c r="E49" s="2" t="s">
        <v>245</v>
      </c>
      <c r="F49" s="2" t="s">
        <v>1410</v>
      </c>
      <c r="G49" s="12" t="s">
        <v>1411</v>
      </c>
      <c r="H49" s="2" t="s">
        <v>248</v>
      </c>
      <c r="I49" s="2" t="s">
        <v>1268</v>
      </c>
      <c r="J49" s="2" t="s">
        <v>77</v>
      </c>
      <c r="K49" s="2" t="s">
        <v>77</v>
      </c>
      <c r="L49" s="2" t="s">
        <v>250</v>
      </c>
      <c r="M49" s="2" t="s">
        <v>130</v>
      </c>
      <c r="N49" s="2" t="s">
        <v>528</v>
      </c>
      <c r="O49" s="2" t="s">
        <v>78</v>
      </c>
      <c r="P49" s="2" t="s">
        <v>81</v>
      </c>
      <c r="Q49" s="6">
        <v>3097833</v>
      </c>
      <c r="R49" s="13">
        <v>1</v>
      </c>
      <c r="S49" s="6">
        <v>6462</v>
      </c>
      <c r="T49" s="6">
        <v>0</v>
      </c>
      <c r="U49" s="6">
        <v>200181.96799999999</v>
      </c>
      <c r="V49" s="8">
        <v>2.3500000000000001E-3</v>
      </c>
      <c r="W49" s="8">
        <v>8.7849999999999998E-2</v>
      </c>
      <c r="X49" s="8">
        <v>4.9699999999999996E-3</v>
      </c>
    </row>
    <row r="50" spans="1:24">
      <c r="A50" s="12">
        <v>1097</v>
      </c>
      <c r="B50" s="12">
        <v>1097</v>
      </c>
      <c r="C50" s="2" t="s">
        <v>1412</v>
      </c>
      <c r="D50" s="3" t="s">
        <v>1413</v>
      </c>
      <c r="E50" s="2" t="s">
        <v>245</v>
      </c>
      <c r="F50" s="2" t="s">
        <v>1414</v>
      </c>
      <c r="G50" s="12" t="s">
        <v>1415</v>
      </c>
      <c r="H50" s="2" t="s">
        <v>248</v>
      </c>
      <c r="I50" s="2" t="s">
        <v>1268</v>
      </c>
      <c r="J50" s="2" t="s">
        <v>77</v>
      </c>
      <c r="K50" s="2" t="s">
        <v>77</v>
      </c>
      <c r="L50" s="2" t="s">
        <v>250</v>
      </c>
      <c r="M50" s="2" t="s">
        <v>130</v>
      </c>
      <c r="N50" s="2" t="s">
        <v>380</v>
      </c>
      <c r="O50" s="2" t="s">
        <v>78</v>
      </c>
      <c r="P50" s="2" t="s">
        <v>81</v>
      </c>
      <c r="Q50" s="6">
        <v>12661</v>
      </c>
      <c r="R50" s="13">
        <v>1</v>
      </c>
      <c r="S50" s="6">
        <v>33720</v>
      </c>
      <c r="T50" s="6">
        <v>0</v>
      </c>
      <c r="U50" s="6">
        <v>4269.2889999999998</v>
      </c>
      <c r="V50" s="8">
        <v>9.1E-4</v>
      </c>
      <c r="W50" s="8">
        <v>1.8699999999999999E-3</v>
      </c>
      <c r="X50" s="8">
        <v>1.1E-4</v>
      </c>
    </row>
    <row r="51" spans="1:24">
      <c r="A51" s="12">
        <v>1097</v>
      </c>
      <c r="B51" s="12">
        <v>1097</v>
      </c>
      <c r="C51" s="2" t="s">
        <v>1416</v>
      </c>
      <c r="D51" s="3" t="s">
        <v>1417</v>
      </c>
      <c r="E51" s="2" t="s">
        <v>245</v>
      </c>
      <c r="F51" s="2" t="s">
        <v>1418</v>
      </c>
      <c r="G51" s="12" t="s">
        <v>1419</v>
      </c>
      <c r="H51" s="2" t="s">
        <v>248</v>
      </c>
      <c r="I51" s="2" t="s">
        <v>1268</v>
      </c>
      <c r="J51" s="2" t="s">
        <v>77</v>
      </c>
      <c r="K51" s="2" t="s">
        <v>77</v>
      </c>
      <c r="L51" s="2" t="s">
        <v>250</v>
      </c>
      <c r="M51" s="2" t="s">
        <v>130</v>
      </c>
      <c r="N51" s="2" t="s">
        <v>1335</v>
      </c>
      <c r="O51" s="2" t="s">
        <v>78</v>
      </c>
      <c r="P51" s="2" t="s">
        <v>81</v>
      </c>
      <c r="Q51" s="6">
        <v>4853</v>
      </c>
      <c r="R51" s="13">
        <v>1</v>
      </c>
      <c r="S51" s="6">
        <v>42880</v>
      </c>
      <c r="T51" s="6">
        <v>0</v>
      </c>
      <c r="U51" s="6">
        <v>2080.9659999999999</v>
      </c>
      <c r="V51" s="8">
        <v>3.2000000000000003E-4</v>
      </c>
      <c r="W51" s="8">
        <v>9.1E-4</v>
      </c>
      <c r="X51" s="8">
        <v>5.0000000000000002E-5</v>
      </c>
    </row>
    <row r="52" spans="1:24">
      <c r="A52" s="12">
        <v>1097</v>
      </c>
      <c r="B52" s="12">
        <v>1097</v>
      </c>
      <c r="C52" s="2" t="s">
        <v>1420</v>
      </c>
      <c r="D52" s="3" t="s">
        <v>1421</v>
      </c>
      <c r="E52" s="2" t="s">
        <v>245</v>
      </c>
      <c r="F52" s="2" t="s">
        <v>1422</v>
      </c>
      <c r="G52" s="12" t="s">
        <v>1423</v>
      </c>
      <c r="H52" s="2" t="s">
        <v>248</v>
      </c>
      <c r="I52" s="2" t="s">
        <v>1268</v>
      </c>
      <c r="J52" s="2" t="s">
        <v>77</v>
      </c>
      <c r="K52" s="2" t="s">
        <v>77</v>
      </c>
      <c r="L52" s="2" t="s">
        <v>250</v>
      </c>
      <c r="M52" s="2" t="s">
        <v>130</v>
      </c>
      <c r="N52" s="2" t="s">
        <v>276</v>
      </c>
      <c r="O52" s="2" t="s">
        <v>78</v>
      </c>
      <c r="P52" s="2" t="s">
        <v>81</v>
      </c>
      <c r="Q52" s="6">
        <v>9316</v>
      </c>
      <c r="R52" s="13">
        <v>1</v>
      </c>
      <c r="S52" s="6">
        <v>8391</v>
      </c>
      <c r="T52" s="6">
        <v>0</v>
      </c>
      <c r="U52" s="6">
        <v>781.70600000000002</v>
      </c>
      <c r="V52" s="8">
        <v>3.6000000000000002E-4</v>
      </c>
      <c r="W52" s="8">
        <v>3.4000000000000002E-4</v>
      </c>
      <c r="X52" s="8">
        <v>2.0000000000000002E-5</v>
      </c>
    </row>
    <row r="53" spans="1:24">
      <c r="A53" s="12">
        <v>1097</v>
      </c>
      <c r="B53" s="12">
        <v>1097</v>
      </c>
      <c r="C53" s="2" t="s">
        <v>1003</v>
      </c>
      <c r="D53" s="3" t="s">
        <v>1004</v>
      </c>
      <c r="E53" s="2" t="s">
        <v>245</v>
      </c>
      <c r="F53" s="2" t="s">
        <v>1424</v>
      </c>
      <c r="G53" s="12" t="s">
        <v>1425</v>
      </c>
      <c r="H53" s="2" t="s">
        <v>248</v>
      </c>
      <c r="I53" s="2" t="s">
        <v>1268</v>
      </c>
      <c r="J53" s="2" t="s">
        <v>77</v>
      </c>
      <c r="K53" s="2" t="s">
        <v>77</v>
      </c>
      <c r="L53" s="2" t="s">
        <v>250</v>
      </c>
      <c r="M53" s="2" t="s">
        <v>130</v>
      </c>
      <c r="N53" s="2" t="s">
        <v>1007</v>
      </c>
      <c r="O53" s="2" t="s">
        <v>78</v>
      </c>
      <c r="P53" s="2" t="s">
        <v>81</v>
      </c>
      <c r="Q53" s="6">
        <v>5300</v>
      </c>
      <c r="R53" s="13">
        <v>1</v>
      </c>
      <c r="S53" s="6">
        <v>58480</v>
      </c>
      <c r="T53" s="6">
        <v>0</v>
      </c>
      <c r="U53" s="6">
        <v>3099.44</v>
      </c>
      <c r="V53" s="8">
        <v>3.2000000000000003E-4</v>
      </c>
      <c r="W53" s="8">
        <v>1.3600000000000001E-3</v>
      </c>
      <c r="X53" s="8">
        <v>8.0000000000000007E-5</v>
      </c>
    </row>
    <row r="54" spans="1:24">
      <c r="A54" s="12">
        <v>1097</v>
      </c>
      <c r="B54" s="12">
        <v>1097</v>
      </c>
      <c r="C54" s="2" t="s">
        <v>1426</v>
      </c>
      <c r="D54" s="3" t="s">
        <v>1427</v>
      </c>
      <c r="E54" s="2" t="s">
        <v>245</v>
      </c>
      <c r="F54" s="2" t="s">
        <v>1428</v>
      </c>
      <c r="G54" s="12" t="s">
        <v>1429</v>
      </c>
      <c r="H54" s="2" t="s">
        <v>248</v>
      </c>
      <c r="I54" s="2" t="s">
        <v>1268</v>
      </c>
      <c r="J54" s="2" t="s">
        <v>77</v>
      </c>
      <c r="K54" s="2" t="s">
        <v>77</v>
      </c>
      <c r="L54" s="2" t="s">
        <v>250</v>
      </c>
      <c r="M54" s="2" t="s">
        <v>130</v>
      </c>
      <c r="N54" s="2" t="s">
        <v>1340</v>
      </c>
      <c r="O54" s="2" t="s">
        <v>78</v>
      </c>
      <c r="P54" s="2" t="s">
        <v>81</v>
      </c>
      <c r="Q54" s="6">
        <v>31616</v>
      </c>
      <c r="R54" s="13">
        <v>1</v>
      </c>
      <c r="S54" s="6">
        <v>29040</v>
      </c>
      <c r="T54" s="6">
        <v>0</v>
      </c>
      <c r="U54" s="6">
        <v>9181.2860000000001</v>
      </c>
      <c r="V54" s="8">
        <v>6.9999999999999999E-4</v>
      </c>
      <c r="W54" s="8">
        <v>4.0299999999999997E-3</v>
      </c>
      <c r="X54" s="8">
        <v>2.3000000000000001E-4</v>
      </c>
    </row>
    <row r="55" spans="1:24">
      <c r="A55" s="12">
        <v>1097</v>
      </c>
      <c r="B55" s="12">
        <v>1097</v>
      </c>
      <c r="C55" s="2" t="s">
        <v>1029</v>
      </c>
      <c r="D55" s="3" t="s">
        <v>1030</v>
      </c>
      <c r="E55" s="2" t="s">
        <v>245</v>
      </c>
      <c r="F55" s="2" t="s">
        <v>1430</v>
      </c>
      <c r="G55" s="12" t="s">
        <v>1431</v>
      </c>
      <c r="H55" s="2" t="s">
        <v>248</v>
      </c>
      <c r="I55" s="2" t="s">
        <v>1268</v>
      </c>
      <c r="J55" s="2" t="s">
        <v>77</v>
      </c>
      <c r="K55" s="2" t="s">
        <v>77</v>
      </c>
      <c r="L55" s="2" t="s">
        <v>250</v>
      </c>
      <c r="M55" s="2" t="s">
        <v>130</v>
      </c>
      <c r="N55" s="2" t="s">
        <v>347</v>
      </c>
      <c r="O55" s="2" t="s">
        <v>78</v>
      </c>
      <c r="P55" s="2" t="s">
        <v>81</v>
      </c>
      <c r="Q55" s="6">
        <v>19238</v>
      </c>
      <c r="R55" s="13">
        <v>1</v>
      </c>
      <c r="S55" s="6">
        <v>38860</v>
      </c>
      <c r="T55" s="6">
        <v>0</v>
      </c>
      <c r="U55" s="6">
        <v>7475.8869999999997</v>
      </c>
      <c r="V55" s="8">
        <v>1.58E-3</v>
      </c>
      <c r="W55" s="8">
        <v>3.2799999999999999E-3</v>
      </c>
      <c r="X55" s="8">
        <v>1.9000000000000001E-4</v>
      </c>
    </row>
    <row r="56" spans="1:24">
      <c r="A56" s="12">
        <v>1097</v>
      </c>
      <c r="B56" s="12">
        <v>1097</v>
      </c>
      <c r="C56" s="2" t="s">
        <v>1046</v>
      </c>
      <c r="D56" s="3" t="s">
        <v>1047</v>
      </c>
      <c r="E56" s="2" t="s">
        <v>245</v>
      </c>
      <c r="F56" s="2" t="s">
        <v>1432</v>
      </c>
      <c r="G56" s="12" t="s">
        <v>1433</v>
      </c>
      <c r="H56" s="2" t="s">
        <v>248</v>
      </c>
      <c r="I56" s="2" t="s">
        <v>1268</v>
      </c>
      <c r="J56" s="2" t="s">
        <v>77</v>
      </c>
      <c r="K56" s="2" t="s">
        <v>77</v>
      </c>
      <c r="L56" s="2" t="s">
        <v>250</v>
      </c>
      <c r="M56" s="2" t="s">
        <v>130</v>
      </c>
      <c r="N56" s="2" t="s">
        <v>347</v>
      </c>
      <c r="O56" s="2" t="s">
        <v>78</v>
      </c>
      <c r="P56" s="2" t="s">
        <v>81</v>
      </c>
      <c r="Q56" s="6">
        <v>2019592</v>
      </c>
      <c r="R56" s="13">
        <v>1</v>
      </c>
      <c r="S56" s="6">
        <v>2261</v>
      </c>
      <c r="T56" s="6">
        <v>0</v>
      </c>
      <c r="U56" s="6">
        <v>45662.974999999999</v>
      </c>
      <c r="V56" s="8">
        <v>1.0359999999999999E-2</v>
      </c>
      <c r="W56" s="8">
        <v>2.0039999999999999E-2</v>
      </c>
      <c r="X56" s="8">
        <v>1.1299999999999999E-3</v>
      </c>
    </row>
    <row r="57" spans="1:24">
      <c r="A57" s="12">
        <v>1097</v>
      </c>
      <c r="B57" s="12">
        <v>1097</v>
      </c>
      <c r="C57" s="2" t="s">
        <v>1434</v>
      </c>
      <c r="D57" s="3" t="s">
        <v>1435</v>
      </c>
      <c r="E57" s="2" t="s">
        <v>245</v>
      </c>
      <c r="F57" s="2" t="s">
        <v>1436</v>
      </c>
      <c r="G57" s="12" t="s">
        <v>1437</v>
      </c>
      <c r="H57" s="2" t="s">
        <v>248</v>
      </c>
      <c r="I57" s="2" t="s">
        <v>1268</v>
      </c>
      <c r="J57" s="2" t="s">
        <v>77</v>
      </c>
      <c r="K57" s="2" t="s">
        <v>77</v>
      </c>
      <c r="L57" s="2" t="s">
        <v>250</v>
      </c>
      <c r="M57" s="2" t="s">
        <v>130</v>
      </c>
      <c r="N57" s="2" t="s">
        <v>380</v>
      </c>
      <c r="O57" s="2" t="s">
        <v>78</v>
      </c>
      <c r="P57" s="2" t="s">
        <v>81</v>
      </c>
      <c r="Q57" s="6">
        <v>26768</v>
      </c>
      <c r="R57" s="13">
        <v>1</v>
      </c>
      <c r="S57" s="6">
        <v>32510</v>
      </c>
      <c r="T57" s="6">
        <v>0</v>
      </c>
      <c r="U57" s="6">
        <v>8702.277</v>
      </c>
      <c r="V57" s="8">
        <v>1.9400000000000001E-3</v>
      </c>
      <c r="W57" s="8">
        <v>3.82E-3</v>
      </c>
      <c r="X57" s="8">
        <v>2.2000000000000001E-4</v>
      </c>
    </row>
    <row r="58" spans="1:24">
      <c r="A58" s="12">
        <v>1097</v>
      </c>
      <c r="B58" s="12">
        <v>1097</v>
      </c>
      <c r="C58" s="2" t="s">
        <v>1080</v>
      </c>
      <c r="D58" s="3" t="s">
        <v>1081</v>
      </c>
      <c r="E58" s="2" t="s">
        <v>245</v>
      </c>
      <c r="F58" s="2" t="s">
        <v>1438</v>
      </c>
      <c r="G58" s="12" t="s">
        <v>1439</v>
      </c>
      <c r="H58" s="2" t="s">
        <v>248</v>
      </c>
      <c r="I58" s="2" t="s">
        <v>1268</v>
      </c>
      <c r="J58" s="2" t="s">
        <v>77</v>
      </c>
      <c r="K58" s="2" t="s">
        <v>77</v>
      </c>
      <c r="L58" s="2" t="s">
        <v>250</v>
      </c>
      <c r="M58" s="2" t="s">
        <v>130</v>
      </c>
      <c r="N58" s="2" t="s">
        <v>1084</v>
      </c>
      <c r="O58" s="2" t="s">
        <v>78</v>
      </c>
      <c r="P58" s="2" t="s">
        <v>81</v>
      </c>
      <c r="Q58" s="6">
        <v>517157</v>
      </c>
      <c r="R58" s="13">
        <v>1</v>
      </c>
      <c r="S58" s="6">
        <v>9235</v>
      </c>
      <c r="T58" s="6">
        <v>0</v>
      </c>
      <c r="U58" s="6">
        <v>47759.449000000001</v>
      </c>
      <c r="V58" s="8">
        <v>4.4400000000000004E-3</v>
      </c>
      <c r="W58" s="8">
        <v>2.0959999999999999E-2</v>
      </c>
      <c r="X58" s="8">
        <v>1.1900000000000001E-3</v>
      </c>
    </row>
    <row r="59" spans="1:24">
      <c r="A59" s="12">
        <v>1097</v>
      </c>
      <c r="B59" s="12">
        <v>1097</v>
      </c>
      <c r="C59" s="2" t="s">
        <v>1110</v>
      </c>
      <c r="D59" s="3" t="s">
        <v>1111</v>
      </c>
      <c r="E59" s="2" t="s">
        <v>245</v>
      </c>
      <c r="F59" s="2" t="s">
        <v>1440</v>
      </c>
      <c r="G59" s="12" t="s">
        <v>1441</v>
      </c>
      <c r="H59" s="2" t="s">
        <v>248</v>
      </c>
      <c r="I59" s="2" t="s">
        <v>1268</v>
      </c>
      <c r="J59" s="2" t="s">
        <v>77</v>
      </c>
      <c r="K59" s="2" t="s">
        <v>77</v>
      </c>
      <c r="L59" s="2" t="s">
        <v>250</v>
      </c>
      <c r="M59" s="2" t="s">
        <v>130</v>
      </c>
      <c r="N59" s="2" t="s">
        <v>1114</v>
      </c>
      <c r="O59" s="2" t="s">
        <v>78</v>
      </c>
      <c r="P59" s="2" t="s">
        <v>81</v>
      </c>
      <c r="Q59" s="6">
        <v>6069315</v>
      </c>
      <c r="R59" s="13">
        <v>1</v>
      </c>
      <c r="S59" s="6">
        <v>3000</v>
      </c>
      <c r="T59" s="6">
        <v>0</v>
      </c>
      <c r="U59" s="6">
        <v>182079.45</v>
      </c>
      <c r="V59" s="8">
        <v>1.6979999999999999E-2</v>
      </c>
      <c r="W59" s="8">
        <v>7.9909999999999995E-2</v>
      </c>
      <c r="X59" s="8">
        <v>4.5199999999999997E-3</v>
      </c>
    </row>
    <row r="60" spans="1:24">
      <c r="A60" s="12">
        <v>1097</v>
      </c>
      <c r="B60" s="12">
        <v>1097</v>
      </c>
      <c r="C60" s="2" t="s">
        <v>1442</v>
      </c>
      <c r="D60" s="3" t="s">
        <v>1443</v>
      </c>
      <c r="E60" s="2" t="s">
        <v>245</v>
      </c>
      <c r="F60" s="2" t="s">
        <v>1444</v>
      </c>
      <c r="G60" s="12" t="s">
        <v>1445</v>
      </c>
      <c r="H60" s="2" t="s">
        <v>248</v>
      </c>
      <c r="I60" s="2" t="s">
        <v>1268</v>
      </c>
      <c r="J60" s="2" t="s">
        <v>77</v>
      </c>
      <c r="K60" s="2" t="s">
        <v>77</v>
      </c>
      <c r="L60" s="2" t="s">
        <v>250</v>
      </c>
      <c r="M60" s="2" t="s">
        <v>130</v>
      </c>
      <c r="N60" s="2" t="s">
        <v>1084</v>
      </c>
      <c r="O60" s="2" t="s">
        <v>78</v>
      </c>
      <c r="P60" s="2" t="s">
        <v>81</v>
      </c>
      <c r="Q60" s="6">
        <v>64169</v>
      </c>
      <c r="R60" s="13">
        <v>1</v>
      </c>
      <c r="S60" s="6">
        <v>4070</v>
      </c>
      <c r="T60" s="6">
        <v>0</v>
      </c>
      <c r="U60" s="6">
        <v>2611.6779999999999</v>
      </c>
      <c r="V60" s="8">
        <v>6.4000000000000005E-4</v>
      </c>
      <c r="W60" s="8">
        <v>1.15E-3</v>
      </c>
      <c r="X60" s="8">
        <v>6.0000000000000002E-5</v>
      </c>
    </row>
    <row r="61" spans="1:24">
      <c r="A61" s="12">
        <v>1097</v>
      </c>
      <c r="B61" s="12">
        <v>1097</v>
      </c>
      <c r="C61" s="2" t="s">
        <v>1446</v>
      </c>
      <c r="D61" s="3" t="s">
        <v>1447</v>
      </c>
      <c r="E61" s="2" t="s">
        <v>1134</v>
      </c>
      <c r="F61" s="2" t="s">
        <v>1446</v>
      </c>
      <c r="G61" s="12" t="s">
        <v>1448</v>
      </c>
      <c r="H61" s="2" t="s">
        <v>248</v>
      </c>
      <c r="I61" s="2" t="s">
        <v>1268</v>
      </c>
      <c r="J61" s="2" t="s">
        <v>109</v>
      </c>
      <c r="K61" s="2" t="s">
        <v>1174</v>
      </c>
      <c r="L61" s="2" t="s">
        <v>250</v>
      </c>
      <c r="M61" s="2" t="s">
        <v>132</v>
      </c>
      <c r="N61" s="2" t="s">
        <v>1449</v>
      </c>
      <c r="O61" s="2" t="s">
        <v>78</v>
      </c>
      <c r="P61" s="2" t="s">
        <v>94</v>
      </c>
      <c r="Q61" s="6">
        <v>2772</v>
      </c>
      <c r="R61" s="13">
        <v>3.9550000000000001</v>
      </c>
      <c r="S61" s="6">
        <v>17514</v>
      </c>
      <c r="T61" s="6">
        <v>0</v>
      </c>
      <c r="U61" s="6">
        <v>1920.202</v>
      </c>
      <c r="V61" s="8">
        <v>4.7899999999999999E-6</v>
      </c>
      <c r="W61" s="8">
        <v>8.4000000000000003E-4</v>
      </c>
      <c r="X61" s="8">
        <v>5.0000000000000002E-5</v>
      </c>
    </row>
    <row r="62" spans="1:24">
      <c r="A62" s="12">
        <v>1097</v>
      </c>
      <c r="B62" s="12">
        <v>1097</v>
      </c>
      <c r="C62" s="2" t="s">
        <v>1450</v>
      </c>
      <c r="D62" s="3" t="s">
        <v>1451</v>
      </c>
      <c r="E62" s="2" t="s">
        <v>1134</v>
      </c>
      <c r="F62" s="2" t="s">
        <v>1450</v>
      </c>
      <c r="G62" s="12" t="s">
        <v>1452</v>
      </c>
      <c r="H62" s="2" t="s">
        <v>248</v>
      </c>
      <c r="I62" s="2" t="s">
        <v>1268</v>
      </c>
      <c r="J62" s="2" t="s">
        <v>109</v>
      </c>
      <c r="K62" s="2" t="s">
        <v>1260</v>
      </c>
      <c r="L62" s="2" t="s">
        <v>250</v>
      </c>
      <c r="M62" s="2" t="s">
        <v>132</v>
      </c>
      <c r="N62" s="2" t="s">
        <v>1453</v>
      </c>
      <c r="O62" s="2" t="s">
        <v>78</v>
      </c>
      <c r="P62" s="2" t="s">
        <v>103</v>
      </c>
      <c r="Q62" s="6">
        <v>15449</v>
      </c>
      <c r="R62" s="13">
        <v>4.2309999999999999</v>
      </c>
      <c r="S62" s="6">
        <v>7020</v>
      </c>
      <c r="T62" s="6">
        <v>0</v>
      </c>
      <c r="U62" s="6">
        <v>4589.0370000000003</v>
      </c>
      <c r="V62" s="8">
        <v>3.0000000000000001E-5</v>
      </c>
      <c r="W62" s="8">
        <v>2.0100000000000001E-3</v>
      </c>
      <c r="X62" s="8">
        <v>1.1E-4</v>
      </c>
    </row>
    <row r="63" spans="1:24">
      <c r="A63" s="12">
        <v>1097</v>
      </c>
      <c r="B63" s="12">
        <v>1097</v>
      </c>
      <c r="C63" s="2" t="s">
        <v>1454</v>
      </c>
      <c r="D63" s="3" t="s">
        <v>1455</v>
      </c>
      <c r="E63" s="2" t="s">
        <v>1134</v>
      </c>
      <c r="F63" s="2" t="s">
        <v>1456</v>
      </c>
      <c r="G63" s="12" t="s">
        <v>1457</v>
      </c>
      <c r="H63" s="2" t="s">
        <v>248</v>
      </c>
      <c r="I63" s="2" t="s">
        <v>1268</v>
      </c>
      <c r="J63" s="2" t="s">
        <v>109</v>
      </c>
      <c r="K63" s="2" t="s">
        <v>1213</v>
      </c>
      <c r="L63" s="2" t="s">
        <v>250</v>
      </c>
      <c r="M63" s="2" t="s">
        <v>132</v>
      </c>
      <c r="N63" s="2" t="s">
        <v>1458</v>
      </c>
      <c r="O63" s="2" t="s">
        <v>78</v>
      </c>
      <c r="P63" s="2" t="s">
        <v>100</v>
      </c>
      <c r="Q63" s="6">
        <v>13125</v>
      </c>
      <c r="R63" s="13">
        <v>4.6239999999999997</v>
      </c>
      <c r="S63" s="6">
        <v>4669</v>
      </c>
      <c r="T63" s="6">
        <v>0</v>
      </c>
      <c r="U63" s="6">
        <v>2833.3710000000001</v>
      </c>
      <c r="V63" s="8">
        <v>3.0000000000000001E-5</v>
      </c>
      <c r="W63" s="8">
        <v>1.24E-3</v>
      </c>
      <c r="X63" s="8">
        <v>6.9999999999999994E-5</v>
      </c>
    </row>
    <row r="64" spans="1:24">
      <c r="A64" s="12">
        <v>1097</v>
      </c>
      <c r="B64" s="12">
        <v>1097</v>
      </c>
      <c r="C64" s="2" t="s">
        <v>1459</v>
      </c>
      <c r="D64" s="3" t="s">
        <v>1460</v>
      </c>
      <c r="E64" s="2" t="s">
        <v>1134</v>
      </c>
      <c r="F64" s="2" t="s">
        <v>1459</v>
      </c>
      <c r="G64" s="12" t="s">
        <v>1461</v>
      </c>
      <c r="H64" s="2" t="s">
        <v>248</v>
      </c>
      <c r="I64" s="2" t="s">
        <v>1268</v>
      </c>
      <c r="J64" s="2" t="s">
        <v>109</v>
      </c>
      <c r="K64" s="2" t="s">
        <v>1213</v>
      </c>
      <c r="L64" s="2" t="s">
        <v>250</v>
      </c>
      <c r="M64" s="2" t="s">
        <v>132</v>
      </c>
      <c r="N64" s="2" t="s">
        <v>1462</v>
      </c>
      <c r="O64" s="2" t="s">
        <v>78</v>
      </c>
      <c r="P64" s="2" t="s">
        <v>100</v>
      </c>
      <c r="Q64" s="6">
        <v>80000</v>
      </c>
      <c r="R64" s="13">
        <v>4.6239999999999997</v>
      </c>
      <c r="S64" s="6">
        <v>1886.5</v>
      </c>
      <c r="T64" s="6">
        <v>0</v>
      </c>
      <c r="U64" s="6">
        <v>6977.9369999999999</v>
      </c>
      <c r="V64" s="8">
        <v>3.0000000000000001E-5</v>
      </c>
      <c r="W64" s="8">
        <v>3.0599999999999998E-3</v>
      </c>
      <c r="X64" s="8">
        <v>1.7000000000000001E-4</v>
      </c>
    </row>
    <row r="65" spans="1:24">
      <c r="A65" s="12">
        <v>1097</v>
      </c>
      <c r="B65" s="12">
        <v>1097</v>
      </c>
      <c r="C65" s="2" t="s">
        <v>1463</v>
      </c>
      <c r="D65" s="3" t="s">
        <v>1464</v>
      </c>
      <c r="E65" s="2" t="s">
        <v>1134</v>
      </c>
      <c r="F65" s="2" t="s">
        <v>1465</v>
      </c>
      <c r="G65" s="12" t="s">
        <v>1466</v>
      </c>
      <c r="H65" s="2" t="s">
        <v>248</v>
      </c>
      <c r="I65" s="2" t="s">
        <v>1268</v>
      </c>
      <c r="J65" s="2" t="s">
        <v>109</v>
      </c>
      <c r="K65" s="2" t="s">
        <v>1467</v>
      </c>
      <c r="L65" s="2" t="s">
        <v>250</v>
      </c>
      <c r="M65" s="2" t="s">
        <v>132</v>
      </c>
      <c r="N65" s="2" t="s">
        <v>1167</v>
      </c>
      <c r="O65" s="2" t="s">
        <v>78</v>
      </c>
      <c r="P65" s="2" t="s">
        <v>94</v>
      </c>
      <c r="Q65" s="6">
        <v>250000</v>
      </c>
      <c r="R65" s="13">
        <v>3.9550000000000001</v>
      </c>
      <c r="S65" s="6">
        <v>702.7</v>
      </c>
      <c r="T65" s="6">
        <v>0</v>
      </c>
      <c r="U65" s="6">
        <v>6948.2979999999998</v>
      </c>
      <c r="V65" s="8">
        <v>2.0000000000000002E-5</v>
      </c>
      <c r="W65" s="8">
        <v>3.0500000000000002E-3</v>
      </c>
      <c r="X65" s="8">
        <v>1.7000000000000001E-4</v>
      </c>
    </row>
    <row r="66" spans="1:24">
      <c r="A66" s="12">
        <v>1097</v>
      </c>
      <c r="B66" s="12">
        <v>1097</v>
      </c>
      <c r="C66" s="2" t="s">
        <v>1468</v>
      </c>
      <c r="D66" s="3" t="s">
        <v>1469</v>
      </c>
      <c r="E66" s="2" t="s">
        <v>1134</v>
      </c>
      <c r="F66" s="2" t="s">
        <v>1468</v>
      </c>
      <c r="G66" s="12" t="s">
        <v>1470</v>
      </c>
      <c r="H66" s="2" t="s">
        <v>248</v>
      </c>
      <c r="I66" s="2" t="s">
        <v>1268</v>
      </c>
      <c r="J66" s="2" t="s">
        <v>109</v>
      </c>
      <c r="K66" s="2" t="s">
        <v>1471</v>
      </c>
      <c r="L66" s="2" t="s">
        <v>250</v>
      </c>
      <c r="M66" s="2" t="s">
        <v>132</v>
      </c>
      <c r="N66" s="2" t="s">
        <v>1167</v>
      </c>
      <c r="O66" s="2" t="s">
        <v>78</v>
      </c>
      <c r="P66" s="2" t="s">
        <v>94</v>
      </c>
      <c r="Q66" s="6">
        <v>24525</v>
      </c>
      <c r="R66" s="13">
        <v>3.9550000000000001</v>
      </c>
      <c r="S66" s="6">
        <v>10840</v>
      </c>
      <c r="T66" s="6">
        <v>0</v>
      </c>
      <c r="U66" s="6">
        <v>10514.939</v>
      </c>
      <c r="V66" s="8">
        <v>3.1E-4</v>
      </c>
      <c r="W66" s="8">
        <v>4.6100000000000004E-3</v>
      </c>
      <c r="X66" s="8">
        <v>2.5999999999999998E-4</v>
      </c>
    </row>
    <row r="67" spans="1:24">
      <c r="A67" s="12">
        <v>1097</v>
      </c>
      <c r="B67" s="12">
        <v>1097</v>
      </c>
      <c r="C67" s="2" t="s">
        <v>1472</v>
      </c>
      <c r="D67" s="3" t="s">
        <v>1473</v>
      </c>
      <c r="E67" s="2" t="s">
        <v>1134</v>
      </c>
      <c r="F67" s="2" t="s">
        <v>1474</v>
      </c>
      <c r="G67" s="12" t="s">
        <v>1475</v>
      </c>
      <c r="H67" s="2" t="s">
        <v>248</v>
      </c>
      <c r="I67" s="2" t="s">
        <v>1268</v>
      </c>
      <c r="J67" s="2" t="s">
        <v>109</v>
      </c>
      <c r="K67" s="2" t="s">
        <v>1476</v>
      </c>
      <c r="L67" s="2" t="s">
        <v>250</v>
      </c>
      <c r="M67" s="2" t="s">
        <v>132</v>
      </c>
      <c r="N67" s="2" t="s">
        <v>1477</v>
      </c>
      <c r="O67" s="2" t="s">
        <v>78</v>
      </c>
      <c r="P67" s="2" t="s">
        <v>99</v>
      </c>
      <c r="Q67" s="6">
        <v>11420</v>
      </c>
      <c r="R67" s="13">
        <v>0.53</v>
      </c>
      <c r="S67" s="6">
        <v>89740</v>
      </c>
      <c r="T67" s="6">
        <v>0</v>
      </c>
      <c r="U67" s="6">
        <v>5432.6279999999997</v>
      </c>
      <c r="V67" s="8">
        <v>1.1E-4</v>
      </c>
      <c r="W67" s="8">
        <v>2.3800000000000002E-3</v>
      </c>
      <c r="X67" s="8">
        <v>1.2999999999999999E-4</v>
      </c>
    </row>
    <row r="68" spans="1:24">
      <c r="A68" s="12">
        <v>1097</v>
      </c>
      <c r="B68" s="12">
        <v>1097</v>
      </c>
      <c r="C68" s="2" t="s">
        <v>1478</v>
      </c>
      <c r="D68" s="3" t="s">
        <v>1479</v>
      </c>
      <c r="E68" s="2" t="s">
        <v>1134</v>
      </c>
      <c r="F68" s="2" t="s">
        <v>1478</v>
      </c>
      <c r="G68" s="12" t="s">
        <v>1480</v>
      </c>
      <c r="H68" s="2" t="s">
        <v>248</v>
      </c>
      <c r="I68" s="2" t="s">
        <v>1268</v>
      </c>
      <c r="J68" s="2" t="s">
        <v>109</v>
      </c>
      <c r="K68" s="2" t="s">
        <v>1481</v>
      </c>
      <c r="L68" s="2" t="s">
        <v>250</v>
      </c>
      <c r="M68" s="2" t="s">
        <v>132</v>
      </c>
      <c r="N68" s="2" t="s">
        <v>1254</v>
      </c>
      <c r="O68" s="2" t="s">
        <v>78</v>
      </c>
      <c r="P68" s="2" t="s">
        <v>94</v>
      </c>
      <c r="Q68" s="6">
        <v>62944</v>
      </c>
      <c r="R68" s="13">
        <v>3.9550000000000001</v>
      </c>
      <c r="S68" s="6">
        <v>3097</v>
      </c>
      <c r="T68" s="6">
        <v>0</v>
      </c>
      <c r="U68" s="6">
        <v>7710.1710000000003</v>
      </c>
      <c r="V68" s="8">
        <v>1.0000000000000001E-5</v>
      </c>
      <c r="W68" s="8">
        <v>3.3800000000000002E-3</v>
      </c>
      <c r="X68" s="8">
        <v>1.9000000000000001E-4</v>
      </c>
    </row>
    <row r="69" spans="1:24">
      <c r="A69" s="12">
        <v>1097</v>
      </c>
      <c r="B69" s="12">
        <v>1097</v>
      </c>
      <c r="C69" s="2" t="s">
        <v>1482</v>
      </c>
      <c r="D69" s="3" t="s">
        <v>1483</v>
      </c>
      <c r="E69" s="2" t="s">
        <v>1134</v>
      </c>
      <c r="F69" s="2" t="s">
        <v>1484</v>
      </c>
      <c r="G69" s="12" t="s">
        <v>1485</v>
      </c>
      <c r="H69" s="2" t="s">
        <v>248</v>
      </c>
      <c r="I69" s="2" t="s">
        <v>1268</v>
      </c>
      <c r="J69" s="2" t="s">
        <v>109</v>
      </c>
      <c r="K69" s="2" t="s">
        <v>1471</v>
      </c>
      <c r="L69" s="2" t="s">
        <v>250</v>
      </c>
      <c r="M69" s="2" t="s">
        <v>132</v>
      </c>
      <c r="N69" s="2" t="s">
        <v>1167</v>
      </c>
      <c r="O69" s="2" t="s">
        <v>78</v>
      </c>
      <c r="P69" s="2" t="s">
        <v>94</v>
      </c>
      <c r="Q69" s="6">
        <v>33163</v>
      </c>
      <c r="R69" s="13">
        <v>3.9550000000000001</v>
      </c>
      <c r="S69" s="6">
        <v>7230</v>
      </c>
      <c r="T69" s="6">
        <v>0</v>
      </c>
      <c r="U69" s="6">
        <v>9483.3230000000003</v>
      </c>
      <c r="V69" s="8">
        <v>8.0000000000000007E-5</v>
      </c>
      <c r="W69" s="8">
        <v>4.1599999999999996E-3</v>
      </c>
      <c r="X69" s="8">
        <v>2.4000000000000001E-4</v>
      </c>
    </row>
    <row r="70" spans="1:24">
      <c r="A70" s="12">
        <v>1097</v>
      </c>
      <c r="B70" s="12">
        <v>1097</v>
      </c>
      <c r="C70" s="2" t="s">
        <v>1486</v>
      </c>
      <c r="D70" s="3" t="s">
        <v>1487</v>
      </c>
      <c r="E70" s="2" t="s">
        <v>1134</v>
      </c>
      <c r="F70" s="2" t="s">
        <v>1486</v>
      </c>
      <c r="G70" s="12" t="s">
        <v>1488</v>
      </c>
      <c r="H70" s="2" t="s">
        <v>248</v>
      </c>
      <c r="I70" s="2" t="s">
        <v>1268</v>
      </c>
      <c r="J70" s="2" t="s">
        <v>109</v>
      </c>
      <c r="K70" s="2" t="s">
        <v>1481</v>
      </c>
      <c r="L70" s="2" t="s">
        <v>250</v>
      </c>
      <c r="M70" s="2" t="s">
        <v>132</v>
      </c>
      <c r="N70" s="2" t="s">
        <v>1458</v>
      </c>
      <c r="O70" s="2" t="s">
        <v>78</v>
      </c>
      <c r="P70" s="2" t="s">
        <v>94</v>
      </c>
      <c r="Q70" s="6">
        <v>22749</v>
      </c>
      <c r="R70" s="13">
        <v>3.9550000000000001</v>
      </c>
      <c r="S70" s="6">
        <v>5940</v>
      </c>
      <c r="T70" s="6">
        <v>0</v>
      </c>
      <c r="U70" s="6">
        <v>5344.625</v>
      </c>
      <c r="V70" s="8">
        <v>1.2999999999999999E-4</v>
      </c>
      <c r="W70" s="8">
        <v>2.3500000000000001E-3</v>
      </c>
      <c r="X70" s="8">
        <v>1.2999999999999999E-4</v>
      </c>
    </row>
    <row r="71" spans="1:24">
      <c r="A71" s="12">
        <v>1097</v>
      </c>
      <c r="B71" s="12">
        <v>1097</v>
      </c>
      <c r="C71" s="2" t="s">
        <v>1489</v>
      </c>
      <c r="D71" s="3" t="s">
        <v>1490</v>
      </c>
      <c r="E71" s="2" t="s">
        <v>1134</v>
      </c>
      <c r="F71" s="2" t="s">
        <v>1489</v>
      </c>
      <c r="G71" s="12" t="s">
        <v>1491</v>
      </c>
      <c r="H71" s="2" t="s">
        <v>248</v>
      </c>
      <c r="I71" s="2" t="s">
        <v>1268</v>
      </c>
      <c r="J71" s="2" t="s">
        <v>109</v>
      </c>
      <c r="K71" s="2" t="s">
        <v>1213</v>
      </c>
      <c r="L71" s="2" t="s">
        <v>250</v>
      </c>
      <c r="M71" s="2" t="s">
        <v>132</v>
      </c>
      <c r="N71" s="2" t="s">
        <v>1492</v>
      </c>
      <c r="O71" s="2" t="s">
        <v>78</v>
      </c>
      <c r="P71" s="2" t="s">
        <v>100</v>
      </c>
      <c r="Q71" s="6">
        <v>519331</v>
      </c>
      <c r="R71" s="13">
        <v>4.6239999999999997</v>
      </c>
      <c r="S71" s="6">
        <v>374.4</v>
      </c>
      <c r="T71" s="6">
        <v>0</v>
      </c>
      <c r="U71" s="6">
        <v>8990.0130000000008</v>
      </c>
      <c r="V71" s="8">
        <v>6.0000000000000002E-5</v>
      </c>
      <c r="W71" s="8">
        <v>3.9500000000000004E-3</v>
      </c>
      <c r="X71" s="8">
        <v>2.2000000000000001E-4</v>
      </c>
    </row>
    <row r="72" spans="1:24">
      <c r="A72" s="12">
        <v>1097</v>
      </c>
      <c r="B72" s="12">
        <v>1097</v>
      </c>
      <c r="C72" s="2" t="s">
        <v>1493</v>
      </c>
      <c r="D72" s="3" t="s">
        <v>1494</v>
      </c>
      <c r="E72" s="2" t="s">
        <v>1134</v>
      </c>
      <c r="F72" s="2" t="s">
        <v>1495</v>
      </c>
      <c r="G72" s="12" t="s">
        <v>1496</v>
      </c>
      <c r="H72" s="2" t="s">
        <v>248</v>
      </c>
      <c r="I72" s="2" t="s">
        <v>1268</v>
      </c>
      <c r="J72" s="2" t="s">
        <v>109</v>
      </c>
      <c r="K72" s="2" t="s">
        <v>1497</v>
      </c>
      <c r="L72" s="2" t="s">
        <v>250</v>
      </c>
      <c r="M72" s="2" t="s">
        <v>132</v>
      </c>
      <c r="N72" s="2" t="s">
        <v>1167</v>
      </c>
      <c r="O72" s="2" t="s">
        <v>78</v>
      </c>
      <c r="P72" s="2" t="s">
        <v>94</v>
      </c>
      <c r="Q72" s="6">
        <v>360000</v>
      </c>
      <c r="R72" s="13">
        <v>3.9550000000000001</v>
      </c>
      <c r="S72" s="6">
        <v>489.15</v>
      </c>
      <c r="T72" s="6">
        <v>0</v>
      </c>
      <c r="U72" s="6">
        <v>6964.87</v>
      </c>
      <c r="V72" s="8">
        <v>2.0000000000000002E-5</v>
      </c>
      <c r="W72" s="8">
        <v>3.0599999999999998E-3</v>
      </c>
      <c r="X72" s="8">
        <v>1.7000000000000001E-4</v>
      </c>
    </row>
    <row r="73" spans="1:24">
      <c r="A73" s="12">
        <v>1097</v>
      </c>
      <c r="B73" s="12">
        <v>1097</v>
      </c>
      <c r="C73" s="2" t="s">
        <v>1498</v>
      </c>
      <c r="D73" s="3" t="s">
        <v>1499</v>
      </c>
      <c r="E73" s="2" t="s">
        <v>1134</v>
      </c>
      <c r="F73" s="2" t="s">
        <v>1500</v>
      </c>
      <c r="G73" s="12" t="s">
        <v>1501</v>
      </c>
      <c r="H73" s="2" t="s">
        <v>248</v>
      </c>
      <c r="I73" s="2" t="s">
        <v>1268</v>
      </c>
      <c r="J73" s="2" t="s">
        <v>109</v>
      </c>
      <c r="K73" s="2" t="s">
        <v>1467</v>
      </c>
      <c r="L73" s="2" t="s">
        <v>250</v>
      </c>
      <c r="M73" s="2" t="s">
        <v>132</v>
      </c>
      <c r="N73" s="2" t="s">
        <v>1502</v>
      </c>
      <c r="O73" s="2" t="s">
        <v>78</v>
      </c>
      <c r="P73" s="2" t="s">
        <v>94</v>
      </c>
      <c r="Q73" s="6">
        <v>40861</v>
      </c>
      <c r="R73" s="13">
        <v>3.9550000000000001</v>
      </c>
      <c r="S73" s="6">
        <v>4418</v>
      </c>
      <c r="T73" s="6">
        <v>0</v>
      </c>
      <c r="U73" s="6">
        <v>7140.0810000000001</v>
      </c>
      <c r="V73" s="8">
        <v>1.0000000000000001E-5</v>
      </c>
      <c r="W73" s="8">
        <v>3.13E-3</v>
      </c>
      <c r="X73" s="8">
        <v>1.8000000000000001E-4</v>
      </c>
    </row>
    <row r="74" spans="1:24">
      <c r="A74" s="12">
        <v>1097</v>
      </c>
      <c r="B74" s="12">
        <v>1097</v>
      </c>
      <c r="C74" s="2" t="s">
        <v>1503</v>
      </c>
      <c r="D74" s="3" t="s">
        <v>1504</v>
      </c>
      <c r="E74" s="2" t="s">
        <v>1134</v>
      </c>
      <c r="F74" s="2" t="s">
        <v>1505</v>
      </c>
      <c r="G74" s="12" t="s">
        <v>1506</v>
      </c>
      <c r="H74" s="2" t="s">
        <v>248</v>
      </c>
      <c r="I74" s="2" t="s">
        <v>1268</v>
      </c>
      <c r="J74" s="2" t="s">
        <v>109</v>
      </c>
      <c r="K74" s="2" t="s">
        <v>1174</v>
      </c>
      <c r="L74" s="2" t="s">
        <v>250</v>
      </c>
      <c r="M74" s="2" t="s">
        <v>132</v>
      </c>
      <c r="N74" s="2" t="s">
        <v>1492</v>
      </c>
      <c r="O74" s="2" t="s">
        <v>78</v>
      </c>
      <c r="P74" s="2" t="s">
        <v>94</v>
      </c>
      <c r="Q74" s="6">
        <v>1917</v>
      </c>
      <c r="R74" s="13">
        <v>3.9550000000000001</v>
      </c>
      <c r="S74" s="6">
        <v>36310</v>
      </c>
      <c r="T74" s="6">
        <v>0</v>
      </c>
      <c r="U74" s="6">
        <v>2753.067</v>
      </c>
      <c r="V74" s="8">
        <v>3.5899999999999999E-6</v>
      </c>
      <c r="W74" s="8">
        <v>1.2099999999999999E-3</v>
      </c>
      <c r="X74" s="8">
        <v>6.9999999999999994E-5</v>
      </c>
    </row>
    <row r="75" spans="1:24">
      <c r="A75" s="12">
        <v>1097</v>
      </c>
      <c r="B75" s="12">
        <v>1097</v>
      </c>
      <c r="C75" s="2" t="s">
        <v>1507</v>
      </c>
      <c r="D75" s="3" t="s">
        <v>1508</v>
      </c>
      <c r="E75" s="2" t="s">
        <v>1134</v>
      </c>
      <c r="F75" s="2" t="s">
        <v>1507</v>
      </c>
      <c r="G75" s="12" t="s">
        <v>1509</v>
      </c>
      <c r="H75" s="2" t="s">
        <v>248</v>
      </c>
      <c r="I75" s="2" t="s">
        <v>1268</v>
      </c>
      <c r="J75" s="2" t="s">
        <v>109</v>
      </c>
      <c r="K75" s="2" t="s">
        <v>226</v>
      </c>
      <c r="L75" s="2" t="s">
        <v>250</v>
      </c>
      <c r="M75" s="2" t="s">
        <v>132</v>
      </c>
      <c r="N75" s="2" t="s">
        <v>1449</v>
      </c>
      <c r="O75" s="2" t="s">
        <v>78</v>
      </c>
      <c r="P75" s="2" t="s">
        <v>96</v>
      </c>
      <c r="Q75" s="6">
        <v>1290</v>
      </c>
      <c r="R75" s="13">
        <v>3.3719999999999999</v>
      </c>
      <c r="S75" s="6">
        <v>46918</v>
      </c>
      <c r="T75" s="6">
        <v>0</v>
      </c>
      <c r="U75" s="6">
        <v>2040.877</v>
      </c>
      <c r="V75" s="8">
        <v>2.7300000000000001E-6</v>
      </c>
      <c r="W75" s="8">
        <v>8.9999999999999998E-4</v>
      </c>
      <c r="X75" s="8">
        <v>5.0000000000000002E-5</v>
      </c>
    </row>
    <row r="76" spans="1:24">
      <c r="A76" s="12">
        <v>1097</v>
      </c>
      <c r="B76" s="12">
        <v>1097</v>
      </c>
      <c r="C76" s="2" t="s">
        <v>1510</v>
      </c>
      <c r="D76" s="3" t="s">
        <v>1511</v>
      </c>
      <c r="E76" s="2" t="s">
        <v>1134</v>
      </c>
      <c r="F76" s="2" t="s">
        <v>1510</v>
      </c>
      <c r="G76" s="12" t="s">
        <v>1512</v>
      </c>
      <c r="H76" s="2" t="s">
        <v>248</v>
      </c>
      <c r="I76" s="2" t="s">
        <v>1268</v>
      </c>
      <c r="J76" s="2" t="s">
        <v>109</v>
      </c>
      <c r="K76" s="2" t="s">
        <v>1174</v>
      </c>
      <c r="L76" s="2" t="s">
        <v>250</v>
      </c>
      <c r="M76" s="2" t="s">
        <v>132</v>
      </c>
      <c r="N76" s="2" t="s">
        <v>678</v>
      </c>
      <c r="O76" s="2" t="s">
        <v>78</v>
      </c>
      <c r="P76" s="2" t="s">
        <v>94</v>
      </c>
      <c r="Q76" s="6">
        <v>621</v>
      </c>
      <c r="R76" s="13">
        <v>3.9550000000000001</v>
      </c>
      <c r="S76" s="6">
        <v>44460</v>
      </c>
      <c r="T76" s="6">
        <v>0</v>
      </c>
      <c r="U76" s="6">
        <v>1092.0170000000001</v>
      </c>
      <c r="V76" s="8">
        <v>1.24E-6</v>
      </c>
      <c r="W76" s="8">
        <v>4.8000000000000001E-4</v>
      </c>
      <c r="X76" s="8">
        <v>3.0000000000000001E-5</v>
      </c>
    </row>
    <row r="77" spans="1:24">
      <c r="A77" s="12">
        <v>1097</v>
      </c>
      <c r="B77" s="12">
        <v>1097</v>
      </c>
      <c r="C77" s="2" t="s">
        <v>1513</v>
      </c>
      <c r="D77" s="3" t="s">
        <v>1514</v>
      </c>
      <c r="E77" s="2" t="s">
        <v>1134</v>
      </c>
      <c r="F77" s="2" t="s">
        <v>1515</v>
      </c>
      <c r="G77" s="12" t="s">
        <v>1516</v>
      </c>
      <c r="H77" s="2" t="s">
        <v>248</v>
      </c>
      <c r="I77" s="2" t="s">
        <v>1268</v>
      </c>
      <c r="J77" s="2" t="s">
        <v>109</v>
      </c>
      <c r="K77" s="2" t="s">
        <v>1481</v>
      </c>
      <c r="L77" s="2" t="s">
        <v>250</v>
      </c>
      <c r="M77" s="2" t="s">
        <v>132</v>
      </c>
      <c r="N77" s="2" t="s">
        <v>1517</v>
      </c>
      <c r="O77" s="2" t="s">
        <v>78</v>
      </c>
      <c r="P77" s="2" t="s">
        <v>94</v>
      </c>
      <c r="Q77" s="6">
        <v>20133</v>
      </c>
      <c r="R77" s="13">
        <v>3.9550000000000001</v>
      </c>
      <c r="S77" s="6">
        <v>4969</v>
      </c>
      <c r="T77" s="6">
        <v>0</v>
      </c>
      <c r="U77" s="6">
        <v>3956.817</v>
      </c>
      <c r="V77" s="8">
        <v>2.0000000000000002E-5</v>
      </c>
      <c r="W77" s="8">
        <v>1.74E-3</v>
      </c>
      <c r="X77" s="8">
        <v>1E-4</v>
      </c>
    </row>
    <row r="78" spans="1:24">
      <c r="A78" s="12">
        <v>1097</v>
      </c>
      <c r="B78" s="12">
        <v>1097</v>
      </c>
      <c r="C78" s="2" t="s">
        <v>1518</v>
      </c>
      <c r="D78" s="3" t="s">
        <v>1519</v>
      </c>
      <c r="E78" s="2" t="s">
        <v>1134</v>
      </c>
      <c r="F78" s="2" t="s">
        <v>1520</v>
      </c>
      <c r="G78" s="12" t="s">
        <v>1521</v>
      </c>
      <c r="H78" s="2" t="s">
        <v>248</v>
      </c>
      <c r="I78" s="2" t="s">
        <v>1268</v>
      </c>
      <c r="J78" s="2" t="s">
        <v>109</v>
      </c>
      <c r="K78" s="2" t="s">
        <v>1481</v>
      </c>
      <c r="L78" s="2" t="s">
        <v>250</v>
      </c>
      <c r="M78" s="2" t="s">
        <v>132</v>
      </c>
      <c r="N78" s="2" t="s">
        <v>1522</v>
      </c>
      <c r="O78" s="2" t="s">
        <v>78</v>
      </c>
      <c r="P78" s="2" t="s">
        <v>94</v>
      </c>
      <c r="Q78" s="6">
        <v>1948</v>
      </c>
      <c r="R78" s="13">
        <v>3.9550000000000001</v>
      </c>
      <c r="S78" s="6">
        <v>37720</v>
      </c>
      <c r="T78" s="6">
        <v>0</v>
      </c>
      <c r="U78" s="6">
        <v>2906.2240000000002</v>
      </c>
      <c r="V78" s="8">
        <v>0</v>
      </c>
      <c r="W78" s="8">
        <v>1.2800000000000001E-3</v>
      </c>
      <c r="X78" s="8">
        <v>6.9999999999999994E-5</v>
      </c>
    </row>
    <row r="79" spans="1:24">
      <c r="A79" s="12">
        <v>1097</v>
      </c>
      <c r="B79" s="12">
        <v>1097</v>
      </c>
      <c r="C79" s="2" t="s">
        <v>1523</v>
      </c>
      <c r="D79" s="3" t="s">
        <v>1524</v>
      </c>
      <c r="E79" s="2" t="s">
        <v>1134</v>
      </c>
      <c r="F79" s="2" t="s">
        <v>1525</v>
      </c>
      <c r="G79" s="12" t="s">
        <v>1526</v>
      </c>
      <c r="H79" s="2" t="s">
        <v>248</v>
      </c>
      <c r="I79" s="2" t="s">
        <v>1268</v>
      </c>
      <c r="J79" s="2" t="s">
        <v>109</v>
      </c>
      <c r="K79" s="2" t="s">
        <v>1476</v>
      </c>
      <c r="L79" s="2" t="s">
        <v>250</v>
      </c>
      <c r="M79" s="2" t="s">
        <v>132</v>
      </c>
      <c r="N79" s="2" t="s">
        <v>1527</v>
      </c>
      <c r="O79" s="2" t="s">
        <v>78</v>
      </c>
      <c r="P79" s="2" t="s">
        <v>99</v>
      </c>
      <c r="Q79" s="6">
        <v>18312</v>
      </c>
      <c r="R79" s="13">
        <v>0.53</v>
      </c>
      <c r="S79" s="6">
        <v>43960</v>
      </c>
      <c r="T79" s="6">
        <v>0</v>
      </c>
      <c r="U79" s="6">
        <v>4267.2809999999999</v>
      </c>
      <c r="V79" s="8">
        <v>1.0000000000000001E-5</v>
      </c>
      <c r="W79" s="8">
        <v>1.8699999999999999E-3</v>
      </c>
      <c r="X79" s="8">
        <v>1.1E-4</v>
      </c>
    </row>
    <row r="80" spans="1:24">
      <c r="A80" s="12">
        <v>1097</v>
      </c>
      <c r="B80" s="12">
        <v>1097</v>
      </c>
      <c r="C80" s="2" t="s">
        <v>1528</v>
      </c>
      <c r="D80" s="3" t="s">
        <v>1529</v>
      </c>
      <c r="E80" s="2" t="s">
        <v>1134</v>
      </c>
      <c r="F80" s="2" t="s">
        <v>1528</v>
      </c>
      <c r="G80" s="12" t="s">
        <v>1530</v>
      </c>
      <c r="H80" s="2" t="s">
        <v>248</v>
      </c>
      <c r="I80" s="2" t="s">
        <v>1268</v>
      </c>
      <c r="J80" s="2" t="s">
        <v>109</v>
      </c>
      <c r="K80" s="2" t="s">
        <v>1531</v>
      </c>
      <c r="L80" s="2" t="s">
        <v>250</v>
      </c>
      <c r="M80" s="2" t="s">
        <v>132</v>
      </c>
      <c r="N80" s="2" t="s">
        <v>1167</v>
      </c>
      <c r="O80" s="2" t="s">
        <v>78</v>
      </c>
      <c r="P80" s="2" t="s">
        <v>102</v>
      </c>
      <c r="Q80" s="6">
        <v>6644</v>
      </c>
      <c r="R80" s="13">
        <v>0.98799999999999999</v>
      </c>
      <c r="S80" s="6">
        <v>2710000</v>
      </c>
      <c r="T80" s="6">
        <v>0</v>
      </c>
      <c r="U80" s="6">
        <v>1778.7380000000001</v>
      </c>
      <c r="V80" s="8">
        <v>0</v>
      </c>
      <c r="W80" s="8">
        <v>7.7999999999999999E-4</v>
      </c>
      <c r="X80" s="8">
        <v>4.0000000000000003E-5</v>
      </c>
    </row>
    <row r="81" spans="1:24">
      <c r="A81" s="12">
        <v>1097</v>
      </c>
      <c r="B81" s="12">
        <v>1097</v>
      </c>
      <c r="C81" s="2" t="s">
        <v>1532</v>
      </c>
      <c r="D81" s="3" t="s">
        <v>1533</v>
      </c>
      <c r="E81" s="2" t="s">
        <v>1134</v>
      </c>
      <c r="F81" s="2" t="s">
        <v>1534</v>
      </c>
      <c r="G81" s="12" t="s">
        <v>1535</v>
      </c>
      <c r="H81" s="2" t="s">
        <v>248</v>
      </c>
      <c r="I81" s="2" t="s">
        <v>1268</v>
      </c>
      <c r="J81" s="2" t="s">
        <v>109</v>
      </c>
      <c r="K81" s="2" t="s">
        <v>1213</v>
      </c>
      <c r="L81" s="2" t="s">
        <v>250</v>
      </c>
      <c r="M81" s="2" t="s">
        <v>132</v>
      </c>
      <c r="N81" s="2" t="s">
        <v>1536</v>
      </c>
      <c r="O81" s="2" t="s">
        <v>78</v>
      </c>
      <c r="P81" s="2" t="s">
        <v>100</v>
      </c>
      <c r="Q81" s="6">
        <v>42268</v>
      </c>
      <c r="R81" s="13">
        <v>4.6239999999999997</v>
      </c>
      <c r="S81" s="6">
        <v>3937</v>
      </c>
      <c r="T81" s="6">
        <v>0</v>
      </c>
      <c r="U81" s="6">
        <v>7694.0919999999996</v>
      </c>
      <c r="V81" s="8">
        <v>2.0000000000000002E-5</v>
      </c>
      <c r="W81" s="8">
        <v>3.3800000000000002E-3</v>
      </c>
      <c r="X81" s="8">
        <v>1.9000000000000001E-4</v>
      </c>
    </row>
    <row r="82" spans="1:24">
      <c r="A82" s="12">
        <v>1097</v>
      </c>
      <c r="B82" s="12">
        <v>1097</v>
      </c>
      <c r="C82" s="2" t="s">
        <v>1537</v>
      </c>
      <c r="D82" s="3" t="s">
        <v>1538</v>
      </c>
      <c r="E82" s="2" t="s">
        <v>1134</v>
      </c>
      <c r="F82" s="2" t="s">
        <v>1537</v>
      </c>
      <c r="G82" s="12" t="s">
        <v>1539</v>
      </c>
      <c r="H82" s="2" t="s">
        <v>248</v>
      </c>
      <c r="I82" s="2" t="s">
        <v>1268</v>
      </c>
      <c r="J82" s="2" t="s">
        <v>109</v>
      </c>
      <c r="K82" s="2" t="s">
        <v>1260</v>
      </c>
      <c r="L82" s="2" t="s">
        <v>250</v>
      </c>
      <c r="M82" s="2" t="s">
        <v>132</v>
      </c>
      <c r="N82" s="2" t="s">
        <v>1527</v>
      </c>
      <c r="O82" s="2" t="s">
        <v>78</v>
      </c>
      <c r="P82" s="2" t="s">
        <v>103</v>
      </c>
      <c r="Q82" s="6">
        <v>21905</v>
      </c>
      <c r="R82" s="13">
        <v>4.2309999999999999</v>
      </c>
      <c r="S82" s="6">
        <v>4342</v>
      </c>
      <c r="T82" s="6">
        <v>0</v>
      </c>
      <c r="U82" s="6">
        <v>4024.5479999999998</v>
      </c>
      <c r="V82" s="8">
        <v>5.0000000000000002E-5</v>
      </c>
      <c r="W82" s="8">
        <v>1.7700000000000001E-3</v>
      </c>
      <c r="X82" s="8">
        <v>1E-4</v>
      </c>
    </row>
    <row r="83" spans="1:24">
      <c r="A83" s="12">
        <v>1097</v>
      </c>
      <c r="B83" s="12">
        <v>1097</v>
      </c>
      <c r="C83" s="2" t="s">
        <v>1232</v>
      </c>
      <c r="D83" s="3" t="s">
        <v>1233</v>
      </c>
      <c r="E83" s="2" t="s">
        <v>1134</v>
      </c>
      <c r="F83" s="2" t="s">
        <v>1232</v>
      </c>
      <c r="G83" s="12" t="s">
        <v>1540</v>
      </c>
      <c r="H83" s="2" t="s">
        <v>248</v>
      </c>
      <c r="I83" s="2" t="s">
        <v>1268</v>
      </c>
      <c r="J83" s="2" t="s">
        <v>109</v>
      </c>
      <c r="K83" s="2" t="s">
        <v>1174</v>
      </c>
      <c r="L83" s="2" t="s">
        <v>250</v>
      </c>
      <c r="M83" s="2" t="s">
        <v>132</v>
      </c>
      <c r="N83" s="2" t="s">
        <v>1167</v>
      </c>
      <c r="O83" s="2" t="s">
        <v>78</v>
      </c>
      <c r="P83" s="2" t="s">
        <v>94</v>
      </c>
      <c r="Q83" s="6">
        <v>40000</v>
      </c>
      <c r="R83" s="13">
        <v>3.9550000000000001</v>
      </c>
      <c r="S83" s="6">
        <v>4855</v>
      </c>
      <c r="T83" s="6">
        <v>0</v>
      </c>
      <c r="U83" s="6">
        <v>7680.9979999999996</v>
      </c>
      <c r="V83" s="8">
        <v>5.0000000000000002E-5</v>
      </c>
      <c r="W83" s="8">
        <v>3.3700000000000002E-3</v>
      </c>
      <c r="X83" s="8">
        <v>1.9000000000000001E-4</v>
      </c>
    </row>
    <row r="84" spans="1:24">
      <c r="A84" s="12">
        <v>1097</v>
      </c>
      <c r="B84" s="12">
        <v>1097</v>
      </c>
      <c r="C84" s="2" t="s">
        <v>1541</v>
      </c>
      <c r="D84" s="3" t="s">
        <v>1542</v>
      </c>
      <c r="E84" s="2" t="s">
        <v>1134</v>
      </c>
      <c r="F84" s="2" t="s">
        <v>1543</v>
      </c>
      <c r="G84" s="12" t="s">
        <v>1544</v>
      </c>
      <c r="H84" s="2" t="s">
        <v>248</v>
      </c>
      <c r="I84" s="2" t="s">
        <v>1268</v>
      </c>
      <c r="J84" s="2" t="s">
        <v>109</v>
      </c>
      <c r="K84" s="2" t="s">
        <v>1260</v>
      </c>
      <c r="L84" s="2" t="s">
        <v>250</v>
      </c>
      <c r="M84" s="2" t="s">
        <v>132</v>
      </c>
      <c r="N84" s="2" t="s">
        <v>1137</v>
      </c>
      <c r="O84" s="2" t="s">
        <v>78</v>
      </c>
      <c r="P84" s="2" t="s">
        <v>103</v>
      </c>
      <c r="Q84" s="6">
        <v>3287</v>
      </c>
      <c r="R84" s="13">
        <v>4.2309999999999999</v>
      </c>
      <c r="S84" s="6">
        <v>13715</v>
      </c>
      <c r="T84" s="6">
        <v>0</v>
      </c>
      <c r="U84" s="6">
        <v>1907.566</v>
      </c>
      <c r="V84" s="8">
        <v>1.0000000000000001E-5</v>
      </c>
      <c r="W84" s="8">
        <v>8.4000000000000003E-4</v>
      </c>
      <c r="X84" s="8">
        <v>5.0000000000000002E-5</v>
      </c>
    </row>
    <row r="85" spans="1:24">
      <c r="A85" s="12">
        <v>1097</v>
      </c>
      <c r="B85" s="12">
        <v>1097</v>
      </c>
      <c r="C85" s="2" t="s">
        <v>1545</v>
      </c>
      <c r="D85" s="3" t="s">
        <v>1546</v>
      </c>
      <c r="E85" s="2" t="s">
        <v>1134</v>
      </c>
      <c r="F85" s="2" t="s">
        <v>1545</v>
      </c>
      <c r="G85" s="12" t="s">
        <v>1547</v>
      </c>
      <c r="H85" s="2" t="s">
        <v>248</v>
      </c>
      <c r="I85" s="2" t="s">
        <v>1268</v>
      </c>
      <c r="J85" s="2" t="s">
        <v>109</v>
      </c>
      <c r="K85" s="2" t="s">
        <v>1174</v>
      </c>
      <c r="L85" s="2" t="s">
        <v>250</v>
      </c>
      <c r="M85" s="2" t="s">
        <v>132</v>
      </c>
      <c r="N85" s="2" t="s">
        <v>1458</v>
      </c>
      <c r="O85" s="2" t="s">
        <v>78</v>
      </c>
      <c r="P85" s="2" t="s">
        <v>94</v>
      </c>
      <c r="Q85" s="6">
        <v>5140</v>
      </c>
      <c r="R85" s="13">
        <v>3.9550000000000001</v>
      </c>
      <c r="S85" s="6">
        <v>22580</v>
      </c>
      <c r="T85" s="6">
        <v>0</v>
      </c>
      <c r="U85" s="6">
        <v>4590.4530000000004</v>
      </c>
      <c r="V85" s="8">
        <v>1.0000000000000001E-5</v>
      </c>
      <c r="W85" s="8">
        <v>2.0100000000000001E-3</v>
      </c>
      <c r="X85" s="8">
        <v>1.1E-4</v>
      </c>
    </row>
    <row r="86" spans="1:24">
      <c r="A86" s="12">
        <v>1097</v>
      </c>
      <c r="B86" s="12">
        <v>1097</v>
      </c>
      <c r="C86" s="2" t="s">
        <v>1548</v>
      </c>
      <c r="D86" s="3" t="s">
        <v>1549</v>
      </c>
      <c r="E86" s="2" t="s">
        <v>1134</v>
      </c>
      <c r="F86" s="2" t="s">
        <v>1548</v>
      </c>
      <c r="G86" s="12" t="s">
        <v>1550</v>
      </c>
      <c r="H86" s="2" t="s">
        <v>248</v>
      </c>
      <c r="I86" s="2" t="s">
        <v>1268</v>
      </c>
      <c r="J86" s="2" t="s">
        <v>109</v>
      </c>
      <c r="K86" s="2" t="s">
        <v>1174</v>
      </c>
      <c r="L86" s="2" t="s">
        <v>250</v>
      </c>
      <c r="M86" s="2" t="s">
        <v>132</v>
      </c>
      <c r="N86" s="2" t="s">
        <v>1536</v>
      </c>
      <c r="O86" s="2" t="s">
        <v>78</v>
      </c>
      <c r="P86" s="2" t="s">
        <v>94</v>
      </c>
      <c r="Q86" s="6">
        <v>8437</v>
      </c>
      <c r="R86" s="13">
        <v>3.9550000000000001</v>
      </c>
      <c r="S86" s="6">
        <v>8232</v>
      </c>
      <c r="T86" s="6">
        <v>0</v>
      </c>
      <c r="U86" s="6">
        <v>2747.02</v>
      </c>
      <c r="V86" s="8">
        <v>1.3999999999999999E-4</v>
      </c>
      <c r="W86" s="8">
        <v>1.2099999999999999E-3</v>
      </c>
      <c r="X86" s="8">
        <v>6.9999999999999994E-5</v>
      </c>
    </row>
    <row r="87" spans="1:24">
      <c r="A87" s="12">
        <v>1097</v>
      </c>
      <c r="B87" s="12">
        <v>1097</v>
      </c>
      <c r="C87" s="2" t="s">
        <v>1551</v>
      </c>
      <c r="D87" s="3" t="s">
        <v>1552</v>
      </c>
      <c r="E87" s="2" t="s">
        <v>1134</v>
      </c>
      <c r="F87" s="2" t="s">
        <v>1553</v>
      </c>
      <c r="G87" s="12" t="s">
        <v>1554</v>
      </c>
      <c r="H87" s="2" t="s">
        <v>248</v>
      </c>
      <c r="I87" s="2" t="s">
        <v>1268</v>
      </c>
      <c r="J87" s="2" t="s">
        <v>109</v>
      </c>
      <c r="K87" s="2" t="s">
        <v>1497</v>
      </c>
      <c r="L87" s="2" t="s">
        <v>250</v>
      </c>
      <c r="M87" s="2" t="s">
        <v>132</v>
      </c>
      <c r="N87" s="2" t="s">
        <v>1167</v>
      </c>
      <c r="O87" s="2" t="s">
        <v>78</v>
      </c>
      <c r="P87" s="2" t="s">
        <v>94</v>
      </c>
      <c r="Q87" s="6">
        <v>43482</v>
      </c>
      <c r="R87" s="13">
        <v>3.9550000000000001</v>
      </c>
      <c r="S87" s="6">
        <v>5691</v>
      </c>
      <c r="T87" s="6">
        <v>0</v>
      </c>
      <c r="U87" s="6">
        <v>9787.3819999999996</v>
      </c>
      <c r="V87" s="8">
        <v>3.0000000000000001E-5</v>
      </c>
      <c r="W87" s="8">
        <v>4.3E-3</v>
      </c>
      <c r="X87" s="8">
        <v>2.4000000000000001E-4</v>
      </c>
    </row>
    <row r="88" spans="1:24">
      <c r="A88" s="12">
        <v>1097</v>
      </c>
      <c r="B88" s="12">
        <v>1097</v>
      </c>
      <c r="C88" s="2" t="s">
        <v>1555</v>
      </c>
      <c r="D88" s="3" t="s">
        <v>1556</v>
      </c>
      <c r="E88" s="2" t="s">
        <v>1134</v>
      </c>
      <c r="F88" s="2" t="s">
        <v>1557</v>
      </c>
      <c r="G88" s="12" t="s">
        <v>1558</v>
      </c>
      <c r="H88" s="2" t="s">
        <v>248</v>
      </c>
      <c r="I88" s="2" t="s">
        <v>1268</v>
      </c>
      <c r="J88" s="2" t="s">
        <v>109</v>
      </c>
      <c r="K88" s="2" t="s">
        <v>1559</v>
      </c>
      <c r="L88" s="2" t="s">
        <v>250</v>
      </c>
      <c r="M88" s="2" t="s">
        <v>132</v>
      </c>
      <c r="N88" s="2" t="s">
        <v>1560</v>
      </c>
      <c r="O88" s="2" t="s">
        <v>78</v>
      </c>
      <c r="P88" s="2" t="s">
        <v>97</v>
      </c>
      <c r="Q88" s="6">
        <v>228600</v>
      </c>
      <c r="R88" s="13">
        <v>0.42899999999999999</v>
      </c>
      <c r="S88" s="6">
        <v>5995</v>
      </c>
      <c r="T88" s="6">
        <v>0</v>
      </c>
      <c r="U88" s="6">
        <v>5875.1490000000003</v>
      </c>
      <c r="V88" s="8">
        <v>1.0000000000000001E-5</v>
      </c>
      <c r="W88" s="8">
        <v>2.5799999999999998E-3</v>
      </c>
      <c r="X88" s="8">
        <v>1.4999999999999999E-4</v>
      </c>
    </row>
    <row r="89" spans="1:24">
      <c r="A89" s="12">
        <v>1097</v>
      </c>
      <c r="B89" s="12">
        <v>1097</v>
      </c>
      <c r="C89" s="2" t="s">
        <v>1561</v>
      </c>
      <c r="D89" s="3" t="s">
        <v>1562</v>
      </c>
      <c r="E89" s="2" t="s">
        <v>1134</v>
      </c>
      <c r="F89" s="2" t="s">
        <v>1561</v>
      </c>
      <c r="G89" s="12" t="s">
        <v>1563</v>
      </c>
      <c r="H89" s="2" t="s">
        <v>248</v>
      </c>
      <c r="I89" s="2" t="s">
        <v>1268</v>
      </c>
      <c r="J89" s="2" t="s">
        <v>109</v>
      </c>
      <c r="K89" s="2" t="s">
        <v>1564</v>
      </c>
      <c r="L89" s="2" t="s">
        <v>250</v>
      </c>
      <c r="M89" s="2" t="s">
        <v>1565</v>
      </c>
      <c r="N89" s="2" t="s">
        <v>1137</v>
      </c>
      <c r="O89" s="2" t="s">
        <v>78</v>
      </c>
      <c r="P89" s="2" t="s">
        <v>96</v>
      </c>
      <c r="Q89" s="6">
        <v>3143</v>
      </c>
      <c r="R89" s="13">
        <v>3.3719999999999999</v>
      </c>
      <c r="S89" s="6">
        <v>35676</v>
      </c>
      <c r="T89" s="6">
        <v>0</v>
      </c>
      <c r="U89" s="6">
        <v>3781.0120000000002</v>
      </c>
      <c r="V89" s="8">
        <v>1.0000000000000001E-5</v>
      </c>
      <c r="W89" s="8">
        <v>1.66E-3</v>
      </c>
      <c r="X89" s="8">
        <v>9.0000000000000006E-5</v>
      </c>
    </row>
    <row r="90" spans="1:24">
      <c r="A90" s="12">
        <v>1097</v>
      </c>
      <c r="B90" s="12">
        <v>1097</v>
      </c>
      <c r="C90" s="2" t="s">
        <v>1566</v>
      </c>
      <c r="D90" s="3" t="s">
        <v>1567</v>
      </c>
      <c r="E90" s="2" t="s">
        <v>1134</v>
      </c>
      <c r="F90" s="2" t="s">
        <v>1568</v>
      </c>
      <c r="G90" s="12" t="s">
        <v>1569</v>
      </c>
      <c r="H90" s="2" t="s">
        <v>248</v>
      </c>
      <c r="I90" s="2" t="s">
        <v>1268</v>
      </c>
      <c r="J90" s="2" t="s">
        <v>109</v>
      </c>
      <c r="K90" s="2" t="s">
        <v>226</v>
      </c>
      <c r="L90" s="2" t="s">
        <v>250</v>
      </c>
      <c r="M90" s="2" t="s">
        <v>1565</v>
      </c>
      <c r="N90" s="2" t="s">
        <v>1570</v>
      </c>
      <c r="O90" s="2" t="s">
        <v>78</v>
      </c>
      <c r="P90" s="2" t="s">
        <v>96</v>
      </c>
      <c r="Q90" s="6">
        <v>13</v>
      </c>
      <c r="R90" s="13">
        <v>3.3719999999999999</v>
      </c>
      <c r="S90" s="6">
        <v>72880000</v>
      </c>
      <c r="T90" s="6">
        <v>0</v>
      </c>
      <c r="U90" s="6">
        <v>31947.677</v>
      </c>
      <c r="V90" s="8">
        <v>2.0000000000000002E-5</v>
      </c>
      <c r="W90" s="8">
        <v>1.4019999999999999E-2</v>
      </c>
      <c r="X90" s="8">
        <v>7.9000000000000001E-4</v>
      </c>
    </row>
    <row r="91" spans="1:24">
      <c r="A91" s="12">
        <v>1097</v>
      </c>
      <c r="B91" s="12">
        <v>1097</v>
      </c>
      <c r="C91" s="2" t="s">
        <v>1566</v>
      </c>
      <c r="D91" s="3" t="s">
        <v>1567</v>
      </c>
      <c r="E91" s="2" t="s">
        <v>1134</v>
      </c>
      <c r="F91" s="2" t="s">
        <v>1568</v>
      </c>
      <c r="G91" s="12" t="s">
        <v>1571</v>
      </c>
      <c r="H91" s="2" t="s">
        <v>248</v>
      </c>
      <c r="I91" s="2" t="s">
        <v>1268</v>
      </c>
      <c r="J91" s="2" t="s">
        <v>109</v>
      </c>
      <c r="K91" s="2" t="s">
        <v>226</v>
      </c>
      <c r="L91" s="2" t="s">
        <v>250</v>
      </c>
      <c r="M91" s="2" t="s">
        <v>1565</v>
      </c>
      <c r="N91" s="2" t="s">
        <v>1570</v>
      </c>
      <c r="O91" s="2" t="s">
        <v>78</v>
      </c>
      <c r="P91" s="2" t="s">
        <v>96</v>
      </c>
      <c r="Q91" s="6">
        <v>1445</v>
      </c>
      <c r="R91" s="13">
        <v>3.3719999999999999</v>
      </c>
      <c r="S91" s="6">
        <v>48577</v>
      </c>
      <c r="T91" s="6">
        <v>0</v>
      </c>
      <c r="U91" s="6">
        <v>2366.9340000000002</v>
      </c>
      <c r="V91" s="8">
        <v>1.08E-6</v>
      </c>
      <c r="W91" s="8">
        <v>1.0399999999999999E-3</v>
      </c>
      <c r="X91" s="8">
        <v>6.0000000000000002E-5</v>
      </c>
    </row>
    <row r="92" spans="1:24">
      <c r="A92" s="12">
        <v>1097</v>
      </c>
      <c r="B92" s="12">
        <v>1097</v>
      </c>
      <c r="C92" s="2" t="s">
        <v>1572</v>
      </c>
      <c r="D92" s="3" t="s">
        <v>1573</v>
      </c>
      <c r="E92" s="2" t="s">
        <v>1134</v>
      </c>
      <c r="F92" s="2" t="s">
        <v>1572</v>
      </c>
      <c r="G92" s="12" t="s">
        <v>1574</v>
      </c>
      <c r="H92" s="2" t="s">
        <v>248</v>
      </c>
      <c r="I92" s="2" t="s">
        <v>1268</v>
      </c>
      <c r="J92" s="2" t="s">
        <v>109</v>
      </c>
      <c r="K92" s="2" t="s">
        <v>226</v>
      </c>
      <c r="L92" s="2" t="s">
        <v>250</v>
      </c>
      <c r="M92" s="2" t="s">
        <v>1565</v>
      </c>
      <c r="N92" s="2" t="s">
        <v>1575</v>
      </c>
      <c r="O92" s="2" t="s">
        <v>78</v>
      </c>
      <c r="P92" s="2" t="s">
        <v>96</v>
      </c>
      <c r="Q92" s="6">
        <v>40000</v>
      </c>
      <c r="R92" s="13">
        <v>3.3719999999999999</v>
      </c>
      <c r="S92" s="6">
        <v>2392</v>
      </c>
      <c r="T92" s="6">
        <v>0</v>
      </c>
      <c r="U92" s="6">
        <v>3226.33</v>
      </c>
      <c r="V92" s="8">
        <v>1.7000000000000001E-4</v>
      </c>
      <c r="W92" s="8">
        <v>1.42E-3</v>
      </c>
      <c r="X92" s="8">
        <v>8.0000000000000007E-5</v>
      </c>
    </row>
    <row r="93" spans="1:24">
      <c r="A93" s="12">
        <v>1097</v>
      </c>
      <c r="B93" s="12">
        <v>1097</v>
      </c>
      <c r="C93" s="2" t="s">
        <v>1576</v>
      </c>
      <c r="D93" s="3" t="s">
        <v>1577</v>
      </c>
      <c r="E93" s="2" t="s">
        <v>1134</v>
      </c>
      <c r="F93" s="2" t="s">
        <v>1578</v>
      </c>
      <c r="G93" s="12" t="s">
        <v>1579</v>
      </c>
      <c r="H93" s="2" t="s">
        <v>248</v>
      </c>
      <c r="I93" s="2" t="s">
        <v>1268</v>
      </c>
      <c r="J93" s="2" t="s">
        <v>109</v>
      </c>
      <c r="K93" s="2" t="s">
        <v>226</v>
      </c>
      <c r="L93" s="2" t="s">
        <v>250</v>
      </c>
      <c r="M93" s="2" t="s">
        <v>1565</v>
      </c>
      <c r="N93" s="2" t="s">
        <v>1458</v>
      </c>
      <c r="O93" s="2" t="s">
        <v>78</v>
      </c>
      <c r="P93" s="2" t="s">
        <v>96</v>
      </c>
      <c r="Q93" s="6">
        <v>3949</v>
      </c>
      <c r="R93" s="13">
        <v>3.3719999999999999</v>
      </c>
      <c r="S93" s="6">
        <v>38821</v>
      </c>
      <c r="T93" s="6">
        <v>0</v>
      </c>
      <c r="U93" s="6">
        <v>5169.415</v>
      </c>
      <c r="V93" s="8">
        <v>1.0000000000000001E-5</v>
      </c>
      <c r="W93" s="8">
        <v>2.2699999999999999E-3</v>
      </c>
      <c r="X93" s="8">
        <v>1.2999999999999999E-4</v>
      </c>
    </row>
    <row r="94" spans="1:24">
      <c r="A94" s="12">
        <v>1097</v>
      </c>
      <c r="B94" s="12">
        <v>1097</v>
      </c>
      <c r="C94" s="2" t="s">
        <v>1580</v>
      </c>
      <c r="D94" s="3" t="s">
        <v>1581</v>
      </c>
      <c r="E94" s="2" t="s">
        <v>233</v>
      </c>
      <c r="F94" s="2" t="s">
        <v>1582</v>
      </c>
      <c r="G94" s="12" t="s">
        <v>1583</v>
      </c>
      <c r="H94" s="2" t="s">
        <v>248</v>
      </c>
      <c r="I94" s="2" t="s">
        <v>1268</v>
      </c>
      <c r="J94" s="2" t="s">
        <v>109</v>
      </c>
      <c r="K94" s="2" t="s">
        <v>226</v>
      </c>
      <c r="L94" s="2" t="s">
        <v>250</v>
      </c>
      <c r="M94" s="2" t="s">
        <v>1565</v>
      </c>
      <c r="N94" s="2" t="s">
        <v>1584</v>
      </c>
      <c r="O94" s="2" t="s">
        <v>78</v>
      </c>
      <c r="P94" s="2" t="s">
        <v>96</v>
      </c>
      <c r="Q94" s="6">
        <v>1109</v>
      </c>
      <c r="R94" s="13">
        <v>3.3719999999999999</v>
      </c>
      <c r="S94" s="6">
        <v>14319</v>
      </c>
      <c r="T94" s="6">
        <v>0</v>
      </c>
      <c r="U94" s="6">
        <v>535.46600000000001</v>
      </c>
      <c r="V94" s="8">
        <v>6.3E-7</v>
      </c>
      <c r="W94" s="8">
        <v>2.3000000000000001E-4</v>
      </c>
      <c r="X94" s="8">
        <v>1.0000000000000001E-5</v>
      </c>
    </row>
    <row r="95" spans="1:24">
      <c r="A95" s="12">
        <v>1097</v>
      </c>
      <c r="B95" s="12">
        <v>1097</v>
      </c>
      <c r="C95" s="2" t="s">
        <v>1585</v>
      </c>
      <c r="D95" s="3" t="s">
        <v>1586</v>
      </c>
      <c r="E95" s="2" t="s">
        <v>1134</v>
      </c>
      <c r="F95" s="2" t="s">
        <v>1587</v>
      </c>
      <c r="G95" s="12" t="s">
        <v>1588</v>
      </c>
      <c r="H95" s="2" t="s">
        <v>248</v>
      </c>
      <c r="I95" s="2" t="s">
        <v>1268</v>
      </c>
      <c r="J95" s="2" t="s">
        <v>109</v>
      </c>
      <c r="K95" s="2" t="s">
        <v>226</v>
      </c>
      <c r="L95" s="2" t="s">
        <v>250</v>
      </c>
      <c r="M95" s="2" t="s">
        <v>1565</v>
      </c>
      <c r="N95" s="2" t="s">
        <v>1589</v>
      </c>
      <c r="O95" s="2" t="s">
        <v>78</v>
      </c>
      <c r="P95" s="2" t="s">
        <v>96</v>
      </c>
      <c r="Q95" s="6">
        <v>8504</v>
      </c>
      <c r="R95" s="13">
        <v>3.3719999999999999</v>
      </c>
      <c r="S95" s="6">
        <v>12260</v>
      </c>
      <c r="T95" s="6">
        <v>0</v>
      </c>
      <c r="U95" s="6">
        <v>3515.6149999999998</v>
      </c>
      <c r="V95" s="8">
        <v>2.0000000000000002E-5</v>
      </c>
      <c r="W95" s="8">
        <v>1.5399999999999999E-3</v>
      </c>
      <c r="X95" s="8">
        <v>9.0000000000000006E-5</v>
      </c>
    </row>
    <row r="96" spans="1:24">
      <c r="A96" s="12">
        <v>1097</v>
      </c>
      <c r="B96" s="12">
        <v>1097</v>
      </c>
      <c r="C96" s="2" t="s">
        <v>1590</v>
      </c>
      <c r="D96" s="3" t="s">
        <v>1591</v>
      </c>
      <c r="E96" s="2" t="s">
        <v>1134</v>
      </c>
      <c r="F96" s="2" t="s">
        <v>1592</v>
      </c>
      <c r="G96" s="12" t="s">
        <v>1593</v>
      </c>
      <c r="H96" s="2" t="s">
        <v>248</v>
      </c>
      <c r="I96" s="2" t="s">
        <v>1268</v>
      </c>
      <c r="J96" s="2" t="s">
        <v>109</v>
      </c>
      <c r="K96" s="2" t="s">
        <v>226</v>
      </c>
      <c r="L96" s="2" t="s">
        <v>250</v>
      </c>
      <c r="M96" s="2" t="s">
        <v>1565</v>
      </c>
      <c r="N96" s="2" t="s">
        <v>1527</v>
      </c>
      <c r="O96" s="2" t="s">
        <v>78</v>
      </c>
      <c r="P96" s="2" t="s">
        <v>96</v>
      </c>
      <c r="Q96" s="6">
        <v>3276</v>
      </c>
      <c r="R96" s="13">
        <v>3.3719999999999999</v>
      </c>
      <c r="S96" s="6">
        <v>77953</v>
      </c>
      <c r="T96" s="6">
        <v>0</v>
      </c>
      <c r="U96" s="6">
        <v>8611.2119999999995</v>
      </c>
      <c r="V96" s="8">
        <v>3.4599999999999999E-6</v>
      </c>
      <c r="W96" s="8">
        <v>3.7799999999999999E-3</v>
      </c>
      <c r="X96" s="8">
        <v>2.1000000000000001E-4</v>
      </c>
    </row>
    <row r="97" spans="1:24">
      <c r="A97" s="12">
        <v>1097</v>
      </c>
      <c r="B97" s="12">
        <v>1097</v>
      </c>
      <c r="C97" s="2" t="s">
        <v>1594</v>
      </c>
      <c r="D97" s="3" t="s">
        <v>1595</v>
      </c>
      <c r="E97" s="2" t="s">
        <v>1134</v>
      </c>
      <c r="F97" s="2" t="s">
        <v>1596</v>
      </c>
      <c r="G97" s="12" t="s">
        <v>1597</v>
      </c>
      <c r="H97" s="2" t="s">
        <v>248</v>
      </c>
      <c r="I97" s="2" t="s">
        <v>1268</v>
      </c>
      <c r="J97" s="2" t="s">
        <v>109</v>
      </c>
      <c r="K97" s="2" t="s">
        <v>226</v>
      </c>
      <c r="L97" s="2" t="s">
        <v>250</v>
      </c>
      <c r="M97" s="2" t="s">
        <v>1565</v>
      </c>
      <c r="N97" s="2" t="s">
        <v>1584</v>
      </c>
      <c r="O97" s="2" t="s">
        <v>78</v>
      </c>
      <c r="P97" s="2" t="s">
        <v>96</v>
      </c>
      <c r="Q97" s="6">
        <v>1477</v>
      </c>
      <c r="R97" s="13">
        <v>3.3719999999999999</v>
      </c>
      <c r="S97" s="6">
        <v>10780</v>
      </c>
      <c r="T97" s="6">
        <v>0</v>
      </c>
      <c r="U97" s="6">
        <v>536.89200000000005</v>
      </c>
      <c r="V97" s="8">
        <v>3.3999999999999997E-7</v>
      </c>
      <c r="W97" s="8">
        <v>2.4000000000000001E-4</v>
      </c>
      <c r="X97" s="8">
        <v>1.0000000000000001E-5</v>
      </c>
    </row>
    <row r="98" spans="1:24">
      <c r="A98" s="12">
        <v>1097</v>
      </c>
      <c r="B98" s="12">
        <v>1097</v>
      </c>
      <c r="C98" s="2" t="s">
        <v>1598</v>
      </c>
      <c r="D98" s="3" t="s">
        <v>1586</v>
      </c>
      <c r="E98" s="2" t="s">
        <v>1134</v>
      </c>
      <c r="F98" s="2" t="s">
        <v>1598</v>
      </c>
      <c r="G98" s="12" t="s">
        <v>1588</v>
      </c>
      <c r="H98" s="2" t="s">
        <v>248</v>
      </c>
      <c r="I98" s="2" t="s">
        <v>1268</v>
      </c>
      <c r="J98" s="2" t="s">
        <v>109</v>
      </c>
      <c r="K98" s="2" t="s">
        <v>226</v>
      </c>
      <c r="L98" s="2" t="s">
        <v>250</v>
      </c>
      <c r="M98" s="2" t="s">
        <v>1565</v>
      </c>
      <c r="N98" s="2" t="s">
        <v>1570</v>
      </c>
      <c r="O98" s="2" t="s">
        <v>78</v>
      </c>
      <c r="P98" s="2" t="s">
        <v>96</v>
      </c>
      <c r="Q98" s="6">
        <v>8800</v>
      </c>
      <c r="R98" s="13">
        <v>3.3719999999999999</v>
      </c>
      <c r="S98" s="6">
        <v>17241</v>
      </c>
      <c r="T98" s="6">
        <v>0</v>
      </c>
      <c r="U98" s="6">
        <v>5116.0249999999996</v>
      </c>
      <c r="V98" s="8">
        <v>2.0000000000000002E-5</v>
      </c>
      <c r="W98" s="8">
        <v>2.2499999999999998E-3</v>
      </c>
      <c r="X98" s="8">
        <v>1.2999999999999999E-4</v>
      </c>
    </row>
    <row r="99" spans="1:24">
      <c r="A99" s="12">
        <v>1097</v>
      </c>
      <c r="B99" s="12">
        <v>1097</v>
      </c>
      <c r="C99" s="2" t="s">
        <v>1599</v>
      </c>
      <c r="D99" s="3" t="s">
        <v>1600</v>
      </c>
      <c r="E99" s="2" t="s">
        <v>1134</v>
      </c>
      <c r="F99" s="2" t="s">
        <v>1601</v>
      </c>
      <c r="G99" s="12" t="s">
        <v>1602</v>
      </c>
      <c r="H99" s="2" t="s">
        <v>248</v>
      </c>
      <c r="I99" s="2" t="s">
        <v>1268</v>
      </c>
      <c r="J99" s="2" t="s">
        <v>109</v>
      </c>
      <c r="K99" s="2" t="s">
        <v>226</v>
      </c>
      <c r="L99" s="2" t="s">
        <v>250</v>
      </c>
      <c r="M99" s="2" t="s">
        <v>1565</v>
      </c>
      <c r="N99" s="2" t="s">
        <v>1458</v>
      </c>
      <c r="O99" s="2" t="s">
        <v>78</v>
      </c>
      <c r="P99" s="2" t="s">
        <v>96</v>
      </c>
      <c r="Q99" s="6">
        <v>1946</v>
      </c>
      <c r="R99" s="13">
        <v>3.3719999999999999</v>
      </c>
      <c r="S99" s="6">
        <v>25739</v>
      </c>
      <c r="T99" s="6">
        <v>0</v>
      </c>
      <c r="U99" s="6">
        <v>1688.971</v>
      </c>
      <c r="V99" s="8">
        <v>1.8199999999999999E-6</v>
      </c>
      <c r="W99" s="8">
        <v>7.3999999999999999E-4</v>
      </c>
      <c r="X99" s="8">
        <v>4.0000000000000003E-5</v>
      </c>
    </row>
    <row r="100" spans="1:24">
      <c r="A100" s="12">
        <v>1097</v>
      </c>
      <c r="B100" s="12">
        <v>1097</v>
      </c>
      <c r="C100" s="2" t="s">
        <v>1200</v>
      </c>
      <c r="D100" s="3" t="s">
        <v>1201</v>
      </c>
      <c r="E100" s="2" t="s">
        <v>1134</v>
      </c>
      <c r="F100" s="2" t="s">
        <v>1603</v>
      </c>
      <c r="G100" s="12" t="s">
        <v>1604</v>
      </c>
      <c r="H100" s="2" t="s">
        <v>248</v>
      </c>
      <c r="I100" s="2" t="s">
        <v>1268</v>
      </c>
      <c r="J100" s="2" t="s">
        <v>109</v>
      </c>
      <c r="K100" s="2" t="s">
        <v>226</v>
      </c>
      <c r="L100" s="2" t="s">
        <v>250</v>
      </c>
      <c r="M100" s="2" t="s">
        <v>1565</v>
      </c>
      <c r="N100" s="2" t="s">
        <v>1570</v>
      </c>
      <c r="O100" s="2" t="s">
        <v>78</v>
      </c>
      <c r="P100" s="2" t="s">
        <v>96</v>
      </c>
      <c r="Q100" s="6">
        <v>1405</v>
      </c>
      <c r="R100" s="13">
        <v>3.3719999999999999</v>
      </c>
      <c r="S100" s="6">
        <v>70775</v>
      </c>
      <c r="T100" s="6">
        <v>0</v>
      </c>
      <c r="U100" s="6">
        <v>3353.0790000000002</v>
      </c>
      <c r="V100" s="8">
        <v>4.5199999999999999E-6</v>
      </c>
      <c r="W100" s="8">
        <v>1.47E-3</v>
      </c>
      <c r="X100" s="8">
        <v>8.0000000000000007E-5</v>
      </c>
    </row>
    <row r="101" spans="1:24">
      <c r="A101" s="12">
        <v>1097</v>
      </c>
      <c r="B101" s="12">
        <v>1097</v>
      </c>
      <c r="C101" s="2" t="s">
        <v>1605</v>
      </c>
      <c r="D101" s="3" t="s">
        <v>1606</v>
      </c>
      <c r="E101" s="2" t="s">
        <v>1134</v>
      </c>
      <c r="F101" s="2" t="s">
        <v>1605</v>
      </c>
      <c r="G101" s="12" t="s">
        <v>1607</v>
      </c>
      <c r="H101" s="2" t="s">
        <v>248</v>
      </c>
      <c r="I101" s="2" t="s">
        <v>1268</v>
      </c>
      <c r="J101" s="2" t="s">
        <v>109</v>
      </c>
      <c r="K101" s="2" t="s">
        <v>226</v>
      </c>
      <c r="L101" s="2" t="s">
        <v>250</v>
      </c>
      <c r="M101" s="2" t="s">
        <v>1565</v>
      </c>
      <c r="N101" s="2" t="s">
        <v>1608</v>
      </c>
      <c r="O101" s="2" t="s">
        <v>78</v>
      </c>
      <c r="P101" s="2" t="s">
        <v>96</v>
      </c>
      <c r="Q101" s="6">
        <v>1837</v>
      </c>
      <c r="R101" s="13">
        <v>3.3719999999999999</v>
      </c>
      <c r="S101" s="6">
        <v>36664</v>
      </c>
      <c r="T101" s="6">
        <v>0</v>
      </c>
      <c r="U101" s="6">
        <v>2271.1019999999999</v>
      </c>
      <c r="V101" s="8">
        <v>1.8500000000000001E-6</v>
      </c>
      <c r="W101" s="8">
        <v>1E-3</v>
      </c>
      <c r="X101" s="8">
        <v>6.0000000000000002E-5</v>
      </c>
    </row>
    <row r="102" spans="1:24">
      <c r="A102" s="12">
        <v>1097</v>
      </c>
      <c r="B102" s="12">
        <v>1097</v>
      </c>
      <c r="C102" s="2" t="s">
        <v>1609</v>
      </c>
      <c r="D102" s="3" t="s">
        <v>1610</v>
      </c>
      <c r="E102" s="2" t="s">
        <v>1134</v>
      </c>
      <c r="F102" s="2" t="s">
        <v>1611</v>
      </c>
      <c r="G102" s="12" t="s">
        <v>1612</v>
      </c>
      <c r="H102" s="2" t="s">
        <v>248</v>
      </c>
      <c r="I102" s="2" t="s">
        <v>1268</v>
      </c>
      <c r="J102" s="2" t="s">
        <v>109</v>
      </c>
      <c r="K102" s="2" t="s">
        <v>226</v>
      </c>
      <c r="L102" s="2" t="s">
        <v>250</v>
      </c>
      <c r="M102" s="2" t="s">
        <v>1565</v>
      </c>
      <c r="N102" s="2" t="s">
        <v>1527</v>
      </c>
      <c r="O102" s="2" t="s">
        <v>78</v>
      </c>
      <c r="P102" s="2" t="s">
        <v>96</v>
      </c>
      <c r="Q102" s="6">
        <v>2281</v>
      </c>
      <c r="R102" s="13">
        <v>3.3719999999999999</v>
      </c>
      <c r="S102" s="6">
        <v>15275</v>
      </c>
      <c r="T102" s="6">
        <v>0</v>
      </c>
      <c r="U102" s="6">
        <v>1174.8820000000001</v>
      </c>
      <c r="V102" s="8">
        <v>9.5000000000000001E-7</v>
      </c>
      <c r="W102" s="8">
        <v>5.1999999999999995E-4</v>
      </c>
      <c r="X102" s="8">
        <v>3.0000000000000001E-5</v>
      </c>
    </row>
    <row r="103" spans="1:24">
      <c r="A103" s="12">
        <v>1097</v>
      </c>
      <c r="B103" s="12">
        <v>1097</v>
      </c>
      <c r="C103" s="2" t="s">
        <v>1613</v>
      </c>
      <c r="D103" s="3" t="s">
        <v>1614</v>
      </c>
      <c r="E103" s="2" t="s">
        <v>1134</v>
      </c>
      <c r="F103" s="2" t="s">
        <v>1615</v>
      </c>
      <c r="G103" s="12" t="s">
        <v>1616</v>
      </c>
      <c r="H103" s="2" t="s">
        <v>248</v>
      </c>
      <c r="I103" s="2" t="s">
        <v>1268</v>
      </c>
      <c r="J103" s="2" t="s">
        <v>109</v>
      </c>
      <c r="K103" s="2" t="s">
        <v>226</v>
      </c>
      <c r="L103" s="2" t="s">
        <v>250</v>
      </c>
      <c r="M103" s="2" t="s">
        <v>1565</v>
      </c>
      <c r="N103" s="2" t="s">
        <v>1167</v>
      </c>
      <c r="O103" s="2" t="s">
        <v>78</v>
      </c>
      <c r="P103" s="2" t="s">
        <v>96</v>
      </c>
      <c r="Q103" s="6">
        <v>11594</v>
      </c>
      <c r="R103" s="13">
        <v>3.3719999999999999</v>
      </c>
      <c r="S103" s="6">
        <v>28991</v>
      </c>
      <c r="T103" s="6">
        <v>0</v>
      </c>
      <c r="U103" s="6">
        <v>11334.022000000001</v>
      </c>
      <c r="V103" s="8">
        <v>4.1500000000000001E-6</v>
      </c>
      <c r="W103" s="8">
        <v>4.9699999999999996E-3</v>
      </c>
      <c r="X103" s="8">
        <v>2.7999999999999998E-4</v>
      </c>
    </row>
    <row r="104" spans="1:24">
      <c r="A104" s="12">
        <v>1097</v>
      </c>
      <c r="B104" s="12">
        <v>1097</v>
      </c>
      <c r="C104" s="2" t="s">
        <v>1617</v>
      </c>
      <c r="D104" s="3" t="s">
        <v>1618</v>
      </c>
      <c r="E104" s="2" t="s">
        <v>1134</v>
      </c>
      <c r="F104" s="2" t="s">
        <v>1619</v>
      </c>
      <c r="G104" s="12" t="s">
        <v>1620</v>
      </c>
      <c r="H104" s="2" t="s">
        <v>248</v>
      </c>
      <c r="I104" s="2" t="s">
        <v>1268</v>
      </c>
      <c r="J104" s="2" t="s">
        <v>109</v>
      </c>
      <c r="K104" s="2" t="s">
        <v>1564</v>
      </c>
      <c r="L104" s="2" t="s">
        <v>250</v>
      </c>
      <c r="M104" s="2" t="s">
        <v>1565</v>
      </c>
      <c r="N104" s="2" t="s">
        <v>1458</v>
      </c>
      <c r="O104" s="2" t="s">
        <v>78</v>
      </c>
      <c r="P104" s="2" t="s">
        <v>96</v>
      </c>
      <c r="Q104" s="6">
        <v>16892</v>
      </c>
      <c r="R104" s="13">
        <v>3.3719999999999999</v>
      </c>
      <c r="S104" s="6">
        <v>10562</v>
      </c>
      <c r="T104" s="6">
        <v>4.6900000000000004</v>
      </c>
      <c r="U104" s="6">
        <v>6031.9030000000002</v>
      </c>
      <c r="V104" s="8">
        <v>3.0000000000000001E-5</v>
      </c>
      <c r="W104" s="8">
        <v>2.65E-3</v>
      </c>
      <c r="X104" s="8">
        <v>1.4999999999999999E-4</v>
      </c>
    </row>
    <row r="105" spans="1:24">
      <c r="A105" s="12">
        <v>1097</v>
      </c>
      <c r="B105" s="12">
        <v>1097</v>
      </c>
      <c r="C105" s="2" t="s">
        <v>1621</v>
      </c>
      <c r="D105" s="3" t="s">
        <v>1622</v>
      </c>
      <c r="E105" s="2" t="s">
        <v>1134</v>
      </c>
      <c r="F105" s="2" t="s">
        <v>1621</v>
      </c>
      <c r="G105" s="12" t="s">
        <v>1623</v>
      </c>
      <c r="H105" s="2" t="s">
        <v>248</v>
      </c>
      <c r="I105" s="2" t="s">
        <v>1268</v>
      </c>
      <c r="J105" s="2" t="s">
        <v>109</v>
      </c>
      <c r="K105" s="2" t="s">
        <v>226</v>
      </c>
      <c r="L105" s="2" t="s">
        <v>250</v>
      </c>
      <c r="M105" s="2" t="s">
        <v>1565</v>
      </c>
      <c r="N105" s="2" t="s">
        <v>1261</v>
      </c>
      <c r="O105" s="2" t="s">
        <v>78</v>
      </c>
      <c r="P105" s="2" t="s">
        <v>96</v>
      </c>
      <c r="Q105" s="6">
        <v>3490</v>
      </c>
      <c r="R105" s="13">
        <v>3.3719999999999999</v>
      </c>
      <c r="S105" s="6">
        <v>56194</v>
      </c>
      <c r="T105" s="6">
        <v>0</v>
      </c>
      <c r="U105" s="6">
        <v>6613.067</v>
      </c>
      <c r="V105" s="8">
        <v>3.8600000000000003E-6</v>
      </c>
      <c r="W105" s="8">
        <v>2.8999999999999998E-3</v>
      </c>
      <c r="X105" s="8">
        <v>1.6000000000000001E-4</v>
      </c>
    </row>
    <row r="106" spans="1:24">
      <c r="A106" s="12">
        <v>1097</v>
      </c>
      <c r="B106" s="12">
        <v>1097</v>
      </c>
      <c r="C106" s="2" t="s">
        <v>1624</v>
      </c>
      <c r="D106" s="3" t="s">
        <v>1625</v>
      </c>
      <c r="E106" s="2" t="s">
        <v>1134</v>
      </c>
      <c r="F106" s="2" t="s">
        <v>1624</v>
      </c>
      <c r="G106" s="12" t="s">
        <v>1626</v>
      </c>
      <c r="H106" s="2" t="s">
        <v>248</v>
      </c>
      <c r="I106" s="2" t="s">
        <v>1268</v>
      </c>
      <c r="J106" s="2" t="s">
        <v>109</v>
      </c>
      <c r="K106" s="2" t="s">
        <v>226</v>
      </c>
      <c r="L106" s="2" t="s">
        <v>250</v>
      </c>
      <c r="M106" s="2" t="s">
        <v>1565</v>
      </c>
      <c r="N106" s="2" t="s">
        <v>1570</v>
      </c>
      <c r="O106" s="2" t="s">
        <v>78</v>
      </c>
      <c r="P106" s="2" t="s">
        <v>96</v>
      </c>
      <c r="Q106" s="6">
        <v>8773</v>
      </c>
      <c r="R106" s="13">
        <v>3.3719999999999999</v>
      </c>
      <c r="S106" s="6">
        <v>14086</v>
      </c>
      <c r="T106" s="6">
        <v>0</v>
      </c>
      <c r="U106" s="6">
        <v>4166.9989999999998</v>
      </c>
      <c r="V106" s="8">
        <v>1.0000000000000001E-5</v>
      </c>
      <c r="W106" s="8">
        <v>1.83E-3</v>
      </c>
      <c r="X106" s="8">
        <v>1E-4</v>
      </c>
    </row>
    <row r="107" spans="1:24">
      <c r="A107" s="12">
        <v>1097</v>
      </c>
      <c r="B107" s="12">
        <v>1097</v>
      </c>
      <c r="C107" s="2" t="s">
        <v>1627</v>
      </c>
      <c r="D107" s="3" t="s">
        <v>1628</v>
      </c>
      <c r="E107" s="2" t="s">
        <v>1134</v>
      </c>
      <c r="F107" s="2" t="s">
        <v>1629</v>
      </c>
      <c r="G107" s="12" t="s">
        <v>1630</v>
      </c>
      <c r="H107" s="2" t="s">
        <v>248</v>
      </c>
      <c r="I107" s="2" t="s">
        <v>1268</v>
      </c>
      <c r="J107" s="2" t="s">
        <v>109</v>
      </c>
      <c r="K107" s="2" t="s">
        <v>226</v>
      </c>
      <c r="L107" s="2" t="s">
        <v>250</v>
      </c>
      <c r="M107" s="2" t="s">
        <v>1565</v>
      </c>
      <c r="N107" s="2" t="s">
        <v>1631</v>
      </c>
      <c r="O107" s="2" t="s">
        <v>78</v>
      </c>
      <c r="P107" s="2" t="s">
        <v>96</v>
      </c>
      <c r="Q107" s="6">
        <v>1141</v>
      </c>
      <c r="R107" s="13">
        <v>3.3719999999999999</v>
      </c>
      <c r="S107" s="6">
        <v>6942</v>
      </c>
      <c r="T107" s="6">
        <v>0</v>
      </c>
      <c r="U107" s="6">
        <v>267.08999999999997</v>
      </c>
      <c r="V107" s="8">
        <v>5.5000000000000003E-7</v>
      </c>
      <c r="W107" s="8">
        <v>1.2E-4</v>
      </c>
      <c r="X107" s="8">
        <v>1.0000000000000001E-5</v>
      </c>
    </row>
    <row r="108" spans="1:24">
      <c r="A108" s="12">
        <v>1097</v>
      </c>
      <c r="B108" s="12">
        <v>1097</v>
      </c>
      <c r="C108" s="2" t="s">
        <v>1632</v>
      </c>
      <c r="D108" s="3" t="s">
        <v>1524</v>
      </c>
      <c r="E108" s="2" t="s">
        <v>1134</v>
      </c>
      <c r="F108" s="2" t="s">
        <v>1633</v>
      </c>
      <c r="G108" s="12" t="s">
        <v>1634</v>
      </c>
      <c r="H108" s="2" t="s">
        <v>248</v>
      </c>
      <c r="I108" s="2" t="s">
        <v>1268</v>
      </c>
      <c r="J108" s="2" t="s">
        <v>109</v>
      </c>
      <c r="K108" s="2" t="s">
        <v>226</v>
      </c>
      <c r="L108" s="2" t="s">
        <v>250</v>
      </c>
      <c r="M108" s="2" t="s">
        <v>1565</v>
      </c>
      <c r="N108" s="2" t="s">
        <v>1527</v>
      </c>
      <c r="O108" s="2" t="s">
        <v>78</v>
      </c>
      <c r="P108" s="2" t="s">
        <v>96</v>
      </c>
      <c r="Q108" s="6">
        <v>2780</v>
      </c>
      <c r="R108" s="13">
        <v>3.3719999999999999</v>
      </c>
      <c r="S108" s="6">
        <v>6902</v>
      </c>
      <c r="T108" s="6">
        <v>0</v>
      </c>
      <c r="U108" s="6">
        <v>647.005</v>
      </c>
      <c r="V108" s="8">
        <v>8.1999999999999998E-7</v>
      </c>
      <c r="W108" s="8">
        <v>2.7999999999999998E-4</v>
      </c>
      <c r="X108" s="8">
        <v>2.0000000000000002E-5</v>
      </c>
    </row>
    <row r="109" spans="1:24">
      <c r="A109" s="12">
        <v>1097</v>
      </c>
      <c r="B109" s="12">
        <v>1097</v>
      </c>
      <c r="C109" s="2" t="s">
        <v>1635</v>
      </c>
      <c r="D109" s="3" t="s">
        <v>1636</v>
      </c>
      <c r="E109" s="2" t="s">
        <v>1134</v>
      </c>
      <c r="F109" s="2" t="s">
        <v>1637</v>
      </c>
      <c r="G109" s="12" t="s">
        <v>1638</v>
      </c>
      <c r="H109" s="2" t="s">
        <v>248</v>
      </c>
      <c r="I109" s="2" t="s">
        <v>1268</v>
      </c>
      <c r="J109" s="2" t="s">
        <v>109</v>
      </c>
      <c r="K109" s="2" t="s">
        <v>226</v>
      </c>
      <c r="L109" s="2" t="s">
        <v>250</v>
      </c>
      <c r="M109" s="2" t="s">
        <v>1565</v>
      </c>
      <c r="N109" s="2" t="s">
        <v>1639</v>
      </c>
      <c r="O109" s="2" t="s">
        <v>78</v>
      </c>
      <c r="P109" s="2" t="s">
        <v>96</v>
      </c>
      <c r="Q109" s="6">
        <v>5269</v>
      </c>
      <c r="R109" s="13">
        <v>3.3719999999999999</v>
      </c>
      <c r="S109" s="6">
        <v>21863</v>
      </c>
      <c r="T109" s="6">
        <v>0</v>
      </c>
      <c r="U109" s="6">
        <v>3884.4140000000002</v>
      </c>
      <c r="V109" s="8">
        <v>1.88E-6</v>
      </c>
      <c r="W109" s="8">
        <v>1.6999999999999999E-3</v>
      </c>
      <c r="X109" s="8">
        <v>1E-4</v>
      </c>
    </row>
    <row r="110" spans="1:24">
      <c r="A110" s="12">
        <v>1097</v>
      </c>
      <c r="B110" s="12">
        <v>1097</v>
      </c>
      <c r="C110" s="2" t="s">
        <v>1640</v>
      </c>
      <c r="D110" s="3" t="s">
        <v>1641</v>
      </c>
      <c r="E110" s="2" t="s">
        <v>1134</v>
      </c>
      <c r="F110" s="2" t="s">
        <v>1640</v>
      </c>
      <c r="G110" s="12" t="s">
        <v>1642</v>
      </c>
      <c r="H110" s="2" t="s">
        <v>248</v>
      </c>
      <c r="I110" s="2" t="s">
        <v>1268</v>
      </c>
      <c r="J110" s="2" t="s">
        <v>109</v>
      </c>
      <c r="K110" s="2" t="s">
        <v>226</v>
      </c>
      <c r="L110" s="2" t="s">
        <v>250</v>
      </c>
      <c r="M110" s="2" t="s">
        <v>1565</v>
      </c>
      <c r="N110" s="2" t="s">
        <v>1492</v>
      </c>
      <c r="O110" s="2" t="s">
        <v>78</v>
      </c>
      <c r="P110" s="2" t="s">
        <v>96</v>
      </c>
      <c r="Q110" s="6">
        <v>721</v>
      </c>
      <c r="R110" s="13">
        <v>3.3719999999999999</v>
      </c>
      <c r="S110" s="6">
        <v>15932</v>
      </c>
      <c r="T110" s="6">
        <v>0</v>
      </c>
      <c r="U110" s="6">
        <v>387.34100000000001</v>
      </c>
      <c r="V110" s="8">
        <v>3.1E-7</v>
      </c>
      <c r="W110" s="8">
        <v>1.7000000000000001E-4</v>
      </c>
      <c r="X110" s="8">
        <v>1.0000000000000001E-5</v>
      </c>
    </row>
    <row r="111" spans="1:24">
      <c r="A111" s="12">
        <v>1097</v>
      </c>
      <c r="B111" s="12">
        <v>1097</v>
      </c>
      <c r="C111" s="2" t="s">
        <v>1643</v>
      </c>
      <c r="D111" s="3" t="s">
        <v>1644</v>
      </c>
      <c r="E111" s="2" t="s">
        <v>1134</v>
      </c>
      <c r="F111" s="2" t="s">
        <v>1645</v>
      </c>
      <c r="G111" s="12" t="s">
        <v>1646</v>
      </c>
      <c r="H111" s="2" t="s">
        <v>248</v>
      </c>
      <c r="I111" s="2" t="s">
        <v>1268</v>
      </c>
      <c r="J111" s="2" t="s">
        <v>109</v>
      </c>
      <c r="K111" s="2" t="s">
        <v>226</v>
      </c>
      <c r="L111" s="2" t="s">
        <v>250</v>
      </c>
      <c r="M111" s="2" t="s">
        <v>1565</v>
      </c>
      <c r="N111" s="2" t="s">
        <v>1458</v>
      </c>
      <c r="O111" s="2" t="s">
        <v>78</v>
      </c>
      <c r="P111" s="2" t="s">
        <v>96</v>
      </c>
      <c r="Q111" s="6">
        <v>6012</v>
      </c>
      <c r="R111" s="13">
        <v>3.3719999999999999</v>
      </c>
      <c r="S111" s="6">
        <v>37808</v>
      </c>
      <c r="T111" s="6">
        <v>0</v>
      </c>
      <c r="U111" s="6">
        <v>7664.6130000000003</v>
      </c>
      <c r="V111" s="8">
        <v>4.0000000000000003E-5</v>
      </c>
      <c r="W111" s="8">
        <v>3.3600000000000001E-3</v>
      </c>
      <c r="X111" s="8">
        <v>1.9000000000000001E-4</v>
      </c>
    </row>
    <row r="112" spans="1:24">
      <c r="A112" s="12">
        <v>1097</v>
      </c>
      <c r="B112" s="12">
        <v>1097</v>
      </c>
      <c r="C112" s="2" t="s">
        <v>1647</v>
      </c>
      <c r="D112" s="3" t="s">
        <v>1648</v>
      </c>
      <c r="E112" s="2" t="s">
        <v>1134</v>
      </c>
      <c r="F112" s="2" t="s">
        <v>1649</v>
      </c>
      <c r="G112" s="12" t="s">
        <v>1650</v>
      </c>
      <c r="H112" s="2" t="s">
        <v>248</v>
      </c>
      <c r="I112" s="2" t="s">
        <v>1268</v>
      </c>
      <c r="J112" s="2" t="s">
        <v>109</v>
      </c>
      <c r="K112" s="2" t="s">
        <v>226</v>
      </c>
      <c r="L112" s="2" t="s">
        <v>250</v>
      </c>
      <c r="M112" s="2" t="s">
        <v>1565</v>
      </c>
      <c r="N112" s="2" t="s">
        <v>1651</v>
      </c>
      <c r="O112" s="2" t="s">
        <v>78</v>
      </c>
      <c r="P112" s="2" t="s">
        <v>96</v>
      </c>
      <c r="Q112" s="6">
        <v>2588</v>
      </c>
      <c r="R112" s="13">
        <v>3.3719999999999999</v>
      </c>
      <c r="S112" s="6">
        <v>52729</v>
      </c>
      <c r="T112" s="6">
        <v>0</v>
      </c>
      <c r="U112" s="6">
        <v>4601.5209999999997</v>
      </c>
      <c r="V112" s="8">
        <v>1.0000000000000001E-5</v>
      </c>
      <c r="W112" s="8">
        <v>2.0200000000000001E-3</v>
      </c>
      <c r="X112" s="8">
        <v>1.1E-4</v>
      </c>
    </row>
    <row r="113" spans="1:24">
      <c r="A113" s="12">
        <v>1097</v>
      </c>
      <c r="B113" s="12">
        <v>1097</v>
      </c>
      <c r="C113" s="2" t="s">
        <v>1652</v>
      </c>
      <c r="D113" s="3" t="s">
        <v>1653</v>
      </c>
      <c r="E113" s="2" t="s">
        <v>1134</v>
      </c>
      <c r="F113" s="2" t="s">
        <v>1654</v>
      </c>
      <c r="G113" s="12" t="s">
        <v>1655</v>
      </c>
      <c r="H113" s="2" t="s">
        <v>248</v>
      </c>
      <c r="I113" s="2" t="s">
        <v>1268</v>
      </c>
      <c r="J113" s="2" t="s">
        <v>109</v>
      </c>
      <c r="K113" s="2" t="s">
        <v>226</v>
      </c>
      <c r="L113" s="2" t="s">
        <v>250</v>
      </c>
      <c r="M113" s="2" t="s">
        <v>1565</v>
      </c>
      <c r="N113" s="2" t="s">
        <v>1656</v>
      </c>
      <c r="O113" s="2" t="s">
        <v>78</v>
      </c>
      <c r="P113" s="2" t="s">
        <v>96</v>
      </c>
      <c r="Q113" s="6">
        <v>1511</v>
      </c>
      <c r="R113" s="13">
        <v>3.3719999999999999</v>
      </c>
      <c r="S113" s="6">
        <v>27269</v>
      </c>
      <c r="T113" s="6">
        <v>0.47</v>
      </c>
      <c r="U113" s="6">
        <v>1390.97</v>
      </c>
      <c r="V113" s="8">
        <v>1.57E-6</v>
      </c>
      <c r="W113" s="8">
        <v>6.0999999999999997E-4</v>
      </c>
      <c r="X113" s="8">
        <v>3.0000000000000001E-5</v>
      </c>
    </row>
    <row r="114" spans="1:24">
      <c r="A114" s="12">
        <v>1097</v>
      </c>
      <c r="B114" s="12">
        <v>1097</v>
      </c>
      <c r="C114" s="2" t="s">
        <v>1657</v>
      </c>
      <c r="D114" s="3" t="s">
        <v>1658</v>
      </c>
      <c r="E114" s="2" t="s">
        <v>1134</v>
      </c>
      <c r="F114" s="2" t="s">
        <v>1657</v>
      </c>
      <c r="G114" s="12" t="s">
        <v>1659</v>
      </c>
      <c r="H114" s="2" t="s">
        <v>248</v>
      </c>
      <c r="I114" s="2" t="s">
        <v>1268</v>
      </c>
      <c r="J114" s="2" t="s">
        <v>109</v>
      </c>
      <c r="K114" s="2" t="s">
        <v>1660</v>
      </c>
      <c r="L114" s="2" t="s">
        <v>250</v>
      </c>
      <c r="M114" s="2" t="s">
        <v>1565</v>
      </c>
      <c r="N114" s="2" t="s">
        <v>1247</v>
      </c>
      <c r="O114" s="2" t="s">
        <v>78</v>
      </c>
      <c r="P114" s="2" t="s">
        <v>96</v>
      </c>
      <c r="Q114" s="6">
        <v>2606</v>
      </c>
      <c r="R114" s="13">
        <v>3.3719999999999999</v>
      </c>
      <c r="S114" s="6">
        <v>76734</v>
      </c>
      <c r="T114" s="6">
        <v>0</v>
      </c>
      <c r="U114" s="6">
        <v>6742.9480000000003</v>
      </c>
      <c r="V114" s="8">
        <v>1.0000000000000001E-5</v>
      </c>
      <c r="W114" s="8">
        <v>2.96E-3</v>
      </c>
      <c r="X114" s="8">
        <v>1.7000000000000001E-4</v>
      </c>
    </row>
    <row r="115" spans="1:24">
      <c r="A115" s="12">
        <v>1097</v>
      </c>
      <c r="B115" s="12">
        <v>1097</v>
      </c>
      <c r="C115" s="2" t="s">
        <v>1661</v>
      </c>
      <c r="D115" s="3" t="s">
        <v>1662</v>
      </c>
      <c r="E115" s="2" t="s">
        <v>1134</v>
      </c>
      <c r="F115" s="2" t="s">
        <v>1661</v>
      </c>
      <c r="G115" s="12" t="s">
        <v>1663</v>
      </c>
      <c r="H115" s="2" t="s">
        <v>248</v>
      </c>
      <c r="I115" s="2" t="s">
        <v>1268</v>
      </c>
      <c r="J115" s="2" t="s">
        <v>109</v>
      </c>
      <c r="K115" s="2" t="s">
        <v>226</v>
      </c>
      <c r="L115" s="2" t="s">
        <v>250</v>
      </c>
      <c r="M115" s="2" t="s">
        <v>1565</v>
      </c>
      <c r="N115" s="2" t="s">
        <v>1664</v>
      </c>
      <c r="O115" s="2" t="s">
        <v>78</v>
      </c>
      <c r="P115" s="2" t="s">
        <v>96</v>
      </c>
      <c r="Q115" s="6">
        <v>17023</v>
      </c>
      <c r="R115" s="13">
        <v>3.3719999999999999</v>
      </c>
      <c r="S115" s="6">
        <v>22649</v>
      </c>
      <c r="T115" s="6">
        <v>9.2200000000000006</v>
      </c>
      <c r="U115" s="6">
        <v>13031.962</v>
      </c>
      <c r="V115" s="8">
        <v>3.2799999999999999E-6</v>
      </c>
      <c r="W115" s="8">
        <v>5.7200000000000003E-3</v>
      </c>
      <c r="X115" s="8">
        <v>3.2000000000000003E-4</v>
      </c>
    </row>
    <row r="116" spans="1:24">
      <c r="A116" s="12">
        <v>1097</v>
      </c>
      <c r="B116" s="12">
        <v>1097</v>
      </c>
      <c r="C116" s="2" t="s">
        <v>1665</v>
      </c>
      <c r="D116" s="3" t="s">
        <v>1666</v>
      </c>
      <c r="E116" s="2" t="s">
        <v>1134</v>
      </c>
      <c r="F116" s="2" t="s">
        <v>1667</v>
      </c>
      <c r="G116" s="12" t="s">
        <v>1668</v>
      </c>
      <c r="H116" s="2" t="s">
        <v>248</v>
      </c>
      <c r="I116" s="2" t="s">
        <v>1268</v>
      </c>
      <c r="J116" s="2" t="s">
        <v>109</v>
      </c>
      <c r="K116" s="2" t="s">
        <v>226</v>
      </c>
      <c r="L116" s="2" t="s">
        <v>250</v>
      </c>
      <c r="M116" s="2" t="s">
        <v>1565</v>
      </c>
      <c r="N116" s="2" t="s">
        <v>1527</v>
      </c>
      <c r="O116" s="2" t="s">
        <v>78</v>
      </c>
      <c r="P116" s="2" t="s">
        <v>96</v>
      </c>
      <c r="Q116" s="6">
        <v>2986</v>
      </c>
      <c r="R116" s="13">
        <v>3.3719999999999999</v>
      </c>
      <c r="S116" s="6">
        <v>40546</v>
      </c>
      <c r="T116" s="6">
        <v>0.96</v>
      </c>
      <c r="U116" s="6">
        <v>4085.74</v>
      </c>
      <c r="V116" s="8">
        <v>1.0000000000000001E-5</v>
      </c>
      <c r="W116" s="8">
        <v>1.7899999999999999E-3</v>
      </c>
      <c r="X116" s="8">
        <v>1E-4</v>
      </c>
    </row>
    <row r="117" spans="1:24">
      <c r="A117" s="12">
        <v>1097</v>
      </c>
      <c r="B117" s="12">
        <v>1097</v>
      </c>
      <c r="C117" s="2" t="s">
        <v>1669</v>
      </c>
      <c r="D117" s="3" t="s">
        <v>1670</v>
      </c>
      <c r="E117" s="2" t="s">
        <v>1134</v>
      </c>
      <c r="F117" s="2" t="s">
        <v>1671</v>
      </c>
      <c r="G117" s="12" t="s">
        <v>1672</v>
      </c>
      <c r="H117" s="2" t="s">
        <v>248</v>
      </c>
      <c r="I117" s="2" t="s">
        <v>1268</v>
      </c>
      <c r="J117" s="2" t="s">
        <v>109</v>
      </c>
      <c r="K117" s="2" t="s">
        <v>226</v>
      </c>
      <c r="L117" s="2" t="s">
        <v>250</v>
      </c>
      <c r="M117" s="2" t="s">
        <v>1565</v>
      </c>
      <c r="N117" s="2" t="s">
        <v>1458</v>
      </c>
      <c r="O117" s="2" t="s">
        <v>78</v>
      </c>
      <c r="P117" s="2" t="s">
        <v>96</v>
      </c>
      <c r="Q117" s="6">
        <v>1868</v>
      </c>
      <c r="R117" s="13">
        <v>3.3719999999999999</v>
      </c>
      <c r="S117" s="6">
        <v>75340</v>
      </c>
      <c r="T117" s="6">
        <v>0</v>
      </c>
      <c r="U117" s="6">
        <v>4745.5879999999997</v>
      </c>
      <c r="V117" s="8">
        <v>3.0000000000000001E-5</v>
      </c>
      <c r="W117" s="8">
        <v>2.0799999999999998E-3</v>
      </c>
      <c r="X117" s="8">
        <v>1.2E-4</v>
      </c>
    </row>
    <row r="118" spans="1:24">
      <c r="A118" s="12">
        <v>1097</v>
      </c>
      <c r="B118" s="12">
        <v>1097</v>
      </c>
      <c r="C118" s="2" t="s">
        <v>1673</v>
      </c>
      <c r="D118" s="3" t="s">
        <v>1674</v>
      </c>
      <c r="E118" s="2" t="s">
        <v>1134</v>
      </c>
      <c r="F118" s="2" t="s">
        <v>1675</v>
      </c>
      <c r="G118" s="12" t="s">
        <v>1676</v>
      </c>
      <c r="H118" s="2" t="s">
        <v>248</v>
      </c>
      <c r="I118" s="2" t="s">
        <v>1268</v>
      </c>
      <c r="J118" s="2" t="s">
        <v>109</v>
      </c>
      <c r="K118" s="2" t="s">
        <v>226</v>
      </c>
      <c r="L118" s="2" t="s">
        <v>250</v>
      </c>
      <c r="M118" s="2" t="s">
        <v>1565</v>
      </c>
      <c r="N118" s="2" t="s">
        <v>1677</v>
      </c>
      <c r="O118" s="2" t="s">
        <v>78</v>
      </c>
      <c r="P118" s="2" t="s">
        <v>96</v>
      </c>
      <c r="Q118" s="6">
        <v>591</v>
      </c>
      <c r="R118" s="13">
        <v>3.3719999999999999</v>
      </c>
      <c r="S118" s="6">
        <v>31197</v>
      </c>
      <c r="T118" s="6">
        <v>0</v>
      </c>
      <c r="U118" s="6">
        <v>621.71</v>
      </c>
      <c r="V118" s="8">
        <v>6.5000000000000002E-7</v>
      </c>
      <c r="W118" s="8">
        <v>2.7E-4</v>
      </c>
      <c r="X118" s="8">
        <v>2.0000000000000002E-5</v>
      </c>
    </row>
    <row r="119" spans="1:24">
      <c r="A119" s="12">
        <v>1097</v>
      </c>
      <c r="B119" s="12">
        <v>1097</v>
      </c>
      <c r="C119" s="2" t="s">
        <v>1678</v>
      </c>
      <c r="D119" s="3" t="s">
        <v>1679</v>
      </c>
      <c r="E119" s="2" t="s">
        <v>1134</v>
      </c>
      <c r="F119" s="2" t="s">
        <v>1680</v>
      </c>
      <c r="G119" s="12" t="s">
        <v>1681</v>
      </c>
      <c r="H119" s="2" t="s">
        <v>248</v>
      </c>
      <c r="I119" s="2" t="s">
        <v>1268</v>
      </c>
      <c r="J119" s="2" t="s">
        <v>109</v>
      </c>
      <c r="K119" s="2" t="s">
        <v>226</v>
      </c>
      <c r="L119" s="2" t="s">
        <v>250</v>
      </c>
      <c r="M119" s="2" t="s">
        <v>1565</v>
      </c>
      <c r="N119" s="2" t="s">
        <v>1570</v>
      </c>
      <c r="O119" s="2" t="s">
        <v>78</v>
      </c>
      <c r="P119" s="2" t="s">
        <v>96</v>
      </c>
      <c r="Q119" s="6">
        <v>7324</v>
      </c>
      <c r="R119" s="13">
        <v>3.3719999999999999</v>
      </c>
      <c r="S119" s="6">
        <v>35505</v>
      </c>
      <c r="T119" s="6">
        <v>0</v>
      </c>
      <c r="U119" s="6">
        <v>8768.5020000000004</v>
      </c>
      <c r="V119" s="8">
        <v>4.25E-6</v>
      </c>
      <c r="W119" s="8">
        <v>3.8500000000000001E-3</v>
      </c>
      <c r="X119" s="8">
        <v>2.2000000000000001E-4</v>
      </c>
    </row>
    <row r="120" spans="1:24">
      <c r="A120" s="12">
        <v>1097</v>
      </c>
      <c r="B120" s="12">
        <v>1097</v>
      </c>
      <c r="C120" s="2" t="s">
        <v>1682</v>
      </c>
      <c r="D120" s="3" t="s">
        <v>1683</v>
      </c>
      <c r="E120" s="2" t="s">
        <v>1134</v>
      </c>
      <c r="F120" s="2" t="s">
        <v>1684</v>
      </c>
      <c r="G120" s="12" t="s">
        <v>1685</v>
      </c>
      <c r="H120" s="2" t="s">
        <v>248</v>
      </c>
      <c r="I120" s="2" t="s">
        <v>1268</v>
      </c>
      <c r="J120" s="2" t="s">
        <v>109</v>
      </c>
      <c r="K120" s="2" t="s">
        <v>226</v>
      </c>
      <c r="L120" s="2" t="s">
        <v>250</v>
      </c>
      <c r="M120" s="2" t="s">
        <v>1565</v>
      </c>
      <c r="N120" s="2" t="s">
        <v>1453</v>
      </c>
      <c r="O120" s="2" t="s">
        <v>78</v>
      </c>
      <c r="P120" s="2" t="s">
        <v>96</v>
      </c>
      <c r="Q120" s="6">
        <v>2381</v>
      </c>
      <c r="R120" s="13">
        <v>3.3719999999999999</v>
      </c>
      <c r="S120" s="6">
        <v>28798</v>
      </c>
      <c r="T120" s="6">
        <v>0</v>
      </c>
      <c r="U120" s="6">
        <v>2312.114</v>
      </c>
      <c r="V120" s="8">
        <v>1.0000000000000001E-5</v>
      </c>
      <c r="W120" s="8">
        <v>1.01E-3</v>
      </c>
      <c r="X120" s="8">
        <v>6.0000000000000002E-5</v>
      </c>
    </row>
    <row r="121" spans="1:24">
      <c r="A121" s="12">
        <v>1097</v>
      </c>
      <c r="B121" s="12">
        <v>1097</v>
      </c>
      <c r="C121" s="2" t="s">
        <v>1686</v>
      </c>
      <c r="D121" s="3" t="s">
        <v>1687</v>
      </c>
      <c r="E121" s="2" t="s">
        <v>1134</v>
      </c>
      <c r="F121" s="2" t="s">
        <v>1688</v>
      </c>
      <c r="G121" s="12" t="s">
        <v>1689</v>
      </c>
      <c r="H121" s="2" t="s">
        <v>248</v>
      </c>
      <c r="I121" s="2" t="s">
        <v>1268</v>
      </c>
      <c r="J121" s="2" t="s">
        <v>109</v>
      </c>
      <c r="K121" s="2" t="s">
        <v>226</v>
      </c>
      <c r="L121" s="2" t="s">
        <v>250</v>
      </c>
      <c r="M121" s="2" t="s">
        <v>1565</v>
      </c>
      <c r="N121" s="2" t="s">
        <v>1458</v>
      </c>
      <c r="O121" s="2" t="s">
        <v>78</v>
      </c>
      <c r="P121" s="2" t="s">
        <v>96</v>
      </c>
      <c r="Q121" s="6">
        <v>4131</v>
      </c>
      <c r="R121" s="13">
        <v>3.3719999999999999</v>
      </c>
      <c r="S121" s="6">
        <v>12841</v>
      </c>
      <c r="T121" s="6">
        <v>0</v>
      </c>
      <c r="U121" s="6">
        <v>1788.7170000000001</v>
      </c>
      <c r="V121" s="8">
        <v>1.0000000000000001E-5</v>
      </c>
      <c r="W121" s="8">
        <v>7.7999999999999999E-4</v>
      </c>
      <c r="X121" s="8">
        <v>4.0000000000000003E-5</v>
      </c>
    </row>
    <row r="122" spans="1:24">
      <c r="A122" s="12">
        <v>1097</v>
      </c>
      <c r="B122" s="12">
        <v>1097</v>
      </c>
      <c r="C122" s="2" t="s">
        <v>1690</v>
      </c>
      <c r="D122" s="3" t="s">
        <v>1691</v>
      </c>
      <c r="E122" s="2" t="s">
        <v>1134</v>
      </c>
      <c r="F122" s="2" t="s">
        <v>1692</v>
      </c>
      <c r="G122" s="12" t="s">
        <v>1693</v>
      </c>
      <c r="H122" s="2" t="s">
        <v>248</v>
      </c>
      <c r="I122" s="2" t="s">
        <v>1268</v>
      </c>
      <c r="J122" s="2" t="s">
        <v>109</v>
      </c>
      <c r="K122" s="2" t="s">
        <v>226</v>
      </c>
      <c r="L122" s="2" t="s">
        <v>250</v>
      </c>
      <c r="M122" s="2" t="s">
        <v>1694</v>
      </c>
      <c r="N122" s="2" t="s">
        <v>1656</v>
      </c>
      <c r="O122" s="2" t="s">
        <v>78</v>
      </c>
      <c r="P122" s="2" t="s">
        <v>96</v>
      </c>
      <c r="Q122" s="6">
        <v>2278</v>
      </c>
      <c r="R122" s="13">
        <v>3.3719999999999999</v>
      </c>
      <c r="S122" s="6">
        <v>38688</v>
      </c>
      <c r="T122" s="6">
        <v>0</v>
      </c>
      <c r="U122" s="6">
        <v>2971.7860000000001</v>
      </c>
      <c r="V122" s="8">
        <v>1.0000000000000001E-5</v>
      </c>
      <c r="W122" s="8">
        <v>1.2999999999999999E-3</v>
      </c>
      <c r="X122" s="8">
        <v>6.9999999999999994E-5</v>
      </c>
    </row>
    <row r="123" spans="1:24">
      <c r="A123" s="12">
        <v>1097</v>
      </c>
      <c r="B123" s="12">
        <v>1097</v>
      </c>
      <c r="C123" s="2" t="s">
        <v>1695</v>
      </c>
      <c r="D123" s="3" t="s">
        <v>1696</v>
      </c>
      <c r="E123" s="2" t="s">
        <v>1134</v>
      </c>
      <c r="F123" s="2" t="s">
        <v>1697</v>
      </c>
      <c r="G123" s="12" t="s">
        <v>1698</v>
      </c>
      <c r="H123" s="2" t="s">
        <v>248</v>
      </c>
      <c r="I123" s="2" t="s">
        <v>1268</v>
      </c>
      <c r="J123" s="2" t="s">
        <v>109</v>
      </c>
      <c r="K123" s="2" t="s">
        <v>226</v>
      </c>
      <c r="L123" s="2" t="s">
        <v>250</v>
      </c>
      <c r="M123" s="2" t="s">
        <v>1694</v>
      </c>
      <c r="N123" s="2" t="s">
        <v>1699</v>
      </c>
      <c r="O123" s="2" t="s">
        <v>78</v>
      </c>
      <c r="P123" s="2" t="s">
        <v>96</v>
      </c>
      <c r="Q123" s="6">
        <v>48936</v>
      </c>
      <c r="R123" s="13">
        <v>3.3719999999999999</v>
      </c>
      <c r="S123" s="6">
        <v>17623</v>
      </c>
      <c r="T123" s="6">
        <v>0</v>
      </c>
      <c r="U123" s="6">
        <v>29080.098999999998</v>
      </c>
      <c r="V123" s="8">
        <v>1.0000000000000001E-5</v>
      </c>
      <c r="W123" s="8">
        <v>1.2760000000000001E-2</v>
      </c>
      <c r="X123" s="8">
        <v>7.2000000000000005E-4</v>
      </c>
    </row>
    <row r="124" spans="1:24">
      <c r="A124" s="12">
        <v>1097</v>
      </c>
      <c r="B124" s="12">
        <v>1097</v>
      </c>
      <c r="C124" s="2" t="s">
        <v>1695</v>
      </c>
      <c r="D124" s="3" t="s">
        <v>1696</v>
      </c>
      <c r="E124" s="2" t="s">
        <v>1134</v>
      </c>
      <c r="F124" s="2" t="s">
        <v>1697</v>
      </c>
      <c r="G124" s="12" t="s">
        <v>1700</v>
      </c>
      <c r="H124" s="2" t="s">
        <v>248</v>
      </c>
      <c r="I124" s="2" t="s">
        <v>1268</v>
      </c>
      <c r="J124" s="2" t="s">
        <v>109</v>
      </c>
      <c r="K124" s="2" t="s">
        <v>226</v>
      </c>
      <c r="L124" s="2" t="s">
        <v>250</v>
      </c>
      <c r="M124" s="2" t="s">
        <v>1694</v>
      </c>
      <c r="N124" s="2" t="s">
        <v>1699</v>
      </c>
      <c r="O124" s="2" t="s">
        <v>78</v>
      </c>
      <c r="P124" s="2" t="s">
        <v>96</v>
      </c>
      <c r="Q124" s="6">
        <v>7326</v>
      </c>
      <c r="R124" s="13">
        <v>3.3719999999999999</v>
      </c>
      <c r="S124" s="6">
        <v>17739</v>
      </c>
      <c r="T124" s="6">
        <v>0</v>
      </c>
      <c r="U124" s="6">
        <v>4382.1130000000003</v>
      </c>
      <c r="V124" s="8">
        <v>1.26E-6</v>
      </c>
      <c r="W124" s="8">
        <v>1.92E-3</v>
      </c>
      <c r="X124" s="8">
        <v>1.1E-4</v>
      </c>
    </row>
    <row r="125" spans="1:24">
      <c r="A125" s="12">
        <v>1097</v>
      </c>
      <c r="B125" s="12">
        <v>1097</v>
      </c>
      <c r="C125" s="2" t="s">
        <v>1701</v>
      </c>
      <c r="D125" s="3" t="s">
        <v>1702</v>
      </c>
      <c r="E125" s="2" t="s">
        <v>1134</v>
      </c>
      <c r="F125" s="2" t="s">
        <v>1703</v>
      </c>
      <c r="G125" s="12" t="s">
        <v>1704</v>
      </c>
      <c r="H125" s="2" t="s">
        <v>248</v>
      </c>
      <c r="I125" s="2" t="s">
        <v>1268</v>
      </c>
      <c r="J125" s="2" t="s">
        <v>109</v>
      </c>
      <c r="K125" s="2" t="s">
        <v>226</v>
      </c>
      <c r="L125" s="2" t="s">
        <v>250</v>
      </c>
      <c r="M125" s="2" t="s">
        <v>1694</v>
      </c>
      <c r="N125" s="2" t="s">
        <v>1608</v>
      </c>
      <c r="O125" s="2" t="s">
        <v>78</v>
      </c>
      <c r="P125" s="2" t="s">
        <v>96</v>
      </c>
      <c r="Q125" s="6">
        <v>58044</v>
      </c>
      <c r="R125" s="13">
        <v>3.3719999999999999</v>
      </c>
      <c r="S125" s="6">
        <v>21939</v>
      </c>
      <c r="T125" s="6">
        <v>0</v>
      </c>
      <c r="U125" s="6">
        <v>42939.968999999997</v>
      </c>
      <c r="V125" s="8">
        <v>1.0000000000000001E-5</v>
      </c>
      <c r="W125" s="8">
        <v>1.8839999999999999E-2</v>
      </c>
      <c r="X125" s="8">
        <v>1.07E-3</v>
      </c>
    </row>
    <row r="126" spans="1:24">
      <c r="A126" s="12">
        <v>1097</v>
      </c>
      <c r="B126" s="12">
        <v>1097</v>
      </c>
      <c r="C126" s="2" t="s">
        <v>1705</v>
      </c>
      <c r="D126" s="3" t="s">
        <v>1706</v>
      </c>
      <c r="E126" s="2" t="s">
        <v>1134</v>
      </c>
      <c r="F126" s="2" t="s">
        <v>1707</v>
      </c>
      <c r="G126" s="12" t="s">
        <v>1708</v>
      </c>
      <c r="H126" s="2" t="s">
        <v>248</v>
      </c>
      <c r="I126" s="2" t="s">
        <v>1268</v>
      </c>
      <c r="J126" s="2" t="s">
        <v>109</v>
      </c>
      <c r="K126" s="2" t="s">
        <v>226</v>
      </c>
      <c r="L126" s="2" t="s">
        <v>250</v>
      </c>
      <c r="M126" s="2" t="s">
        <v>1694</v>
      </c>
      <c r="N126" s="2" t="s">
        <v>1589</v>
      </c>
      <c r="O126" s="2" t="s">
        <v>78</v>
      </c>
      <c r="P126" s="2" t="s">
        <v>96</v>
      </c>
      <c r="Q126" s="6">
        <v>8846</v>
      </c>
      <c r="R126" s="13">
        <v>3.3719999999999999</v>
      </c>
      <c r="S126" s="6">
        <v>20517</v>
      </c>
      <c r="T126" s="6">
        <v>0</v>
      </c>
      <c r="U126" s="6">
        <v>6119.9570000000003</v>
      </c>
      <c r="V126" s="8">
        <v>5.8999999999999996E-7</v>
      </c>
      <c r="W126" s="8">
        <v>2.6900000000000001E-3</v>
      </c>
      <c r="X126" s="8">
        <v>1.4999999999999999E-4</v>
      </c>
    </row>
    <row r="127" spans="1:24">
      <c r="A127" s="12">
        <v>1097</v>
      </c>
      <c r="B127" s="12">
        <v>1097</v>
      </c>
      <c r="C127" s="2" t="s">
        <v>1709</v>
      </c>
      <c r="D127" s="3" t="s">
        <v>1710</v>
      </c>
      <c r="E127" s="2" t="s">
        <v>1134</v>
      </c>
      <c r="F127" s="2" t="s">
        <v>1709</v>
      </c>
      <c r="G127" s="12" t="s">
        <v>1711</v>
      </c>
      <c r="H127" s="2" t="s">
        <v>248</v>
      </c>
      <c r="I127" s="2" t="s">
        <v>1268</v>
      </c>
      <c r="J127" s="2" t="s">
        <v>109</v>
      </c>
      <c r="K127" s="2" t="s">
        <v>1213</v>
      </c>
      <c r="L127" s="2" t="s">
        <v>250</v>
      </c>
      <c r="M127" s="2" t="s">
        <v>1694</v>
      </c>
      <c r="N127" s="2" t="s">
        <v>1664</v>
      </c>
      <c r="O127" s="2" t="s">
        <v>78</v>
      </c>
      <c r="P127" s="2" t="s">
        <v>100</v>
      </c>
      <c r="Q127" s="6">
        <v>10000</v>
      </c>
      <c r="R127" s="13">
        <v>4.6239999999999997</v>
      </c>
      <c r="S127" s="6">
        <v>16174</v>
      </c>
      <c r="T127" s="6">
        <v>0</v>
      </c>
      <c r="U127" s="6">
        <v>7478.2110000000002</v>
      </c>
      <c r="V127" s="8">
        <v>1.0000000000000001E-5</v>
      </c>
      <c r="W127" s="8">
        <v>3.2799999999999999E-3</v>
      </c>
      <c r="X127" s="8">
        <v>1.9000000000000001E-4</v>
      </c>
    </row>
    <row r="128" spans="1:24">
      <c r="A128" s="12">
        <v>1097</v>
      </c>
      <c r="B128" s="12">
        <v>1097</v>
      </c>
      <c r="C128" s="2" t="s">
        <v>1712</v>
      </c>
      <c r="D128" s="3" t="s">
        <v>1713</v>
      </c>
      <c r="E128" s="2" t="s">
        <v>1134</v>
      </c>
      <c r="F128" s="2" t="s">
        <v>1714</v>
      </c>
      <c r="G128" s="12" t="s">
        <v>1715</v>
      </c>
      <c r="H128" s="2" t="s">
        <v>248</v>
      </c>
      <c r="I128" s="2" t="s">
        <v>1268</v>
      </c>
      <c r="J128" s="2" t="s">
        <v>109</v>
      </c>
      <c r="K128" s="2" t="s">
        <v>226</v>
      </c>
      <c r="L128" s="2" t="s">
        <v>250</v>
      </c>
      <c r="M128" s="2" t="s">
        <v>1694</v>
      </c>
      <c r="N128" s="2" t="s">
        <v>1664</v>
      </c>
      <c r="O128" s="2" t="s">
        <v>78</v>
      </c>
      <c r="P128" s="2" t="s">
        <v>96</v>
      </c>
      <c r="Q128" s="6">
        <v>41889</v>
      </c>
      <c r="R128" s="13">
        <v>3.3719999999999999</v>
      </c>
      <c r="S128" s="6">
        <v>27565</v>
      </c>
      <c r="T128" s="6">
        <v>4.7300000000000004</v>
      </c>
      <c r="U128" s="6">
        <v>38951.430999999997</v>
      </c>
      <c r="V128" s="8">
        <v>1.0000000000000001E-5</v>
      </c>
      <c r="W128" s="8">
        <v>1.7090000000000001E-2</v>
      </c>
      <c r="X128" s="8">
        <v>9.7000000000000005E-4</v>
      </c>
    </row>
    <row r="129" spans="1:24">
      <c r="A129" s="12">
        <v>1097</v>
      </c>
      <c r="B129" s="12">
        <v>1097</v>
      </c>
      <c r="C129" s="2" t="s">
        <v>1716</v>
      </c>
      <c r="D129" s="3" t="s">
        <v>1717</v>
      </c>
      <c r="E129" s="2" t="s">
        <v>1134</v>
      </c>
      <c r="F129" s="2" t="s">
        <v>1718</v>
      </c>
      <c r="G129" s="12" t="s">
        <v>1719</v>
      </c>
      <c r="H129" s="2" t="s">
        <v>248</v>
      </c>
      <c r="I129" s="2" t="s">
        <v>1268</v>
      </c>
      <c r="J129" s="2" t="s">
        <v>109</v>
      </c>
      <c r="K129" s="2" t="s">
        <v>226</v>
      </c>
      <c r="L129" s="2" t="s">
        <v>250</v>
      </c>
      <c r="M129" s="2" t="s">
        <v>1694</v>
      </c>
      <c r="N129" s="2" t="s">
        <v>1656</v>
      </c>
      <c r="O129" s="2" t="s">
        <v>78</v>
      </c>
      <c r="P129" s="2" t="s">
        <v>96</v>
      </c>
      <c r="Q129" s="6">
        <v>3659</v>
      </c>
      <c r="R129" s="13">
        <v>3.3719999999999999</v>
      </c>
      <c r="S129" s="6">
        <v>30815</v>
      </c>
      <c r="T129" s="6">
        <v>0</v>
      </c>
      <c r="U129" s="6">
        <v>3802</v>
      </c>
      <c r="V129" s="8">
        <v>1.0000000000000001E-5</v>
      </c>
      <c r="W129" s="8">
        <v>1.67E-3</v>
      </c>
      <c r="X129" s="8">
        <v>9.0000000000000006E-5</v>
      </c>
    </row>
    <row r="130" spans="1:24">
      <c r="A130" s="12">
        <v>1097</v>
      </c>
      <c r="B130" s="12">
        <v>1097</v>
      </c>
      <c r="C130" s="2" t="s">
        <v>1720</v>
      </c>
      <c r="D130" s="3" t="s">
        <v>1721</v>
      </c>
      <c r="E130" s="2" t="s">
        <v>1134</v>
      </c>
      <c r="F130" s="2" t="s">
        <v>1722</v>
      </c>
      <c r="G130" s="12" t="s">
        <v>1723</v>
      </c>
      <c r="H130" s="2" t="s">
        <v>248</v>
      </c>
      <c r="I130" s="2" t="s">
        <v>1268</v>
      </c>
      <c r="J130" s="2" t="s">
        <v>109</v>
      </c>
      <c r="K130" s="2" t="s">
        <v>226</v>
      </c>
      <c r="L130" s="2" t="s">
        <v>250</v>
      </c>
      <c r="M130" s="2" t="s">
        <v>1694</v>
      </c>
      <c r="N130" s="2" t="s">
        <v>1631</v>
      </c>
      <c r="O130" s="2" t="s">
        <v>78</v>
      </c>
      <c r="P130" s="2" t="s">
        <v>96</v>
      </c>
      <c r="Q130" s="6">
        <v>12000</v>
      </c>
      <c r="R130" s="13">
        <v>3.3719999999999999</v>
      </c>
      <c r="S130" s="6">
        <v>32276</v>
      </c>
      <c r="T130" s="6">
        <v>0</v>
      </c>
      <c r="U130" s="6">
        <v>13060.161</v>
      </c>
      <c r="V130" s="8">
        <v>4.0000000000000003E-5</v>
      </c>
      <c r="W130" s="8">
        <v>5.7299999999999999E-3</v>
      </c>
      <c r="X130" s="8">
        <v>3.2000000000000003E-4</v>
      </c>
    </row>
    <row r="131" spans="1:24">
      <c r="A131" s="12">
        <v>1097</v>
      </c>
      <c r="B131" s="12">
        <v>1097</v>
      </c>
      <c r="C131" s="2" t="s">
        <v>1724</v>
      </c>
      <c r="D131" s="3" t="s">
        <v>1725</v>
      </c>
      <c r="E131" s="2" t="s">
        <v>1134</v>
      </c>
      <c r="F131" s="2" t="s">
        <v>1726</v>
      </c>
      <c r="G131" s="12" t="s">
        <v>1727</v>
      </c>
      <c r="H131" s="2" t="s">
        <v>248</v>
      </c>
      <c r="I131" s="2" t="s">
        <v>1268</v>
      </c>
      <c r="J131" s="2" t="s">
        <v>109</v>
      </c>
      <c r="K131" s="2" t="s">
        <v>226</v>
      </c>
      <c r="L131" s="2" t="s">
        <v>250</v>
      </c>
      <c r="M131" s="2" t="s">
        <v>1694</v>
      </c>
      <c r="N131" s="2" t="s">
        <v>1728</v>
      </c>
      <c r="O131" s="2" t="s">
        <v>78</v>
      </c>
      <c r="P131" s="2" t="s">
        <v>96</v>
      </c>
      <c r="Q131" s="6">
        <v>153</v>
      </c>
      <c r="R131" s="13">
        <v>3.3719999999999999</v>
      </c>
      <c r="S131" s="6">
        <v>98994</v>
      </c>
      <c r="T131" s="6">
        <v>0</v>
      </c>
      <c r="U131" s="6">
        <v>510.726</v>
      </c>
      <c r="V131" s="8">
        <v>3.3999999999999997E-7</v>
      </c>
      <c r="W131" s="8">
        <v>2.2000000000000001E-4</v>
      </c>
      <c r="X131" s="8">
        <v>1.0000000000000001E-5</v>
      </c>
    </row>
    <row r="132" spans="1:24">
      <c r="A132" s="12">
        <v>1097</v>
      </c>
      <c r="B132" s="12">
        <v>1097</v>
      </c>
      <c r="C132" s="2" t="s">
        <v>1729</v>
      </c>
      <c r="D132" s="3" t="s">
        <v>1730</v>
      </c>
      <c r="E132" s="2" t="s">
        <v>1134</v>
      </c>
      <c r="F132" s="2" t="s">
        <v>1731</v>
      </c>
      <c r="G132" s="12" t="s">
        <v>1732</v>
      </c>
      <c r="H132" s="2" t="s">
        <v>248</v>
      </c>
      <c r="I132" s="2" t="s">
        <v>1268</v>
      </c>
      <c r="J132" s="2" t="s">
        <v>109</v>
      </c>
      <c r="K132" s="2" t="s">
        <v>226</v>
      </c>
      <c r="L132" s="2" t="s">
        <v>250</v>
      </c>
      <c r="M132" s="2" t="s">
        <v>1694</v>
      </c>
      <c r="N132" s="2" t="s">
        <v>1453</v>
      </c>
      <c r="O132" s="2" t="s">
        <v>78</v>
      </c>
      <c r="P132" s="2" t="s">
        <v>96</v>
      </c>
      <c r="Q132" s="6">
        <v>1345</v>
      </c>
      <c r="R132" s="13">
        <v>3.3719999999999999</v>
      </c>
      <c r="S132" s="6">
        <v>54341</v>
      </c>
      <c r="T132" s="6">
        <v>0</v>
      </c>
      <c r="U132" s="6">
        <v>2464.549</v>
      </c>
      <c r="V132" s="8">
        <v>3.7500000000000001E-6</v>
      </c>
      <c r="W132" s="8">
        <v>1.08E-3</v>
      </c>
      <c r="X132" s="8">
        <v>6.0000000000000002E-5</v>
      </c>
    </row>
    <row r="133" spans="1:24">
      <c r="A133" s="12">
        <v>1097</v>
      </c>
      <c r="B133" s="12">
        <v>1097</v>
      </c>
      <c r="C133" s="2" t="s">
        <v>1733</v>
      </c>
      <c r="D133" s="3" t="s">
        <v>1734</v>
      </c>
      <c r="E133" s="2" t="s">
        <v>1134</v>
      </c>
      <c r="F133" s="2" t="s">
        <v>1735</v>
      </c>
      <c r="G133" s="12" t="s">
        <v>1736</v>
      </c>
      <c r="H133" s="2" t="s">
        <v>248</v>
      </c>
      <c r="I133" s="2" t="s">
        <v>1268</v>
      </c>
      <c r="J133" s="2" t="s">
        <v>109</v>
      </c>
      <c r="K133" s="2" t="s">
        <v>226</v>
      </c>
      <c r="L133" s="2" t="s">
        <v>250</v>
      </c>
      <c r="M133" s="2" t="s">
        <v>1694</v>
      </c>
      <c r="N133" s="2" t="s">
        <v>1570</v>
      </c>
      <c r="O133" s="2" t="s">
        <v>78</v>
      </c>
      <c r="P133" s="2" t="s">
        <v>96</v>
      </c>
      <c r="Q133" s="6">
        <v>22080</v>
      </c>
      <c r="R133" s="13">
        <v>3.3719999999999999</v>
      </c>
      <c r="S133" s="6">
        <v>5541</v>
      </c>
      <c r="T133" s="6">
        <v>0</v>
      </c>
      <c r="U133" s="6">
        <v>4125.4830000000002</v>
      </c>
      <c r="V133" s="8">
        <v>2.0000000000000001E-4</v>
      </c>
      <c r="W133" s="8">
        <v>1.81E-3</v>
      </c>
      <c r="X133" s="8">
        <v>1E-4</v>
      </c>
    </row>
    <row r="134" spans="1:24">
      <c r="A134" s="12">
        <v>1097</v>
      </c>
      <c r="B134" s="12">
        <v>1097</v>
      </c>
      <c r="C134" s="2" t="s">
        <v>1737</v>
      </c>
      <c r="D134" s="3" t="s">
        <v>1738</v>
      </c>
      <c r="E134" s="2" t="s">
        <v>1134</v>
      </c>
      <c r="F134" s="2" t="s">
        <v>1737</v>
      </c>
      <c r="G134" s="12" t="s">
        <v>1739</v>
      </c>
      <c r="H134" s="2" t="s">
        <v>248</v>
      </c>
      <c r="I134" s="2" t="s">
        <v>1268</v>
      </c>
      <c r="J134" s="2" t="s">
        <v>109</v>
      </c>
      <c r="K134" s="2" t="s">
        <v>226</v>
      </c>
      <c r="L134" s="2" t="s">
        <v>250</v>
      </c>
      <c r="M134" s="2" t="s">
        <v>1694</v>
      </c>
      <c r="N134" s="2" t="s">
        <v>1639</v>
      </c>
      <c r="O134" s="2" t="s">
        <v>78</v>
      </c>
      <c r="P134" s="2" t="s">
        <v>96</v>
      </c>
      <c r="Q134" s="6">
        <v>2808</v>
      </c>
      <c r="R134" s="13">
        <v>3.3719999999999999</v>
      </c>
      <c r="S134" s="6">
        <v>27321</v>
      </c>
      <c r="T134" s="6">
        <v>1.41</v>
      </c>
      <c r="U134" s="6">
        <v>2591.6680000000001</v>
      </c>
      <c r="V134" s="8">
        <v>1.0000000000000001E-5</v>
      </c>
      <c r="W134" s="8">
        <v>1.14E-3</v>
      </c>
      <c r="X134" s="8">
        <v>6.0000000000000002E-5</v>
      </c>
    </row>
    <row r="135" spans="1:24">
      <c r="A135" s="12">
        <v>1097</v>
      </c>
      <c r="B135" s="12">
        <v>1097</v>
      </c>
      <c r="C135" s="2" t="s">
        <v>1740</v>
      </c>
      <c r="D135" s="3" t="s">
        <v>1741</v>
      </c>
      <c r="E135" s="2" t="s">
        <v>1134</v>
      </c>
      <c r="F135" s="2" t="s">
        <v>1742</v>
      </c>
      <c r="G135" s="12" t="s">
        <v>1743</v>
      </c>
      <c r="H135" s="2" t="s">
        <v>248</v>
      </c>
      <c r="I135" s="2" t="s">
        <v>1268</v>
      </c>
      <c r="J135" s="2" t="s">
        <v>109</v>
      </c>
      <c r="K135" s="2" t="s">
        <v>226</v>
      </c>
      <c r="L135" s="2" t="s">
        <v>250</v>
      </c>
      <c r="M135" s="2" t="s">
        <v>1694</v>
      </c>
      <c r="N135" s="2" t="s">
        <v>1699</v>
      </c>
      <c r="O135" s="2" t="s">
        <v>78</v>
      </c>
      <c r="P135" s="2" t="s">
        <v>96</v>
      </c>
      <c r="Q135" s="6">
        <v>20163</v>
      </c>
      <c r="R135" s="13">
        <v>3.3719999999999999</v>
      </c>
      <c r="S135" s="6">
        <v>73809</v>
      </c>
      <c r="T135" s="6">
        <v>0</v>
      </c>
      <c r="U135" s="6">
        <v>50182.47</v>
      </c>
      <c r="V135" s="8">
        <v>1.0000000000000001E-5</v>
      </c>
      <c r="W135" s="8">
        <v>2.2020000000000001E-2</v>
      </c>
      <c r="X135" s="8">
        <v>1.25E-3</v>
      </c>
    </row>
    <row r="136" spans="1:24">
      <c r="A136" s="12">
        <v>1097</v>
      </c>
      <c r="B136" s="12">
        <v>1097</v>
      </c>
      <c r="C136" s="2" t="s">
        <v>1744</v>
      </c>
      <c r="D136" s="3" t="s">
        <v>1745</v>
      </c>
      <c r="E136" s="2" t="s">
        <v>1134</v>
      </c>
      <c r="F136" s="2" t="s">
        <v>1746</v>
      </c>
      <c r="G136" s="12" t="s">
        <v>1747</v>
      </c>
      <c r="H136" s="2" t="s">
        <v>248</v>
      </c>
      <c r="I136" s="2" t="s">
        <v>1268</v>
      </c>
      <c r="J136" s="2" t="s">
        <v>109</v>
      </c>
      <c r="K136" s="2" t="s">
        <v>226</v>
      </c>
      <c r="L136" s="2" t="s">
        <v>250</v>
      </c>
      <c r="M136" s="2" t="s">
        <v>1694</v>
      </c>
      <c r="N136" s="2" t="s">
        <v>1656</v>
      </c>
      <c r="O136" s="2" t="s">
        <v>78</v>
      </c>
      <c r="P136" s="2" t="s">
        <v>96</v>
      </c>
      <c r="Q136" s="6">
        <v>22539</v>
      </c>
      <c r="R136" s="13">
        <v>3.3719999999999999</v>
      </c>
      <c r="S136" s="6">
        <v>49741</v>
      </c>
      <c r="T136" s="6">
        <v>0</v>
      </c>
      <c r="U136" s="6">
        <v>37803.910000000003</v>
      </c>
      <c r="V136" s="8">
        <v>3.0299999999999998E-6</v>
      </c>
      <c r="W136" s="8">
        <v>1.6590000000000001E-2</v>
      </c>
      <c r="X136" s="8">
        <v>9.3999999999999997E-4</v>
      </c>
    </row>
    <row r="137" spans="1:24">
      <c r="A137" s="12">
        <v>1097</v>
      </c>
      <c r="B137" s="12">
        <v>1097</v>
      </c>
      <c r="C137" s="2" t="s">
        <v>1748</v>
      </c>
      <c r="D137" s="3" t="s">
        <v>1749</v>
      </c>
      <c r="E137" s="2" t="s">
        <v>1134</v>
      </c>
      <c r="F137" s="2" t="s">
        <v>1750</v>
      </c>
      <c r="G137" s="12" t="s">
        <v>1751</v>
      </c>
      <c r="H137" s="2" t="s">
        <v>248</v>
      </c>
      <c r="I137" s="2" t="s">
        <v>1268</v>
      </c>
      <c r="J137" s="2" t="s">
        <v>109</v>
      </c>
      <c r="K137" s="2" t="s">
        <v>226</v>
      </c>
      <c r="L137" s="2" t="s">
        <v>250</v>
      </c>
      <c r="M137" s="2" t="s">
        <v>1694</v>
      </c>
      <c r="N137" s="2" t="s">
        <v>1570</v>
      </c>
      <c r="O137" s="2" t="s">
        <v>78</v>
      </c>
      <c r="P137" s="2" t="s">
        <v>96</v>
      </c>
      <c r="Q137" s="6">
        <v>27267</v>
      </c>
      <c r="R137" s="13">
        <v>3.3719999999999999</v>
      </c>
      <c r="S137" s="6">
        <v>8942</v>
      </c>
      <c r="T137" s="6">
        <v>0</v>
      </c>
      <c r="U137" s="6">
        <v>8221.6610000000001</v>
      </c>
      <c r="V137" s="8">
        <v>5.0000000000000002E-5</v>
      </c>
      <c r="W137" s="8">
        <v>3.6099999999999999E-3</v>
      </c>
      <c r="X137" s="8">
        <v>2.0000000000000001E-4</v>
      </c>
    </row>
    <row r="138" spans="1:24">
      <c r="A138" s="12">
        <v>1097</v>
      </c>
      <c r="B138" s="12">
        <v>1097</v>
      </c>
      <c r="C138" s="2" t="s">
        <v>1752</v>
      </c>
      <c r="D138" s="3" t="s">
        <v>1753</v>
      </c>
      <c r="E138" s="2" t="s">
        <v>1134</v>
      </c>
      <c r="F138" s="2" t="s">
        <v>1752</v>
      </c>
      <c r="G138" s="12" t="s">
        <v>1754</v>
      </c>
      <c r="H138" s="2" t="s">
        <v>248</v>
      </c>
      <c r="I138" s="2" t="s">
        <v>1268</v>
      </c>
      <c r="J138" s="2" t="s">
        <v>109</v>
      </c>
      <c r="K138" s="2" t="s">
        <v>226</v>
      </c>
      <c r="L138" s="2" t="s">
        <v>250</v>
      </c>
      <c r="M138" s="2" t="s">
        <v>1694</v>
      </c>
      <c r="N138" s="2" t="s">
        <v>1560</v>
      </c>
      <c r="O138" s="2" t="s">
        <v>78</v>
      </c>
      <c r="P138" s="2" t="s">
        <v>96</v>
      </c>
      <c r="Q138" s="6">
        <v>1373</v>
      </c>
      <c r="R138" s="13">
        <v>3.3719999999999999</v>
      </c>
      <c r="S138" s="6">
        <v>133913</v>
      </c>
      <c r="T138" s="6">
        <v>0</v>
      </c>
      <c r="U138" s="6">
        <v>6199.8450000000003</v>
      </c>
      <c r="V138" s="8">
        <v>3.2100000000000002E-6</v>
      </c>
      <c r="W138" s="8">
        <v>2.7200000000000002E-3</v>
      </c>
      <c r="X138" s="8">
        <v>1.4999999999999999E-4</v>
      </c>
    </row>
    <row r="139" spans="1:24">
      <c r="A139" s="12">
        <v>1097</v>
      </c>
      <c r="B139" s="12">
        <v>1097</v>
      </c>
      <c r="C139" s="2" t="s">
        <v>1755</v>
      </c>
      <c r="D139" s="3" t="s">
        <v>1756</v>
      </c>
      <c r="E139" s="2" t="s">
        <v>1134</v>
      </c>
      <c r="F139" s="2" t="s">
        <v>1755</v>
      </c>
      <c r="G139" s="12" t="s">
        <v>1757</v>
      </c>
      <c r="H139" s="2" t="s">
        <v>248</v>
      </c>
      <c r="I139" s="2" t="s">
        <v>1268</v>
      </c>
      <c r="J139" s="2" t="s">
        <v>109</v>
      </c>
      <c r="K139" s="2" t="s">
        <v>226</v>
      </c>
      <c r="L139" s="2" t="s">
        <v>250</v>
      </c>
      <c r="M139" s="2" t="s">
        <v>1694</v>
      </c>
      <c r="N139" s="2" t="s">
        <v>1664</v>
      </c>
      <c r="O139" s="2" t="s">
        <v>78</v>
      </c>
      <c r="P139" s="2" t="s">
        <v>96</v>
      </c>
      <c r="Q139" s="6">
        <v>134407</v>
      </c>
      <c r="R139" s="13">
        <v>3.3719999999999999</v>
      </c>
      <c r="S139" s="6">
        <v>15799</v>
      </c>
      <c r="T139" s="6">
        <v>0.33</v>
      </c>
      <c r="U139" s="6">
        <v>71605.414999999994</v>
      </c>
      <c r="V139" s="8">
        <v>1.0000000000000001E-5</v>
      </c>
      <c r="W139" s="8">
        <v>3.1419999999999997E-2</v>
      </c>
      <c r="X139" s="8">
        <v>1.7799999999999999E-3</v>
      </c>
    </row>
    <row r="140" spans="1:24">
      <c r="A140" s="12">
        <v>1097</v>
      </c>
      <c r="B140" s="12">
        <v>1097</v>
      </c>
      <c r="C140" s="2" t="s">
        <v>1758</v>
      </c>
      <c r="D140" s="3" t="s">
        <v>1759</v>
      </c>
      <c r="E140" s="2" t="s">
        <v>1134</v>
      </c>
      <c r="F140" s="2" t="s">
        <v>1758</v>
      </c>
      <c r="G140" s="12" t="s">
        <v>1760</v>
      </c>
      <c r="H140" s="2" t="s">
        <v>248</v>
      </c>
      <c r="I140" s="2" t="s">
        <v>1268</v>
      </c>
      <c r="J140" s="2" t="s">
        <v>109</v>
      </c>
      <c r="K140" s="2" t="s">
        <v>226</v>
      </c>
      <c r="L140" s="2" t="s">
        <v>250</v>
      </c>
      <c r="M140" s="2" t="s">
        <v>1694</v>
      </c>
      <c r="N140" s="2" t="s">
        <v>1656</v>
      </c>
      <c r="O140" s="2" t="s">
        <v>78</v>
      </c>
      <c r="P140" s="2" t="s">
        <v>96</v>
      </c>
      <c r="Q140" s="6">
        <v>1776</v>
      </c>
      <c r="R140" s="13">
        <v>3.3719999999999999</v>
      </c>
      <c r="S140" s="6">
        <v>56684</v>
      </c>
      <c r="T140" s="6">
        <v>0</v>
      </c>
      <c r="U140" s="6">
        <v>3394.6190000000001</v>
      </c>
      <c r="V140" s="8">
        <v>2.0000000000000002E-5</v>
      </c>
      <c r="W140" s="8">
        <v>1.49E-3</v>
      </c>
      <c r="X140" s="8">
        <v>8.0000000000000007E-5</v>
      </c>
    </row>
    <row r="141" spans="1:24">
      <c r="A141" s="12">
        <v>1097</v>
      </c>
      <c r="B141" s="12">
        <v>1097</v>
      </c>
      <c r="C141" s="2" t="s">
        <v>1761</v>
      </c>
      <c r="D141" s="3" t="s">
        <v>1762</v>
      </c>
      <c r="E141" s="2" t="s">
        <v>1134</v>
      </c>
      <c r="F141" s="2" t="s">
        <v>1763</v>
      </c>
      <c r="G141" s="12" t="s">
        <v>1764</v>
      </c>
      <c r="H141" s="2" t="s">
        <v>248</v>
      </c>
      <c r="I141" s="2" t="s">
        <v>1268</v>
      </c>
      <c r="J141" s="2" t="s">
        <v>109</v>
      </c>
      <c r="K141" s="2" t="s">
        <v>226</v>
      </c>
      <c r="L141" s="2" t="s">
        <v>250</v>
      </c>
      <c r="M141" s="2" t="s">
        <v>1694</v>
      </c>
      <c r="N141" s="2" t="s">
        <v>1517</v>
      </c>
      <c r="O141" s="2" t="s">
        <v>78</v>
      </c>
      <c r="P141" s="2" t="s">
        <v>96</v>
      </c>
      <c r="Q141" s="6">
        <v>1789</v>
      </c>
      <c r="R141" s="13">
        <v>3.3719999999999999</v>
      </c>
      <c r="S141" s="6">
        <v>31766</v>
      </c>
      <c r="T141" s="6">
        <v>0</v>
      </c>
      <c r="U141" s="6">
        <v>1916.2860000000001</v>
      </c>
      <c r="V141" s="8">
        <v>5.6000000000000004E-7</v>
      </c>
      <c r="W141" s="8">
        <v>8.4000000000000003E-4</v>
      </c>
      <c r="X141" s="8">
        <v>5.0000000000000002E-5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1"/>
  <sheetViews>
    <sheetView rightToLeft="1" topLeftCell="A25" workbookViewId="0">
      <selection activeCell="F38" sqref="F38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1765</v>
      </c>
      <c r="N1" s="1" t="s">
        <v>65</v>
      </c>
      <c r="O1" s="1" t="s">
        <v>68</v>
      </c>
      <c r="P1" s="1" t="s">
        <v>122</v>
      </c>
      <c r="Q1" s="1" t="s">
        <v>70</v>
      </c>
      <c r="R1" s="1" t="s">
        <v>123</v>
      </c>
      <c r="S1" s="1" t="s">
        <v>121</v>
      </c>
      <c r="T1" s="1" t="s">
        <v>72</v>
      </c>
      <c r="U1" s="1" t="s">
        <v>125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1766</v>
      </c>
      <c r="D2" s="3" t="s">
        <v>1767</v>
      </c>
      <c r="E2" s="2" t="s">
        <v>245</v>
      </c>
      <c r="F2" s="2" t="s">
        <v>1768</v>
      </c>
      <c r="G2" s="12" t="s">
        <v>1769</v>
      </c>
      <c r="H2" s="2" t="s">
        <v>248</v>
      </c>
      <c r="I2" s="2" t="s">
        <v>1770</v>
      </c>
      <c r="J2" s="2" t="s">
        <v>77</v>
      </c>
      <c r="K2" s="2" t="s">
        <v>77</v>
      </c>
      <c r="L2" s="2" t="s">
        <v>130</v>
      </c>
      <c r="M2" s="3" t="s">
        <v>1771</v>
      </c>
      <c r="N2" s="2" t="s">
        <v>78</v>
      </c>
      <c r="O2" s="2" t="s">
        <v>81</v>
      </c>
      <c r="P2" s="6">
        <v>9331</v>
      </c>
      <c r="Q2" s="13">
        <v>1</v>
      </c>
      <c r="R2" s="6">
        <v>414100</v>
      </c>
      <c r="S2" s="6">
        <v>0</v>
      </c>
      <c r="T2" s="6">
        <v>38639.671000000002</v>
      </c>
      <c r="U2" s="8">
        <v>1.221E-2</v>
      </c>
      <c r="V2" s="8">
        <v>1.668E-2</v>
      </c>
      <c r="W2" s="8">
        <v>9.6000000000000002E-4</v>
      </c>
    </row>
    <row r="3" spans="1:23">
      <c r="A3" s="12">
        <v>1097</v>
      </c>
      <c r="B3" s="12">
        <v>1097</v>
      </c>
      <c r="C3" s="2" t="s">
        <v>1772</v>
      </c>
      <c r="D3" s="3" t="s">
        <v>1773</v>
      </c>
      <c r="E3" s="2" t="s">
        <v>245</v>
      </c>
      <c r="F3" s="2" t="s">
        <v>1774</v>
      </c>
      <c r="G3" s="12" t="s">
        <v>1775</v>
      </c>
      <c r="H3" s="2" t="s">
        <v>248</v>
      </c>
      <c r="I3" s="2" t="s">
        <v>1770</v>
      </c>
      <c r="J3" s="2" t="s">
        <v>77</v>
      </c>
      <c r="K3" s="2" t="s">
        <v>77</v>
      </c>
      <c r="L3" s="2" t="s">
        <v>130</v>
      </c>
      <c r="M3" s="3" t="s">
        <v>1776</v>
      </c>
      <c r="N3" s="2" t="s">
        <v>78</v>
      </c>
      <c r="O3" s="2" t="s">
        <v>81</v>
      </c>
      <c r="P3" s="6">
        <v>40000</v>
      </c>
      <c r="Q3" s="13">
        <v>1</v>
      </c>
      <c r="R3" s="6">
        <v>5633</v>
      </c>
      <c r="S3" s="6">
        <v>0</v>
      </c>
      <c r="T3" s="6">
        <v>2253.1999999999998</v>
      </c>
      <c r="U3" s="8">
        <v>2.605E-2</v>
      </c>
      <c r="V3" s="8">
        <v>9.7000000000000005E-4</v>
      </c>
      <c r="W3" s="8">
        <v>6.0000000000000002E-5</v>
      </c>
    </row>
    <row r="4" spans="1:23">
      <c r="A4" s="12">
        <v>1097</v>
      </c>
      <c r="B4" s="12">
        <v>1097</v>
      </c>
      <c r="C4" s="2" t="s">
        <v>1777</v>
      </c>
      <c r="D4" s="3" t="s">
        <v>1778</v>
      </c>
      <c r="E4" s="2" t="s">
        <v>245</v>
      </c>
      <c r="F4" s="2" t="s">
        <v>1779</v>
      </c>
      <c r="G4" s="12" t="s">
        <v>1780</v>
      </c>
      <c r="H4" s="2" t="s">
        <v>248</v>
      </c>
      <c r="I4" s="2" t="s">
        <v>1781</v>
      </c>
      <c r="J4" s="2" t="s">
        <v>77</v>
      </c>
      <c r="K4" s="2" t="s">
        <v>77</v>
      </c>
      <c r="L4" s="2" t="s">
        <v>130</v>
      </c>
      <c r="M4" s="3" t="s">
        <v>1782</v>
      </c>
      <c r="N4" s="2" t="s">
        <v>78</v>
      </c>
      <c r="O4" s="2" t="s">
        <v>81</v>
      </c>
      <c r="P4" s="6">
        <v>650519</v>
      </c>
      <c r="Q4" s="13">
        <v>1</v>
      </c>
      <c r="R4" s="6">
        <v>6585</v>
      </c>
      <c r="S4" s="6">
        <v>0</v>
      </c>
      <c r="T4" s="6">
        <v>42836.675999999999</v>
      </c>
      <c r="U4" s="8">
        <v>2.98E-3</v>
      </c>
      <c r="V4" s="8">
        <v>1.8489999999999999E-2</v>
      </c>
      <c r="W4" s="8">
        <v>1.06E-3</v>
      </c>
    </row>
    <row r="5" spans="1:23">
      <c r="A5" s="12">
        <v>1097</v>
      </c>
      <c r="B5" s="12">
        <v>1097</v>
      </c>
      <c r="C5" s="2" t="s">
        <v>1777</v>
      </c>
      <c r="D5" s="3" t="s">
        <v>1778</v>
      </c>
      <c r="E5" s="2" t="s">
        <v>245</v>
      </c>
      <c r="F5" s="2" t="s">
        <v>1783</v>
      </c>
      <c r="G5" s="12" t="s">
        <v>1784</v>
      </c>
      <c r="H5" s="2" t="s">
        <v>248</v>
      </c>
      <c r="I5" s="2" t="s">
        <v>1785</v>
      </c>
      <c r="J5" s="2" t="s">
        <v>77</v>
      </c>
      <c r="K5" s="2" t="s">
        <v>77</v>
      </c>
      <c r="L5" s="2" t="s">
        <v>130</v>
      </c>
      <c r="M5" s="3" t="s">
        <v>1786</v>
      </c>
      <c r="N5" s="2" t="s">
        <v>78</v>
      </c>
      <c r="O5" s="2" t="s">
        <v>81</v>
      </c>
      <c r="P5" s="6">
        <v>11520000</v>
      </c>
      <c r="Q5" s="13">
        <v>1</v>
      </c>
      <c r="R5" s="6">
        <v>384.85</v>
      </c>
      <c r="S5" s="6">
        <v>0</v>
      </c>
      <c r="T5" s="6">
        <v>44334.720000000001</v>
      </c>
      <c r="U5" s="8">
        <v>3.7740000000000003E-2</v>
      </c>
      <c r="V5" s="8">
        <v>1.9140000000000001E-2</v>
      </c>
      <c r="W5" s="8">
        <v>1.1000000000000001E-3</v>
      </c>
    </row>
    <row r="6" spans="1:23">
      <c r="A6" s="12">
        <v>1097</v>
      </c>
      <c r="B6" s="12">
        <v>1097</v>
      </c>
      <c r="C6" s="2" t="s">
        <v>1777</v>
      </c>
      <c r="D6" s="3" t="s">
        <v>1778</v>
      </c>
      <c r="E6" s="2" t="s">
        <v>245</v>
      </c>
      <c r="F6" s="2" t="s">
        <v>1787</v>
      </c>
      <c r="G6" s="12" t="s">
        <v>1788</v>
      </c>
      <c r="H6" s="2" t="s">
        <v>248</v>
      </c>
      <c r="I6" s="2" t="s">
        <v>1770</v>
      </c>
      <c r="J6" s="2" t="s">
        <v>77</v>
      </c>
      <c r="K6" s="2" t="s">
        <v>77</v>
      </c>
      <c r="L6" s="2" t="s">
        <v>130</v>
      </c>
      <c r="M6" s="3" t="s">
        <v>1789</v>
      </c>
      <c r="N6" s="2" t="s">
        <v>78</v>
      </c>
      <c r="O6" s="2" t="s">
        <v>81</v>
      </c>
      <c r="P6" s="6">
        <v>59800</v>
      </c>
      <c r="Q6" s="13">
        <v>1</v>
      </c>
      <c r="R6" s="6">
        <v>6380</v>
      </c>
      <c r="S6" s="6">
        <v>0</v>
      </c>
      <c r="T6" s="6">
        <v>3815.24</v>
      </c>
      <c r="U6" s="8">
        <v>1.541E-2</v>
      </c>
      <c r="V6" s="8">
        <v>1.65E-3</v>
      </c>
      <c r="W6" s="8">
        <v>9.0000000000000006E-5</v>
      </c>
    </row>
    <row r="7" spans="1:23">
      <c r="A7" s="12">
        <v>1097</v>
      </c>
      <c r="B7" s="12">
        <v>1097</v>
      </c>
      <c r="C7" s="2" t="s">
        <v>1777</v>
      </c>
      <c r="D7" s="3" t="s">
        <v>1778</v>
      </c>
      <c r="E7" s="2" t="s">
        <v>245</v>
      </c>
      <c r="F7" s="2" t="s">
        <v>1790</v>
      </c>
      <c r="G7" s="12" t="s">
        <v>1791</v>
      </c>
      <c r="H7" s="2" t="s">
        <v>248</v>
      </c>
      <c r="I7" s="2" t="s">
        <v>1770</v>
      </c>
      <c r="J7" s="2" t="s">
        <v>77</v>
      </c>
      <c r="K7" s="2" t="s">
        <v>77</v>
      </c>
      <c r="L7" s="2" t="s">
        <v>130</v>
      </c>
      <c r="M7" s="3" t="s">
        <v>1792</v>
      </c>
      <c r="N7" s="2" t="s">
        <v>78</v>
      </c>
      <c r="O7" s="2" t="s">
        <v>81</v>
      </c>
      <c r="P7" s="6">
        <v>30500</v>
      </c>
      <c r="Q7" s="13">
        <v>1</v>
      </c>
      <c r="R7" s="6">
        <v>6538</v>
      </c>
      <c r="S7" s="6">
        <v>0</v>
      </c>
      <c r="T7" s="6">
        <v>1994.09</v>
      </c>
      <c r="U7" s="8">
        <v>1.9529999999999999E-2</v>
      </c>
      <c r="V7" s="8">
        <v>8.5999999999999998E-4</v>
      </c>
      <c r="W7" s="8">
        <v>5.0000000000000002E-5</v>
      </c>
    </row>
    <row r="8" spans="1:23">
      <c r="A8" s="12">
        <v>1097</v>
      </c>
      <c r="B8" s="12">
        <v>1097</v>
      </c>
      <c r="C8" s="2" t="s">
        <v>1793</v>
      </c>
      <c r="D8" s="3" t="s">
        <v>1794</v>
      </c>
      <c r="E8" s="2" t="s">
        <v>245</v>
      </c>
      <c r="F8" s="2" t="s">
        <v>1795</v>
      </c>
      <c r="G8" s="12" t="s">
        <v>1796</v>
      </c>
      <c r="H8" s="2" t="s">
        <v>248</v>
      </c>
      <c r="I8" s="2" t="s">
        <v>1770</v>
      </c>
      <c r="J8" s="2" t="s">
        <v>77</v>
      </c>
      <c r="K8" s="2" t="s">
        <v>77</v>
      </c>
      <c r="L8" s="2" t="s">
        <v>130</v>
      </c>
      <c r="M8" s="3" t="s">
        <v>1797</v>
      </c>
      <c r="N8" s="2" t="s">
        <v>78</v>
      </c>
      <c r="O8" s="2" t="s">
        <v>81</v>
      </c>
      <c r="P8" s="6">
        <v>10050</v>
      </c>
      <c r="Q8" s="13">
        <v>1</v>
      </c>
      <c r="R8" s="6">
        <v>20650</v>
      </c>
      <c r="S8" s="6">
        <v>0</v>
      </c>
      <c r="T8" s="6">
        <v>2075.3249999999998</v>
      </c>
      <c r="U8" s="8">
        <v>2.597E-2</v>
      </c>
      <c r="V8" s="8">
        <v>8.9999999999999998E-4</v>
      </c>
      <c r="W8" s="8">
        <v>5.0000000000000002E-5</v>
      </c>
    </row>
    <row r="9" spans="1:23">
      <c r="A9" s="12">
        <v>1097</v>
      </c>
      <c r="B9" s="12">
        <v>1097</v>
      </c>
      <c r="C9" s="2" t="s">
        <v>1793</v>
      </c>
      <c r="D9" s="3" t="s">
        <v>1794</v>
      </c>
      <c r="E9" s="2" t="s">
        <v>245</v>
      </c>
      <c r="F9" s="2" t="s">
        <v>1799</v>
      </c>
      <c r="G9" s="12" t="s">
        <v>1800</v>
      </c>
      <c r="H9" s="2" t="s">
        <v>248</v>
      </c>
      <c r="I9" s="2" t="s">
        <v>1770</v>
      </c>
      <c r="J9" s="2" t="s">
        <v>77</v>
      </c>
      <c r="K9" s="2" t="s">
        <v>77</v>
      </c>
      <c r="L9" s="2" t="s">
        <v>130</v>
      </c>
      <c r="M9" s="3" t="s">
        <v>1801</v>
      </c>
      <c r="N9" s="2" t="s">
        <v>78</v>
      </c>
      <c r="O9" s="2" t="s">
        <v>81</v>
      </c>
      <c r="P9" s="6">
        <v>14460568</v>
      </c>
      <c r="Q9" s="13">
        <v>1</v>
      </c>
      <c r="R9" s="6">
        <v>114.6</v>
      </c>
      <c r="S9" s="6">
        <v>0</v>
      </c>
      <c r="T9" s="6">
        <v>16571.811000000002</v>
      </c>
      <c r="U9" s="8">
        <v>0.54508000000000001</v>
      </c>
      <c r="V9" s="8">
        <v>7.1500000000000001E-3</v>
      </c>
      <c r="W9" s="8">
        <v>4.0999999999999999E-4</v>
      </c>
    </row>
    <row r="10" spans="1:23">
      <c r="A10" s="12">
        <v>1097</v>
      </c>
      <c r="B10" s="12">
        <v>1097</v>
      </c>
      <c r="C10" s="2" t="s">
        <v>1793</v>
      </c>
      <c r="D10" s="3" t="s">
        <v>1794</v>
      </c>
      <c r="E10" s="2" t="s">
        <v>245</v>
      </c>
      <c r="F10" s="2" t="s">
        <v>1802</v>
      </c>
      <c r="G10" s="12" t="s">
        <v>1803</v>
      </c>
      <c r="H10" s="2" t="s">
        <v>248</v>
      </c>
      <c r="I10" s="2" t="s">
        <v>1770</v>
      </c>
      <c r="J10" s="2" t="s">
        <v>77</v>
      </c>
      <c r="K10" s="2" t="s">
        <v>77</v>
      </c>
      <c r="L10" s="2" t="s">
        <v>130</v>
      </c>
      <c r="M10" s="3" t="s">
        <v>1804</v>
      </c>
      <c r="N10" s="14" t="s">
        <v>78</v>
      </c>
      <c r="O10" s="2" t="s">
        <v>81</v>
      </c>
      <c r="P10" s="6">
        <v>142435</v>
      </c>
      <c r="Q10" s="13">
        <v>1</v>
      </c>
      <c r="R10" s="6">
        <v>3533</v>
      </c>
      <c r="S10" s="6">
        <v>0</v>
      </c>
      <c r="T10" s="6">
        <v>5032.2290000000003</v>
      </c>
      <c r="U10" s="8">
        <v>2.2599999999999999E-2</v>
      </c>
      <c r="V10" s="8">
        <v>2.1700000000000001E-3</v>
      </c>
      <c r="W10" s="8">
        <v>1.2E-4</v>
      </c>
    </row>
    <row r="11" spans="1:23">
      <c r="A11" s="12">
        <v>1097</v>
      </c>
      <c r="B11" s="12">
        <v>1097</v>
      </c>
      <c r="C11" s="2" t="s">
        <v>1793</v>
      </c>
      <c r="D11" s="3" t="s">
        <v>1794</v>
      </c>
      <c r="E11" s="2" t="s">
        <v>245</v>
      </c>
      <c r="F11" s="2" t="s">
        <v>1805</v>
      </c>
      <c r="G11" s="12" t="s">
        <v>1806</v>
      </c>
      <c r="H11" s="2" t="s">
        <v>248</v>
      </c>
      <c r="I11" s="2" t="s">
        <v>1770</v>
      </c>
      <c r="J11" s="2" t="s">
        <v>77</v>
      </c>
      <c r="K11" s="2" t="s">
        <v>77</v>
      </c>
      <c r="L11" s="2" t="s">
        <v>130</v>
      </c>
      <c r="M11" s="3" t="s">
        <v>1807</v>
      </c>
      <c r="N11" s="14" t="s">
        <v>1798</v>
      </c>
      <c r="O11" s="2" t="s">
        <v>81</v>
      </c>
      <c r="P11" s="6">
        <v>59891</v>
      </c>
      <c r="Q11" s="13">
        <v>1</v>
      </c>
      <c r="R11" s="6">
        <v>4938</v>
      </c>
      <c r="S11" s="6">
        <v>0</v>
      </c>
      <c r="T11" s="6">
        <v>2957.4180000000001</v>
      </c>
      <c r="U11" s="8">
        <v>0.1028</v>
      </c>
      <c r="V11" s="8">
        <v>1.2800000000000001E-3</v>
      </c>
      <c r="W11" s="8">
        <v>6.9999999999999994E-5</v>
      </c>
    </row>
    <row r="12" spans="1:23">
      <c r="A12" s="12">
        <v>1097</v>
      </c>
      <c r="B12" s="12">
        <v>1097</v>
      </c>
      <c r="C12" s="2" t="s">
        <v>1793</v>
      </c>
      <c r="D12" s="3" t="s">
        <v>1794</v>
      </c>
      <c r="E12" s="2" t="s">
        <v>245</v>
      </c>
      <c r="F12" s="2" t="s">
        <v>1808</v>
      </c>
      <c r="G12" s="12" t="s">
        <v>1809</v>
      </c>
      <c r="H12" s="2" t="s">
        <v>248</v>
      </c>
      <c r="I12" s="2" t="s">
        <v>1770</v>
      </c>
      <c r="J12" s="2" t="s">
        <v>77</v>
      </c>
      <c r="K12" s="2" t="s">
        <v>77</v>
      </c>
      <c r="L12" s="2" t="s">
        <v>130</v>
      </c>
      <c r="M12" s="3" t="s">
        <v>1810</v>
      </c>
      <c r="N12" s="14" t="s">
        <v>1798</v>
      </c>
      <c r="O12" s="2" t="s">
        <v>81</v>
      </c>
      <c r="P12" s="6">
        <v>100667</v>
      </c>
      <c r="Q12" s="13">
        <v>1</v>
      </c>
      <c r="R12" s="6">
        <v>4187</v>
      </c>
      <c r="S12" s="6">
        <v>0</v>
      </c>
      <c r="T12" s="6">
        <v>4214.9269999999997</v>
      </c>
      <c r="U12" s="8">
        <v>0.12891</v>
      </c>
      <c r="V12" s="8">
        <v>1.82E-3</v>
      </c>
      <c r="W12" s="8">
        <v>1E-4</v>
      </c>
    </row>
    <row r="13" spans="1:23">
      <c r="A13" s="12">
        <v>1097</v>
      </c>
      <c r="B13" s="12">
        <v>1097</v>
      </c>
      <c r="C13" s="2" t="s">
        <v>1793</v>
      </c>
      <c r="D13" s="3" t="s">
        <v>1794</v>
      </c>
      <c r="E13" s="2" t="s">
        <v>245</v>
      </c>
      <c r="F13" s="2" t="s">
        <v>1811</v>
      </c>
      <c r="G13" s="12" t="s">
        <v>1812</v>
      </c>
      <c r="H13" s="2" t="s">
        <v>248</v>
      </c>
      <c r="I13" s="2" t="s">
        <v>1770</v>
      </c>
      <c r="J13" s="2" t="s">
        <v>77</v>
      </c>
      <c r="K13" s="2" t="s">
        <v>77</v>
      </c>
      <c r="L13" s="2" t="s">
        <v>130</v>
      </c>
      <c r="M13" s="3" t="s">
        <v>1786</v>
      </c>
      <c r="N13" s="14" t="s">
        <v>78</v>
      </c>
      <c r="O13" s="2" t="s">
        <v>81</v>
      </c>
      <c r="P13" s="6">
        <v>36508</v>
      </c>
      <c r="Q13" s="13">
        <v>1</v>
      </c>
      <c r="R13" s="6">
        <v>5584</v>
      </c>
      <c r="S13" s="6">
        <v>0</v>
      </c>
      <c r="T13" s="6">
        <v>2038.607</v>
      </c>
      <c r="U13" s="8">
        <v>9.8540000000000003E-2</v>
      </c>
      <c r="V13" s="8">
        <v>8.8000000000000003E-4</v>
      </c>
      <c r="W13" s="8">
        <v>5.0000000000000002E-5</v>
      </c>
    </row>
    <row r="14" spans="1:23">
      <c r="A14" s="12">
        <v>1097</v>
      </c>
      <c r="B14" s="12">
        <v>1097</v>
      </c>
      <c r="C14" s="2" t="s">
        <v>1793</v>
      </c>
      <c r="D14" s="3" t="s">
        <v>1794</v>
      </c>
      <c r="E14" s="2" t="s">
        <v>245</v>
      </c>
      <c r="F14" s="2" t="s">
        <v>1813</v>
      </c>
      <c r="G14" s="12" t="s">
        <v>1814</v>
      </c>
      <c r="H14" s="2" t="s">
        <v>248</v>
      </c>
      <c r="I14" s="2" t="s">
        <v>1770</v>
      </c>
      <c r="J14" s="2" t="s">
        <v>77</v>
      </c>
      <c r="K14" s="2" t="s">
        <v>77</v>
      </c>
      <c r="L14" s="2" t="s">
        <v>130</v>
      </c>
      <c r="M14" s="3" t="s">
        <v>1815</v>
      </c>
      <c r="N14" s="14" t="s">
        <v>78</v>
      </c>
      <c r="O14" s="2" t="s">
        <v>81</v>
      </c>
      <c r="P14" s="6">
        <v>380000</v>
      </c>
      <c r="Q14" s="13">
        <v>1</v>
      </c>
      <c r="R14" s="6">
        <v>597.79999999999995</v>
      </c>
      <c r="S14" s="6">
        <v>0</v>
      </c>
      <c r="T14" s="6">
        <v>2271.64</v>
      </c>
      <c r="U14" s="8">
        <v>2.3609999999999999E-2</v>
      </c>
      <c r="V14" s="8">
        <v>9.7999999999999997E-4</v>
      </c>
      <c r="W14" s="8">
        <v>6.0000000000000002E-5</v>
      </c>
    </row>
    <row r="15" spans="1:23">
      <c r="A15" s="12">
        <v>1097</v>
      </c>
      <c r="B15" s="12">
        <v>1097</v>
      </c>
      <c r="C15" s="2" t="s">
        <v>1793</v>
      </c>
      <c r="D15" s="3" t="s">
        <v>1794</v>
      </c>
      <c r="E15" s="2" t="s">
        <v>245</v>
      </c>
      <c r="F15" s="2" t="s">
        <v>1816</v>
      </c>
      <c r="G15" s="12" t="s">
        <v>1817</v>
      </c>
      <c r="H15" s="2" t="s">
        <v>248</v>
      </c>
      <c r="I15" s="2" t="s">
        <v>1781</v>
      </c>
      <c r="J15" s="2" t="s">
        <v>77</v>
      </c>
      <c r="K15" s="2" t="s">
        <v>77</v>
      </c>
      <c r="L15" s="2" t="s">
        <v>130</v>
      </c>
      <c r="M15" s="3" t="s">
        <v>1818</v>
      </c>
      <c r="N15" s="2" t="s">
        <v>78</v>
      </c>
      <c r="O15" s="2" t="s">
        <v>81</v>
      </c>
      <c r="P15" s="6">
        <v>35000</v>
      </c>
      <c r="Q15" s="13">
        <v>1</v>
      </c>
      <c r="R15" s="6">
        <v>3032</v>
      </c>
      <c r="S15" s="6">
        <v>0</v>
      </c>
      <c r="T15" s="6">
        <v>1061.2</v>
      </c>
      <c r="U15" s="8">
        <v>4.8000000000000001E-4</v>
      </c>
      <c r="V15" s="8">
        <v>4.6000000000000001E-4</v>
      </c>
      <c r="W15" s="8">
        <v>3.0000000000000001E-5</v>
      </c>
    </row>
    <row r="16" spans="1:23">
      <c r="A16" s="12">
        <v>1097</v>
      </c>
      <c r="B16" s="12">
        <v>1097</v>
      </c>
      <c r="C16" s="2" t="s">
        <v>1793</v>
      </c>
      <c r="D16" s="3" t="s">
        <v>1794</v>
      </c>
      <c r="E16" s="2" t="s">
        <v>245</v>
      </c>
      <c r="F16" s="2" t="s">
        <v>1819</v>
      </c>
      <c r="G16" s="12" t="s">
        <v>1820</v>
      </c>
      <c r="H16" s="2" t="s">
        <v>248</v>
      </c>
      <c r="I16" s="2" t="s">
        <v>1781</v>
      </c>
      <c r="J16" s="2" t="s">
        <v>77</v>
      </c>
      <c r="K16" s="2" t="s">
        <v>77</v>
      </c>
      <c r="L16" s="2" t="s">
        <v>130</v>
      </c>
      <c r="M16" s="3" t="s">
        <v>1821</v>
      </c>
      <c r="N16" s="2" t="s">
        <v>78</v>
      </c>
      <c r="O16" s="2" t="s">
        <v>81</v>
      </c>
      <c r="P16" s="6">
        <v>485000</v>
      </c>
      <c r="Q16" s="13">
        <v>1</v>
      </c>
      <c r="R16" s="6">
        <v>1260</v>
      </c>
      <c r="S16" s="6">
        <v>0</v>
      </c>
      <c r="T16" s="6">
        <v>6111</v>
      </c>
      <c r="U16" s="8">
        <v>3.0339999999999999E-2</v>
      </c>
      <c r="V16" s="8">
        <v>2.64E-3</v>
      </c>
      <c r="W16" s="8">
        <v>1.4999999999999999E-4</v>
      </c>
    </row>
    <row r="17" spans="1:23">
      <c r="A17" s="12">
        <v>1097</v>
      </c>
      <c r="B17" s="12">
        <v>1097</v>
      </c>
      <c r="C17" s="2" t="s">
        <v>1793</v>
      </c>
      <c r="D17" s="3" t="s">
        <v>1794</v>
      </c>
      <c r="E17" s="2" t="s">
        <v>245</v>
      </c>
      <c r="F17" s="2" t="s">
        <v>1822</v>
      </c>
      <c r="G17" s="12" t="s">
        <v>1823</v>
      </c>
      <c r="H17" s="2" t="s">
        <v>248</v>
      </c>
      <c r="I17" s="2" t="s">
        <v>1785</v>
      </c>
      <c r="J17" s="2" t="s">
        <v>77</v>
      </c>
      <c r="K17" s="2" t="s">
        <v>77</v>
      </c>
      <c r="L17" s="2" t="s">
        <v>130</v>
      </c>
      <c r="M17" s="3" t="s">
        <v>1824</v>
      </c>
      <c r="N17" s="2" t="s">
        <v>78</v>
      </c>
      <c r="O17" s="2" t="s">
        <v>81</v>
      </c>
      <c r="P17" s="6">
        <v>400000</v>
      </c>
      <c r="Q17" s="13">
        <v>1</v>
      </c>
      <c r="R17" s="6">
        <v>393.25</v>
      </c>
      <c r="S17" s="6">
        <v>0</v>
      </c>
      <c r="T17" s="6">
        <v>1573</v>
      </c>
      <c r="U17" s="8">
        <v>3.8500000000000001E-3</v>
      </c>
      <c r="V17" s="8">
        <v>6.8000000000000005E-4</v>
      </c>
      <c r="W17" s="8">
        <v>4.0000000000000003E-5</v>
      </c>
    </row>
    <row r="18" spans="1:23">
      <c r="A18" s="12">
        <v>1097</v>
      </c>
      <c r="B18" s="12">
        <v>1097</v>
      </c>
      <c r="C18" s="2" t="s">
        <v>1793</v>
      </c>
      <c r="D18" s="3" t="s">
        <v>1794</v>
      </c>
      <c r="E18" s="2" t="s">
        <v>245</v>
      </c>
      <c r="F18" s="2" t="s">
        <v>1825</v>
      </c>
      <c r="G18" s="12" t="s">
        <v>1826</v>
      </c>
      <c r="H18" s="2" t="s">
        <v>248</v>
      </c>
      <c r="I18" s="2" t="s">
        <v>1785</v>
      </c>
      <c r="J18" s="2" t="s">
        <v>77</v>
      </c>
      <c r="K18" s="2" t="s">
        <v>77</v>
      </c>
      <c r="L18" s="2" t="s">
        <v>130</v>
      </c>
      <c r="M18" s="3" t="s">
        <v>1827</v>
      </c>
      <c r="N18" s="2" t="s">
        <v>78</v>
      </c>
      <c r="O18" s="2" t="s">
        <v>81</v>
      </c>
      <c r="P18" s="6">
        <v>1110000</v>
      </c>
      <c r="Q18" s="13">
        <v>1</v>
      </c>
      <c r="R18" s="6">
        <v>373.51</v>
      </c>
      <c r="S18" s="6">
        <v>0</v>
      </c>
      <c r="T18" s="6">
        <v>4145.9610000000002</v>
      </c>
      <c r="U18" s="8">
        <v>2.9270000000000001E-2</v>
      </c>
      <c r="V18" s="8">
        <v>1.7899999999999999E-3</v>
      </c>
      <c r="W18" s="8">
        <v>1E-4</v>
      </c>
    </row>
    <row r="19" spans="1:23">
      <c r="A19" s="12">
        <v>1097</v>
      </c>
      <c r="B19" s="12">
        <v>1097</v>
      </c>
      <c r="C19" s="2" t="s">
        <v>1793</v>
      </c>
      <c r="D19" s="3" t="s">
        <v>1794</v>
      </c>
      <c r="E19" s="2" t="s">
        <v>245</v>
      </c>
      <c r="F19" s="2" t="s">
        <v>1828</v>
      </c>
      <c r="G19" s="12" t="s">
        <v>1829</v>
      </c>
      <c r="H19" s="2" t="s">
        <v>248</v>
      </c>
      <c r="I19" s="2" t="s">
        <v>1785</v>
      </c>
      <c r="J19" s="2" t="s">
        <v>77</v>
      </c>
      <c r="K19" s="2" t="s">
        <v>77</v>
      </c>
      <c r="L19" s="2" t="s">
        <v>130</v>
      </c>
      <c r="M19" s="3" t="s">
        <v>1830</v>
      </c>
      <c r="N19" s="2" t="s">
        <v>78</v>
      </c>
      <c r="O19" s="2" t="s">
        <v>81</v>
      </c>
      <c r="P19" s="6">
        <v>6001000</v>
      </c>
      <c r="Q19" s="13">
        <v>1</v>
      </c>
      <c r="R19" s="6">
        <v>382.71</v>
      </c>
      <c r="S19" s="6">
        <v>0</v>
      </c>
      <c r="T19" s="6">
        <v>22966.427</v>
      </c>
      <c r="U19" s="8">
        <v>2.8639999999999999E-2</v>
      </c>
      <c r="V19" s="8">
        <v>9.9100000000000004E-3</v>
      </c>
      <c r="W19" s="8">
        <v>5.6999999999999998E-4</v>
      </c>
    </row>
    <row r="20" spans="1:23">
      <c r="A20" s="12">
        <v>1097</v>
      </c>
      <c r="B20" s="12">
        <v>1097</v>
      </c>
      <c r="C20" s="2" t="s">
        <v>1793</v>
      </c>
      <c r="D20" s="3" t="s">
        <v>1794</v>
      </c>
      <c r="E20" s="2" t="s">
        <v>245</v>
      </c>
      <c r="F20" s="2" t="s">
        <v>1831</v>
      </c>
      <c r="G20" s="12" t="s">
        <v>1832</v>
      </c>
      <c r="H20" s="2" t="s">
        <v>248</v>
      </c>
      <c r="I20" s="2" t="s">
        <v>1785</v>
      </c>
      <c r="J20" s="2" t="s">
        <v>77</v>
      </c>
      <c r="K20" s="2" t="s">
        <v>77</v>
      </c>
      <c r="L20" s="2" t="s">
        <v>130</v>
      </c>
      <c r="M20" s="3" t="s">
        <v>1833</v>
      </c>
      <c r="N20" s="2" t="s">
        <v>78</v>
      </c>
      <c r="O20" s="2" t="s">
        <v>81</v>
      </c>
      <c r="P20" s="6">
        <v>15584699</v>
      </c>
      <c r="Q20" s="13">
        <v>1</v>
      </c>
      <c r="R20" s="6">
        <v>415.44</v>
      </c>
      <c r="S20" s="6">
        <v>0</v>
      </c>
      <c r="T20" s="6">
        <v>64745.074000000001</v>
      </c>
      <c r="U20" s="8">
        <v>7.6520000000000005E-2</v>
      </c>
      <c r="V20" s="8">
        <v>2.7949999999999999E-2</v>
      </c>
      <c r="W20" s="8">
        <v>1.6100000000000001E-3</v>
      </c>
    </row>
    <row r="21" spans="1:23">
      <c r="A21" s="12">
        <v>1097</v>
      </c>
      <c r="B21" s="12">
        <v>1097</v>
      </c>
      <c r="C21" s="2" t="s">
        <v>1772</v>
      </c>
      <c r="D21" s="3" t="s">
        <v>1773</v>
      </c>
      <c r="E21" s="2" t="s">
        <v>245</v>
      </c>
      <c r="F21" s="2" t="s">
        <v>1834</v>
      </c>
      <c r="G21" s="12" t="s">
        <v>1835</v>
      </c>
      <c r="H21" s="2" t="s">
        <v>248</v>
      </c>
      <c r="I21" s="2" t="s">
        <v>1770</v>
      </c>
      <c r="J21" s="2" t="s">
        <v>77</v>
      </c>
      <c r="K21" s="2" t="s">
        <v>77</v>
      </c>
      <c r="L21" s="2" t="s">
        <v>130</v>
      </c>
      <c r="M21" s="3" t="s">
        <v>1836</v>
      </c>
      <c r="N21" s="2" t="s">
        <v>78</v>
      </c>
      <c r="O21" s="2" t="s">
        <v>81</v>
      </c>
      <c r="P21" s="6">
        <v>469470</v>
      </c>
      <c r="Q21" s="13">
        <v>1</v>
      </c>
      <c r="R21" s="6">
        <v>5331</v>
      </c>
      <c r="S21" s="6">
        <v>0</v>
      </c>
      <c r="T21" s="6">
        <v>25027.446</v>
      </c>
      <c r="U21" s="8">
        <v>4.521E-2</v>
      </c>
      <c r="V21" s="8">
        <v>1.0800000000000001E-2</v>
      </c>
      <c r="W21" s="8">
        <v>6.2E-4</v>
      </c>
    </row>
    <row r="22" spans="1:23">
      <c r="A22" s="12">
        <v>1097</v>
      </c>
      <c r="B22" s="12">
        <v>1097</v>
      </c>
      <c r="C22" s="2" t="s">
        <v>1772</v>
      </c>
      <c r="D22" s="3" t="s">
        <v>1773</v>
      </c>
      <c r="E22" s="2" t="s">
        <v>245</v>
      </c>
      <c r="F22" s="2" t="s">
        <v>1837</v>
      </c>
      <c r="G22" s="12" t="s">
        <v>1838</v>
      </c>
      <c r="H22" s="2" t="s">
        <v>248</v>
      </c>
      <c r="I22" s="2" t="s">
        <v>1770</v>
      </c>
      <c r="J22" s="2" t="s">
        <v>77</v>
      </c>
      <c r="K22" s="2" t="s">
        <v>77</v>
      </c>
      <c r="L22" s="2" t="s">
        <v>130</v>
      </c>
      <c r="M22" s="3" t="s">
        <v>1786</v>
      </c>
      <c r="N22" s="2" t="s">
        <v>78</v>
      </c>
      <c r="O22" s="2" t="s">
        <v>81</v>
      </c>
      <c r="P22" s="6">
        <v>281000</v>
      </c>
      <c r="Q22" s="13">
        <v>1</v>
      </c>
      <c r="R22" s="6">
        <v>3468</v>
      </c>
      <c r="S22" s="6">
        <v>0</v>
      </c>
      <c r="T22" s="6">
        <v>9745.08</v>
      </c>
      <c r="U22" s="8">
        <v>0.11151999999999999</v>
      </c>
      <c r="V22" s="8">
        <v>4.2100000000000002E-3</v>
      </c>
      <c r="W22" s="8">
        <v>2.4000000000000001E-4</v>
      </c>
    </row>
    <row r="23" spans="1:23">
      <c r="A23" s="12">
        <v>1097</v>
      </c>
      <c r="B23" s="12">
        <v>1097</v>
      </c>
      <c r="C23" s="2" t="s">
        <v>1772</v>
      </c>
      <c r="D23" s="3" t="s">
        <v>1773</v>
      </c>
      <c r="E23" s="2" t="s">
        <v>245</v>
      </c>
      <c r="F23" s="2" t="s">
        <v>1839</v>
      </c>
      <c r="G23" s="12" t="s">
        <v>1840</v>
      </c>
      <c r="H23" s="2" t="s">
        <v>248</v>
      </c>
      <c r="I23" s="2" t="s">
        <v>1770</v>
      </c>
      <c r="J23" s="2" t="s">
        <v>77</v>
      </c>
      <c r="K23" s="2" t="s">
        <v>77</v>
      </c>
      <c r="L23" s="2" t="s">
        <v>130</v>
      </c>
      <c r="M23" s="3" t="s">
        <v>1786</v>
      </c>
      <c r="N23" s="2" t="s">
        <v>78</v>
      </c>
      <c r="O23" s="2" t="s">
        <v>81</v>
      </c>
      <c r="P23" s="6">
        <v>960000</v>
      </c>
      <c r="Q23" s="13">
        <v>1</v>
      </c>
      <c r="R23" s="6">
        <v>3137</v>
      </c>
      <c r="S23" s="6">
        <v>0</v>
      </c>
      <c r="T23" s="6">
        <v>30115.200000000001</v>
      </c>
      <c r="U23" s="8">
        <v>0.53376000000000001</v>
      </c>
      <c r="V23" s="8">
        <v>1.2999999999999999E-2</v>
      </c>
      <c r="W23" s="8">
        <v>7.5000000000000002E-4</v>
      </c>
    </row>
    <row r="24" spans="1:23">
      <c r="A24" s="12">
        <v>1097</v>
      </c>
      <c r="B24" s="12">
        <v>1097</v>
      </c>
      <c r="C24" s="2" t="s">
        <v>1772</v>
      </c>
      <c r="D24" s="3" t="s">
        <v>1773</v>
      </c>
      <c r="E24" s="2" t="s">
        <v>245</v>
      </c>
      <c r="F24" s="2" t="s">
        <v>1841</v>
      </c>
      <c r="G24" s="12" t="s">
        <v>1842</v>
      </c>
      <c r="H24" s="2" t="s">
        <v>248</v>
      </c>
      <c r="I24" s="2" t="s">
        <v>1770</v>
      </c>
      <c r="J24" s="2" t="s">
        <v>77</v>
      </c>
      <c r="K24" s="2" t="s">
        <v>77</v>
      </c>
      <c r="L24" s="2" t="s">
        <v>130</v>
      </c>
      <c r="M24" s="3" t="s">
        <v>1797</v>
      </c>
      <c r="N24" s="2" t="s">
        <v>78</v>
      </c>
      <c r="O24" s="2" t="s">
        <v>81</v>
      </c>
      <c r="P24" s="6">
        <v>82807</v>
      </c>
      <c r="Q24" s="13">
        <v>1</v>
      </c>
      <c r="R24" s="6">
        <v>8937</v>
      </c>
      <c r="S24" s="6">
        <v>0</v>
      </c>
      <c r="T24" s="6">
        <v>7400.4620000000004</v>
      </c>
      <c r="U24" s="8">
        <v>6.4600000000000005E-2</v>
      </c>
      <c r="V24" s="8">
        <v>3.1900000000000001E-3</v>
      </c>
      <c r="W24" s="8">
        <v>1.8000000000000001E-4</v>
      </c>
    </row>
    <row r="25" spans="1:23">
      <c r="A25" s="12">
        <v>1097</v>
      </c>
      <c r="B25" s="12">
        <v>1097</v>
      </c>
      <c r="C25" s="2" t="s">
        <v>1772</v>
      </c>
      <c r="D25" s="3" t="s">
        <v>1773</v>
      </c>
      <c r="E25" s="2" t="s">
        <v>245</v>
      </c>
      <c r="F25" s="2" t="s">
        <v>1843</v>
      </c>
      <c r="G25" s="12" t="s">
        <v>1844</v>
      </c>
      <c r="H25" s="2" t="s">
        <v>248</v>
      </c>
      <c r="I25" s="2" t="s">
        <v>1770</v>
      </c>
      <c r="J25" s="2" t="s">
        <v>77</v>
      </c>
      <c r="K25" s="2" t="s">
        <v>77</v>
      </c>
      <c r="L25" s="2" t="s">
        <v>130</v>
      </c>
      <c r="M25" s="3" t="s">
        <v>1845</v>
      </c>
      <c r="N25" s="2" t="s">
        <v>78</v>
      </c>
      <c r="O25" s="2" t="s">
        <v>81</v>
      </c>
      <c r="P25" s="6">
        <v>895500</v>
      </c>
      <c r="Q25" s="13">
        <v>1</v>
      </c>
      <c r="R25" s="6">
        <v>2108</v>
      </c>
      <c r="S25" s="6">
        <v>0</v>
      </c>
      <c r="T25" s="6">
        <v>18877.14</v>
      </c>
      <c r="U25" s="8">
        <v>0.88829999999999998</v>
      </c>
      <c r="V25" s="8">
        <v>8.1499999999999993E-3</v>
      </c>
      <c r="W25" s="8">
        <v>4.6999999999999999E-4</v>
      </c>
    </row>
    <row r="26" spans="1:23">
      <c r="A26" s="12">
        <v>1097</v>
      </c>
      <c r="B26" s="12">
        <v>1097</v>
      </c>
      <c r="C26" s="2" t="s">
        <v>1772</v>
      </c>
      <c r="D26" s="3" t="s">
        <v>1773</v>
      </c>
      <c r="E26" s="2" t="s">
        <v>245</v>
      </c>
      <c r="F26" s="2" t="s">
        <v>1846</v>
      </c>
      <c r="G26" s="12" t="s">
        <v>1847</v>
      </c>
      <c r="H26" s="2" t="s">
        <v>248</v>
      </c>
      <c r="I26" s="2" t="s">
        <v>1770</v>
      </c>
      <c r="J26" s="2" t="s">
        <v>77</v>
      </c>
      <c r="K26" s="2" t="s">
        <v>77</v>
      </c>
      <c r="L26" s="2" t="s">
        <v>130</v>
      </c>
      <c r="M26" s="3" t="s">
        <v>1804</v>
      </c>
      <c r="N26" s="2" t="s">
        <v>78</v>
      </c>
      <c r="O26" s="2" t="s">
        <v>81</v>
      </c>
      <c r="P26" s="6">
        <v>2460923</v>
      </c>
      <c r="Q26" s="13">
        <v>1</v>
      </c>
      <c r="R26" s="6">
        <v>3375</v>
      </c>
      <c r="S26" s="6">
        <v>0</v>
      </c>
      <c r="T26" s="6">
        <v>83056.150999999998</v>
      </c>
      <c r="U26" s="8">
        <v>0.43089</v>
      </c>
      <c r="V26" s="8">
        <v>3.585E-2</v>
      </c>
      <c r="W26" s="8">
        <v>2.0600000000000002E-3</v>
      </c>
    </row>
    <row r="27" spans="1:23">
      <c r="A27" s="12">
        <v>1097</v>
      </c>
      <c r="B27" s="12">
        <v>1097</v>
      </c>
      <c r="C27" s="2" t="s">
        <v>1772</v>
      </c>
      <c r="D27" s="3" t="s">
        <v>1773</v>
      </c>
      <c r="E27" s="2" t="s">
        <v>245</v>
      </c>
      <c r="F27" s="2" t="s">
        <v>1848</v>
      </c>
      <c r="G27" s="12" t="s">
        <v>1849</v>
      </c>
      <c r="H27" s="2" t="s">
        <v>248</v>
      </c>
      <c r="I27" s="2" t="s">
        <v>1770</v>
      </c>
      <c r="J27" s="2" t="s">
        <v>77</v>
      </c>
      <c r="K27" s="2" t="s">
        <v>77</v>
      </c>
      <c r="L27" s="2" t="s">
        <v>130</v>
      </c>
      <c r="M27" s="3" t="s">
        <v>1850</v>
      </c>
      <c r="N27" s="2" t="s">
        <v>78</v>
      </c>
      <c r="O27" s="2" t="s">
        <v>81</v>
      </c>
      <c r="P27" s="6">
        <v>576994</v>
      </c>
      <c r="Q27" s="13">
        <v>1</v>
      </c>
      <c r="R27" s="6">
        <v>2729</v>
      </c>
      <c r="S27" s="6">
        <v>0</v>
      </c>
      <c r="T27" s="6">
        <v>15746.165999999999</v>
      </c>
      <c r="U27" s="8">
        <v>0.27462999999999999</v>
      </c>
      <c r="V27" s="8">
        <v>6.7999999999999996E-3</v>
      </c>
      <c r="W27" s="8">
        <v>3.8999999999999999E-4</v>
      </c>
    </row>
    <row r="28" spans="1:23">
      <c r="A28" s="12">
        <v>1097</v>
      </c>
      <c r="B28" s="12">
        <v>1097</v>
      </c>
      <c r="C28" s="2" t="s">
        <v>1772</v>
      </c>
      <c r="D28" s="3" t="s">
        <v>1773</v>
      </c>
      <c r="E28" s="2" t="s">
        <v>245</v>
      </c>
      <c r="F28" s="2" t="s">
        <v>1851</v>
      </c>
      <c r="G28" s="12" t="s">
        <v>1852</v>
      </c>
      <c r="H28" s="2" t="s">
        <v>248</v>
      </c>
      <c r="I28" s="2" t="s">
        <v>1770</v>
      </c>
      <c r="J28" s="2" t="s">
        <v>77</v>
      </c>
      <c r="K28" s="2" t="s">
        <v>77</v>
      </c>
      <c r="L28" s="2" t="s">
        <v>130</v>
      </c>
      <c r="M28" s="3" t="s">
        <v>1807</v>
      </c>
      <c r="N28" s="2" t="s">
        <v>78</v>
      </c>
      <c r="O28" s="2" t="s">
        <v>81</v>
      </c>
      <c r="P28" s="6">
        <v>29056</v>
      </c>
      <c r="Q28" s="13">
        <v>1</v>
      </c>
      <c r="R28" s="6">
        <v>3937</v>
      </c>
      <c r="S28" s="6">
        <v>0</v>
      </c>
      <c r="T28" s="6">
        <v>1143.9349999999999</v>
      </c>
      <c r="U28" s="8">
        <v>2.426E-2</v>
      </c>
      <c r="V28" s="8">
        <v>4.8999999999999998E-4</v>
      </c>
      <c r="W28" s="8">
        <v>3.0000000000000001E-5</v>
      </c>
    </row>
    <row r="29" spans="1:23">
      <c r="A29" s="12">
        <v>1097</v>
      </c>
      <c r="B29" s="12">
        <v>1097</v>
      </c>
      <c r="C29" s="2" t="s">
        <v>1772</v>
      </c>
      <c r="D29" s="3" t="s">
        <v>1773</v>
      </c>
      <c r="E29" s="2" t="s">
        <v>245</v>
      </c>
      <c r="F29" s="2" t="s">
        <v>1853</v>
      </c>
      <c r="G29" s="12" t="s">
        <v>1854</v>
      </c>
      <c r="H29" s="2" t="s">
        <v>248</v>
      </c>
      <c r="I29" s="2" t="s">
        <v>1770</v>
      </c>
      <c r="J29" s="2" t="s">
        <v>77</v>
      </c>
      <c r="K29" s="2" t="s">
        <v>77</v>
      </c>
      <c r="L29" s="2" t="s">
        <v>130</v>
      </c>
      <c r="M29" s="3" t="s">
        <v>1810</v>
      </c>
      <c r="N29" s="2" t="s">
        <v>78</v>
      </c>
      <c r="O29" s="2" t="s">
        <v>81</v>
      </c>
      <c r="P29" s="6">
        <v>149500</v>
      </c>
      <c r="Q29" s="13">
        <v>1</v>
      </c>
      <c r="R29" s="6">
        <v>4320</v>
      </c>
      <c r="S29" s="6">
        <v>0</v>
      </c>
      <c r="T29" s="6">
        <v>6458.4</v>
      </c>
      <c r="U29" s="8">
        <v>9.1539999999999996E-2</v>
      </c>
      <c r="V29" s="8">
        <v>2.7899999999999999E-3</v>
      </c>
      <c r="W29" s="8">
        <v>1.6000000000000001E-4</v>
      </c>
    </row>
    <row r="30" spans="1:23">
      <c r="A30" s="12">
        <v>1097</v>
      </c>
      <c r="B30" s="12">
        <v>1097</v>
      </c>
      <c r="C30" s="2" t="s">
        <v>1772</v>
      </c>
      <c r="D30" s="3" t="s">
        <v>1773</v>
      </c>
      <c r="E30" s="2" t="s">
        <v>245</v>
      </c>
      <c r="F30" s="2" t="s">
        <v>1855</v>
      </c>
      <c r="G30" s="12" t="s">
        <v>1856</v>
      </c>
      <c r="H30" s="2" t="s">
        <v>248</v>
      </c>
      <c r="I30" s="2" t="s">
        <v>1770</v>
      </c>
      <c r="J30" s="2" t="s">
        <v>77</v>
      </c>
      <c r="K30" s="2" t="s">
        <v>77</v>
      </c>
      <c r="L30" s="2" t="s">
        <v>130</v>
      </c>
      <c r="M30" s="3" t="s">
        <v>1857</v>
      </c>
      <c r="N30" s="2" t="s">
        <v>78</v>
      </c>
      <c r="O30" s="2" t="s">
        <v>81</v>
      </c>
      <c r="P30" s="6">
        <v>179300</v>
      </c>
      <c r="Q30" s="13">
        <v>1</v>
      </c>
      <c r="R30" s="6">
        <v>6574</v>
      </c>
      <c r="S30" s="6">
        <v>0</v>
      </c>
      <c r="T30" s="6">
        <v>11787.182000000001</v>
      </c>
      <c r="U30" s="8">
        <v>0.11402</v>
      </c>
      <c r="V30" s="8">
        <v>5.0899999999999999E-3</v>
      </c>
      <c r="W30" s="8">
        <v>2.9E-4</v>
      </c>
    </row>
    <row r="31" spans="1:23">
      <c r="A31" s="12">
        <v>1097</v>
      </c>
      <c r="B31" s="12">
        <v>1097</v>
      </c>
      <c r="C31" s="2" t="s">
        <v>1772</v>
      </c>
      <c r="D31" s="3" t="s">
        <v>1773</v>
      </c>
      <c r="E31" s="2" t="s">
        <v>245</v>
      </c>
      <c r="F31" s="2" t="s">
        <v>1858</v>
      </c>
      <c r="G31" s="12" t="s">
        <v>1859</v>
      </c>
      <c r="H31" s="2" t="s">
        <v>248</v>
      </c>
      <c r="I31" s="2" t="s">
        <v>1770</v>
      </c>
      <c r="J31" s="2" t="s">
        <v>77</v>
      </c>
      <c r="K31" s="2" t="s">
        <v>77</v>
      </c>
      <c r="L31" s="2" t="s">
        <v>130</v>
      </c>
      <c r="M31" s="3" t="s">
        <v>1771</v>
      </c>
      <c r="N31" s="2" t="s">
        <v>78</v>
      </c>
      <c r="O31" s="2" t="s">
        <v>81</v>
      </c>
      <c r="P31" s="6">
        <v>404432</v>
      </c>
      <c r="Q31" s="13">
        <v>1</v>
      </c>
      <c r="R31" s="6">
        <v>8961</v>
      </c>
      <c r="S31" s="6">
        <v>0</v>
      </c>
      <c r="T31" s="6">
        <v>36241.152000000002</v>
      </c>
      <c r="U31" s="8">
        <v>5.5199999999999997E-3</v>
      </c>
      <c r="V31" s="8">
        <v>1.5640000000000001E-2</v>
      </c>
      <c r="W31" s="8">
        <v>8.9999999999999998E-4</v>
      </c>
    </row>
    <row r="32" spans="1:23">
      <c r="A32" s="12">
        <v>1097</v>
      </c>
      <c r="B32" s="12">
        <v>1097</v>
      </c>
      <c r="C32" s="2" t="s">
        <v>1772</v>
      </c>
      <c r="D32" s="3" t="s">
        <v>1773</v>
      </c>
      <c r="E32" s="2" t="s">
        <v>245</v>
      </c>
      <c r="F32" s="2" t="s">
        <v>1860</v>
      </c>
      <c r="G32" s="12" t="s">
        <v>1861</v>
      </c>
      <c r="H32" s="2" t="s">
        <v>248</v>
      </c>
      <c r="I32" s="2" t="s">
        <v>1770</v>
      </c>
      <c r="J32" s="2" t="s">
        <v>77</v>
      </c>
      <c r="K32" s="2" t="s">
        <v>77</v>
      </c>
      <c r="L32" s="2" t="s">
        <v>130</v>
      </c>
      <c r="M32" s="3" t="s">
        <v>1786</v>
      </c>
      <c r="N32" s="2" t="s">
        <v>78</v>
      </c>
      <c r="O32" s="2" t="s">
        <v>81</v>
      </c>
      <c r="P32" s="6">
        <v>94900</v>
      </c>
      <c r="Q32" s="13">
        <v>1</v>
      </c>
      <c r="R32" s="6">
        <v>7260</v>
      </c>
      <c r="S32" s="6">
        <v>0</v>
      </c>
      <c r="T32" s="6">
        <v>6889.74</v>
      </c>
      <c r="U32" s="8">
        <v>0.55086000000000002</v>
      </c>
      <c r="V32" s="8">
        <v>2.97E-3</v>
      </c>
      <c r="W32" s="8">
        <v>1.7000000000000001E-4</v>
      </c>
    </row>
    <row r="33" spans="1:23">
      <c r="A33" s="12">
        <v>1097</v>
      </c>
      <c r="B33" s="12">
        <v>1097</v>
      </c>
      <c r="C33" s="2" t="s">
        <v>1772</v>
      </c>
      <c r="D33" s="3" t="s">
        <v>1773</v>
      </c>
      <c r="E33" s="2" t="s">
        <v>245</v>
      </c>
      <c r="F33" s="2" t="s">
        <v>1862</v>
      </c>
      <c r="G33" s="12" t="s">
        <v>1863</v>
      </c>
      <c r="H33" s="2" t="s">
        <v>248</v>
      </c>
      <c r="I33" s="2" t="s">
        <v>1770</v>
      </c>
      <c r="J33" s="2" t="s">
        <v>77</v>
      </c>
      <c r="K33" s="2" t="s">
        <v>77</v>
      </c>
      <c r="L33" s="2" t="s">
        <v>130</v>
      </c>
      <c r="M33" s="3" t="s">
        <v>1786</v>
      </c>
      <c r="N33" s="2" t="s">
        <v>78</v>
      </c>
      <c r="O33" s="2" t="s">
        <v>81</v>
      </c>
      <c r="P33" s="6">
        <v>55970</v>
      </c>
      <c r="Q33" s="13">
        <v>1</v>
      </c>
      <c r="R33" s="6">
        <v>3125</v>
      </c>
      <c r="S33" s="6">
        <v>0</v>
      </c>
      <c r="T33" s="6">
        <v>1749.0630000000001</v>
      </c>
      <c r="U33" s="8">
        <v>6.3750000000000001E-2</v>
      </c>
      <c r="V33" s="8">
        <v>7.5000000000000002E-4</v>
      </c>
      <c r="W33" s="8">
        <v>4.0000000000000003E-5</v>
      </c>
    </row>
    <row r="34" spans="1:23">
      <c r="A34" s="12">
        <v>1097</v>
      </c>
      <c r="B34" s="12">
        <v>1097</v>
      </c>
      <c r="C34" s="2" t="s">
        <v>1772</v>
      </c>
      <c r="D34" s="3" t="s">
        <v>1773</v>
      </c>
      <c r="E34" s="2" t="s">
        <v>245</v>
      </c>
      <c r="F34" s="2" t="s">
        <v>1864</v>
      </c>
      <c r="G34" s="12" t="s">
        <v>1865</v>
      </c>
      <c r="H34" s="2" t="s">
        <v>248</v>
      </c>
      <c r="I34" s="2" t="s">
        <v>1770</v>
      </c>
      <c r="J34" s="2" t="s">
        <v>77</v>
      </c>
      <c r="K34" s="2" t="s">
        <v>77</v>
      </c>
      <c r="L34" s="2" t="s">
        <v>130</v>
      </c>
      <c r="M34" s="3" t="s">
        <v>1866</v>
      </c>
      <c r="N34" s="2" t="s">
        <v>78</v>
      </c>
      <c r="O34" s="2" t="s">
        <v>81</v>
      </c>
      <c r="P34" s="6">
        <v>221980</v>
      </c>
      <c r="Q34" s="13">
        <v>1</v>
      </c>
      <c r="R34" s="6">
        <v>5392</v>
      </c>
      <c r="S34" s="6">
        <v>0</v>
      </c>
      <c r="T34" s="6">
        <v>11969.162</v>
      </c>
      <c r="U34" s="8">
        <v>0.27415</v>
      </c>
      <c r="V34" s="8">
        <v>5.1700000000000001E-3</v>
      </c>
      <c r="W34" s="8">
        <v>2.9999999999999997E-4</v>
      </c>
    </row>
    <row r="35" spans="1:23">
      <c r="A35" s="12">
        <v>1097</v>
      </c>
      <c r="B35" s="12">
        <v>1097</v>
      </c>
      <c r="C35" s="2" t="s">
        <v>1772</v>
      </c>
      <c r="D35" s="3" t="s">
        <v>1773</v>
      </c>
      <c r="E35" s="2" t="s">
        <v>245</v>
      </c>
      <c r="F35" s="2" t="s">
        <v>1867</v>
      </c>
      <c r="G35" s="12" t="s">
        <v>1868</v>
      </c>
      <c r="H35" s="2" t="s">
        <v>248</v>
      </c>
      <c r="I35" s="2" t="s">
        <v>1770</v>
      </c>
      <c r="J35" s="2" t="s">
        <v>77</v>
      </c>
      <c r="K35" s="2" t="s">
        <v>77</v>
      </c>
      <c r="L35" s="2" t="s">
        <v>130</v>
      </c>
      <c r="M35" s="3" t="s">
        <v>1845</v>
      </c>
      <c r="N35" s="2" t="s">
        <v>78</v>
      </c>
      <c r="O35" s="2" t="s">
        <v>81</v>
      </c>
      <c r="P35" s="6">
        <v>26465</v>
      </c>
      <c r="Q35" s="13">
        <v>1</v>
      </c>
      <c r="R35" s="6">
        <v>4499</v>
      </c>
      <c r="S35" s="6">
        <v>0</v>
      </c>
      <c r="T35" s="6">
        <v>1190.6600000000001</v>
      </c>
      <c r="U35" s="8">
        <v>1.891E-2</v>
      </c>
      <c r="V35" s="8">
        <v>5.1000000000000004E-4</v>
      </c>
      <c r="W35" s="8">
        <v>3.0000000000000001E-5</v>
      </c>
    </row>
    <row r="36" spans="1:23">
      <c r="A36" s="12">
        <v>1097</v>
      </c>
      <c r="B36" s="12">
        <v>1097</v>
      </c>
      <c r="C36" s="2" t="s">
        <v>1772</v>
      </c>
      <c r="D36" s="3" t="s">
        <v>1773</v>
      </c>
      <c r="E36" s="2" t="s">
        <v>245</v>
      </c>
      <c r="F36" s="2" t="s">
        <v>1869</v>
      </c>
      <c r="G36" s="12" t="s">
        <v>1870</v>
      </c>
      <c r="H36" s="2" t="s">
        <v>248</v>
      </c>
      <c r="I36" s="2" t="s">
        <v>1770</v>
      </c>
      <c r="J36" s="2" t="s">
        <v>77</v>
      </c>
      <c r="K36" s="2" t="s">
        <v>77</v>
      </c>
      <c r="L36" s="2" t="s">
        <v>130</v>
      </c>
      <c r="M36" s="3" t="s">
        <v>1786</v>
      </c>
      <c r="N36" s="2" t="s">
        <v>78</v>
      </c>
      <c r="O36" s="2" t="s">
        <v>81</v>
      </c>
      <c r="P36" s="6">
        <v>162200</v>
      </c>
      <c r="Q36" s="13">
        <v>1</v>
      </c>
      <c r="R36" s="6">
        <v>6959</v>
      </c>
      <c r="S36" s="6">
        <v>0</v>
      </c>
      <c r="T36" s="6">
        <v>11287.498</v>
      </c>
      <c r="U36" s="8">
        <v>0.20405999999999999</v>
      </c>
      <c r="V36" s="8">
        <v>4.8700000000000002E-3</v>
      </c>
      <c r="W36" s="8">
        <v>2.7999999999999998E-4</v>
      </c>
    </row>
    <row r="37" spans="1:23">
      <c r="A37" s="12">
        <v>1097</v>
      </c>
      <c r="B37" s="12">
        <v>1097</v>
      </c>
      <c r="C37" s="2" t="s">
        <v>1772</v>
      </c>
      <c r="D37" s="3" t="s">
        <v>1773</v>
      </c>
      <c r="E37" s="2" t="s">
        <v>245</v>
      </c>
      <c r="F37" s="2" t="s">
        <v>1871</v>
      </c>
      <c r="G37" s="12" t="s">
        <v>1872</v>
      </c>
      <c r="H37" s="2" t="s">
        <v>248</v>
      </c>
      <c r="I37" s="2" t="s">
        <v>1770</v>
      </c>
      <c r="J37" s="2" t="s">
        <v>77</v>
      </c>
      <c r="K37" s="2" t="s">
        <v>77</v>
      </c>
      <c r="L37" s="2" t="s">
        <v>130</v>
      </c>
      <c r="M37" s="3" t="s">
        <v>1815</v>
      </c>
      <c r="N37" s="2" t="s">
        <v>78</v>
      </c>
      <c r="O37" s="2" t="s">
        <v>81</v>
      </c>
      <c r="P37" s="6">
        <v>250699</v>
      </c>
      <c r="Q37" s="13">
        <v>1</v>
      </c>
      <c r="R37" s="6">
        <v>4605</v>
      </c>
      <c r="S37" s="6">
        <v>0</v>
      </c>
      <c r="T37" s="6">
        <v>11544.689</v>
      </c>
      <c r="U37" s="8">
        <v>0.16899</v>
      </c>
      <c r="V37" s="8">
        <v>4.9800000000000001E-3</v>
      </c>
      <c r="W37" s="8">
        <v>2.9E-4</v>
      </c>
    </row>
    <row r="38" spans="1:23">
      <c r="A38" s="12">
        <v>1097</v>
      </c>
      <c r="B38" s="12">
        <v>1097</v>
      </c>
      <c r="C38" s="2" t="s">
        <v>1772</v>
      </c>
      <c r="D38" s="3" t="s">
        <v>1773</v>
      </c>
      <c r="E38" s="2" t="s">
        <v>245</v>
      </c>
      <c r="F38" s="2" t="s">
        <v>1873</v>
      </c>
      <c r="G38" s="12" t="s">
        <v>1874</v>
      </c>
      <c r="H38" s="2" t="s">
        <v>248</v>
      </c>
      <c r="I38" s="2" t="s">
        <v>1770</v>
      </c>
      <c r="J38" s="2" t="s">
        <v>77</v>
      </c>
      <c r="K38" s="2" t="s">
        <v>77</v>
      </c>
      <c r="L38" s="2" t="s">
        <v>130</v>
      </c>
      <c r="M38" s="3" t="s">
        <v>1875</v>
      </c>
      <c r="N38" s="2" t="s">
        <v>78</v>
      </c>
      <c r="O38" s="2" t="s">
        <v>81</v>
      </c>
      <c r="P38" s="6">
        <v>404260</v>
      </c>
      <c r="Q38" s="13">
        <v>1</v>
      </c>
      <c r="R38" s="6">
        <v>5312</v>
      </c>
      <c r="S38" s="6">
        <v>0</v>
      </c>
      <c r="T38" s="6">
        <v>21474.291000000001</v>
      </c>
      <c r="U38" s="8">
        <v>0.20976</v>
      </c>
      <c r="V38" s="8">
        <v>9.2700000000000005E-3</v>
      </c>
      <c r="W38" s="8">
        <v>5.2999999999999998E-4</v>
      </c>
    </row>
    <row r="39" spans="1:23">
      <c r="A39" s="12">
        <v>1097</v>
      </c>
      <c r="B39" s="12">
        <v>1097</v>
      </c>
      <c r="C39" s="2" t="s">
        <v>1772</v>
      </c>
      <c r="D39" s="3" t="s">
        <v>1773</v>
      </c>
      <c r="E39" s="2" t="s">
        <v>245</v>
      </c>
      <c r="F39" s="2" t="s">
        <v>1876</v>
      </c>
      <c r="G39" s="12" t="s">
        <v>1877</v>
      </c>
      <c r="H39" s="2" t="s">
        <v>248</v>
      </c>
      <c r="I39" s="2" t="s">
        <v>1878</v>
      </c>
      <c r="J39" s="2" t="s">
        <v>77</v>
      </c>
      <c r="K39" s="2" t="s">
        <v>77</v>
      </c>
      <c r="L39" s="2" t="s">
        <v>130</v>
      </c>
      <c r="M39" s="3" t="s">
        <v>1879</v>
      </c>
      <c r="N39" s="2" t="s">
        <v>78</v>
      </c>
      <c r="O39" s="2" t="s">
        <v>81</v>
      </c>
      <c r="P39" s="6">
        <v>72730559</v>
      </c>
      <c r="Q39" s="13">
        <v>1</v>
      </c>
      <c r="R39" s="6">
        <v>105.7</v>
      </c>
      <c r="S39" s="6">
        <v>0</v>
      </c>
      <c r="T39" s="6">
        <v>76876.201000000001</v>
      </c>
      <c r="U39" s="8">
        <v>0.58445999999999998</v>
      </c>
      <c r="V39" s="8">
        <v>3.3180000000000001E-2</v>
      </c>
      <c r="W39" s="8">
        <v>1.91E-3</v>
      </c>
    </row>
    <row r="40" spans="1:23">
      <c r="A40" s="12">
        <v>1097</v>
      </c>
      <c r="B40" s="12">
        <v>1097</v>
      </c>
      <c r="C40" s="2" t="s">
        <v>1772</v>
      </c>
      <c r="D40" s="3" t="s">
        <v>1773</v>
      </c>
      <c r="E40" s="2" t="s">
        <v>245</v>
      </c>
      <c r="F40" s="2" t="s">
        <v>1880</v>
      </c>
      <c r="G40" s="12" t="s">
        <v>1881</v>
      </c>
      <c r="H40" s="2" t="s">
        <v>248</v>
      </c>
      <c r="I40" s="2" t="s">
        <v>1770</v>
      </c>
      <c r="J40" s="2" t="s">
        <v>77</v>
      </c>
      <c r="K40" s="2" t="s">
        <v>77</v>
      </c>
      <c r="L40" s="2" t="s">
        <v>130</v>
      </c>
      <c r="M40" s="3" t="s">
        <v>1786</v>
      </c>
      <c r="N40" s="2" t="s">
        <v>78</v>
      </c>
      <c r="O40" s="2" t="s">
        <v>81</v>
      </c>
      <c r="P40" s="6">
        <v>1310000</v>
      </c>
      <c r="Q40" s="13">
        <v>1</v>
      </c>
      <c r="R40" s="6">
        <v>4299</v>
      </c>
      <c r="S40" s="6">
        <v>0</v>
      </c>
      <c r="T40" s="6">
        <v>56316.9</v>
      </c>
      <c r="U40" s="8">
        <v>0.84565999999999997</v>
      </c>
      <c r="V40" s="8">
        <v>2.4309999999999998E-2</v>
      </c>
      <c r="W40" s="8">
        <v>1.4E-3</v>
      </c>
    </row>
    <row r="41" spans="1:23">
      <c r="A41" s="12">
        <v>1097</v>
      </c>
      <c r="B41" s="12">
        <v>1097</v>
      </c>
      <c r="C41" s="2" t="s">
        <v>1772</v>
      </c>
      <c r="D41" s="3" t="s">
        <v>1773</v>
      </c>
      <c r="E41" s="2" t="s">
        <v>245</v>
      </c>
      <c r="F41" s="2" t="s">
        <v>1882</v>
      </c>
      <c r="G41" s="12" t="s">
        <v>1883</v>
      </c>
      <c r="H41" s="2" t="s">
        <v>248</v>
      </c>
      <c r="I41" s="2" t="s">
        <v>1770</v>
      </c>
      <c r="J41" s="2" t="s">
        <v>77</v>
      </c>
      <c r="K41" s="2" t="s">
        <v>77</v>
      </c>
      <c r="L41" s="2" t="s">
        <v>130</v>
      </c>
      <c r="M41" s="3" t="s">
        <v>1884</v>
      </c>
      <c r="N41" s="2" t="s">
        <v>78</v>
      </c>
      <c r="O41" s="2" t="s">
        <v>81</v>
      </c>
      <c r="P41" s="6">
        <v>290700</v>
      </c>
      <c r="Q41" s="13">
        <v>1</v>
      </c>
      <c r="R41" s="6">
        <v>3150</v>
      </c>
      <c r="S41" s="6">
        <v>0</v>
      </c>
      <c r="T41" s="6">
        <v>9157.0499999999993</v>
      </c>
      <c r="U41" s="8">
        <v>0.28714000000000001</v>
      </c>
      <c r="V41" s="8">
        <v>3.9500000000000004E-3</v>
      </c>
      <c r="W41" s="8">
        <v>2.3000000000000001E-4</v>
      </c>
    </row>
    <row r="42" spans="1:23">
      <c r="A42" s="12">
        <v>1097</v>
      </c>
      <c r="B42" s="12">
        <v>1097</v>
      </c>
      <c r="C42" s="2" t="s">
        <v>1772</v>
      </c>
      <c r="D42" s="3" t="s">
        <v>1773</v>
      </c>
      <c r="E42" s="2" t="s">
        <v>245</v>
      </c>
      <c r="F42" s="2" t="s">
        <v>1885</v>
      </c>
      <c r="G42" s="12" t="s">
        <v>1886</v>
      </c>
      <c r="H42" s="2" t="s">
        <v>248</v>
      </c>
      <c r="I42" s="2" t="s">
        <v>1781</v>
      </c>
      <c r="J42" s="2" t="s">
        <v>77</v>
      </c>
      <c r="K42" s="2" t="s">
        <v>77</v>
      </c>
      <c r="L42" s="2" t="s">
        <v>130</v>
      </c>
      <c r="M42" s="3" t="s">
        <v>1887</v>
      </c>
      <c r="N42" s="2" t="s">
        <v>78</v>
      </c>
      <c r="O42" s="2" t="s">
        <v>81</v>
      </c>
      <c r="P42" s="6">
        <v>1491042</v>
      </c>
      <c r="Q42" s="13">
        <v>1</v>
      </c>
      <c r="R42" s="6">
        <v>3968</v>
      </c>
      <c r="S42" s="6">
        <v>0</v>
      </c>
      <c r="T42" s="6">
        <v>59164.546999999999</v>
      </c>
      <c r="U42" s="8">
        <v>5.9400000000000001E-2</v>
      </c>
      <c r="V42" s="8">
        <v>2.554E-2</v>
      </c>
      <c r="W42" s="8">
        <v>1.47E-3</v>
      </c>
    </row>
    <row r="43" spans="1:23">
      <c r="A43" s="12">
        <v>1097</v>
      </c>
      <c r="B43" s="12">
        <v>1097</v>
      </c>
      <c r="C43" s="2" t="s">
        <v>1772</v>
      </c>
      <c r="D43" s="3" t="s">
        <v>1773</v>
      </c>
      <c r="E43" s="2" t="s">
        <v>245</v>
      </c>
      <c r="F43" s="2" t="s">
        <v>1888</v>
      </c>
      <c r="G43" s="12" t="s">
        <v>1889</v>
      </c>
      <c r="H43" s="2" t="s">
        <v>248</v>
      </c>
      <c r="I43" s="2" t="s">
        <v>1781</v>
      </c>
      <c r="J43" s="2" t="s">
        <v>77</v>
      </c>
      <c r="K43" s="2" t="s">
        <v>77</v>
      </c>
      <c r="L43" s="2" t="s">
        <v>130</v>
      </c>
      <c r="M43" s="3" t="s">
        <v>1818</v>
      </c>
      <c r="N43" s="2" t="s">
        <v>78</v>
      </c>
      <c r="O43" s="2" t="s">
        <v>81</v>
      </c>
      <c r="P43" s="6">
        <v>762000</v>
      </c>
      <c r="Q43" s="13">
        <v>1</v>
      </c>
      <c r="R43" s="6">
        <v>4530</v>
      </c>
      <c r="S43" s="6">
        <v>0</v>
      </c>
      <c r="T43" s="6">
        <v>34518.6</v>
      </c>
      <c r="U43" s="8">
        <v>1.4160000000000001E-2</v>
      </c>
      <c r="V43" s="8">
        <v>1.49E-2</v>
      </c>
      <c r="W43" s="8">
        <v>8.5999999999999998E-4</v>
      </c>
    </row>
    <row r="44" spans="1:23">
      <c r="A44" s="12">
        <v>1097</v>
      </c>
      <c r="B44" s="12">
        <v>1097</v>
      </c>
      <c r="C44" s="2" t="s">
        <v>1772</v>
      </c>
      <c r="D44" s="3" t="s">
        <v>1773</v>
      </c>
      <c r="E44" s="2" t="s">
        <v>245</v>
      </c>
      <c r="F44" s="2" t="s">
        <v>1890</v>
      </c>
      <c r="G44" s="12" t="s">
        <v>1891</v>
      </c>
      <c r="H44" s="2" t="s">
        <v>248</v>
      </c>
      <c r="I44" s="2" t="s">
        <v>1781</v>
      </c>
      <c r="J44" s="2" t="s">
        <v>77</v>
      </c>
      <c r="K44" s="2" t="s">
        <v>77</v>
      </c>
      <c r="L44" s="2" t="s">
        <v>130</v>
      </c>
      <c r="M44" s="3" t="s">
        <v>1892</v>
      </c>
      <c r="N44" s="2" t="s">
        <v>78</v>
      </c>
      <c r="O44" s="2" t="s">
        <v>81</v>
      </c>
      <c r="P44" s="6">
        <v>4500000</v>
      </c>
      <c r="Q44" s="13">
        <v>1</v>
      </c>
      <c r="R44" s="6">
        <v>510</v>
      </c>
      <c r="S44" s="6">
        <v>0</v>
      </c>
      <c r="T44" s="6">
        <v>22950</v>
      </c>
      <c r="U44" s="8">
        <v>0.48014000000000001</v>
      </c>
      <c r="V44" s="8">
        <v>9.9100000000000004E-3</v>
      </c>
      <c r="W44" s="8">
        <v>5.6999999999999998E-4</v>
      </c>
    </row>
    <row r="45" spans="1:23">
      <c r="A45" s="12">
        <v>1097</v>
      </c>
      <c r="B45" s="12">
        <v>1097</v>
      </c>
      <c r="C45" s="2" t="s">
        <v>1772</v>
      </c>
      <c r="D45" s="3" t="s">
        <v>1773</v>
      </c>
      <c r="E45" s="2" t="s">
        <v>245</v>
      </c>
      <c r="F45" s="2" t="s">
        <v>1893</v>
      </c>
      <c r="G45" s="12" t="s">
        <v>1894</v>
      </c>
      <c r="H45" s="2" t="s">
        <v>248</v>
      </c>
      <c r="I45" s="2" t="s">
        <v>1781</v>
      </c>
      <c r="J45" s="2" t="s">
        <v>77</v>
      </c>
      <c r="K45" s="2" t="s">
        <v>77</v>
      </c>
      <c r="L45" s="2" t="s">
        <v>130</v>
      </c>
      <c r="M45" s="3" t="s">
        <v>1892</v>
      </c>
      <c r="N45" s="2" t="s">
        <v>78</v>
      </c>
      <c r="O45" s="2" t="s">
        <v>81</v>
      </c>
      <c r="P45" s="6">
        <v>2717000</v>
      </c>
      <c r="Q45" s="13">
        <v>1</v>
      </c>
      <c r="R45" s="6">
        <v>1476</v>
      </c>
      <c r="S45" s="6">
        <v>0</v>
      </c>
      <c r="T45" s="6">
        <v>40102.92</v>
      </c>
      <c r="U45" s="8">
        <v>0.56593000000000004</v>
      </c>
      <c r="V45" s="8">
        <v>1.7309999999999999E-2</v>
      </c>
      <c r="W45" s="8">
        <v>1E-3</v>
      </c>
    </row>
    <row r="46" spans="1:23">
      <c r="A46" s="12">
        <v>1097</v>
      </c>
      <c r="B46" s="12">
        <v>1097</v>
      </c>
      <c r="C46" s="2" t="s">
        <v>1772</v>
      </c>
      <c r="D46" s="3" t="s">
        <v>1773</v>
      </c>
      <c r="E46" s="2" t="s">
        <v>245</v>
      </c>
      <c r="F46" s="2" t="s">
        <v>1895</v>
      </c>
      <c r="G46" s="12" t="s">
        <v>1896</v>
      </c>
      <c r="H46" s="2" t="s">
        <v>248</v>
      </c>
      <c r="I46" s="2" t="s">
        <v>1785</v>
      </c>
      <c r="J46" s="2" t="s">
        <v>77</v>
      </c>
      <c r="K46" s="2" t="s">
        <v>77</v>
      </c>
      <c r="L46" s="2" t="s">
        <v>130</v>
      </c>
      <c r="M46" s="3" t="s">
        <v>1824</v>
      </c>
      <c r="N46" s="2" t="s">
        <v>78</v>
      </c>
      <c r="O46" s="2" t="s">
        <v>81</v>
      </c>
      <c r="P46" s="6">
        <v>11030000</v>
      </c>
      <c r="Q46" s="13">
        <v>1</v>
      </c>
      <c r="R46" s="6">
        <v>486.63</v>
      </c>
      <c r="S46" s="6">
        <v>0</v>
      </c>
      <c r="T46" s="6">
        <v>53675.288999999997</v>
      </c>
      <c r="U46" s="8">
        <v>0.11779000000000001</v>
      </c>
      <c r="V46" s="8">
        <v>2.317E-2</v>
      </c>
      <c r="W46" s="8">
        <v>1.33E-3</v>
      </c>
    </row>
    <row r="47" spans="1:23">
      <c r="A47" s="12">
        <v>1097</v>
      </c>
      <c r="B47" s="12">
        <v>1097</v>
      </c>
      <c r="C47" s="2" t="s">
        <v>1772</v>
      </c>
      <c r="D47" s="3" t="s">
        <v>1773</v>
      </c>
      <c r="E47" s="2" t="s">
        <v>245</v>
      </c>
      <c r="F47" s="2" t="s">
        <v>1897</v>
      </c>
      <c r="G47" s="12" t="s">
        <v>1898</v>
      </c>
      <c r="H47" s="2" t="s">
        <v>248</v>
      </c>
      <c r="I47" s="2" t="s">
        <v>1785</v>
      </c>
      <c r="J47" s="2" t="s">
        <v>77</v>
      </c>
      <c r="K47" s="2" t="s">
        <v>77</v>
      </c>
      <c r="L47" s="2" t="s">
        <v>130</v>
      </c>
      <c r="M47" s="3" t="s">
        <v>1830</v>
      </c>
      <c r="N47" s="2" t="s">
        <v>78</v>
      </c>
      <c r="O47" s="2" t="s">
        <v>81</v>
      </c>
      <c r="P47" s="6">
        <v>935169</v>
      </c>
      <c r="Q47" s="13">
        <v>1</v>
      </c>
      <c r="R47" s="6">
        <v>488.99</v>
      </c>
      <c r="S47" s="6">
        <v>0</v>
      </c>
      <c r="T47" s="6">
        <v>4572.8829999999998</v>
      </c>
      <c r="U47" s="8">
        <v>5.8199999999999997E-3</v>
      </c>
      <c r="V47" s="8">
        <v>1.97E-3</v>
      </c>
      <c r="W47" s="8">
        <v>1.1E-4</v>
      </c>
    </row>
    <row r="48" spans="1:23">
      <c r="A48" s="12">
        <v>1097</v>
      </c>
      <c r="B48" s="12">
        <v>1097</v>
      </c>
      <c r="C48" s="2" t="s">
        <v>1772</v>
      </c>
      <c r="D48" s="3" t="s">
        <v>1773</v>
      </c>
      <c r="E48" s="2" t="s">
        <v>245</v>
      </c>
      <c r="F48" s="2" t="s">
        <v>1899</v>
      </c>
      <c r="G48" s="12" t="s">
        <v>1900</v>
      </c>
      <c r="H48" s="2" t="s">
        <v>248</v>
      </c>
      <c r="I48" s="2" t="s">
        <v>1785</v>
      </c>
      <c r="J48" s="2" t="s">
        <v>77</v>
      </c>
      <c r="K48" s="2" t="s">
        <v>77</v>
      </c>
      <c r="L48" s="2" t="s">
        <v>130</v>
      </c>
      <c r="M48" s="3" t="s">
        <v>1833</v>
      </c>
      <c r="N48" s="2" t="s">
        <v>78</v>
      </c>
      <c r="O48" s="2" t="s">
        <v>81</v>
      </c>
      <c r="P48" s="6">
        <v>1586186</v>
      </c>
      <c r="Q48" s="13">
        <v>1</v>
      </c>
      <c r="R48" s="6">
        <v>482.69</v>
      </c>
      <c r="S48" s="6">
        <v>0</v>
      </c>
      <c r="T48" s="6">
        <v>7656.3609999999999</v>
      </c>
      <c r="U48" s="8">
        <v>1.0460000000000001E-2</v>
      </c>
      <c r="V48" s="8">
        <v>3.3E-3</v>
      </c>
      <c r="W48" s="8">
        <v>1.9000000000000001E-4</v>
      </c>
    </row>
    <row r="49" spans="1:23">
      <c r="A49" s="12">
        <v>1097</v>
      </c>
      <c r="B49" s="12">
        <v>1097</v>
      </c>
      <c r="C49" s="2" t="s">
        <v>1772</v>
      </c>
      <c r="D49" s="3" t="s">
        <v>1773</v>
      </c>
      <c r="E49" s="2" t="s">
        <v>245</v>
      </c>
      <c r="F49" s="2" t="s">
        <v>1901</v>
      </c>
      <c r="G49" s="12" t="s">
        <v>1902</v>
      </c>
      <c r="H49" s="2" t="s">
        <v>248</v>
      </c>
      <c r="I49" s="2" t="s">
        <v>1785</v>
      </c>
      <c r="J49" s="2" t="s">
        <v>77</v>
      </c>
      <c r="K49" s="2" t="s">
        <v>77</v>
      </c>
      <c r="L49" s="2" t="s">
        <v>130</v>
      </c>
      <c r="M49" s="3" t="s">
        <v>1903</v>
      </c>
      <c r="N49" s="2" t="s">
        <v>78</v>
      </c>
      <c r="O49" s="2" t="s">
        <v>81</v>
      </c>
      <c r="P49" s="6">
        <v>7750200</v>
      </c>
      <c r="Q49" s="13">
        <v>1</v>
      </c>
      <c r="R49" s="6">
        <v>419.25</v>
      </c>
      <c r="S49" s="6">
        <v>0</v>
      </c>
      <c r="T49" s="6">
        <v>32492.714</v>
      </c>
      <c r="U49" s="8">
        <v>0.53108</v>
      </c>
      <c r="V49" s="8">
        <v>1.4030000000000001E-2</v>
      </c>
      <c r="W49" s="8">
        <v>8.0999999999999996E-4</v>
      </c>
    </row>
    <row r="50" spans="1:23">
      <c r="A50" s="12">
        <v>1097</v>
      </c>
      <c r="B50" s="12">
        <v>1097</v>
      </c>
      <c r="C50" s="2" t="s">
        <v>1904</v>
      </c>
      <c r="D50" s="3" t="s">
        <v>1905</v>
      </c>
      <c r="E50" s="2" t="s">
        <v>245</v>
      </c>
      <c r="F50" s="2" t="s">
        <v>1906</v>
      </c>
      <c r="G50" s="12" t="s">
        <v>1907</v>
      </c>
      <c r="H50" s="2" t="s">
        <v>248</v>
      </c>
      <c r="I50" s="2" t="s">
        <v>1770</v>
      </c>
      <c r="J50" s="2" t="s">
        <v>77</v>
      </c>
      <c r="K50" s="2" t="s">
        <v>77</v>
      </c>
      <c r="L50" s="2" t="s">
        <v>130</v>
      </c>
      <c r="M50" s="3" t="s">
        <v>1836</v>
      </c>
      <c r="N50" s="2" t="s">
        <v>78</v>
      </c>
      <c r="O50" s="2" t="s">
        <v>81</v>
      </c>
      <c r="P50" s="6">
        <v>48600</v>
      </c>
      <c r="Q50" s="13">
        <v>1</v>
      </c>
      <c r="R50" s="6">
        <v>11570</v>
      </c>
      <c r="S50" s="6">
        <v>0</v>
      </c>
      <c r="T50" s="6">
        <v>5623.02</v>
      </c>
      <c r="U50" s="8">
        <v>7.3000000000000001E-3</v>
      </c>
      <c r="V50" s="8">
        <v>2.4299999999999999E-3</v>
      </c>
      <c r="W50" s="8">
        <v>1.3999999999999999E-4</v>
      </c>
    </row>
    <row r="51" spans="1:23">
      <c r="A51" s="12">
        <v>1097</v>
      </c>
      <c r="B51" s="12">
        <v>1097</v>
      </c>
      <c r="C51" s="2" t="s">
        <v>1904</v>
      </c>
      <c r="D51" s="3" t="s">
        <v>1905</v>
      </c>
      <c r="E51" s="2" t="s">
        <v>245</v>
      </c>
      <c r="F51" s="2" t="s">
        <v>1908</v>
      </c>
      <c r="G51" s="12" t="s">
        <v>1909</v>
      </c>
      <c r="H51" s="2" t="s">
        <v>248</v>
      </c>
      <c r="I51" s="2" t="s">
        <v>1770</v>
      </c>
      <c r="J51" s="2" t="s">
        <v>77</v>
      </c>
      <c r="K51" s="2" t="s">
        <v>77</v>
      </c>
      <c r="L51" s="2" t="s">
        <v>130</v>
      </c>
      <c r="M51" s="3" t="s">
        <v>1792</v>
      </c>
      <c r="N51" s="2" t="s">
        <v>78</v>
      </c>
      <c r="O51" s="2" t="s">
        <v>81</v>
      </c>
      <c r="P51" s="6">
        <v>299044</v>
      </c>
      <c r="Q51" s="13">
        <v>1</v>
      </c>
      <c r="R51" s="6">
        <v>10530</v>
      </c>
      <c r="S51" s="6">
        <v>0</v>
      </c>
      <c r="T51" s="6">
        <v>31489.332999999999</v>
      </c>
      <c r="U51" s="8">
        <v>1.9369999999999998E-2</v>
      </c>
      <c r="V51" s="8">
        <v>1.359E-2</v>
      </c>
      <c r="W51" s="8">
        <v>7.7999999999999999E-4</v>
      </c>
    </row>
    <row r="52" spans="1:23">
      <c r="A52" s="12">
        <v>1097</v>
      </c>
      <c r="B52" s="12">
        <v>1097</v>
      </c>
      <c r="C52" s="2" t="s">
        <v>1904</v>
      </c>
      <c r="D52" s="3" t="s">
        <v>1905</v>
      </c>
      <c r="E52" s="2" t="s">
        <v>245</v>
      </c>
      <c r="F52" s="2" t="s">
        <v>1910</v>
      </c>
      <c r="G52" s="12" t="s">
        <v>1911</v>
      </c>
      <c r="H52" s="2" t="s">
        <v>248</v>
      </c>
      <c r="I52" s="2" t="s">
        <v>1770</v>
      </c>
      <c r="J52" s="2" t="s">
        <v>77</v>
      </c>
      <c r="K52" s="2" t="s">
        <v>77</v>
      </c>
      <c r="L52" s="2" t="s">
        <v>130</v>
      </c>
      <c r="M52" s="3" t="s">
        <v>1771</v>
      </c>
      <c r="N52" s="2" t="s">
        <v>78</v>
      </c>
      <c r="O52" s="2" t="s">
        <v>81</v>
      </c>
      <c r="P52" s="6">
        <v>258900</v>
      </c>
      <c r="Q52" s="13">
        <v>1</v>
      </c>
      <c r="R52" s="6">
        <v>10390</v>
      </c>
      <c r="S52" s="6">
        <v>0</v>
      </c>
      <c r="T52" s="6">
        <v>26899.71</v>
      </c>
      <c r="U52" s="8">
        <v>4.2300000000000003E-3</v>
      </c>
      <c r="V52" s="8">
        <v>1.1610000000000001E-2</v>
      </c>
      <c r="W52" s="8">
        <v>6.7000000000000002E-4</v>
      </c>
    </row>
    <row r="53" spans="1:23">
      <c r="A53" s="12">
        <v>1097</v>
      </c>
      <c r="B53" s="12">
        <v>1097</v>
      </c>
      <c r="C53" s="2" t="s">
        <v>1904</v>
      </c>
      <c r="D53" s="3" t="s">
        <v>1905</v>
      </c>
      <c r="E53" s="2" t="s">
        <v>245</v>
      </c>
      <c r="F53" s="2" t="s">
        <v>1912</v>
      </c>
      <c r="G53" s="12" t="s">
        <v>1913</v>
      </c>
      <c r="H53" s="2" t="s">
        <v>248</v>
      </c>
      <c r="I53" s="2" t="s">
        <v>1770</v>
      </c>
      <c r="J53" s="2" t="s">
        <v>77</v>
      </c>
      <c r="K53" s="2" t="s">
        <v>77</v>
      </c>
      <c r="L53" s="2" t="s">
        <v>130</v>
      </c>
      <c r="M53" s="3" t="s">
        <v>1789</v>
      </c>
      <c r="N53" s="2" t="s">
        <v>78</v>
      </c>
      <c r="O53" s="2" t="s">
        <v>81</v>
      </c>
      <c r="P53" s="6">
        <v>876315</v>
      </c>
      <c r="Q53" s="13">
        <v>1</v>
      </c>
      <c r="R53" s="6">
        <v>9600</v>
      </c>
      <c r="S53" s="6">
        <v>0</v>
      </c>
      <c r="T53" s="6">
        <v>84126.24</v>
      </c>
      <c r="U53" s="8">
        <v>3.7330000000000002E-2</v>
      </c>
      <c r="V53" s="8">
        <v>3.6310000000000002E-2</v>
      </c>
      <c r="W53" s="8">
        <v>2.0899999999999998E-3</v>
      </c>
    </row>
    <row r="54" spans="1:23">
      <c r="A54" s="12">
        <v>1097</v>
      </c>
      <c r="B54" s="12">
        <v>1097</v>
      </c>
      <c r="C54" s="2" t="s">
        <v>1904</v>
      </c>
      <c r="D54" s="3" t="s">
        <v>1905</v>
      </c>
      <c r="E54" s="2" t="s">
        <v>245</v>
      </c>
      <c r="F54" s="2" t="s">
        <v>1914</v>
      </c>
      <c r="G54" s="12" t="s">
        <v>1915</v>
      </c>
      <c r="H54" s="2" t="s">
        <v>248</v>
      </c>
      <c r="I54" s="2" t="s">
        <v>1781</v>
      </c>
      <c r="J54" s="2" t="s">
        <v>77</v>
      </c>
      <c r="K54" s="2" t="s">
        <v>77</v>
      </c>
      <c r="L54" s="2" t="s">
        <v>130</v>
      </c>
      <c r="M54" s="3" t="s">
        <v>1887</v>
      </c>
      <c r="N54" s="2" t="s">
        <v>78</v>
      </c>
      <c r="O54" s="2" t="s">
        <v>81</v>
      </c>
      <c r="P54" s="6">
        <v>74700</v>
      </c>
      <c r="Q54" s="13">
        <v>1</v>
      </c>
      <c r="R54" s="6">
        <v>8352</v>
      </c>
      <c r="S54" s="6">
        <v>0</v>
      </c>
      <c r="T54" s="6">
        <v>6238.9440000000004</v>
      </c>
      <c r="U54" s="8">
        <v>1.6979999999999999E-2</v>
      </c>
      <c r="V54" s="8">
        <v>2.6900000000000001E-3</v>
      </c>
      <c r="W54" s="8">
        <v>1.4999999999999999E-4</v>
      </c>
    </row>
    <row r="55" spans="1:23">
      <c r="A55" s="12">
        <v>1097</v>
      </c>
      <c r="B55" s="12">
        <v>1097</v>
      </c>
      <c r="C55" s="2" t="s">
        <v>1916</v>
      </c>
      <c r="D55" s="3" t="s">
        <v>1917</v>
      </c>
      <c r="E55" s="2" t="s">
        <v>245</v>
      </c>
      <c r="F55" s="2" t="s">
        <v>1918</v>
      </c>
      <c r="G55" s="12" t="s">
        <v>1919</v>
      </c>
      <c r="H55" s="2" t="s">
        <v>248</v>
      </c>
      <c r="I55" s="2" t="s">
        <v>1770</v>
      </c>
      <c r="J55" s="2" t="s">
        <v>77</v>
      </c>
      <c r="K55" s="2" t="s">
        <v>77</v>
      </c>
      <c r="L55" s="2" t="s">
        <v>130</v>
      </c>
      <c r="M55" s="3" t="s">
        <v>1810</v>
      </c>
      <c r="N55" s="2" t="s">
        <v>1798</v>
      </c>
      <c r="O55" s="2" t="s">
        <v>81</v>
      </c>
      <c r="P55" s="6">
        <v>4500.9350000000004</v>
      </c>
      <c r="Q55" s="13">
        <v>1</v>
      </c>
      <c r="R55" s="6">
        <v>44820</v>
      </c>
      <c r="S55" s="6">
        <v>0</v>
      </c>
      <c r="T55" s="6">
        <v>2017.319</v>
      </c>
      <c r="U55" s="8">
        <v>4.1029999999999997E-2</v>
      </c>
      <c r="V55" s="8">
        <v>8.7000000000000001E-4</v>
      </c>
      <c r="W55" s="8">
        <v>5.0000000000000002E-5</v>
      </c>
    </row>
    <row r="56" spans="1:23">
      <c r="A56" s="12">
        <v>1097</v>
      </c>
      <c r="B56" s="12">
        <v>1097</v>
      </c>
      <c r="C56" s="2" t="s">
        <v>1920</v>
      </c>
      <c r="D56" s="3" t="s">
        <v>1921</v>
      </c>
      <c r="E56" s="2" t="s">
        <v>245</v>
      </c>
      <c r="F56" s="2" t="s">
        <v>1922</v>
      </c>
      <c r="G56" s="12" t="s">
        <v>1923</v>
      </c>
      <c r="H56" s="2" t="s">
        <v>248</v>
      </c>
      <c r="I56" s="2" t="s">
        <v>1785</v>
      </c>
      <c r="J56" s="2" t="s">
        <v>77</v>
      </c>
      <c r="K56" s="2" t="s">
        <v>77</v>
      </c>
      <c r="L56" s="2" t="s">
        <v>130</v>
      </c>
      <c r="M56" s="3" t="s">
        <v>1924</v>
      </c>
      <c r="N56" s="2" t="s">
        <v>78</v>
      </c>
      <c r="O56" s="2" t="s">
        <v>81</v>
      </c>
      <c r="P56" s="6">
        <v>205000</v>
      </c>
      <c r="Q56" s="13">
        <v>1</v>
      </c>
      <c r="R56" s="6">
        <v>4755.3100000000004</v>
      </c>
      <c r="S56" s="6">
        <v>0</v>
      </c>
      <c r="T56" s="6">
        <v>9748.3860000000004</v>
      </c>
      <c r="U56" s="8">
        <v>1.83064</v>
      </c>
      <c r="V56" s="8">
        <v>4.2100000000000002E-3</v>
      </c>
      <c r="W56" s="8">
        <v>2.4000000000000001E-4</v>
      </c>
    </row>
    <row r="57" spans="1:23">
      <c r="A57" s="12">
        <v>1097</v>
      </c>
      <c r="B57" s="12">
        <v>1097</v>
      </c>
      <c r="C57" s="2" t="s">
        <v>1920</v>
      </c>
      <c r="D57" s="3" t="s">
        <v>1921</v>
      </c>
      <c r="E57" s="2" t="s">
        <v>245</v>
      </c>
      <c r="F57" s="2" t="s">
        <v>1925</v>
      </c>
      <c r="G57" s="12" t="s">
        <v>1926</v>
      </c>
      <c r="H57" s="2" t="s">
        <v>248</v>
      </c>
      <c r="I57" s="2" t="s">
        <v>1770</v>
      </c>
      <c r="J57" s="2" t="s">
        <v>77</v>
      </c>
      <c r="K57" s="2" t="s">
        <v>77</v>
      </c>
      <c r="L57" s="2" t="s">
        <v>130</v>
      </c>
      <c r="M57" s="3" t="s">
        <v>1927</v>
      </c>
      <c r="N57" s="2" t="s">
        <v>78</v>
      </c>
      <c r="O57" s="2" t="s">
        <v>81</v>
      </c>
      <c r="P57" s="6">
        <v>1600000</v>
      </c>
      <c r="Q57" s="13">
        <v>1</v>
      </c>
      <c r="R57" s="6">
        <v>3910</v>
      </c>
      <c r="S57" s="6">
        <v>0</v>
      </c>
      <c r="T57" s="6">
        <v>62560</v>
      </c>
      <c r="U57" s="8">
        <v>0.97182000000000002</v>
      </c>
      <c r="V57" s="8">
        <v>2.7E-2</v>
      </c>
      <c r="W57" s="8">
        <v>1.5499999999999999E-3</v>
      </c>
    </row>
    <row r="58" spans="1:23">
      <c r="A58" s="12">
        <v>1097</v>
      </c>
      <c r="B58" s="12">
        <v>1097</v>
      </c>
      <c r="C58" s="2" t="s">
        <v>1920</v>
      </c>
      <c r="D58" s="3" t="s">
        <v>1921</v>
      </c>
      <c r="E58" s="2" t="s">
        <v>245</v>
      </c>
      <c r="F58" s="2" t="s">
        <v>1928</v>
      </c>
      <c r="G58" s="12" t="s">
        <v>1929</v>
      </c>
      <c r="H58" s="2" t="s">
        <v>248</v>
      </c>
      <c r="I58" s="2" t="s">
        <v>1770</v>
      </c>
      <c r="J58" s="2" t="s">
        <v>77</v>
      </c>
      <c r="K58" s="2" t="s">
        <v>77</v>
      </c>
      <c r="L58" s="2" t="s">
        <v>130</v>
      </c>
      <c r="M58" s="3" t="s">
        <v>1804</v>
      </c>
      <c r="N58" s="2" t="s">
        <v>78</v>
      </c>
      <c r="O58" s="2" t="s">
        <v>81</v>
      </c>
      <c r="P58" s="6">
        <v>2026193</v>
      </c>
      <c r="Q58" s="13">
        <v>1</v>
      </c>
      <c r="R58" s="6">
        <v>3598</v>
      </c>
      <c r="S58" s="6">
        <v>0</v>
      </c>
      <c r="T58" s="6">
        <v>72902.423999999999</v>
      </c>
      <c r="U58" s="8">
        <v>0.26828999999999997</v>
      </c>
      <c r="V58" s="8">
        <v>3.1469999999999998E-2</v>
      </c>
      <c r="W58" s="8">
        <v>1.81E-3</v>
      </c>
    </row>
    <row r="59" spans="1:23">
      <c r="A59" s="12">
        <v>1097</v>
      </c>
      <c r="B59" s="12">
        <v>1097</v>
      </c>
      <c r="C59" s="2" t="s">
        <v>1920</v>
      </c>
      <c r="D59" s="3" t="s">
        <v>1921</v>
      </c>
      <c r="E59" s="2" t="s">
        <v>245</v>
      </c>
      <c r="F59" s="2" t="s">
        <v>1930</v>
      </c>
      <c r="G59" s="12" t="s">
        <v>1931</v>
      </c>
      <c r="H59" s="2" t="s">
        <v>248</v>
      </c>
      <c r="I59" s="2" t="s">
        <v>1770</v>
      </c>
      <c r="J59" s="2" t="s">
        <v>77</v>
      </c>
      <c r="K59" s="2" t="s">
        <v>77</v>
      </c>
      <c r="L59" s="2" t="s">
        <v>130</v>
      </c>
      <c r="M59" s="3" t="s">
        <v>1807</v>
      </c>
      <c r="N59" s="2" t="s">
        <v>78</v>
      </c>
      <c r="O59" s="2" t="s">
        <v>81</v>
      </c>
      <c r="P59" s="6">
        <v>192107</v>
      </c>
      <c r="Q59" s="13">
        <v>1</v>
      </c>
      <c r="R59" s="6">
        <v>2007</v>
      </c>
      <c r="S59" s="6">
        <v>0</v>
      </c>
      <c r="T59" s="6">
        <v>3855.587</v>
      </c>
      <c r="U59" s="8">
        <v>5.135E-2</v>
      </c>
      <c r="V59" s="8">
        <v>1.66E-3</v>
      </c>
      <c r="W59" s="8">
        <v>1E-4</v>
      </c>
    </row>
    <row r="60" spans="1:23">
      <c r="A60" s="12">
        <v>1097</v>
      </c>
      <c r="B60" s="12">
        <v>1097</v>
      </c>
      <c r="C60" s="2" t="s">
        <v>1920</v>
      </c>
      <c r="D60" s="3" t="s">
        <v>1921</v>
      </c>
      <c r="E60" s="2" t="s">
        <v>245</v>
      </c>
      <c r="F60" s="2" t="s">
        <v>1932</v>
      </c>
      <c r="G60" s="12" t="s">
        <v>1933</v>
      </c>
      <c r="H60" s="2" t="s">
        <v>248</v>
      </c>
      <c r="I60" s="2" t="s">
        <v>1770</v>
      </c>
      <c r="J60" s="2" t="s">
        <v>77</v>
      </c>
      <c r="K60" s="2" t="s">
        <v>77</v>
      </c>
      <c r="L60" s="2" t="s">
        <v>130</v>
      </c>
      <c r="M60" s="3" t="s">
        <v>1866</v>
      </c>
      <c r="N60" s="2" t="s">
        <v>78</v>
      </c>
      <c r="O60" s="2" t="s">
        <v>81</v>
      </c>
      <c r="P60" s="6">
        <v>150000</v>
      </c>
      <c r="Q60" s="13">
        <v>1</v>
      </c>
      <c r="R60" s="6">
        <v>3778</v>
      </c>
      <c r="S60" s="6">
        <v>0</v>
      </c>
      <c r="T60" s="6">
        <v>5667</v>
      </c>
      <c r="U60" s="8">
        <v>0.16327</v>
      </c>
      <c r="V60" s="8">
        <v>2.4499999999999999E-3</v>
      </c>
      <c r="W60" s="8">
        <v>1.3999999999999999E-4</v>
      </c>
    </row>
    <row r="61" spans="1:23">
      <c r="A61" s="12">
        <v>1097</v>
      </c>
      <c r="B61" s="12">
        <v>1097</v>
      </c>
      <c r="C61" s="2" t="s">
        <v>1920</v>
      </c>
      <c r="D61" s="3" t="s">
        <v>1921</v>
      </c>
      <c r="E61" s="2" t="s">
        <v>245</v>
      </c>
      <c r="F61" s="2" t="s">
        <v>1934</v>
      </c>
      <c r="G61" s="12" t="s">
        <v>1935</v>
      </c>
      <c r="H61" s="2" t="s">
        <v>248</v>
      </c>
      <c r="I61" s="2" t="s">
        <v>1770</v>
      </c>
      <c r="J61" s="2" t="s">
        <v>77</v>
      </c>
      <c r="K61" s="2" t="s">
        <v>77</v>
      </c>
      <c r="L61" s="2" t="s">
        <v>130</v>
      </c>
      <c r="M61" s="3" t="s">
        <v>1845</v>
      </c>
      <c r="N61" s="2" t="s">
        <v>78</v>
      </c>
      <c r="O61" s="2" t="s">
        <v>81</v>
      </c>
      <c r="P61" s="6">
        <v>35395</v>
      </c>
      <c r="Q61" s="13">
        <v>1</v>
      </c>
      <c r="R61" s="6">
        <v>16960</v>
      </c>
      <c r="S61" s="6">
        <v>0</v>
      </c>
      <c r="T61" s="6">
        <v>6002.9920000000002</v>
      </c>
      <c r="U61" s="8">
        <v>0.41109000000000001</v>
      </c>
      <c r="V61" s="8">
        <v>2.5899999999999999E-3</v>
      </c>
      <c r="W61" s="8">
        <v>1.4999999999999999E-4</v>
      </c>
    </row>
    <row r="62" spans="1:23">
      <c r="A62" s="12">
        <v>1097</v>
      </c>
      <c r="B62" s="12">
        <v>1097</v>
      </c>
      <c r="C62" s="2" t="s">
        <v>1920</v>
      </c>
      <c r="D62" s="3" t="s">
        <v>1921</v>
      </c>
      <c r="E62" s="2" t="s">
        <v>245</v>
      </c>
      <c r="F62" s="2" t="s">
        <v>1936</v>
      </c>
      <c r="G62" s="12" t="s">
        <v>1937</v>
      </c>
      <c r="H62" s="2" t="s">
        <v>248</v>
      </c>
      <c r="I62" s="2" t="s">
        <v>1770</v>
      </c>
      <c r="J62" s="2" t="s">
        <v>77</v>
      </c>
      <c r="K62" s="2" t="s">
        <v>77</v>
      </c>
      <c r="L62" s="2" t="s">
        <v>130</v>
      </c>
      <c r="M62" s="3" t="s">
        <v>1938</v>
      </c>
      <c r="N62" s="2" t="s">
        <v>78</v>
      </c>
      <c r="O62" s="2" t="s">
        <v>81</v>
      </c>
      <c r="P62" s="6">
        <v>114612</v>
      </c>
      <c r="Q62" s="13">
        <v>1</v>
      </c>
      <c r="R62" s="6">
        <v>676.2</v>
      </c>
      <c r="S62" s="6">
        <v>0</v>
      </c>
      <c r="T62" s="6">
        <v>775.00599999999997</v>
      </c>
      <c r="U62" s="8">
        <v>5.0899999999999999E-3</v>
      </c>
      <c r="V62" s="8">
        <v>3.3E-4</v>
      </c>
      <c r="W62" s="8">
        <v>2.0000000000000002E-5</v>
      </c>
    </row>
    <row r="63" spans="1:23">
      <c r="A63" s="12">
        <v>1097</v>
      </c>
      <c r="B63" s="12">
        <v>1097</v>
      </c>
      <c r="C63" s="2" t="s">
        <v>1920</v>
      </c>
      <c r="D63" s="3" t="s">
        <v>1921</v>
      </c>
      <c r="E63" s="2" t="s">
        <v>245</v>
      </c>
      <c r="F63" s="2" t="s">
        <v>1939</v>
      </c>
      <c r="G63" s="12" t="s">
        <v>1940</v>
      </c>
      <c r="H63" s="2" t="s">
        <v>248</v>
      </c>
      <c r="I63" s="2" t="s">
        <v>1781</v>
      </c>
      <c r="J63" s="2" t="s">
        <v>77</v>
      </c>
      <c r="K63" s="2" t="s">
        <v>77</v>
      </c>
      <c r="L63" s="2" t="s">
        <v>130</v>
      </c>
      <c r="M63" s="3" t="s">
        <v>1887</v>
      </c>
      <c r="N63" s="2" t="s">
        <v>78</v>
      </c>
      <c r="O63" s="2" t="s">
        <v>81</v>
      </c>
      <c r="P63" s="6">
        <v>1200000</v>
      </c>
      <c r="Q63" s="13">
        <v>1</v>
      </c>
      <c r="R63" s="6">
        <v>2913</v>
      </c>
      <c r="S63" s="6">
        <v>0</v>
      </c>
      <c r="T63" s="6">
        <v>34956</v>
      </c>
      <c r="U63" s="8">
        <v>1.8679999999999999E-2</v>
      </c>
      <c r="V63" s="8">
        <v>1.5089999999999999E-2</v>
      </c>
      <c r="W63" s="8">
        <v>8.7000000000000001E-4</v>
      </c>
    </row>
    <row r="64" spans="1:23">
      <c r="A64" s="12">
        <v>1097</v>
      </c>
      <c r="B64" s="12">
        <v>1097</v>
      </c>
      <c r="C64" s="2" t="s">
        <v>1920</v>
      </c>
      <c r="D64" s="3" t="s">
        <v>1921</v>
      </c>
      <c r="E64" s="2" t="s">
        <v>245</v>
      </c>
      <c r="F64" s="2" t="s">
        <v>1941</v>
      </c>
      <c r="G64" s="12" t="s">
        <v>1942</v>
      </c>
      <c r="H64" s="2" t="s">
        <v>248</v>
      </c>
      <c r="I64" s="2" t="s">
        <v>1781</v>
      </c>
      <c r="J64" s="2" t="s">
        <v>77</v>
      </c>
      <c r="K64" s="2" t="s">
        <v>77</v>
      </c>
      <c r="L64" s="2" t="s">
        <v>130</v>
      </c>
      <c r="M64" s="3" t="s">
        <v>1818</v>
      </c>
      <c r="N64" s="2" t="s">
        <v>78</v>
      </c>
      <c r="O64" s="2" t="s">
        <v>81</v>
      </c>
      <c r="P64" s="6">
        <v>1826268</v>
      </c>
      <c r="Q64" s="13">
        <v>1</v>
      </c>
      <c r="R64" s="6">
        <v>3001</v>
      </c>
      <c r="S64" s="6">
        <v>0</v>
      </c>
      <c r="T64" s="6">
        <v>54806.303</v>
      </c>
      <c r="U64" s="8">
        <v>2.426E-2</v>
      </c>
      <c r="V64" s="8">
        <v>2.366E-2</v>
      </c>
      <c r="W64" s="8">
        <v>1.3600000000000001E-3</v>
      </c>
    </row>
    <row r="65" spans="1:23">
      <c r="A65" s="12">
        <v>1097</v>
      </c>
      <c r="B65" s="12">
        <v>1097</v>
      </c>
      <c r="C65" s="2" t="s">
        <v>1920</v>
      </c>
      <c r="D65" s="3" t="s">
        <v>1921</v>
      </c>
      <c r="E65" s="2" t="s">
        <v>245</v>
      </c>
      <c r="F65" s="2" t="s">
        <v>1943</v>
      </c>
      <c r="G65" s="12" t="s">
        <v>1944</v>
      </c>
      <c r="H65" s="2" t="s">
        <v>248</v>
      </c>
      <c r="I65" s="2" t="s">
        <v>1781</v>
      </c>
      <c r="J65" s="2" t="s">
        <v>77</v>
      </c>
      <c r="K65" s="2" t="s">
        <v>77</v>
      </c>
      <c r="L65" s="2" t="s">
        <v>130</v>
      </c>
      <c r="M65" s="3" t="s">
        <v>1945</v>
      </c>
      <c r="N65" s="2" t="s">
        <v>78</v>
      </c>
      <c r="O65" s="2" t="s">
        <v>81</v>
      </c>
      <c r="P65" s="6">
        <v>92589</v>
      </c>
      <c r="Q65" s="13">
        <v>1</v>
      </c>
      <c r="R65" s="6">
        <v>2872</v>
      </c>
      <c r="S65" s="6">
        <v>0</v>
      </c>
      <c r="T65" s="6">
        <v>2659.1559999999999</v>
      </c>
      <c r="U65" s="8">
        <v>9.6299999999999997E-3</v>
      </c>
      <c r="V65" s="8">
        <v>1.15E-3</v>
      </c>
      <c r="W65" s="8">
        <v>6.9999999999999994E-5</v>
      </c>
    </row>
    <row r="66" spans="1:23">
      <c r="A66" s="12">
        <v>1097</v>
      </c>
      <c r="B66" s="12">
        <v>1097</v>
      </c>
      <c r="C66" s="2" t="s">
        <v>1920</v>
      </c>
      <c r="D66" s="3" t="s">
        <v>1921</v>
      </c>
      <c r="E66" s="2" t="s">
        <v>245</v>
      </c>
      <c r="F66" s="2" t="s">
        <v>1946</v>
      </c>
      <c r="G66" s="12" t="s">
        <v>1947</v>
      </c>
      <c r="H66" s="2" t="s">
        <v>248</v>
      </c>
      <c r="I66" s="2" t="s">
        <v>1785</v>
      </c>
      <c r="J66" s="2" t="s">
        <v>77</v>
      </c>
      <c r="K66" s="2" t="s">
        <v>77</v>
      </c>
      <c r="L66" s="2" t="s">
        <v>130</v>
      </c>
      <c r="M66" s="3" t="s">
        <v>1824</v>
      </c>
      <c r="N66" s="2" t="s">
        <v>78</v>
      </c>
      <c r="O66" s="2" t="s">
        <v>81</v>
      </c>
      <c r="P66" s="6">
        <v>3010000</v>
      </c>
      <c r="Q66" s="13">
        <v>1</v>
      </c>
      <c r="R66" s="6">
        <v>390.35</v>
      </c>
      <c r="S66" s="6">
        <v>0</v>
      </c>
      <c r="T66" s="6">
        <v>11749.535</v>
      </c>
      <c r="U66" s="8">
        <v>1.7340000000000001E-2</v>
      </c>
      <c r="V66" s="8">
        <v>5.0699999999999999E-3</v>
      </c>
      <c r="W66" s="8">
        <v>2.9E-4</v>
      </c>
    </row>
    <row r="67" spans="1:23">
      <c r="A67" s="12">
        <v>1097</v>
      </c>
      <c r="B67" s="12">
        <v>1097</v>
      </c>
      <c r="C67" s="2" t="s">
        <v>1920</v>
      </c>
      <c r="D67" s="3" t="s">
        <v>1921</v>
      </c>
      <c r="E67" s="2" t="s">
        <v>245</v>
      </c>
      <c r="F67" s="2" t="s">
        <v>1948</v>
      </c>
      <c r="G67" s="12" t="s">
        <v>1949</v>
      </c>
      <c r="H67" s="2" t="s">
        <v>248</v>
      </c>
      <c r="I67" s="2" t="s">
        <v>1785</v>
      </c>
      <c r="J67" s="2" t="s">
        <v>77</v>
      </c>
      <c r="K67" s="2" t="s">
        <v>77</v>
      </c>
      <c r="L67" s="2" t="s">
        <v>130</v>
      </c>
      <c r="M67" s="3" t="s">
        <v>1830</v>
      </c>
      <c r="N67" s="2" t="s">
        <v>78</v>
      </c>
      <c r="O67" s="2" t="s">
        <v>81</v>
      </c>
      <c r="P67" s="6">
        <v>14056945</v>
      </c>
      <c r="Q67" s="13">
        <v>1</v>
      </c>
      <c r="R67" s="6">
        <v>383.77</v>
      </c>
      <c r="S67" s="6">
        <v>0</v>
      </c>
      <c r="T67" s="6">
        <v>53946.338000000003</v>
      </c>
      <c r="U67" s="8">
        <v>3.5319999999999997E-2</v>
      </c>
      <c r="V67" s="8">
        <v>2.3290000000000002E-2</v>
      </c>
      <c r="W67" s="8">
        <v>1.34E-3</v>
      </c>
    </row>
    <row r="68" spans="1:23">
      <c r="A68" s="12">
        <v>1097</v>
      </c>
      <c r="B68" s="12">
        <v>1097</v>
      </c>
      <c r="C68" s="2" t="s">
        <v>1920</v>
      </c>
      <c r="D68" s="3" t="s">
        <v>1921</v>
      </c>
      <c r="E68" s="2" t="s">
        <v>245</v>
      </c>
      <c r="F68" s="2" t="s">
        <v>1950</v>
      </c>
      <c r="G68" s="12" t="s">
        <v>1951</v>
      </c>
      <c r="H68" s="2" t="s">
        <v>248</v>
      </c>
      <c r="I68" s="2" t="s">
        <v>1785</v>
      </c>
      <c r="J68" s="2" t="s">
        <v>77</v>
      </c>
      <c r="K68" s="2" t="s">
        <v>77</v>
      </c>
      <c r="L68" s="2" t="s">
        <v>130</v>
      </c>
      <c r="M68" s="3" t="s">
        <v>1833</v>
      </c>
      <c r="N68" s="2" t="s">
        <v>78</v>
      </c>
      <c r="O68" s="2" t="s">
        <v>81</v>
      </c>
      <c r="P68" s="6">
        <v>942000</v>
      </c>
      <c r="Q68" s="13">
        <v>1</v>
      </c>
      <c r="R68" s="6">
        <v>416.89</v>
      </c>
      <c r="S68" s="6">
        <v>0</v>
      </c>
      <c r="T68" s="6">
        <v>3927.1039999999998</v>
      </c>
      <c r="U68" s="8">
        <v>3.49E-3</v>
      </c>
      <c r="V68" s="8">
        <v>1.6999999999999999E-3</v>
      </c>
      <c r="W68" s="8">
        <v>1E-4</v>
      </c>
    </row>
    <row r="69" spans="1:23">
      <c r="A69" s="12">
        <v>1097</v>
      </c>
      <c r="B69" s="12">
        <v>1097</v>
      </c>
      <c r="C69" s="2" t="s">
        <v>1952</v>
      </c>
      <c r="D69" s="3" t="s">
        <v>1953</v>
      </c>
      <c r="E69" s="2" t="s">
        <v>1134</v>
      </c>
      <c r="F69" s="2" t="s">
        <v>1952</v>
      </c>
      <c r="G69" s="12" t="s">
        <v>1954</v>
      </c>
      <c r="H69" s="2" t="s">
        <v>248</v>
      </c>
      <c r="I69" s="2" t="s">
        <v>1770</v>
      </c>
      <c r="J69" s="2" t="s">
        <v>109</v>
      </c>
      <c r="K69" s="2" t="s">
        <v>226</v>
      </c>
      <c r="L69" s="2" t="s">
        <v>132</v>
      </c>
      <c r="M69" s="3" t="s">
        <v>1786</v>
      </c>
      <c r="N69" s="2" t="s">
        <v>78</v>
      </c>
      <c r="O69" s="2" t="s">
        <v>96</v>
      </c>
      <c r="P69" s="6">
        <v>131000</v>
      </c>
      <c r="Q69" s="13">
        <v>3.3719999999999999</v>
      </c>
      <c r="R69" s="6">
        <v>4358</v>
      </c>
      <c r="S69" s="6">
        <v>10.84</v>
      </c>
      <c r="T69" s="6">
        <v>19287.227999999999</v>
      </c>
      <c r="U69" s="8">
        <v>6.4999999999999997E-4</v>
      </c>
      <c r="V69" s="8">
        <v>8.3300000000000006E-3</v>
      </c>
      <c r="W69" s="8">
        <v>4.8000000000000001E-4</v>
      </c>
    </row>
    <row r="70" spans="1:23">
      <c r="A70" s="12">
        <v>1097</v>
      </c>
      <c r="B70" s="12">
        <v>1097</v>
      </c>
      <c r="C70" s="2" t="s">
        <v>1205</v>
      </c>
      <c r="D70" s="3" t="s">
        <v>1206</v>
      </c>
      <c r="E70" s="2" t="s">
        <v>1134</v>
      </c>
      <c r="F70" s="2" t="s">
        <v>1955</v>
      </c>
      <c r="G70" s="12" t="s">
        <v>1956</v>
      </c>
      <c r="H70" s="2" t="s">
        <v>248</v>
      </c>
      <c r="I70" s="2" t="s">
        <v>1770</v>
      </c>
      <c r="J70" s="2" t="s">
        <v>109</v>
      </c>
      <c r="K70" s="2" t="s">
        <v>1559</v>
      </c>
      <c r="L70" s="2" t="s">
        <v>132</v>
      </c>
      <c r="M70" s="3" t="s">
        <v>1807</v>
      </c>
      <c r="N70" s="2" t="s">
        <v>78</v>
      </c>
      <c r="O70" s="2" t="s">
        <v>96</v>
      </c>
      <c r="P70" s="6">
        <v>2100000</v>
      </c>
      <c r="Q70" s="13">
        <v>3.3719999999999999</v>
      </c>
      <c r="R70" s="6">
        <v>758.5</v>
      </c>
      <c r="S70" s="6">
        <v>0</v>
      </c>
      <c r="T70" s="6">
        <v>53710.902000000002</v>
      </c>
      <c r="U70" s="8">
        <v>1.7469999999999999E-2</v>
      </c>
      <c r="V70" s="8">
        <v>2.3179999999999999E-2</v>
      </c>
      <c r="W70" s="8">
        <v>1.33E-3</v>
      </c>
    </row>
    <row r="71" spans="1:23">
      <c r="A71" s="12">
        <v>1097</v>
      </c>
      <c r="B71" s="12">
        <v>1097</v>
      </c>
      <c r="C71" s="2" t="s">
        <v>1957</v>
      </c>
      <c r="D71" s="3" t="s">
        <v>1958</v>
      </c>
      <c r="E71" s="2" t="s">
        <v>1134</v>
      </c>
      <c r="F71" s="2" t="s">
        <v>1959</v>
      </c>
      <c r="G71" s="12" t="s">
        <v>1960</v>
      </c>
      <c r="H71" s="2" t="s">
        <v>248</v>
      </c>
      <c r="I71" s="2" t="s">
        <v>1770</v>
      </c>
      <c r="J71" s="2" t="s">
        <v>109</v>
      </c>
      <c r="K71" s="2" t="s">
        <v>1564</v>
      </c>
      <c r="L71" s="2" t="s">
        <v>132</v>
      </c>
      <c r="M71" s="3" t="s">
        <v>1804</v>
      </c>
      <c r="N71" s="2" t="s">
        <v>78</v>
      </c>
      <c r="O71" s="2" t="s">
        <v>96</v>
      </c>
      <c r="P71" s="6">
        <v>13000</v>
      </c>
      <c r="Q71" s="13">
        <v>3.3719999999999999</v>
      </c>
      <c r="R71" s="6">
        <v>9761</v>
      </c>
      <c r="S71" s="6">
        <v>0</v>
      </c>
      <c r="T71" s="6">
        <v>4278.8320000000003</v>
      </c>
      <c r="U71" s="8">
        <v>6.9999999999999994E-5</v>
      </c>
      <c r="V71" s="8">
        <v>1.8500000000000001E-3</v>
      </c>
      <c r="W71" s="8">
        <v>1.1E-4</v>
      </c>
    </row>
    <row r="72" spans="1:23">
      <c r="A72" s="12">
        <v>1097</v>
      </c>
      <c r="B72" s="12">
        <v>1097</v>
      </c>
      <c r="C72" s="2" t="s">
        <v>1961</v>
      </c>
      <c r="D72" s="3" t="s">
        <v>1962</v>
      </c>
      <c r="E72" s="2" t="s">
        <v>1134</v>
      </c>
      <c r="F72" s="2" t="s">
        <v>1961</v>
      </c>
      <c r="G72" s="12" t="s">
        <v>1963</v>
      </c>
      <c r="H72" s="2" t="s">
        <v>248</v>
      </c>
      <c r="I72" s="2" t="s">
        <v>1770</v>
      </c>
      <c r="J72" s="2" t="s">
        <v>109</v>
      </c>
      <c r="K72" s="2" t="s">
        <v>1964</v>
      </c>
      <c r="L72" s="2" t="s">
        <v>132</v>
      </c>
      <c r="M72" s="3" t="s">
        <v>1804</v>
      </c>
      <c r="N72" s="2" t="s">
        <v>78</v>
      </c>
      <c r="O72" s="2" t="s">
        <v>96</v>
      </c>
      <c r="P72" s="6">
        <v>9400</v>
      </c>
      <c r="Q72" s="13">
        <v>3.3719999999999999</v>
      </c>
      <c r="R72" s="6">
        <v>3226</v>
      </c>
      <c r="S72" s="6">
        <v>0</v>
      </c>
      <c r="T72" s="6">
        <v>1022.539</v>
      </c>
      <c r="U72" s="8">
        <v>8.0999999999999996E-4</v>
      </c>
      <c r="V72" s="8">
        <v>4.4000000000000002E-4</v>
      </c>
      <c r="W72" s="8">
        <v>3.0000000000000001E-5</v>
      </c>
    </row>
    <row r="73" spans="1:23">
      <c r="A73" s="12">
        <v>1097</v>
      </c>
      <c r="B73" s="12">
        <v>1097</v>
      </c>
      <c r="C73" s="2" t="s">
        <v>1965</v>
      </c>
      <c r="D73" s="3" t="s">
        <v>1966</v>
      </c>
      <c r="E73" s="2" t="s">
        <v>1134</v>
      </c>
      <c r="F73" s="2" t="s">
        <v>1965</v>
      </c>
      <c r="G73" s="12" t="s">
        <v>1967</v>
      </c>
      <c r="H73" s="2" t="s">
        <v>248</v>
      </c>
      <c r="I73" s="2" t="s">
        <v>1770</v>
      </c>
      <c r="J73" s="2" t="s">
        <v>109</v>
      </c>
      <c r="K73" s="2" t="s">
        <v>1467</v>
      </c>
      <c r="L73" s="2" t="s">
        <v>132</v>
      </c>
      <c r="M73" s="3" t="s">
        <v>1804</v>
      </c>
      <c r="N73" s="2" t="s">
        <v>78</v>
      </c>
      <c r="O73" s="2" t="s">
        <v>96</v>
      </c>
      <c r="P73" s="6">
        <v>7060</v>
      </c>
      <c r="Q73" s="13">
        <v>3.3719999999999999</v>
      </c>
      <c r="R73" s="6">
        <v>4403</v>
      </c>
      <c r="S73" s="6">
        <v>0</v>
      </c>
      <c r="T73" s="6">
        <v>1048.192</v>
      </c>
      <c r="U73" s="8">
        <v>2.7999999999999998E-4</v>
      </c>
      <c r="V73" s="8">
        <v>4.4999999999999999E-4</v>
      </c>
      <c r="W73" s="8">
        <v>3.0000000000000001E-5</v>
      </c>
    </row>
    <row r="74" spans="1:23">
      <c r="A74" s="12">
        <v>1097</v>
      </c>
      <c r="B74" s="12">
        <v>1097</v>
      </c>
      <c r="C74" s="2" t="s">
        <v>1968</v>
      </c>
      <c r="D74" s="3" t="s">
        <v>1969</v>
      </c>
      <c r="E74" s="2" t="s">
        <v>1134</v>
      </c>
      <c r="F74" s="2" t="s">
        <v>1970</v>
      </c>
      <c r="G74" s="12" t="s">
        <v>1971</v>
      </c>
      <c r="H74" s="2" t="s">
        <v>248</v>
      </c>
      <c r="I74" s="2" t="s">
        <v>1878</v>
      </c>
      <c r="J74" s="2" t="s">
        <v>109</v>
      </c>
      <c r="K74" s="2" t="s">
        <v>226</v>
      </c>
      <c r="L74" s="2" t="s">
        <v>132</v>
      </c>
      <c r="M74" s="3" t="s">
        <v>1972</v>
      </c>
      <c r="N74" s="2" t="s">
        <v>78</v>
      </c>
      <c r="O74" s="2" t="s">
        <v>96</v>
      </c>
      <c r="P74" s="6">
        <v>27072</v>
      </c>
      <c r="Q74" s="13">
        <v>3.3719999999999999</v>
      </c>
      <c r="R74" s="6">
        <v>10192</v>
      </c>
      <c r="S74" s="6">
        <v>0</v>
      </c>
      <c r="T74" s="6">
        <v>9303.9490000000005</v>
      </c>
      <c r="U74" s="8">
        <v>7.1000000000000002E-4</v>
      </c>
      <c r="V74" s="8">
        <v>4.0200000000000001E-3</v>
      </c>
      <c r="W74" s="8">
        <v>2.3000000000000001E-4</v>
      </c>
    </row>
    <row r="75" spans="1:23">
      <c r="A75" s="12">
        <v>1097</v>
      </c>
      <c r="B75" s="12">
        <v>1097</v>
      </c>
      <c r="C75" s="2" t="s">
        <v>1973</v>
      </c>
      <c r="D75" s="3" t="s">
        <v>1974</v>
      </c>
      <c r="E75" s="2" t="s">
        <v>1134</v>
      </c>
      <c r="F75" s="2" t="s">
        <v>1975</v>
      </c>
      <c r="G75" s="12" t="s">
        <v>1976</v>
      </c>
      <c r="H75" s="2" t="s">
        <v>248</v>
      </c>
      <c r="I75" s="2" t="s">
        <v>1878</v>
      </c>
      <c r="J75" s="2" t="s">
        <v>109</v>
      </c>
      <c r="K75" s="2" t="s">
        <v>1158</v>
      </c>
      <c r="L75" s="2" t="s">
        <v>132</v>
      </c>
      <c r="M75" s="3" t="s">
        <v>1977</v>
      </c>
      <c r="N75" s="2" t="s">
        <v>78</v>
      </c>
      <c r="O75" s="2" t="s">
        <v>96</v>
      </c>
      <c r="P75" s="6">
        <v>55215</v>
      </c>
      <c r="Q75" s="13">
        <v>3.3719999999999999</v>
      </c>
      <c r="R75" s="6">
        <v>1402.25</v>
      </c>
      <c r="S75" s="6">
        <v>0</v>
      </c>
      <c r="T75" s="6">
        <v>2610.779</v>
      </c>
      <c r="U75" s="8">
        <v>3.0300000000000001E-3</v>
      </c>
      <c r="V75" s="8">
        <v>1.1299999999999999E-3</v>
      </c>
      <c r="W75" s="8">
        <v>6.0000000000000002E-5</v>
      </c>
    </row>
    <row r="76" spans="1:23">
      <c r="A76" s="12">
        <v>1097</v>
      </c>
      <c r="B76" s="12">
        <v>1097</v>
      </c>
      <c r="C76" s="2" t="s">
        <v>1978</v>
      </c>
      <c r="D76" s="3" t="s">
        <v>1979</v>
      </c>
      <c r="E76" s="2" t="s">
        <v>1134</v>
      </c>
      <c r="F76" s="2" t="s">
        <v>1978</v>
      </c>
      <c r="G76" s="12" t="s">
        <v>1980</v>
      </c>
      <c r="H76" s="2" t="s">
        <v>248</v>
      </c>
      <c r="I76" s="2" t="s">
        <v>1770</v>
      </c>
      <c r="J76" s="2" t="s">
        <v>109</v>
      </c>
      <c r="K76" s="2" t="s">
        <v>1481</v>
      </c>
      <c r="L76" s="2" t="s">
        <v>132</v>
      </c>
      <c r="M76" s="3" t="s">
        <v>1981</v>
      </c>
      <c r="N76" s="2" t="s">
        <v>78</v>
      </c>
      <c r="O76" s="2" t="s">
        <v>94</v>
      </c>
      <c r="P76" s="6">
        <v>150000</v>
      </c>
      <c r="Q76" s="13">
        <v>3.9550000000000001</v>
      </c>
      <c r="R76" s="6">
        <v>22435</v>
      </c>
      <c r="S76" s="6">
        <v>0</v>
      </c>
      <c r="T76" s="6">
        <v>133102.36799999999</v>
      </c>
      <c r="U76" s="8">
        <v>5.2199999999999998E-3</v>
      </c>
      <c r="V76" s="8">
        <v>5.7450000000000001E-2</v>
      </c>
      <c r="W76" s="8">
        <v>3.3E-3</v>
      </c>
    </row>
    <row r="77" spans="1:23">
      <c r="A77" s="12">
        <v>1097</v>
      </c>
      <c r="B77" s="12">
        <v>1097</v>
      </c>
      <c r="C77" s="2" t="s">
        <v>1982</v>
      </c>
      <c r="D77" s="3" t="s">
        <v>1983</v>
      </c>
      <c r="E77" s="2" t="s">
        <v>1134</v>
      </c>
      <c r="F77" s="2" t="s">
        <v>1984</v>
      </c>
      <c r="G77" s="12" t="s">
        <v>1985</v>
      </c>
      <c r="H77" s="2" t="s">
        <v>248</v>
      </c>
      <c r="I77" s="2" t="s">
        <v>1770</v>
      </c>
      <c r="J77" s="2" t="s">
        <v>109</v>
      </c>
      <c r="K77" s="2" t="s">
        <v>1213</v>
      </c>
      <c r="L77" s="2" t="s">
        <v>1986</v>
      </c>
      <c r="M77" s="3" t="s">
        <v>1836</v>
      </c>
      <c r="N77" s="2" t="s">
        <v>78</v>
      </c>
      <c r="O77" s="2" t="s">
        <v>96</v>
      </c>
      <c r="P77" s="6">
        <v>116000</v>
      </c>
      <c r="Q77" s="13">
        <v>3.3719999999999999</v>
      </c>
      <c r="R77" s="6">
        <v>4789.3</v>
      </c>
      <c r="S77" s="6">
        <v>0</v>
      </c>
      <c r="T77" s="6">
        <v>18733.442999999999</v>
      </c>
      <c r="U77" s="8">
        <v>9.6100000000000005E-3</v>
      </c>
      <c r="V77" s="8">
        <v>8.09E-3</v>
      </c>
      <c r="W77" s="8">
        <v>4.6000000000000001E-4</v>
      </c>
    </row>
    <row r="78" spans="1:23">
      <c r="A78" s="12">
        <v>1097</v>
      </c>
      <c r="B78" s="12">
        <v>1097</v>
      </c>
      <c r="C78" s="2" t="s">
        <v>1987</v>
      </c>
      <c r="D78" s="3" t="s">
        <v>1988</v>
      </c>
      <c r="E78" s="2" t="s">
        <v>1134</v>
      </c>
      <c r="F78" s="2" t="s">
        <v>1989</v>
      </c>
      <c r="G78" s="12" t="s">
        <v>1990</v>
      </c>
      <c r="H78" s="2" t="s">
        <v>248</v>
      </c>
      <c r="I78" s="2" t="s">
        <v>1770</v>
      </c>
      <c r="J78" s="2" t="s">
        <v>109</v>
      </c>
      <c r="K78" s="2" t="s">
        <v>226</v>
      </c>
      <c r="L78" s="2" t="s">
        <v>1565</v>
      </c>
      <c r="M78" s="3" t="s">
        <v>1786</v>
      </c>
      <c r="N78" s="2" t="s">
        <v>78</v>
      </c>
      <c r="O78" s="2" t="s">
        <v>96</v>
      </c>
      <c r="P78" s="6">
        <v>4170</v>
      </c>
      <c r="Q78" s="13">
        <v>3.3719999999999999</v>
      </c>
      <c r="R78" s="6">
        <v>10853</v>
      </c>
      <c r="S78" s="6">
        <v>0</v>
      </c>
      <c r="T78" s="6">
        <v>1526.066</v>
      </c>
      <c r="U78" s="8">
        <v>2.0000000000000002E-5</v>
      </c>
      <c r="V78" s="8">
        <v>6.6E-4</v>
      </c>
      <c r="W78" s="8">
        <v>4.0000000000000003E-5</v>
      </c>
    </row>
    <row r="79" spans="1:23">
      <c r="A79" s="12">
        <v>1097</v>
      </c>
      <c r="B79" s="12">
        <v>1097</v>
      </c>
      <c r="C79" s="2" t="s">
        <v>1991</v>
      </c>
      <c r="D79" s="3" t="s">
        <v>1992</v>
      </c>
      <c r="E79" s="2" t="s">
        <v>1134</v>
      </c>
      <c r="F79" s="2" t="s">
        <v>1991</v>
      </c>
      <c r="G79" s="12" t="s">
        <v>1993</v>
      </c>
      <c r="H79" s="2" t="s">
        <v>248</v>
      </c>
      <c r="I79" s="2" t="s">
        <v>1770</v>
      </c>
      <c r="J79" s="2" t="s">
        <v>109</v>
      </c>
      <c r="K79" s="2" t="s">
        <v>1158</v>
      </c>
      <c r="L79" s="2" t="s">
        <v>1565</v>
      </c>
      <c r="M79" s="3" t="s">
        <v>1786</v>
      </c>
      <c r="N79" s="2" t="s">
        <v>78</v>
      </c>
      <c r="O79" s="2" t="s">
        <v>96</v>
      </c>
      <c r="P79" s="6">
        <v>300000</v>
      </c>
      <c r="Q79" s="13">
        <v>3.3719999999999999</v>
      </c>
      <c r="R79" s="6">
        <v>6025</v>
      </c>
      <c r="S79" s="6">
        <v>26.71</v>
      </c>
      <c r="T79" s="6">
        <v>61038.964999999997</v>
      </c>
      <c r="U79" s="8">
        <v>1.1599999999999999E-2</v>
      </c>
      <c r="V79" s="8">
        <v>2.6349999999999998E-2</v>
      </c>
      <c r="W79" s="8">
        <v>1.5100000000000001E-3</v>
      </c>
    </row>
    <row r="80" spans="1:23">
      <c r="A80" s="12">
        <v>1097</v>
      </c>
      <c r="B80" s="12">
        <v>1097</v>
      </c>
      <c r="C80" s="2" t="s">
        <v>1994</v>
      </c>
      <c r="D80" s="3" t="s">
        <v>1995</v>
      </c>
      <c r="E80" s="2" t="s">
        <v>1134</v>
      </c>
      <c r="F80" s="2" t="s">
        <v>1994</v>
      </c>
      <c r="G80" s="12" t="s">
        <v>1996</v>
      </c>
      <c r="H80" s="2" t="s">
        <v>248</v>
      </c>
      <c r="I80" s="2" t="s">
        <v>1770</v>
      </c>
      <c r="J80" s="2" t="s">
        <v>109</v>
      </c>
      <c r="K80" s="2" t="s">
        <v>1158</v>
      </c>
      <c r="L80" s="2" t="s">
        <v>1565</v>
      </c>
      <c r="M80" s="3" t="s">
        <v>1786</v>
      </c>
      <c r="N80" s="2" t="s">
        <v>78</v>
      </c>
      <c r="O80" s="2" t="s">
        <v>96</v>
      </c>
      <c r="P80" s="6">
        <v>100000</v>
      </c>
      <c r="Q80" s="13">
        <v>3.3719999999999999</v>
      </c>
      <c r="R80" s="6">
        <v>3881</v>
      </c>
      <c r="S80" s="6">
        <v>0</v>
      </c>
      <c r="T80" s="6">
        <v>13086.732</v>
      </c>
      <c r="U80" s="8">
        <v>8.5999999999999998E-4</v>
      </c>
      <c r="V80" s="8">
        <v>5.6499999999999996E-3</v>
      </c>
      <c r="W80" s="8">
        <v>3.2000000000000003E-4</v>
      </c>
    </row>
    <row r="81" spans="1:23">
      <c r="A81" s="12">
        <v>1097</v>
      </c>
      <c r="B81" s="12">
        <v>1097</v>
      </c>
      <c r="C81" s="2" t="s">
        <v>1997</v>
      </c>
      <c r="D81" s="3" t="s">
        <v>1998</v>
      </c>
      <c r="E81" s="2" t="s">
        <v>1134</v>
      </c>
      <c r="F81" s="2" t="s">
        <v>1997</v>
      </c>
      <c r="G81" s="12" t="s">
        <v>1999</v>
      </c>
      <c r="H81" s="2" t="s">
        <v>248</v>
      </c>
      <c r="I81" s="2" t="s">
        <v>1770</v>
      </c>
      <c r="J81" s="2" t="s">
        <v>109</v>
      </c>
      <c r="K81" s="2" t="s">
        <v>226</v>
      </c>
      <c r="L81" s="2" t="s">
        <v>1565</v>
      </c>
      <c r="M81" s="3" t="s">
        <v>1771</v>
      </c>
      <c r="N81" s="2" t="s">
        <v>78</v>
      </c>
      <c r="O81" s="2" t="s">
        <v>96</v>
      </c>
      <c r="P81" s="6">
        <v>37000</v>
      </c>
      <c r="Q81" s="13">
        <v>3.3719999999999999</v>
      </c>
      <c r="R81" s="6">
        <v>62090</v>
      </c>
      <c r="S81" s="6">
        <v>0</v>
      </c>
      <c r="T81" s="6">
        <v>77465.967999999993</v>
      </c>
      <c r="U81" s="8">
        <v>4.0000000000000003E-5</v>
      </c>
      <c r="V81" s="8">
        <v>3.3439999999999998E-2</v>
      </c>
      <c r="W81" s="8">
        <v>1.92E-3</v>
      </c>
    </row>
    <row r="82" spans="1:23">
      <c r="A82" s="12">
        <v>1097</v>
      </c>
      <c r="B82" s="12">
        <v>1097</v>
      </c>
      <c r="C82" s="2" t="s">
        <v>2000</v>
      </c>
      <c r="D82" s="3" t="s">
        <v>2001</v>
      </c>
      <c r="E82" s="2" t="s">
        <v>1134</v>
      </c>
      <c r="F82" s="2" t="s">
        <v>2002</v>
      </c>
      <c r="G82" s="12" t="s">
        <v>2003</v>
      </c>
      <c r="H82" s="2" t="s">
        <v>248</v>
      </c>
      <c r="I82" s="2" t="s">
        <v>1878</v>
      </c>
      <c r="J82" s="2" t="s">
        <v>109</v>
      </c>
      <c r="K82" s="2" t="s">
        <v>226</v>
      </c>
      <c r="L82" s="2" t="s">
        <v>1565</v>
      </c>
      <c r="M82" s="3" t="s">
        <v>1879</v>
      </c>
      <c r="N82" s="2" t="s">
        <v>78</v>
      </c>
      <c r="O82" s="2" t="s">
        <v>96</v>
      </c>
      <c r="P82" s="6">
        <v>24748</v>
      </c>
      <c r="Q82" s="13">
        <v>3.3719999999999999</v>
      </c>
      <c r="R82" s="6">
        <v>10961</v>
      </c>
      <c r="S82" s="6">
        <v>0</v>
      </c>
      <c r="T82" s="6">
        <v>9146.9830000000002</v>
      </c>
      <c r="U82" s="8">
        <v>9.0000000000000006E-5</v>
      </c>
      <c r="V82" s="8">
        <v>3.9500000000000004E-3</v>
      </c>
      <c r="W82" s="8">
        <v>2.3000000000000001E-4</v>
      </c>
    </row>
    <row r="83" spans="1:23">
      <c r="A83" s="12">
        <v>1097</v>
      </c>
      <c r="B83" s="12">
        <v>1097</v>
      </c>
      <c r="C83" s="2" t="s">
        <v>2004</v>
      </c>
      <c r="D83" s="3" t="s">
        <v>2005</v>
      </c>
      <c r="E83" s="2" t="s">
        <v>1134</v>
      </c>
      <c r="F83" s="2" t="s">
        <v>2006</v>
      </c>
      <c r="G83" s="12" t="s">
        <v>2007</v>
      </c>
      <c r="H83" s="2" t="s">
        <v>248</v>
      </c>
      <c r="I83" s="2" t="s">
        <v>1878</v>
      </c>
      <c r="J83" s="2" t="s">
        <v>109</v>
      </c>
      <c r="K83" s="2" t="s">
        <v>2008</v>
      </c>
      <c r="L83" s="2" t="s">
        <v>1565</v>
      </c>
      <c r="M83" s="3" t="s">
        <v>2009</v>
      </c>
      <c r="N83" s="2" t="s">
        <v>78</v>
      </c>
      <c r="O83" s="2" t="s">
        <v>96</v>
      </c>
      <c r="P83" s="6">
        <v>11100</v>
      </c>
      <c r="Q83" s="13">
        <v>3.3719999999999999</v>
      </c>
      <c r="R83" s="6">
        <v>4620</v>
      </c>
      <c r="S83" s="6">
        <v>0</v>
      </c>
      <c r="T83" s="6">
        <v>1729.229</v>
      </c>
      <c r="U83" s="8">
        <v>1.8000000000000001E-4</v>
      </c>
      <c r="V83" s="8">
        <v>7.5000000000000002E-4</v>
      </c>
      <c r="W83" s="8">
        <v>4.0000000000000003E-5</v>
      </c>
    </row>
    <row r="84" spans="1:23">
      <c r="A84" s="12">
        <v>1097</v>
      </c>
      <c r="B84" s="12">
        <v>1097</v>
      </c>
      <c r="C84" s="2" t="s">
        <v>2010</v>
      </c>
      <c r="D84" s="3" t="s">
        <v>2011</v>
      </c>
      <c r="E84" s="2" t="s">
        <v>1134</v>
      </c>
      <c r="F84" s="2" t="s">
        <v>2012</v>
      </c>
      <c r="G84" s="12" t="s">
        <v>2013</v>
      </c>
      <c r="H84" s="2" t="s">
        <v>248</v>
      </c>
      <c r="I84" s="2" t="s">
        <v>1770</v>
      </c>
      <c r="J84" s="2" t="s">
        <v>109</v>
      </c>
      <c r="K84" s="2" t="s">
        <v>226</v>
      </c>
      <c r="L84" s="2" t="s">
        <v>1565</v>
      </c>
      <c r="M84" s="3" t="s">
        <v>1771</v>
      </c>
      <c r="N84" s="2" t="s">
        <v>78</v>
      </c>
      <c r="O84" s="2" t="s">
        <v>96</v>
      </c>
      <c r="P84" s="6">
        <v>105410</v>
      </c>
      <c r="Q84" s="13">
        <v>3.3719999999999999</v>
      </c>
      <c r="R84" s="6">
        <v>61785</v>
      </c>
      <c r="S84" s="6">
        <v>102.91</v>
      </c>
      <c r="T84" s="6">
        <v>219957.16200000001</v>
      </c>
      <c r="U84" s="8">
        <v>1E-4</v>
      </c>
      <c r="V84" s="8">
        <v>9.4939999999999997E-2</v>
      </c>
      <c r="W84" s="8">
        <v>5.4599999999999996E-3</v>
      </c>
    </row>
    <row r="85" spans="1:23">
      <c r="A85" s="12">
        <v>1097</v>
      </c>
      <c r="B85" s="12">
        <v>1097</v>
      </c>
      <c r="C85" s="2" t="s">
        <v>2014</v>
      </c>
      <c r="D85" s="3" t="s">
        <v>2015</v>
      </c>
      <c r="E85" s="2" t="s">
        <v>233</v>
      </c>
      <c r="F85" s="2" t="s">
        <v>2016</v>
      </c>
      <c r="G85" s="12" t="s">
        <v>2017</v>
      </c>
      <c r="H85" s="2" t="s">
        <v>248</v>
      </c>
      <c r="I85" s="2" t="s">
        <v>1770</v>
      </c>
      <c r="J85" s="2" t="s">
        <v>109</v>
      </c>
      <c r="K85" s="2" t="s">
        <v>226</v>
      </c>
      <c r="L85" s="2" t="s">
        <v>1565</v>
      </c>
      <c r="M85" s="3" t="s">
        <v>1771</v>
      </c>
      <c r="N85" s="2" t="s">
        <v>78</v>
      </c>
      <c r="O85" s="2" t="s">
        <v>96</v>
      </c>
      <c r="P85" s="6">
        <v>23500</v>
      </c>
      <c r="Q85" s="13">
        <v>3.3719999999999999</v>
      </c>
      <c r="R85" s="6">
        <v>56803</v>
      </c>
      <c r="S85" s="6">
        <v>0</v>
      </c>
      <c r="T85" s="6">
        <v>45011.832999999999</v>
      </c>
      <c r="U85" s="8">
        <v>2.0000000000000002E-5</v>
      </c>
      <c r="V85" s="8">
        <v>1.9429999999999999E-2</v>
      </c>
      <c r="W85" s="8">
        <v>1.1199999999999999E-3</v>
      </c>
    </row>
    <row r="86" spans="1:23">
      <c r="A86" s="12">
        <v>1097</v>
      </c>
      <c r="B86" s="12">
        <v>1097</v>
      </c>
      <c r="C86" s="2" t="s">
        <v>2018</v>
      </c>
      <c r="D86" s="3" t="s">
        <v>2019</v>
      </c>
      <c r="E86" s="2" t="s">
        <v>1134</v>
      </c>
      <c r="F86" s="2" t="s">
        <v>2020</v>
      </c>
      <c r="G86" s="12" t="s">
        <v>2021</v>
      </c>
      <c r="H86" s="2" t="s">
        <v>248</v>
      </c>
      <c r="I86" s="2" t="s">
        <v>1770</v>
      </c>
      <c r="J86" s="2" t="s">
        <v>109</v>
      </c>
      <c r="K86" s="2" t="s">
        <v>226</v>
      </c>
      <c r="L86" s="2" t="s">
        <v>1565</v>
      </c>
      <c r="M86" s="3" t="s">
        <v>1836</v>
      </c>
      <c r="N86" s="2" t="s">
        <v>78</v>
      </c>
      <c r="O86" s="2" t="s">
        <v>96</v>
      </c>
      <c r="P86" s="6">
        <v>3904</v>
      </c>
      <c r="Q86" s="13">
        <v>3.3719999999999999</v>
      </c>
      <c r="R86" s="6">
        <v>129600</v>
      </c>
      <c r="S86" s="6">
        <v>0</v>
      </c>
      <c r="T86" s="6">
        <v>17060.917000000001</v>
      </c>
      <c r="U86" s="8">
        <v>2.7E-4</v>
      </c>
      <c r="V86" s="8">
        <v>7.3600000000000002E-3</v>
      </c>
      <c r="W86" s="8">
        <v>4.2000000000000002E-4</v>
      </c>
    </row>
    <row r="87" spans="1:23">
      <c r="A87" s="12">
        <v>1097</v>
      </c>
      <c r="B87" s="12">
        <v>1097</v>
      </c>
      <c r="C87" s="2" t="s">
        <v>2022</v>
      </c>
      <c r="D87" s="3" t="s">
        <v>2023</v>
      </c>
      <c r="E87" s="2" t="s">
        <v>1134</v>
      </c>
      <c r="F87" s="2" t="s">
        <v>2024</v>
      </c>
      <c r="G87" s="12" t="s">
        <v>2025</v>
      </c>
      <c r="H87" s="2" t="s">
        <v>248</v>
      </c>
      <c r="I87" s="2" t="s">
        <v>1770</v>
      </c>
      <c r="J87" s="2" t="s">
        <v>109</v>
      </c>
      <c r="K87" s="2" t="s">
        <v>226</v>
      </c>
      <c r="L87" s="2" t="s">
        <v>1565</v>
      </c>
      <c r="M87" s="3" t="s">
        <v>1857</v>
      </c>
      <c r="N87" s="2" t="s">
        <v>78</v>
      </c>
      <c r="O87" s="2" t="s">
        <v>96</v>
      </c>
      <c r="P87" s="6">
        <v>20740</v>
      </c>
      <c r="Q87" s="13">
        <v>3.3719999999999999</v>
      </c>
      <c r="R87" s="6">
        <v>21579</v>
      </c>
      <c r="S87" s="6">
        <v>0</v>
      </c>
      <c r="T87" s="6">
        <v>15091.334000000001</v>
      </c>
      <c r="U87" s="8">
        <v>6.0000000000000002E-5</v>
      </c>
      <c r="V87" s="8">
        <v>6.5100000000000002E-3</v>
      </c>
      <c r="W87" s="8">
        <v>3.6999999999999999E-4</v>
      </c>
    </row>
    <row r="88" spans="1:23">
      <c r="A88" s="12">
        <v>1097</v>
      </c>
      <c r="B88" s="12">
        <v>1097</v>
      </c>
      <c r="C88" s="2" t="s">
        <v>2010</v>
      </c>
      <c r="D88" s="3" t="s">
        <v>2011</v>
      </c>
      <c r="E88" s="2" t="s">
        <v>1134</v>
      </c>
      <c r="F88" s="2" t="s">
        <v>2026</v>
      </c>
      <c r="G88" s="12" t="s">
        <v>2027</v>
      </c>
      <c r="H88" s="2" t="s">
        <v>248</v>
      </c>
      <c r="I88" s="2" t="s">
        <v>1770</v>
      </c>
      <c r="J88" s="2" t="s">
        <v>109</v>
      </c>
      <c r="K88" s="2" t="s">
        <v>226</v>
      </c>
      <c r="L88" s="2" t="s">
        <v>1565</v>
      </c>
      <c r="M88" s="3" t="s">
        <v>1866</v>
      </c>
      <c r="N88" s="2" t="s">
        <v>78</v>
      </c>
      <c r="O88" s="2" t="s">
        <v>96</v>
      </c>
      <c r="P88" s="6">
        <v>100684</v>
      </c>
      <c r="Q88" s="13">
        <v>3.3719999999999999</v>
      </c>
      <c r="R88" s="6">
        <v>5237</v>
      </c>
      <c r="S88" s="6">
        <v>0</v>
      </c>
      <c r="T88" s="6">
        <v>17779.953000000001</v>
      </c>
      <c r="U88" s="8">
        <v>1E-4</v>
      </c>
      <c r="V88" s="8">
        <v>7.6699999999999997E-3</v>
      </c>
      <c r="W88" s="8">
        <v>4.4000000000000002E-4</v>
      </c>
    </row>
    <row r="89" spans="1:23">
      <c r="A89" s="12">
        <v>1097</v>
      </c>
      <c r="B89" s="12">
        <v>1097</v>
      </c>
      <c r="C89" s="2" t="s">
        <v>2028</v>
      </c>
      <c r="D89" s="3" t="s">
        <v>1983</v>
      </c>
      <c r="E89" s="2" t="s">
        <v>1134</v>
      </c>
      <c r="F89" s="2" t="s">
        <v>2029</v>
      </c>
      <c r="G89" s="12" t="s">
        <v>2030</v>
      </c>
      <c r="H89" s="2" t="s">
        <v>248</v>
      </c>
      <c r="I89" s="2" t="s">
        <v>1770</v>
      </c>
      <c r="J89" s="2" t="s">
        <v>109</v>
      </c>
      <c r="K89" s="2" t="s">
        <v>226</v>
      </c>
      <c r="L89" s="2" t="s">
        <v>1694</v>
      </c>
      <c r="M89" s="3" t="s">
        <v>1836</v>
      </c>
      <c r="N89" s="2" t="s">
        <v>78</v>
      </c>
      <c r="O89" s="2" t="s">
        <v>96</v>
      </c>
      <c r="P89" s="6">
        <v>81000</v>
      </c>
      <c r="Q89" s="13">
        <v>3.3719999999999999</v>
      </c>
      <c r="R89" s="6">
        <v>7558</v>
      </c>
      <c r="S89" s="6">
        <v>0</v>
      </c>
      <c r="T89" s="6">
        <v>20643.316999999999</v>
      </c>
      <c r="U89" s="8">
        <v>6.6E-4</v>
      </c>
      <c r="V89" s="8">
        <v>8.9099999999999995E-3</v>
      </c>
      <c r="W89" s="8">
        <v>5.1000000000000004E-4</v>
      </c>
    </row>
    <row r="90" spans="1:23">
      <c r="A90" s="12">
        <v>1097</v>
      </c>
      <c r="B90" s="12">
        <v>1097</v>
      </c>
      <c r="C90" s="2" t="s">
        <v>2031</v>
      </c>
      <c r="D90" s="3" t="s">
        <v>2032</v>
      </c>
      <c r="E90" s="2" t="s">
        <v>1134</v>
      </c>
      <c r="F90" s="2" t="s">
        <v>2033</v>
      </c>
      <c r="G90" s="12" t="s">
        <v>2034</v>
      </c>
      <c r="H90" s="2" t="s">
        <v>248</v>
      </c>
      <c r="I90" s="2" t="s">
        <v>1770</v>
      </c>
      <c r="J90" s="2" t="s">
        <v>109</v>
      </c>
      <c r="K90" s="2" t="s">
        <v>226</v>
      </c>
      <c r="L90" s="2" t="s">
        <v>1694</v>
      </c>
      <c r="M90" s="3" t="s">
        <v>1836</v>
      </c>
      <c r="N90" s="2" t="s">
        <v>78</v>
      </c>
      <c r="O90" s="2" t="s">
        <v>96</v>
      </c>
      <c r="P90" s="6">
        <v>49000</v>
      </c>
      <c r="Q90" s="13">
        <v>3.3719999999999999</v>
      </c>
      <c r="R90" s="6">
        <v>55164</v>
      </c>
      <c r="S90" s="6">
        <v>0</v>
      </c>
      <c r="T90" s="6">
        <v>91146.373999999996</v>
      </c>
      <c r="U90" s="8">
        <v>8.0000000000000007E-5</v>
      </c>
      <c r="V90" s="8">
        <v>3.934E-2</v>
      </c>
      <c r="W90" s="8">
        <v>2.2599999999999999E-3</v>
      </c>
    </row>
    <row r="91" spans="1:23">
      <c r="A91" s="12">
        <v>1097</v>
      </c>
      <c r="B91" s="12">
        <v>1097</v>
      </c>
      <c r="C91" s="2" t="s">
        <v>2035</v>
      </c>
      <c r="D91" s="3" t="s">
        <v>2036</v>
      </c>
      <c r="E91" s="2" t="s">
        <v>1134</v>
      </c>
      <c r="F91" s="2" t="s">
        <v>2037</v>
      </c>
      <c r="G91" s="12" t="s">
        <v>2038</v>
      </c>
      <c r="H91" s="2" t="s">
        <v>248</v>
      </c>
      <c r="I91" s="2" t="s">
        <v>1770</v>
      </c>
      <c r="J91" s="2" t="s">
        <v>109</v>
      </c>
      <c r="K91" s="2" t="s">
        <v>226</v>
      </c>
      <c r="L91" s="2" t="s">
        <v>1694</v>
      </c>
      <c r="M91" s="3" t="s">
        <v>1815</v>
      </c>
      <c r="N91" s="2" t="s">
        <v>78</v>
      </c>
      <c r="O91" s="2" t="s">
        <v>96</v>
      </c>
      <c r="P91" s="6">
        <v>30000</v>
      </c>
      <c r="Q91" s="13">
        <v>3.3719999999999999</v>
      </c>
      <c r="R91" s="6">
        <v>23870</v>
      </c>
      <c r="S91" s="6">
        <v>0</v>
      </c>
      <c r="T91" s="6">
        <v>24146.892</v>
      </c>
      <c r="U91" s="8">
        <v>5.2999999999999998E-4</v>
      </c>
      <c r="V91" s="8">
        <v>1.042E-2</v>
      </c>
      <c r="W91" s="8">
        <v>5.9999999999999995E-4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7"/>
  <sheetViews>
    <sheetView rightToLeft="1" topLeftCell="O1" workbookViewId="0">
      <selection activeCell="V43" sqref="V43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116</v>
      </c>
      <c r="N1" s="1" t="s">
        <v>1765</v>
      </c>
      <c r="O1" s="1" t="s">
        <v>65</v>
      </c>
      <c r="P1" s="1" t="s">
        <v>68</v>
      </c>
      <c r="Q1" s="1" t="s">
        <v>122</v>
      </c>
      <c r="R1" s="1" t="s">
        <v>70</v>
      </c>
      <c r="S1" s="1" t="s">
        <v>123</v>
      </c>
      <c r="T1" s="1" t="s">
        <v>72</v>
      </c>
      <c r="U1" s="1" t="s">
        <v>125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 t="s">
        <v>1777</v>
      </c>
      <c r="D2" s="3" t="s">
        <v>1778</v>
      </c>
      <c r="E2" s="2" t="s">
        <v>245</v>
      </c>
      <c r="F2" s="2" t="s">
        <v>2039</v>
      </c>
      <c r="G2" s="3" t="s">
        <v>2040</v>
      </c>
      <c r="H2" s="2" t="s">
        <v>248</v>
      </c>
      <c r="I2" s="2" t="s">
        <v>1268</v>
      </c>
      <c r="J2" s="2" t="s">
        <v>77</v>
      </c>
      <c r="K2" s="2" t="s">
        <v>77</v>
      </c>
      <c r="L2" s="2" t="s">
        <v>250</v>
      </c>
      <c r="M2" s="2" t="s">
        <v>130</v>
      </c>
      <c r="N2" s="3" t="s">
        <v>2009</v>
      </c>
      <c r="O2" s="2" t="s">
        <v>78</v>
      </c>
      <c r="P2" s="2" t="s">
        <v>81</v>
      </c>
      <c r="Q2" s="6">
        <v>2520648</v>
      </c>
      <c r="R2" s="13">
        <v>1</v>
      </c>
      <c r="S2" s="6">
        <v>217.84</v>
      </c>
      <c r="T2" s="6">
        <v>5490.98</v>
      </c>
      <c r="U2" s="8">
        <v>6.1000000000000004E-3</v>
      </c>
      <c r="V2" s="8">
        <v>6.2700000000000004E-3</v>
      </c>
      <c r="W2" s="8">
        <v>1.3999999999999999E-4</v>
      </c>
    </row>
    <row r="3" spans="1:23">
      <c r="A3" s="12">
        <v>1097</v>
      </c>
      <c r="B3" s="12">
        <v>1097</v>
      </c>
      <c r="C3" s="2" t="s">
        <v>1777</v>
      </c>
      <c r="D3" s="3" t="s">
        <v>1778</v>
      </c>
      <c r="E3" s="2" t="s">
        <v>245</v>
      </c>
      <c r="F3" s="2" t="s">
        <v>2041</v>
      </c>
      <c r="G3" s="3" t="s">
        <v>2042</v>
      </c>
      <c r="H3" s="2" t="s">
        <v>248</v>
      </c>
      <c r="I3" s="2" t="s">
        <v>1268</v>
      </c>
      <c r="J3" s="2" t="s">
        <v>77</v>
      </c>
      <c r="K3" s="2" t="s">
        <v>77</v>
      </c>
      <c r="L3" s="2" t="s">
        <v>250</v>
      </c>
      <c r="M3" s="2" t="s">
        <v>130</v>
      </c>
      <c r="N3" s="3" t="s">
        <v>1792</v>
      </c>
      <c r="O3" s="2" t="s">
        <v>78</v>
      </c>
      <c r="P3" s="2" t="s">
        <v>81</v>
      </c>
      <c r="Q3" s="6">
        <v>5544000</v>
      </c>
      <c r="R3" s="13">
        <v>1</v>
      </c>
      <c r="S3" s="6">
        <v>189.37</v>
      </c>
      <c r="T3" s="6">
        <v>10498.673000000001</v>
      </c>
      <c r="U3" s="8">
        <v>1.2500000000000001E-2</v>
      </c>
      <c r="V3" s="8">
        <v>1.2E-2</v>
      </c>
      <c r="W3" s="8">
        <v>2.5999999999999998E-4</v>
      </c>
    </row>
    <row r="4" spans="1:23">
      <c r="A4" s="12">
        <v>1097</v>
      </c>
      <c r="B4" s="12">
        <v>1097</v>
      </c>
      <c r="C4" s="2" t="s">
        <v>1777</v>
      </c>
      <c r="D4" s="3" t="s">
        <v>1778</v>
      </c>
      <c r="E4" s="2" t="s">
        <v>245</v>
      </c>
      <c r="F4" s="2" t="s">
        <v>2043</v>
      </c>
      <c r="G4" s="3" t="s">
        <v>2044</v>
      </c>
      <c r="H4" s="2" t="s">
        <v>248</v>
      </c>
      <c r="I4" s="2" t="s">
        <v>1268</v>
      </c>
      <c r="J4" s="2" t="s">
        <v>77</v>
      </c>
      <c r="K4" s="2" t="s">
        <v>77</v>
      </c>
      <c r="L4" s="2" t="s">
        <v>250</v>
      </c>
      <c r="M4" s="2" t="s">
        <v>130</v>
      </c>
      <c r="N4" s="3" t="s">
        <v>1866</v>
      </c>
      <c r="O4" s="2" t="s">
        <v>78</v>
      </c>
      <c r="P4" s="2" t="s">
        <v>81</v>
      </c>
      <c r="Q4" s="6">
        <v>11361550</v>
      </c>
      <c r="R4" s="13">
        <v>1</v>
      </c>
      <c r="S4" s="6">
        <v>191.3</v>
      </c>
      <c r="T4" s="6">
        <v>21734.645</v>
      </c>
      <c r="U4" s="8">
        <v>0.12540000000000001</v>
      </c>
      <c r="V4" s="8">
        <v>2.4830000000000001E-2</v>
      </c>
      <c r="W4" s="8">
        <v>5.4000000000000001E-4</v>
      </c>
    </row>
    <row r="5" spans="1:23">
      <c r="A5" s="12">
        <v>1097</v>
      </c>
      <c r="B5" s="12">
        <v>1097</v>
      </c>
      <c r="C5" s="2" t="s">
        <v>1777</v>
      </c>
      <c r="D5" s="3" t="s">
        <v>1778</v>
      </c>
      <c r="E5" s="2" t="s">
        <v>245</v>
      </c>
      <c r="F5" s="2" t="s">
        <v>2045</v>
      </c>
      <c r="G5" s="3" t="s">
        <v>2046</v>
      </c>
      <c r="H5" s="2" t="s">
        <v>248</v>
      </c>
      <c r="I5" s="2" t="s">
        <v>1268</v>
      </c>
      <c r="J5" s="2" t="s">
        <v>77</v>
      </c>
      <c r="K5" s="2" t="s">
        <v>77</v>
      </c>
      <c r="L5" s="2" t="s">
        <v>250</v>
      </c>
      <c r="M5" s="2" t="s">
        <v>130</v>
      </c>
      <c r="N5" s="3" t="s">
        <v>1845</v>
      </c>
      <c r="O5" s="2" t="s">
        <v>78</v>
      </c>
      <c r="P5" s="2" t="s">
        <v>81</v>
      </c>
      <c r="Q5" s="6">
        <v>1941504</v>
      </c>
      <c r="R5" s="13">
        <v>1</v>
      </c>
      <c r="S5" s="6">
        <v>153.79</v>
      </c>
      <c r="T5" s="6">
        <v>2985.8389999999999</v>
      </c>
      <c r="U5" s="8">
        <v>2.7300000000000001E-2</v>
      </c>
      <c r="V5" s="8">
        <v>3.4099999999999998E-3</v>
      </c>
      <c r="W5" s="8">
        <v>6.9999999999999994E-5</v>
      </c>
    </row>
    <row r="6" spans="1:23">
      <c r="A6" s="12">
        <v>1097</v>
      </c>
      <c r="B6" s="12">
        <v>1097</v>
      </c>
      <c r="C6" s="2" t="s">
        <v>1777</v>
      </c>
      <c r="D6" s="3" t="s">
        <v>1778</v>
      </c>
      <c r="E6" s="2" t="s">
        <v>245</v>
      </c>
      <c r="F6" s="2" t="s">
        <v>2047</v>
      </c>
      <c r="G6" s="3" t="s">
        <v>2048</v>
      </c>
      <c r="H6" s="2" t="s">
        <v>248</v>
      </c>
      <c r="I6" s="2" t="s">
        <v>1268</v>
      </c>
      <c r="J6" s="2" t="s">
        <v>77</v>
      </c>
      <c r="K6" s="2" t="s">
        <v>77</v>
      </c>
      <c r="L6" s="2" t="s">
        <v>250</v>
      </c>
      <c r="M6" s="2" t="s">
        <v>130</v>
      </c>
      <c r="N6" s="3" t="s">
        <v>2049</v>
      </c>
      <c r="O6" s="2" t="s">
        <v>78</v>
      </c>
      <c r="P6" s="2" t="s">
        <v>81</v>
      </c>
      <c r="Q6" s="6">
        <v>7154388</v>
      </c>
      <c r="R6" s="13">
        <v>1</v>
      </c>
      <c r="S6" s="6">
        <v>183.8</v>
      </c>
      <c r="T6" s="6">
        <v>13149.764999999999</v>
      </c>
      <c r="U6" s="8">
        <v>0.1076</v>
      </c>
      <c r="V6" s="8">
        <v>1.502E-2</v>
      </c>
      <c r="W6" s="8">
        <v>3.3E-4</v>
      </c>
    </row>
    <row r="7" spans="1:23">
      <c r="A7" s="12">
        <v>1097</v>
      </c>
      <c r="B7" s="12">
        <v>1097</v>
      </c>
      <c r="C7" s="2" t="s">
        <v>1777</v>
      </c>
      <c r="D7" s="3" t="s">
        <v>1778</v>
      </c>
      <c r="E7" s="2" t="s">
        <v>245</v>
      </c>
      <c r="F7" s="2" t="s">
        <v>2050</v>
      </c>
      <c r="G7" s="3" t="s">
        <v>2051</v>
      </c>
      <c r="H7" s="2" t="s">
        <v>248</v>
      </c>
      <c r="I7" s="2" t="s">
        <v>1268</v>
      </c>
      <c r="J7" s="2" t="s">
        <v>77</v>
      </c>
      <c r="K7" s="2" t="s">
        <v>77</v>
      </c>
      <c r="L7" s="2" t="s">
        <v>250</v>
      </c>
      <c r="M7" s="2" t="s">
        <v>130</v>
      </c>
      <c r="N7" s="3" t="s">
        <v>1875</v>
      </c>
      <c r="O7" s="2" t="s">
        <v>78</v>
      </c>
      <c r="P7" s="2" t="s">
        <v>81</v>
      </c>
      <c r="Q7" s="6">
        <v>2476268</v>
      </c>
      <c r="R7" s="13">
        <v>1</v>
      </c>
      <c r="S7" s="6">
        <v>158.29</v>
      </c>
      <c r="T7" s="6">
        <v>3919.6849999999999</v>
      </c>
      <c r="U7" s="8">
        <v>1.9900000000000001E-2</v>
      </c>
      <c r="V7" s="8">
        <v>4.4799999999999996E-3</v>
      </c>
      <c r="W7" s="8">
        <v>1E-4</v>
      </c>
    </row>
    <row r="8" spans="1:23">
      <c r="A8" s="12">
        <v>1097</v>
      </c>
      <c r="B8" s="12">
        <v>1097</v>
      </c>
      <c r="C8" s="2" t="s">
        <v>1777</v>
      </c>
      <c r="D8" s="3" t="s">
        <v>1778</v>
      </c>
      <c r="E8" s="2" t="s">
        <v>245</v>
      </c>
      <c r="F8" s="2" t="s">
        <v>2052</v>
      </c>
      <c r="G8" s="3" t="s">
        <v>2053</v>
      </c>
      <c r="H8" s="2" t="s">
        <v>248</v>
      </c>
      <c r="I8" s="2" t="s">
        <v>1268</v>
      </c>
      <c r="J8" s="2" t="s">
        <v>77</v>
      </c>
      <c r="K8" s="2" t="s">
        <v>77</v>
      </c>
      <c r="L8" s="2" t="s">
        <v>250</v>
      </c>
      <c r="M8" s="2" t="s">
        <v>130</v>
      </c>
      <c r="N8" s="3" t="s">
        <v>1938</v>
      </c>
      <c r="O8" s="2" t="s">
        <v>78</v>
      </c>
      <c r="P8" s="2" t="s">
        <v>81</v>
      </c>
      <c r="Q8" s="6">
        <v>2961701</v>
      </c>
      <c r="R8" s="13">
        <v>1</v>
      </c>
      <c r="S8" s="6">
        <v>159.33000000000001</v>
      </c>
      <c r="T8" s="6">
        <v>4718.8779999999997</v>
      </c>
      <c r="U8" s="8">
        <v>5.8299999999999998E-2</v>
      </c>
      <c r="V8" s="8">
        <v>5.3899999999999998E-3</v>
      </c>
      <c r="W8" s="8">
        <v>1.2E-4</v>
      </c>
    </row>
    <row r="9" spans="1:23">
      <c r="A9" s="12">
        <v>1097</v>
      </c>
      <c r="B9" s="12">
        <v>1097</v>
      </c>
      <c r="C9" s="2" t="s">
        <v>1777</v>
      </c>
      <c r="D9" s="3" t="s">
        <v>1778</v>
      </c>
      <c r="E9" s="2" t="s">
        <v>245</v>
      </c>
      <c r="F9" s="2" t="s">
        <v>2054</v>
      </c>
      <c r="G9" s="3" t="s">
        <v>2055</v>
      </c>
      <c r="H9" s="2" t="s">
        <v>248</v>
      </c>
      <c r="I9" s="2" t="s">
        <v>2056</v>
      </c>
      <c r="J9" s="2" t="s">
        <v>77</v>
      </c>
      <c r="K9" s="2" t="s">
        <v>77</v>
      </c>
      <c r="L9" s="2" t="s">
        <v>250</v>
      </c>
      <c r="M9" s="2" t="s">
        <v>130</v>
      </c>
      <c r="N9" s="3" t="s">
        <v>2057</v>
      </c>
      <c r="O9" s="2" t="s">
        <v>78</v>
      </c>
      <c r="P9" s="2" t="s">
        <v>81</v>
      </c>
      <c r="Q9" s="6">
        <v>5785000</v>
      </c>
      <c r="R9" s="13">
        <v>1</v>
      </c>
      <c r="S9" s="6">
        <v>112.81</v>
      </c>
      <c r="T9" s="6">
        <v>6526.0590000000002</v>
      </c>
      <c r="U9" s="8">
        <v>1.2500000000000001E-2</v>
      </c>
      <c r="V9" s="8">
        <v>7.4599999999999996E-3</v>
      </c>
      <c r="W9" s="8">
        <v>1.6000000000000001E-4</v>
      </c>
    </row>
    <row r="10" spans="1:23">
      <c r="A10" s="12">
        <v>1097</v>
      </c>
      <c r="B10" s="12">
        <v>1097</v>
      </c>
      <c r="C10" s="2" t="s">
        <v>1777</v>
      </c>
      <c r="D10" s="3" t="s">
        <v>1778</v>
      </c>
      <c r="E10" s="2" t="s">
        <v>245</v>
      </c>
      <c r="F10" s="2" t="s">
        <v>2058</v>
      </c>
      <c r="G10" s="3" t="s">
        <v>2059</v>
      </c>
      <c r="H10" s="2" t="s">
        <v>248</v>
      </c>
      <c r="I10" s="2" t="s">
        <v>1268</v>
      </c>
      <c r="J10" s="2" t="s">
        <v>77</v>
      </c>
      <c r="K10" s="2" t="s">
        <v>77</v>
      </c>
      <c r="L10" s="2" t="s">
        <v>250</v>
      </c>
      <c r="M10" s="2" t="s">
        <v>130</v>
      </c>
      <c r="N10" s="3" t="s">
        <v>1887</v>
      </c>
      <c r="O10" s="2" t="s">
        <v>78</v>
      </c>
      <c r="P10" s="2" t="s">
        <v>81</v>
      </c>
      <c r="Q10" s="6">
        <v>875000</v>
      </c>
      <c r="R10" s="13">
        <v>1</v>
      </c>
      <c r="S10" s="6">
        <v>171.75</v>
      </c>
      <c r="T10" s="6">
        <v>1502.8130000000001</v>
      </c>
      <c r="U10" s="8">
        <v>4.4000000000000003E-3</v>
      </c>
      <c r="V10" s="8">
        <v>1.72E-3</v>
      </c>
      <c r="W10" s="8">
        <v>4.0000000000000003E-5</v>
      </c>
    </row>
    <row r="11" spans="1:23">
      <c r="A11" s="12">
        <v>1097</v>
      </c>
      <c r="B11" s="12">
        <v>1097</v>
      </c>
      <c r="C11" s="2" t="s">
        <v>1777</v>
      </c>
      <c r="D11" s="3" t="s">
        <v>1778</v>
      </c>
      <c r="E11" s="2" t="s">
        <v>245</v>
      </c>
      <c r="F11" s="2" t="s">
        <v>2060</v>
      </c>
      <c r="G11" s="3" t="s">
        <v>2061</v>
      </c>
      <c r="H11" s="2" t="s">
        <v>248</v>
      </c>
      <c r="I11" s="2" t="s">
        <v>1268</v>
      </c>
      <c r="J11" s="2" t="s">
        <v>77</v>
      </c>
      <c r="K11" s="2" t="s">
        <v>77</v>
      </c>
      <c r="L11" s="2" t="s">
        <v>250</v>
      </c>
      <c r="M11" s="2" t="s">
        <v>130</v>
      </c>
      <c r="N11" s="3" t="s">
        <v>1818</v>
      </c>
      <c r="O11" s="2" t="s">
        <v>78</v>
      </c>
      <c r="P11" s="2" t="s">
        <v>81</v>
      </c>
      <c r="Q11" s="6">
        <v>27403000</v>
      </c>
      <c r="R11" s="13">
        <v>1</v>
      </c>
      <c r="S11" s="6">
        <v>232.21</v>
      </c>
      <c r="T11" s="6">
        <v>63632.506000000001</v>
      </c>
      <c r="U11" s="8">
        <v>8.6800000000000002E-2</v>
      </c>
      <c r="V11" s="8">
        <v>7.2700000000000001E-2</v>
      </c>
      <c r="W11" s="8">
        <v>1.58E-3</v>
      </c>
    </row>
    <row r="12" spans="1:23">
      <c r="A12" s="12">
        <v>1097</v>
      </c>
      <c r="B12" s="12">
        <v>1097</v>
      </c>
      <c r="C12" s="2" t="s">
        <v>1777</v>
      </c>
      <c r="D12" s="3" t="s">
        <v>1778</v>
      </c>
      <c r="E12" s="2" t="s">
        <v>245</v>
      </c>
      <c r="F12" s="2" t="s">
        <v>2062</v>
      </c>
      <c r="G12" s="3" t="s">
        <v>2063</v>
      </c>
      <c r="H12" s="2" t="s">
        <v>248</v>
      </c>
      <c r="I12" s="2" t="s">
        <v>1268</v>
      </c>
      <c r="J12" s="2" t="s">
        <v>77</v>
      </c>
      <c r="K12" s="2" t="s">
        <v>77</v>
      </c>
      <c r="L12" s="2" t="s">
        <v>250</v>
      </c>
      <c r="M12" s="2" t="s">
        <v>130</v>
      </c>
      <c r="N12" s="3" t="s">
        <v>1782</v>
      </c>
      <c r="O12" s="2" t="s">
        <v>78</v>
      </c>
      <c r="P12" s="2" t="s">
        <v>81</v>
      </c>
      <c r="Q12" s="6">
        <v>781833</v>
      </c>
      <c r="R12" s="13">
        <v>1</v>
      </c>
      <c r="S12" s="6">
        <v>228.69</v>
      </c>
      <c r="T12" s="6">
        <v>1787.9739999999999</v>
      </c>
      <c r="U12" s="8">
        <v>2.5999999999999999E-3</v>
      </c>
      <c r="V12" s="8">
        <v>2.0400000000000001E-3</v>
      </c>
      <c r="W12" s="8">
        <v>4.0000000000000003E-5</v>
      </c>
    </row>
    <row r="13" spans="1:23">
      <c r="A13" s="12">
        <v>1097</v>
      </c>
      <c r="B13" s="12">
        <v>1097</v>
      </c>
      <c r="C13" s="2" t="s">
        <v>1777</v>
      </c>
      <c r="D13" s="3" t="s">
        <v>1778</v>
      </c>
      <c r="E13" s="2" t="s">
        <v>245</v>
      </c>
      <c r="F13" s="2" t="s">
        <v>2064</v>
      </c>
      <c r="G13" s="3" t="s">
        <v>2065</v>
      </c>
      <c r="H13" s="2" t="s">
        <v>248</v>
      </c>
      <c r="I13" s="2" t="s">
        <v>1268</v>
      </c>
      <c r="J13" s="2" t="s">
        <v>77</v>
      </c>
      <c r="K13" s="2" t="s">
        <v>77</v>
      </c>
      <c r="L13" s="2" t="s">
        <v>250</v>
      </c>
      <c r="M13" s="2" t="s">
        <v>130</v>
      </c>
      <c r="N13" s="3" t="s">
        <v>1807</v>
      </c>
      <c r="O13" s="2" t="s">
        <v>78</v>
      </c>
      <c r="P13" s="2" t="s">
        <v>81</v>
      </c>
      <c r="Q13" s="6">
        <v>2594683</v>
      </c>
      <c r="R13" s="13">
        <v>1</v>
      </c>
      <c r="S13" s="6">
        <v>132.15</v>
      </c>
      <c r="T13" s="6">
        <v>3428.8739999999998</v>
      </c>
      <c r="U13" s="8">
        <v>4.1500000000000002E-2</v>
      </c>
      <c r="V13" s="8">
        <v>3.9199999999999999E-3</v>
      </c>
      <c r="W13" s="8">
        <v>9.0000000000000006E-5</v>
      </c>
    </row>
    <row r="14" spans="1:23">
      <c r="A14" s="12">
        <v>1097</v>
      </c>
      <c r="B14" s="12">
        <v>1097</v>
      </c>
      <c r="C14" s="2" t="s">
        <v>1793</v>
      </c>
      <c r="D14" s="3" t="s">
        <v>1794</v>
      </c>
      <c r="E14" s="2" t="s">
        <v>245</v>
      </c>
      <c r="F14" s="2" t="s">
        <v>2066</v>
      </c>
      <c r="G14" s="3" t="s">
        <v>2067</v>
      </c>
      <c r="H14" s="2" t="s">
        <v>248</v>
      </c>
      <c r="I14" s="2" t="s">
        <v>2056</v>
      </c>
      <c r="J14" s="2" t="s">
        <v>77</v>
      </c>
      <c r="K14" s="2" t="s">
        <v>77</v>
      </c>
      <c r="L14" s="2" t="s">
        <v>250</v>
      </c>
      <c r="M14" s="2" t="s">
        <v>130</v>
      </c>
      <c r="N14" s="3" t="s">
        <v>1887</v>
      </c>
      <c r="O14" s="2" t="s">
        <v>78</v>
      </c>
      <c r="P14" s="2" t="s">
        <v>81</v>
      </c>
      <c r="Q14" s="6">
        <v>621000</v>
      </c>
      <c r="R14" s="13">
        <v>1</v>
      </c>
      <c r="S14" s="6">
        <v>171.46</v>
      </c>
      <c r="T14" s="6">
        <v>1064.7670000000001</v>
      </c>
      <c r="U14" s="8">
        <v>2E-3</v>
      </c>
      <c r="V14" s="8">
        <v>1.2199999999999999E-3</v>
      </c>
      <c r="W14" s="8">
        <v>3.0000000000000001E-5</v>
      </c>
    </row>
    <row r="15" spans="1:23">
      <c r="A15" s="12">
        <v>1097</v>
      </c>
      <c r="B15" s="12">
        <v>1097</v>
      </c>
      <c r="C15" s="2" t="s">
        <v>1793</v>
      </c>
      <c r="D15" s="3" t="s">
        <v>1794</v>
      </c>
      <c r="E15" s="2" t="s">
        <v>245</v>
      </c>
      <c r="F15" s="2" t="s">
        <v>2068</v>
      </c>
      <c r="G15" s="3" t="s">
        <v>2069</v>
      </c>
      <c r="H15" s="2" t="s">
        <v>248</v>
      </c>
      <c r="I15" s="2" t="s">
        <v>1268</v>
      </c>
      <c r="J15" s="2" t="s">
        <v>77</v>
      </c>
      <c r="K15" s="2" t="s">
        <v>77</v>
      </c>
      <c r="L15" s="2" t="s">
        <v>250</v>
      </c>
      <c r="M15" s="2" t="s">
        <v>130</v>
      </c>
      <c r="N15" s="3" t="s">
        <v>2070</v>
      </c>
      <c r="O15" s="2" t="s">
        <v>78</v>
      </c>
      <c r="P15" s="2" t="s">
        <v>81</v>
      </c>
      <c r="Q15" s="6">
        <v>302461</v>
      </c>
      <c r="R15" s="13">
        <v>1</v>
      </c>
      <c r="S15" s="6">
        <v>1935.56</v>
      </c>
      <c r="T15" s="6">
        <v>5854.3140000000003</v>
      </c>
      <c r="U15" s="8">
        <v>5.1299999999999998E-2</v>
      </c>
      <c r="V15" s="8">
        <v>6.6899999999999998E-3</v>
      </c>
      <c r="W15" s="8">
        <v>1.4999999999999999E-4</v>
      </c>
    </row>
    <row r="16" spans="1:23">
      <c r="A16" s="12">
        <v>1097</v>
      </c>
      <c r="B16" s="12">
        <v>1097</v>
      </c>
      <c r="C16" s="2" t="s">
        <v>1793</v>
      </c>
      <c r="D16" s="3" t="s">
        <v>1794</v>
      </c>
      <c r="E16" s="2" t="s">
        <v>245</v>
      </c>
      <c r="F16" s="2" t="s">
        <v>2071</v>
      </c>
      <c r="G16" s="3" t="s">
        <v>2072</v>
      </c>
      <c r="H16" s="2" t="s">
        <v>248</v>
      </c>
      <c r="I16" s="2" t="s">
        <v>1268</v>
      </c>
      <c r="J16" s="2" t="s">
        <v>77</v>
      </c>
      <c r="K16" s="2" t="s">
        <v>77</v>
      </c>
      <c r="L16" s="2" t="s">
        <v>250</v>
      </c>
      <c r="M16" s="2" t="s">
        <v>130</v>
      </c>
      <c r="N16" s="3" t="s">
        <v>1836</v>
      </c>
      <c r="O16" s="2" t="s">
        <v>78</v>
      </c>
      <c r="P16" s="2" t="s">
        <v>81</v>
      </c>
      <c r="Q16" s="6">
        <v>3630233</v>
      </c>
      <c r="R16" s="13">
        <v>1</v>
      </c>
      <c r="S16" s="6">
        <v>304.89</v>
      </c>
      <c r="T16" s="6">
        <v>11068.217000000001</v>
      </c>
      <c r="U16" s="8">
        <v>8.2000000000000007E-3</v>
      </c>
      <c r="V16" s="8">
        <v>1.265E-2</v>
      </c>
      <c r="W16" s="8">
        <v>2.7E-4</v>
      </c>
    </row>
    <row r="17" spans="1:23">
      <c r="A17" s="12">
        <v>1097</v>
      </c>
      <c r="B17" s="12">
        <v>1097</v>
      </c>
      <c r="C17" s="2" t="s">
        <v>1793</v>
      </c>
      <c r="D17" s="3" t="s">
        <v>1794</v>
      </c>
      <c r="E17" s="2" t="s">
        <v>245</v>
      </c>
      <c r="F17" s="2" t="s">
        <v>2073</v>
      </c>
      <c r="G17" s="3" t="s">
        <v>2074</v>
      </c>
      <c r="H17" s="2" t="s">
        <v>248</v>
      </c>
      <c r="I17" s="2" t="s">
        <v>1268</v>
      </c>
      <c r="J17" s="2" t="s">
        <v>77</v>
      </c>
      <c r="K17" s="2" t="s">
        <v>77</v>
      </c>
      <c r="L17" s="2" t="s">
        <v>250</v>
      </c>
      <c r="M17" s="2" t="s">
        <v>130</v>
      </c>
      <c r="N17" s="3" t="s">
        <v>2049</v>
      </c>
      <c r="O17" s="2" t="s">
        <v>78</v>
      </c>
      <c r="P17" s="2" t="s">
        <v>81</v>
      </c>
      <c r="Q17" s="6">
        <v>141677</v>
      </c>
      <c r="R17" s="13">
        <v>1</v>
      </c>
      <c r="S17" s="6">
        <v>2176.83</v>
      </c>
      <c r="T17" s="6">
        <v>3084.067</v>
      </c>
      <c r="U17" s="8">
        <v>1.3899999999999999E-2</v>
      </c>
      <c r="V17" s="8">
        <v>3.5200000000000001E-3</v>
      </c>
      <c r="W17" s="8">
        <v>8.0000000000000007E-5</v>
      </c>
    </row>
    <row r="18" spans="1:23">
      <c r="A18" s="12">
        <v>1097</v>
      </c>
      <c r="B18" s="12">
        <v>1097</v>
      </c>
      <c r="C18" s="2" t="s">
        <v>1793</v>
      </c>
      <c r="D18" s="3" t="s">
        <v>1794</v>
      </c>
      <c r="E18" s="2" t="s">
        <v>245</v>
      </c>
      <c r="F18" s="2" t="s">
        <v>2075</v>
      </c>
      <c r="G18" s="3" t="s">
        <v>2076</v>
      </c>
      <c r="H18" s="2" t="s">
        <v>248</v>
      </c>
      <c r="I18" s="2" t="s">
        <v>2056</v>
      </c>
      <c r="J18" s="2" t="s">
        <v>77</v>
      </c>
      <c r="K18" s="2" t="s">
        <v>77</v>
      </c>
      <c r="L18" s="2" t="s">
        <v>250</v>
      </c>
      <c r="M18" s="2" t="s">
        <v>130</v>
      </c>
      <c r="N18" s="3" t="s">
        <v>1818</v>
      </c>
      <c r="O18" s="2" t="s">
        <v>78</v>
      </c>
      <c r="P18" s="2" t="s">
        <v>81</v>
      </c>
      <c r="Q18" s="6">
        <v>6191000</v>
      </c>
      <c r="R18" s="13">
        <v>1</v>
      </c>
      <c r="S18" s="6">
        <v>212</v>
      </c>
      <c r="T18" s="6">
        <v>13124.92</v>
      </c>
      <c r="U18" s="8">
        <v>1.0500000000000001E-2</v>
      </c>
      <c r="V18" s="8">
        <v>1.4999999999999999E-2</v>
      </c>
      <c r="W18" s="8">
        <v>3.3E-4</v>
      </c>
    </row>
    <row r="19" spans="1:23">
      <c r="A19" s="12">
        <v>1097</v>
      </c>
      <c r="B19" s="12">
        <v>1097</v>
      </c>
      <c r="C19" s="2" t="s">
        <v>1793</v>
      </c>
      <c r="D19" s="3" t="s">
        <v>1794</v>
      </c>
      <c r="E19" s="2" t="s">
        <v>245</v>
      </c>
      <c r="F19" s="2" t="s">
        <v>2077</v>
      </c>
      <c r="G19" s="3" t="s">
        <v>2078</v>
      </c>
      <c r="H19" s="2" t="s">
        <v>248</v>
      </c>
      <c r="I19" s="2" t="s">
        <v>2056</v>
      </c>
      <c r="J19" s="2" t="s">
        <v>77</v>
      </c>
      <c r="K19" s="2" t="s">
        <v>77</v>
      </c>
      <c r="L19" s="2" t="s">
        <v>250</v>
      </c>
      <c r="M19" s="2" t="s">
        <v>130</v>
      </c>
      <c r="N19" s="3" t="s">
        <v>1830</v>
      </c>
      <c r="O19" s="2" t="s">
        <v>1798</v>
      </c>
      <c r="P19" s="2" t="s">
        <v>81</v>
      </c>
      <c r="Q19" s="6">
        <v>75019279</v>
      </c>
      <c r="R19" s="13">
        <v>1</v>
      </c>
      <c r="S19" s="6">
        <v>127.88</v>
      </c>
      <c r="T19" s="6">
        <v>95934.653999999995</v>
      </c>
      <c r="U19" s="8">
        <v>0.1653</v>
      </c>
      <c r="V19" s="8">
        <v>0.10961</v>
      </c>
      <c r="W19" s="8">
        <v>2.3800000000000002E-3</v>
      </c>
    </row>
    <row r="20" spans="1:23">
      <c r="A20" s="12">
        <v>1097</v>
      </c>
      <c r="B20" s="12">
        <v>1097</v>
      </c>
      <c r="C20" s="2" t="s">
        <v>1772</v>
      </c>
      <c r="D20" s="3" t="s">
        <v>1773</v>
      </c>
      <c r="E20" s="2" t="s">
        <v>245</v>
      </c>
      <c r="F20" s="2" t="s">
        <v>2079</v>
      </c>
      <c r="G20" s="3" t="s">
        <v>2080</v>
      </c>
      <c r="H20" s="2" t="s">
        <v>248</v>
      </c>
      <c r="I20" s="2" t="s">
        <v>2056</v>
      </c>
      <c r="J20" s="2" t="s">
        <v>77</v>
      </c>
      <c r="K20" s="2" t="s">
        <v>77</v>
      </c>
      <c r="L20" s="2" t="s">
        <v>250</v>
      </c>
      <c r="M20" s="2" t="s">
        <v>130</v>
      </c>
      <c r="N20" s="3" t="s">
        <v>1786</v>
      </c>
      <c r="O20" s="2" t="s">
        <v>78</v>
      </c>
      <c r="P20" s="2" t="s">
        <v>96</v>
      </c>
      <c r="Q20" s="6">
        <v>3684446</v>
      </c>
      <c r="R20" s="13">
        <v>3.3719999999999999</v>
      </c>
      <c r="S20" s="6">
        <v>112.98</v>
      </c>
      <c r="T20" s="6">
        <v>14036.581</v>
      </c>
      <c r="U20" s="8">
        <v>5.2999999999999999E-2</v>
      </c>
      <c r="V20" s="8">
        <v>1.6039999999999999E-2</v>
      </c>
      <c r="W20" s="8">
        <v>3.5E-4</v>
      </c>
    </row>
    <row r="21" spans="1:23">
      <c r="A21" s="12">
        <v>1097</v>
      </c>
      <c r="B21" s="12">
        <v>1097</v>
      </c>
      <c r="C21" s="2" t="s">
        <v>1772</v>
      </c>
      <c r="D21" s="3" t="s">
        <v>1773</v>
      </c>
      <c r="E21" s="2" t="s">
        <v>245</v>
      </c>
      <c r="F21" s="2" t="s">
        <v>2081</v>
      </c>
      <c r="G21" s="3" t="s">
        <v>2082</v>
      </c>
      <c r="H21" s="2" t="s">
        <v>248</v>
      </c>
      <c r="I21" s="2" t="s">
        <v>1268</v>
      </c>
      <c r="J21" s="2" t="s">
        <v>77</v>
      </c>
      <c r="K21" s="2" t="s">
        <v>77</v>
      </c>
      <c r="L21" s="2" t="s">
        <v>250</v>
      </c>
      <c r="M21" s="2" t="s">
        <v>130</v>
      </c>
      <c r="N21" s="3" t="s">
        <v>2083</v>
      </c>
      <c r="O21" s="2" t="s">
        <v>78</v>
      </c>
      <c r="P21" s="2" t="s">
        <v>81</v>
      </c>
      <c r="Q21" s="6">
        <v>26978417</v>
      </c>
      <c r="R21" s="13">
        <v>1</v>
      </c>
      <c r="S21" s="6">
        <v>134.28</v>
      </c>
      <c r="T21" s="6">
        <v>36226.618000000002</v>
      </c>
      <c r="U21" s="8">
        <v>5.3699999999999998E-2</v>
      </c>
      <c r="V21" s="8">
        <v>4.1390000000000003E-2</v>
      </c>
      <c r="W21" s="8">
        <v>8.9999999999999998E-4</v>
      </c>
    </row>
    <row r="22" spans="1:23">
      <c r="A22" s="12">
        <v>1097</v>
      </c>
      <c r="B22" s="12">
        <v>1097</v>
      </c>
      <c r="C22" s="2" t="s">
        <v>1772</v>
      </c>
      <c r="D22" s="3" t="s">
        <v>1773</v>
      </c>
      <c r="E22" s="2" t="s">
        <v>245</v>
      </c>
      <c r="F22" s="2" t="s">
        <v>2084</v>
      </c>
      <c r="G22" s="3" t="s">
        <v>2085</v>
      </c>
      <c r="H22" s="2" t="s">
        <v>248</v>
      </c>
      <c r="I22" s="2" t="s">
        <v>1268</v>
      </c>
      <c r="J22" s="2" t="s">
        <v>77</v>
      </c>
      <c r="K22" s="2" t="s">
        <v>77</v>
      </c>
      <c r="L22" s="2" t="s">
        <v>250</v>
      </c>
      <c r="M22" s="2" t="s">
        <v>130</v>
      </c>
      <c r="N22" s="3" t="s">
        <v>1797</v>
      </c>
      <c r="O22" s="2" t="s">
        <v>78</v>
      </c>
      <c r="P22" s="2" t="s">
        <v>81</v>
      </c>
      <c r="Q22" s="6">
        <v>1949483</v>
      </c>
      <c r="R22" s="13">
        <v>1</v>
      </c>
      <c r="S22" s="6">
        <v>181.07</v>
      </c>
      <c r="T22" s="6">
        <v>3529.9290000000001</v>
      </c>
      <c r="U22" s="8">
        <v>6.9000000000000006E-2</v>
      </c>
      <c r="V22" s="8">
        <v>4.0299999999999997E-3</v>
      </c>
      <c r="W22" s="8">
        <v>9.0000000000000006E-5</v>
      </c>
    </row>
    <row r="23" spans="1:23">
      <c r="A23" s="12">
        <v>1097</v>
      </c>
      <c r="B23" s="12">
        <v>1097</v>
      </c>
      <c r="C23" s="2" t="s">
        <v>1772</v>
      </c>
      <c r="D23" s="3" t="s">
        <v>1773</v>
      </c>
      <c r="E23" s="2" t="s">
        <v>245</v>
      </c>
      <c r="F23" s="2" t="s">
        <v>2086</v>
      </c>
      <c r="G23" s="3" t="s">
        <v>2087</v>
      </c>
      <c r="H23" s="2" t="s">
        <v>248</v>
      </c>
      <c r="I23" s="2" t="s">
        <v>1268</v>
      </c>
      <c r="J23" s="2" t="s">
        <v>77</v>
      </c>
      <c r="K23" s="2" t="s">
        <v>77</v>
      </c>
      <c r="L23" s="2" t="s">
        <v>250</v>
      </c>
      <c r="M23" s="2" t="s">
        <v>130</v>
      </c>
      <c r="N23" s="3" t="s">
        <v>1804</v>
      </c>
      <c r="O23" s="2" t="s">
        <v>78</v>
      </c>
      <c r="P23" s="2" t="s">
        <v>81</v>
      </c>
      <c r="Q23" s="6">
        <v>33357056</v>
      </c>
      <c r="R23" s="13">
        <v>1</v>
      </c>
      <c r="S23" s="6">
        <v>247.8</v>
      </c>
      <c r="T23" s="6">
        <v>82658.785000000003</v>
      </c>
      <c r="U23" s="8">
        <v>0.1439</v>
      </c>
      <c r="V23" s="8">
        <v>9.4439999999999996E-2</v>
      </c>
      <c r="W23" s="8">
        <v>2.0500000000000002E-3</v>
      </c>
    </row>
    <row r="24" spans="1:23">
      <c r="A24" s="12">
        <v>1097</v>
      </c>
      <c r="B24" s="12">
        <v>1097</v>
      </c>
      <c r="C24" s="2" t="s">
        <v>1772</v>
      </c>
      <c r="D24" s="3" t="s">
        <v>1773</v>
      </c>
      <c r="E24" s="2" t="s">
        <v>245</v>
      </c>
      <c r="F24" s="2" t="s">
        <v>2088</v>
      </c>
      <c r="G24" s="3" t="s">
        <v>2089</v>
      </c>
      <c r="H24" s="2" t="s">
        <v>248</v>
      </c>
      <c r="I24" s="2" t="s">
        <v>1268</v>
      </c>
      <c r="J24" s="2" t="s">
        <v>77</v>
      </c>
      <c r="K24" s="2" t="s">
        <v>77</v>
      </c>
      <c r="L24" s="2" t="s">
        <v>250</v>
      </c>
      <c r="M24" s="2" t="s">
        <v>130</v>
      </c>
      <c r="N24" s="3" t="s">
        <v>1836</v>
      </c>
      <c r="O24" s="2" t="s">
        <v>78</v>
      </c>
      <c r="P24" s="2" t="s">
        <v>81</v>
      </c>
      <c r="Q24" s="6">
        <v>14897275</v>
      </c>
      <c r="R24" s="13">
        <v>1</v>
      </c>
      <c r="S24" s="6">
        <v>166.52</v>
      </c>
      <c r="T24" s="6">
        <v>24806.941999999999</v>
      </c>
      <c r="U24" s="8">
        <v>3.56E-2</v>
      </c>
      <c r="V24" s="8">
        <v>2.8340000000000001E-2</v>
      </c>
      <c r="W24" s="8">
        <v>6.2E-4</v>
      </c>
    </row>
    <row r="25" spans="1:23">
      <c r="A25" s="12">
        <v>1097</v>
      </c>
      <c r="B25" s="12">
        <v>1097</v>
      </c>
      <c r="C25" s="2" t="s">
        <v>1772</v>
      </c>
      <c r="D25" s="3" t="s">
        <v>1773</v>
      </c>
      <c r="E25" s="2" t="s">
        <v>245</v>
      </c>
      <c r="F25" s="2" t="s">
        <v>2090</v>
      </c>
      <c r="G25" s="3" t="s">
        <v>2091</v>
      </c>
      <c r="H25" s="2" t="s">
        <v>248</v>
      </c>
      <c r="I25" s="2" t="s">
        <v>1268</v>
      </c>
      <c r="J25" s="2" t="s">
        <v>77</v>
      </c>
      <c r="K25" s="2" t="s">
        <v>77</v>
      </c>
      <c r="L25" s="2" t="s">
        <v>250</v>
      </c>
      <c r="M25" s="2" t="s">
        <v>130</v>
      </c>
      <c r="N25" s="3" t="s">
        <v>1792</v>
      </c>
      <c r="O25" s="2" t="s">
        <v>78</v>
      </c>
      <c r="P25" s="2" t="s">
        <v>81</v>
      </c>
      <c r="Q25" s="6">
        <v>8795074</v>
      </c>
      <c r="R25" s="13">
        <v>1</v>
      </c>
      <c r="S25" s="6">
        <v>138.96</v>
      </c>
      <c r="T25" s="6">
        <v>12221.635</v>
      </c>
      <c r="U25" s="8">
        <v>1.8800000000000001E-2</v>
      </c>
      <c r="V25" s="8">
        <v>1.396E-2</v>
      </c>
      <c r="W25" s="8">
        <v>2.9999999999999997E-4</v>
      </c>
    </row>
    <row r="26" spans="1:23">
      <c r="A26" s="12">
        <v>1097</v>
      </c>
      <c r="B26" s="12">
        <v>1097</v>
      </c>
      <c r="C26" s="2" t="s">
        <v>1772</v>
      </c>
      <c r="D26" s="3" t="s">
        <v>1773</v>
      </c>
      <c r="E26" s="2" t="s">
        <v>245</v>
      </c>
      <c r="F26" s="2" t="s">
        <v>2092</v>
      </c>
      <c r="G26" s="3" t="s">
        <v>2093</v>
      </c>
      <c r="H26" s="2" t="s">
        <v>248</v>
      </c>
      <c r="I26" s="2" t="s">
        <v>1268</v>
      </c>
      <c r="J26" s="2" t="s">
        <v>77</v>
      </c>
      <c r="K26" s="2" t="s">
        <v>77</v>
      </c>
      <c r="L26" s="2" t="s">
        <v>250</v>
      </c>
      <c r="M26" s="2" t="s">
        <v>130</v>
      </c>
      <c r="N26" s="3" t="s">
        <v>1771</v>
      </c>
      <c r="O26" s="2" t="s">
        <v>78</v>
      </c>
      <c r="P26" s="2" t="s">
        <v>81</v>
      </c>
      <c r="Q26" s="6">
        <v>10630938</v>
      </c>
      <c r="R26" s="13">
        <v>1</v>
      </c>
      <c r="S26" s="6">
        <v>296.93</v>
      </c>
      <c r="T26" s="6">
        <v>31566.444</v>
      </c>
      <c r="U26" s="8">
        <v>1.4800000000000001E-2</v>
      </c>
      <c r="V26" s="8">
        <v>3.6069999999999998E-2</v>
      </c>
      <c r="W26" s="8">
        <v>7.7999999999999999E-4</v>
      </c>
    </row>
    <row r="27" spans="1:23">
      <c r="A27" s="12">
        <v>1097</v>
      </c>
      <c r="B27" s="12">
        <v>1097</v>
      </c>
      <c r="C27" s="2" t="s">
        <v>1772</v>
      </c>
      <c r="D27" s="3" t="s">
        <v>1773</v>
      </c>
      <c r="E27" s="2" t="s">
        <v>245</v>
      </c>
      <c r="F27" s="2" t="s">
        <v>2094</v>
      </c>
      <c r="G27" s="3" t="s">
        <v>2095</v>
      </c>
      <c r="H27" s="2" t="s">
        <v>248</v>
      </c>
      <c r="I27" s="2" t="s">
        <v>1268</v>
      </c>
      <c r="J27" s="2" t="s">
        <v>77</v>
      </c>
      <c r="K27" s="2" t="s">
        <v>77</v>
      </c>
      <c r="L27" s="2" t="s">
        <v>250</v>
      </c>
      <c r="M27" s="2" t="s">
        <v>130</v>
      </c>
      <c r="N27" s="3" t="s">
        <v>1789</v>
      </c>
      <c r="O27" s="2" t="s">
        <v>78</v>
      </c>
      <c r="P27" s="2" t="s">
        <v>81</v>
      </c>
      <c r="Q27" s="6">
        <v>15043027</v>
      </c>
      <c r="R27" s="13">
        <v>1</v>
      </c>
      <c r="S27" s="6">
        <v>213.97</v>
      </c>
      <c r="T27" s="6">
        <v>32187.564999999999</v>
      </c>
      <c r="U27" s="8">
        <v>2.4500000000000001E-2</v>
      </c>
      <c r="V27" s="8">
        <v>3.678E-2</v>
      </c>
      <c r="W27" s="8">
        <v>8.0000000000000004E-4</v>
      </c>
    </row>
    <row r="28" spans="1:23">
      <c r="A28" s="12">
        <v>1097</v>
      </c>
      <c r="B28" s="12">
        <v>1097</v>
      </c>
      <c r="C28" s="2" t="s">
        <v>1772</v>
      </c>
      <c r="D28" s="3" t="s">
        <v>1773</v>
      </c>
      <c r="E28" s="2" t="s">
        <v>245</v>
      </c>
      <c r="F28" s="2" t="s">
        <v>2096</v>
      </c>
      <c r="G28" s="3" t="s">
        <v>2097</v>
      </c>
      <c r="H28" s="2" t="s">
        <v>248</v>
      </c>
      <c r="I28" s="2" t="s">
        <v>1268</v>
      </c>
      <c r="J28" s="2" t="s">
        <v>77</v>
      </c>
      <c r="K28" s="2" t="s">
        <v>77</v>
      </c>
      <c r="L28" s="2" t="s">
        <v>250</v>
      </c>
      <c r="M28" s="2" t="s">
        <v>130</v>
      </c>
      <c r="N28" s="3" t="s">
        <v>2098</v>
      </c>
      <c r="O28" s="2" t="s">
        <v>78</v>
      </c>
      <c r="P28" s="2" t="s">
        <v>81</v>
      </c>
      <c r="Q28" s="6">
        <v>1448883</v>
      </c>
      <c r="R28" s="13">
        <v>1</v>
      </c>
      <c r="S28" s="6">
        <v>66.959999999999994</v>
      </c>
      <c r="T28" s="6">
        <v>970.17200000000003</v>
      </c>
      <c r="U28" s="8">
        <v>0.1132</v>
      </c>
      <c r="V28" s="8">
        <v>1.1100000000000001E-3</v>
      </c>
      <c r="W28" s="8">
        <v>2.0000000000000002E-5</v>
      </c>
    </row>
    <row r="29" spans="1:23">
      <c r="A29" s="12">
        <v>1097</v>
      </c>
      <c r="B29" s="12">
        <v>1097</v>
      </c>
      <c r="C29" s="2" t="s">
        <v>1772</v>
      </c>
      <c r="D29" s="3" t="s">
        <v>1773</v>
      </c>
      <c r="E29" s="2" t="s">
        <v>245</v>
      </c>
      <c r="F29" s="2" t="s">
        <v>2099</v>
      </c>
      <c r="G29" s="3" t="s">
        <v>2100</v>
      </c>
      <c r="H29" s="2" t="s">
        <v>248</v>
      </c>
      <c r="I29" s="2" t="s">
        <v>2101</v>
      </c>
      <c r="J29" s="2" t="s">
        <v>77</v>
      </c>
      <c r="K29" s="2" t="s">
        <v>77</v>
      </c>
      <c r="L29" s="2" t="s">
        <v>250</v>
      </c>
      <c r="M29" s="2" t="s">
        <v>130</v>
      </c>
      <c r="N29" s="3" t="s">
        <v>2102</v>
      </c>
      <c r="O29" s="2" t="s">
        <v>78</v>
      </c>
      <c r="P29" s="2" t="s">
        <v>81</v>
      </c>
      <c r="Q29" s="6">
        <v>1458434</v>
      </c>
      <c r="R29" s="13">
        <v>1</v>
      </c>
      <c r="S29" s="6">
        <v>104.65</v>
      </c>
      <c r="T29" s="6">
        <v>1526.251</v>
      </c>
      <c r="U29" s="8">
        <v>7.6E-3</v>
      </c>
      <c r="V29" s="8">
        <v>1.74E-3</v>
      </c>
      <c r="W29" s="8">
        <v>4.0000000000000003E-5</v>
      </c>
    </row>
    <row r="30" spans="1:23">
      <c r="A30" s="12">
        <v>1097</v>
      </c>
      <c r="B30" s="12">
        <v>1097</v>
      </c>
      <c r="C30" s="2" t="s">
        <v>1772</v>
      </c>
      <c r="D30" s="3" t="s">
        <v>1773</v>
      </c>
      <c r="E30" s="2" t="s">
        <v>245</v>
      </c>
      <c r="F30" s="2" t="s">
        <v>2103</v>
      </c>
      <c r="G30" s="3" t="s">
        <v>2104</v>
      </c>
      <c r="H30" s="2" t="s">
        <v>248</v>
      </c>
      <c r="I30" s="2" t="s">
        <v>2101</v>
      </c>
      <c r="J30" s="2" t="s">
        <v>77</v>
      </c>
      <c r="K30" s="2" t="s">
        <v>77</v>
      </c>
      <c r="L30" s="2" t="s">
        <v>250</v>
      </c>
      <c r="M30" s="2" t="s">
        <v>130</v>
      </c>
      <c r="N30" s="3" t="s">
        <v>2105</v>
      </c>
      <c r="O30" s="2" t="s">
        <v>78</v>
      </c>
      <c r="P30" s="2" t="s">
        <v>96</v>
      </c>
      <c r="Q30" s="6">
        <v>1931424</v>
      </c>
      <c r="R30" s="13">
        <v>3.3719999999999999</v>
      </c>
      <c r="S30" s="6">
        <v>106.07</v>
      </c>
      <c r="T30" s="6">
        <v>6908.0860000000002</v>
      </c>
      <c r="U30" s="8">
        <v>9.9000000000000008E-3</v>
      </c>
      <c r="V30" s="8">
        <v>7.8899999999999994E-3</v>
      </c>
      <c r="W30" s="8">
        <v>1.7000000000000001E-4</v>
      </c>
    </row>
    <row r="31" spans="1:23">
      <c r="A31" s="12">
        <v>1097</v>
      </c>
      <c r="B31" s="12">
        <v>1097</v>
      </c>
      <c r="C31" s="2" t="s">
        <v>1772</v>
      </c>
      <c r="D31" s="3" t="s">
        <v>1773</v>
      </c>
      <c r="E31" s="2" t="s">
        <v>245</v>
      </c>
      <c r="F31" s="2" t="s">
        <v>2106</v>
      </c>
      <c r="G31" s="3" t="s">
        <v>2107</v>
      </c>
      <c r="H31" s="2" t="s">
        <v>248</v>
      </c>
      <c r="I31" s="2" t="s">
        <v>1268</v>
      </c>
      <c r="J31" s="2" t="s">
        <v>77</v>
      </c>
      <c r="K31" s="2" t="s">
        <v>77</v>
      </c>
      <c r="L31" s="2" t="s">
        <v>250</v>
      </c>
      <c r="M31" s="2" t="s">
        <v>130</v>
      </c>
      <c r="N31" s="3" t="s">
        <v>2098</v>
      </c>
      <c r="O31" s="2" t="s">
        <v>78</v>
      </c>
      <c r="P31" s="2" t="s">
        <v>81</v>
      </c>
      <c r="Q31" s="6">
        <v>603000</v>
      </c>
      <c r="R31" s="13">
        <v>1</v>
      </c>
      <c r="S31" s="6">
        <v>194.98</v>
      </c>
      <c r="T31" s="6">
        <v>1175.729</v>
      </c>
      <c r="U31" s="8">
        <v>3.8999999999999998E-3</v>
      </c>
      <c r="V31" s="8">
        <v>1.34E-3</v>
      </c>
      <c r="W31" s="8">
        <v>3.0000000000000001E-5</v>
      </c>
    </row>
    <row r="32" spans="1:23">
      <c r="A32" s="12">
        <v>1097</v>
      </c>
      <c r="B32" s="12">
        <v>1097</v>
      </c>
      <c r="C32" s="2" t="s">
        <v>1772</v>
      </c>
      <c r="D32" s="3" t="s">
        <v>1773</v>
      </c>
      <c r="E32" s="2" t="s">
        <v>245</v>
      </c>
      <c r="F32" s="2" t="s">
        <v>2108</v>
      </c>
      <c r="G32" s="3" t="s">
        <v>2109</v>
      </c>
      <c r="H32" s="2" t="s">
        <v>248</v>
      </c>
      <c r="I32" s="2" t="s">
        <v>1268</v>
      </c>
      <c r="J32" s="2" t="s">
        <v>77</v>
      </c>
      <c r="K32" s="2" t="s">
        <v>77</v>
      </c>
      <c r="L32" s="2" t="s">
        <v>250</v>
      </c>
      <c r="M32" s="2" t="s">
        <v>130</v>
      </c>
      <c r="N32" s="3" t="s">
        <v>1818</v>
      </c>
      <c r="O32" s="2" t="s">
        <v>78</v>
      </c>
      <c r="P32" s="2" t="s">
        <v>81</v>
      </c>
      <c r="Q32" s="6">
        <v>3037000</v>
      </c>
      <c r="R32" s="13">
        <v>1</v>
      </c>
      <c r="S32" s="6">
        <v>215.18</v>
      </c>
      <c r="T32" s="6">
        <v>6535.0169999999998</v>
      </c>
      <c r="U32" s="8">
        <v>8.6999999999999994E-3</v>
      </c>
      <c r="V32" s="8">
        <v>7.4700000000000001E-3</v>
      </c>
      <c r="W32" s="8">
        <v>1.6000000000000001E-4</v>
      </c>
    </row>
    <row r="33" spans="1:23">
      <c r="A33" s="12">
        <v>1097</v>
      </c>
      <c r="B33" s="12">
        <v>1097</v>
      </c>
      <c r="C33" s="2" t="s">
        <v>1772</v>
      </c>
      <c r="D33" s="3" t="s">
        <v>1773</v>
      </c>
      <c r="E33" s="2" t="s">
        <v>245</v>
      </c>
      <c r="F33" s="2" t="s">
        <v>2110</v>
      </c>
      <c r="G33" s="3" t="s">
        <v>2111</v>
      </c>
      <c r="H33" s="2" t="s">
        <v>248</v>
      </c>
      <c r="I33" s="2" t="s">
        <v>2056</v>
      </c>
      <c r="J33" s="2" t="s">
        <v>77</v>
      </c>
      <c r="K33" s="2" t="s">
        <v>77</v>
      </c>
      <c r="L33" s="2" t="s">
        <v>250</v>
      </c>
      <c r="M33" s="2" t="s">
        <v>130</v>
      </c>
      <c r="N33" s="3" t="s">
        <v>1892</v>
      </c>
      <c r="O33" s="2" t="s">
        <v>78</v>
      </c>
      <c r="P33" s="2" t="s">
        <v>81</v>
      </c>
      <c r="Q33" s="6">
        <v>12700000</v>
      </c>
      <c r="R33" s="13">
        <v>1</v>
      </c>
      <c r="S33" s="6">
        <v>128.02000000000001</v>
      </c>
      <c r="T33" s="6">
        <v>16258.54</v>
      </c>
      <c r="U33" s="8">
        <v>5.4800000000000001E-2</v>
      </c>
      <c r="V33" s="8">
        <v>1.8579999999999999E-2</v>
      </c>
      <c r="W33" s="8">
        <v>4.0000000000000002E-4</v>
      </c>
    </row>
    <row r="34" spans="1:23">
      <c r="A34" s="12">
        <v>1097</v>
      </c>
      <c r="B34" s="12">
        <v>1097</v>
      </c>
      <c r="C34" s="2" t="s">
        <v>1916</v>
      </c>
      <c r="D34" s="3" t="s">
        <v>1917</v>
      </c>
      <c r="E34" s="2" t="s">
        <v>245</v>
      </c>
      <c r="F34" s="2" t="s">
        <v>2112</v>
      </c>
      <c r="G34" s="3" t="s">
        <v>2113</v>
      </c>
      <c r="H34" s="2" t="s">
        <v>248</v>
      </c>
      <c r="I34" s="2" t="s">
        <v>1268</v>
      </c>
      <c r="J34" s="2" t="s">
        <v>77</v>
      </c>
      <c r="K34" s="2" t="s">
        <v>77</v>
      </c>
      <c r="L34" s="2" t="s">
        <v>250</v>
      </c>
      <c r="M34" s="2" t="s">
        <v>130</v>
      </c>
      <c r="N34" s="3" t="s">
        <v>1797</v>
      </c>
      <c r="O34" s="2" t="s">
        <v>1798</v>
      </c>
      <c r="P34" s="2" t="s">
        <v>81</v>
      </c>
      <c r="Q34" s="6">
        <v>872800</v>
      </c>
      <c r="R34" s="13">
        <v>1</v>
      </c>
      <c r="S34" s="6">
        <v>183.88</v>
      </c>
      <c r="T34" s="6">
        <v>1604.905</v>
      </c>
      <c r="U34" s="8">
        <v>1.15E-2</v>
      </c>
      <c r="V34" s="8">
        <v>1.83E-3</v>
      </c>
      <c r="W34" s="8">
        <v>4.0000000000000003E-5</v>
      </c>
    </row>
    <row r="35" spans="1:23">
      <c r="A35" s="12">
        <v>1097</v>
      </c>
      <c r="B35" s="12">
        <v>1097</v>
      </c>
      <c r="C35" s="2" t="s">
        <v>1916</v>
      </c>
      <c r="D35" s="3" t="s">
        <v>1917</v>
      </c>
      <c r="E35" s="2" t="s">
        <v>245</v>
      </c>
      <c r="F35" s="2" t="s">
        <v>2114</v>
      </c>
      <c r="G35" s="3" t="s">
        <v>2115</v>
      </c>
      <c r="H35" s="2" t="s">
        <v>248</v>
      </c>
      <c r="I35" s="2" t="s">
        <v>1268</v>
      </c>
      <c r="J35" s="2" t="s">
        <v>77</v>
      </c>
      <c r="K35" s="2" t="s">
        <v>77</v>
      </c>
      <c r="L35" s="2" t="s">
        <v>250</v>
      </c>
      <c r="M35" s="2" t="s">
        <v>130</v>
      </c>
      <c r="N35" s="3" t="s">
        <v>1938</v>
      </c>
      <c r="O35" s="2" t="s">
        <v>1798</v>
      </c>
      <c r="P35" s="2" t="s">
        <v>81</v>
      </c>
      <c r="Q35" s="6">
        <v>3595354</v>
      </c>
      <c r="R35" s="13">
        <v>1</v>
      </c>
      <c r="S35" s="6">
        <v>211.35</v>
      </c>
      <c r="T35" s="6">
        <v>7598.7809999999999</v>
      </c>
      <c r="U35" s="8">
        <v>8.3199999999999996E-2</v>
      </c>
      <c r="V35" s="8">
        <v>8.6800000000000002E-3</v>
      </c>
      <c r="W35" s="8">
        <v>1.9000000000000001E-4</v>
      </c>
    </row>
    <row r="36" spans="1:23">
      <c r="A36" s="12">
        <v>1097</v>
      </c>
      <c r="B36" s="12">
        <v>1097</v>
      </c>
      <c r="C36" s="2" t="s">
        <v>1916</v>
      </c>
      <c r="D36" s="3" t="s">
        <v>1917</v>
      </c>
      <c r="E36" s="2" t="s">
        <v>245</v>
      </c>
      <c r="F36" s="2" t="s">
        <v>2116</v>
      </c>
      <c r="G36" s="3" t="s">
        <v>2117</v>
      </c>
      <c r="H36" s="2" t="s">
        <v>248</v>
      </c>
      <c r="I36" s="2" t="s">
        <v>2056</v>
      </c>
      <c r="J36" s="2" t="s">
        <v>77</v>
      </c>
      <c r="K36" s="2" t="s">
        <v>77</v>
      </c>
      <c r="L36" s="2" t="s">
        <v>250</v>
      </c>
      <c r="M36" s="2" t="s">
        <v>130</v>
      </c>
      <c r="N36" s="3" t="s">
        <v>1830</v>
      </c>
      <c r="O36" s="2" t="s">
        <v>1798</v>
      </c>
      <c r="P36" s="2" t="s">
        <v>81</v>
      </c>
      <c r="Q36" s="6">
        <v>69685884.253000006</v>
      </c>
      <c r="R36" s="13">
        <v>1</v>
      </c>
      <c r="S36" s="6">
        <v>136.32</v>
      </c>
      <c r="T36" s="6">
        <v>94995.797000000006</v>
      </c>
      <c r="U36" s="8">
        <v>0.1318</v>
      </c>
      <c r="V36" s="8">
        <v>0.10854</v>
      </c>
      <c r="W36" s="8">
        <v>2.3600000000000001E-3</v>
      </c>
    </row>
    <row r="37" spans="1:23">
      <c r="A37" s="12">
        <v>1097</v>
      </c>
      <c r="B37" s="12">
        <v>1097</v>
      </c>
      <c r="C37" s="2" t="s">
        <v>1920</v>
      </c>
      <c r="D37" s="3" t="s">
        <v>1921</v>
      </c>
      <c r="E37" s="2" t="s">
        <v>245</v>
      </c>
      <c r="F37" s="2" t="s">
        <v>2118</v>
      </c>
      <c r="G37" s="3" t="s">
        <v>2119</v>
      </c>
      <c r="H37" s="2" t="s">
        <v>248</v>
      </c>
      <c r="I37" s="2" t="s">
        <v>1268</v>
      </c>
      <c r="J37" s="2" t="s">
        <v>77</v>
      </c>
      <c r="K37" s="2" t="s">
        <v>77</v>
      </c>
      <c r="L37" s="2" t="s">
        <v>250</v>
      </c>
      <c r="M37" s="2" t="s">
        <v>130</v>
      </c>
      <c r="N37" s="3" t="s">
        <v>2120</v>
      </c>
      <c r="O37" s="2" t="s">
        <v>78</v>
      </c>
      <c r="P37" s="2" t="s">
        <v>81</v>
      </c>
      <c r="Q37" s="6">
        <v>2299032</v>
      </c>
      <c r="R37" s="13">
        <v>1</v>
      </c>
      <c r="S37" s="6">
        <v>206.41</v>
      </c>
      <c r="T37" s="6">
        <v>4745.4319999999998</v>
      </c>
      <c r="U37" s="8">
        <v>2.63E-2</v>
      </c>
      <c r="V37" s="8">
        <v>5.4200000000000003E-3</v>
      </c>
      <c r="W37" s="8">
        <v>1.2E-4</v>
      </c>
    </row>
    <row r="38" spans="1:23">
      <c r="A38" s="12">
        <v>1097</v>
      </c>
      <c r="B38" s="12">
        <v>1097</v>
      </c>
      <c r="C38" s="2" t="s">
        <v>1920</v>
      </c>
      <c r="D38" s="3" t="s">
        <v>1921</v>
      </c>
      <c r="E38" s="2" t="s">
        <v>245</v>
      </c>
      <c r="F38" s="2" t="s">
        <v>2121</v>
      </c>
      <c r="G38" s="3" t="s">
        <v>2122</v>
      </c>
      <c r="H38" s="2" t="s">
        <v>248</v>
      </c>
      <c r="I38" s="2" t="s">
        <v>1268</v>
      </c>
      <c r="J38" s="2" t="s">
        <v>77</v>
      </c>
      <c r="K38" s="2" t="s">
        <v>77</v>
      </c>
      <c r="L38" s="2" t="s">
        <v>250</v>
      </c>
      <c r="M38" s="2" t="s">
        <v>130</v>
      </c>
      <c r="N38" s="3" t="s">
        <v>1786</v>
      </c>
      <c r="O38" s="2" t="s">
        <v>78</v>
      </c>
      <c r="P38" s="2" t="s">
        <v>81</v>
      </c>
      <c r="Q38" s="6">
        <v>1463301</v>
      </c>
      <c r="R38" s="13">
        <v>1</v>
      </c>
      <c r="S38" s="6">
        <v>428.77</v>
      </c>
      <c r="T38" s="6">
        <v>6274.1959999999999</v>
      </c>
      <c r="U38" s="8">
        <v>7.4000000000000003E-3</v>
      </c>
      <c r="V38" s="8">
        <v>7.1700000000000002E-3</v>
      </c>
      <c r="W38" s="8">
        <v>1.6000000000000001E-4</v>
      </c>
    </row>
    <row r="39" spans="1:23">
      <c r="A39" s="12">
        <v>1097</v>
      </c>
      <c r="B39" s="12">
        <v>1097</v>
      </c>
      <c r="C39" s="2" t="s">
        <v>1920</v>
      </c>
      <c r="D39" s="3" t="s">
        <v>1921</v>
      </c>
      <c r="E39" s="2" t="s">
        <v>245</v>
      </c>
      <c r="F39" s="2" t="s">
        <v>2123</v>
      </c>
      <c r="G39" s="3" t="s">
        <v>2124</v>
      </c>
      <c r="H39" s="2" t="s">
        <v>248</v>
      </c>
      <c r="I39" s="2" t="s">
        <v>1268</v>
      </c>
      <c r="J39" s="2" t="s">
        <v>77</v>
      </c>
      <c r="K39" s="2" t="s">
        <v>77</v>
      </c>
      <c r="L39" s="2" t="s">
        <v>250</v>
      </c>
      <c r="M39" s="2" t="s">
        <v>130</v>
      </c>
      <c r="N39" s="3" t="s">
        <v>1789</v>
      </c>
      <c r="O39" s="2" t="s">
        <v>78</v>
      </c>
      <c r="P39" s="2" t="s">
        <v>81</v>
      </c>
      <c r="Q39" s="6">
        <v>3719967</v>
      </c>
      <c r="R39" s="13">
        <v>1</v>
      </c>
      <c r="S39" s="6">
        <v>281.57</v>
      </c>
      <c r="T39" s="6">
        <v>10474.311</v>
      </c>
      <c r="U39" s="8">
        <v>6.6E-3</v>
      </c>
      <c r="V39" s="8">
        <v>1.197E-2</v>
      </c>
      <c r="W39" s="8">
        <v>2.5999999999999998E-4</v>
      </c>
    </row>
    <row r="40" spans="1:23">
      <c r="A40" s="12">
        <v>1097</v>
      </c>
      <c r="B40" s="12">
        <v>1097</v>
      </c>
      <c r="C40" s="2" t="s">
        <v>2125</v>
      </c>
      <c r="D40" s="3" t="s">
        <v>2126</v>
      </c>
      <c r="E40" s="2" t="s">
        <v>1134</v>
      </c>
      <c r="F40" s="2" t="s">
        <v>2127</v>
      </c>
      <c r="G40" s="3" t="s">
        <v>2128</v>
      </c>
      <c r="H40" s="2" t="s">
        <v>248</v>
      </c>
      <c r="I40" s="2" t="s">
        <v>2056</v>
      </c>
      <c r="J40" s="2" t="s">
        <v>109</v>
      </c>
      <c r="K40" s="2" t="s">
        <v>1158</v>
      </c>
      <c r="L40" s="2" t="s">
        <v>250</v>
      </c>
      <c r="M40" s="2" t="s">
        <v>132</v>
      </c>
      <c r="N40" s="3" t="s">
        <v>2129</v>
      </c>
      <c r="O40" s="2" t="s">
        <v>78</v>
      </c>
      <c r="P40" s="2" t="s">
        <v>96</v>
      </c>
      <c r="Q40" s="6">
        <v>89464.47</v>
      </c>
      <c r="R40" s="13">
        <v>3.3719999999999999</v>
      </c>
      <c r="S40" s="6">
        <v>19055</v>
      </c>
      <c r="T40" s="6">
        <v>57484.017</v>
      </c>
      <c r="U40" s="8">
        <v>3.0000000000000001E-5</v>
      </c>
      <c r="V40" s="8">
        <v>6.5680000000000002E-2</v>
      </c>
      <c r="W40" s="8">
        <v>1.4300000000000001E-3</v>
      </c>
    </row>
    <row r="41" spans="1:23">
      <c r="A41" s="12">
        <v>1097</v>
      </c>
      <c r="B41" s="12">
        <v>1097</v>
      </c>
      <c r="C41" s="2" t="s">
        <v>2130</v>
      </c>
      <c r="D41" s="3" t="s">
        <v>2131</v>
      </c>
      <c r="E41" s="2" t="s">
        <v>1134</v>
      </c>
      <c r="F41" s="2" t="s">
        <v>2132</v>
      </c>
      <c r="G41" s="3" t="s">
        <v>2133</v>
      </c>
      <c r="H41" s="2" t="s">
        <v>248</v>
      </c>
      <c r="I41" s="2" t="s">
        <v>1268</v>
      </c>
      <c r="J41" s="2" t="s">
        <v>109</v>
      </c>
      <c r="K41" s="2" t="s">
        <v>1158</v>
      </c>
      <c r="L41" s="2" t="s">
        <v>250</v>
      </c>
      <c r="M41" s="2" t="s">
        <v>132</v>
      </c>
      <c r="N41" s="3" t="s">
        <v>1892</v>
      </c>
      <c r="O41" s="2" t="s">
        <v>78</v>
      </c>
      <c r="P41" s="2" t="s">
        <v>96</v>
      </c>
      <c r="Q41" s="6">
        <v>244021.47</v>
      </c>
      <c r="R41" s="13">
        <v>3.3719999999999999</v>
      </c>
      <c r="S41" s="6">
        <v>4374</v>
      </c>
      <c r="T41" s="6">
        <v>35991.038999999997</v>
      </c>
      <c r="U41" s="8">
        <v>1.2E-4</v>
      </c>
      <c r="V41" s="8">
        <v>4.1119999999999997E-2</v>
      </c>
      <c r="W41" s="8">
        <v>8.8999999999999995E-4</v>
      </c>
    </row>
    <row r="42" spans="1:23">
      <c r="A42" s="12">
        <v>1097</v>
      </c>
      <c r="B42" s="12">
        <v>1097</v>
      </c>
      <c r="C42" s="2" t="s">
        <v>2134</v>
      </c>
      <c r="D42" s="3" t="s">
        <v>2135</v>
      </c>
      <c r="E42" s="2" t="s">
        <v>1134</v>
      </c>
      <c r="F42" s="2" t="s">
        <v>2136</v>
      </c>
      <c r="G42" s="3" t="s">
        <v>2137</v>
      </c>
      <c r="H42" s="2" t="s">
        <v>248</v>
      </c>
      <c r="I42" s="2" t="s">
        <v>1268</v>
      </c>
      <c r="J42" s="2" t="s">
        <v>109</v>
      </c>
      <c r="K42" s="2" t="s">
        <v>226</v>
      </c>
      <c r="L42" s="2" t="s">
        <v>250</v>
      </c>
      <c r="M42" s="2" t="s">
        <v>132</v>
      </c>
      <c r="N42" s="3" t="s">
        <v>1892</v>
      </c>
      <c r="O42" s="2" t="s">
        <v>78</v>
      </c>
      <c r="P42" s="2" t="s">
        <v>96</v>
      </c>
      <c r="Q42" s="6">
        <v>41647.65</v>
      </c>
      <c r="R42" s="13">
        <v>3.3719999999999999</v>
      </c>
      <c r="S42" s="6">
        <v>10996.08</v>
      </c>
      <c r="T42" s="6">
        <v>15442.441000000001</v>
      </c>
      <c r="U42" s="8">
        <v>6.9999999999999994E-5</v>
      </c>
      <c r="V42" s="8">
        <v>1.7639999999999999E-2</v>
      </c>
      <c r="W42" s="8">
        <v>3.8000000000000002E-4</v>
      </c>
    </row>
    <row r="43" spans="1:23">
      <c r="A43" s="12">
        <v>1097</v>
      </c>
      <c r="B43" s="12">
        <v>1097</v>
      </c>
      <c r="C43" s="2" t="s">
        <v>2138</v>
      </c>
      <c r="D43" s="3" t="s">
        <v>2139</v>
      </c>
      <c r="E43" s="2" t="s">
        <v>1134</v>
      </c>
      <c r="F43" s="2" t="s">
        <v>2138</v>
      </c>
      <c r="G43" s="3" t="s">
        <v>2140</v>
      </c>
      <c r="H43" s="2" t="s">
        <v>248</v>
      </c>
      <c r="I43" s="2" t="s">
        <v>1268</v>
      </c>
      <c r="J43" s="2" t="s">
        <v>109</v>
      </c>
      <c r="K43" s="2" t="s">
        <v>77</v>
      </c>
      <c r="L43" s="2" t="s">
        <v>250</v>
      </c>
      <c r="M43" s="2" t="s">
        <v>132</v>
      </c>
      <c r="N43" s="3" t="s">
        <v>1884</v>
      </c>
      <c r="O43" s="2" t="s">
        <v>78</v>
      </c>
      <c r="P43" s="2" t="s">
        <v>96</v>
      </c>
      <c r="Q43" s="6">
        <v>9400</v>
      </c>
      <c r="R43" s="13">
        <v>3.3719999999999999</v>
      </c>
      <c r="S43" s="6">
        <v>21593</v>
      </c>
      <c r="T43" s="6">
        <v>6844.29</v>
      </c>
      <c r="U43" s="8">
        <v>3.8000000000000002E-4</v>
      </c>
      <c r="V43" s="8">
        <v>7.8200000000000006E-3</v>
      </c>
      <c r="W43" s="8">
        <v>1.7000000000000001E-4</v>
      </c>
    </row>
    <row r="44" spans="1:23">
      <c r="A44" s="12">
        <v>1097</v>
      </c>
      <c r="B44" s="12">
        <v>1097</v>
      </c>
      <c r="C44" s="2" t="s">
        <v>2141</v>
      </c>
      <c r="D44" s="3" t="s">
        <v>2142</v>
      </c>
      <c r="E44" s="2" t="s">
        <v>1134</v>
      </c>
      <c r="F44" s="2" t="s">
        <v>2141</v>
      </c>
      <c r="G44" s="3" t="s">
        <v>2143</v>
      </c>
      <c r="H44" s="2" t="s">
        <v>248</v>
      </c>
      <c r="I44" s="2" t="s">
        <v>1268</v>
      </c>
      <c r="J44" s="2" t="s">
        <v>109</v>
      </c>
      <c r="K44" s="2" t="s">
        <v>2144</v>
      </c>
      <c r="L44" s="2" t="s">
        <v>250</v>
      </c>
      <c r="M44" s="2" t="s">
        <v>132</v>
      </c>
      <c r="N44" s="3" t="s">
        <v>2129</v>
      </c>
      <c r="O44" s="2" t="s">
        <v>78</v>
      </c>
      <c r="P44" s="2" t="s">
        <v>96</v>
      </c>
      <c r="Q44" s="6">
        <v>32500</v>
      </c>
      <c r="R44" s="13">
        <v>3.3719999999999999</v>
      </c>
      <c r="S44" s="6">
        <v>11785</v>
      </c>
      <c r="T44" s="6">
        <v>12915.182000000001</v>
      </c>
      <c r="U44" s="8">
        <v>1.9000000000000001E-4</v>
      </c>
      <c r="V44" s="8">
        <v>1.4760000000000001E-2</v>
      </c>
      <c r="W44" s="8">
        <v>3.2000000000000003E-4</v>
      </c>
    </row>
    <row r="45" spans="1:23">
      <c r="A45" s="12">
        <v>1097</v>
      </c>
      <c r="B45" s="12">
        <v>1097</v>
      </c>
      <c r="C45" s="2" t="s">
        <v>2145</v>
      </c>
      <c r="D45" s="3" t="s">
        <v>2146</v>
      </c>
      <c r="E45" s="2" t="s">
        <v>1134</v>
      </c>
      <c r="F45" s="2" t="s">
        <v>2147</v>
      </c>
      <c r="G45" s="3" t="s">
        <v>2148</v>
      </c>
      <c r="H45" s="2" t="s">
        <v>248</v>
      </c>
      <c r="I45" s="2" t="s">
        <v>1268</v>
      </c>
      <c r="J45" s="2" t="s">
        <v>109</v>
      </c>
      <c r="K45" s="2" t="s">
        <v>2144</v>
      </c>
      <c r="L45" s="2" t="s">
        <v>250</v>
      </c>
      <c r="M45" s="2" t="s">
        <v>132</v>
      </c>
      <c r="N45" s="3" t="s">
        <v>1981</v>
      </c>
      <c r="O45" s="2" t="s">
        <v>78</v>
      </c>
      <c r="P45" s="2" t="s">
        <v>96</v>
      </c>
      <c r="Q45" s="6">
        <v>6129</v>
      </c>
      <c r="R45" s="13">
        <v>3.3719999999999999</v>
      </c>
      <c r="S45" s="6">
        <v>21512</v>
      </c>
      <c r="T45" s="6">
        <v>4445.8819999999996</v>
      </c>
      <c r="U45" s="8">
        <v>1.2999999999999999E-4</v>
      </c>
      <c r="V45" s="8">
        <v>5.0800000000000003E-3</v>
      </c>
      <c r="W45" s="8">
        <v>1.1E-4</v>
      </c>
    </row>
    <row r="46" spans="1:23">
      <c r="A46" s="12">
        <v>1097</v>
      </c>
      <c r="B46" s="12">
        <v>1097</v>
      </c>
      <c r="C46" s="2" t="s">
        <v>2149</v>
      </c>
      <c r="D46" s="3" t="s">
        <v>2150</v>
      </c>
      <c r="E46" s="2" t="s">
        <v>1134</v>
      </c>
      <c r="F46" s="2" t="s">
        <v>2151</v>
      </c>
      <c r="G46" s="3" t="s">
        <v>2152</v>
      </c>
      <c r="H46" s="2" t="s">
        <v>248</v>
      </c>
      <c r="I46" s="2" t="s">
        <v>1268</v>
      </c>
      <c r="J46" s="2" t="s">
        <v>109</v>
      </c>
      <c r="K46" s="2" t="s">
        <v>1158</v>
      </c>
      <c r="L46" s="2" t="s">
        <v>250</v>
      </c>
      <c r="M46" s="2" t="s">
        <v>132</v>
      </c>
      <c r="N46" s="3" t="s">
        <v>1981</v>
      </c>
      <c r="O46" s="2" t="s">
        <v>78</v>
      </c>
      <c r="P46" s="2" t="s">
        <v>96</v>
      </c>
      <c r="Q46" s="6">
        <v>61044</v>
      </c>
      <c r="R46" s="13">
        <v>3.3719999999999999</v>
      </c>
      <c r="S46" s="6">
        <v>33025</v>
      </c>
      <c r="T46" s="6">
        <v>67978.782000000007</v>
      </c>
      <c r="U46" s="8">
        <v>1.4999999999999999E-4</v>
      </c>
      <c r="V46" s="8">
        <v>7.7670000000000003E-2</v>
      </c>
      <c r="W46" s="8">
        <v>1.6900000000000001E-3</v>
      </c>
    </row>
    <row r="47" spans="1:23">
      <c r="A47" s="12">
        <v>1097</v>
      </c>
      <c r="B47" s="12">
        <v>1097</v>
      </c>
      <c r="C47" s="2" t="s">
        <v>2153</v>
      </c>
      <c r="D47" s="3" t="s">
        <v>2154</v>
      </c>
      <c r="E47" s="2" t="s">
        <v>1134</v>
      </c>
      <c r="F47" s="2" t="s">
        <v>2155</v>
      </c>
      <c r="G47" s="3" t="s">
        <v>2156</v>
      </c>
      <c r="H47" s="2" t="s">
        <v>248</v>
      </c>
      <c r="I47" s="2" t="s">
        <v>1268</v>
      </c>
      <c r="J47" s="2" t="s">
        <v>109</v>
      </c>
      <c r="K47" s="2" t="s">
        <v>226</v>
      </c>
      <c r="L47" s="2" t="s">
        <v>250</v>
      </c>
      <c r="M47" s="2" t="s">
        <v>132</v>
      </c>
      <c r="N47" s="3" t="s">
        <v>2157</v>
      </c>
      <c r="O47" s="2" t="s">
        <v>78</v>
      </c>
      <c r="P47" s="2" t="s">
        <v>96</v>
      </c>
      <c r="Q47" s="6">
        <v>10005</v>
      </c>
      <c r="R47" s="13">
        <v>3.3719999999999999</v>
      </c>
      <c r="S47" s="6">
        <v>24710</v>
      </c>
      <c r="T47" s="6">
        <v>8336.3780000000006</v>
      </c>
      <c r="U47" s="8">
        <v>6.0000000000000002E-5</v>
      </c>
      <c r="V47" s="8">
        <v>9.5200000000000007E-3</v>
      </c>
      <c r="W47" s="8">
        <v>2.1000000000000001E-4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64</v>
      </c>
      <c r="J1" s="1" t="s">
        <v>115</v>
      </c>
      <c r="K1" s="1" t="s">
        <v>242</v>
      </c>
      <c r="L1" s="1" t="s">
        <v>116</v>
      </c>
      <c r="M1" s="1" t="s">
        <v>2158</v>
      </c>
      <c r="N1" s="1" t="s">
        <v>236</v>
      </c>
      <c r="O1" s="1" t="s">
        <v>2159</v>
      </c>
      <c r="P1" s="1" t="s">
        <v>65</v>
      </c>
      <c r="Q1" s="1" t="s">
        <v>68</v>
      </c>
      <c r="R1" s="1" t="s">
        <v>2160</v>
      </c>
      <c r="S1" s="1" t="s">
        <v>2161</v>
      </c>
      <c r="T1" s="1" t="s">
        <v>122</v>
      </c>
      <c r="U1" s="1" t="s">
        <v>70</v>
      </c>
      <c r="V1" s="1" t="s">
        <v>123</v>
      </c>
      <c r="W1" s="1" t="s">
        <v>72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0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116</v>
      </c>
      <c r="M1" s="1" t="s">
        <v>236</v>
      </c>
      <c r="N1" s="1" t="s">
        <v>2162</v>
      </c>
      <c r="O1" s="1" t="s">
        <v>2159</v>
      </c>
      <c r="P1" s="1" t="s">
        <v>65</v>
      </c>
      <c r="Q1" s="1" t="s">
        <v>68</v>
      </c>
      <c r="R1" s="1" t="s">
        <v>2160</v>
      </c>
      <c r="S1" s="1" t="s">
        <v>122</v>
      </c>
      <c r="T1" s="1" t="s">
        <v>70</v>
      </c>
      <c r="U1" s="1" t="s">
        <v>123</v>
      </c>
      <c r="V1" s="1" t="s">
        <v>72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3"/>
      <c r="E2" s="2" t="s">
        <v>132</v>
      </c>
      <c r="F2" s="2" t="s">
        <v>2163</v>
      </c>
      <c r="G2" s="12" t="s">
        <v>2164</v>
      </c>
      <c r="H2" s="2" t="s">
        <v>248</v>
      </c>
      <c r="I2" s="2" t="s">
        <v>2165</v>
      </c>
      <c r="J2" s="2" t="s">
        <v>77</v>
      </c>
      <c r="K2" s="2" t="s">
        <v>77</v>
      </c>
      <c r="L2" s="2" t="s">
        <v>130</v>
      </c>
      <c r="M2" s="2" t="s">
        <v>2166</v>
      </c>
      <c r="N2" s="2" t="s">
        <v>2165</v>
      </c>
      <c r="O2" s="2" t="s">
        <v>571</v>
      </c>
      <c r="P2" s="2" t="s">
        <v>78</v>
      </c>
      <c r="Q2" s="2" t="s">
        <v>81</v>
      </c>
      <c r="R2" s="6">
        <v>310</v>
      </c>
      <c r="S2" s="6">
        <v>100</v>
      </c>
      <c r="T2" s="13">
        <v>1</v>
      </c>
      <c r="U2" s="6">
        <v>6600</v>
      </c>
      <c r="V2" s="6">
        <v>6.6</v>
      </c>
      <c r="W2" s="8">
        <v>1</v>
      </c>
      <c r="X2" s="8">
        <v>0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64</v>
      </c>
      <c r="J1" s="1" t="s">
        <v>115</v>
      </c>
      <c r="K1" s="1" t="s">
        <v>116</v>
      </c>
      <c r="L1" s="1" t="s">
        <v>2162</v>
      </c>
      <c r="M1" s="1" t="s">
        <v>65</v>
      </c>
      <c r="N1" s="1" t="s">
        <v>68</v>
      </c>
      <c r="O1" s="1" t="s">
        <v>122</v>
      </c>
      <c r="P1" s="1" t="s">
        <v>70</v>
      </c>
      <c r="Q1" s="1" t="s">
        <v>123</v>
      </c>
      <c r="R1" s="1" t="s">
        <v>72</v>
      </c>
      <c r="S1" s="1" t="s">
        <v>73</v>
      </c>
      <c r="T1" s="1" t="s">
        <v>74</v>
      </c>
    </row>
    <row r="2" spans="1:2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116</v>
      </c>
      <c r="N1" s="1" t="s">
        <v>2162</v>
      </c>
      <c r="O1" s="1" t="s">
        <v>65</v>
      </c>
      <c r="P1" s="1" t="s">
        <v>118</v>
      </c>
      <c r="Q1" s="1" t="s">
        <v>71</v>
      </c>
      <c r="R1" s="1" t="s">
        <v>120</v>
      </c>
      <c r="S1" s="1" t="s">
        <v>117</v>
      </c>
      <c r="T1" s="1" t="s">
        <v>67</v>
      </c>
      <c r="U1" s="1" t="s">
        <v>237</v>
      </c>
      <c r="V1" s="1" t="s">
        <v>68</v>
      </c>
      <c r="W1" s="1" t="s">
        <v>122</v>
      </c>
      <c r="X1" s="1" t="s">
        <v>70</v>
      </c>
      <c r="Y1" s="1" t="s">
        <v>123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112</v>
      </c>
      <c r="D1" s="1" t="s">
        <v>113</v>
      </c>
      <c r="E1" s="1" t="s">
        <v>114</v>
      </c>
      <c r="F1" s="1" t="s">
        <v>235</v>
      </c>
      <c r="G1" s="1" t="s">
        <v>63</v>
      </c>
      <c r="H1" s="1" t="s">
        <v>64</v>
      </c>
      <c r="I1" s="1" t="s">
        <v>115</v>
      </c>
      <c r="J1" s="1" t="s">
        <v>2167</v>
      </c>
      <c r="K1" s="1" t="s">
        <v>117</v>
      </c>
      <c r="L1" s="1" t="s">
        <v>67</v>
      </c>
      <c r="M1" s="1" t="s">
        <v>68</v>
      </c>
      <c r="N1" s="1" t="s">
        <v>118</v>
      </c>
      <c r="O1" s="1" t="s">
        <v>119</v>
      </c>
      <c r="P1" s="1" t="s">
        <v>71</v>
      </c>
      <c r="Q1" s="1" t="s">
        <v>120</v>
      </c>
      <c r="R1" s="1" t="s">
        <v>122</v>
      </c>
      <c r="S1" s="1" t="s">
        <v>70</v>
      </c>
      <c r="T1" s="1" t="s">
        <v>123</v>
      </c>
      <c r="U1" s="1" t="s">
        <v>72</v>
      </c>
      <c r="V1" s="1" t="s">
        <v>124</v>
      </c>
      <c r="W1" s="1" t="s">
        <v>25</v>
      </c>
      <c r="X1" s="1" t="s">
        <v>73</v>
      </c>
      <c r="Y1" s="1" t="s">
        <v>74</v>
      </c>
    </row>
    <row r="2" spans="1:25">
      <c r="A2" s="12">
        <v>1097</v>
      </c>
      <c r="B2" s="12">
        <v>1097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113</v>
      </c>
      <c r="E1" s="1" t="s">
        <v>114</v>
      </c>
      <c r="F1" s="1" t="s">
        <v>2167</v>
      </c>
      <c r="G1" s="1" t="s">
        <v>118</v>
      </c>
      <c r="H1" s="1" t="s">
        <v>2168</v>
      </c>
      <c r="I1" s="1" t="s">
        <v>119</v>
      </c>
      <c r="J1" s="1" t="s">
        <v>71</v>
      </c>
      <c r="K1" s="1" t="s">
        <v>120</v>
      </c>
      <c r="L1" s="1" t="s">
        <v>122</v>
      </c>
      <c r="M1" s="1" t="s">
        <v>123</v>
      </c>
      <c r="N1" s="1" t="s">
        <v>72</v>
      </c>
      <c r="O1" s="1" t="s">
        <v>124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2169</v>
      </c>
      <c r="B1" s="1" t="s">
        <v>59</v>
      </c>
      <c r="C1" s="1" t="s">
        <v>63</v>
      </c>
      <c r="D1" s="1" t="s">
        <v>2170</v>
      </c>
      <c r="E1" s="1" t="s">
        <v>2171</v>
      </c>
      <c r="F1" s="1" t="s">
        <v>2172</v>
      </c>
      <c r="G1" s="1" t="s">
        <v>74</v>
      </c>
    </row>
    <row r="2" spans="1:7">
      <c r="A2" s="12">
        <v>1097</v>
      </c>
      <c r="B2" s="12">
        <v>1097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236</v>
      </c>
      <c r="M1" s="1" t="s">
        <v>65</v>
      </c>
      <c r="N1" s="1" t="s">
        <v>2167</v>
      </c>
      <c r="O1" s="1" t="s">
        <v>117</v>
      </c>
      <c r="P1" s="1" t="s">
        <v>67</v>
      </c>
      <c r="Q1" s="1" t="s">
        <v>237</v>
      </c>
      <c r="R1" s="1" t="s">
        <v>68</v>
      </c>
      <c r="S1" s="1" t="s">
        <v>118</v>
      </c>
      <c r="T1" s="1" t="s">
        <v>2168</v>
      </c>
      <c r="U1" s="1" t="s">
        <v>238</v>
      </c>
      <c r="V1" s="1" t="s">
        <v>119</v>
      </c>
      <c r="W1" s="1" t="s">
        <v>71</v>
      </c>
      <c r="X1" s="1" t="s">
        <v>120</v>
      </c>
      <c r="Y1" s="1" t="s">
        <v>239</v>
      </c>
      <c r="Z1" s="1" t="s">
        <v>240</v>
      </c>
      <c r="AA1" s="1" t="s">
        <v>2173</v>
      </c>
      <c r="AB1" s="1" t="s">
        <v>2174</v>
      </c>
      <c r="AC1" s="1" t="s">
        <v>2175</v>
      </c>
      <c r="AD1" s="1" t="s">
        <v>2176</v>
      </c>
      <c r="AE1" s="1" t="s">
        <v>2177</v>
      </c>
      <c r="AF1" s="1" t="s">
        <v>122</v>
      </c>
      <c r="AG1" s="1" t="s">
        <v>70</v>
      </c>
      <c r="AH1" s="1" t="s">
        <v>123</v>
      </c>
      <c r="AI1" s="1" t="s">
        <v>72</v>
      </c>
      <c r="AJ1" s="1" t="s">
        <v>124</v>
      </c>
      <c r="AK1" s="1" t="s">
        <v>241</v>
      </c>
      <c r="AL1" s="1" t="s">
        <v>25</v>
      </c>
      <c r="AM1" s="1" t="s">
        <v>73</v>
      </c>
      <c r="AN1" s="1" t="s">
        <v>74</v>
      </c>
    </row>
    <row r="2" spans="1:4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236</v>
      </c>
      <c r="N1" s="1" t="s">
        <v>65</v>
      </c>
      <c r="O1" s="1" t="s">
        <v>2167</v>
      </c>
      <c r="P1" s="1" t="s">
        <v>117</v>
      </c>
      <c r="Q1" s="1" t="s">
        <v>67</v>
      </c>
      <c r="R1" s="1" t="s">
        <v>237</v>
      </c>
      <c r="S1" s="1" t="s">
        <v>68</v>
      </c>
      <c r="T1" s="1" t="s">
        <v>118</v>
      </c>
      <c r="U1" s="1" t="s">
        <v>119</v>
      </c>
      <c r="V1" s="1" t="s">
        <v>120</v>
      </c>
      <c r="W1" s="1" t="s">
        <v>71</v>
      </c>
      <c r="X1" s="1" t="s">
        <v>239</v>
      </c>
      <c r="Y1" s="1" t="s">
        <v>240</v>
      </c>
      <c r="Z1" s="1" t="s">
        <v>2173</v>
      </c>
      <c r="AA1" s="1" t="s">
        <v>2174</v>
      </c>
      <c r="AB1" s="1" t="s">
        <v>2176</v>
      </c>
      <c r="AC1" s="1" t="s">
        <v>2177</v>
      </c>
      <c r="AD1" s="1" t="s">
        <v>122</v>
      </c>
      <c r="AE1" s="1" t="s">
        <v>70</v>
      </c>
      <c r="AF1" s="1" t="s">
        <v>123</v>
      </c>
      <c r="AG1" s="1" t="s">
        <v>72</v>
      </c>
      <c r="AH1" s="1" t="s">
        <v>124</v>
      </c>
      <c r="AI1" s="1" t="s">
        <v>241</v>
      </c>
      <c r="AJ1" s="1" t="s">
        <v>25</v>
      </c>
      <c r="AK1" s="1" t="s">
        <v>73</v>
      </c>
      <c r="AL1" s="1" t="s">
        <v>74</v>
      </c>
    </row>
    <row r="2" spans="1:38">
      <c r="A2" s="12">
        <v>1097</v>
      </c>
      <c r="B2" s="12">
        <v>1097</v>
      </c>
      <c r="C2" s="2" t="s">
        <v>899</v>
      </c>
      <c r="D2" s="3" t="s">
        <v>900</v>
      </c>
      <c r="E2" s="2" t="s">
        <v>245</v>
      </c>
      <c r="F2" s="2" t="s">
        <v>2178</v>
      </c>
      <c r="G2" s="12">
        <v>1124346</v>
      </c>
      <c r="H2" s="2" t="s">
        <v>2179</v>
      </c>
      <c r="I2" s="2" t="s">
        <v>261</v>
      </c>
      <c r="J2" s="2" t="s">
        <v>77</v>
      </c>
      <c r="K2" s="2" t="s">
        <v>77</v>
      </c>
      <c r="L2" s="2" t="s">
        <v>2180</v>
      </c>
      <c r="M2" s="2" t="s">
        <v>305</v>
      </c>
      <c r="N2" s="2" t="s">
        <v>78</v>
      </c>
      <c r="O2" s="2" t="s">
        <v>2181</v>
      </c>
      <c r="P2" s="3" t="s">
        <v>79</v>
      </c>
      <c r="Q2" s="2" t="s">
        <v>80</v>
      </c>
      <c r="R2" s="2" t="s">
        <v>254</v>
      </c>
      <c r="S2" s="2" t="s">
        <v>81</v>
      </c>
      <c r="T2" s="13">
        <v>8.8789999999999996</v>
      </c>
      <c r="U2" s="2" t="s">
        <v>2182</v>
      </c>
      <c r="V2" s="8">
        <v>3.083E-2</v>
      </c>
      <c r="W2" s="8">
        <v>4.1000000000000002E-2</v>
      </c>
      <c r="X2" s="2" t="s">
        <v>256</v>
      </c>
      <c r="Y2" s="2" t="s">
        <v>78</v>
      </c>
      <c r="Z2" s="2" t="s">
        <v>2183</v>
      </c>
      <c r="AA2" s="2" t="s">
        <v>2184</v>
      </c>
      <c r="AB2" s="2" t="s">
        <v>2185</v>
      </c>
      <c r="AC2" s="2"/>
      <c r="AD2" s="6">
        <v>252952433.49000001</v>
      </c>
      <c r="AE2" s="13">
        <v>1</v>
      </c>
      <c r="AF2" s="6">
        <v>137.31</v>
      </c>
      <c r="AG2" s="6">
        <v>347328.98599999998</v>
      </c>
      <c r="AJ2" s="2" t="s">
        <v>23</v>
      </c>
      <c r="AK2" s="8">
        <v>0.85885999999999996</v>
      </c>
      <c r="AL2" s="8">
        <v>8.6199999999999992E-3</v>
      </c>
    </row>
    <row r="3" spans="1:38">
      <c r="A3" s="12">
        <v>1097</v>
      </c>
      <c r="B3" s="12">
        <v>1097</v>
      </c>
      <c r="C3" s="2" t="s">
        <v>2186</v>
      </c>
      <c r="D3" s="3" t="s">
        <v>2187</v>
      </c>
      <c r="E3" s="2" t="s">
        <v>245</v>
      </c>
      <c r="F3" s="2" t="s">
        <v>2188</v>
      </c>
      <c r="G3" s="12">
        <v>1090281</v>
      </c>
      <c r="H3" s="2" t="s">
        <v>2179</v>
      </c>
      <c r="I3" s="2" t="s">
        <v>2189</v>
      </c>
      <c r="J3" s="2" t="s">
        <v>77</v>
      </c>
      <c r="K3" s="2" t="s">
        <v>77</v>
      </c>
      <c r="L3" s="2" t="s">
        <v>2180</v>
      </c>
      <c r="M3" s="2" t="s">
        <v>337</v>
      </c>
      <c r="N3" s="2" t="s">
        <v>78</v>
      </c>
      <c r="O3" s="2" t="s">
        <v>2190</v>
      </c>
      <c r="P3" s="3" t="s">
        <v>926</v>
      </c>
      <c r="Q3" s="2" t="s">
        <v>253</v>
      </c>
      <c r="R3" s="2" t="s">
        <v>254</v>
      </c>
      <c r="S3" s="2" t="s">
        <v>96</v>
      </c>
      <c r="T3" s="13">
        <v>0.98899999999999999</v>
      </c>
      <c r="U3" s="2" t="s">
        <v>2191</v>
      </c>
      <c r="V3" s="8">
        <v>4.9090000000000002E-2</v>
      </c>
      <c r="W3" s="8">
        <v>7.9699999999999993E-2</v>
      </c>
      <c r="X3" s="2" t="s">
        <v>629</v>
      </c>
      <c r="Y3" s="2" t="s">
        <v>78</v>
      </c>
      <c r="Z3" s="2" t="s">
        <v>2183</v>
      </c>
      <c r="AA3" s="2" t="s">
        <v>2184</v>
      </c>
      <c r="AB3" s="2" t="s">
        <v>2185</v>
      </c>
      <c r="AC3" s="2"/>
      <c r="AD3" s="6">
        <v>2959788.91</v>
      </c>
      <c r="AE3" s="13">
        <v>3.3719999999999999</v>
      </c>
      <c r="AF3" s="6">
        <v>107.01</v>
      </c>
      <c r="AG3" s="6">
        <v>10680.035</v>
      </c>
      <c r="AJ3" s="2" t="s">
        <v>23</v>
      </c>
      <c r="AK3" s="8">
        <v>2.6409999999999999E-2</v>
      </c>
      <c r="AL3" s="8">
        <v>2.7E-4</v>
      </c>
    </row>
    <row r="4" spans="1:38">
      <c r="A4" s="12">
        <v>1097</v>
      </c>
      <c r="B4" s="12">
        <v>1097</v>
      </c>
      <c r="C4" s="2" t="s">
        <v>2192</v>
      </c>
      <c r="D4" s="3" t="s">
        <v>2193</v>
      </c>
      <c r="E4" s="2" t="s">
        <v>245</v>
      </c>
      <c r="F4" s="2" t="s">
        <v>2194</v>
      </c>
      <c r="G4" s="12">
        <v>1187335</v>
      </c>
      <c r="H4" s="2" t="s">
        <v>2179</v>
      </c>
      <c r="I4" s="2" t="s">
        <v>261</v>
      </c>
      <c r="J4" s="2" t="s">
        <v>77</v>
      </c>
      <c r="K4" s="2" t="s">
        <v>77</v>
      </c>
      <c r="L4" s="2" t="s">
        <v>2180</v>
      </c>
      <c r="M4" s="2" t="s">
        <v>305</v>
      </c>
      <c r="N4" s="2" t="s">
        <v>78</v>
      </c>
      <c r="O4" s="2" t="s">
        <v>2195</v>
      </c>
      <c r="P4" s="3" t="s">
        <v>817</v>
      </c>
      <c r="Q4" s="2" t="s">
        <v>253</v>
      </c>
      <c r="R4" s="2" t="s">
        <v>254</v>
      </c>
      <c r="S4" s="2" t="s">
        <v>81</v>
      </c>
      <c r="T4" s="13">
        <v>3.5089999999999999</v>
      </c>
      <c r="U4" s="2" t="s">
        <v>634</v>
      </c>
      <c r="V4" s="8">
        <v>2.828E-2</v>
      </c>
      <c r="W4" s="8">
        <v>1.55E-2</v>
      </c>
      <c r="X4" s="2" t="s">
        <v>256</v>
      </c>
      <c r="Y4" s="2" t="s">
        <v>78</v>
      </c>
      <c r="Z4" s="2" t="s">
        <v>2183</v>
      </c>
      <c r="AA4" s="2" t="s">
        <v>2184</v>
      </c>
      <c r="AB4" s="2" t="s">
        <v>2185</v>
      </c>
      <c r="AC4" s="2"/>
      <c r="AD4" s="6">
        <v>43750000.020000003</v>
      </c>
      <c r="AE4" s="13">
        <v>1</v>
      </c>
      <c r="AF4" s="6">
        <v>106.05</v>
      </c>
      <c r="AG4" s="6">
        <v>46396.875</v>
      </c>
      <c r="AJ4" s="2" t="s">
        <v>23</v>
      </c>
      <c r="AK4" s="8">
        <v>0.11473</v>
      </c>
      <c r="AL4" s="8">
        <v>1.15E-3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242</v>
      </c>
      <c r="M1" s="1" t="s">
        <v>236</v>
      </c>
      <c r="N1" s="1" t="s">
        <v>65</v>
      </c>
      <c r="O1" s="1" t="s">
        <v>2167</v>
      </c>
      <c r="P1" s="1" t="s">
        <v>68</v>
      </c>
      <c r="Q1" s="1" t="s">
        <v>2173</v>
      </c>
      <c r="R1" s="1" t="s">
        <v>2174</v>
      </c>
      <c r="S1" s="1" t="s">
        <v>2176</v>
      </c>
      <c r="T1" s="1" t="s">
        <v>2177</v>
      </c>
      <c r="U1" s="1" t="s">
        <v>122</v>
      </c>
      <c r="V1" s="1" t="s">
        <v>70</v>
      </c>
      <c r="W1" s="1" t="s">
        <v>123</v>
      </c>
      <c r="X1" s="1" t="s">
        <v>72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69"/>
  <sheetViews>
    <sheetView rightToLeft="1" topLeftCell="E13" workbookViewId="0">
      <selection activeCell="H44" sqref="H4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1.7109375" customWidth="1"/>
    <col min="11" max="11" width="13.7109375" customWidth="1"/>
    <col min="12" max="12" width="27.7109375" customWidth="1"/>
    <col min="13" max="13" width="112.7109375" customWidth="1"/>
    <col min="14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2196</v>
      </c>
      <c r="D1" s="1" t="s">
        <v>2197</v>
      </c>
      <c r="E1" s="1" t="s">
        <v>2198</v>
      </c>
      <c r="F1" s="1" t="s">
        <v>2199</v>
      </c>
      <c r="G1" s="1" t="s">
        <v>2200</v>
      </c>
      <c r="H1" s="1" t="s">
        <v>2201</v>
      </c>
      <c r="I1" s="1" t="s">
        <v>63</v>
      </c>
      <c r="J1" s="1" t="s">
        <v>2202</v>
      </c>
      <c r="K1" s="1" t="s">
        <v>64</v>
      </c>
      <c r="L1" s="1" t="s">
        <v>2203</v>
      </c>
      <c r="M1" s="1" t="s">
        <v>2204</v>
      </c>
      <c r="N1" s="1" t="s">
        <v>115</v>
      </c>
      <c r="O1" s="1" t="s">
        <v>65</v>
      </c>
      <c r="P1" s="1" t="s">
        <v>2167</v>
      </c>
      <c r="Q1" s="1" t="s">
        <v>68</v>
      </c>
      <c r="R1" s="1" t="s">
        <v>2173</v>
      </c>
      <c r="S1" s="1" t="s">
        <v>2174</v>
      </c>
      <c r="T1" s="1" t="s">
        <v>2176</v>
      </c>
      <c r="U1" s="1" t="s">
        <v>70</v>
      </c>
      <c r="V1" s="1" t="s">
        <v>2205</v>
      </c>
      <c r="W1" s="1" t="s">
        <v>72</v>
      </c>
      <c r="X1" s="1" t="s">
        <v>2206</v>
      </c>
      <c r="Y1" s="1" t="s">
        <v>73</v>
      </c>
      <c r="Z1" s="1" t="s">
        <v>74</v>
      </c>
    </row>
    <row r="2" spans="1:26">
      <c r="A2" s="12">
        <v>1097</v>
      </c>
      <c r="B2" s="12">
        <v>1097</v>
      </c>
      <c r="C2" s="2" t="s">
        <v>2207</v>
      </c>
      <c r="D2" s="3" t="s">
        <v>2208</v>
      </c>
      <c r="E2" s="2" t="s">
        <v>233</v>
      </c>
      <c r="F2" s="2" t="s">
        <v>2207</v>
      </c>
      <c r="G2" s="12">
        <v>78814167</v>
      </c>
      <c r="H2" s="2" t="s">
        <v>2179</v>
      </c>
      <c r="I2" s="2" t="s">
        <v>2209</v>
      </c>
      <c r="J2" s="2" t="s">
        <v>2210</v>
      </c>
      <c r="K2" s="2" t="s">
        <v>77</v>
      </c>
      <c r="L2" s="2" t="s">
        <v>77</v>
      </c>
      <c r="M2" s="2" t="s">
        <v>2211</v>
      </c>
      <c r="N2" s="2" t="s">
        <v>77</v>
      </c>
      <c r="O2" s="2" t="s">
        <v>78</v>
      </c>
      <c r="P2" s="2" t="s">
        <v>2212</v>
      </c>
      <c r="Q2" s="2" t="s">
        <v>81</v>
      </c>
      <c r="R2" s="2" t="s">
        <v>132</v>
      </c>
      <c r="S2" s="2" t="s">
        <v>2184</v>
      </c>
      <c r="T2" s="2" t="s">
        <v>2213</v>
      </c>
      <c r="U2" s="13">
        <v>1</v>
      </c>
      <c r="V2" s="16">
        <v>41419140</v>
      </c>
      <c r="W2" s="6">
        <v>41419.144</v>
      </c>
      <c r="X2" s="8">
        <v>2.6919999999999999E-2</v>
      </c>
      <c r="Y2" s="8">
        <v>7.4099999999999999E-3</v>
      </c>
      <c r="Z2" s="8">
        <v>1.0300000000000001E-3</v>
      </c>
    </row>
    <row r="3" spans="1:26">
      <c r="A3" s="12">
        <v>1097</v>
      </c>
      <c r="B3" s="12">
        <v>1097</v>
      </c>
      <c r="C3" s="2" t="s">
        <v>2214</v>
      </c>
      <c r="D3" s="3" t="s">
        <v>2215</v>
      </c>
      <c r="E3" s="2" t="s">
        <v>233</v>
      </c>
      <c r="F3" s="2" t="s">
        <v>2216</v>
      </c>
      <c r="G3" s="12">
        <v>111454</v>
      </c>
      <c r="H3" s="2" t="s">
        <v>2179</v>
      </c>
      <c r="I3" s="2" t="s">
        <v>2217</v>
      </c>
      <c r="J3" s="2" t="s">
        <v>2218</v>
      </c>
      <c r="K3" s="2" t="s">
        <v>77</v>
      </c>
      <c r="L3" s="2" t="s">
        <v>77</v>
      </c>
      <c r="M3" s="2" t="s">
        <v>2219</v>
      </c>
      <c r="N3" s="2" t="s">
        <v>77</v>
      </c>
      <c r="O3" s="2" t="s">
        <v>78</v>
      </c>
      <c r="P3" s="2" t="s">
        <v>2220</v>
      </c>
      <c r="Q3" s="2" t="s">
        <v>96</v>
      </c>
      <c r="R3" s="2" t="s">
        <v>132</v>
      </c>
      <c r="S3" s="2" t="s">
        <v>2184</v>
      </c>
      <c r="T3" s="2" t="s">
        <v>2221</v>
      </c>
      <c r="U3" s="13">
        <v>3.3719999999999999</v>
      </c>
      <c r="V3" s="6">
        <v>21938</v>
      </c>
      <c r="W3" s="6">
        <v>73.971000000000004</v>
      </c>
      <c r="X3" s="8">
        <v>9.8899999999999995E-3</v>
      </c>
      <c r="Y3" s="8">
        <v>1.0000000000000001E-5</v>
      </c>
      <c r="Z3" s="8">
        <v>0</v>
      </c>
    </row>
    <row r="4" spans="1:26">
      <c r="A4" s="12">
        <v>1097</v>
      </c>
      <c r="B4" s="12">
        <v>1097</v>
      </c>
      <c r="C4" s="2" t="s">
        <v>2214</v>
      </c>
      <c r="D4" s="3" t="s">
        <v>2215</v>
      </c>
      <c r="E4" s="2" t="s">
        <v>233</v>
      </c>
      <c r="F4" s="2" t="s">
        <v>2222</v>
      </c>
      <c r="G4" s="12">
        <v>111455</v>
      </c>
      <c r="H4" s="2" t="s">
        <v>2179</v>
      </c>
      <c r="I4" s="2" t="s">
        <v>2217</v>
      </c>
      <c r="J4" s="2" t="s">
        <v>2218</v>
      </c>
      <c r="K4" s="2" t="s">
        <v>77</v>
      </c>
      <c r="L4" s="2" t="s">
        <v>77</v>
      </c>
      <c r="M4" s="2" t="s">
        <v>2219</v>
      </c>
      <c r="N4" s="2" t="s">
        <v>77</v>
      </c>
      <c r="O4" s="2" t="s">
        <v>78</v>
      </c>
      <c r="P4" s="2" t="s">
        <v>2223</v>
      </c>
      <c r="Q4" s="2" t="s">
        <v>96</v>
      </c>
      <c r="R4" s="2" t="s">
        <v>132</v>
      </c>
      <c r="S4" s="2" t="s">
        <v>2184</v>
      </c>
      <c r="T4" s="2" t="s">
        <v>2185</v>
      </c>
      <c r="U4" s="13">
        <v>3.3719999999999999</v>
      </c>
      <c r="V4" s="6">
        <v>4320805</v>
      </c>
      <c r="W4" s="6">
        <v>12207.434999999999</v>
      </c>
      <c r="X4" s="8">
        <v>1.106E-2</v>
      </c>
      <c r="Y4" s="8">
        <v>2.1800000000000001E-3</v>
      </c>
      <c r="Z4" s="8">
        <v>2.9999999999999997E-4</v>
      </c>
    </row>
    <row r="5" spans="1:26">
      <c r="A5" s="12">
        <v>1097</v>
      </c>
      <c r="B5" s="12">
        <v>1097</v>
      </c>
      <c r="C5" s="2" t="s">
        <v>2214</v>
      </c>
      <c r="D5" s="3" t="s">
        <v>2215</v>
      </c>
      <c r="E5" s="2" t="s">
        <v>233</v>
      </c>
      <c r="F5" s="2" t="s">
        <v>2224</v>
      </c>
      <c r="G5" s="12">
        <v>111500</v>
      </c>
      <c r="H5" s="2" t="s">
        <v>2179</v>
      </c>
      <c r="I5" s="2" t="s">
        <v>2217</v>
      </c>
      <c r="J5" s="2" t="s">
        <v>2218</v>
      </c>
      <c r="K5" s="2" t="s">
        <v>77</v>
      </c>
      <c r="L5" s="2" t="s">
        <v>77</v>
      </c>
      <c r="M5" s="2" t="s">
        <v>2225</v>
      </c>
      <c r="N5" s="2" t="s">
        <v>77</v>
      </c>
      <c r="O5" s="2" t="s">
        <v>78</v>
      </c>
      <c r="P5" s="2" t="s">
        <v>2226</v>
      </c>
      <c r="Q5" s="2" t="s">
        <v>96</v>
      </c>
      <c r="R5" s="2" t="s">
        <v>132</v>
      </c>
      <c r="S5" s="2" t="s">
        <v>2184</v>
      </c>
      <c r="T5" s="2" t="s">
        <v>2185</v>
      </c>
      <c r="U5" s="13">
        <v>3.3719999999999999</v>
      </c>
      <c r="V5" s="6">
        <v>42216395</v>
      </c>
      <c r="W5" s="6">
        <v>138675.174</v>
      </c>
      <c r="X5" s="8">
        <v>2.435E-2</v>
      </c>
      <c r="Y5" s="8">
        <v>2.4809999999999999E-2</v>
      </c>
      <c r="Z5" s="8">
        <v>3.4399999999999999E-3</v>
      </c>
    </row>
    <row r="6" spans="1:26">
      <c r="A6" s="12">
        <v>1097</v>
      </c>
      <c r="B6" s="12">
        <v>1097</v>
      </c>
      <c r="C6" s="2" t="s">
        <v>2214</v>
      </c>
      <c r="D6" s="3" t="s">
        <v>2215</v>
      </c>
      <c r="E6" s="2" t="s">
        <v>233</v>
      </c>
      <c r="F6" s="2" t="s">
        <v>2227</v>
      </c>
      <c r="G6" s="12">
        <v>11156007</v>
      </c>
      <c r="H6" s="2" t="s">
        <v>2179</v>
      </c>
      <c r="I6" s="2" t="s">
        <v>2217</v>
      </c>
      <c r="J6" s="2" t="s">
        <v>2218</v>
      </c>
      <c r="K6" s="2" t="s">
        <v>77</v>
      </c>
      <c r="L6" s="2" t="s">
        <v>77</v>
      </c>
      <c r="M6" s="2" t="s">
        <v>2225</v>
      </c>
      <c r="N6" s="2" t="s">
        <v>77</v>
      </c>
      <c r="O6" s="2" t="s">
        <v>78</v>
      </c>
      <c r="P6" s="2" t="s">
        <v>2228</v>
      </c>
      <c r="Q6" s="2" t="s">
        <v>96</v>
      </c>
      <c r="R6" s="2" t="s">
        <v>132</v>
      </c>
      <c r="S6" s="2" t="s">
        <v>2184</v>
      </c>
      <c r="T6" s="2" t="s">
        <v>2229</v>
      </c>
      <c r="U6" s="13">
        <v>3.3719999999999999</v>
      </c>
      <c r="V6" s="6">
        <v>30942146</v>
      </c>
      <c r="W6" s="6">
        <v>102178.845</v>
      </c>
      <c r="X6" s="8">
        <v>1.687E-2</v>
      </c>
      <c r="Y6" s="8">
        <v>1.8280000000000001E-2</v>
      </c>
      <c r="Z6" s="8">
        <v>2.5400000000000002E-3</v>
      </c>
    </row>
    <row r="7" spans="1:26">
      <c r="A7" s="12">
        <v>1097</v>
      </c>
      <c r="B7" s="12">
        <v>1097</v>
      </c>
      <c r="C7" s="2" t="s">
        <v>2230</v>
      </c>
      <c r="D7" s="3" t="s">
        <v>2231</v>
      </c>
      <c r="E7" s="2" t="s">
        <v>233</v>
      </c>
      <c r="F7" s="2" t="s">
        <v>2232</v>
      </c>
      <c r="G7" s="12">
        <v>78907136</v>
      </c>
      <c r="H7" s="2" t="s">
        <v>2179</v>
      </c>
      <c r="I7" s="2" t="s">
        <v>2217</v>
      </c>
      <c r="J7" s="2" t="s">
        <v>2233</v>
      </c>
      <c r="K7" s="2" t="s">
        <v>77</v>
      </c>
      <c r="L7" s="2" t="s">
        <v>77</v>
      </c>
      <c r="M7" s="2" t="s">
        <v>2234</v>
      </c>
      <c r="N7" s="2" t="s">
        <v>226</v>
      </c>
      <c r="O7" s="2" t="s">
        <v>78</v>
      </c>
      <c r="P7" s="2" t="s">
        <v>2235</v>
      </c>
      <c r="Q7" s="2" t="s">
        <v>81</v>
      </c>
      <c r="R7" s="2" t="s">
        <v>132</v>
      </c>
      <c r="S7" s="2" t="s">
        <v>2184</v>
      </c>
      <c r="T7" s="2" t="s">
        <v>2185</v>
      </c>
      <c r="U7" s="13">
        <v>1</v>
      </c>
      <c r="V7" s="16">
        <v>35486589</v>
      </c>
      <c r="W7" s="6">
        <v>35486.584999999999</v>
      </c>
      <c r="X7" s="8">
        <v>1.9140000000000001E-2</v>
      </c>
      <c r="Y7" s="8">
        <v>6.3499999999999997E-3</v>
      </c>
      <c r="Z7" s="8">
        <v>8.8000000000000003E-4</v>
      </c>
    </row>
    <row r="8" spans="1:26">
      <c r="A8" s="12">
        <v>1097</v>
      </c>
      <c r="B8" s="12">
        <v>1097</v>
      </c>
      <c r="C8" s="2" t="s">
        <v>2236</v>
      </c>
      <c r="D8" s="3" t="s">
        <v>2237</v>
      </c>
      <c r="E8" s="2" t="s">
        <v>233</v>
      </c>
      <c r="F8" s="2" t="s">
        <v>2238</v>
      </c>
      <c r="G8" s="12">
        <v>11160116</v>
      </c>
      <c r="H8" s="2" t="s">
        <v>2179</v>
      </c>
      <c r="I8" s="2" t="s">
        <v>2217</v>
      </c>
      <c r="J8" s="2" t="s">
        <v>2233</v>
      </c>
      <c r="K8" s="2" t="s">
        <v>77</v>
      </c>
      <c r="L8" s="2" t="s">
        <v>77</v>
      </c>
      <c r="M8" s="2" t="s">
        <v>2239</v>
      </c>
      <c r="N8" s="2" t="s">
        <v>226</v>
      </c>
      <c r="O8" s="2" t="s">
        <v>78</v>
      </c>
      <c r="P8" s="2" t="s">
        <v>2240</v>
      </c>
      <c r="Q8" s="2" t="s">
        <v>81</v>
      </c>
      <c r="R8" s="2" t="s">
        <v>132</v>
      </c>
      <c r="S8" s="2" t="s">
        <v>2184</v>
      </c>
      <c r="T8" s="2" t="s">
        <v>2241</v>
      </c>
      <c r="U8" s="13">
        <v>1</v>
      </c>
      <c r="V8" s="16">
        <v>33718251</v>
      </c>
      <c r="W8" s="6">
        <v>33718.254000000001</v>
      </c>
      <c r="X8" s="8">
        <v>0.15062</v>
      </c>
      <c r="Y8" s="8">
        <v>6.0299999999999998E-3</v>
      </c>
      <c r="Z8" s="8">
        <v>8.4000000000000003E-4</v>
      </c>
    </row>
    <row r="9" spans="1:26">
      <c r="A9" s="12">
        <v>1097</v>
      </c>
      <c r="B9" s="12">
        <v>1097</v>
      </c>
      <c r="C9" s="2" t="s">
        <v>2242</v>
      </c>
      <c r="D9" s="3" t="s">
        <v>2243</v>
      </c>
      <c r="E9" s="2" t="s">
        <v>233</v>
      </c>
      <c r="F9" s="2" t="s">
        <v>2242</v>
      </c>
      <c r="G9" s="12">
        <v>78865417</v>
      </c>
      <c r="H9" s="2" t="s">
        <v>2179</v>
      </c>
      <c r="I9" s="2" t="s">
        <v>2209</v>
      </c>
      <c r="J9" s="2" t="s">
        <v>2210</v>
      </c>
      <c r="K9" s="2" t="s">
        <v>77</v>
      </c>
      <c r="L9" s="2" t="s">
        <v>77</v>
      </c>
      <c r="M9" s="2" t="s">
        <v>2244</v>
      </c>
      <c r="N9" s="2" t="s">
        <v>77</v>
      </c>
      <c r="O9" s="2" t="s">
        <v>78</v>
      </c>
      <c r="P9" s="2" t="s">
        <v>2245</v>
      </c>
      <c r="Q9" s="2" t="s">
        <v>96</v>
      </c>
      <c r="R9" s="2" t="s">
        <v>132</v>
      </c>
      <c r="S9" s="2" t="s">
        <v>2184</v>
      </c>
      <c r="T9" s="2" t="s">
        <v>2246</v>
      </c>
      <c r="U9" s="13">
        <v>3.3719999999999999</v>
      </c>
      <c r="V9" s="16">
        <v>8337941.2000000002</v>
      </c>
      <c r="W9" s="6">
        <v>28115.55</v>
      </c>
      <c r="X9" s="8">
        <v>0</v>
      </c>
      <c r="Y9" s="8">
        <v>5.0299999999999997E-3</v>
      </c>
      <c r="Z9" s="8">
        <v>6.9999999999999999E-4</v>
      </c>
    </row>
    <row r="10" spans="1:26">
      <c r="A10" s="12">
        <v>1097</v>
      </c>
      <c r="B10" s="12">
        <v>1097</v>
      </c>
      <c r="C10" s="2" t="s">
        <v>2247</v>
      </c>
      <c r="D10" s="3" t="s">
        <v>2248</v>
      </c>
      <c r="E10" s="2" t="s">
        <v>245</v>
      </c>
      <c r="F10" s="2" t="s">
        <v>2249</v>
      </c>
      <c r="G10" s="12">
        <v>79082558</v>
      </c>
      <c r="H10" s="2" t="s">
        <v>2179</v>
      </c>
      <c r="I10" s="2" t="s">
        <v>2217</v>
      </c>
      <c r="J10" s="2" t="s">
        <v>2233</v>
      </c>
      <c r="K10" s="2" t="s">
        <v>77</v>
      </c>
      <c r="L10" s="2" t="s">
        <v>77</v>
      </c>
      <c r="M10" s="2" t="s">
        <v>2250</v>
      </c>
      <c r="N10" s="2" t="s">
        <v>226</v>
      </c>
      <c r="O10" s="2" t="s">
        <v>1798</v>
      </c>
      <c r="P10" s="2" t="s">
        <v>2251</v>
      </c>
      <c r="Q10" s="2" t="s">
        <v>81</v>
      </c>
      <c r="R10" s="2" t="s">
        <v>132</v>
      </c>
      <c r="S10" s="2" t="s">
        <v>2184</v>
      </c>
      <c r="T10" s="2" t="s">
        <v>2252</v>
      </c>
      <c r="U10" s="13">
        <v>1</v>
      </c>
      <c r="V10" s="16">
        <v>34491246</v>
      </c>
      <c r="W10" s="6">
        <v>34491.245999999999</v>
      </c>
      <c r="X10" s="8">
        <v>4.743E-2</v>
      </c>
      <c r="Y10" s="8">
        <v>6.1700000000000001E-3</v>
      </c>
      <c r="Z10" s="8">
        <v>8.5999999999999998E-4</v>
      </c>
    </row>
    <row r="11" spans="1:26">
      <c r="A11" s="12">
        <v>1097</v>
      </c>
      <c r="B11" s="12">
        <v>1097</v>
      </c>
      <c r="C11" s="2" t="s">
        <v>2253</v>
      </c>
      <c r="D11" s="3" t="s">
        <v>2254</v>
      </c>
      <c r="E11" s="2" t="s">
        <v>233</v>
      </c>
      <c r="F11" s="2" t="s">
        <v>2255</v>
      </c>
      <c r="G11" s="12">
        <v>11154002</v>
      </c>
      <c r="H11" s="2" t="s">
        <v>2179</v>
      </c>
      <c r="I11" s="2" t="s">
        <v>2217</v>
      </c>
      <c r="J11" s="2" t="s">
        <v>2218</v>
      </c>
      <c r="K11" s="2" t="s">
        <v>77</v>
      </c>
      <c r="L11" s="2" t="s">
        <v>77</v>
      </c>
      <c r="M11" s="2" t="s">
        <v>2256</v>
      </c>
      <c r="N11" s="2" t="s">
        <v>1158</v>
      </c>
      <c r="O11" s="2" t="s">
        <v>78</v>
      </c>
      <c r="P11" s="2" t="s">
        <v>2257</v>
      </c>
      <c r="Q11" s="2" t="s">
        <v>96</v>
      </c>
      <c r="R11" s="2" t="s">
        <v>132</v>
      </c>
      <c r="S11" s="2" t="s">
        <v>2184</v>
      </c>
      <c r="T11" s="2" t="s">
        <v>2252</v>
      </c>
      <c r="U11" s="13">
        <v>3.3719999999999999</v>
      </c>
      <c r="V11" s="6">
        <v>11475400</v>
      </c>
      <c r="W11" s="6">
        <v>37191.283000000003</v>
      </c>
      <c r="X11" s="8">
        <v>3.8370000000000001E-2</v>
      </c>
      <c r="Y11" s="8">
        <v>6.6499999999999997E-3</v>
      </c>
      <c r="Z11" s="8">
        <v>9.2000000000000003E-4</v>
      </c>
    </row>
    <row r="12" spans="1:26">
      <c r="A12" s="12">
        <v>1097</v>
      </c>
      <c r="B12" s="12">
        <v>1097</v>
      </c>
      <c r="C12" s="2" t="s">
        <v>2253</v>
      </c>
      <c r="D12" s="3" t="s">
        <v>2254</v>
      </c>
      <c r="E12" s="2" t="s">
        <v>233</v>
      </c>
      <c r="F12" s="2" t="s">
        <v>2258</v>
      </c>
      <c r="G12" s="12">
        <v>111505</v>
      </c>
      <c r="H12" s="2" t="s">
        <v>2179</v>
      </c>
      <c r="I12" s="2" t="s">
        <v>2217</v>
      </c>
      <c r="J12" s="2" t="s">
        <v>2218</v>
      </c>
      <c r="K12" s="2" t="s">
        <v>77</v>
      </c>
      <c r="L12" s="2" t="s">
        <v>77</v>
      </c>
      <c r="M12" s="2" t="s">
        <v>2256</v>
      </c>
      <c r="N12" s="2" t="s">
        <v>1158</v>
      </c>
      <c r="O12" s="2" t="s">
        <v>78</v>
      </c>
      <c r="P12" s="2" t="s">
        <v>2259</v>
      </c>
      <c r="Q12" s="2" t="s">
        <v>96</v>
      </c>
      <c r="R12" s="2" t="s">
        <v>132</v>
      </c>
      <c r="S12" s="2" t="s">
        <v>2184</v>
      </c>
      <c r="T12" s="2" t="s">
        <v>2260</v>
      </c>
      <c r="U12" s="13">
        <v>3.3719999999999999</v>
      </c>
      <c r="V12" s="6">
        <v>5170400</v>
      </c>
      <c r="W12" s="6">
        <v>17285.216</v>
      </c>
      <c r="X12" s="8">
        <v>3.6799999999999999E-2</v>
      </c>
      <c r="Y12" s="8">
        <v>3.0899999999999999E-3</v>
      </c>
      <c r="Z12" s="8">
        <v>4.2999999999999999E-4</v>
      </c>
    </row>
    <row r="13" spans="1:26">
      <c r="A13" s="12">
        <v>1097</v>
      </c>
      <c r="B13" s="12">
        <v>1097</v>
      </c>
      <c r="C13" s="2" t="s">
        <v>2261</v>
      </c>
      <c r="D13" s="3" t="s">
        <v>2262</v>
      </c>
      <c r="E13" s="2" t="s">
        <v>233</v>
      </c>
      <c r="F13" s="2" t="s">
        <v>2261</v>
      </c>
      <c r="G13" s="12">
        <v>1695410</v>
      </c>
      <c r="H13" s="2" t="s">
        <v>2179</v>
      </c>
      <c r="I13" s="2" t="s">
        <v>2209</v>
      </c>
      <c r="J13" s="2" t="s">
        <v>2210</v>
      </c>
      <c r="K13" s="2" t="s">
        <v>77</v>
      </c>
      <c r="L13" s="2" t="s">
        <v>77</v>
      </c>
      <c r="M13" s="2" t="s">
        <v>2263</v>
      </c>
      <c r="N13" s="2" t="s">
        <v>77</v>
      </c>
      <c r="O13" s="2" t="s">
        <v>78</v>
      </c>
      <c r="P13" s="2" t="s">
        <v>2264</v>
      </c>
      <c r="Q13" s="2" t="s">
        <v>81</v>
      </c>
      <c r="R13" s="2" t="s">
        <v>132</v>
      </c>
      <c r="S13" s="2" t="s">
        <v>2184</v>
      </c>
      <c r="T13" s="2" t="s">
        <v>2265</v>
      </c>
      <c r="U13" s="13">
        <v>1</v>
      </c>
      <c r="V13" s="16">
        <v>98199130.140000001</v>
      </c>
      <c r="W13" s="6">
        <v>98199.13</v>
      </c>
      <c r="X13" s="8">
        <v>7.9390000000000002E-2</v>
      </c>
      <c r="Y13" s="8">
        <v>1.7569999999999999E-2</v>
      </c>
      <c r="Z13" s="8">
        <v>2.4399999999999999E-3</v>
      </c>
    </row>
    <row r="14" spans="1:26">
      <c r="A14" s="12">
        <v>1097</v>
      </c>
      <c r="B14" s="12">
        <v>1097</v>
      </c>
      <c r="C14" s="2" t="s">
        <v>2266</v>
      </c>
      <c r="D14" s="3" t="s">
        <v>2267</v>
      </c>
      <c r="E14" s="2" t="s">
        <v>233</v>
      </c>
      <c r="F14" s="2" t="s">
        <v>2266</v>
      </c>
      <c r="G14" s="12">
        <v>78859717</v>
      </c>
      <c r="H14" s="2" t="s">
        <v>2179</v>
      </c>
      <c r="I14" s="2" t="s">
        <v>2209</v>
      </c>
      <c r="J14" s="2" t="s">
        <v>2210</v>
      </c>
      <c r="K14" s="2" t="s">
        <v>77</v>
      </c>
      <c r="L14" s="2" t="s">
        <v>77</v>
      </c>
      <c r="M14" s="2" t="s">
        <v>2268</v>
      </c>
      <c r="N14" s="2" t="s">
        <v>77</v>
      </c>
      <c r="O14" s="2" t="s">
        <v>78</v>
      </c>
      <c r="P14" s="2" t="s">
        <v>2269</v>
      </c>
      <c r="Q14" s="2" t="s">
        <v>81</v>
      </c>
      <c r="R14" s="2" t="s">
        <v>132</v>
      </c>
      <c r="S14" s="2" t="s">
        <v>2184</v>
      </c>
      <c r="T14" s="2" t="s">
        <v>2270</v>
      </c>
      <c r="U14" s="13">
        <v>1</v>
      </c>
      <c r="V14" s="16">
        <v>27151494.449999999</v>
      </c>
      <c r="W14" s="6">
        <v>27151.493999999999</v>
      </c>
      <c r="X14" s="8">
        <v>8.7440000000000004E-2</v>
      </c>
      <c r="Y14" s="8">
        <v>4.8599999999999997E-3</v>
      </c>
      <c r="Z14" s="8">
        <v>6.7000000000000002E-4</v>
      </c>
    </row>
    <row r="15" spans="1:26">
      <c r="A15" s="12">
        <v>1097</v>
      </c>
      <c r="B15" s="12">
        <v>1097</v>
      </c>
      <c r="C15" s="2" t="s">
        <v>2271</v>
      </c>
      <c r="D15" s="3" t="s">
        <v>2272</v>
      </c>
      <c r="E15" s="2" t="s">
        <v>233</v>
      </c>
      <c r="F15" s="2" t="s">
        <v>2273</v>
      </c>
      <c r="G15" s="12">
        <v>111504</v>
      </c>
      <c r="H15" s="2" t="s">
        <v>2179</v>
      </c>
      <c r="I15" s="2" t="s">
        <v>2217</v>
      </c>
      <c r="J15" s="2" t="s">
        <v>2233</v>
      </c>
      <c r="K15" s="2" t="s">
        <v>77</v>
      </c>
      <c r="L15" s="2" t="s">
        <v>77</v>
      </c>
      <c r="M15" s="2" t="s">
        <v>2274</v>
      </c>
      <c r="N15" s="2" t="s">
        <v>77</v>
      </c>
      <c r="O15" s="2" t="s">
        <v>78</v>
      </c>
      <c r="P15" s="2" t="s">
        <v>2259</v>
      </c>
      <c r="Q15" s="2" t="s">
        <v>81</v>
      </c>
      <c r="R15" s="2" t="s">
        <v>132</v>
      </c>
      <c r="S15" s="2" t="s">
        <v>2184</v>
      </c>
      <c r="T15" s="2" t="s">
        <v>2221</v>
      </c>
      <c r="U15" s="13">
        <v>1</v>
      </c>
      <c r="V15" s="6">
        <v>48710926</v>
      </c>
      <c r="W15" s="6">
        <v>48710.949000000001</v>
      </c>
      <c r="X15" s="8">
        <v>7.4539999999999995E-2</v>
      </c>
      <c r="Y15" s="8">
        <v>8.7200000000000003E-3</v>
      </c>
      <c r="Z15" s="8">
        <v>1.2099999999999999E-3</v>
      </c>
    </row>
    <row r="16" spans="1:26">
      <c r="A16" s="12">
        <v>1097</v>
      </c>
      <c r="B16" s="12">
        <v>1097</v>
      </c>
      <c r="C16" s="2" t="s">
        <v>2271</v>
      </c>
      <c r="D16" s="3" t="s">
        <v>2272</v>
      </c>
      <c r="E16" s="2" t="s">
        <v>233</v>
      </c>
      <c r="F16" s="2" t="s">
        <v>2275</v>
      </c>
      <c r="G16" s="12">
        <v>111513</v>
      </c>
      <c r="H16" s="2" t="s">
        <v>2179</v>
      </c>
      <c r="I16" s="2" t="s">
        <v>2217</v>
      </c>
      <c r="J16" s="2" t="s">
        <v>2233</v>
      </c>
      <c r="K16" s="2" t="s">
        <v>77</v>
      </c>
      <c r="L16" s="2" t="s">
        <v>77</v>
      </c>
      <c r="M16" s="2" t="s">
        <v>2274</v>
      </c>
      <c r="N16" s="2" t="s">
        <v>77</v>
      </c>
      <c r="O16" s="2" t="s">
        <v>78</v>
      </c>
      <c r="P16" s="2" t="s">
        <v>2259</v>
      </c>
      <c r="Q16" s="2" t="s">
        <v>81</v>
      </c>
      <c r="R16" s="2" t="s">
        <v>132</v>
      </c>
      <c r="S16" s="2" t="s">
        <v>2184</v>
      </c>
      <c r="T16" s="2" t="s">
        <v>2185</v>
      </c>
      <c r="U16" s="13">
        <v>1</v>
      </c>
      <c r="V16" s="6">
        <v>71245666</v>
      </c>
      <c r="W16" s="6">
        <v>69183.486000000004</v>
      </c>
      <c r="X16" s="8">
        <v>3.313E-2</v>
      </c>
      <c r="Y16" s="8">
        <v>1.238E-2</v>
      </c>
      <c r="Z16" s="8">
        <v>1.72E-3</v>
      </c>
    </row>
    <row r="17" spans="1:26">
      <c r="A17" s="12">
        <v>1097</v>
      </c>
      <c r="B17" s="12">
        <v>1097</v>
      </c>
      <c r="C17" s="2" t="s">
        <v>2276</v>
      </c>
      <c r="D17" s="3" t="s">
        <v>2277</v>
      </c>
      <c r="E17" s="2" t="s">
        <v>233</v>
      </c>
      <c r="F17" s="2" t="s">
        <v>2278</v>
      </c>
      <c r="G17" s="12">
        <v>1092011</v>
      </c>
      <c r="H17" s="2" t="s">
        <v>2179</v>
      </c>
      <c r="I17" s="2" t="s">
        <v>2217</v>
      </c>
      <c r="J17" s="2" t="s">
        <v>2279</v>
      </c>
      <c r="K17" s="2" t="s">
        <v>77</v>
      </c>
      <c r="L17" s="2" t="s">
        <v>77</v>
      </c>
      <c r="M17" s="2" t="s">
        <v>2280</v>
      </c>
      <c r="N17" s="2" t="s">
        <v>77</v>
      </c>
      <c r="O17" s="2" t="s">
        <v>78</v>
      </c>
      <c r="P17" s="2" t="s">
        <v>2281</v>
      </c>
      <c r="Q17" s="2" t="s">
        <v>81</v>
      </c>
      <c r="R17" s="2" t="s">
        <v>132</v>
      </c>
      <c r="S17" s="2" t="s">
        <v>2184</v>
      </c>
      <c r="T17" s="2" t="s">
        <v>2282</v>
      </c>
      <c r="U17" s="13">
        <v>1</v>
      </c>
      <c r="V17" s="6">
        <v>167242400</v>
      </c>
      <c r="W17" s="6">
        <v>167242.383</v>
      </c>
      <c r="X17" s="8">
        <v>9.7839999999999996E-2</v>
      </c>
      <c r="Y17" s="8">
        <v>2.9929999999999998E-2</v>
      </c>
      <c r="Z17" s="8">
        <v>4.15E-3</v>
      </c>
    </row>
    <row r="18" spans="1:26">
      <c r="A18" s="12">
        <v>1097</v>
      </c>
      <c r="B18" s="12">
        <v>1097</v>
      </c>
      <c r="C18" s="2" t="s">
        <v>2283</v>
      </c>
      <c r="D18" s="3" t="s">
        <v>2284</v>
      </c>
      <c r="E18" s="2" t="s">
        <v>233</v>
      </c>
      <c r="F18" s="2" t="s">
        <v>2283</v>
      </c>
      <c r="G18" s="12">
        <v>111540381</v>
      </c>
      <c r="H18" s="2" t="s">
        <v>2179</v>
      </c>
      <c r="I18" s="2" t="s">
        <v>2209</v>
      </c>
      <c r="J18" s="2" t="s">
        <v>2210</v>
      </c>
      <c r="K18" s="2" t="s">
        <v>77</v>
      </c>
      <c r="L18" s="2" t="s">
        <v>77</v>
      </c>
      <c r="M18" s="2" t="s">
        <v>2285</v>
      </c>
      <c r="N18" s="2" t="s">
        <v>77</v>
      </c>
      <c r="O18" s="2" t="s">
        <v>78</v>
      </c>
      <c r="P18" s="15">
        <v>45748</v>
      </c>
      <c r="Q18" s="2" t="s">
        <v>81</v>
      </c>
      <c r="R18" s="2" t="s">
        <v>132</v>
      </c>
      <c r="S18" s="2" t="s">
        <v>2184</v>
      </c>
      <c r="T18" s="2" t="s">
        <v>2265</v>
      </c>
      <c r="U18" s="13">
        <v>1</v>
      </c>
      <c r="V18" s="16">
        <v>32324401</v>
      </c>
      <c r="W18" s="6">
        <v>32324.401000000002</v>
      </c>
      <c r="X18" s="8">
        <v>0</v>
      </c>
      <c r="Y18" s="8">
        <v>5.7800000000000004E-3</v>
      </c>
      <c r="Z18" s="8">
        <v>8.0000000000000004E-4</v>
      </c>
    </row>
    <row r="19" spans="1:26">
      <c r="A19" s="12">
        <v>1097</v>
      </c>
      <c r="B19" s="12">
        <v>1097</v>
      </c>
      <c r="C19" s="2" t="s">
        <v>2286</v>
      </c>
      <c r="D19" s="3" t="s">
        <v>2287</v>
      </c>
      <c r="E19" s="2" t="s">
        <v>233</v>
      </c>
      <c r="F19" s="2" t="s">
        <v>2288</v>
      </c>
      <c r="G19" s="12">
        <v>583416</v>
      </c>
      <c r="H19" s="2" t="s">
        <v>2179</v>
      </c>
      <c r="I19" s="2" t="s">
        <v>2217</v>
      </c>
      <c r="J19" s="2" t="s">
        <v>2233</v>
      </c>
      <c r="K19" s="2" t="s">
        <v>77</v>
      </c>
      <c r="L19" s="2" t="s">
        <v>77</v>
      </c>
      <c r="M19" s="2" t="s">
        <v>2289</v>
      </c>
      <c r="N19" s="2" t="s">
        <v>77</v>
      </c>
      <c r="O19" s="2" t="s">
        <v>78</v>
      </c>
      <c r="P19" s="2" t="s">
        <v>2290</v>
      </c>
      <c r="Q19" s="2" t="s">
        <v>81</v>
      </c>
      <c r="R19" s="2" t="s">
        <v>132</v>
      </c>
      <c r="S19" s="2" t="s">
        <v>2184</v>
      </c>
      <c r="T19" s="2" t="s">
        <v>2291</v>
      </c>
      <c r="U19" s="13">
        <v>1</v>
      </c>
      <c r="V19" s="16">
        <v>50892</v>
      </c>
      <c r="W19" s="6">
        <v>50.875999999999998</v>
      </c>
      <c r="X19" s="8">
        <v>3.1879999999999999E-2</v>
      </c>
      <c r="Y19" s="8">
        <v>1.0000000000000001E-5</v>
      </c>
      <c r="Z19" s="8">
        <v>0</v>
      </c>
    </row>
    <row r="20" spans="1:26">
      <c r="A20" s="12">
        <v>1097</v>
      </c>
      <c r="B20" s="12">
        <v>1097</v>
      </c>
      <c r="C20" s="2" t="s">
        <v>2276</v>
      </c>
      <c r="D20" s="3" t="s">
        <v>2277</v>
      </c>
      <c r="E20" s="2" t="s">
        <v>233</v>
      </c>
      <c r="F20" s="2" t="s">
        <v>2292</v>
      </c>
      <c r="G20" s="12">
        <v>1192021</v>
      </c>
      <c r="H20" s="2" t="s">
        <v>2179</v>
      </c>
      <c r="I20" s="2" t="s">
        <v>2217</v>
      </c>
      <c r="J20" s="2" t="s">
        <v>2279</v>
      </c>
      <c r="K20" s="2" t="s">
        <v>77</v>
      </c>
      <c r="L20" s="2" t="s">
        <v>77</v>
      </c>
      <c r="M20" s="2" t="s">
        <v>2280</v>
      </c>
      <c r="N20" s="2" t="s">
        <v>77</v>
      </c>
      <c r="O20" s="2" t="s">
        <v>78</v>
      </c>
      <c r="P20" s="2" t="s">
        <v>2293</v>
      </c>
      <c r="Q20" s="2" t="s">
        <v>81</v>
      </c>
      <c r="R20" s="2" t="s">
        <v>132</v>
      </c>
      <c r="S20" s="2" t="s">
        <v>2184</v>
      </c>
      <c r="T20" s="2" t="s">
        <v>2282</v>
      </c>
      <c r="U20" s="13">
        <v>1</v>
      </c>
      <c r="V20" s="6">
        <v>48456531</v>
      </c>
      <c r="W20" s="6">
        <v>48456.508999999998</v>
      </c>
      <c r="X20" s="8">
        <v>3.2149999999999998E-2</v>
      </c>
      <c r="Y20" s="8">
        <v>8.6700000000000006E-3</v>
      </c>
      <c r="Z20" s="8">
        <v>1.1999999999999999E-3</v>
      </c>
    </row>
    <row r="21" spans="1:26">
      <c r="A21" s="12">
        <v>1097</v>
      </c>
      <c r="B21" s="12">
        <v>1097</v>
      </c>
      <c r="C21" s="2" t="s">
        <v>2276</v>
      </c>
      <c r="D21" s="3" t="s">
        <v>2277</v>
      </c>
      <c r="E21" s="2" t="s">
        <v>233</v>
      </c>
      <c r="F21" s="2" t="s">
        <v>2294</v>
      </c>
      <c r="G21" s="12">
        <v>1192022</v>
      </c>
      <c r="H21" s="2" t="s">
        <v>2179</v>
      </c>
      <c r="I21" s="2" t="s">
        <v>2217</v>
      </c>
      <c r="J21" s="2" t="s">
        <v>2279</v>
      </c>
      <c r="K21" s="2" t="s">
        <v>77</v>
      </c>
      <c r="L21" s="2" t="s">
        <v>77</v>
      </c>
      <c r="M21" s="2" t="s">
        <v>2295</v>
      </c>
      <c r="N21" s="2" t="s">
        <v>77</v>
      </c>
      <c r="O21" s="2" t="s">
        <v>78</v>
      </c>
      <c r="P21" s="2" t="s">
        <v>2296</v>
      </c>
      <c r="Q21" s="2" t="s">
        <v>81</v>
      </c>
      <c r="R21" s="2" t="s">
        <v>132</v>
      </c>
      <c r="S21" s="2" t="s">
        <v>2184</v>
      </c>
      <c r="T21" s="2" t="s">
        <v>2282</v>
      </c>
      <c r="U21" s="13">
        <v>1</v>
      </c>
      <c r="V21" s="6">
        <v>156512029</v>
      </c>
      <c r="W21" s="6">
        <v>156512.06899999999</v>
      </c>
      <c r="X21" s="8">
        <v>0.10628</v>
      </c>
      <c r="Y21" s="8">
        <v>2.801E-2</v>
      </c>
      <c r="Z21" s="8">
        <v>3.8800000000000002E-3</v>
      </c>
    </row>
    <row r="22" spans="1:26">
      <c r="A22" s="12">
        <v>1097</v>
      </c>
      <c r="B22" s="12">
        <v>1097</v>
      </c>
      <c r="C22" s="2" t="s">
        <v>2297</v>
      </c>
      <c r="D22" s="3" t="s">
        <v>2298</v>
      </c>
      <c r="E22" s="2" t="s">
        <v>233</v>
      </c>
      <c r="F22" s="2" t="s">
        <v>2297</v>
      </c>
      <c r="G22" s="12">
        <v>11151800</v>
      </c>
      <c r="H22" s="2" t="s">
        <v>2179</v>
      </c>
      <c r="I22" s="2" t="s">
        <v>2217</v>
      </c>
      <c r="J22" s="2" t="s">
        <v>2299</v>
      </c>
      <c r="K22" s="2" t="s">
        <v>77</v>
      </c>
      <c r="L22" s="2" t="s">
        <v>77</v>
      </c>
      <c r="M22" s="2" t="s">
        <v>2300</v>
      </c>
      <c r="N22" s="2" t="s">
        <v>77</v>
      </c>
      <c r="O22" s="2" t="s">
        <v>78</v>
      </c>
      <c r="P22" s="2" t="s">
        <v>2301</v>
      </c>
      <c r="Q22" s="2" t="s">
        <v>81</v>
      </c>
      <c r="R22" s="2" t="s">
        <v>132</v>
      </c>
      <c r="S22" s="2" t="s">
        <v>2184</v>
      </c>
      <c r="T22" s="2" t="s">
        <v>2221</v>
      </c>
      <c r="U22" s="13">
        <v>1</v>
      </c>
      <c r="V22" s="6">
        <v>77434578</v>
      </c>
      <c r="W22" s="6">
        <v>82888.595000000001</v>
      </c>
      <c r="X22" s="8">
        <v>6.3100000000000003E-2</v>
      </c>
      <c r="Y22" s="8">
        <v>1.4829999999999999E-2</v>
      </c>
      <c r="Z22" s="8">
        <v>2.0600000000000002E-3</v>
      </c>
    </row>
    <row r="23" spans="1:26">
      <c r="A23" s="12">
        <v>1097</v>
      </c>
      <c r="B23" s="12">
        <v>1097</v>
      </c>
      <c r="C23" s="2" t="s">
        <v>2302</v>
      </c>
      <c r="D23" s="3" t="s">
        <v>2303</v>
      </c>
      <c r="E23" s="2" t="s">
        <v>233</v>
      </c>
      <c r="F23" s="2" t="s">
        <v>2304</v>
      </c>
      <c r="G23" s="12">
        <v>11159092</v>
      </c>
      <c r="H23" s="2" t="s">
        <v>2179</v>
      </c>
      <c r="I23" s="2" t="s">
        <v>2217</v>
      </c>
      <c r="J23" s="2" t="s">
        <v>2218</v>
      </c>
      <c r="K23" s="2" t="s">
        <v>109</v>
      </c>
      <c r="L23" s="2" t="s">
        <v>1158</v>
      </c>
      <c r="M23" s="2" t="s">
        <v>2305</v>
      </c>
      <c r="N23" s="2" t="s">
        <v>109</v>
      </c>
      <c r="O23" s="2" t="s">
        <v>78</v>
      </c>
      <c r="P23" s="2" t="s">
        <v>2306</v>
      </c>
      <c r="Q23" s="2" t="s">
        <v>96</v>
      </c>
      <c r="R23" s="2" t="s">
        <v>132</v>
      </c>
      <c r="S23" s="2" t="s">
        <v>2184</v>
      </c>
      <c r="T23" s="2" t="s">
        <v>2307</v>
      </c>
      <c r="U23" s="13">
        <v>3.3719999999999999</v>
      </c>
      <c r="V23" s="6">
        <v>5972508</v>
      </c>
      <c r="W23" s="6">
        <v>20139.303</v>
      </c>
      <c r="X23" s="8">
        <v>1.243E-2</v>
      </c>
      <c r="Y23" s="8">
        <v>3.5999999999999999E-3</v>
      </c>
      <c r="Z23" s="8">
        <v>5.0000000000000001E-4</v>
      </c>
    </row>
    <row r="24" spans="1:26">
      <c r="A24" s="12">
        <v>1097</v>
      </c>
      <c r="B24" s="12">
        <v>1097</v>
      </c>
      <c r="C24" s="2" t="s">
        <v>2302</v>
      </c>
      <c r="D24" s="3" t="s">
        <v>2303</v>
      </c>
      <c r="E24" s="2" t="s">
        <v>233</v>
      </c>
      <c r="F24" s="2" t="s">
        <v>2308</v>
      </c>
      <c r="G24" s="12">
        <v>111449</v>
      </c>
      <c r="H24" s="2" t="s">
        <v>2179</v>
      </c>
      <c r="I24" s="2" t="s">
        <v>2217</v>
      </c>
      <c r="J24" s="2" t="s">
        <v>2218</v>
      </c>
      <c r="K24" s="2" t="s">
        <v>109</v>
      </c>
      <c r="L24" s="2" t="s">
        <v>1158</v>
      </c>
      <c r="M24" s="2" t="s">
        <v>2309</v>
      </c>
      <c r="N24" s="2" t="s">
        <v>77</v>
      </c>
      <c r="O24" s="2" t="s">
        <v>78</v>
      </c>
      <c r="P24" s="2" t="s">
        <v>2306</v>
      </c>
      <c r="Q24" s="2" t="s">
        <v>96</v>
      </c>
      <c r="R24" s="2" t="s">
        <v>132</v>
      </c>
      <c r="S24" s="2" t="s">
        <v>2184</v>
      </c>
      <c r="T24" s="2" t="s">
        <v>2310</v>
      </c>
      <c r="U24" s="13">
        <v>3.3719999999999999</v>
      </c>
      <c r="V24" s="6">
        <v>36357495</v>
      </c>
      <c r="W24" s="6">
        <v>119841.395</v>
      </c>
      <c r="X24" s="8">
        <v>7.603E-2</v>
      </c>
      <c r="Y24" s="8">
        <v>2.1440000000000001E-2</v>
      </c>
      <c r="Z24" s="8">
        <v>2.97E-3</v>
      </c>
    </row>
    <row r="25" spans="1:26">
      <c r="A25" s="12">
        <v>1097</v>
      </c>
      <c r="B25" s="12">
        <v>1097</v>
      </c>
      <c r="C25" s="2" t="s">
        <v>2311</v>
      </c>
      <c r="D25" s="3" t="s">
        <v>2312</v>
      </c>
      <c r="E25" s="2" t="s">
        <v>233</v>
      </c>
      <c r="F25" s="2" t="s">
        <v>2313</v>
      </c>
      <c r="G25" s="12">
        <v>11152006</v>
      </c>
      <c r="H25" s="2" t="s">
        <v>2179</v>
      </c>
      <c r="I25" s="2" t="s">
        <v>2217</v>
      </c>
      <c r="J25" s="2" t="s">
        <v>2218</v>
      </c>
      <c r="K25" s="2" t="s">
        <v>109</v>
      </c>
      <c r="L25" s="2" t="s">
        <v>77</v>
      </c>
      <c r="M25" s="2" t="s">
        <v>2314</v>
      </c>
      <c r="N25" s="2" t="s">
        <v>1158</v>
      </c>
      <c r="O25" s="2" t="s">
        <v>78</v>
      </c>
      <c r="P25" s="2" t="s">
        <v>2315</v>
      </c>
      <c r="Q25" s="2" t="s">
        <v>96</v>
      </c>
      <c r="R25" s="2" t="s">
        <v>132</v>
      </c>
      <c r="S25" s="2" t="s">
        <v>2184</v>
      </c>
      <c r="T25" s="2" t="s">
        <v>2185</v>
      </c>
      <c r="U25" s="13">
        <v>3.3719999999999999</v>
      </c>
      <c r="V25" s="6">
        <v>35456934</v>
      </c>
      <c r="W25" s="6">
        <v>126292.041</v>
      </c>
      <c r="X25" s="8">
        <v>8.0210000000000004E-2</v>
      </c>
      <c r="Y25" s="8">
        <v>2.2599999999999999E-2</v>
      </c>
      <c r="Z25" s="8">
        <v>3.13E-3</v>
      </c>
    </row>
    <row r="26" spans="1:26">
      <c r="A26" s="12">
        <v>1097</v>
      </c>
      <c r="B26" s="12">
        <v>1097</v>
      </c>
      <c r="C26" s="2" t="s">
        <v>2316</v>
      </c>
      <c r="D26" s="3" t="s">
        <v>2317</v>
      </c>
      <c r="E26" s="2" t="s">
        <v>233</v>
      </c>
      <c r="F26" s="2" t="s">
        <v>2318</v>
      </c>
      <c r="G26" s="12">
        <v>11153038</v>
      </c>
      <c r="H26" s="2" t="s">
        <v>2179</v>
      </c>
      <c r="I26" s="2" t="s">
        <v>2217</v>
      </c>
      <c r="J26" s="2" t="s">
        <v>2233</v>
      </c>
      <c r="K26" s="2" t="s">
        <v>109</v>
      </c>
      <c r="L26" s="2" t="s">
        <v>77</v>
      </c>
      <c r="M26" s="2" t="s">
        <v>2319</v>
      </c>
      <c r="N26" s="2" t="s">
        <v>1158</v>
      </c>
      <c r="O26" s="2" t="s">
        <v>78</v>
      </c>
      <c r="P26" s="2" t="s">
        <v>2320</v>
      </c>
      <c r="Q26" s="2" t="s">
        <v>96</v>
      </c>
      <c r="R26" s="2" t="s">
        <v>132</v>
      </c>
      <c r="S26" s="2" t="s">
        <v>2184</v>
      </c>
      <c r="T26" s="2" t="s">
        <v>2185</v>
      </c>
      <c r="U26" s="13">
        <v>3.3719999999999999</v>
      </c>
      <c r="V26" s="6">
        <v>8544810</v>
      </c>
      <c r="W26" s="6">
        <v>40346.756000000001</v>
      </c>
      <c r="X26" s="8">
        <v>0</v>
      </c>
      <c r="Y26" s="8">
        <v>7.2199999999999999E-3</v>
      </c>
      <c r="Z26" s="8">
        <v>1E-3</v>
      </c>
    </row>
    <row r="27" spans="1:26">
      <c r="A27" s="12">
        <v>1097</v>
      </c>
      <c r="B27" s="12">
        <v>1097</v>
      </c>
      <c r="C27" s="2" t="s">
        <v>2321</v>
      </c>
      <c r="D27" s="3" t="s">
        <v>2322</v>
      </c>
      <c r="E27" s="2" t="s">
        <v>233</v>
      </c>
      <c r="F27" s="2" t="s">
        <v>2323</v>
      </c>
      <c r="G27" s="12">
        <v>111503</v>
      </c>
      <c r="H27" s="2" t="s">
        <v>2179</v>
      </c>
      <c r="I27" s="2" t="s">
        <v>2217</v>
      </c>
      <c r="J27" s="2" t="s">
        <v>2218</v>
      </c>
      <c r="K27" s="2" t="s">
        <v>109</v>
      </c>
      <c r="L27" s="2" t="s">
        <v>77</v>
      </c>
      <c r="M27" s="2" t="s">
        <v>2324</v>
      </c>
      <c r="N27" s="2" t="s">
        <v>2144</v>
      </c>
      <c r="O27" s="2" t="s">
        <v>78</v>
      </c>
      <c r="P27" s="2" t="s">
        <v>2325</v>
      </c>
      <c r="Q27" s="2" t="s">
        <v>94</v>
      </c>
      <c r="R27" s="2" t="s">
        <v>132</v>
      </c>
      <c r="S27" s="2" t="s">
        <v>2184</v>
      </c>
      <c r="T27" s="2" t="s">
        <v>2229</v>
      </c>
      <c r="U27" s="13">
        <v>3.9550000000000001</v>
      </c>
      <c r="V27" s="6">
        <v>29419101</v>
      </c>
      <c r="W27" s="6">
        <v>96499.566000000006</v>
      </c>
      <c r="X27" s="8">
        <v>9.8119999999999999E-2</v>
      </c>
      <c r="Y27" s="8">
        <v>1.7270000000000001E-2</v>
      </c>
      <c r="Z27" s="8">
        <v>2.3900000000000002E-3</v>
      </c>
    </row>
    <row r="28" spans="1:26">
      <c r="A28" s="12">
        <v>1097</v>
      </c>
      <c r="B28" s="12">
        <v>1097</v>
      </c>
      <c r="C28" s="2" t="s">
        <v>2326</v>
      </c>
      <c r="D28" s="3" t="s">
        <v>2327</v>
      </c>
      <c r="E28" s="2" t="s">
        <v>233</v>
      </c>
      <c r="F28" s="2" t="s">
        <v>2326</v>
      </c>
      <c r="G28" s="12">
        <v>11153053</v>
      </c>
      <c r="H28" s="2" t="s">
        <v>2179</v>
      </c>
      <c r="I28" s="2" t="s">
        <v>2217</v>
      </c>
      <c r="J28" s="2" t="s">
        <v>2218</v>
      </c>
      <c r="K28" s="2" t="s">
        <v>109</v>
      </c>
      <c r="L28" s="2" t="s">
        <v>77</v>
      </c>
      <c r="M28" s="2" t="s">
        <v>2328</v>
      </c>
      <c r="N28" s="2" t="s">
        <v>1158</v>
      </c>
      <c r="O28" s="2" t="s">
        <v>78</v>
      </c>
      <c r="P28" s="15">
        <v>45817</v>
      </c>
      <c r="Q28" s="2" t="s">
        <v>96</v>
      </c>
      <c r="R28" s="2" t="s">
        <v>132</v>
      </c>
      <c r="S28" s="2" t="s">
        <v>2184</v>
      </c>
      <c r="T28" s="2" t="s">
        <v>2329</v>
      </c>
      <c r="U28" s="13">
        <v>3.3719999999999999</v>
      </c>
      <c r="V28" s="16">
        <v>1200508</v>
      </c>
      <c r="W28" s="6">
        <v>4048.1129999999998</v>
      </c>
      <c r="X28" s="8">
        <v>0</v>
      </c>
      <c r="Y28" s="8">
        <v>7.2000000000000005E-4</v>
      </c>
      <c r="Z28" s="8">
        <v>1E-4</v>
      </c>
    </row>
    <row r="29" spans="1:26">
      <c r="A29" s="12">
        <v>1097</v>
      </c>
      <c r="B29" s="12">
        <v>1097</v>
      </c>
      <c r="C29" s="2" t="s">
        <v>2330</v>
      </c>
      <c r="D29" s="3" t="s">
        <v>2331</v>
      </c>
      <c r="E29" s="2" t="s">
        <v>233</v>
      </c>
      <c r="F29" s="2" t="s">
        <v>2330</v>
      </c>
      <c r="G29" s="12">
        <v>11159076</v>
      </c>
      <c r="H29" s="2" t="s">
        <v>2179</v>
      </c>
      <c r="I29" s="2" t="s">
        <v>2217</v>
      </c>
      <c r="J29" s="2" t="s">
        <v>2210</v>
      </c>
      <c r="K29" s="2" t="s">
        <v>109</v>
      </c>
      <c r="L29" s="2" t="s">
        <v>77</v>
      </c>
      <c r="M29" s="2" t="s">
        <v>2332</v>
      </c>
      <c r="N29" s="2" t="s">
        <v>1158</v>
      </c>
      <c r="O29" s="2" t="s">
        <v>78</v>
      </c>
      <c r="P29" s="2" t="s">
        <v>2333</v>
      </c>
      <c r="Q29" s="2" t="s">
        <v>96</v>
      </c>
      <c r="R29" s="2" t="s">
        <v>132</v>
      </c>
      <c r="S29" s="2" t="s">
        <v>2184</v>
      </c>
      <c r="T29" s="2" t="s">
        <v>2252</v>
      </c>
      <c r="U29" s="13">
        <v>3.3719999999999999</v>
      </c>
      <c r="V29" s="6">
        <v>19138723</v>
      </c>
      <c r="W29" s="6">
        <v>63440.160000000003</v>
      </c>
      <c r="X29" s="8">
        <v>0</v>
      </c>
      <c r="Y29" s="8">
        <v>1.1350000000000001E-2</v>
      </c>
      <c r="Z29" s="8">
        <v>1.57E-3</v>
      </c>
    </row>
    <row r="30" spans="1:26">
      <c r="A30" s="12">
        <v>1097</v>
      </c>
      <c r="B30" s="12">
        <v>1097</v>
      </c>
      <c r="C30" s="2" t="s">
        <v>2334</v>
      </c>
      <c r="D30" s="3" t="s">
        <v>2335</v>
      </c>
      <c r="E30" s="2" t="s">
        <v>233</v>
      </c>
      <c r="F30" s="2" t="s">
        <v>2336</v>
      </c>
      <c r="G30" s="12">
        <v>11153020</v>
      </c>
      <c r="H30" s="2" t="s">
        <v>2179</v>
      </c>
      <c r="I30" s="2" t="s">
        <v>2217</v>
      </c>
      <c r="J30" s="2" t="s">
        <v>2337</v>
      </c>
      <c r="K30" s="2" t="s">
        <v>109</v>
      </c>
      <c r="L30" s="2" t="s">
        <v>77</v>
      </c>
      <c r="M30" s="2" t="s">
        <v>2338</v>
      </c>
      <c r="N30" s="2" t="s">
        <v>1158</v>
      </c>
      <c r="O30" s="2" t="s">
        <v>78</v>
      </c>
      <c r="P30" s="2" t="s">
        <v>2320</v>
      </c>
      <c r="Q30" s="2" t="s">
        <v>96</v>
      </c>
      <c r="R30" s="2" t="s">
        <v>132</v>
      </c>
      <c r="S30" s="2" t="s">
        <v>2184</v>
      </c>
      <c r="T30" s="2" t="s">
        <v>2221</v>
      </c>
      <c r="U30" s="13">
        <v>3.3719999999999999</v>
      </c>
      <c r="V30" s="6">
        <v>3918198</v>
      </c>
      <c r="W30" s="6">
        <v>13212.16</v>
      </c>
      <c r="X30" s="8">
        <v>0</v>
      </c>
      <c r="Y30" s="8">
        <v>2.3600000000000001E-3</v>
      </c>
      <c r="Z30" s="8">
        <v>3.3E-4</v>
      </c>
    </row>
    <row r="31" spans="1:26">
      <c r="A31" s="12">
        <v>1097</v>
      </c>
      <c r="B31" s="12">
        <v>1097</v>
      </c>
      <c r="C31" s="2" t="s">
        <v>2334</v>
      </c>
      <c r="D31" s="3" t="s">
        <v>2335</v>
      </c>
      <c r="E31" s="2" t="s">
        <v>233</v>
      </c>
      <c r="F31" s="2" t="s">
        <v>2339</v>
      </c>
      <c r="G31" s="12">
        <v>11153012</v>
      </c>
      <c r="H31" s="2" t="s">
        <v>2179</v>
      </c>
      <c r="I31" s="2" t="s">
        <v>2217</v>
      </c>
      <c r="J31" s="2" t="s">
        <v>2337</v>
      </c>
      <c r="K31" s="2" t="s">
        <v>109</v>
      </c>
      <c r="L31" s="2" t="s">
        <v>77</v>
      </c>
      <c r="M31" s="2" t="s">
        <v>2338</v>
      </c>
      <c r="N31" s="2" t="s">
        <v>1158</v>
      </c>
      <c r="O31" s="2" t="s">
        <v>78</v>
      </c>
      <c r="P31" s="2" t="s">
        <v>2320</v>
      </c>
      <c r="Q31" s="2" t="s">
        <v>96</v>
      </c>
      <c r="R31" s="2" t="s">
        <v>132</v>
      </c>
      <c r="S31" s="2" t="s">
        <v>2184</v>
      </c>
      <c r="T31" s="2" t="s">
        <v>2221</v>
      </c>
      <c r="U31" s="13">
        <v>3.3719999999999999</v>
      </c>
      <c r="V31" s="6">
        <v>18317786</v>
      </c>
      <c r="W31" s="6">
        <v>61767.576999999997</v>
      </c>
      <c r="X31" s="8">
        <v>0</v>
      </c>
      <c r="Y31" s="8">
        <v>1.1050000000000001E-2</v>
      </c>
      <c r="Z31" s="8">
        <v>1.5299999999999999E-3</v>
      </c>
    </row>
    <row r="32" spans="1:26">
      <c r="A32" s="12">
        <v>1097</v>
      </c>
      <c r="B32" s="12">
        <v>1097</v>
      </c>
      <c r="C32" s="2" t="s">
        <v>2334</v>
      </c>
      <c r="D32" s="3" t="s">
        <v>2335</v>
      </c>
      <c r="E32" s="2" t="s">
        <v>233</v>
      </c>
      <c r="F32" s="2" t="s">
        <v>2340</v>
      </c>
      <c r="G32" s="12">
        <v>11153004</v>
      </c>
      <c r="H32" s="2" t="s">
        <v>2179</v>
      </c>
      <c r="I32" s="2" t="s">
        <v>2217</v>
      </c>
      <c r="J32" s="2" t="s">
        <v>2337</v>
      </c>
      <c r="K32" s="2" t="s">
        <v>109</v>
      </c>
      <c r="L32" s="2" t="s">
        <v>77</v>
      </c>
      <c r="M32" s="2" t="s">
        <v>2338</v>
      </c>
      <c r="N32" s="2" t="s">
        <v>1158</v>
      </c>
      <c r="O32" s="2" t="s">
        <v>78</v>
      </c>
      <c r="P32" s="2" t="s">
        <v>2320</v>
      </c>
      <c r="Q32" s="2" t="s">
        <v>96</v>
      </c>
      <c r="R32" s="2" t="s">
        <v>132</v>
      </c>
      <c r="S32" s="2" t="s">
        <v>2184</v>
      </c>
      <c r="T32" s="2" t="s">
        <v>2221</v>
      </c>
      <c r="U32" s="13">
        <v>3.3719999999999999</v>
      </c>
      <c r="V32" s="6">
        <v>40495545</v>
      </c>
      <c r="W32" s="6">
        <v>132789.75899999999</v>
      </c>
      <c r="X32" s="8">
        <v>3.1199999999999999E-3</v>
      </c>
      <c r="Y32" s="8">
        <v>2.376E-2</v>
      </c>
      <c r="Z32" s="8">
        <v>3.3E-3</v>
      </c>
    </row>
    <row r="33" spans="1:26">
      <c r="A33" s="12">
        <v>1097</v>
      </c>
      <c r="B33" s="12">
        <v>1097</v>
      </c>
      <c r="C33" s="2" t="s">
        <v>2341</v>
      </c>
      <c r="D33" s="3" t="s">
        <v>2342</v>
      </c>
      <c r="E33" s="2" t="s">
        <v>233</v>
      </c>
      <c r="F33" s="2" t="s">
        <v>2343</v>
      </c>
      <c r="G33" s="12">
        <v>111457</v>
      </c>
      <c r="H33" s="2" t="s">
        <v>2179</v>
      </c>
      <c r="I33" s="2" t="s">
        <v>2217</v>
      </c>
      <c r="J33" s="2" t="s">
        <v>2337</v>
      </c>
      <c r="K33" s="2" t="s">
        <v>109</v>
      </c>
      <c r="L33" s="2" t="s">
        <v>109</v>
      </c>
      <c r="M33" s="2" t="s">
        <v>2344</v>
      </c>
      <c r="N33" s="2" t="s">
        <v>1158</v>
      </c>
      <c r="O33" s="2" t="s">
        <v>78</v>
      </c>
      <c r="P33" s="2" t="s">
        <v>2345</v>
      </c>
      <c r="Q33" s="2" t="s">
        <v>96</v>
      </c>
      <c r="R33" s="2" t="s">
        <v>132</v>
      </c>
      <c r="S33" s="2" t="s">
        <v>2184</v>
      </c>
      <c r="T33" s="2" t="s">
        <v>2346</v>
      </c>
      <c r="U33" s="13">
        <v>3.3719999999999999</v>
      </c>
      <c r="V33" s="6">
        <v>13137458</v>
      </c>
      <c r="W33" s="6">
        <v>43748.964</v>
      </c>
      <c r="X33" s="8">
        <v>9.7049999999999997E-2</v>
      </c>
      <c r="Y33" s="8">
        <v>7.8300000000000002E-3</v>
      </c>
      <c r="Z33" s="8">
        <v>1.09E-3</v>
      </c>
    </row>
    <row r="34" spans="1:26">
      <c r="A34" s="12">
        <v>1097</v>
      </c>
      <c r="B34" s="12">
        <v>1097</v>
      </c>
      <c r="C34" s="2" t="s">
        <v>2341</v>
      </c>
      <c r="D34" s="3" t="s">
        <v>2342</v>
      </c>
      <c r="E34" s="2" t="s">
        <v>233</v>
      </c>
      <c r="F34" s="2" t="s">
        <v>2347</v>
      </c>
      <c r="G34" s="12">
        <v>1115179</v>
      </c>
      <c r="H34" s="2" t="s">
        <v>2179</v>
      </c>
      <c r="I34" s="2" t="s">
        <v>2217</v>
      </c>
      <c r="J34" s="2" t="s">
        <v>2337</v>
      </c>
      <c r="K34" s="2" t="s">
        <v>109</v>
      </c>
      <c r="L34" s="2" t="s">
        <v>109</v>
      </c>
      <c r="M34" s="2" t="s">
        <v>2348</v>
      </c>
      <c r="N34" s="2" t="s">
        <v>1158</v>
      </c>
      <c r="O34" s="2" t="s">
        <v>78</v>
      </c>
      <c r="P34" s="2" t="s">
        <v>2301</v>
      </c>
      <c r="Q34" s="2" t="s">
        <v>96</v>
      </c>
      <c r="R34" s="2" t="s">
        <v>132</v>
      </c>
      <c r="S34" s="2" t="s">
        <v>2184</v>
      </c>
      <c r="T34" s="2" t="s">
        <v>2229</v>
      </c>
      <c r="U34" s="13">
        <v>3.3719999999999999</v>
      </c>
      <c r="V34" s="6">
        <v>43899434</v>
      </c>
      <c r="W34" s="6">
        <v>146347.40299999999</v>
      </c>
      <c r="X34" s="8">
        <v>6.7499999999999999E-3</v>
      </c>
      <c r="Y34" s="8">
        <v>2.6190000000000001E-2</v>
      </c>
      <c r="Z34" s="8">
        <v>3.63E-3</v>
      </c>
    </row>
    <row r="35" spans="1:26">
      <c r="A35" s="12">
        <v>1097</v>
      </c>
      <c r="B35" s="12">
        <v>1097</v>
      </c>
      <c r="C35" s="2" t="s">
        <v>2341</v>
      </c>
      <c r="D35" s="3" t="s">
        <v>2342</v>
      </c>
      <c r="E35" s="2" t="s">
        <v>233</v>
      </c>
      <c r="F35" s="2" t="s">
        <v>2349</v>
      </c>
      <c r="G35" s="12">
        <v>11160124</v>
      </c>
      <c r="H35" s="2" t="s">
        <v>2179</v>
      </c>
      <c r="I35" s="2" t="s">
        <v>2217</v>
      </c>
      <c r="J35" s="2" t="s">
        <v>2337</v>
      </c>
      <c r="K35" s="2" t="s">
        <v>109</v>
      </c>
      <c r="L35" s="2" t="s">
        <v>109</v>
      </c>
      <c r="M35" s="2" t="s">
        <v>2344</v>
      </c>
      <c r="N35" s="2" t="s">
        <v>1158</v>
      </c>
      <c r="O35" s="2" t="s">
        <v>78</v>
      </c>
      <c r="P35" s="2" t="s">
        <v>2301</v>
      </c>
      <c r="Q35" s="2" t="s">
        <v>96</v>
      </c>
      <c r="R35" s="2" t="s">
        <v>132</v>
      </c>
      <c r="S35" s="2" t="s">
        <v>2184</v>
      </c>
      <c r="T35" s="2" t="s">
        <v>2346</v>
      </c>
      <c r="U35" s="13">
        <v>3.3719999999999999</v>
      </c>
      <c r="V35" s="6">
        <v>14973116</v>
      </c>
      <c r="W35" s="6">
        <v>57803.811000000002</v>
      </c>
      <c r="X35" s="8">
        <v>0</v>
      </c>
      <c r="Y35" s="8">
        <v>1.034E-2</v>
      </c>
      <c r="Z35" s="8">
        <v>1.4300000000000001E-3</v>
      </c>
    </row>
    <row r="36" spans="1:26">
      <c r="A36" s="12">
        <v>1097</v>
      </c>
      <c r="B36" s="12">
        <v>1097</v>
      </c>
      <c r="C36" s="2" t="s">
        <v>2350</v>
      </c>
      <c r="D36" s="3" t="s">
        <v>2351</v>
      </c>
      <c r="E36" s="2" t="s">
        <v>233</v>
      </c>
      <c r="F36" s="2" t="s">
        <v>2352</v>
      </c>
      <c r="G36" s="12">
        <v>11160009</v>
      </c>
      <c r="H36" s="2" t="s">
        <v>2179</v>
      </c>
      <c r="I36" s="2" t="s">
        <v>2217</v>
      </c>
      <c r="J36" s="2" t="s">
        <v>2279</v>
      </c>
      <c r="K36" s="2" t="s">
        <v>109</v>
      </c>
      <c r="L36" s="2" t="s">
        <v>77</v>
      </c>
      <c r="M36" s="2" t="s">
        <v>2353</v>
      </c>
      <c r="N36" s="2" t="s">
        <v>1158</v>
      </c>
      <c r="O36" s="2" t="s">
        <v>78</v>
      </c>
      <c r="P36" s="2" t="s">
        <v>2354</v>
      </c>
      <c r="Q36" s="2" t="s">
        <v>96</v>
      </c>
      <c r="R36" s="2" t="s">
        <v>132</v>
      </c>
      <c r="S36" s="2" t="s">
        <v>2184</v>
      </c>
      <c r="T36" s="2" t="s">
        <v>2310</v>
      </c>
      <c r="U36" s="13">
        <v>3.3719999999999999</v>
      </c>
      <c r="V36" s="6">
        <v>29532834</v>
      </c>
      <c r="W36" s="6">
        <v>99702.634999999995</v>
      </c>
      <c r="X36" s="8">
        <v>3.5699999999999998E-3</v>
      </c>
      <c r="Y36" s="8">
        <v>1.7840000000000002E-2</v>
      </c>
      <c r="Z36" s="8">
        <v>2.47E-3</v>
      </c>
    </row>
    <row r="37" spans="1:26">
      <c r="A37" s="12">
        <v>1097</v>
      </c>
      <c r="B37" s="12">
        <v>1097</v>
      </c>
      <c r="C37" s="2" t="s">
        <v>2355</v>
      </c>
      <c r="D37" s="3" t="s">
        <v>2356</v>
      </c>
      <c r="E37" s="2" t="s">
        <v>233</v>
      </c>
      <c r="F37" s="2" t="s">
        <v>2357</v>
      </c>
      <c r="G37" s="12">
        <v>20030023</v>
      </c>
      <c r="H37" s="2" t="s">
        <v>2179</v>
      </c>
      <c r="I37" s="2" t="s">
        <v>2358</v>
      </c>
      <c r="J37" s="2" t="s">
        <v>2359</v>
      </c>
      <c r="K37" s="2" t="s">
        <v>109</v>
      </c>
      <c r="L37" s="2" t="s">
        <v>2144</v>
      </c>
      <c r="M37" s="2" t="s">
        <v>2360</v>
      </c>
      <c r="N37" s="2" t="s">
        <v>2361</v>
      </c>
      <c r="O37" s="2" t="s">
        <v>78</v>
      </c>
      <c r="P37" s="2" t="s">
        <v>2362</v>
      </c>
      <c r="Q37" s="2" t="s">
        <v>94</v>
      </c>
      <c r="R37" s="2" t="s">
        <v>132</v>
      </c>
      <c r="S37" s="2" t="s">
        <v>2184</v>
      </c>
      <c r="T37" s="2" t="s">
        <v>2363</v>
      </c>
      <c r="U37" s="13">
        <v>3.9550000000000001</v>
      </c>
      <c r="V37" s="16">
        <v>711984</v>
      </c>
      <c r="W37" s="6">
        <v>5.0000000000000001E-3</v>
      </c>
      <c r="X37" s="8">
        <v>1.294E-2</v>
      </c>
      <c r="Y37" s="8">
        <v>0</v>
      </c>
      <c r="Z37" s="8">
        <v>0</v>
      </c>
    </row>
    <row r="38" spans="1:26">
      <c r="A38" s="12">
        <v>1097</v>
      </c>
      <c r="B38" s="12">
        <v>1097</v>
      </c>
      <c r="C38" s="2" t="s">
        <v>356</v>
      </c>
      <c r="D38" s="3" t="s">
        <v>357</v>
      </c>
      <c r="E38" s="2" t="s">
        <v>245</v>
      </c>
      <c r="F38" s="2" t="s">
        <v>2364</v>
      </c>
      <c r="G38" s="12">
        <v>111515</v>
      </c>
      <c r="H38" s="2" t="s">
        <v>2179</v>
      </c>
      <c r="I38" s="2" t="s">
        <v>2217</v>
      </c>
      <c r="J38" s="2" t="s">
        <v>2359</v>
      </c>
      <c r="K38" s="2" t="s">
        <v>109</v>
      </c>
      <c r="L38" s="2" t="s">
        <v>77</v>
      </c>
      <c r="M38" s="2" t="s">
        <v>2365</v>
      </c>
      <c r="N38" s="2" t="s">
        <v>226</v>
      </c>
      <c r="O38" s="2" t="s">
        <v>78</v>
      </c>
      <c r="P38" s="2" t="s">
        <v>2366</v>
      </c>
      <c r="Q38" s="2" t="s">
        <v>96</v>
      </c>
      <c r="R38" s="2" t="s">
        <v>132</v>
      </c>
      <c r="S38" s="2" t="s">
        <v>2184</v>
      </c>
      <c r="T38" s="2" t="s">
        <v>2307</v>
      </c>
      <c r="U38" s="13">
        <v>3.3719999999999999</v>
      </c>
      <c r="V38" s="6">
        <v>57102905</v>
      </c>
      <c r="W38" s="6">
        <v>185380.421</v>
      </c>
      <c r="X38" s="8">
        <v>8.8749999999999996E-2</v>
      </c>
      <c r="Y38" s="8">
        <v>3.3169999999999998E-2</v>
      </c>
      <c r="Z38" s="8">
        <v>4.5999999999999999E-3</v>
      </c>
    </row>
    <row r="39" spans="1:26">
      <c r="A39" s="12">
        <v>1097</v>
      </c>
      <c r="B39" s="12">
        <v>1097</v>
      </c>
      <c r="C39" s="2" t="s">
        <v>356</v>
      </c>
      <c r="D39" s="3" t="s">
        <v>357</v>
      </c>
      <c r="E39" s="2" t="s">
        <v>245</v>
      </c>
      <c r="F39" s="2" t="s">
        <v>2367</v>
      </c>
      <c r="G39" s="12">
        <v>11159050</v>
      </c>
      <c r="H39" s="2" t="s">
        <v>2179</v>
      </c>
      <c r="I39" s="2" t="s">
        <v>2217</v>
      </c>
      <c r="J39" s="2" t="s">
        <v>2359</v>
      </c>
      <c r="K39" s="2" t="s">
        <v>109</v>
      </c>
      <c r="L39" s="2" t="s">
        <v>77</v>
      </c>
      <c r="M39" s="2" t="s">
        <v>2368</v>
      </c>
      <c r="N39" s="2" t="s">
        <v>226</v>
      </c>
      <c r="O39" s="2" t="s">
        <v>78</v>
      </c>
      <c r="P39" s="2" t="s">
        <v>2366</v>
      </c>
      <c r="Q39" s="2" t="s">
        <v>96</v>
      </c>
      <c r="R39" s="2" t="s">
        <v>132</v>
      </c>
      <c r="S39" s="2" t="s">
        <v>2184</v>
      </c>
      <c r="T39" s="2" t="s">
        <v>2252</v>
      </c>
      <c r="U39" s="13">
        <v>3.3719999999999999</v>
      </c>
      <c r="V39" s="6">
        <v>37258386</v>
      </c>
      <c r="W39" s="6">
        <v>125635.28</v>
      </c>
      <c r="X39" s="8">
        <v>4.657E-2</v>
      </c>
      <c r="Y39" s="8">
        <v>2.248E-2</v>
      </c>
      <c r="Z39" s="8">
        <v>3.1199999999999999E-3</v>
      </c>
    </row>
    <row r="40" spans="1:26">
      <c r="A40" s="12">
        <v>1097</v>
      </c>
      <c r="B40" s="12">
        <v>1097</v>
      </c>
      <c r="C40" s="2" t="s">
        <v>356</v>
      </c>
      <c r="D40" s="3" t="s">
        <v>357</v>
      </c>
      <c r="E40" s="2" t="s">
        <v>245</v>
      </c>
      <c r="F40" s="2" t="s">
        <v>2369</v>
      </c>
      <c r="G40" s="12">
        <v>11159043</v>
      </c>
      <c r="H40" s="2" t="s">
        <v>2179</v>
      </c>
      <c r="I40" s="2" t="s">
        <v>2217</v>
      </c>
      <c r="J40" s="2" t="s">
        <v>2370</v>
      </c>
      <c r="K40" s="2" t="s">
        <v>109</v>
      </c>
      <c r="L40" s="2" t="s">
        <v>77</v>
      </c>
      <c r="M40" s="2" t="s">
        <v>2368</v>
      </c>
      <c r="N40" s="2" t="s">
        <v>226</v>
      </c>
      <c r="O40" s="2" t="s">
        <v>78</v>
      </c>
      <c r="P40" s="2" t="s">
        <v>2366</v>
      </c>
      <c r="Q40" s="2" t="s">
        <v>96</v>
      </c>
      <c r="R40" s="2" t="s">
        <v>132</v>
      </c>
      <c r="S40" s="2" t="s">
        <v>2184</v>
      </c>
      <c r="T40" s="2" t="s">
        <v>2371</v>
      </c>
      <c r="U40" s="13">
        <v>3.3719999999999999</v>
      </c>
      <c r="V40" s="6">
        <v>32276577</v>
      </c>
      <c r="W40" s="6">
        <v>113102.658</v>
      </c>
      <c r="X40" s="8">
        <v>4.4150000000000002E-2</v>
      </c>
      <c r="Y40" s="8">
        <v>2.0240000000000001E-2</v>
      </c>
      <c r="Z40" s="8">
        <v>2.81E-3</v>
      </c>
    </row>
    <row r="41" spans="1:26">
      <c r="A41" s="12">
        <v>1097</v>
      </c>
      <c r="B41" s="12">
        <v>1097</v>
      </c>
      <c r="C41" s="2" t="s">
        <v>2372</v>
      </c>
      <c r="D41" s="3" t="s">
        <v>2373</v>
      </c>
      <c r="E41" s="2" t="s">
        <v>233</v>
      </c>
      <c r="F41" s="2" t="s">
        <v>2374</v>
      </c>
      <c r="G41" s="12">
        <v>11159019</v>
      </c>
      <c r="H41" s="2" t="s">
        <v>2179</v>
      </c>
      <c r="I41" s="2" t="s">
        <v>2217</v>
      </c>
      <c r="J41" s="2" t="s">
        <v>2359</v>
      </c>
      <c r="K41" s="2" t="s">
        <v>109</v>
      </c>
      <c r="L41" s="2" t="s">
        <v>77</v>
      </c>
      <c r="M41" s="2" t="s">
        <v>2375</v>
      </c>
      <c r="N41" s="2" t="s">
        <v>226</v>
      </c>
      <c r="O41" s="2" t="s">
        <v>78</v>
      </c>
      <c r="P41" s="2" t="s">
        <v>2376</v>
      </c>
      <c r="Q41" s="2" t="s">
        <v>96</v>
      </c>
      <c r="R41" s="2" t="s">
        <v>132</v>
      </c>
      <c r="S41" s="2" t="s">
        <v>2184</v>
      </c>
      <c r="T41" s="2" t="s">
        <v>2221</v>
      </c>
      <c r="U41" s="13">
        <v>3.3719999999999999</v>
      </c>
      <c r="V41" s="6">
        <v>71190823</v>
      </c>
      <c r="W41" s="6">
        <v>238570.505</v>
      </c>
      <c r="X41" s="8">
        <v>9.7970000000000002E-2</v>
      </c>
      <c r="Y41" s="8">
        <v>4.2689999999999999E-2</v>
      </c>
      <c r="Z41" s="8">
        <v>5.9199999999999999E-3</v>
      </c>
    </row>
    <row r="42" spans="1:26">
      <c r="A42" s="12">
        <v>1097</v>
      </c>
      <c r="B42" s="12">
        <v>1097</v>
      </c>
      <c r="C42" s="2" t="s">
        <v>2377</v>
      </c>
      <c r="D42" s="3" t="s">
        <v>2378</v>
      </c>
      <c r="E42" s="2" t="s">
        <v>233</v>
      </c>
      <c r="F42" s="2" t="s">
        <v>2379</v>
      </c>
      <c r="G42" s="12">
        <v>111507</v>
      </c>
      <c r="H42" s="2" t="s">
        <v>2179</v>
      </c>
      <c r="I42" s="2" t="s">
        <v>2217</v>
      </c>
      <c r="J42" s="2" t="s">
        <v>2337</v>
      </c>
      <c r="K42" s="2" t="s">
        <v>109</v>
      </c>
      <c r="L42" s="2" t="s">
        <v>77</v>
      </c>
      <c r="M42" s="2" t="s">
        <v>2380</v>
      </c>
      <c r="N42" s="2" t="s">
        <v>1158</v>
      </c>
      <c r="O42" s="2" t="s">
        <v>78</v>
      </c>
      <c r="P42" s="2" t="s">
        <v>2381</v>
      </c>
      <c r="Q42" s="2" t="s">
        <v>96</v>
      </c>
      <c r="R42" s="2" t="s">
        <v>132</v>
      </c>
      <c r="S42" s="2" t="s">
        <v>2184</v>
      </c>
      <c r="T42" s="2" t="s">
        <v>2382</v>
      </c>
      <c r="U42" s="13">
        <v>3.3719999999999999</v>
      </c>
      <c r="V42" s="6">
        <v>26377341</v>
      </c>
      <c r="W42" s="6">
        <v>88944.328999999998</v>
      </c>
      <c r="X42" s="8">
        <v>1.423E-2</v>
      </c>
      <c r="Y42" s="8">
        <v>1.592E-2</v>
      </c>
      <c r="Z42" s="8">
        <v>2.2100000000000002E-3</v>
      </c>
    </row>
    <row r="43" spans="1:26">
      <c r="A43" s="12">
        <v>1097</v>
      </c>
      <c r="B43" s="12">
        <v>1097</v>
      </c>
      <c r="C43" s="2" t="s">
        <v>2377</v>
      </c>
      <c r="D43" s="3" t="s">
        <v>2378</v>
      </c>
      <c r="E43" s="2" t="s">
        <v>233</v>
      </c>
      <c r="F43" s="2" t="s">
        <v>2383</v>
      </c>
      <c r="G43" s="12">
        <v>11157005</v>
      </c>
      <c r="H43" s="2" t="s">
        <v>2179</v>
      </c>
      <c r="I43" s="2" t="s">
        <v>2217</v>
      </c>
      <c r="J43" s="2" t="s">
        <v>2337</v>
      </c>
      <c r="K43" s="2" t="s">
        <v>109</v>
      </c>
      <c r="L43" s="2" t="s">
        <v>77</v>
      </c>
      <c r="M43" s="2" t="s">
        <v>2384</v>
      </c>
      <c r="N43" s="2" t="s">
        <v>1158</v>
      </c>
      <c r="O43" s="2" t="s">
        <v>78</v>
      </c>
      <c r="P43" s="2" t="s">
        <v>2385</v>
      </c>
      <c r="Q43" s="2" t="s">
        <v>96</v>
      </c>
      <c r="R43" s="2" t="s">
        <v>132</v>
      </c>
      <c r="S43" s="2" t="s">
        <v>2184</v>
      </c>
      <c r="T43" s="2" t="s">
        <v>2185</v>
      </c>
      <c r="U43" s="13">
        <v>3.3719999999999999</v>
      </c>
      <c r="V43" s="6">
        <v>50332257</v>
      </c>
      <c r="W43" s="6">
        <v>177434.79800000001</v>
      </c>
      <c r="X43" s="8">
        <v>4.8660000000000002E-2</v>
      </c>
      <c r="Y43" s="8">
        <v>3.175E-2</v>
      </c>
      <c r="Z43" s="8">
        <v>4.4000000000000003E-3</v>
      </c>
    </row>
    <row r="44" spans="1:26">
      <c r="A44" s="12">
        <v>1097</v>
      </c>
      <c r="B44" s="12">
        <v>1097</v>
      </c>
      <c r="C44" s="2" t="s">
        <v>2341</v>
      </c>
      <c r="D44" s="3" t="s">
        <v>2342</v>
      </c>
      <c r="E44" s="2" t="s">
        <v>233</v>
      </c>
      <c r="F44" s="2" t="s">
        <v>2386</v>
      </c>
      <c r="G44" s="12">
        <v>111451</v>
      </c>
      <c r="H44" s="2" t="s">
        <v>2179</v>
      </c>
      <c r="I44" s="2" t="s">
        <v>2217</v>
      </c>
      <c r="J44" s="2" t="s">
        <v>2218</v>
      </c>
      <c r="K44" s="2" t="s">
        <v>109</v>
      </c>
      <c r="L44" s="2" t="s">
        <v>109</v>
      </c>
      <c r="M44" s="2" t="s">
        <v>2387</v>
      </c>
      <c r="N44" s="2" t="s">
        <v>1158</v>
      </c>
      <c r="O44" s="2" t="s">
        <v>78</v>
      </c>
      <c r="P44" s="2" t="s">
        <v>2345</v>
      </c>
      <c r="Q44" s="2" t="s">
        <v>96</v>
      </c>
      <c r="R44" s="2" t="s">
        <v>132</v>
      </c>
      <c r="S44" s="2" t="s">
        <v>2184</v>
      </c>
      <c r="T44" s="2" t="s">
        <v>2185</v>
      </c>
      <c r="U44" s="13">
        <v>3.3719999999999999</v>
      </c>
      <c r="V44" s="6">
        <v>42074962</v>
      </c>
      <c r="W44" s="6">
        <v>134969.63800000001</v>
      </c>
      <c r="X44" s="8">
        <v>5.5890000000000002E-2</v>
      </c>
      <c r="Y44" s="8">
        <v>2.4150000000000001E-2</v>
      </c>
      <c r="Z44" s="8">
        <v>3.3500000000000001E-3</v>
      </c>
    </row>
    <row r="45" spans="1:26">
      <c r="A45" s="12">
        <v>1097</v>
      </c>
      <c r="B45" s="12">
        <v>1097</v>
      </c>
      <c r="C45" s="2" t="s">
        <v>2388</v>
      </c>
      <c r="D45" s="3" t="s">
        <v>2389</v>
      </c>
      <c r="E45" s="2" t="s">
        <v>233</v>
      </c>
      <c r="F45" s="2" t="s">
        <v>2390</v>
      </c>
      <c r="G45" s="12">
        <v>111512</v>
      </c>
      <c r="H45" s="2" t="s">
        <v>2179</v>
      </c>
      <c r="I45" s="2" t="s">
        <v>2217</v>
      </c>
      <c r="J45" s="2" t="s">
        <v>2233</v>
      </c>
      <c r="K45" s="2" t="s">
        <v>109</v>
      </c>
      <c r="L45" s="2" t="s">
        <v>226</v>
      </c>
      <c r="M45" s="2" t="s">
        <v>2391</v>
      </c>
      <c r="N45" s="2" t="s">
        <v>1158</v>
      </c>
      <c r="O45" s="2" t="s">
        <v>78</v>
      </c>
      <c r="P45" s="2" t="s">
        <v>2392</v>
      </c>
      <c r="Q45" s="2" t="s">
        <v>96</v>
      </c>
      <c r="R45" s="2" t="s">
        <v>132</v>
      </c>
      <c r="S45" s="2" t="s">
        <v>2184</v>
      </c>
      <c r="T45" s="2" t="s">
        <v>2221</v>
      </c>
      <c r="U45" s="13">
        <v>3.3719999999999999</v>
      </c>
      <c r="V45" s="6">
        <v>16623701</v>
      </c>
      <c r="W45" s="6">
        <v>51718.322999999997</v>
      </c>
      <c r="X45" s="8">
        <v>5.3060000000000003E-2</v>
      </c>
      <c r="Y45" s="8">
        <v>9.2499999999999995E-3</v>
      </c>
      <c r="Z45" s="8">
        <v>1.2800000000000001E-3</v>
      </c>
    </row>
    <row r="46" spans="1:26">
      <c r="A46" s="12">
        <v>1097</v>
      </c>
      <c r="B46" s="12">
        <v>1097</v>
      </c>
      <c r="C46" s="2" t="s">
        <v>2388</v>
      </c>
      <c r="D46" s="3" t="s">
        <v>2389</v>
      </c>
      <c r="E46" s="2" t="s">
        <v>233</v>
      </c>
      <c r="F46" s="2" t="s">
        <v>2393</v>
      </c>
      <c r="G46" s="12">
        <v>111506</v>
      </c>
      <c r="H46" s="2" t="s">
        <v>2179</v>
      </c>
      <c r="I46" s="2" t="s">
        <v>2217</v>
      </c>
      <c r="J46" s="2" t="s">
        <v>2233</v>
      </c>
      <c r="K46" s="2" t="s">
        <v>109</v>
      </c>
      <c r="L46" s="2" t="s">
        <v>226</v>
      </c>
      <c r="M46" s="2" t="s">
        <v>2394</v>
      </c>
      <c r="N46" s="2" t="s">
        <v>1158</v>
      </c>
      <c r="O46" s="2" t="s">
        <v>78</v>
      </c>
      <c r="P46" s="2" t="s">
        <v>2395</v>
      </c>
      <c r="Q46" s="2" t="s">
        <v>96</v>
      </c>
      <c r="R46" s="2" t="s">
        <v>132</v>
      </c>
      <c r="S46" s="2" t="s">
        <v>2184</v>
      </c>
      <c r="T46" s="2" t="s">
        <v>2221</v>
      </c>
      <c r="U46" s="13">
        <v>3.3719999999999999</v>
      </c>
      <c r="V46" s="6">
        <v>10872837</v>
      </c>
      <c r="W46" s="6">
        <v>35783.087</v>
      </c>
      <c r="X46" s="8">
        <v>4.8180000000000001E-2</v>
      </c>
      <c r="Y46" s="8">
        <v>6.4000000000000003E-3</v>
      </c>
      <c r="Z46" s="8">
        <v>8.8999999999999995E-4</v>
      </c>
    </row>
    <row r="47" spans="1:26">
      <c r="A47" s="12">
        <v>1097</v>
      </c>
      <c r="B47" s="12">
        <v>1097</v>
      </c>
      <c r="C47" s="2" t="s">
        <v>2388</v>
      </c>
      <c r="D47" s="3" t="s">
        <v>2389</v>
      </c>
      <c r="E47" s="2" t="s">
        <v>233</v>
      </c>
      <c r="F47" s="2" t="s">
        <v>2396</v>
      </c>
      <c r="G47" s="12">
        <v>111458</v>
      </c>
      <c r="H47" s="2" t="s">
        <v>2179</v>
      </c>
      <c r="I47" s="2" t="s">
        <v>2217</v>
      </c>
      <c r="J47" s="2" t="s">
        <v>2233</v>
      </c>
      <c r="K47" s="2" t="s">
        <v>109</v>
      </c>
      <c r="L47" s="2" t="s">
        <v>226</v>
      </c>
      <c r="M47" s="2" t="s">
        <v>2397</v>
      </c>
      <c r="N47" s="2" t="s">
        <v>1158</v>
      </c>
      <c r="O47" s="2" t="s">
        <v>78</v>
      </c>
      <c r="P47" s="2" t="s">
        <v>2398</v>
      </c>
      <c r="Q47" s="2" t="s">
        <v>96</v>
      </c>
      <c r="R47" s="2" t="s">
        <v>132</v>
      </c>
      <c r="S47" s="2" t="s">
        <v>2184</v>
      </c>
      <c r="T47" s="2" t="s">
        <v>2221</v>
      </c>
      <c r="U47" s="13">
        <v>3.3719999999999999</v>
      </c>
      <c r="V47" s="6">
        <v>877309</v>
      </c>
      <c r="W47" s="6">
        <v>2958.2759999999998</v>
      </c>
      <c r="X47" s="8">
        <v>6.3450000000000006E-2</v>
      </c>
      <c r="Y47" s="8">
        <v>5.2999999999999998E-4</v>
      </c>
      <c r="Z47" s="8">
        <v>6.9999999999999994E-5</v>
      </c>
    </row>
    <row r="48" spans="1:26">
      <c r="A48" s="12">
        <v>1097</v>
      </c>
      <c r="B48" s="12">
        <v>1097</v>
      </c>
      <c r="C48" s="2" t="s">
        <v>2341</v>
      </c>
      <c r="D48" s="3" t="s">
        <v>2342</v>
      </c>
      <c r="E48" s="2" t="s">
        <v>233</v>
      </c>
      <c r="F48" s="2" t="s">
        <v>2399</v>
      </c>
      <c r="G48" s="12">
        <v>111511</v>
      </c>
      <c r="H48" s="2" t="s">
        <v>2179</v>
      </c>
      <c r="I48" s="2" t="s">
        <v>2217</v>
      </c>
      <c r="J48" s="2" t="s">
        <v>2400</v>
      </c>
      <c r="K48" s="2" t="s">
        <v>109</v>
      </c>
      <c r="L48" s="2" t="s">
        <v>109</v>
      </c>
      <c r="M48" s="2" t="s">
        <v>2401</v>
      </c>
      <c r="N48" s="2" t="s">
        <v>1158</v>
      </c>
      <c r="O48" s="2" t="s">
        <v>78</v>
      </c>
      <c r="P48" s="2" t="s">
        <v>2402</v>
      </c>
      <c r="Q48" s="2" t="s">
        <v>96</v>
      </c>
      <c r="R48" s="2" t="s">
        <v>132</v>
      </c>
      <c r="S48" s="2" t="s">
        <v>2184</v>
      </c>
      <c r="T48" s="2" t="s">
        <v>2185</v>
      </c>
      <c r="U48" s="13">
        <v>3.3719999999999999</v>
      </c>
      <c r="V48" s="6">
        <v>57197582</v>
      </c>
      <c r="W48" s="6">
        <v>187214.59099999999</v>
      </c>
      <c r="X48" s="8">
        <v>1.3809999999999999E-2</v>
      </c>
      <c r="Y48" s="8">
        <v>3.3500000000000002E-2</v>
      </c>
      <c r="Z48" s="8">
        <v>4.6499999999999996E-3</v>
      </c>
    </row>
    <row r="49" spans="1:26">
      <c r="A49" s="12">
        <v>1097</v>
      </c>
      <c r="B49" s="12">
        <v>1097</v>
      </c>
      <c r="C49" s="2" t="s">
        <v>2403</v>
      </c>
      <c r="D49" s="3" t="s">
        <v>2404</v>
      </c>
      <c r="E49" s="2" t="s">
        <v>233</v>
      </c>
      <c r="F49" s="2" t="s">
        <v>2405</v>
      </c>
      <c r="G49" s="12">
        <v>11159084</v>
      </c>
      <c r="H49" s="2" t="s">
        <v>2179</v>
      </c>
      <c r="I49" s="2" t="s">
        <v>2217</v>
      </c>
      <c r="J49" s="2" t="s">
        <v>2337</v>
      </c>
      <c r="K49" s="2" t="s">
        <v>109</v>
      </c>
      <c r="L49" s="2" t="s">
        <v>77</v>
      </c>
      <c r="M49" s="2" t="s">
        <v>2406</v>
      </c>
      <c r="N49" s="2" t="s">
        <v>77</v>
      </c>
      <c r="O49" s="2" t="s">
        <v>78</v>
      </c>
      <c r="P49" s="2" t="s">
        <v>2407</v>
      </c>
      <c r="Q49" s="2" t="s">
        <v>96</v>
      </c>
      <c r="R49" s="2" t="s">
        <v>132</v>
      </c>
      <c r="S49" s="2" t="s">
        <v>2184</v>
      </c>
      <c r="T49" s="2" t="s">
        <v>2408</v>
      </c>
      <c r="U49" s="13">
        <v>3.3719999999999999</v>
      </c>
      <c r="V49" s="6">
        <v>1892644</v>
      </c>
      <c r="W49" s="6">
        <v>11777.2</v>
      </c>
      <c r="X49" s="8">
        <v>0</v>
      </c>
      <c r="Y49" s="8">
        <v>2.1099999999999999E-3</v>
      </c>
      <c r="Z49" s="8">
        <v>2.9E-4</v>
      </c>
    </row>
    <row r="50" spans="1:26">
      <c r="A50" s="12">
        <v>1097</v>
      </c>
      <c r="B50" s="12">
        <v>1097</v>
      </c>
      <c r="C50" s="2" t="s">
        <v>2409</v>
      </c>
      <c r="D50" s="3" t="s">
        <v>2410</v>
      </c>
      <c r="E50" s="2" t="s">
        <v>233</v>
      </c>
      <c r="F50" s="2" t="s">
        <v>2411</v>
      </c>
      <c r="G50" s="12">
        <v>11159027</v>
      </c>
      <c r="H50" s="2" t="s">
        <v>2179</v>
      </c>
      <c r="I50" s="2" t="s">
        <v>2217</v>
      </c>
      <c r="J50" s="2" t="s">
        <v>2279</v>
      </c>
      <c r="K50" s="2" t="s">
        <v>109</v>
      </c>
      <c r="L50" s="2" t="s">
        <v>77</v>
      </c>
      <c r="M50" s="2" t="s">
        <v>2412</v>
      </c>
      <c r="N50" s="2" t="s">
        <v>109</v>
      </c>
      <c r="O50" s="2" t="s">
        <v>78</v>
      </c>
      <c r="P50" s="2" t="s">
        <v>2376</v>
      </c>
      <c r="Q50" s="2" t="s">
        <v>96</v>
      </c>
      <c r="R50" s="2" t="s">
        <v>132</v>
      </c>
      <c r="S50" s="2" t="s">
        <v>2184</v>
      </c>
      <c r="T50" s="2" t="s">
        <v>2282</v>
      </c>
      <c r="U50" s="13">
        <v>3.3719999999999999</v>
      </c>
      <c r="V50" s="6">
        <v>41397469</v>
      </c>
      <c r="W50" s="6">
        <v>139592.28</v>
      </c>
      <c r="X50" s="8">
        <v>2.3E-3</v>
      </c>
      <c r="Y50" s="8">
        <v>2.4979999999999999E-2</v>
      </c>
      <c r="Z50" s="8">
        <v>3.46E-3</v>
      </c>
    </row>
    <row r="51" spans="1:26">
      <c r="A51" s="12">
        <v>1097</v>
      </c>
      <c r="B51" s="12">
        <v>1097</v>
      </c>
      <c r="C51" s="2" t="s">
        <v>2403</v>
      </c>
      <c r="D51" s="3" t="s">
        <v>2404</v>
      </c>
      <c r="E51" s="2" t="s">
        <v>233</v>
      </c>
      <c r="F51" s="2" t="s">
        <v>2413</v>
      </c>
      <c r="G51" s="12">
        <v>111501</v>
      </c>
      <c r="H51" s="2" t="s">
        <v>2179</v>
      </c>
      <c r="I51" s="2" t="s">
        <v>2217</v>
      </c>
      <c r="J51" s="2" t="s">
        <v>2337</v>
      </c>
      <c r="K51" s="2" t="s">
        <v>109</v>
      </c>
      <c r="L51" s="2" t="s">
        <v>77</v>
      </c>
      <c r="M51" s="2" t="s">
        <v>2406</v>
      </c>
      <c r="N51" s="2" t="s">
        <v>77</v>
      </c>
      <c r="O51" s="2" t="s">
        <v>78</v>
      </c>
      <c r="P51" s="2" t="s">
        <v>2414</v>
      </c>
      <c r="Q51" s="2" t="s">
        <v>96</v>
      </c>
      <c r="R51" s="2" t="s">
        <v>132</v>
      </c>
      <c r="S51" s="2" t="s">
        <v>2184</v>
      </c>
      <c r="T51" s="2" t="s">
        <v>2415</v>
      </c>
      <c r="U51" s="13">
        <v>3.3719999999999999</v>
      </c>
      <c r="V51" s="6">
        <v>8066228</v>
      </c>
      <c r="W51" s="6">
        <v>27199.317999999999</v>
      </c>
      <c r="X51" s="8">
        <v>9.4030000000000002E-2</v>
      </c>
      <c r="Y51" s="8">
        <v>4.8700000000000002E-3</v>
      </c>
      <c r="Z51" s="8">
        <v>6.7000000000000002E-4</v>
      </c>
    </row>
    <row r="52" spans="1:26">
      <c r="A52" s="12">
        <v>1097</v>
      </c>
      <c r="B52" s="12">
        <v>1097</v>
      </c>
      <c r="C52" s="2" t="s">
        <v>2403</v>
      </c>
      <c r="D52" s="3" t="s">
        <v>2404</v>
      </c>
      <c r="E52" s="2" t="s">
        <v>233</v>
      </c>
      <c r="F52" s="2" t="s">
        <v>2416</v>
      </c>
      <c r="G52" s="12">
        <v>11159035</v>
      </c>
      <c r="H52" s="2" t="s">
        <v>2179</v>
      </c>
      <c r="I52" s="2" t="s">
        <v>2217</v>
      </c>
      <c r="J52" s="2" t="s">
        <v>2337</v>
      </c>
      <c r="K52" s="2" t="s">
        <v>109</v>
      </c>
      <c r="L52" s="2" t="s">
        <v>77</v>
      </c>
      <c r="M52" s="2" t="s">
        <v>2406</v>
      </c>
      <c r="N52" s="2" t="s">
        <v>77</v>
      </c>
      <c r="O52" s="2" t="s">
        <v>78</v>
      </c>
      <c r="P52" s="2" t="s">
        <v>2417</v>
      </c>
      <c r="Q52" s="2" t="s">
        <v>96</v>
      </c>
      <c r="R52" s="2" t="s">
        <v>132</v>
      </c>
      <c r="S52" s="2" t="s">
        <v>2184</v>
      </c>
      <c r="T52" s="2" t="s">
        <v>2415</v>
      </c>
      <c r="U52" s="13">
        <v>3.3719999999999999</v>
      </c>
      <c r="V52" s="6">
        <v>5486931</v>
      </c>
      <c r="W52" s="6">
        <v>28617.936000000002</v>
      </c>
      <c r="X52" s="8">
        <v>4.6489999999999997E-2</v>
      </c>
      <c r="Y52" s="8">
        <v>5.1200000000000004E-3</v>
      </c>
      <c r="Z52" s="8">
        <v>7.1000000000000002E-4</v>
      </c>
    </row>
    <row r="53" spans="1:26">
      <c r="A53" s="12">
        <v>1097</v>
      </c>
      <c r="B53" s="12">
        <v>1097</v>
      </c>
      <c r="C53" s="2" t="s">
        <v>2418</v>
      </c>
      <c r="D53" s="3" t="s">
        <v>2419</v>
      </c>
      <c r="E53" s="2" t="s">
        <v>233</v>
      </c>
      <c r="F53" s="2" t="s">
        <v>2420</v>
      </c>
      <c r="G53" s="12">
        <v>111516</v>
      </c>
      <c r="H53" s="2" t="s">
        <v>2179</v>
      </c>
      <c r="I53" s="2" t="s">
        <v>2217</v>
      </c>
      <c r="J53" s="2" t="s">
        <v>2370</v>
      </c>
      <c r="K53" s="2" t="s">
        <v>109</v>
      </c>
      <c r="L53" s="2" t="s">
        <v>77</v>
      </c>
      <c r="M53" s="2" t="s">
        <v>2421</v>
      </c>
      <c r="N53" s="2" t="s">
        <v>1158</v>
      </c>
      <c r="O53" s="2" t="s">
        <v>78</v>
      </c>
      <c r="P53" s="2" t="s">
        <v>2422</v>
      </c>
      <c r="Q53" s="2" t="s">
        <v>96</v>
      </c>
      <c r="R53" s="2" t="s">
        <v>132</v>
      </c>
      <c r="S53" s="2" t="s">
        <v>2184</v>
      </c>
      <c r="T53" s="2" t="s">
        <v>2423</v>
      </c>
      <c r="U53" s="13">
        <v>3.3719999999999999</v>
      </c>
      <c r="V53" s="6">
        <v>40413986</v>
      </c>
      <c r="W53" s="6">
        <v>131167.603</v>
      </c>
      <c r="X53" s="8">
        <v>9.5700000000000004E-3</v>
      </c>
      <c r="Y53" s="8">
        <v>2.3470000000000001E-2</v>
      </c>
      <c r="Z53" s="8">
        <v>3.2499999999999999E-3</v>
      </c>
    </row>
    <row r="54" spans="1:26">
      <c r="A54" s="12">
        <v>1097</v>
      </c>
      <c r="B54" s="12">
        <v>1097</v>
      </c>
      <c r="C54" s="2" t="s">
        <v>2424</v>
      </c>
      <c r="D54" s="3" t="s">
        <v>2425</v>
      </c>
      <c r="E54" s="2" t="s">
        <v>233</v>
      </c>
      <c r="F54" s="2" t="s">
        <v>2426</v>
      </c>
      <c r="G54" s="12">
        <v>111502</v>
      </c>
      <c r="H54" s="2" t="s">
        <v>2179</v>
      </c>
      <c r="I54" s="2" t="s">
        <v>2217</v>
      </c>
      <c r="J54" s="2" t="s">
        <v>2359</v>
      </c>
      <c r="K54" s="2" t="s">
        <v>109</v>
      </c>
      <c r="L54" s="2" t="s">
        <v>77</v>
      </c>
      <c r="M54" s="2" t="s">
        <v>2427</v>
      </c>
      <c r="N54" s="2" t="s">
        <v>226</v>
      </c>
      <c r="O54" s="2" t="s">
        <v>78</v>
      </c>
      <c r="P54" s="2" t="s">
        <v>2428</v>
      </c>
      <c r="Q54" s="2" t="s">
        <v>96</v>
      </c>
      <c r="R54" s="2" t="s">
        <v>132</v>
      </c>
      <c r="S54" s="2" t="s">
        <v>2184</v>
      </c>
      <c r="T54" s="2" t="s">
        <v>2429</v>
      </c>
      <c r="U54" s="13">
        <v>3.3719999999999999</v>
      </c>
      <c r="V54" s="6">
        <v>24520710</v>
      </c>
      <c r="W54" s="6">
        <v>82683.850999999995</v>
      </c>
      <c r="X54" s="8">
        <v>7.2789999999999994E-2</v>
      </c>
      <c r="Y54" s="8">
        <v>1.4800000000000001E-2</v>
      </c>
      <c r="Z54" s="8">
        <v>2.0500000000000002E-3</v>
      </c>
    </row>
    <row r="55" spans="1:26">
      <c r="A55" s="12">
        <v>1097</v>
      </c>
      <c r="B55" s="12">
        <v>1097</v>
      </c>
      <c r="C55" s="2" t="s">
        <v>2424</v>
      </c>
      <c r="D55" s="3" t="s">
        <v>2425</v>
      </c>
      <c r="E55" s="2" t="s">
        <v>233</v>
      </c>
      <c r="F55" s="2" t="s">
        <v>2430</v>
      </c>
      <c r="G55" s="12">
        <v>11155009</v>
      </c>
      <c r="H55" s="2" t="s">
        <v>2179</v>
      </c>
      <c r="I55" s="2" t="s">
        <v>2217</v>
      </c>
      <c r="J55" s="2" t="s">
        <v>2359</v>
      </c>
      <c r="K55" s="2" t="s">
        <v>109</v>
      </c>
      <c r="L55" s="2" t="s">
        <v>77</v>
      </c>
      <c r="M55" s="2" t="s">
        <v>2431</v>
      </c>
      <c r="N55" s="2" t="s">
        <v>226</v>
      </c>
      <c r="O55" s="2" t="s">
        <v>78</v>
      </c>
      <c r="P55" s="2" t="s">
        <v>2385</v>
      </c>
      <c r="Q55" s="2" t="s">
        <v>96</v>
      </c>
      <c r="R55" s="2" t="s">
        <v>132</v>
      </c>
      <c r="S55" s="2" t="s">
        <v>2184</v>
      </c>
      <c r="T55" s="2" t="s">
        <v>2382</v>
      </c>
      <c r="U55" s="13">
        <v>3.3719999999999999</v>
      </c>
      <c r="V55" s="6">
        <v>48086321</v>
      </c>
      <c r="W55" s="6">
        <v>161506.20600000001</v>
      </c>
      <c r="X55" s="8">
        <v>6.1580000000000003E-2</v>
      </c>
      <c r="Y55" s="8">
        <v>2.8899999999999999E-2</v>
      </c>
      <c r="Z55" s="8">
        <v>4.0099999999999997E-3</v>
      </c>
    </row>
    <row r="56" spans="1:26">
      <c r="A56" s="12">
        <v>1097</v>
      </c>
      <c r="B56" s="12">
        <v>1097</v>
      </c>
      <c r="C56" s="2" t="s">
        <v>2432</v>
      </c>
      <c r="D56" s="3" t="s">
        <v>2433</v>
      </c>
      <c r="E56" s="2" t="s">
        <v>233</v>
      </c>
      <c r="F56" s="2" t="s">
        <v>2432</v>
      </c>
      <c r="G56" s="12">
        <v>11153046</v>
      </c>
      <c r="H56" s="2" t="s">
        <v>2179</v>
      </c>
      <c r="I56" s="2" t="s">
        <v>2217</v>
      </c>
      <c r="J56" s="2" t="s">
        <v>2400</v>
      </c>
      <c r="K56" s="2" t="s">
        <v>109</v>
      </c>
      <c r="L56" s="2" t="s">
        <v>77</v>
      </c>
      <c r="M56" s="2" t="s">
        <v>2434</v>
      </c>
      <c r="N56" s="2" t="s">
        <v>1158</v>
      </c>
      <c r="O56" s="2" t="s">
        <v>78</v>
      </c>
      <c r="P56" s="2" t="s">
        <v>2320</v>
      </c>
      <c r="Q56" s="2" t="s">
        <v>96</v>
      </c>
      <c r="R56" s="2" t="s">
        <v>132</v>
      </c>
      <c r="S56" s="2" t="s">
        <v>2184</v>
      </c>
      <c r="T56" s="2" t="s">
        <v>2408</v>
      </c>
      <c r="U56" s="13">
        <v>3.3719999999999999</v>
      </c>
      <c r="V56">
        <v>-441138</v>
      </c>
      <c r="W56" s="6">
        <v>27441.805</v>
      </c>
      <c r="X56" s="8">
        <v>0</v>
      </c>
      <c r="Y56" s="8">
        <v>4.9100000000000003E-3</v>
      </c>
      <c r="Z56" s="8">
        <v>6.8000000000000005E-4</v>
      </c>
    </row>
    <row r="57" spans="1:26">
      <c r="A57" s="12">
        <v>1097</v>
      </c>
      <c r="B57" s="12">
        <v>1097</v>
      </c>
      <c r="C57" s="2" t="s">
        <v>2435</v>
      </c>
      <c r="D57" s="3" t="s">
        <v>2436</v>
      </c>
      <c r="E57" s="2" t="s">
        <v>1134</v>
      </c>
      <c r="F57" s="2" t="s">
        <v>2437</v>
      </c>
      <c r="G57" s="12" t="s">
        <v>2438</v>
      </c>
      <c r="H57" s="2" t="s">
        <v>248</v>
      </c>
      <c r="I57" s="2" t="s">
        <v>2217</v>
      </c>
      <c r="J57" s="2" t="s">
        <v>2233</v>
      </c>
      <c r="K57" s="2" t="s">
        <v>109</v>
      </c>
      <c r="L57" s="2" t="s">
        <v>77</v>
      </c>
      <c r="M57" s="2" t="s">
        <v>2439</v>
      </c>
      <c r="N57" s="2" t="s">
        <v>2144</v>
      </c>
      <c r="O57" s="2" t="s">
        <v>78</v>
      </c>
      <c r="P57" s="2" t="s">
        <v>2440</v>
      </c>
      <c r="Q57" s="2" t="s">
        <v>94</v>
      </c>
      <c r="R57" s="2" t="s">
        <v>132</v>
      </c>
      <c r="S57" s="2" t="s">
        <v>2184</v>
      </c>
      <c r="T57" s="2" t="s">
        <v>2252</v>
      </c>
      <c r="U57" s="13">
        <v>3.9550000000000001</v>
      </c>
      <c r="V57" s="6">
        <v>2897168</v>
      </c>
      <c r="W57" s="6">
        <v>11458.808000000001</v>
      </c>
      <c r="X57" s="8">
        <v>9.5780000000000004E-2</v>
      </c>
      <c r="Y57" s="8">
        <v>2.0500000000000002E-3</v>
      </c>
      <c r="Z57" s="8">
        <v>2.7999999999999998E-4</v>
      </c>
    </row>
    <row r="58" spans="1:26">
      <c r="A58" s="12">
        <v>1097</v>
      </c>
      <c r="B58" s="12">
        <v>1097</v>
      </c>
      <c r="C58" s="2" t="s">
        <v>2441</v>
      </c>
      <c r="D58" s="3" t="s">
        <v>2442</v>
      </c>
      <c r="E58" s="2" t="s">
        <v>233</v>
      </c>
      <c r="F58" s="2" t="s">
        <v>2443</v>
      </c>
      <c r="G58" s="12">
        <v>11151909</v>
      </c>
      <c r="H58" s="2" t="s">
        <v>2179</v>
      </c>
      <c r="I58" s="2" t="s">
        <v>2217</v>
      </c>
      <c r="J58" s="2" t="s">
        <v>2444</v>
      </c>
      <c r="K58" s="2" t="s">
        <v>109</v>
      </c>
      <c r="L58" s="2" t="s">
        <v>77</v>
      </c>
      <c r="M58" s="2" t="s">
        <v>2445</v>
      </c>
      <c r="N58" s="2" t="s">
        <v>226</v>
      </c>
      <c r="O58" s="2" t="s">
        <v>78</v>
      </c>
      <c r="P58" s="2" t="s">
        <v>2446</v>
      </c>
      <c r="Q58" s="2" t="s">
        <v>96</v>
      </c>
      <c r="R58" s="2" t="s">
        <v>132</v>
      </c>
      <c r="S58" s="2" t="s">
        <v>2184</v>
      </c>
      <c r="T58" s="2" t="s">
        <v>2408</v>
      </c>
      <c r="U58" s="13">
        <v>3.3719999999999999</v>
      </c>
      <c r="V58" s="6">
        <v>54341851</v>
      </c>
      <c r="W58" s="6">
        <v>183240.769</v>
      </c>
      <c r="X58" s="8">
        <v>5.917E-2</v>
      </c>
      <c r="Y58" s="8">
        <v>3.279E-2</v>
      </c>
      <c r="Z58" s="8">
        <v>4.5500000000000002E-3</v>
      </c>
    </row>
    <row r="59" spans="1:26">
      <c r="A59" s="12">
        <v>1097</v>
      </c>
      <c r="B59" s="12">
        <v>1097</v>
      </c>
      <c r="C59" s="2" t="s">
        <v>2447</v>
      </c>
      <c r="D59" s="3" t="s">
        <v>2448</v>
      </c>
      <c r="E59" s="2" t="s">
        <v>233</v>
      </c>
      <c r="F59" s="2" t="s">
        <v>2449</v>
      </c>
      <c r="G59" s="12">
        <v>11159001</v>
      </c>
      <c r="H59" s="2" t="s">
        <v>2179</v>
      </c>
      <c r="I59" s="2" t="s">
        <v>2217</v>
      </c>
      <c r="J59" s="2" t="s">
        <v>2450</v>
      </c>
      <c r="K59" s="2" t="s">
        <v>109</v>
      </c>
      <c r="L59" s="2" t="s">
        <v>77</v>
      </c>
      <c r="M59" s="2" t="s">
        <v>2451</v>
      </c>
      <c r="N59" s="2" t="s">
        <v>77</v>
      </c>
      <c r="O59" s="2" t="s">
        <v>78</v>
      </c>
      <c r="P59" s="2" t="s">
        <v>2452</v>
      </c>
      <c r="Q59" s="2" t="s">
        <v>96</v>
      </c>
      <c r="R59" s="2" t="s">
        <v>132</v>
      </c>
      <c r="S59" s="2" t="s">
        <v>2184</v>
      </c>
      <c r="T59" s="2" t="s">
        <v>2252</v>
      </c>
      <c r="U59" s="13">
        <v>3.3719999999999999</v>
      </c>
      <c r="V59" s="6">
        <v>44409417</v>
      </c>
      <c r="W59" s="6">
        <v>144996.715</v>
      </c>
      <c r="X59" s="8">
        <v>9.4659999999999994E-2</v>
      </c>
      <c r="Y59" s="8">
        <v>2.5940000000000001E-2</v>
      </c>
      <c r="Z59" s="8">
        <v>3.5999999999999999E-3</v>
      </c>
    </row>
    <row r="60" spans="1:26">
      <c r="A60" s="12">
        <v>1097</v>
      </c>
      <c r="B60" s="12">
        <v>1097</v>
      </c>
      <c r="C60" s="2" t="s">
        <v>2453</v>
      </c>
      <c r="D60" s="3" t="s">
        <v>2454</v>
      </c>
      <c r="E60" s="2" t="s">
        <v>233</v>
      </c>
      <c r="F60" s="2" t="s">
        <v>2455</v>
      </c>
      <c r="G60" s="12">
        <v>20030024</v>
      </c>
      <c r="H60" s="2" t="s">
        <v>2179</v>
      </c>
      <c r="I60" s="2" t="s">
        <v>2217</v>
      </c>
      <c r="J60" s="2" t="s">
        <v>2279</v>
      </c>
      <c r="K60" s="2" t="s">
        <v>109</v>
      </c>
      <c r="L60" s="2" t="s">
        <v>77</v>
      </c>
      <c r="M60" s="2" t="s">
        <v>2456</v>
      </c>
      <c r="N60" s="2" t="s">
        <v>2144</v>
      </c>
      <c r="O60" s="2" t="s">
        <v>78</v>
      </c>
      <c r="P60" s="2" t="s">
        <v>2457</v>
      </c>
      <c r="Q60" s="2" t="s">
        <v>94</v>
      </c>
      <c r="R60" s="2" t="s">
        <v>132</v>
      </c>
      <c r="S60" s="2" t="s">
        <v>2184</v>
      </c>
      <c r="T60" s="2" t="s">
        <v>2429</v>
      </c>
      <c r="U60" s="13">
        <v>3.9550000000000001</v>
      </c>
      <c r="V60" s="6">
        <v>30732921</v>
      </c>
      <c r="W60" s="6">
        <v>121554.897</v>
      </c>
      <c r="X60" s="8">
        <v>8.2309999999999994E-2</v>
      </c>
      <c r="Y60" s="8">
        <v>2.1749999999999999E-2</v>
      </c>
      <c r="Z60" s="8">
        <v>3.0200000000000001E-3</v>
      </c>
    </row>
    <row r="61" spans="1:26">
      <c r="A61" s="12">
        <v>1097</v>
      </c>
      <c r="B61" s="12">
        <v>1097</v>
      </c>
      <c r="C61" s="2" t="s">
        <v>2458</v>
      </c>
      <c r="D61" s="3" t="s">
        <v>2459</v>
      </c>
      <c r="E61" s="2" t="s">
        <v>233</v>
      </c>
      <c r="F61" s="2" t="s">
        <v>2460</v>
      </c>
      <c r="G61" s="12">
        <v>111508</v>
      </c>
      <c r="H61" s="2" t="s">
        <v>2179</v>
      </c>
      <c r="I61" s="2" t="s">
        <v>2217</v>
      </c>
      <c r="J61" s="2" t="s">
        <v>2400</v>
      </c>
      <c r="K61" s="2" t="s">
        <v>109</v>
      </c>
      <c r="L61" s="2" t="s">
        <v>109</v>
      </c>
      <c r="M61" s="2" t="s">
        <v>2461</v>
      </c>
      <c r="N61" s="2" t="s">
        <v>1158</v>
      </c>
      <c r="O61" s="2" t="s">
        <v>78</v>
      </c>
      <c r="P61" s="2" t="s">
        <v>2462</v>
      </c>
      <c r="Q61" s="2" t="s">
        <v>96</v>
      </c>
      <c r="R61" s="2" t="s">
        <v>132</v>
      </c>
      <c r="S61" s="2" t="s">
        <v>2184</v>
      </c>
      <c r="T61" s="2" t="s">
        <v>2382</v>
      </c>
      <c r="U61" s="13">
        <v>3.3719999999999999</v>
      </c>
      <c r="V61" s="6">
        <v>64156882</v>
      </c>
      <c r="W61" s="6">
        <v>211700.5</v>
      </c>
      <c r="X61" s="8">
        <v>3.9710000000000002E-2</v>
      </c>
      <c r="Y61" s="8">
        <v>3.7879999999999997E-2</v>
      </c>
      <c r="Z61" s="8">
        <v>5.2500000000000003E-3</v>
      </c>
    </row>
    <row r="62" spans="1:26">
      <c r="A62" s="12">
        <v>1097</v>
      </c>
      <c r="B62" s="12">
        <v>1097</v>
      </c>
      <c r="C62" s="2" t="s">
        <v>2458</v>
      </c>
      <c r="D62" s="3" t="s">
        <v>2459</v>
      </c>
      <c r="E62" s="2" t="s">
        <v>233</v>
      </c>
      <c r="F62" s="2" t="s">
        <v>2463</v>
      </c>
      <c r="G62" s="12">
        <v>111452</v>
      </c>
      <c r="H62" s="2" t="s">
        <v>2179</v>
      </c>
      <c r="I62" s="2" t="s">
        <v>2217</v>
      </c>
      <c r="J62" s="2" t="s">
        <v>2400</v>
      </c>
      <c r="K62" s="2" t="s">
        <v>109</v>
      </c>
      <c r="L62" s="2" t="s">
        <v>109</v>
      </c>
      <c r="M62" s="2" t="s">
        <v>2464</v>
      </c>
      <c r="N62" s="2" t="s">
        <v>1158</v>
      </c>
      <c r="O62" s="2" t="s">
        <v>78</v>
      </c>
      <c r="P62" s="2" t="s">
        <v>2465</v>
      </c>
      <c r="Q62" s="2" t="s">
        <v>96</v>
      </c>
      <c r="R62" s="2" t="s">
        <v>132</v>
      </c>
      <c r="S62" s="2" t="s">
        <v>2184</v>
      </c>
      <c r="T62" s="2" t="s">
        <v>2382</v>
      </c>
      <c r="U62" s="13">
        <v>3.3719999999999999</v>
      </c>
      <c r="V62" s="6">
        <v>3112831</v>
      </c>
      <c r="W62" s="6">
        <v>8864.5439999999999</v>
      </c>
      <c r="X62" s="8">
        <v>3.7019999999999997E-2</v>
      </c>
      <c r="Y62" s="8">
        <v>1.5900000000000001E-3</v>
      </c>
      <c r="Z62" s="8">
        <v>2.2000000000000001E-4</v>
      </c>
    </row>
    <row r="63" spans="1:26">
      <c r="A63" s="12">
        <v>1097</v>
      </c>
      <c r="B63" s="12">
        <v>1097</v>
      </c>
      <c r="C63" s="2" t="s">
        <v>2458</v>
      </c>
      <c r="D63" s="3" t="s">
        <v>2459</v>
      </c>
      <c r="E63" s="2" t="s">
        <v>233</v>
      </c>
      <c r="F63" s="2" t="s">
        <v>2466</v>
      </c>
      <c r="G63" s="12">
        <v>11158003</v>
      </c>
      <c r="H63" s="2" t="s">
        <v>2179</v>
      </c>
      <c r="I63" s="2" t="s">
        <v>2217</v>
      </c>
      <c r="J63" s="2" t="s">
        <v>2400</v>
      </c>
      <c r="K63" s="2" t="s">
        <v>109</v>
      </c>
      <c r="L63" s="2" t="s">
        <v>109</v>
      </c>
      <c r="M63" s="2" t="s">
        <v>2467</v>
      </c>
      <c r="N63" s="2" t="s">
        <v>1158</v>
      </c>
      <c r="O63" s="2" t="s">
        <v>78</v>
      </c>
      <c r="P63" s="2" t="s">
        <v>2385</v>
      </c>
      <c r="Q63" s="2" t="s">
        <v>96</v>
      </c>
      <c r="R63" s="2" t="s">
        <v>132</v>
      </c>
      <c r="S63" s="2" t="s">
        <v>2184</v>
      </c>
      <c r="T63" s="2" t="s">
        <v>2382</v>
      </c>
      <c r="U63" s="13">
        <v>3.3719999999999999</v>
      </c>
      <c r="V63" s="6">
        <v>52339624</v>
      </c>
      <c r="W63" s="6">
        <v>178175.15400000001</v>
      </c>
      <c r="X63" s="8">
        <v>4.1259999999999998E-2</v>
      </c>
      <c r="Y63" s="8">
        <v>3.1879999999999999E-2</v>
      </c>
      <c r="Z63" s="8">
        <v>4.4200000000000003E-3</v>
      </c>
    </row>
    <row r="64" spans="1:26">
      <c r="A64" s="12">
        <v>1097</v>
      </c>
      <c r="B64" s="12">
        <v>1097</v>
      </c>
      <c r="C64" s="2" t="s">
        <v>2458</v>
      </c>
      <c r="D64" s="3" t="s">
        <v>2459</v>
      </c>
      <c r="E64" s="2" t="s">
        <v>233</v>
      </c>
      <c r="F64" s="2" t="s">
        <v>2468</v>
      </c>
      <c r="G64" s="12">
        <v>24107042</v>
      </c>
      <c r="H64" s="2" t="s">
        <v>2179</v>
      </c>
      <c r="I64" s="2" t="s">
        <v>2217</v>
      </c>
      <c r="J64" s="2" t="s">
        <v>2279</v>
      </c>
      <c r="K64" s="2" t="s">
        <v>109</v>
      </c>
      <c r="L64" s="2" t="s">
        <v>109</v>
      </c>
      <c r="M64" s="2" t="s">
        <v>2464</v>
      </c>
      <c r="N64" s="2" t="s">
        <v>1158</v>
      </c>
      <c r="O64" s="2" t="s">
        <v>78</v>
      </c>
      <c r="P64" s="2" t="s">
        <v>2469</v>
      </c>
      <c r="Q64" s="2" t="s">
        <v>96</v>
      </c>
      <c r="R64" s="2" t="s">
        <v>132</v>
      </c>
      <c r="S64" s="2" t="s">
        <v>2184</v>
      </c>
      <c r="T64" s="2" t="s">
        <v>2382</v>
      </c>
      <c r="U64" s="13">
        <v>3.3719999999999999</v>
      </c>
      <c r="V64" s="6">
        <v>12494546</v>
      </c>
      <c r="W64" s="6">
        <v>39121.703000000001</v>
      </c>
      <c r="X64" s="8">
        <v>8.2669999999999993E-2</v>
      </c>
      <c r="Y64" s="8">
        <v>7.0000000000000001E-3</v>
      </c>
      <c r="Z64" s="8">
        <v>9.7000000000000005E-4</v>
      </c>
    </row>
    <row r="65" spans="1:26">
      <c r="A65" s="12">
        <v>1097</v>
      </c>
      <c r="B65" s="12">
        <v>1097</v>
      </c>
      <c r="C65" s="2" t="s">
        <v>2458</v>
      </c>
      <c r="D65" s="3" t="s">
        <v>2459</v>
      </c>
      <c r="E65" s="2" t="s">
        <v>233</v>
      </c>
      <c r="F65" s="2" t="s">
        <v>2470</v>
      </c>
      <c r="G65" s="12">
        <v>111456</v>
      </c>
      <c r="H65" s="2" t="s">
        <v>2179</v>
      </c>
      <c r="I65" s="2" t="s">
        <v>2217</v>
      </c>
      <c r="J65" s="2" t="s">
        <v>2337</v>
      </c>
      <c r="K65" s="2" t="s">
        <v>109</v>
      </c>
      <c r="L65" s="2" t="s">
        <v>109</v>
      </c>
      <c r="M65" s="2" t="s">
        <v>2471</v>
      </c>
      <c r="N65" s="2" t="s">
        <v>1158</v>
      </c>
      <c r="O65" s="2" t="s">
        <v>78</v>
      </c>
      <c r="P65" s="2" t="s">
        <v>2472</v>
      </c>
      <c r="Q65" s="2" t="s">
        <v>96</v>
      </c>
      <c r="R65" s="2" t="s">
        <v>132</v>
      </c>
      <c r="S65" s="2" t="s">
        <v>2184</v>
      </c>
      <c r="T65" s="2" t="s">
        <v>2185</v>
      </c>
      <c r="U65" s="13">
        <v>3.3719999999999999</v>
      </c>
      <c r="V65" s="6">
        <v>17995651</v>
      </c>
      <c r="W65" s="6">
        <v>58320.976000000002</v>
      </c>
      <c r="X65" s="8">
        <v>2.4740000000000002E-2</v>
      </c>
      <c r="Y65" s="8">
        <v>1.044E-2</v>
      </c>
      <c r="Z65" s="8">
        <v>1.4499999999999999E-3</v>
      </c>
    </row>
    <row r="66" spans="1:26">
      <c r="A66" s="12">
        <v>1097</v>
      </c>
      <c r="B66" s="12">
        <v>1097</v>
      </c>
      <c r="C66" s="2" t="s">
        <v>2458</v>
      </c>
      <c r="D66" s="3" t="s">
        <v>2459</v>
      </c>
      <c r="E66" s="2" t="s">
        <v>233</v>
      </c>
      <c r="F66" s="2" t="s">
        <v>2473</v>
      </c>
      <c r="G66" s="12">
        <v>11151701</v>
      </c>
      <c r="H66" s="2" t="s">
        <v>2179</v>
      </c>
      <c r="I66" s="2" t="s">
        <v>2217</v>
      </c>
      <c r="J66" s="2" t="s">
        <v>2337</v>
      </c>
      <c r="K66" s="2" t="s">
        <v>109</v>
      </c>
      <c r="L66" s="2" t="s">
        <v>109</v>
      </c>
      <c r="M66" s="2" t="s">
        <v>2467</v>
      </c>
      <c r="N66" s="2" t="s">
        <v>1158</v>
      </c>
      <c r="O66" s="2" t="s">
        <v>78</v>
      </c>
      <c r="P66" s="2" t="s">
        <v>2474</v>
      </c>
      <c r="Q66" s="2" t="s">
        <v>96</v>
      </c>
      <c r="R66" s="2" t="s">
        <v>132</v>
      </c>
      <c r="S66" s="2" t="s">
        <v>2184</v>
      </c>
      <c r="T66" s="2" t="s">
        <v>2221</v>
      </c>
      <c r="U66" s="13">
        <v>3.3719999999999999</v>
      </c>
      <c r="V66" s="6">
        <v>41720985</v>
      </c>
      <c r="W66" s="6">
        <v>137648.40700000001</v>
      </c>
      <c r="X66" s="8">
        <v>1.8190000000000001E-2</v>
      </c>
      <c r="Y66" s="8">
        <v>2.4629999999999999E-2</v>
      </c>
      <c r="Z66" s="8">
        <v>3.4199999999999999E-3</v>
      </c>
    </row>
    <row r="67" spans="1:26">
      <c r="A67" s="12">
        <v>1097</v>
      </c>
      <c r="B67" s="12">
        <v>1097</v>
      </c>
      <c r="C67" s="2" t="s">
        <v>2458</v>
      </c>
      <c r="D67" s="3" t="s">
        <v>2459</v>
      </c>
      <c r="E67" s="2" t="s">
        <v>233</v>
      </c>
      <c r="F67" s="2" t="s">
        <v>2475</v>
      </c>
      <c r="G67" s="12">
        <v>11159068</v>
      </c>
      <c r="H67" s="2" t="s">
        <v>2179</v>
      </c>
      <c r="I67" s="2" t="s">
        <v>2217</v>
      </c>
      <c r="J67" s="2" t="s">
        <v>2337</v>
      </c>
      <c r="K67" s="2" t="s">
        <v>109</v>
      </c>
      <c r="L67" s="2" t="s">
        <v>109</v>
      </c>
      <c r="M67" s="2" t="s">
        <v>2467</v>
      </c>
      <c r="N67" s="2" t="s">
        <v>1158</v>
      </c>
      <c r="O67" s="2" t="s">
        <v>78</v>
      </c>
      <c r="P67" s="2" t="s">
        <v>2333</v>
      </c>
      <c r="Q67" s="2" t="s">
        <v>96</v>
      </c>
      <c r="R67" s="2" t="s">
        <v>132</v>
      </c>
      <c r="S67" s="2" t="s">
        <v>2184</v>
      </c>
      <c r="T67" s="2" t="s">
        <v>2221</v>
      </c>
      <c r="U67" s="13">
        <v>3.3719999999999999</v>
      </c>
      <c r="V67" s="6">
        <v>46291611</v>
      </c>
      <c r="W67" s="6">
        <v>160379.46</v>
      </c>
      <c r="X67" s="8">
        <v>2.513E-2</v>
      </c>
      <c r="Y67" s="8">
        <v>2.87E-2</v>
      </c>
      <c r="Z67" s="8">
        <v>3.98E-3</v>
      </c>
    </row>
    <row r="68" spans="1:26">
      <c r="A68" s="12">
        <v>1097</v>
      </c>
      <c r="B68" s="12">
        <v>1097</v>
      </c>
      <c r="C68" s="2" t="s">
        <v>2453</v>
      </c>
      <c r="D68" s="3" t="s">
        <v>2454</v>
      </c>
      <c r="E68" s="2" t="s">
        <v>233</v>
      </c>
      <c r="F68" s="2" t="s">
        <v>2476</v>
      </c>
      <c r="G68" s="12">
        <v>111453</v>
      </c>
      <c r="H68" s="2" t="s">
        <v>2179</v>
      </c>
      <c r="I68" s="2" t="s">
        <v>2217</v>
      </c>
      <c r="J68" s="2" t="s">
        <v>2337</v>
      </c>
      <c r="K68" s="2" t="s">
        <v>109</v>
      </c>
      <c r="L68" s="2" t="s">
        <v>77</v>
      </c>
      <c r="M68" s="2" t="s">
        <v>2477</v>
      </c>
      <c r="N68" s="2" t="s">
        <v>1158</v>
      </c>
      <c r="O68" s="2" t="s">
        <v>78</v>
      </c>
      <c r="P68" s="2" t="s">
        <v>2478</v>
      </c>
      <c r="Q68" s="2" t="s">
        <v>96</v>
      </c>
      <c r="R68" s="2" t="s">
        <v>132</v>
      </c>
      <c r="S68" s="2" t="s">
        <v>2184</v>
      </c>
      <c r="T68" s="2" t="s">
        <v>2221</v>
      </c>
      <c r="U68" s="13">
        <v>3.3719999999999999</v>
      </c>
      <c r="V68" s="6">
        <v>6510702</v>
      </c>
      <c r="W68" s="6">
        <v>27275.428</v>
      </c>
      <c r="X68" s="8">
        <v>2.903E-2</v>
      </c>
      <c r="Y68" s="8">
        <v>4.8799999999999998E-3</v>
      </c>
      <c r="Z68" s="8">
        <v>6.8000000000000005E-4</v>
      </c>
    </row>
    <row r="69" spans="1:26">
      <c r="A69" s="12">
        <v>1097</v>
      </c>
      <c r="B69" s="12">
        <v>1097</v>
      </c>
      <c r="C69" s="2" t="s">
        <v>2479</v>
      </c>
      <c r="D69" s="3" t="s">
        <v>2480</v>
      </c>
      <c r="E69" s="2" t="s">
        <v>233</v>
      </c>
      <c r="F69" s="2" t="s">
        <v>2481</v>
      </c>
      <c r="G69" s="12">
        <v>111514</v>
      </c>
      <c r="H69" s="2" t="s">
        <v>2179</v>
      </c>
      <c r="I69" s="2" t="s">
        <v>2217</v>
      </c>
      <c r="J69" s="2" t="s">
        <v>2218</v>
      </c>
      <c r="K69" s="2" t="s">
        <v>109</v>
      </c>
      <c r="L69" s="2" t="s">
        <v>77</v>
      </c>
      <c r="M69" s="2" t="s">
        <v>2482</v>
      </c>
      <c r="N69" s="2" t="s">
        <v>226</v>
      </c>
      <c r="O69" s="2" t="s">
        <v>78</v>
      </c>
      <c r="P69" s="2" t="s">
        <v>2422</v>
      </c>
      <c r="Q69" s="2" t="s">
        <v>96</v>
      </c>
      <c r="R69" s="2" t="s">
        <v>132</v>
      </c>
      <c r="S69" s="2" t="s">
        <v>2184</v>
      </c>
      <c r="T69" s="2" t="s">
        <v>2282</v>
      </c>
      <c r="U69" s="13">
        <v>3.3719999999999999</v>
      </c>
      <c r="V69" s="6">
        <v>34594454</v>
      </c>
      <c r="W69" s="6">
        <v>116652.469</v>
      </c>
      <c r="X69" s="8">
        <v>3.0800000000000001E-2</v>
      </c>
      <c r="Y69" s="8">
        <v>2.087E-2</v>
      </c>
      <c r="Z69" s="8">
        <v>2.8900000000000002E-3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64</v>
      </c>
      <c r="J1" s="1" t="s">
        <v>115</v>
      </c>
      <c r="K1" s="1" t="s">
        <v>242</v>
      </c>
      <c r="L1" s="1" t="s">
        <v>2158</v>
      </c>
      <c r="M1" s="1" t="s">
        <v>236</v>
      </c>
      <c r="N1" s="1" t="s">
        <v>2159</v>
      </c>
      <c r="O1" s="1" t="s">
        <v>65</v>
      </c>
      <c r="P1" s="1" t="s">
        <v>2167</v>
      </c>
      <c r="Q1" s="1" t="s">
        <v>68</v>
      </c>
      <c r="R1" s="1" t="s">
        <v>2173</v>
      </c>
      <c r="S1" s="1" t="s">
        <v>2174</v>
      </c>
      <c r="T1" s="1" t="s">
        <v>2176</v>
      </c>
      <c r="U1" s="1" t="s">
        <v>2160</v>
      </c>
      <c r="V1" s="1" t="s">
        <v>2161</v>
      </c>
      <c r="W1" s="1" t="s">
        <v>122</v>
      </c>
      <c r="X1" s="1" t="s">
        <v>123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236</v>
      </c>
      <c r="M1" s="1" t="s">
        <v>2162</v>
      </c>
      <c r="N1" s="1" t="s">
        <v>2159</v>
      </c>
      <c r="O1" s="1" t="s">
        <v>65</v>
      </c>
      <c r="P1" s="1" t="s">
        <v>2167</v>
      </c>
      <c r="Q1" s="1" t="s">
        <v>68</v>
      </c>
      <c r="R1" s="1" t="s">
        <v>2173</v>
      </c>
      <c r="S1" s="1" t="s">
        <v>2174</v>
      </c>
      <c r="T1" s="1" t="s">
        <v>2176</v>
      </c>
      <c r="U1" s="1" t="s">
        <v>2160</v>
      </c>
      <c r="V1" s="1" t="s">
        <v>2161</v>
      </c>
      <c r="W1" s="1" t="s">
        <v>122</v>
      </c>
      <c r="X1" s="1" t="s">
        <v>123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4"/>
  <sheetViews>
    <sheetView rightToLeft="1" workbookViewId="0">
      <selection activeCell="A2" sqref="A2:AO14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1" width="26.7109375" customWidth="1"/>
    <col min="22" max="22" width="14.7109375" customWidth="1"/>
    <col min="23" max="23" width="13.7109375" customWidth="1"/>
    <col min="24" max="24" width="9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2483</v>
      </c>
      <c r="E1" s="1" t="s">
        <v>2484</v>
      </c>
      <c r="F1" s="1" t="s">
        <v>70</v>
      </c>
      <c r="G1" s="1" t="s">
        <v>2485</v>
      </c>
      <c r="H1" s="1" t="s">
        <v>2486</v>
      </c>
      <c r="I1" s="1" t="s">
        <v>2487</v>
      </c>
      <c r="J1" s="1" t="s">
        <v>2488</v>
      </c>
      <c r="K1" s="1" t="s">
        <v>2489</v>
      </c>
      <c r="L1" s="1" t="s">
        <v>2490</v>
      </c>
      <c r="M1" s="1" t="s">
        <v>70</v>
      </c>
      <c r="N1" s="1" t="s">
        <v>2491</v>
      </c>
      <c r="O1" s="1" t="s">
        <v>2492</v>
      </c>
      <c r="P1" s="1" t="s">
        <v>2493</v>
      </c>
      <c r="Q1" s="1" t="s">
        <v>2494</v>
      </c>
      <c r="R1" s="1" t="s">
        <v>2495</v>
      </c>
      <c r="S1" s="1" t="s">
        <v>64</v>
      </c>
      <c r="T1" s="1" t="s">
        <v>115</v>
      </c>
      <c r="U1" s="1" t="s">
        <v>2496</v>
      </c>
      <c r="V1" s="1" t="s">
        <v>2497</v>
      </c>
      <c r="W1" s="1" t="s">
        <v>2498</v>
      </c>
      <c r="X1" s="1" t="s">
        <v>2499</v>
      </c>
      <c r="Y1" s="1" t="s">
        <v>65</v>
      </c>
      <c r="Z1" s="1" t="s">
        <v>2500</v>
      </c>
      <c r="AA1" s="1" t="s">
        <v>2501</v>
      </c>
      <c r="AB1" s="1" t="s">
        <v>2502</v>
      </c>
      <c r="AC1" s="1" t="s">
        <v>2503</v>
      </c>
      <c r="AD1" s="1" t="s">
        <v>2504</v>
      </c>
      <c r="AE1" s="1" t="s">
        <v>2505</v>
      </c>
      <c r="AF1" s="1" t="s">
        <v>238</v>
      </c>
      <c r="AG1" s="1" t="s">
        <v>2506</v>
      </c>
      <c r="AH1" s="1" t="s">
        <v>2507</v>
      </c>
      <c r="AI1" s="1" t="s">
        <v>2508</v>
      </c>
      <c r="AJ1" s="1" t="s">
        <v>2509</v>
      </c>
      <c r="AK1" s="1" t="s">
        <v>2510</v>
      </c>
      <c r="AL1" s="1" t="s">
        <v>2511</v>
      </c>
      <c r="AM1" s="1" t="s">
        <v>2512</v>
      </c>
      <c r="AN1" s="1" t="s">
        <v>73</v>
      </c>
      <c r="AO1" s="1" t="s">
        <v>74</v>
      </c>
    </row>
    <row r="2" spans="1:41">
      <c r="A2" s="12">
        <v>1097</v>
      </c>
      <c r="B2" s="12">
        <v>1097</v>
      </c>
      <c r="C2" s="2" t="s">
        <v>2577</v>
      </c>
      <c r="D2" s="12">
        <v>308328962</v>
      </c>
      <c r="E2" s="2" t="s">
        <v>81</v>
      </c>
      <c r="F2" s="13">
        <v>1</v>
      </c>
      <c r="G2" s="6">
        <v>39000</v>
      </c>
      <c r="H2" s="6">
        <v>117877.48</v>
      </c>
      <c r="I2" s="8">
        <v>0.42649999999999999</v>
      </c>
      <c r="J2" s="8">
        <v>2.8999999999999998E-3</v>
      </c>
      <c r="K2" s="12">
        <v>83289629</v>
      </c>
      <c r="L2" s="2" t="s">
        <v>81</v>
      </c>
      <c r="M2" s="13">
        <v>1</v>
      </c>
      <c r="N2" s="6">
        <v>-39000</v>
      </c>
      <c r="O2" s="6">
        <v>-108885.88</v>
      </c>
      <c r="P2" s="8">
        <v>-2.7000000000000001E-3</v>
      </c>
      <c r="Q2" s="8">
        <v>-0.39400000000000002</v>
      </c>
      <c r="R2" s="6">
        <v>8991.6</v>
      </c>
      <c r="S2" s="2" t="s">
        <v>77</v>
      </c>
      <c r="T2" s="2" t="s">
        <v>77</v>
      </c>
      <c r="U2" s="2" t="s">
        <v>2513</v>
      </c>
      <c r="V2" s="2" t="s">
        <v>2578</v>
      </c>
      <c r="W2" s="2"/>
      <c r="X2" s="3" t="s">
        <v>2579</v>
      </c>
      <c r="Y2" s="2" t="s">
        <v>78</v>
      </c>
      <c r="Z2" s="15">
        <v>45733</v>
      </c>
      <c r="AA2" s="15">
        <v>46099</v>
      </c>
      <c r="AB2" s="2" t="s">
        <v>2580</v>
      </c>
      <c r="AC2" s="2" t="s">
        <v>2514</v>
      </c>
      <c r="AD2" s="2" t="s">
        <v>2581</v>
      </c>
      <c r="AE2" s="2" t="s">
        <v>2582</v>
      </c>
      <c r="AF2" s="13">
        <v>0</v>
      </c>
      <c r="AG2" s="2" t="s">
        <v>2515</v>
      </c>
      <c r="AH2" s="8">
        <v>4.4999999999999998E-2</v>
      </c>
      <c r="AI2" s="6">
        <v>0</v>
      </c>
      <c r="AJ2" s="6">
        <v>0</v>
      </c>
      <c r="AK2" s="2" t="s">
        <v>78</v>
      </c>
      <c r="AL2">
        <v>0</v>
      </c>
      <c r="AM2" s="2"/>
      <c r="AN2" s="8">
        <v>3.2500000000000001E-2</v>
      </c>
      <c r="AO2" s="8">
        <v>2.0000000000000001E-4</v>
      </c>
    </row>
    <row r="3" spans="1:41">
      <c r="A3" s="12">
        <v>1097</v>
      </c>
      <c r="B3" s="12">
        <v>1097</v>
      </c>
      <c r="C3" s="2" t="s">
        <v>2577</v>
      </c>
      <c r="D3" s="12">
        <v>307738153</v>
      </c>
      <c r="E3" s="2" t="s">
        <v>81</v>
      </c>
      <c r="F3" s="13">
        <v>1</v>
      </c>
      <c r="G3" s="6">
        <v>108137</v>
      </c>
      <c r="H3" s="6">
        <v>326844.03000000003</v>
      </c>
      <c r="I3" s="8">
        <v>1.1826000000000001</v>
      </c>
      <c r="J3" s="8">
        <v>8.0999999999999996E-3</v>
      </c>
      <c r="K3" s="12">
        <v>77381531</v>
      </c>
      <c r="L3" s="2" t="s">
        <v>81</v>
      </c>
      <c r="M3" s="13">
        <v>1</v>
      </c>
      <c r="N3" s="6">
        <v>-108137</v>
      </c>
      <c r="O3" s="6">
        <v>-298469.11</v>
      </c>
      <c r="P3" s="8">
        <v>-7.4000000000000003E-3</v>
      </c>
      <c r="Q3" s="8">
        <v>-1.0799000000000001</v>
      </c>
      <c r="R3" s="6">
        <v>28374.92</v>
      </c>
      <c r="S3" s="2" t="s">
        <v>77</v>
      </c>
      <c r="T3" s="2" t="s">
        <v>77</v>
      </c>
      <c r="U3" s="2" t="s">
        <v>2513</v>
      </c>
      <c r="V3" s="2" t="s">
        <v>2578</v>
      </c>
      <c r="W3" s="2"/>
      <c r="X3" s="3" t="s">
        <v>2579</v>
      </c>
      <c r="Y3" s="2" t="s">
        <v>78</v>
      </c>
      <c r="Z3" s="15">
        <v>45546</v>
      </c>
      <c r="AA3" s="15">
        <v>46002</v>
      </c>
      <c r="AB3" s="2" t="s">
        <v>2580</v>
      </c>
      <c r="AC3" s="2" t="s">
        <v>2514</v>
      </c>
      <c r="AD3" s="2" t="s">
        <v>2581</v>
      </c>
      <c r="AE3" s="2" t="s">
        <v>2582</v>
      </c>
      <c r="AF3" s="13">
        <v>0</v>
      </c>
      <c r="AG3" s="2" t="s">
        <v>2515</v>
      </c>
      <c r="AH3" s="8">
        <v>4.4999999999999998E-2</v>
      </c>
      <c r="AI3" s="6">
        <v>0</v>
      </c>
      <c r="AJ3" s="6">
        <v>0</v>
      </c>
      <c r="AK3" s="2" t="s">
        <v>78</v>
      </c>
      <c r="AL3">
        <v>0</v>
      </c>
      <c r="AM3" s="2"/>
      <c r="AN3" s="8">
        <v>0.1027</v>
      </c>
      <c r="AO3" s="8">
        <v>6.9999999999999999E-4</v>
      </c>
    </row>
    <row r="4" spans="1:41">
      <c r="A4" s="12">
        <v>1097</v>
      </c>
      <c r="B4" s="12">
        <v>1097</v>
      </c>
      <c r="C4" s="2" t="s">
        <v>2577</v>
      </c>
      <c r="D4" s="12">
        <v>307738146</v>
      </c>
      <c r="E4" s="2" t="s">
        <v>81</v>
      </c>
      <c r="F4" s="13">
        <v>1</v>
      </c>
      <c r="G4" s="6">
        <v>217855</v>
      </c>
      <c r="H4" s="6">
        <v>658466.63</v>
      </c>
      <c r="I4" s="8">
        <v>2.3824000000000001</v>
      </c>
      <c r="J4" s="8">
        <v>1.6299999999999999E-2</v>
      </c>
      <c r="K4" s="12">
        <v>77381465</v>
      </c>
      <c r="L4" s="2" t="s">
        <v>81</v>
      </c>
      <c r="M4" s="13">
        <v>1</v>
      </c>
      <c r="N4" s="6">
        <v>-217855</v>
      </c>
      <c r="O4" s="6">
        <v>-601301.93999999994</v>
      </c>
      <c r="P4" s="8">
        <v>-1.49E-2</v>
      </c>
      <c r="Q4" s="8">
        <v>-2.1756000000000002</v>
      </c>
      <c r="R4" s="6">
        <v>57164.7</v>
      </c>
      <c r="S4" s="2" t="s">
        <v>77</v>
      </c>
      <c r="T4" s="2" t="s">
        <v>77</v>
      </c>
      <c r="U4" s="2" t="s">
        <v>2513</v>
      </c>
      <c r="V4" s="2" t="s">
        <v>2578</v>
      </c>
      <c r="W4" s="2"/>
      <c r="X4" s="3" t="s">
        <v>2579</v>
      </c>
      <c r="Y4" s="2" t="s">
        <v>78</v>
      </c>
      <c r="Z4" s="15">
        <v>45546</v>
      </c>
      <c r="AA4" s="15">
        <v>46002</v>
      </c>
      <c r="AB4" s="2" t="s">
        <v>2580</v>
      </c>
      <c r="AC4" s="2" t="s">
        <v>2514</v>
      </c>
      <c r="AD4" s="2" t="s">
        <v>2581</v>
      </c>
      <c r="AE4" s="2" t="s">
        <v>2582</v>
      </c>
      <c r="AF4" s="13">
        <v>0</v>
      </c>
      <c r="AG4" s="2" t="s">
        <v>2515</v>
      </c>
      <c r="AH4" s="8">
        <v>4.4999999999999998E-2</v>
      </c>
      <c r="AI4" s="6">
        <v>0</v>
      </c>
      <c r="AJ4" s="6">
        <v>0</v>
      </c>
      <c r="AK4" s="2" t="s">
        <v>78</v>
      </c>
      <c r="AL4">
        <v>0</v>
      </c>
      <c r="AM4" s="2"/>
      <c r="AN4" s="8">
        <v>0.20680000000000001</v>
      </c>
      <c r="AO4" s="8">
        <v>1.4E-3</v>
      </c>
    </row>
    <row r="5" spans="1:41">
      <c r="A5" s="12">
        <v>1097</v>
      </c>
      <c r="B5" s="12">
        <v>1097</v>
      </c>
      <c r="C5" s="2" t="s">
        <v>2577</v>
      </c>
      <c r="D5" s="12">
        <v>307972075</v>
      </c>
      <c r="E5" s="2" t="s">
        <v>81</v>
      </c>
      <c r="F5" s="13">
        <v>1</v>
      </c>
      <c r="G5" s="6">
        <v>145800</v>
      </c>
      <c r="H5" s="6">
        <v>475633.27</v>
      </c>
      <c r="I5" s="8">
        <v>1.7209000000000001</v>
      </c>
      <c r="J5" s="8">
        <v>1.18E-2</v>
      </c>
      <c r="K5" s="12">
        <v>7972078</v>
      </c>
      <c r="L5" s="2" t="s">
        <v>81</v>
      </c>
      <c r="M5" s="13">
        <v>1</v>
      </c>
      <c r="N5" s="6">
        <v>-145800</v>
      </c>
      <c r="O5" s="6">
        <v>-418519.6</v>
      </c>
      <c r="P5" s="8">
        <v>-1.04E-2</v>
      </c>
      <c r="Q5" s="8">
        <v>-1.5142</v>
      </c>
      <c r="R5" s="6">
        <v>57113.67</v>
      </c>
      <c r="S5" s="2" t="s">
        <v>77</v>
      </c>
      <c r="T5" s="2" t="s">
        <v>77</v>
      </c>
      <c r="U5" s="2" t="s">
        <v>2513</v>
      </c>
      <c r="V5" s="2" t="s">
        <v>2578</v>
      </c>
      <c r="W5" s="2"/>
      <c r="X5" s="3" t="s">
        <v>2583</v>
      </c>
      <c r="Y5" s="2" t="s">
        <v>78</v>
      </c>
      <c r="Z5" s="15">
        <v>45624</v>
      </c>
      <c r="AA5" s="15">
        <v>45988</v>
      </c>
      <c r="AB5" s="2" t="s">
        <v>2580</v>
      </c>
      <c r="AC5" s="2" t="s">
        <v>2514</v>
      </c>
      <c r="AD5" s="2" t="s">
        <v>2581</v>
      </c>
      <c r="AE5" s="2" t="s">
        <v>2582</v>
      </c>
      <c r="AF5" s="13">
        <v>0</v>
      </c>
      <c r="AG5" s="2" t="s">
        <v>2515</v>
      </c>
      <c r="AH5" s="8">
        <v>4.4999999999999998E-2</v>
      </c>
      <c r="AI5" s="6">
        <v>0</v>
      </c>
      <c r="AJ5" s="6">
        <v>0</v>
      </c>
      <c r="AK5" s="2" t="s">
        <v>78</v>
      </c>
      <c r="AL5">
        <v>0</v>
      </c>
      <c r="AM5" s="2"/>
      <c r="AN5" s="8">
        <v>0.20660000000000001</v>
      </c>
      <c r="AO5" s="8">
        <v>1.4E-3</v>
      </c>
    </row>
    <row r="6" spans="1:41">
      <c r="A6" s="12">
        <v>1097</v>
      </c>
      <c r="B6" s="12">
        <v>1097</v>
      </c>
      <c r="C6" s="2" t="s">
        <v>2577</v>
      </c>
      <c r="D6" s="12">
        <v>307673988</v>
      </c>
      <c r="E6" s="2" t="s">
        <v>96</v>
      </c>
      <c r="F6" s="13">
        <v>3.3719999999999999</v>
      </c>
      <c r="G6" s="6">
        <v>631645</v>
      </c>
      <c r="H6" s="6">
        <v>316968.34000000003</v>
      </c>
      <c r="I6" s="8">
        <v>3.8671000000000002</v>
      </c>
      <c r="J6" s="8">
        <v>2.6499999999999999E-2</v>
      </c>
      <c r="K6" s="12">
        <v>7673981</v>
      </c>
      <c r="L6" s="2" t="s">
        <v>96</v>
      </c>
      <c r="M6" s="13">
        <v>3.3719999999999999</v>
      </c>
      <c r="N6" s="6">
        <v>-631645</v>
      </c>
      <c r="O6" s="6">
        <v>-301626.64</v>
      </c>
      <c r="P6" s="8">
        <v>-2.52E-2</v>
      </c>
      <c r="Q6" s="8">
        <v>-3.6798999999999999</v>
      </c>
      <c r="R6" s="6">
        <v>51732.22</v>
      </c>
      <c r="S6" s="2" t="s">
        <v>77</v>
      </c>
      <c r="T6" s="2" t="s">
        <v>77</v>
      </c>
      <c r="U6" s="2" t="s">
        <v>2513</v>
      </c>
      <c r="V6" s="2" t="s">
        <v>2578</v>
      </c>
      <c r="W6" s="2"/>
      <c r="X6" s="3" t="s">
        <v>2584</v>
      </c>
      <c r="Y6" s="2" t="s">
        <v>78</v>
      </c>
      <c r="Z6" s="15">
        <v>45525</v>
      </c>
      <c r="AA6" s="15">
        <v>45895</v>
      </c>
      <c r="AB6" s="2" t="s">
        <v>2580</v>
      </c>
      <c r="AC6" s="2" t="s">
        <v>2514</v>
      </c>
      <c r="AD6" s="2" t="s">
        <v>2581</v>
      </c>
      <c r="AE6" s="2" t="s">
        <v>2582</v>
      </c>
      <c r="AF6" s="13">
        <v>0</v>
      </c>
      <c r="AG6" s="2" t="s">
        <v>2515</v>
      </c>
      <c r="AH6" s="8">
        <v>4.4999999999999998E-2</v>
      </c>
      <c r="AI6" s="6">
        <v>0</v>
      </c>
      <c r="AJ6" s="6">
        <v>0</v>
      </c>
      <c r="AK6" s="2" t="s">
        <v>78</v>
      </c>
      <c r="AL6">
        <v>0</v>
      </c>
      <c r="AM6" s="2"/>
      <c r="AN6" s="8">
        <v>0.18720000000000001</v>
      </c>
      <c r="AO6" s="8">
        <v>1.2999999999999999E-3</v>
      </c>
    </row>
    <row r="7" spans="1:41">
      <c r="A7" s="12">
        <v>1097</v>
      </c>
      <c r="B7" s="12">
        <v>1097</v>
      </c>
      <c r="C7" s="2" t="s">
        <v>2577</v>
      </c>
      <c r="D7" s="12">
        <v>307673970</v>
      </c>
      <c r="E7" s="2" t="s">
        <v>96</v>
      </c>
      <c r="F7" s="13">
        <v>3.3719999999999999</v>
      </c>
      <c r="G7" s="6">
        <v>901673</v>
      </c>
      <c r="H7" s="6">
        <v>452472.19</v>
      </c>
      <c r="I7" s="8">
        <v>5.5202999999999998</v>
      </c>
      <c r="J7" s="8">
        <v>3.7900000000000003E-2</v>
      </c>
      <c r="K7" s="12">
        <v>7673973</v>
      </c>
      <c r="L7" s="2" t="s">
        <v>96</v>
      </c>
      <c r="M7" s="13">
        <v>3.3719999999999999</v>
      </c>
      <c r="N7" s="6">
        <v>-901673</v>
      </c>
      <c r="O7" s="6">
        <v>-430571.91</v>
      </c>
      <c r="P7" s="8">
        <v>-3.5999999999999997E-2</v>
      </c>
      <c r="Q7" s="8">
        <v>-5.2530999999999999</v>
      </c>
      <c r="R7" s="6">
        <v>73847.72</v>
      </c>
      <c r="S7" s="2" t="s">
        <v>77</v>
      </c>
      <c r="T7" s="2" t="s">
        <v>77</v>
      </c>
      <c r="U7" s="2" t="s">
        <v>2513</v>
      </c>
      <c r="V7" s="2" t="s">
        <v>2578</v>
      </c>
      <c r="W7" s="2"/>
      <c r="X7" s="3" t="s">
        <v>2584</v>
      </c>
      <c r="Y7" s="2" t="s">
        <v>78</v>
      </c>
      <c r="Z7" s="15">
        <v>45525</v>
      </c>
      <c r="AA7" s="15">
        <v>45895</v>
      </c>
      <c r="AB7" s="2" t="s">
        <v>2580</v>
      </c>
      <c r="AC7" s="2" t="s">
        <v>2514</v>
      </c>
      <c r="AD7" s="2" t="s">
        <v>2581</v>
      </c>
      <c r="AE7" s="2" t="s">
        <v>2582</v>
      </c>
      <c r="AF7" s="13">
        <v>0</v>
      </c>
      <c r="AG7" s="2" t="s">
        <v>2515</v>
      </c>
      <c r="AH7" s="8">
        <v>4.4999999999999998E-2</v>
      </c>
      <c r="AI7" s="6">
        <v>0</v>
      </c>
      <c r="AJ7" s="6">
        <v>0</v>
      </c>
      <c r="AK7" s="2" t="s">
        <v>78</v>
      </c>
      <c r="AL7">
        <v>0</v>
      </c>
      <c r="AM7" s="2"/>
      <c r="AN7" s="8">
        <v>0.26719999999999999</v>
      </c>
      <c r="AO7" s="8">
        <v>1.8E-3</v>
      </c>
    </row>
    <row r="8" spans="1:41">
      <c r="A8" s="12">
        <v>1097</v>
      </c>
      <c r="B8" s="12">
        <v>1097</v>
      </c>
      <c r="C8" s="2" t="s">
        <v>2577</v>
      </c>
      <c r="D8" s="12">
        <v>308514967</v>
      </c>
      <c r="E8" s="2" t="s">
        <v>96</v>
      </c>
      <c r="F8" s="13">
        <v>3.3719999999999999</v>
      </c>
      <c r="G8" s="6">
        <v>40000</v>
      </c>
      <c r="H8" s="6">
        <v>20072.560000000001</v>
      </c>
      <c r="I8" s="8">
        <v>0.24490000000000001</v>
      </c>
      <c r="J8" s="8">
        <v>1.6999999999999999E-3</v>
      </c>
      <c r="K8" s="12">
        <v>8514967</v>
      </c>
      <c r="L8" s="2" t="s">
        <v>96</v>
      </c>
      <c r="M8" s="13">
        <v>3.3719999999999999</v>
      </c>
      <c r="N8" s="6">
        <v>-40000</v>
      </c>
      <c r="O8" s="6">
        <v>-19100.93</v>
      </c>
      <c r="P8" s="8">
        <v>-1.6000000000000001E-3</v>
      </c>
      <c r="Q8" s="8">
        <v>-0.23300000000000001</v>
      </c>
      <c r="R8" s="6">
        <v>3276.35</v>
      </c>
      <c r="S8" s="2" t="s">
        <v>77</v>
      </c>
      <c r="T8" s="2" t="s">
        <v>77</v>
      </c>
      <c r="U8" s="2" t="s">
        <v>2513</v>
      </c>
      <c r="V8" s="2" t="s">
        <v>2578</v>
      </c>
      <c r="W8" s="2"/>
      <c r="X8" s="3" t="s">
        <v>2584</v>
      </c>
      <c r="Y8" s="2" t="s">
        <v>78</v>
      </c>
      <c r="Z8" s="15">
        <v>45789</v>
      </c>
      <c r="AA8" s="15">
        <v>45895</v>
      </c>
      <c r="AB8" s="2" t="s">
        <v>2580</v>
      </c>
      <c r="AC8" s="2" t="s">
        <v>2514</v>
      </c>
      <c r="AD8" s="2" t="s">
        <v>2581</v>
      </c>
      <c r="AE8" s="2" t="s">
        <v>2582</v>
      </c>
      <c r="AF8" s="13">
        <v>0</v>
      </c>
      <c r="AG8" s="2" t="s">
        <v>2515</v>
      </c>
      <c r="AH8" s="8">
        <v>4.4999999999999998E-2</v>
      </c>
      <c r="AI8" s="6">
        <v>0</v>
      </c>
      <c r="AJ8" s="6">
        <v>0</v>
      </c>
      <c r="AK8" s="2" t="s">
        <v>78</v>
      </c>
      <c r="AL8">
        <v>0</v>
      </c>
      <c r="AM8" s="2"/>
      <c r="AN8" s="8">
        <v>1.1900000000000001E-2</v>
      </c>
      <c r="AO8" s="8">
        <v>1E-4</v>
      </c>
    </row>
    <row r="9" spans="1:41">
      <c r="A9" s="12">
        <v>1097</v>
      </c>
      <c r="B9" s="12">
        <v>1097</v>
      </c>
      <c r="C9" s="2" t="s">
        <v>2577</v>
      </c>
      <c r="D9" s="12">
        <v>308514959</v>
      </c>
      <c r="E9" s="2" t="s">
        <v>96</v>
      </c>
      <c r="F9" s="13">
        <v>3.3719999999999999</v>
      </c>
      <c r="G9" s="6">
        <v>58000</v>
      </c>
      <c r="H9" s="6">
        <v>29105.22</v>
      </c>
      <c r="I9" s="8">
        <v>0.35510000000000003</v>
      </c>
      <c r="J9" s="8">
        <v>2.3999999999999998E-3</v>
      </c>
      <c r="K9" s="12">
        <v>8514959</v>
      </c>
      <c r="L9" s="2" t="s">
        <v>96</v>
      </c>
      <c r="M9" s="13">
        <v>3.3719999999999999</v>
      </c>
      <c r="N9" s="6">
        <v>-58000</v>
      </c>
      <c r="O9" s="6">
        <v>-27696.35</v>
      </c>
      <c r="P9" s="8">
        <v>-2.3E-3</v>
      </c>
      <c r="Q9" s="8">
        <v>-0.33789999999999998</v>
      </c>
      <c r="R9" s="6">
        <v>4750.71</v>
      </c>
      <c r="S9" s="2" t="s">
        <v>77</v>
      </c>
      <c r="T9" s="2" t="s">
        <v>77</v>
      </c>
      <c r="U9" s="2" t="s">
        <v>2513</v>
      </c>
      <c r="V9" s="2" t="s">
        <v>2578</v>
      </c>
      <c r="W9" s="2"/>
      <c r="X9" s="3" t="s">
        <v>2584</v>
      </c>
      <c r="Y9" s="2" t="s">
        <v>78</v>
      </c>
      <c r="Z9" s="15">
        <v>45789</v>
      </c>
      <c r="AA9" s="15">
        <v>45895</v>
      </c>
      <c r="AB9" s="2" t="s">
        <v>2580</v>
      </c>
      <c r="AC9" s="2" t="s">
        <v>2514</v>
      </c>
      <c r="AD9" s="2" t="s">
        <v>2581</v>
      </c>
      <c r="AE9" s="2" t="s">
        <v>2582</v>
      </c>
      <c r="AF9" s="13">
        <v>0</v>
      </c>
      <c r="AG9" s="2" t="s">
        <v>2515</v>
      </c>
      <c r="AH9" s="8">
        <v>4.4999999999999998E-2</v>
      </c>
      <c r="AI9" s="6">
        <v>0</v>
      </c>
      <c r="AJ9" s="6">
        <v>0</v>
      </c>
      <c r="AK9" s="2" t="s">
        <v>78</v>
      </c>
      <c r="AL9">
        <v>0</v>
      </c>
      <c r="AM9" s="2"/>
      <c r="AN9" s="8">
        <v>1.72E-2</v>
      </c>
      <c r="AO9" s="8">
        <v>1E-4</v>
      </c>
    </row>
    <row r="10" spans="1:41">
      <c r="A10" s="12">
        <v>1097</v>
      </c>
      <c r="B10" s="12">
        <v>1097</v>
      </c>
      <c r="C10" s="2" t="s">
        <v>2516</v>
      </c>
      <c r="D10" s="12">
        <v>383994407</v>
      </c>
      <c r="E10" s="2" t="s">
        <v>96</v>
      </c>
      <c r="F10" s="13">
        <v>3.3719999999999999</v>
      </c>
      <c r="G10" s="6">
        <v>-75000000</v>
      </c>
      <c r="H10" s="6">
        <v>-75000</v>
      </c>
      <c r="I10" s="8">
        <v>-0.91500000000000004</v>
      </c>
      <c r="J10" s="8">
        <v>-6.3E-3</v>
      </c>
      <c r="K10" s="12">
        <v>383994407</v>
      </c>
      <c r="L10" s="2" t="s">
        <v>81</v>
      </c>
      <c r="M10" s="13">
        <v>1</v>
      </c>
      <c r="N10" s="6">
        <v>239400000</v>
      </c>
      <c r="O10" s="6">
        <v>239400</v>
      </c>
      <c r="P10" s="8">
        <v>5.8999999999999999E-3</v>
      </c>
      <c r="Q10" s="8">
        <v>0.86619999999999997</v>
      </c>
      <c r="R10" s="6">
        <v>-9939.4599999999991</v>
      </c>
      <c r="S10" s="2" t="s">
        <v>77</v>
      </c>
      <c r="T10" s="2" t="s">
        <v>77</v>
      </c>
      <c r="U10" s="2" t="s">
        <v>2165</v>
      </c>
      <c r="V10" s="2" t="s">
        <v>2519</v>
      </c>
      <c r="W10" s="2"/>
      <c r="X10" s="3" t="s">
        <v>2517</v>
      </c>
      <c r="Y10" s="2" t="s">
        <v>78</v>
      </c>
      <c r="Z10" s="15">
        <v>44755</v>
      </c>
      <c r="AA10" s="15">
        <v>46583</v>
      </c>
      <c r="AB10" s="2" t="s">
        <v>2515</v>
      </c>
      <c r="AC10" s="2" t="s">
        <v>2514</v>
      </c>
      <c r="AD10" s="2" t="s">
        <v>2518</v>
      </c>
      <c r="AE10" s="2" t="s">
        <v>2582</v>
      </c>
      <c r="AF10" s="13">
        <v>0</v>
      </c>
      <c r="AG10" s="2" t="s">
        <v>2515</v>
      </c>
      <c r="AH10" s="8">
        <v>0</v>
      </c>
      <c r="AI10" s="6">
        <v>319.2</v>
      </c>
      <c r="AJ10" s="6">
        <v>319.2</v>
      </c>
      <c r="AK10" s="2" t="s">
        <v>78</v>
      </c>
      <c r="AL10" s="6">
        <v>0</v>
      </c>
      <c r="AM10" s="2"/>
      <c r="AN10" s="8">
        <v>-3.5999999999999997E-2</v>
      </c>
      <c r="AO10" s="8">
        <v>-2.9999999999999997E-4</v>
      </c>
    </row>
    <row r="11" spans="1:41">
      <c r="A11" s="12">
        <v>1097</v>
      </c>
      <c r="B11" s="12">
        <v>1097</v>
      </c>
      <c r="C11" s="2" t="s">
        <v>2516</v>
      </c>
      <c r="D11" s="12">
        <v>341986719</v>
      </c>
      <c r="E11" s="2" t="s">
        <v>96</v>
      </c>
      <c r="F11" s="13">
        <v>3.3719999999999999</v>
      </c>
      <c r="G11" s="6">
        <v>-11000000</v>
      </c>
      <c r="H11" s="6">
        <v>-11000</v>
      </c>
      <c r="I11" s="8">
        <v>-0.13420000000000001</v>
      </c>
      <c r="J11" s="8">
        <v>-8.9999999999999998E-4</v>
      </c>
      <c r="K11" s="12">
        <v>341986719</v>
      </c>
      <c r="L11" s="2" t="s">
        <v>81</v>
      </c>
      <c r="M11" s="13">
        <v>1</v>
      </c>
      <c r="N11" s="6">
        <v>37005969</v>
      </c>
      <c r="O11" s="6">
        <v>37005.97</v>
      </c>
      <c r="P11" s="8">
        <v>8.9999999999999998E-4</v>
      </c>
      <c r="Q11" s="8">
        <v>0.13389999999999999</v>
      </c>
      <c r="R11" s="6">
        <v>-36.909999999999997</v>
      </c>
      <c r="S11" s="2" t="s">
        <v>77</v>
      </c>
      <c r="T11" s="2" t="s">
        <v>77</v>
      </c>
      <c r="U11" s="2" t="s">
        <v>2165</v>
      </c>
      <c r="V11" s="2" t="s">
        <v>2519</v>
      </c>
      <c r="W11" s="2"/>
      <c r="X11" s="3" t="s">
        <v>2517</v>
      </c>
      <c r="Y11" s="2" t="s">
        <v>78</v>
      </c>
      <c r="Z11" s="15">
        <v>45838</v>
      </c>
      <c r="AA11" s="15">
        <v>45896</v>
      </c>
      <c r="AB11" s="2" t="s">
        <v>2515</v>
      </c>
      <c r="AC11" s="2" t="s">
        <v>2514</v>
      </c>
      <c r="AD11" s="2" t="s">
        <v>2518</v>
      </c>
      <c r="AE11" s="2" t="s">
        <v>2582</v>
      </c>
      <c r="AF11" s="13">
        <v>0</v>
      </c>
      <c r="AG11" s="2" t="s">
        <v>2515</v>
      </c>
      <c r="AH11" s="8">
        <v>0</v>
      </c>
      <c r="AI11" s="6">
        <v>336.42</v>
      </c>
      <c r="AJ11" s="6">
        <v>336.42</v>
      </c>
      <c r="AK11" s="2" t="s">
        <v>78</v>
      </c>
      <c r="AL11">
        <v>0</v>
      </c>
      <c r="AM11" s="2"/>
      <c r="AN11" s="8">
        <v>-1E-4</v>
      </c>
      <c r="AO11" s="8">
        <v>0</v>
      </c>
    </row>
    <row r="12" spans="1:41">
      <c r="A12" s="12">
        <v>1097</v>
      </c>
      <c r="B12" s="12">
        <v>1097</v>
      </c>
      <c r="C12" s="2" t="s">
        <v>2516</v>
      </c>
      <c r="D12" s="12">
        <v>341986701</v>
      </c>
      <c r="E12" s="2" t="s">
        <v>96</v>
      </c>
      <c r="F12" s="13">
        <v>3.3719999999999999</v>
      </c>
      <c r="G12" s="6">
        <v>-14000000</v>
      </c>
      <c r="H12" s="6">
        <v>-14000</v>
      </c>
      <c r="I12" s="8">
        <v>-0.17080000000000001</v>
      </c>
      <c r="J12" s="8">
        <v>-1.1999999999999999E-3</v>
      </c>
      <c r="K12" s="12">
        <v>341986701</v>
      </c>
      <c r="L12" s="2" t="s">
        <v>81</v>
      </c>
      <c r="M12" s="13">
        <v>1</v>
      </c>
      <c r="N12" s="6">
        <v>47098506</v>
      </c>
      <c r="O12" s="6">
        <v>47098.51</v>
      </c>
      <c r="P12" s="8">
        <v>1.1999999999999999E-3</v>
      </c>
      <c r="Q12" s="8">
        <v>0.1704</v>
      </c>
      <c r="R12" s="6">
        <v>-46.98</v>
      </c>
      <c r="S12" s="2" t="s">
        <v>77</v>
      </c>
      <c r="T12" s="2" t="s">
        <v>77</v>
      </c>
      <c r="U12" s="2" t="s">
        <v>2165</v>
      </c>
      <c r="V12" s="2" t="s">
        <v>2519</v>
      </c>
      <c r="W12" s="2"/>
      <c r="X12" s="3" t="s">
        <v>2517</v>
      </c>
      <c r="Y12" s="2" t="s">
        <v>78</v>
      </c>
      <c r="Z12" s="15">
        <v>45838</v>
      </c>
      <c r="AA12" s="15">
        <v>45896</v>
      </c>
      <c r="AB12" s="2" t="s">
        <v>2515</v>
      </c>
      <c r="AC12" s="2" t="s">
        <v>2514</v>
      </c>
      <c r="AD12" s="2" t="s">
        <v>2518</v>
      </c>
      <c r="AE12" s="2" t="s">
        <v>2582</v>
      </c>
      <c r="AF12" s="13">
        <v>0</v>
      </c>
      <c r="AG12" s="2" t="s">
        <v>2515</v>
      </c>
      <c r="AH12" s="8">
        <v>0</v>
      </c>
      <c r="AI12" s="6">
        <v>336.42</v>
      </c>
      <c r="AJ12" s="6">
        <v>336.42</v>
      </c>
      <c r="AK12" s="2" t="s">
        <v>78</v>
      </c>
      <c r="AL12">
        <v>0</v>
      </c>
      <c r="AM12" s="2"/>
      <c r="AN12" s="8">
        <v>-2.0000000000000001E-4</v>
      </c>
      <c r="AO12" s="8">
        <v>0</v>
      </c>
    </row>
    <row r="13" spans="1:41">
      <c r="A13" s="12">
        <v>1097</v>
      </c>
      <c r="B13" s="12">
        <v>1097</v>
      </c>
      <c r="C13" s="2" t="s">
        <v>2516</v>
      </c>
      <c r="D13" s="12">
        <v>395417504</v>
      </c>
      <c r="E13" s="2" t="s">
        <v>96</v>
      </c>
      <c r="F13" s="13">
        <v>3.3719999999999999</v>
      </c>
      <c r="G13" s="6">
        <v>-30000000</v>
      </c>
      <c r="H13" s="6">
        <v>-30000</v>
      </c>
      <c r="I13" s="8">
        <v>-0.36599999999999999</v>
      </c>
      <c r="J13" s="8">
        <v>-2.5000000000000001E-3</v>
      </c>
      <c r="K13" s="12">
        <v>395417504</v>
      </c>
      <c r="L13" s="2" t="s">
        <v>81</v>
      </c>
      <c r="M13" s="13">
        <v>1</v>
      </c>
      <c r="N13" s="6">
        <v>107970000</v>
      </c>
      <c r="O13" s="6">
        <v>107970</v>
      </c>
      <c r="P13" s="8">
        <v>2.7000000000000001E-3</v>
      </c>
      <c r="Q13" s="8">
        <v>0.39069999999999999</v>
      </c>
      <c r="R13" s="6">
        <v>6799.37</v>
      </c>
      <c r="S13" s="2" t="s">
        <v>77</v>
      </c>
      <c r="T13" s="2" t="s">
        <v>77</v>
      </c>
      <c r="U13" s="2" t="s">
        <v>2165</v>
      </c>
      <c r="V13" s="2" t="s">
        <v>2519</v>
      </c>
      <c r="W13" s="2"/>
      <c r="X13" s="3" t="s">
        <v>2517</v>
      </c>
      <c r="Y13" s="2" t="s">
        <v>78</v>
      </c>
      <c r="Z13" s="15">
        <v>45498</v>
      </c>
      <c r="AA13" s="15">
        <v>45863</v>
      </c>
      <c r="AB13" s="2" t="s">
        <v>2515</v>
      </c>
      <c r="AC13" s="2" t="s">
        <v>2514</v>
      </c>
      <c r="AD13" s="2" t="s">
        <v>2518</v>
      </c>
      <c r="AE13" s="2" t="s">
        <v>2582</v>
      </c>
      <c r="AF13" s="13">
        <v>0</v>
      </c>
      <c r="AG13" s="2" t="s">
        <v>2515</v>
      </c>
      <c r="AH13" s="8">
        <v>0</v>
      </c>
      <c r="AI13" s="6">
        <v>359.9</v>
      </c>
      <c r="AJ13" s="6">
        <v>359.9</v>
      </c>
      <c r="AK13" s="2" t="s">
        <v>78</v>
      </c>
      <c r="AL13" s="6">
        <v>0</v>
      </c>
      <c r="AM13" s="2"/>
      <c r="AN13" s="8">
        <v>2.46E-2</v>
      </c>
      <c r="AO13" s="8">
        <v>2.0000000000000001E-4</v>
      </c>
    </row>
    <row r="14" spans="1:41">
      <c r="A14" s="12">
        <v>1097</v>
      </c>
      <c r="B14" s="12">
        <v>1097</v>
      </c>
      <c r="C14" s="2" t="s">
        <v>2516</v>
      </c>
      <c r="D14" s="12">
        <v>348304205</v>
      </c>
      <c r="E14" s="2" t="s">
        <v>96</v>
      </c>
      <c r="F14" s="13">
        <v>3.3719999999999999</v>
      </c>
      <c r="G14" s="6">
        <v>-25000000</v>
      </c>
      <c r="H14" s="6">
        <v>-25000</v>
      </c>
      <c r="I14" s="8">
        <v>-0.30499999999999999</v>
      </c>
      <c r="J14" s="8">
        <v>-2.0999999999999999E-3</v>
      </c>
      <c r="K14" s="12">
        <v>348304205</v>
      </c>
      <c r="L14" s="2" t="s">
        <v>81</v>
      </c>
      <c r="M14" s="13">
        <v>1</v>
      </c>
      <c r="N14" s="6">
        <v>77862500</v>
      </c>
      <c r="O14" s="6">
        <v>77862.5</v>
      </c>
      <c r="P14" s="8">
        <v>1.9E-3</v>
      </c>
      <c r="Q14" s="8">
        <v>0.28170000000000001</v>
      </c>
      <c r="R14" s="6">
        <v>-5639.16</v>
      </c>
      <c r="S14" s="2" t="s">
        <v>77</v>
      </c>
      <c r="T14" s="2" t="s">
        <v>77</v>
      </c>
      <c r="U14" s="2" t="s">
        <v>2165</v>
      </c>
      <c r="V14" s="2" t="s">
        <v>2519</v>
      </c>
      <c r="W14" s="2"/>
      <c r="X14" s="3" t="s">
        <v>2517</v>
      </c>
      <c r="Y14" s="2" t="s">
        <v>78</v>
      </c>
      <c r="Z14" s="15">
        <v>44390</v>
      </c>
      <c r="AA14" s="15">
        <v>46218</v>
      </c>
      <c r="AB14" s="2" t="s">
        <v>2515</v>
      </c>
      <c r="AC14" s="2" t="s">
        <v>2514</v>
      </c>
      <c r="AD14" s="2" t="s">
        <v>2518</v>
      </c>
      <c r="AE14" s="2" t="s">
        <v>2582</v>
      </c>
      <c r="AF14" s="13">
        <v>0</v>
      </c>
      <c r="AG14" s="2" t="s">
        <v>2515</v>
      </c>
      <c r="AH14" s="8">
        <v>0</v>
      </c>
      <c r="AI14" s="6">
        <v>311.45</v>
      </c>
      <c r="AJ14" s="6">
        <v>311.45</v>
      </c>
      <c r="AK14" s="2" t="s">
        <v>78</v>
      </c>
      <c r="AL14" s="6">
        <v>0</v>
      </c>
      <c r="AM14" s="2"/>
      <c r="AN14" s="8">
        <v>-2.0400000000000001E-2</v>
      </c>
      <c r="AO14" s="8">
        <v>-1E-4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topLeftCell="M1" workbookViewId="0">
      <selection activeCell="N2" sqref="N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6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2520</v>
      </c>
      <c r="D1" s="1" t="s">
        <v>2521</v>
      </c>
      <c r="E1" s="1" t="s">
        <v>2522</v>
      </c>
      <c r="F1" s="1" t="s">
        <v>2523</v>
      </c>
      <c r="G1" s="1" t="s">
        <v>63</v>
      </c>
      <c r="H1" s="1" t="s">
        <v>2524</v>
      </c>
      <c r="I1" s="1" t="s">
        <v>64</v>
      </c>
      <c r="J1" s="1" t="s">
        <v>115</v>
      </c>
      <c r="K1" s="1" t="s">
        <v>236</v>
      </c>
      <c r="L1" s="1" t="s">
        <v>65</v>
      </c>
      <c r="M1" s="1" t="s">
        <v>2525</v>
      </c>
      <c r="N1" s="1" t="s">
        <v>2526</v>
      </c>
      <c r="O1" s="1" t="s">
        <v>2527</v>
      </c>
      <c r="P1" s="1" t="s">
        <v>117</v>
      </c>
      <c r="Q1" s="1" t="s">
        <v>67</v>
      </c>
      <c r="R1" s="1" t="s">
        <v>2528</v>
      </c>
      <c r="S1" s="1" t="s">
        <v>68</v>
      </c>
      <c r="T1" s="1" t="s">
        <v>118</v>
      </c>
      <c r="U1" s="1" t="s">
        <v>2529</v>
      </c>
      <c r="V1" s="1" t="s">
        <v>71</v>
      </c>
      <c r="W1" s="1" t="s">
        <v>2168</v>
      </c>
      <c r="X1" s="1" t="s">
        <v>238</v>
      </c>
      <c r="Y1" s="1" t="s">
        <v>2530</v>
      </c>
      <c r="Z1" s="1" t="s">
        <v>120</v>
      </c>
      <c r="AA1" s="1" t="s">
        <v>119</v>
      </c>
      <c r="AB1" s="1" t="s">
        <v>239</v>
      </c>
      <c r="AC1" s="1" t="s">
        <v>2531</v>
      </c>
      <c r="AD1" s="1" t="s">
        <v>2532</v>
      </c>
      <c r="AE1" s="1" t="s">
        <v>2533</v>
      </c>
      <c r="AF1" s="1" t="s">
        <v>2534</v>
      </c>
      <c r="AG1" s="1" t="s">
        <v>2535</v>
      </c>
      <c r="AH1" s="1" t="s">
        <v>2536</v>
      </c>
      <c r="AI1" s="1" t="s">
        <v>2537</v>
      </c>
      <c r="AJ1" s="1" t="s">
        <v>2538</v>
      </c>
      <c r="AK1" s="1" t="s">
        <v>2173</v>
      </c>
      <c r="AL1" s="1" t="s">
        <v>2175</v>
      </c>
      <c r="AM1" s="1" t="s">
        <v>2174</v>
      </c>
      <c r="AN1" s="1" t="s">
        <v>2176</v>
      </c>
      <c r="AO1" s="1" t="s">
        <v>2177</v>
      </c>
      <c r="AP1" s="1" t="s">
        <v>2539</v>
      </c>
      <c r="AQ1" s="1" t="s">
        <v>2540</v>
      </c>
      <c r="AR1" s="1" t="s">
        <v>2541</v>
      </c>
      <c r="AS1" s="1" t="s">
        <v>70</v>
      </c>
      <c r="AT1" s="1" t="s">
        <v>72</v>
      </c>
      <c r="AU1" s="1" t="s">
        <v>2542</v>
      </c>
      <c r="AV1" s="1" t="s">
        <v>124</v>
      </c>
      <c r="AW1" s="1" t="s">
        <v>241</v>
      </c>
      <c r="AX1" s="1" t="s">
        <v>240</v>
      </c>
      <c r="AY1" s="1" t="s">
        <v>25</v>
      </c>
      <c r="AZ1" s="1" t="s">
        <v>73</v>
      </c>
      <c r="BA1" s="1" t="s">
        <v>74</v>
      </c>
    </row>
    <row r="2" spans="1:53">
      <c r="A2" s="17">
        <v>1097</v>
      </c>
      <c r="B2" s="17">
        <v>1097</v>
      </c>
      <c r="C2" s="23" t="s">
        <v>2543</v>
      </c>
      <c r="D2" s="14" t="s">
        <v>245</v>
      </c>
      <c r="E2" s="14" t="s">
        <v>2544</v>
      </c>
      <c r="F2" s="17">
        <v>1095693</v>
      </c>
      <c r="G2" s="14" t="s">
        <v>2585</v>
      </c>
      <c r="H2" s="14"/>
      <c r="I2" s="14" t="s">
        <v>77</v>
      </c>
      <c r="J2" s="14" t="s">
        <v>77</v>
      </c>
      <c r="K2" s="14" t="s">
        <v>2545</v>
      </c>
      <c r="L2" s="14" t="s">
        <v>78</v>
      </c>
      <c r="M2" s="14" t="s">
        <v>1798</v>
      </c>
      <c r="N2" s="17">
        <v>1095693</v>
      </c>
      <c r="O2" s="14" t="s">
        <v>2546</v>
      </c>
      <c r="P2" s="23" t="s">
        <v>293</v>
      </c>
      <c r="Q2" s="14" t="s">
        <v>80</v>
      </c>
      <c r="R2" s="23" t="s">
        <v>2547</v>
      </c>
      <c r="S2" s="14" t="s">
        <v>81</v>
      </c>
      <c r="T2" s="24">
        <v>2.645</v>
      </c>
      <c r="U2" s="14" t="s">
        <v>2548</v>
      </c>
      <c r="V2" s="25">
        <v>4.2700000000000002E-2</v>
      </c>
      <c r="W2" s="14" t="s">
        <v>261</v>
      </c>
      <c r="X2" s="14" t="s">
        <v>2581</v>
      </c>
      <c r="Y2" s="24">
        <v>0.23</v>
      </c>
      <c r="Z2" s="25">
        <v>3.0679999999999999E-2</v>
      </c>
      <c r="AA2" s="14" t="s">
        <v>2549</v>
      </c>
      <c r="AB2" s="14" t="s">
        <v>256</v>
      </c>
      <c r="AC2" s="14" t="s">
        <v>2586</v>
      </c>
      <c r="AD2" s="26"/>
      <c r="AE2" s="26"/>
      <c r="AF2" s="14"/>
      <c r="AG2" s="14"/>
      <c r="AH2" s="14" t="s">
        <v>132</v>
      </c>
      <c r="AI2" s="14" t="s">
        <v>2587</v>
      </c>
      <c r="AJ2" s="14"/>
      <c r="AK2" s="14" t="s">
        <v>2183</v>
      </c>
      <c r="AL2" s="14" t="s">
        <v>2550</v>
      </c>
      <c r="AM2" s="14" t="s">
        <v>2184</v>
      </c>
      <c r="AN2" s="14" t="s">
        <v>2185</v>
      </c>
      <c r="AO2" s="14"/>
      <c r="AP2" s="26"/>
      <c r="AQ2" s="27">
        <v>19047250.399999999</v>
      </c>
      <c r="AR2" s="27">
        <v>137.5</v>
      </c>
      <c r="AS2" s="24">
        <v>1</v>
      </c>
      <c r="AT2" s="27">
        <v>26189.969000000001</v>
      </c>
      <c r="AU2" s="27">
        <v>26189.969000000001</v>
      </c>
      <c r="AV2" s="26"/>
      <c r="AW2" s="26"/>
      <c r="AX2" s="14" t="s">
        <v>78</v>
      </c>
      <c r="AY2" s="14" t="s">
        <v>23</v>
      </c>
      <c r="AZ2" s="25">
        <v>1</v>
      </c>
      <c r="BA2" s="25">
        <v>6.4999999999999997E-4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>
      <selection activeCell="E29" sqref="E2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65</v>
      </c>
      <c r="M1" s="1" t="s">
        <v>2162</v>
      </c>
      <c r="N1" s="1" t="s">
        <v>2167</v>
      </c>
      <c r="O1" s="1" t="s">
        <v>117</v>
      </c>
      <c r="P1" s="1" t="s">
        <v>67</v>
      </c>
      <c r="Q1" s="1" t="s">
        <v>237</v>
      </c>
      <c r="R1" s="1" t="s">
        <v>68</v>
      </c>
      <c r="S1" s="1" t="s">
        <v>118</v>
      </c>
      <c r="T1" s="1" t="s">
        <v>71</v>
      </c>
      <c r="U1" s="1" t="s">
        <v>120</v>
      </c>
      <c r="V1" s="1" t="s">
        <v>2173</v>
      </c>
      <c r="W1" s="1" t="s">
        <v>2174</v>
      </c>
      <c r="X1" s="1" t="s">
        <v>2176</v>
      </c>
      <c r="Y1" s="1" t="s">
        <v>122</v>
      </c>
      <c r="Z1" s="1" t="s">
        <v>70</v>
      </c>
      <c r="AA1" s="1" t="s">
        <v>123</v>
      </c>
      <c r="AB1" s="1" t="s">
        <v>72</v>
      </c>
      <c r="AC1" s="1" t="s">
        <v>73</v>
      </c>
      <c r="AD1" s="1" t="s">
        <v>74</v>
      </c>
    </row>
    <row r="2" spans="1:30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topLeftCell="E1" workbookViewId="0"/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7" width="14.7109375" customWidth="1"/>
    <col min="18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2551</v>
      </c>
      <c r="H1" s="1" t="s">
        <v>64</v>
      </c>
      <c r="I1" s="1" t="s">
        <v>115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118</v>
      </c>
      <c r="O1" s="1" t="s">
        <v>71</v>
      </c>
      <c r="P1" s="1" t="s">
        <v>120</v>
      </c>
      <c r="Q1" s="1" t="s">
        <v>69</v>
      </c>
      <c r="R1" s="1" t="s">
        <v>70</v>
      </c>
      <c r="S1" s="1" t="s">
        <v>2552</v>
      </c>
      <c r="T1" s="1" t="s">
        <v>72</v>
      </c>
      <c r="U1" s="1" t="s">
        <v>73</v>
      </c>
      <c r="V1" s="1" t="s">
        <v>74</v>
      </c>
    </row>
    <row r="2" spans="1:22">
      <c r="A2" s="12">
        <v>1097</v>
      </c>
      <c r="B2" s="12">
        <v>1097</v>
      </c>
      <c r="C2" s="2" t="s">
        <v>92</v>
      </c>
      <c r="D2" s="3" t="s">
        <v>105</v>
      </c>
      <c r="E2" s="2" t="s">
        <v>75</v>
      </c>
      <c r="F2" s="2" t="s">
        <v>261</v>
      </c>
      <c r="G2" s="2" t="s">
        <v>836</v>
      </c>
      <c r="H2" s="2" t="s">
        <v>77</v>
      </c>
      <c r="I2" s="2" t="s">
        <v>77</v>
      </c>
      <c r="J2" s="2" t="s">
        <v>78</v>
      </c>
      <c r="K2" s="3" t="s">
        <v>79</v>
      </c>
      <c r="L2" s="2" t="s">
        <v>80</v>
      </c>
      <c r="M2" s="2" t="s">
        <v>81</v>
      </c>
      <c r="N2" s="13">
        <v>2.2469999999999999</v>
      </c>
      <c r="O2" s="8">
        <v>3.8E-3</v>
      </c>
      <c r="P2" s="8">
        <v>2.5530000000000001E-2</v>
      </c>
      <c r="Q2" s="6">
        <v>216640</v>
      </c>
      <c r="R2" s="13">
        <v>1</v>
      </c>
      <c r="S2" s="6">
        <v>108.32</v>
      </c>
      <c r="T2" s="6">
        <v>216640</v>
      </c>
      <c r="U2" s="8">
        <v>1</v>
      </c>
      <c r="V2" s="8">
        <v>5.3800000000000002E-3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2553</v>
      </c>
      <c r="D1" s="1" t="s">
        <v>63</v>
      </c>
      <c r="E1" s="1" t="s">
        <v>2554</v>
      </c>
      <c r="F1" s="1" t="s">
        <v>65</v>
      </c>
      <c r="G1" s="1" t="s">
        <v>2167</v>
      </c>
      <c r="H1" s="1" t="s">
        <v>2555</v>
      </c>
      <c r="I1" s="1" t="s">
        <v>2556</v>
      </c>
      <c r="J1" s="1" t="s">
        <v>2557</v>
      </c>
      <c r="K1" s="1" t="s">
        <v>2558</v>
      </c>
      <c r="L1" s="1" t="s">
        <v>2559</v>
      </c>
      <c r="M1" s="1" t="s">
        <v>2173</v>
      </c>
      <c r="N1" s="1" t="s">
        <v>2175</v>
      </c>
      <c r="O1" s="1" t="s">
        <v>2174</v>
      </c>
      <c r="P1" s="1" t="s">
        <v>2176</v>
      </c>
      <c r="Q1" s="1" t="s">
        <v>68</v>
      </c>
      <c r="R1" s="1" t="s">
        <v>2542</v>
      </c>
      <c r="S1" s="1" t="s">
        <v>72</v>
      </c>
      <c r="T1" s="1" t="s">
        <v>124</v>
      </c>
      <c r="U1" s="1" t="s">
        <v>241</v>
      </c>
      <c r="V1" s="1" t="s">
        <v>25</v>
      </c>
      <c r="W1" s="1" t="s">
        <v>73</v>
      </c>
      <c r="X1" s="1" t="s">
        <v>74</v>
      </c>
    </row>
    <row r="2" spans="1:24">
      <c r="A2" s="12">
        <v>1097</v>
      </c>
      <c r="B2" s="12">
        <v>1097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112</v>
      </c>
      <c r="D1" s="1" t="s">
        <v>233</v>
      </c>
      <c r="E1" s="1" t="s">
        <v>234</v>
      </c>
      <c r="F1" s="1" t="s">
        <v>113</v>
      </c>
      <c r="G1" s="1" t="s">
        <v>114</v>
      </c>
      <c r="H1" s="1" t="s">
        <v>235</v>
      </c>
      <c r="I1" s="1" t="s">
        <v>63</v>
      </c>
      <c r="J1" s="1" t="s">
        <v>64</v>
      </c>
      <c r="K1" s="1" t="s">
        <v>115</v>
      </c>
      <c r="L1" s="1" t="s">
        <v>236</v>
      </c>
      <c r="M1" s="1" t="s">
        <v>65</v>
      </c>
      <c r="N1" s="1" t="s">
        <v>68</v>
      </c>
      <c r="O1" s="1" t="s">
        <v>2173</v>
      </c>
      <c r="P1" s="1" t="s">
        <v>2174</v>
      </c>
      <c r="Q1" s="1" t="s">
        <v>2176</v>
      </c>
      <c r="R1" s="1" t="s">
        <v>2177</v>
      </c>
      <c r="S1" s="1" t="s">
        <v>2560</v>
      </c>
      <c r="T1" s="1" t="s">
        <v>2561</v>
      </c>
      <c r="U1" s="1" t="s">
        <v>72</v>
      </c>
      <c r="V1" s="1" t="s">
        <v>73</v>
      </c>
      <c r="W1" s="1" t="s">
        <v>74</v>
      </c>
    </row>
    <row r="2" spans="1:23">
      <c r="A2" s="12">
        <v>1097</v>
      </c>
      <c r="B2" s="12">
        <v>1097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2562</v>
      </c>
      <c r="D1" s="1" t="s">
        <v>2563</v>
      </c>
      <c r="E1" s="1" t="s">
        <v>63</v>
      </c>
      <c r="F1" s="1" t="s">
        <v>64</v>
      </c>
      <c r="G1" s="1" t="s">
        <v>115</v>
      </c>
      <c r="H1" s="1" t="s">
        <v>65</v>
      </c>
      <c r="I1" s="1" t="s">
        <v>2564</v>
      </c>
      <c r="J1" s="1" t="s">
        <v>68</v>
      </c>
      <c r="K1" s="1" t="s">
        <v>2176</v>
      </c>
      <c r="L1" s="1" t="s">
        <v>69</v>
      </c>
      <c r="M1" s="1" t="s">
        <v>70</v>
      </c>
      <c r="N1" s="1" t="s">
        <v>72</v>
      </c>
      <c r="O1" s="1" t="s">
        <v>124</v>
      </c>
      <c r="P1" s="1" t="s">
        <v>25</v>
      </c>
      <c r="Q1" s="1" t="s">
        <v>73</v>
      </c>
      <c r="R1" s="1" t="s">
        <v>74</v>
      </c>
    </row>
    <row r="2" spans="1:18">
      <c r="A2" s="12">
        <v>1097</v>
      </c>
      <c r="B2" s="12">
        <v>1097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2520</v>
      </c>
      <c r="D1" s="1" t="s">
        <v>2521</v>
      </c>
      <c r="E1" s="1" t="s">
        <v>2522</v>
      </c>
      <c r="F1" s="1" t="s">
        <v>2523</v>
      </c>
      <c r="G1" s="1" t="s">
        <v>2565</v>
      </c>
      <c r="H1" s="1" t="s">
        <v>64</v>
      </c>
      <c r="I1" s="1" t="s">
        <v>115</v>
      </c>
      <c r="J1" s="1" t="s">
        <v>65</v>
      </c>
      <c r="K1" s="1" t="s">
        <v>117</v>
      </c>
      <c r="L1" s="1" t="s">
        <v>67</v>
      </c>
      <c r="M1" s="1" t="s">
        <v>2528</v>
      </c>
      <c r="N1" s="1" t="s">
        <v>68</v>
      </c>
      <c r="O1" s="1" t="s">
        <v>70</v>
      </c>
      <c r="P1" s="1" t="s">
        <v>71</v>
      </c>
      <c r="Q1" s="1" t="s">
        <v>2529</v>
      </c>
      <c r="R1" s="1" t="s">
        <v>2566</v>
      </c>
      <c r="S1" s="1" t="s">
        <v>2567</v>
      </c>
      <c r="T1" s="1" t="s">
        <v>2568</v>
      </c>
    </row>
    <row r="2" spans="1:20">
      <c r="A2" s="12">
        <v>1097</v>
      </c>
      <c r="B2" s="12">
        <v>1097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55"/>
  <sheetViews>
    <sheetView rightToLeft="1" workbookViewId="0">
      <selection activeCell="G2" sqref="G2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2196</v>
      </c>
      <c r="E1" s="1" t="s">
        <v>2197</v>
      </c>
      <c r="F1" s="1" t="s">
        <v>2198</v>
      </c>
      <c r="G1" s="1" t="s">
        <v>2199</v>
      </c>
      <c r="H1" s="1" t="s">
        <v>2200</v>
      </c>
      <c r="I1" s="1" t="s">
        <v>2201</v>
      </c>
      <c r="J1" s="1" t="s">
        <v>68</v>
      </c>
      <c r="K1" s="1" t="s">
        <v>2569</v>
      </c>
      <c r="L1" s="1" t="s">
        <v>2570</v>
      </c>
      <c r="M1" s="1" t="s">
        <v>2571</v>
      </c>
      <c r="N1" s="1" t="s">
        <v>2572</v>
      </c>
      <c r="O1" s="1" t="s">
        <v>2573</v>
      </c>
      <c r="P1" s="1" t="s">
        <v>2574</v>
      </c>
      <c r="Q1" s="1" t="s">
        <v>2575</v>
      </c>
    </row>
    <row r="2" spans="1:17">
      <c r="A2" s="12">
        <v>1097</v>
      </c>
      <c r="B2" s="12">
        <v>1097</v>
      </c>
      <c r="C2" s="2" t="s">
        <v>2217</v>
      </c>
      <c r="D2" s="2" t="s">
        <v>2214</v>
      </c>
      <c r="E2" s="3">
        <v>7144</v>
      </c>
      <c r="F2" s="2" t="s">
        <v>233</v>
      </c>
      <c r="G2" s="18" t="s">
        <v>2216</v>
      </c>
      <c r="H2" s="12">
        <v>111454</v>
      </c>
      <c r="I2" s="2" t="s">
        <v>2179</v>
      </c>
      <c r="J2" s="18" t="s">
        <v>96</v>
      </c>
      <c r="K2" s="20">
        <v>40072</v>
      </c>
      <c r="L2" s="19">
        <v>4000</v>
      </c>
      <c r="M2" s="19">
        <v>14960</v>
      </c>
      <c r="N2">
        <v>694.27</v>
      </c>
      <c r="O2" s="19">
        <v>2341.08</v>
      </c>
      <c r="P2" s="21">
        <v>0.1736</v>
      </c>
      <c r="Q2" s="20">
        <v>43131</v>
      </c>
    </row>
    <row r="3" spans="1:17">
      <c r="A3">
        <v>1097</v>
      </c>
      <c r="B3">
        <v>1097</v>
      </c>
      <c r="C3" t="s">
        <v>2217</v>
      </c>
      <c r="D3" t="s">
        <v>2214</v>
      </c>
      <c r="E3">
        <v>7144</v>
      </c>
      <c r="F3" t="s">
        <v>233</v>
      </c>
      <c r="G3" t="s">
        <v>2222</v>
      </c>
      <c r="H3">
        <v>111455</v>
      </c>
      <c r="I3" t="s">
        <v>2179</v>
      </c>
      <c r="J3" t="s">
        <v>96</v>
      </c>
      <c r="K3" s="22">
        <v>41148</v>
      </c>
      <c r="L3" s="19">
        <v>10000</v>
      </c>
      <c r="M3" s="19">
        <v>40250</v>
      </c>
      <c r="N3">
        <v>902.83</v>
      </c>
      <c r="O3" s="19">
        <v>3044.35</v>
      </c>
      <c r="P3" s="21">
        <v>9.0300000000000005E-2</v>
      </c>
      <c r="Q3" s="22">
        <v>42978</v>
      </c>
    </row>
    <row r="4" spans="1:17">
      <c r="A4">
        <v>1097</v>
      </c>
      <c r="B4">
        <v>1097</v>
      </c>
      <c r="C4" t="s">
        <v>2217</v>
      </c>
      <c r="D4" t="s">
        <v>2214</v>
      </c>
      <c r="E4">
        <v>7144</v>
      </c>
      <c r="F4" t="s">
        <v>233</v>
      </c>
      <c r="G4" t="s">
        <v>2224</v>
      </c>
      <c r="H4">
        <v>111500</v>
      </c>
      <c r="I4" t="s">
        <v>2179</v>
      </c>
      <c r="J4" t="s">
        <v>96</v>
      </c>
      <c r="K4" s="22">
        <v>42572</v>
      </c>
      <c r="L4" s="19">
        <v>30000</v>
      </c>
      <c r="M4" s="19">
        <v>115740</v>
      </c>
      <c r="N4" s="19">
        <v>3218.18</v>
      </c>
      <c r="O4" s="19">
        <v>10851.7</v>
      </c>
      <c r="P4" s="21">
        <v>0.10730000000000001</v>
      </c>
      <c r="Q4" s="22">
        <v>44408</v>
      </c>
    </row>
    <row r="5" spans="1:17">
      <c r="A5">
        <v>1097</v>
      </c>
      <c r="B5">
        <v>1097</v>
      </c>
      <c r="C5" t="s">
        <v>2217</v>
      </c>
      <c r="D5" t="s">
        <v>2214</v>
      </c>
      <c r="E5">
        <v>7144</v>
      </c>
      <c r="F5" t="s">
        <v>233</v>
      </c>
      <c r="G5" t="s">
        <v>2227</v>
      </c>
      <c r="H5">
        <v>11156007</v>
      </c>
      <c r="I5" t="s">
        <v>2179</v>
      </c>
      <c r="J5" t="s">
        <v>96</v>
      </c>
      <c r="K5" s="22">
        <v>44350</v>
      </c>
      <c r="L5" s="19">
        <v>40000</v>
      </c>
      <c r="M5" s="19">
        <v>129920</v>
      </c>
      <c r="N5" s="19">
        <v>18912</v>
      </c>
      <c r="O5" s="19">
        <v>63771.26</v>
      </c>
      <c r="P5" s="21">
        <v>0.4728</v>
      </c>
      <c r="Q5" s="22">
        <v>47968</v>
      </c>
    </row>
    <row r="6" spans="1:17">
      <c r="A6">
        <v>1097</v>
      </c>
      <c r="B6">
        <v>1097</v>
      </c>
      <c r="C6" t="s">
        <v>2217</v>
      </c>
      <c r="D6" t="s">
        <v>2253</v>
      </c>
      <c r="E6">
        <v>7897</v>
      </c>
      <c r="F6" t="s">
        <v>233</v>
      </c>
      <c r="G6" t="s">
        <v>2255</v>
      </c>
      <c r="H6">
        <v>11154002</v>
      </c>
      <c r="I6" t="s">
        <v>2179</v>
      </c>
      <c r="J6" t="s">
        <v>96</v>
      </c>
      <c r="K6" s="22">
        <v>44203</v>
      </c>
      <c r="L6" s="19">
        <v>50000</v>
      </c>
      <c r="M6" s="19">
        <v>159100</v>
      </c>
      <c r="N6" s="19">
        <v>34500</v>
      </c>
      <c r="O6" s="19">
        <v>116334</v>
      </c>
      <c r="P6" s="21">
        <v>0.69</v>
      </c>
      <c r="Q6" s="22">
        <v>47848</v>
      </c>
    </row>
    <row r="7" spans="1:17">
      <c r="A7">
        <v>1097</v>
      </c>
      <c r="B7">
        <v>1097</v>
      </c>
      <c r="C7" t="s">
        <v>2217</v>
      </c>
      <c r="D7" t="s">
        <v>2253</v>
      </c>
      <c r="E7">
        <v>7897</v>
      </c>
      <c r="F7" t="s">
        <v>233</v>
      </c>
      <c r="G7" t="s">
        <v>2258</v>
      </c>
      <c r="H7">
        <v>111505</v>
      </c>
      <c r="I7" t="s">
        <v>2179</v>
      </c>
      <c r="J7" t="s">
        <v>96</v>
      </c>
      <c r="K7" s="22">
        <v>43101</v>
      </c>
      <c r="L7" s="19">
        <v>10000</v>
      </c>
      <c r="M7" s="19">
        <v>34670</v>
      </c>
      <c r="N7">
        <v>800</v>
      </c>
      <c r="O7" s="19">
        <v>2697.6</v>
      </c>
      <c r="P7" s="21">
        <v>0.08</v>
      </c>
      <c r="Q7" s="22">
        <v>46843</v>
      </c>
    </row>
    <row r="8" spans="1:17">
      <c r="A8">
        <v>1097</v>
      </c>
      <c r="B8">
        <v>1097</v>
      </c>
      <c r="C8" t="s">
        <v>2217</v>
      </c>
      <c r="D8" t="s">
        <v>2271</v>
      </c>
      <c r="E8">
        <v>7889</v>
      </c>
      <c r="F8" t="s">
        <v>233</v>
      </c>
      <c r="G8" t="s">
        <v>2273</v>
      </c>
      <c r="H8">
        <v>111504</v>
      </c>
      <c r="I8" t="s">
        <v>2179</v>
      </c>
      <c r="J8" t="s">
        <v>81</v>
      </c>
      <c r="K8" s="22">
        <v>43101</v>
      </c>
      <c r="L8" s="19">
        <v>75000</v>
      </c>
      <c r="M8" s="19">
        <v>75000</v>
      </c>
      <c r="N8" s="19">
        <v>6047.2</v>
      </c>
      <c r="O8" s="19">
        <v>6047.2</v>
      </c>
      <c r="P8" s="21">
        <v>8.0600000000000005E-2</v>
      </c>
      <c r="Q8" s="22">
        <v>45292</v>
      </c>
    </row>
    <row r="9" spans="1:17">
      <c r="A9">
        <v>1097</v>
      </c>
      <c r="B9">
        <v>1097</v>
      </c>
      <c r="C9" t="s">
        <v>2217</v>
      </c>
      <c r="D9" t="s">
        <v>2271</v>
      </c>
      <c r="E9">
        <v>7889</v>
      </c>
      <c r="F9" t="s">
        <v>233</v>
      </c>
      <c r="G9" t="s">
        <v>2275</v>
      </c>
      <c r="H9">
        <v>111513</v>
      </c>
      <c r="I9" t="s">
        <v>2179</v>
      </c>
      <c r="J9" t="s">
        <v>81</v>
      </c>
      <c r="K9" s="22">
        <v>43101</v>
      </c>
      <c r="L9" s="19">
        <v>100000</v>
      </c>
      <c r="M9" s="19">
        <v>100000</v>
      </c>
      <c r="N9" s="19">
        <v>29656.48</v>
      </c>
      <c r="O9" s="19">
        <v>29656.48</v>
      </c>
      <c r="P9" s="21">
        <v>0.29659999999999997</v>
      </c>
      <c r="Q9" s="22">
        <v>46661</v>
      </c>
    </row>
    <row r="10" spans="1:17">
      <c r="A10">
        <v>1097</v>
      </c>
      <c r="B10">
        <v>1097</v>
      </c>
      <c r="C10" t="s">
        <v>2217</v>
      </c>
      <c r="D10" t="s">
        <v>2276</v>
      </c>
      <c r="E10">
        <v>7836</v>
      </c>
      <c r="F10" t="s">
        <v>233</v>
      </c>
      <c r="G10" t="s">
        <v>2278</v>
      </c>
      <c r="H10">
        <v>1092011</v>
      </c>
      <c r="I10" t="s">
        <v>2179</v>
      </c>
      <c r="J10" t="s">
        <v>81</v>
      </c>
      <c r="K10" s="22">
        <v>41018</v>
      </c>
      <c r="L10" s="19">
        <v>120000</v>
      </c>
      <c r="M10" s="19">
        <v>120000</v>
      </c>
      <c r="N10" s="19">
        <v>39631.42</v>
      </c>
      <c r="O10" s="19">
        <v>39631.42</v>
      </c>
      <c r="P10" s="21">
        <v>0.33029999999999998</v>
      </c>
      <c r="Q10" s="22">
        <v>11901</v>
      </c>
    </row>
    <row r="11" spans="1:17">
      <c r="A11">
        <v>1097</v>
      </c>
      <c r="B11">
        <v>1097</v>
      </c>
      <c r="C11" t="s">
        <v>2217</v>
      </c>
      <c r="D11" t="s">
        <v>2276</v>
      </c>
      <c r="E11">
        <v>7836</v>
      </c>
      <c r="F11" t="s">
        <v>233</v>
      </c>
      <c r="G11" t="s">
        <v>2292</v>
      </c>
      <c r="H11">
        <v>1192021</v>
      </c>
      <c r="I11" t="s">
        <v>2179</v>
      </c>
      <c r="J11" t="s">
        <v>81</v>
      </c>
      <c r="K11" s="22">
        <v>42187</v>
      </c>
      <c r="L11" s="19">
        <v>88427.71</v>
      </c>
      <c r="M11" s="19">
        <v>88427.71</v>
      </c>
      <c r="N11" s="19">
        <v>8524.2800000000007</v>
      </c>
      <c r="O11" s="19">
        <v>8524.2800000000007</v>
      </c>
      <c r="P11" s="21">
        <v>9.64E-2</v>
      </c>
      <c r="Q11" s="22">
        <v>44012</v>
      </c>
    </row>
    <row r="12" spans="1:17">
      <c r="A12">
        <v>1097</v>
      </c>
      <c r="B12">
        <v>1097</v>
      </c>
      <c r="C12" t="s">
        <v>2217</v>
      </c>
      <c r="D12" t="s">
        <v>2276</v>
      </c>
      <c r="E12">
        <v>7836</v>
      </c>
      <c r="F12" t="s">
        <v>233</v>
      </c>
      <c r="G12" t="s">
        <v>2294</v>
      </c>
      <c r="H12">
        <v>1192022</v>
      </c>
      <c r="I12" t="s">
        <v>2179</v>
      </c>
      <c r="J12" t="s">
        <v>81</v>
      </c>
      <c r="K12" s="22">
        <v>43324</v>
      </c>
      <c r="L12" s="19">
        <v>194261.29</v>
      </c>
      <c r="M12" s="19">
        <v>194261.29</v>
      </c>
      <c r="N12" s="19">
        <v>7908.93</v>
      </c>
      <c r="O12" s="19">
        <v>7908.93</v>
      </c>
      <c r="P12" s="21">
        <v>4.07E-2</v>
      </c>
      <c r="Q12" s="22">
        <v>46908</v>
      </c>
    </row>
    <row r="13" spans="1:17">
      <c r="A13">
        <v>1097</v>
      </c>
      <c r="B13">
        <v>1097</v>
      </c>
      <c r="C13" t="s">
        <v>2217</v>
      </c>
      <c r="D13" t="s">
        <v>2297</v>
      </c>
      <c r="E13">
        <v>8012</v>
      </c>
      <c r="F13" t="s">
        <v>233</v>
      </c>
      <c r="G13" t="s">
        <v>2297</v>
      </c>
      <c r="H13">
        <v>11151800</v>
      </c>
      <c r="I13" t="s">
        <v>2179</v>
      </c>
      <c r="J13" t="s">
        <v>81</v>
      </c>
      <c r="K13" s="22">
        <v>43843</v>
      </c>
      <c r="L13" s="19">
        <v>100000</v>
      </c>
      <c r="M13" s="19">
        <v>100000</v>
      </c>
      <c r="N13" s="19">
        <v>43842.34</v>
      </c>
      <c r="O13" s="19">
        <v>43842.34</v>
      </c>
      <c r="P13" s="21">
        <v>0.43840000000000001</v>
      </c>
      <c r="Q13" s="22">
        <v>45685</v>
      </c>
    </row>
    <row r="14" spans="1:17">
      <c r="A14">
        <v>1097</v>
      </c>
      <c r="B14">
        <v>1097</v>
      </c>
      <c r="C14" t="s">
        <v>2217</v>
      </c>
      <c r="D14" t="s">
        <v>2302</v>
      </c>
      <c r="E14">
        <v>7820</v>
      </c>
      <c r="F14" t="s">
        <v>233</v>
      </c>
      <c r="G14" t="s">
        <v>2304</v>
      </c>
      <c r="H14">
        <v>11159092</v>
      </c>
      <c r="I14" t="s">
        <v>2179</v>
      </c>
      <c r="J14" t="s">
        <v>96</v>
      </c>
      <c r="K14" s="22">
        <v>42353</v>
      </c>
      <c r="L14" s="19">
        <v>50000</v>
      </c>
      <c r="M14" s="19">
        <v>192950</v>
      </c>
      <c r="N14" s="19">
        <v>42788.31</v>
      </c>
      <c r="O14" s="19">
        <v>144282.19</v>
      </c>
      <c r="P14" s="21">
        <v>0.85580000000000001</v>
      </c>
      <c r="Q14" s="22">
        <v>48944</v>
      </c>
    </row>
    <row r="15" spans="1:17">
      <c r="A15">
        <v>1097</v>
      </c>
      <c r="B15">
        <v>1097</v>
      </c>
      <c r="C15" t="s">
        <v>2217</v>
      </c>
      <c r="D15" t="s">
        <v>2302</v>
      </c>
      <c r="E15">
        <v>7820</v>
      </c>
      <c r="F15" t="s">
        <v>233</v>
      </c>
      <c r="G15" t="s">
        <v>2308</v>
      </c>
      <c r="H15">
        <v>111449</v>
      </c>
      <c r="I15" t="s">
        <v>2179</v>
      </c>
      <c r="J15" t="s">
        <v>96</v>
      </c>
      <c r="K15" s="22">
        <v>42353</v>
      </c>
      <c r="L15" s="19">
        <v>50000</v>
      </c>
      <c r="M15" s="19">
        <v>192950</v>
      </c>
      <c r="N15" s="19">
        <v>11933.41</v>
      </c>
      <c r="O15" s="19">
        <v>40239.440000000002</v>
      </c>
      <c r="P15" s="21">
        <v>0.2387</v>
      </c>
      <c r="Q15" s="22">
        <v>46351</v>
      </c>
    </row>
    <row r="16" spans="1:17">
      <c r="A16">
        <v>1097</v>
      </c>
      <c r="B16">
        <v>1097</v>
      </c>
      <c r="C16" t="s">
        <v>2217</v>
      </c>
      <c r="D16" t="s">
        <v>2311</v>
      </c>
      <c r="E16">
        <v>8035</v>
      </c>
      <c r="F16" t="s">
        <v>233</v>
      </c>
      <c r="G16" t="s">
        <v>2313</v>
      </c>
      <c r="H16">
        <v>11152006</v>
      </c>
      <c r="I16" t="s">
        <v>2179</v>
      </c>
      <c r="J16" t="s">
        <v>96</v>
      </c>
      <c r="K16" s="22">
        <v>43997</v>
      </c>
      <c r="L16" s="19">
        <v>40000</v>
      </c>
      <c r="M16" s="19">
        <v>139800</v>
      </c>
      <c r="N16" s="19">
        <v>7917.79</v>
      </c>
      <c r="O16" s="19">
        <v>26698.79</v>
      </c>
      <c r="P16" s="21">
        <v>0.19789999999999999</v>
      </c>
      <c r="Q16" s="22">
        <v>47566</v>
      </c>
    </row>
    <row r="17" spans="1:17">
      <c r="A17">
        <v>1097</v>
      </c>
      <c r="B17">
        <v>1097</v>
      </c>
      <c r="C17" t="s">
        <v>2217</v>
      </c>
      <c r="D17" t="s">
        <v>2321</v>
      </c>
      <c r="E17">
        <v>7876</v>
      </c>
      <c r="F17" t="s">
        <v>233</v>
      </c>
      <c r="G17" t="s">
        <v>2323</v>
      </c>
      <c r="H17">
        <v>111503</v>
      </c>
      <c r="I17" t="s">
        <v>2179</v>
      </c>
      <c r="J17" t="s">
        <v>94</v>
      </c>
      <c r="K17" s="22">
        <v>43083</v>
      </c>
      <c r="L17" s="19">
        <v>30000</v>
      </c>
      <c r="M17" s="19">
        <v>125274</v>
      </c>
      <c r="N17" s="19">
        <v>3359.17</v>
      </c>
      <c r="O17" s="19">
        <v>13286.19</v>
      </c>
      <c r="P17" s="21">
        <v>0.112</v>
      </c>
      <c r="Q17" s="22">
        <v>44977</v>
      </c>
    </row>
    <row r="18" spans="1:17">
      <c r="A18">
        <v>1097</v>
      </c>
      <c r="B18">
        <v>1097</v>
      </c>
      <c r="C18" t="s">
        <v>2217</v>
      </c>
      <c r="D18" t="s">
        <v>2330</v>
      </c>
      <c r="E18">
        <v>8223</v>
      </c>
      <c r="F18" t="s">
        <v>233</v>
      </c>
      <c r="G18" t="s">
        <v>2330</v>
      </c>
      <c r="H18">
        <v>11159076</v>
      </c>
      <c r="I18" t="s">
        <v>2179</v>
      </c>
      <c r="J18" t="s">
        <v>96</v>
      </c>
      <c r="K18" s="22">
        <v>44819</v>
      </c>
      <c r="L18" s="19">
        <v>40000</v>
      </c>
      <c r="M18" s="19">
        <v>137680</v>
      </c>
      <c r="N18" s="19">
        <v>23723.78</v>
      </c>
      <c r="O18" s="19">
        <v>79996.600000000006</v>
      </c>
      <c r="P18" s="21">
        <v>0.59309999999999996</v>
      </c>
      <c r="Q18" s="22">
        <v>12023</v>
      </c>
    </row>
    <row r="19" spans="1:17">
      <c r="A19">
        <v>1097</v>
      </c>
      <c r="B19">
        <v>1097</v>
      </c>
      <c r="C19" t="s">
        <v>2217</v>
      </c>
      <c r="D19" t="s">
        <v>2334</v>
      </c>
      <c r="E19">
        <v>8056</v>
      </c>
      <c r="F19" t="s">
        <v>233</v>
      </c>
      <c r="G19" t="s">
        <v>2588</v>
      </c>
      <c r="H19">
        <v>11153004</v>
      </c>
      <c r="I19" t="s">
        <v>2179</v>
      </c>
      <c r="J19" t="s">
        <v>96</v>
      </c>
      <c r="K19" s="22">
        <v>44188</v>
      </c>
      <c r="L19" s="19">
        <v>50000</v>
      </c>
      <c r="M19" s="19">
        <v>161100</v>
      </c>
      <c r="N19" s="19">
        <v>21750.58</v>
      </c>
      <c r="O19" s="19">
        <v>73342.95</v>
      </c>
      <c r="P19" s="21">
        <v>0.435</v>
      </c>
      <c r="Q19" s="22">
        <v>46040</v>
      </c>
    </row>
    <row r="20" spans="1:17">
      <c r="A20">
        <v>1097</v>
      </c>
      <c r="B20">
        <v>1097</v>
      </c>
      <c r="C20" t="s">
        <v>2217</v>
      </c>
      <c r="D20" t="s">
        <v>2341</v>
      </c>
      <c r="E20">
        <v>7813</v>
      </c>
      <c r="F20" t="s">
        <v>233</v>
      </c>
      <c r="G20" t="s">
        <v>2343</v>
      </c>
      <c r="H20">
        <v>111457</v>
      </c>
      <c r="I20" t="s">
        <v>2179</v>
      </c>
      <c r="J20" t="s">
        <v>96</v>
      </c>
      <c r="K20" s="22">
        <v>41996</v>
      </c>
      <c r="L20" s="19">
        <v>30000</v>
      </c>
      <c r="M20" s="19">
        <v>117420</v>
      </c>
      <c r="N20" s="19">
        <v>2700</v>
      </c>
      <c r="O20" s="19">
        <v>9104.4</v>
      </c>
      <c r="P20" s="21">
        <v>0.09</v>
      </c>
      <c r="Q20" s="22">
        <v>43465</v>
      </c>
    </row>
    <row r="21" spans="1:17">
      <c r="A21">
        <v>1097</v>
      </c>
      <c r="B21">
        <v>1097</v>
      </c>
      <c r="C21" t="s">
        <v>2217</v>
      </c>
      <c r="D21" t="s">
        <v>2341</v>
      </c>
      <c r="E21">
        <v>7813</v>
      </c>
      <c r="F21" t="s">
        <v>233</v>
      </c>
      <c r="G21" t="s">
        <v>2347</v>
      </c>
      <c r="H21">
        <v>1115179</v>
      </c>
      <c r="I21" t="s">
        <v>2179</v>
      </c>
      <c r="J21" t="s">
        <v>96</v>
      </c>
      <c r="K21" s="22">
        <v>43843</v>
      </c>
      <c r="L21" s="19">
        <v>50000</v>
      </c>
      <c r="M21" s="19">
        <v>173500</v>
      </c>
      <c r="N21" s="19">
        <v>9500</v>
      </c>
      <c r="O21" s="19">
        <v>32034</v>
      </c>
      <c r="P21" s="21">
        <v>0.19</v>
      </c>
      <c r="Q21" s="22">
        <v>47269</v>
      </c>
    </row>
    <row r="22" spans="1:17">
      <c r="A22">
        <v>1097</v>
      </c>
      <c r="B22">
        <v>1097</v>
      </c>
      <c r="C22" t="s">
        <v>2217</v>
      </c>
      <c r="D22" t="s">
        <v>2341</v>
      </c>
      <c r="E22">
        <v>7813</v>
      </c>
      <c r="F22" t="s">
        <v>233</v>
      </c>
      <c r="G22" t="s">
        <v>2349</v>
      </c>
      <c r="H22">
        <v>11160124</v>
      </c>
      <c r="I22" t="s">
        <v>2179</v>
      </c>
      <c r="J22" t="s">
        <v>96</v>
      </c>
      <c r="K22" s="22">
        <v>43843</v>
      </c>
      <c r="L22" s="19">
        <v>40000</v>
      </c>
      <c r="M22" s="19">
        <v>138800</v>
      </c>
      <c r="N22" s="19">
        <v>25600</v>
      </c>
      <c r="O22" s="19">
        <v>86323.199999999997</v>
      </c>
      <c r="P22" s="21">
        <v>0.64</v>
      </c>
      <c r="Q22" s="22">
        <v>48944</v>
      </c>
    </row>
    <row r="23" spans="1:17">
      <c r="A23">
        <v>1097</v>
      </c>
      <c r="B23">
        <v>1097</v>
      </c>
      <c r="C23" t="s">
        <v>2217</v>
      </c>
      <c r="D23" t="s">
        <v>2350</v>
      </c>
      <c r="E23">
        <v>8158</v>
      </c>
      <c r="F23" t="s">
        <v>233</v>
      </c>
      <c r="G23" t="s">
        <v>2352</v>
      </c>
      <c r="H23">
        <v>11160009</v>
      </c>
      <c r="I23" t="s">
        <v>2179</v>
      </c>
      <c r="J23" t="s">
        <v>96</v>
      </c>
      <c r="K23" s="22">
        <v>44420</v>
      </c>
      <c r="L23" s="19">
        <v>30000</v>
      </c>
      <c r="M23" s="19">
        <v>96630</v>
      </c>
      <c r="N23" s="19">
        <v>6161.61</v>
      </c>
      <c r="O23" s="19">
        <v>20776.95</v>
      </c>
      <c r="P23" s="21">
        <v>0.2054</v>
      </c>
      <c r="Q23" s="22">
        <v>48699</v>
      </c>
    </row>
    <row r="24" spans="1:17">
      <c r="A24">
        <v>1097</v>
      </c>
      <c r="B24">
        <v>1097</v>
      </c>
      <c r="C24" t="s">
        <v>2217</v>
      </c>
      <c r="D24" t="s">
        <v>356</v>
      </c>
      <c r="E24">
        <v>520025370</v>
      </c>
      <c r="F24" t="s">
        <v>245</v>
      </c>
      <c r="G24" t="s">
        <v>2367</v>
      </c>
      <c r="H24">
        <v>11159050</v>
      </c>
      <c r="I24" t="s">
        <v>2179</v>
      </c>
      <c r="J24" t="s">
        <v>96</v>
      </c>
      <c r="K24" s="22">
        <v>43814</v>
      </c>
      <c r="L24" s="19">
        <v>50000</v>
      </c>
      <c r="M24" s="19">
        <v>173800</v>
      </c>
      <c r="N24" s="19">
        <v>1571.42</v>
      </c>
      <c r="O24" s="19">
        <v>5298.81</v>
      </c>
      <c r="P24" s="21">
        <v>3.1399999999999997E-2</v>
      </c>
      <c r="Q24" s="22">
        <v>47256</v>
      </c>
    </row>
    <row r="25" spans="1:17">
      <c r="A25">
        <v>1097</v>
      </c>
      <c r="B25">
        <v>1097</v>
      </c>
      <c r="C25" t="s">
        <v>2217</v>
      </c>
      <c r="D25" t="s">
        <v>356</v>
      </c>
      <c r="E25">
        <v>520025370</v>
      </c>
      <c r="F25" t="s">
        <v>245</v>
      </c>
      <c r="G25" t="s">
        <v>2369</v>
      </c>
      <c r="H25">
        <v>11159043</v>
      </c>
      <c r="I25" t="s">
        <v>2179</v>
      </c>
      <c r="J25" t="s">
        <v>96</v>
      </c>
      <c r="K25" s="22">
        <v>43814</v>
      </c>
      <c r="L25" s="19">
        <v>50000</v>
      </c>
      <c r="M25" s="19">
        <v>173800</v>
      </c>
      <c r="N25" s="19">
        <v>38290.339999999997</v>
      </c>
      <c r="O25" s="19">
        <v>129115.03</v>
      </c>
      <c r="P25" s="21">
        <v>0.76580000000000004</v>
      </c>
      <c r="Q25" s="22">
        <v>47185</v>
      </c>
    </row>
    <row r="26" spans="1:17">
      <c r="A26">
        <v>1097</v>
      </c>
      <c r="B26">
        <v>1097</v>
      </c>
      <c r="C26" t="s">
        <v>2217</v>
      </c>
      <c r="D26" t="s">
        <v>2377</v>
      </c>
      <c r="E26">
        <v>7904</v>
      </c>
      <c r="F26" t="s">
        <v>233</v>
      </c>
      <c r="G26" t="s">
        <v>2379</v>
      </c>
      <c r="H26">
        <v>111507</v>
      </c>
      <c r="I26" t="s">
        <v>2179</v>
      </c>
      <c r="J26" t="s">
        <v>96</v>
      </c>
      <c r="K26" s="22">
        <v>43265</v>
      </c>
      <c r="L26" s="19">
        <v>50000</v>
      </c>
      <c r="M26" s="19">
        <v>179800</v>
      </c>
      <c r="N26" s="19">
        <v>11589.74</v>
      </c>
      <c r="O26" s="19">
        <v>39080.61</v>
      </c>
      <c r="P26" s="21">
        <v>0.23180000000000001</v>
      </c>
      <c r="Q26" s="22">
        <v>46918</v>
      </c>
    </row>
    <row r="27" spans="1:17">
      <c r="A27">
        <v>1097</v>
      </c>
      <c r="B27">
        <v>1097</v>
      </c>
      <c r="C27" t="s">
        <v>2217</v>
      </c>
      <c r="D27" t="s">
        <v>2377</v>
      </c>
      <c r="E27">
        <v>7904</v>
      </c>
      <c r="F27" t="s">
        <v>233</v>
      </c>
      <c r="G27" t="s">
        <v>2383</v>
      </c>
      <c r="H27">
        <v>11157005</v>
      </c>
      <c r="I27" t="s">
        <v>2179</v>
      </c>
      <c r="J27" t="s">
        <v>96</v>
      </c>
      <c r="K27" s="22">
        <v>44259</v>
      </c>
      <c r="L27" s="19">
        <v>70000</v>
      </c>
      <c r="M27" s="19">
        <v>231840</v>
      </c>
      <c r="N27" s="19">
        <v>25073.1</v>
      </c>
      <c r="O27" s="19">
        <v>84546.49</v>
      </c>
      <c r="P27" s="21">
        <v>0.35820000000000002</v>
      </c>
      <c r="Q27" s="22">
        <v>49490</v>
      </c>
    </row>
    <row r="28" spans="1:17">
      <c r="A28">
        <v>1097</v>
      </c>
      <c r="B28">
        <v>1097</v>
      </c>
      <c r="C28" t="s">
        <v>2217</v>
      </c>
      <c r="D28" t="s">
        <v>2341</v>
      </c>
      <c r="E28">
        <v>7813</v>
      </c>
      <c r="F28" t="s">
        <v>233</v>
      </c>
      <c r="G28" t="s">
        <v>2386</v>
      </c>
      <c r="H28">
        <v>111451</v>
      </c>
      <c r="I28" t="s">
        <v>2179</v>
      </c>
      <c r="J28" t="s">
        <v>96</v>
      </c>
      <c r="K28" s="22">
        <v>41996</v>
      </c>
      <c r="L28" s="19">
        <v>50000</v>
      </c>
      <c r="M28" s="19">
        <v>195700</v>
      </c>
      <c r="N28" s="19">
        <v>3875</v>
      </c>
      <c r="O28" s="19">
        <v>13066.5</v>
      </c>
      <c r="P28" s="21">
        <v>7.7499999999999999E-2</v>
      </c>
      <c r="Q28" s="22">
        <v>42947</v>
      </c>
    </row>
    <row r="29" spans="1:17">
      <c r="A29">
        <v>1097</v>
      </c>
      <c r="B29">
        <v>1097</v>
      </c>
      <c r="C29" t="s">
        <v>2217</v>
      </c>
      <c r="D29" t="s">
        <v>2388</v>
      </c>
      <c r="E29">
        <v>7821</v>
      </c>
      <c r="F29" t="s">
        <v>233</v>
      </c>
      <c r="G29" t="s">
        <v>2390</v>
      </c>
      <c r="H29">
        <v>111512</v>
      </c>
      <c r="I29" t="s">
        <v>2179</v>
      </c>
      <c r="J29" t="s">
        <v>96</v>
      </c>
      <c r="K29" s="22">
        <v>43778</v>
      </c>
      <c r="L29" s="19">
        <v>50000</v>
      </c>
      <c r="M29" s="19">
        <v>174750</v>
      </c>
      <c r="N29" s="19">
        <v>14311.04</v>
      </c>
      <c r="O29" s="19">
        <v>48256.82</v>
      </c>
      <c r="P29" s="21">
        <v>0.28620000000000001</v>
      </c>
      <c r="Q29" s="22">
        <v>45474</v>
      </c>
    </row>
    <row r="30" spans="1:17">
      <c r="A30">
        <v>1097</v>
      </c>
      <c r="B30">
        <v>1097</v>
      </c>
      <c r="C30" t="s">
        <v>2217</v>
      </c>
      <c r="D30" t="s">
        <v>2388</v>
      </c>
      <c r="E30">
        <v>7821</v>
      </c>
      <c r="F30" t="s">
        <v>233</v>
      </c>
      <c r="G30" t="s">
        <v>2393</v>
      </c>
      <c r="H30">
        <v>111506</v>
      </c>
      <c r="I30" t="s">
        <v>2179</v>
      </c>
      <c r="J30" t="s">
        <v>96</v>
      </c>
      <c r="K30" s="22">
        <v>43244</v>
      </c>
      <c r="L30" s="19">
        <v>50000</v>
      </c>
      <c r="M30" s="19">
        <v>178450</v>
      </c>
      <c r="N30" s="19">
        <v>7189.14</v>
      </c>
      <c r="O30" s="19">
        <v>24241.759999999998</v>
      </c>
      <c r="P30" s="21">
        <v>0.14380000000000001</v>
      </c>
      <c r="Q30" s="22">
        <v>45081</v>
      </c>
    </row>
    <row r="31" spans="1:17">
      <c r="A31">
        <v>1097</v>
      </c>
      <c r="B31">
        <v>1097</v>
      </c>
      <c r="C31" t="s">
        <v>2217</v>
      </c>
      <c r="D31" t="s">
        <v>2388</v>
      </c>
      <c r="E31">
        <v>7821</v>
      </c>
      <c r="F31" t="s">
        <v>233</v>
      </c>
      <c r="G31" t="s">
        <v>2396</v>
      </c>
      <c r="H31">
        <v>111458</v>
      </c>
      <c r="I31" t="s">
        <v>2179</v>
      </c>
      <c r="J31" t="s">
        <v>96</v>
      </c>
      <c r="K31" s="22">
        <v>42559</v>
      </c>
      <c r="L31" s="19">
        <v>21000</v>
      </c>
      <c r="M31" s="19">
        <v>81522</v>
      </c>
      <c r="N31" s="19">
        <v>7661.2</v>
      </c>
      <c r="O31" s="19">
        <v>25833.58</v>
      </c>
      <c r="P31" s="21">
        <v>0.36480000000000001</v>
      </c>
      <c r="Q31" s="22">
        <v>42825</v>
      </c>
    </row>
    <row r="32" spans="1:17">
      <c r="A32">
        <v>1097</v>
      </c>
      <c r="B32">
        <v>1097</v>
      </c>
      <c r="C32" t="s">
        <v>2217</v>
      </c>
      <c r="D32" t="s">
        <v>2341</v>
      </c>
      <c r="E32">
        <v>7813</v>
      </c>
      <c r="F32" t="s">
        <v>233</v>
      </c>
      <c r="G32" t="s">
        <v>2399</v>
      </c>
      <c r="H32">
        <v>111511</v>
      </c>
      <c r="I32" t="s">
        <v>2179</v>
      </c>
      <c r="J32" t="s">
        <v>96</v>
      </c>
      <c r="K32" s="22">
        <v>43444</v>
      </c>
      <c r="L32" s="19">
        <v>50000</v>
      </c>
      <c r="M32" s="19">
        <v>186350</v>
      </c>
      <c r="N32" s="19">
        <v>11250</v>
      </c>
      <c r="O32" s="19">
        <v>37935</v>
      </c>
      <c r="P32" s="21">
        <v>0.22500000000000001</v>
      </c>
      <c r="Q32" s="22">
        <v>46966</v>
      </c>
    </row>
    <row r="33" spans="1:17">
      <c r="A33">
        <v>1097</v>
      </c>
      <c r="B33">
        <v>1097</v>
      </c>
      <c r="C33" t="s">
        <v>2217</v>
      </c>
      <c r="D33" t="s">
        <v>2403</v>
      </c>
      <c r="E33">
        <v>7854</v>
      </c>
      <c r="F33" t="s">
        <v>233</v>
      </c>
      <c r="G33" t="s">
        <v>2405</v>
      </c>
      <c r="H33">
        <v>11159084</v>
      </c>
      <c r="I33" t="s">
        <v>2179</v>
      </c>
      <c r="J33" t="s">
        <v>96</v>
      </c>
      <c r="K33" s="22">
        <v>44952</v>
      </c>
      <c r="L33" s="19">
        <v>20000</v>
      </c>
      <c r="M33" s="19">
        <v>67440</v>
      </c>
      <c r="N33" s="19">
        <v>15800</v>
      </c>
      <c r="O33" s="19">
        <v>53277.599999999999</v>
      </c>
      <c r="P33" s="21">
        <v>0.79</v>
      </c>
      <c r="Q33" s="22">
        <v>48548</v>
      </c>
    </row>
    <row r="34" spans="1:17">
      <c r="A34">
        <v>1097</v>
      </c>
      <c r="B34">
        <v>1097</v>
      </c>
      <c r="C34" t="s">
        <v>2217</v>
      </c>
      <c r="D34" t="s">
        <v>2409</v>
      </c>
      <c r="E34">
        <v>8189</v>
      </c>
      <c r="F34" t="s">
        <v>233</v>
      </c>
      <c r="G34" t="s">
        <v>2411</v>
      </c>
      <c r="H34">
        <v>11159027</v>
      </c>
      <c r="I34" t="s">
        <v>2179</v>
      </c>
      <c r="J34" t="s">
        <v>96</v>
      </c>
      <c r="K34" s="22">
        <v>44545</v>
      </c>
      <c r="L34" s="19">
        <v>50000</v>
      </c>
      <c r="M34" s="19">
        <v>156750</v>
      </c>
      <c r="N34" s="19">
        <v>15477.57</v>
      </c>
      <c r="O34" s="19">
        <v>52190.35</v>
      </c>
      <c r="P34" s="21">
        <v>0.30959999999999999</v>
      </c>
      <c r="Q34" s="22">
        <v>48304</v>
      </c>
    </row>
    <row r="35" spans="1:17">
      <c r="A35">
        <v>1097</v>
      </c>
      <c r="B35">
        <v>1097</v>
      </c>
      <c r="C35" t="s">
        <v>2217</v>
      </c>
      <c r="D35" t="s">
        <v>2403</v>
      </c>
      <c r="E35">
        <v>7854</v>
      </c>
      <c r="F35" t="s">
        <v>233</v>
      </c>
      <c r="G35" t="s">
        <v>2413</v>
      </c>
      <c r="H35">
        <v>111501</v>
      </c>
      <c r="I35" t="s">
        <v>2179</v>
      </c>
      <c r="J35" t="s">
        <v>96</v>
      </c>
      <c r="K35" s="22">
        <v>42838</v>
      </c>
      <c r="L35" s="19">
        <v>10000</v>
      </c>
      <c r="M35" s="19">
        <v>36470</v>
      </c>
      <c r="N35">
        <v>550</v>
      </c>
      <c r="O35" s="19">
        <v>1854.6</v>
      </c>
      <c r="P35" s="21">
        <v>5.5E-2</v>
      </c>
      <c r="Q35" s="22">
        <v>44285</v>
      </c>
    </row>
    <row r="36" spans="1:17">
      <c r="A36">
        <v>1097</v>
      </c>
      <c r="B36">
        <v>1097</v>
      </c>
      <c r="C36" t="s">
        <v>2217</v>
      </c>
      <c r="D36" t="s">
        <v>2403</v>
      </c>
      <c r="E36">
        <v>7854</v>
      </c>
      <c r="F36" t="s">
        <v>233</v>
      </c>
      <c r="G36" t="s">
        <v>2416</v>
      </c>
      <c r="H36">
        <v>11159035</v>
      </c>
      <c r="I36" t="s">
        <v>2179</v>
      </c>
      <c r="J36" t="s">
        <v>96</v>
      </c>
      <c r="K36" s="22">
        <v>44601</v>
      </c>
      <c r="L36" s="19">
        <v>30000</v>
      </c>
      <c r="M36" s="19">
        <v>96480</v>
      </c>
      <c r="N36" s="19">
        <v>18750</v>
      </c>
      <c r="O36" s="19">
        <v>63225</v>
      </c>
      <c r="P36" s="21">
        <v>0.625</v>
      </c>
      <c r="Q36" s="22">
        <v>47968</v>
      </c>
    </row>
    <row r="37" spans="1:17">
      <c r="A37">
        <v>1097</v>
      </c>
      <c r="B37">
        <v>1097</v>
      </c>
      <c r="C37" t="s">
        <v>2217</v>
      </c>
      <c r="D37" t="s">
        <v>2418</v>
      </c>
      <c r="E37">
        <v>8007</v>
      </c>
      <c r="F37" t="s">
        <v>233</v>
      </c>
      <c r="G37" t="s">
        <v>2589</v>
      </c>
      <c r="H37">
        <v>111516</v>
      </c>
      <c r="I37" t="s">
        <v>2179</v>
      </c>
      <c r="J37" t="s">
        <v>96</v>
      </c>
      <c r="K37" s="22">
        <v>43805</v>
      </c>
      <c r="L37" s="19">
        <v>50000</v>
      </c>
      <c r="M37" s="19">
        <v>173150</v>
      </c>
      <c r="N37" s="19">
        <v>5796.08</v>
      </c>
      <c r="O37" s="19">
        <v>19544.38</v>
      </c>
      <c r="P37" s="21">
        <v>0.1159</v>
      </c>
      <c r="Q37" s="22">
        <v>45098</v>
      </c>
    </row>
    <row r="38" spans="1:17">
      <c r="A38">
        <v>1097</v>
      </c>
      <c r="B38">
        <v>1097</v>
      </c>
      <c r="C38" t="s">
        <v>2217</v>
      </c>
      <c r="D38" t="s">
        <v>2424</v>
      </c>
      <c r="E38">
        <v>7860</v>
      </c>
      <c r="F38" t="s">
        <v>233</v>
      </c>
      <c r="G38" t="s">
        <v>2426</v>
      </c>
      <c r="H38">
        <v>111502</v>
      </c>
      <c r="I38" t="s">
        <v>2179</v>
      </c>
      <c r="J38" t="s">
        <v>96</v>
      </c>
      <c r="K38" s="22">
        <v>42894</v>
      </c>
      <c r="L38" s="19">
        <v>25000</v>
      </c>
      <c r="M38" s="19">
        <v>88475</v>
      </c>
      <c r="N38" s="19">
        <v>1343.25</v>
      </c>
      <c r="O38" s="19">
        <v>4529.45</v>
      </c>
      <c r="P38" s="21">
        <v>5.3699999999999998E-2</v>
      </c>
      <c r="Q38" s="22">
        <v>43981</v>
      </c>
    </row>
    <row r="39" spans="1:17">
      <c r="A39">
        <v>1097</v>
      </c>
      <c r="B39">
        <v>1097</v>
      </c>
      <c r="C39" t="s">
        <v>2217</v>
      </c>
      <c r="D39" t="s">
        <v>2424</v>
      </c>
      <c r="E39">
        <v>7860</v>
      </c>
      <c r="F39" t="s">
        <v>233</v>
      </c>
      <c r="G39" t="s">
        <v>2430</v>
      </c>
      <c r="H39">
        <v>11155009</v>
      </c>
      <c r="I39" t="s">
        <v>2179</v>
      </c>
      <c r="J39" t="s">
        <v>96</v>
      </c>
      <c r="K39" s="22">
        <v>44259</v>
      </c>
      <c r="L39" s="19">
        <v>51000</v>
      </c>
      <c r="M39" s="19">
        <v>168912</v>
      </c>
      <c r="N39" s="19">
        <v>4813.5600000000004</v>
      </c>
      <c r="O39" s="19">
        <v>16231.31</v>
      </c>
      <c r="P39" s="21">
        <v>9.4399999999999998E-2</v>
      </c>
      <c r="Q39" s="22">
        <v>47337</v>
      </c>
    </row>
    <row r="40" spans="1:17">
      <c r="A40">
        <v>1097</v>
      </c>
      <c r="B40">
        <v>1097</v>
      </c>
      <c r="C40" t="s">
        <v>2217</v>
      </c>
      <c r="D40" t="s">
        <v>2441</v>
      </c>
      <c r="E40">
        <v>8032</v>
      </c>
      <c r="F40" t="s">
        <v>233</v>
      </c>
      <c r="G40" t="s">
        <v>2443</v>
      </c>
      <c r="H40">
        <v>11151909</v>
      </c>
      <c r="I40" t="s">
        <v>2179</v>
      </c>
      <c r="J40" t="s">
        <v>96</v>
      </c>
      <c r="K40" s="22">
        <v>43971</v>
      </c>
      <c r="L40" s="19">
        <v>50000</v>
      </c>
      <c r="M40" s="19">
        <v>175200</v>
      </c>
      <c r="N40" s="19">
        <v>5000</v>
      </c>
      <c r="O40" s="19">
        <v>16860</v>
      </c>
      <c r="P40" s="21">
        <v>0.1</v>
      </c>
      <c r="Q40" s="22">
        <v>46752</v>
      </c>
    </row>
    <row r="41" spans="1:17">
      <c r="A41">
        <v>1097</v>
      </c>
      <c r="B41">
        <v>1097</v>
      </c>
      <c r="C41" t="s">
        <v>2217</v>
      </c>
      <c r="D41" t="s">
        <v>2447</v>
      </c>
      <c r="E41">
        <v>8154</v>
      </c>
      <c r="F41" t="s">
        <v>233</v>
      </c>
      <c r="G41" t="s">
        <v>2449</v>
      </c>
      <c r="H41">
        <v>11159001</v>
      </c>
      <c r="I41" t="s">
        <v>2179</v>
      </c>
      <c r="J41" t="s">
        <v>96</v>
      </c>
      <c r="K41" s="22">
        <v>44399</v>
      </c>
      <c r="L41" s="19">
        <v>40000</v>
      </c>
      <c r="M41" s="19">
        <v>130840</v>
      </c>
      <c r="N41" s="19">
        <v>1800</v>
      </c>
      <c r="O41" s="19">
        <v>6069.6</v>
      </c>
      <c r="P41" s="21">
        <v>4.4999999999999998E-2</v>
      </c>
      <c r="Q41" s="22">
        <v>46834</v>
      </c>
    </row>
    <row r="42" spans="1:17">
      <c r="A42">
        <v>1097</v>
      </c>
      <c r="B42">
        <v>1097</v>
      </c>
      <c r="C42" t="s">
        <v>2217</v>
      </c>
      <c r="D42" t="s">
        <v>2453</v>
      </c>
      <c r="E42">
        <v>8040</v>
      </c>
      <c r="F42" t="s">
        <v>233</v>
      </c>
      <c r="G42" t="s">
        <v>2455</v>
      </c>
      <c r="H42">
        <v>20030024</v>
      </c>
      <c r="I42" t="s">
        <v>2179</v>
      </c>
      <c r="J42" t="s">
        <v>94</v>
      </c>
      <c r="K42" s="22">
        <v>42324</v>
      </c>
      <c r="L42" s="19">
        <v>46000</v>
      </c>
      <c r="M42" s="19">
        <v>192169.60000000001</v>
      </c>
      <c r="N42" s="19">
        <v>1242.21</v>
      </c>
      <c r="O42" s="19">
        <v>4913.21</v>
      </c>
      <c r="P42" s="21">
        <v>2.7E-2</v>
      </c>
      <c r="Q42" s="22">
        <v>42916</v>
      </c>
    </row>
    <row r="43" spans="1:17">
      <c r="A43">
        <v>1097</v>
      </c>
      <c r="B43">
        <v>1097</v>
      </c>
      <c r="C43" t="s">
        <v>2217</v>
      </c>
      <c r="D43" t="s">
        <v>2458</v>
      </c>
      <c r="E43">
        <v>7814</v>
      </c>
      <c r="F43" t="s">
        <v>233</v>
      </c>
      <c r="G43" t="s">
        <v>2460</v>
      </c>
      <c r="H43">
        <v>111508</v>
      </c>
      <c r="I43" t="s">
        <v>2179</v>
      </c>
      <c r="J43" t="s">
        <v>96</v>
      </c>
      <c r="K43" s="22">
        <v>43404</v>
      </c>
      <c r="L43" s="19">
        <v>50000</v>
      </c>
      <c r="M43" s="19">
        <v>186050</v>
      </c>
      <c r="N43" s="19">
        <v>4337.63</v>
      </c>
      <c r="O43" s="19">
        <v>14626.48</v>
      </c>
      <c r="P43" s="21">
        <v>8.6800000000000002E-2</v>
      </c>
      <c r="Q43" s="22">
        <v>47057</v>
      </c>
    </row>
    <row r="44" spans="1:17">
      <c r="A44">
        <v>1097</v>
      </c>
      <c r="B44">
        <v>1097</v>
      </c>
      <c r="C44" t="s">
        <v>2217</v>
      </c>
      <c r="D44" t="s">
        <v>2458</v>
      </c>
      <c r="E44">
        <v>7814</v>
      </c>
      <c r="F44" t="s">
        <v>233</v>
      </c>
      <c r="G44" t="s">
        <v>2463</v>
      </c>
      <c r="H44">
        <v>111452</v>
      </c>
      <c r="I44" t="s">
        <v>2179</v>
      </c>
      <c r="J44" t="s">
        <v>96</v>
      </c>
      <c r="K44" s="22">
        <v>41648</v>
      </c>
      <c r="L44" s="19">
        <v>20000</v>
      </c>
      <c r="M44" s="19">
        <v>70060</v>
      </c>
      <c r="N44" s="19">
        <v>1280</v>
      </c>
      <c r="O44" s="19">
        <v>4316.16</v>
      </c>
      <c r="P44" s="21">
        <v>6.4000000000000001E-2</v>
      </c>
      <c r="Q44" s="22">
        <v>43048</v>
      </c>
    </row>
    <row r="45" spans="1:17">
      <c r="A45">
        <v>1097</v>
      </c>
      <c r="B45">
        <v>1097</v>
      </c>
      <c r="C45" t="s">
        <v>2217</v>
      </c>
      <c r="D45" t="s">
        <v>2458</v>
      </c>
      <c r="E45">
        <v>7814</v>
      </c>
      <c r="F45" t="s">
        <v>233</v>
      </c>
      <c r="G45" t="s">
        <v>2466</v>
      </c>
      <c r="H45">
        <v>11158003</v>
      </c>
      <c r="I45" t="s">
        <v>2179</v>
      </c>
      <c r="J45" t="s">
        <v>96</v>
      </c>
      <c r="K45" s="22">
        <v>44259</v>
      </c>
      <c r="L45" s="19">
        <v>50000</v>
      </c>
      <c r="M45" s="19">
        <v>165600</v>
      </c>
      <c r="N45" s="19">
        <v>8741.11</v>
      </c>
      <c r="O45" s="19">
        <v>29475.01</v>
      </c>
      <c r="P45" s="21">
        <v>0.17480000000000001</v>
      </c>
      <c r="Q45" s="22">
        <v>48579</v>
      </c>
    </row>
    <row r="46" spans="1:17">
      <c r="A46">
        <v>1097</v>
      </c>
      <c r="B46">
        <v>1097</v>
      </c>
      <c r="C46" t="s">
        <v>2217</v>
      </c>
      <c r="D46" t="s">
        <v>2458</v>
      </c>
      <c r="E46">
        <v>7814</v>
      </c>
      <c r="F46" t="s">
        <v>233</v>
      </c>
      <c r="G46" t="s">
        <v>2468</v>
      </c>
      <c r="H46">
        <v>24107042</v>
      </c>
      <c r="I46" t="s">
        <v>2179</v>
      </c>
      <c r="J46" t="s">
        <v>96</v>
      </c>
      <c r="K46" s="22">
        <v>41725</v>
      </c>
      <c r="L46" s="19">
        <v>30000</v>
      </c>
      <c r="M46" s="19">
        <v>105120</v>
      </c>
      <c r="N46" s="19">
        <v>2545.14</v>
      </c>
      <c r="O46" s="19">
        <v>8582.2199999999993</v>
      </c>
      <c r="P46" s="21">
        <v>8.48E-2</v>
      </c>
      <c r="Q46" s="22">
        <v>43503</v>
      </c>
    </row>
    <row r="47" spans="1:17">
      <c r="A47">
        <v>1097</v>
      </c>
      <c r="B47">
        <v>1097</v>
      </c>
      <c r="C47" t="s">
        <v>2217</v>
      </c>
      <c r="D47" t="s">
        <v>2458</v>
      </c>
      <c r="E47">
        <v>7814</v>
      </c>
      <c r="F47" t="s">
        <v>233</v>
      </c>
      <c r="G47" t="s">
        <v>2470</v>
      </c>
      <c r="H47">
        <v>111456</v>
      </c>
      <c r="I47" t="s">
        <v>2179</v>
      </c>
      <c r="J47" t="s">
        <v>96</v>
      </c>
      <c r="K47" s="22">
        <v>42296</v>
      </c>
      <c r="L47" s="19">
        <v>50000</v>
      </c>
      <c r="M47" s="19">
        <v>192100</v>
      </c>
      <c r="N47" s="19">
        <v>10417.57</v>
      </c>
      <c r="O47" s="19">
        <v>35128.03</v>
      </c>
      <c r="P47" s="21">
        <v>0.2084</v>
      </c>
      <c r="Q47" s="22">
        <v>43738</v>
      </c>
    </row>
    <row r="48" spans="1:17">
      <c r="A48">
        <v>1097</v>
      </c>
      <c r="B48">
        <v>1097</v>
      </c>
      <c r="C48" t="s">
        <v>2217</v>
      </c>
      <c r="D48" t="s">
        <v>2458</v>
      </c>
      <c r="E48">
        <v>7814</v>
      </c>
      <c r="F48" t="s">
        <v>233</v>
      </c>
      <c r="G48" t="s">
        <v>2473</v>
      </c>
      <c r="H48">
        <v>11151701</v>
      </c>
      <c r="I48" t="s">
        <v>2179</v>
      </c>
      <c r="J48" t="s">
        <v>96</v>
      </c>
      <c r="K48" s="22">
        <v>43966</v>
      </c>
      <c r="L48" s="19">
        <v>50000</v>
      </c>
      <c r="M48" s="19">
        <v>176650</v>
      </c>
      <c r="N48" s="19">
        <v>13613.11</v>
      </c>
      <c r="O48" s="19">
        <v>45903.4</v>
      </c>
      <c r="P48" s="21">
        <v>0.27229999999999999</v>
      </c>
      <c r="Q48" s="22">
        <v>46841</v>
      </c>
    </row>
    <row r="49" spans="1:17">
      <c r="A49">
        <v>1097</v>
      </c>
      <c r="B49">
        <v>1097</v>
      </c>
      <c r="C49" t="s">
        <v>2217</v>
      </c>
      <c r="D49" t="s">
        <v>2458</v>
      </c>
      <c r="E49">
        <v>7814</v>
      </c>
      <c r="F49" t="s">
        <v>233</v>
      </c>
      <c r="G49" t="s">
        <v>2475</v>
      </c>
      <c r="H49">
        <v>11159068</v>
      </c>
      <c r="I49" t="s">
        <v>2179</v>
      </c>
      <c r="J49" t="s">
        <v>96</v>
      </c>
      <c r="K49" s="22">
        <v>44819</v>
      </c>
      <c r="L49" s="19">
        <v>75000</v>
      </c>
      <c r="M49" s="19">
        <v>258150</v>
      </c>
      <c r="N49" s="19">
        <v>37304.519999999997</v>
      </c>
      <c r="O49" s="19">
        <v>125790.85</v>
      </c>
      <c r="P49" s="21">
        <v>0.49740000000000001</v>
      </c>
      <c r="Q49" s="22">
        <v>48213</v>
      </c>
    </row>
    <row r="50" spans="1:17">
      <c r="A50">
        <v>1097</v>
      </c>
      <c r="B50">
        <v>1097</v>
      </c>
      <c r="C50" t="s">
        <v>2217</v>
      </c>
      <c r="D50" t="s">
        <v>2453</v>
      </c>
      <c r="E50">
        <v>8040</v>
      </c>
      <c r="F50" t="s">
        <v>233</v>
      </c>
      <c r="G50" t="s">
        <v>2476</v>
      </c>
      <c r="H50">
        <v>111453</v>
      </c>
      <c r="I50" t="s">
        <v>2179</v>
      </c>
      <c r="J50" t="s">
        <v>96</v>
      </c>
      <c r="K50" s="22">
        <v>41947</v>
      </c>
      <c r="L50" s="19">
        <v>50000</v>
      </c>
      <c r="M50" s="19">
        <v>189800</v>
      </c>
      <c r="N50" s="19">
        <v>1998.68</v>
      </c>
      <c r="O50" s="19">
        <v>6739.55</v>
      </c>
      <c r="P50" s="21">
        <v>0.04</v>
      </c>
      <c r="Q50" s="22">
        <v>43465</v>
      </c>
    </row>
    <row r="51" spans="1:17">
      <c r="A51">
        <v>1097</v>
      </c>
      <c r="B51">
        <v>1097</v>
      </c>
      <c r="C51" t="s">
        <v>2217</v>
      </c>
      <c r="D51" t="s">
        <v>2479</v>
      </c>
      <c r="E51">
        <v>8005</v>
      </c>
      <c r="F51" t="s">
        <v>233</v>
      </c>
      <c r="G51" t="s">
        <v>2481</v>
      </c>
      <c r="H51">
        <v>111514</v>
      </c>
      <c r="I51" t="s">
        <v>2179</v>
      </c>
      <c r="J51" t="s">
        <v>96</v>
      </c>
      <c r="K51" s="22">
        <v>43805</v>
      </c>
      <c r="L51" s="19">
        <v>50000</v>
      </c>
      <c r="M51" s="19">
        <v>173150</v>
      </c>
      <c r="N51" s="19">
        <v>17458.099999999999</v>
      </c>
      <c r="O51" s="19">
        <v>58868.72</v>
      </c>
      <c r="P51" s="21">
        <v>0.34920000000000001</v>
      </c>
      <c r="Q51" s="22">
        <v>45017</v>
      </c>
    </row>
    <row r="52" spans="1:17">
      <c r="A52">
        <v>1097</v>
      </c>
      <c r="B52">
        <v>1097</v>
      </c>
      <c r="C52" t="s">
        <v>2217</v>
      </c>
      <c r="D52" t="s">
        <v>2590</v>
      </c>
      <c r="E52">
        <v>8288</v>
      </c>
      <c r="F52" t="s">
        <v>233</v>
      </c>
      <c r="G52" t="s">
        <v>2591</v>
      </c>
      <c r="H52">
        <v>11153038</v>
      </c>
      <c r="I52" t="s">
        <v>2179</v>
      </c>
      <c r="J52" t="s">
        <v>96</v>
      </c>
      <c r="K52" s="22">
        <v>45428</v>
      </c>
      <c r="L52" s="19">
        <v>51000</v>
      </c>
      <c r="M52" s="19">
        <v>187731</v>
      </c>
      <c r="N52" s="19">
        <v>38815.800000000003</v>
      </c>
      <c r="O52" s="19">
        <v>130886.86</v>
      </c>
      <c r="P52" s="21">
        <v>0.7611</v>
      </c>
      <c r="Q52" s="22">
        <v>45443</v>
      </c>
    </row>
    <row r="53" spans="1:17">
      <c r="A53">
        <v>1097</v>
      </c>
      <c r="B53">
        <v>1097</v>
      </c>
      <c r="C53" t="s">
        <v>2217</v>
      </c>
      <c r="D53" t="s">
        <v>2334</v>
      </c>
      <c r="E53">
        <v>8056</v>
      </c>
      <c r="F53" t="s">
        <v>233</v>
      </c>
      <c r="G53" t="s">
        <v>2339</v>
      </c>
      <c r="H53">
        <v>11153012</v>
      </c>
      <c r="I53" t="s">
        <v>2179</v>
      </c>
      <c r="J53" t="s">
        <v>96</v>
      </c>
      <c r="K53" s="22">
        <v>45246</v>
      </c>
      <c r="L53" s="19">
        <v>52500</v>
      </c>
      <c r="M53" s="19">
        <v>192045</v>
      </c>
      <c r="N53" s="19">
        <v>39897.51</v>
      </c>
      <c r="O53" s="19">
        <v>134534.39000000001</v>
      </c>
      <c r="P53" s="21">
        <v>0.76</v>
      </c>
      <c r="Q53" s="22">
        <v>49309</v>
      </c>
    </row>
    <row r="54" spans="1:17">
      <c r="A54">
        <v>1097</v>
      </c>
      <c r="B54">
        <v>1097</v>
      </c>
      <c r="C54" t="s">
        <v>2217</v>
      </c>
      <c r="D54" t="s">
        <v>2334</v>
      </c>
      <c r="E54">
        <v>8056</v>
      </c>
      <c r="F54" t="s">
        <v>233</v>
      </c>
      <c r="G54" t="s">
        <v>2592</v>
      </c>
      <c r="H54">
        <v>11153020</v>
      </c>
      <c r="I54" t="s">
        <v>2179</v>
      </c>
      <c r="J54" t="s">
        <v>96</v>
      </c>
      <c r="K54" s="22">
        <v>45246</v>
      </c>
      <c r="L54" s="19">
        <v>17500</v>
      </c>
      <c r="M54" s="19">
        <v>64015</v>
      </c>
      <c r="N54" s="19">
        <v>15101.07</v>
      </c>
      <c r="O54" s="19">
        <v>50920.82</v>
      </c>
      <c r="P54" s="21">
        <v>0.8629</v>
      </c>
      <c r="Q54" s="22">
        <v>49309</v>
      </c>
    </row>
    <row r="55" spans="1:17">
      <c r="A55">
        <v>1097</v>
      </c>
      <c r="B55">
        <v>1097</v>
      </c>
      <c r="C55" t="s">
        <v>2217</v>
      </c>
      <c r="D55" t="s">
        <v>2432</v>
      </c>
      <c r="E55">
        <v>8307</v>
      </c>
      <c r="F55" t="s">
        <v>233</v>
      </c>
      <c r="G55" t="s">
        <v>2593</v>
      </c>
      <c r="H55">
        <v>11153046</v>
      </c>
      <c r="I55" t="s">
        <v>2179</v>
      </c>
      <c r="J55" t="s">
        <v>96</v>
      </c>
      <c r="K55" s="22">
        <v>45934</v>
      </c>
      <c r="L55" s="19">
        <v>70000</v>
      </c>
      <c r="M55" s="19">
        <v>260540</v>
      </c>
      <c r="N55" s="19">
        <v>70000</v>
      </c>
      <c r="O55" s="19">
        <v>236040</v>
      </c>
      <c r="P55" s="21">
        <v>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שגיא</dc:creator>
  <cp:lastModifiedBy>הילה שגיא</cp:lastModifiedBy>
  <dcterms:created xsi:type="dcterms:W3CDTF">2025-07-16T07:41:51Z</dcterms:created>
  <dcterms:modified xsi:type="dcterms:W3CDTF">2025-11-05T09:35:25Z</dcterms:modified>
</cp:coreProperties>
</file>