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5\Q2-2025\הבינלאומי+רום+עוצמ\פרח\לאחר תיקונים\"/>
    </mc:Choice>
  </mc:AlternateContent>
  <xr:revisionPtr revIDLastSave="0" documentId="13_ncr:1_{1E0C223E-8C75-4287-9B8A-BC78D8F7AFE1}" xr6:coauthVersionLast="47" xr6:coauthVersionMax="47" xr10:uidLastSave="{00000000-0000-0000-0000-000000000000}"/>
  <bookViews>
    <workbookView xWindow="-120" yWindow="-120" windowWidth="29040" windowHeight="15720" xr2:uid="{7DB30AED-7732-4B37-AFA4-62BD4510B009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6" hidden="1">'מניות מבכ ויהש'!$A$1:$X$79</definedName>
    <definedName name="Additional_Factor" localSheetId="33">'[1]אפשרויות בחירה'!$C$701:$C$850</definedName>
    <definedName name="Additional_Factor" localSheetId="32">'[1]אפשרויות בחירה'!$C$701:$C$850</definedName>
    <definedName name="Additional_Factor">'אפשרויות בחירה'!$C$701:$C$850</definedName>
    <definedName name="Amoritization" localSheetId="33">'[1]אפשרויות בחירה'!$C$546:$C$550</definedName>
    <definedName name="Amoritization" localSheetId="32">'[1]אפשרויות בחירה'!$C$546:$C$550</definedName>
    <definedName name="Amoritization">'אפשרויות בחירה'!$C$546:$C$550</definedName>
    <definedName name="Capsule" localSheetId="33">'[1]אפשרויות בחירה'!$C$926:$C$928</definedName>
    <definedName name="Capsule" localSheetId="32">'[1]אפשרויות בחירה'!$C$926:$C$928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 localSheetId="33">'[1]אפשרויות בחירה'!$C$514:$C$515</definedName>
    <definedName name="Consortium" localSheetId="32">'[1]אפשרויות בחירה'!$C$514:$C$515</definedName>
    <definedName name="Consortium">'אפשרויות בחירה'!$C$514:$C$515</definedName>
    <definedName name="Country_list" localSheetId="33">'[1]אפשרויות בחירה'!$C$4:$C$85</definedName>
    <definedName name="Country_list" localSheetId="32">'[1]אפשרויות בחירה'!$C$4:$C$85</definedName>
    <definedName name="Country_list">'אפשרויות בחירה'!$C$4:$C$85</definedName>
    <definedName name="Country_list_funds" localSheetId="33">'[1]אפשרויות בחירה'!$C$4:$C$103</definedName>
    <definedName name="Country_list_funds" localSheetId="32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33">'[1]אפשרויות בחירה'!$C$666:$C$667</definedName>
    <definedName name="Delivery" localSheetId="32">'[1]אפשרויות בחירה'!$C$666:$C$667</definedName>
    <definedName name="Delivery">'אפשרויות בחירה'!$C$666:$C$667</definedName>
    <definedName name="Dependence_Independence" localSheetId="33">'[1]אפשרויות בחירה'!$C$654:$C$655</definedName>
    <definedName name="Dependence_Independence" localSheetId="32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 localSheetId="33">'[1]אפשרויות בחירה'!$C$597:$C$621</definedName>
    <definedName name="Fund_Strategy" localSheetId="32">'[1]אפשרויות בחירה'!$C$597:$C$621</definedName>
    <definedName name="Fund_Strategy">'אפשרויות בחירה'!$C$597:$C$621</definedName>
    <definedName name="Fund_type" localSheetId="33">'[1]אפשרויות בחירה'!$C$328:$C$498</definedName>
    <definedName name="Fund_type" localSheetId="32">'[1]אפשרויות בחירה'!$C$328:$C$498</definedName>
    <definedName name="Fund_type">'אפשרויות בחירה'!$C$328:$C$498</definedName>
    <definedName name="Holding_interest" localSheetId="33">'[1]אפשרויות בחירה'!$C$146:$C$147</definedName>
    <definedName name="Holding_interest" localSheetId="32">'[1]אפשרויות בחירה'!$C$146:$C$147</definedName>
    <definedName name="Holding_interest">'אפשרויות בחירה'!$C$146:$C$147</definedName>
    <definedName name="In_the_books" localSheetId="33">'[1]אפשרויות בחירה'!$C$656:$C$657</definedName>
    <definedName name="In_the_books" localSheetId="32">'[1]אפשרויות בחירה'!$C$656:$C$657</definedName>
    <definedName name="In_the_books">'אפשרויות בחירה'!$C$656:$C$657</definedName>
    <definedName name="Industry_Sector" localSheetId="33">'[1]אפשרויות בחירה'!$C$1129:$C$1245</definedName>
    <definedName name="Industry_Sector" localSheetId="32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33">'[1]אפשרויות בחירה'!$C$202:$C$327</definedName>
    <definedName name="Industry_sectors" localSheetId="32">'[1]אפשרויות בחירה'!$C$202:$C$327</definedName>
    <definedName name="Industry_sectors">'אפשרויות בחירה'!$C$202:$C$327</definedName>
    <definedName name="israel_abroad" localSheetId="33">'[1]אפשרויות בחירה'!$C$2:$C$3</definedName>
    <definedName name="israel_abroad" localSheetId="32">'[1]אפשרויות בחירה'!$C$2:$C$3</definedName>
    <definedName name="israel_abroad">'אפשרויות בחירה'!$C$2:$C$3</definedName>
    <definedName name="Issuer_Number_Banks" localSheetId="33">'[1]אפשרויות בחירה'!$C$111:$C$113</definedName>
    <definedName name="Issuer_Number_Banks" localSheetId="32">'[1]אפשרויות בחירה'!$C$111:$C$113</definedName>
    <definedName name="Issuer_Number_Banks">'אפשרויות בחירה'!$C$111:$C$113</definedName>
    <definedName name="Issuer_Number_Fund" localSheetId="33">'[1]אפשרויות בחירה'!$C$114:$C$117</definedName>
    <definedName name="Issuer_Number_Fund" localSheetId="32">'[1]אפשרויות בחירה'!$C$114:$C$117</definedName>
    <definedName name="Issuer_Number_Fund">'אפשרויות בחירה'!$C$114:$C$117</definedName>
    <definedName name="issuer_number_loan" localSheetId="33">'[1]אפשרויות בחירה'!$C$118:$C$126</definedName>
    <definedName name="issuer_number_loan" localSheetId="32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33">'[1]אפשרויות בחירה'!$C$1076:$C$1079</definedName>
    <definedName name="Issuer_Number_Type_2" localSheetId="32">'[1]אפשרויות בחירה'!$C$1076:$C$1079</definedName>
    <definedName name="Issuer_Number_Type_2">'אפשרויות בחירה'!$C$1076:$C$1079</definedName>
    <definedName name="Issuer_Number_Type_3" localSheetId="33">'[1]אפשרויות בחירה'!$C$1081:$C$1085</definedName>
    <definedName name="Issuer_Number_Type_3" localSheetId="32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33">'[1]אפשרויות בחירה'!$C$1087:$C$1089</definedName>
    <definedName name="Issuer_Type_TFunds" localSheetId="32">'[1]אפשרויות בחירה'!$C$1087:$C$1089</definedName>
    <definedName name="Issuer_Type_TFunds">'אפשרויות בחירה'!$C$1087:$C$1089</definedName>
    <definedName name="Leading_factor" localSheetId="33">'[1]אפשרויות בחירה'!$C$692:$C$700</definedName>
    <definedName name="Leading_factor" localSheetId="32">'[1]אפשרויות בחירה'!$C$692:$C$700</definedName>
    <definedName name="Leading_factor">'אפשרויות בחירה'!$C$692:$C$700</definedName>
    <definedName name="Linked_Type" localSheetId="33">'[1]אפשרויות בחירה'!$C$516:$C$519</definedName>
    <definedName name="Linked_Type" localSheetId="32">'[1]אפשרויות בחירה'!$C$516:$C$519</definedName>
    <definedName name="Linked_Type">'אפשרויות בחירה'!$C$516:$C$519</definedName>
    <definedName name="other_investments" localSheetId="33">'[1]אפשרויות בחירה'!$C$1000:$C$1033</definedName>
    <definedName name="other_investments" localSheetId="32">'[1]אפשרויות בחירה'!$C$1000:$C$1033</definedName>
    <definedName name="other_investments">'אפשרויות בחירה'!$C$1000:$C$1033</definedName>
    <definedName name="Penalty" localSheetId="33">'[1]אפשרויות בחירה'!$C$851:$C$852</definedName>
    <definedName name="Penalty" localSheetId="32">'[1]אפשרויות בחירה'!$C$851:$C$852</definedName>
    <definedName name="Penalty">'אפשרויות בחירה'!$C$851:$C$852</definedName>
    <definedName name="QTR">'File Name Info'!$A$15:$A$19</definedName>
    <definedName name="Rating_Agency" localSheetId="33">'[1]אפשרויות בחירה'!$C$188:$C$201</definedName>
    <definedName name="Rating_Agency" localSheetId="32">'[1]אפשרויות בחירה'!$C$188:$C$201</definedName>
    <definedName name="Rating_Agency">'אפשרויות בחירה'!$C$188:$C$201</definedName>
    <definedName name="real_estate_lifestage" localSheetId="33">'[1]אפשרויות בחירה'!$C$634:$C$642</definedName>
    <definedName name="real_estate_lifestage" localSheetId="32">'[1]אפשרויות בחירה'!$C$634:$C$642</definedName>
    <definedName name="real_estate_lifestage">'אפשרויות בחירה'!$C$634:$C$642</definedName>
    <definedName name="real_estate_loans" localSheetId="33">'[1]אפשרויות בחירה'!$C$553:$C$591</definedName>
    <definedName name="real_estate_loans" localSheetId="32">'[1]אפשרויות בחירה'!$C$553:$C$591</definedName>
    <definedName name="real_estate_loans">'אפשרויות בחירה'!$C$553:$C$591</definedName>
    <definedName name="Real_Estate_Main_Use" localSheetId="33">'[1]אפשרויות בחירה'!$C$622:$C$633</definedName>
    <definedName name="Real_Estate_Main_Use" localSheetId="32">'[1]אפשרויות בחירה'!$C$622:$C$633</definedName>
    <definedName name="Real_Estate_Main_Use">'אפשרויות בחירה'!$C$622:$C$633</definedName>
    <definedName name="Recourse_Nonrecourse" localSheetId="33">'[1]אפשרויות בחירה'!$C$544:$C$545</definedName>
    <definedName name="Recourse_Nonrecourse" localSheetId="32">'[1]אפשרויות בחירה'!$C$544:$C$545</definedName>
    <definedName name="Recourse_Nonrecourse">'אפשרויות בחירה'!$C$544:$C$545</definedName>
    <definedName name="Repayment_Rights" localSheetId="33">'[1]אפשרויות בחירה'!$C$551:$C$552</definedName>
    <definedName name="Repayment_Rights" localSheetId="32">'[1]אפשרויות בחירה'!$C$551:$C$552</definedName>
    <definedName name="Repayment_Rights">'אפשרויות בחירה'!$C$551:$C$552</definedName>
    <definedName name="Reset_frequency" localSheetId="33">'[1]אפשרויות בחירה'!$C$658:$C$665</definedName>
    <definedName name="Reset_frequency" localSheetId="32">'[1]אפשרויות בחירה'!$C$658:$C$665</definedName>
    <definedName name="Reset_frequency">'אפשרויות בחירה'!$C$658:$C$665</definedName>
    <definedName name="Security_ID_Number_Type" localSheetId="33">'[1]אפשרויות בחירה'!$C$1113:$C$1116</definedName>
    <definedName name="Security_ID_Number_Type" localSheetId="32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33">'[1]אפשרויות בחירה'!$C$1283:$C$1315</definedName>
    <definedName name="Stock_Exchange" localSheetId="32">'[1]אפשרויות בחירה'!$C$1283:$C$1315</definedName>
    <definedName name="Stock_Exchange">'אפשרויות בחירה'!$C$1283:$C$1315</definedName>
    <definedName name="Stock_Exchange_Gov_Bonds" localSheetId="33">'[1]אפשרויות בחירה'!$C$148:$C$181</definedName>
    <definedName name="Stock_Exchange_Gov_Bonds" localSheetId="32">'[1]אפשרויות בחירה'!$C$148:$C$181</definedName>
    <definedName name="Stock_Exchange_Gov_Bonds">'אפשרויות בחירה'!$C$148:$C$181</definedName>
    <definedName name="Subordination_Risk" localSheetId="33">'[1]אפשרויות בחירה'!$C$186:$C$187</definedName>
    <definedName name="Subordination_Risk" localSheetId="32">'[1]אפשרויות בחירה'!$C$186:$C$187</definedName>
    <definedName name="Subordination_Risk">'אפשרויות בחירה'!$C$186:$C$187</definedName>
    <definedName name="Tradeable_Status" localSheetId="33">'[1]אפשרויות בחירה'!$C$1272:$C$1281</definedName>
    <definedName name="Tradeable_Status" localSheetId="32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33">'[1]אפשרויות בחירה'!$C$1248:$C$1253</definedName>
    <definedName name="tradeable_status_bonds" localSheetId="32">'[1]אפשרויות בחירה'!$C$1248:$C$1253</definedName>
    <definedName name="tradeable_status_bonds">'אפשרויות בחירה'!$C$1248:$C$1253</definedName>
    <definedName name="tradeable_status_funds" localSheetId="33">'[1]אפשרויות בחירה'!$C$1118:$C$1119</definedName>
    <definedName name="tradeable_status_funds" localSheetId="32">'[1]אפשרויות בחירה'!$C$1118:$C$1119</definedName>
    <definedName name="tradeable_status_funds">'אפשרויות בחירה'!$C$1118:$C$1119</definedName>
    <definedName name="tradeable_status_stock" localSheetId="33">'[1]אפשרויות בחירה'!$C$1255:$C$1259</definedName>
    <definedName name="tradeable_status_stock" localSheetId="32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33">'[1]אפשרויות בחירה'!$C$1261:$C$1265</definedName>
    <definedName name="tradeable_status_warrants" localSheetId="32">'[1]אפשרויות בחירה'!$C$1261:$C$1265</definedName>
    <definedName name="tradeable_status_warrants">'אפשרויות בחירה'!$C$1261:$C$1265</definedName>
    <definedName name="tradeable_status_warrants_v2" localSheetId="33">'[1]אפשרויות בחירה'!$C$1267:$C$1269</definedName>
    <definedName name="tradeable_status_warrants_v2" localSheetId="32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 localSheetId="33">'[1]אפשרויות בחירה'!$C$592:$C$594</definedName>
    <definedName name="Type_of_Interest_Rate" localSheetId="32">'[1]אפשרויות בחירה'!$C$592:$C$594</definedName>
    <definedName name="Type_of_Interest_Rate">'אפשרויות בחירה'!$C$592:$C$594</definedName>
    <definedName name="Type_of_Security" localSheetId="33">'[1]אפשרויות בחירה'!$C$520:$C$543</definedName>
    <definedName name="Type_of_Security" localSheetId="32">'[1]אפשרויות בחירה'!$C$520:$C$543</definedName>
    <definedName name="Type_of_Security">'אפשרויות בחירה'!$C$520:$C$543</definedName>
    <definedName name="Type_of_Security_ID" localSheetId="33">'[1]אפשרויות בחירה'!$C$127:$C$131</definedName>
    <definedName name="Type_of_Security_ID" localSheetId="32">'[1]אפשרויות בחירה'!$C$127:$C$131</definedName>
    <definedName name="Type_of_Security_ID">'אפשרויות בחירה'!$C$127:$C$131</definedName>
    <definedName name="Type_of_Security_ID_Fund" localSheetId="33">'[1]אפשרויות בחירה'!$C$132:$C$134</definedName>
    <definedName name="Type_of_Security_ID_Fund" localSheetId="32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33">'[1]אפשרויות בחירה'!$C$499:$C$513</definedName>
    <definedName name="Underlying_Asset" localSheetId="32">'[1]אפשרויות בחירה'!$C$499:$C$513</definedName>
    <definedName name="Underlying_Asset">'אפשרויות בחירה'!$C$499:$C$513</definedName>
    <definedName name="Underlying_Asset_Structured" localSheetId="33">'[1]אפשרויות בחירה'!$C$1094:$C$1105</definedName>
    <definedName name="Underlying_Asset_Structured" localSheetId="32">'[1]אפשרויות בחירה'!$C$1094:$C$1105</definedName>
    <definedName name="Underlying_Asset_Structured">'אפשרויות בחירה'!$C$1094:$C$1105</definedName>
    <definedName name="Underlying_Interest_Rates" localSheetId="33">'[1]אפשרויות בחירה'!$C$668:$C$679</definedName>
    <definedName name="Underlying_Interest_Rates" localSheetId="32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33">'[1]אפשרויות בחירה'!$C$649:$C$653</definedName>
    <definedName name="Valuation" localSheetId="32">'[1]אפשרויות בחירה'!$C$649:$C$653</definedName>
    <definedName name="Valuation">'אפשרויות בחירה'!$C$649:$C$653</definedName>
    <definedName name="Valuation_Loans" localSheetId="33">'[1]אפשרויות בחירה'!$C$1091:$C$1092</definedName>
    <definedName name="Valuation_Loans" localSheetId="32">'[1]אפשרויות בחירה'!$C$1091:$C$1092</definedName>
    <definedName name="Valuation_Loans">'אפשרויות בחירה'!$C$1091:$C$1092</definedName>
    <definedName name="Valuation_Method" localSheetId="33">'[1]אפשרויות בחירה'!$C$643:$C$648</definedName>
    <definedName name="Valuation_Method" localSheetId="32">'[1]אפשרויות בחירה'!$C$643:$C$648</definedName>
    <definedName name="Valuation_Method">'אפשרויות בחירה'!$C$643:$C$648</definedName>
    <definedName name="Valuation_Realestate" localSheetId="33">'[1]אפשרויות בחירה'!$C$1108:$C$1111</definedName>
    <definedName name="Valuation_Realestate" localSheetId="32">'[1]אפשרויות בחירה'!$C$1108:$C$1111</definedName>
    <definedName name="Valuation_Realestate">'אפשרויות בחירה'!$C$1108:$C$1111</definedName>
    <definedName name="What_is_rated" localSheetId="33">'[1]אפשרויות בחירה'!$C$182:$C$185</definedName>
    <definedName name="What_is_rated" localSheetId="32">'[1]אפשרויות בחירה'!$C$182:$C$185</definedName>
    <definedName name="What_is_rated">'אפשרויות בחירה'!$C$182:$C$185</definedName>
    <definedName name="what_is_rated_loans" localSheetId="33">'[1]אפשרויות בחירה'!$C$183:$C$185</definedName>
    <definedName name="what_is_rated_loans" localSheetId="32">'[1]אפשרויות בחירה'!$C$183:$C$185</definedName>
    <definedName name="what_is_rated_loans">'אפשרויות בחירה'!$C$183:$C$185</definedName>
    <definedName name="YEAR">'File Name Info'!$A$21:$A$31</definedName>
    <definedName name="Yes_No_Bad_Debt" localSheetId="33">'[1]אפשרויות בחירה'!$C$595:$C$596</definedName>
    <definedName name="Yes_No_Bad_Debt" localSheetId="32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9" i="7" l="1"/>
</calcChain>
</file>

<file path=xl/sharedStrings.xml><?xml version="1.0" encoding="utf-8"?>
<sst xmlns="http://schemas.openxmlformats.org/spreadsheetml/2006/main" count="9608" uniqueCount="2123">
  <si>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</si>
  <si>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</si>
  <si>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</si>
  <si>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</si>
  <si>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</si>
  <si>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</si>
  <si>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</si>
  <si>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</si>
  <si>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יהב - פ.ר.ח.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</si>
  <si>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</si>
  <si>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</si>
  <si>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</si>
  <si>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</si>
  <si>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</si>
  <si>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</si>
  <si>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</si>
  <si>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</si>
  <si>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</si>
  <si>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</si>
  <si>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</si>
  <si>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</si>
  <si>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</si>
  <si>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</si>
  <si>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</si>
  <si>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</si>
  <si>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</si>
  <si>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</si>
  <si>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</si>
  <si>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</si>
  <si>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</si>
  <si>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</si>
  <si>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</si>
  <si>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</si>
  <si>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</si>
  <si>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</si>
  <si>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</si>
  <si>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</si>
  <si>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</si>
  <si>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</si>
  <si>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</si>
  <si>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</si>
  <si>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</si>
  <si>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</si>
  <si>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</si>
  <si>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</si>
  <si>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</si>
  <si>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</si>
  <si>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</si>
  <si>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</si>
  <si>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</si>
  <si>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</si>
  <si>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</si>
  <si>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</si>
  <si>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</si>
  <si>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</si>
  <si>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</si>
  <si>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</si>
  <si>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</si>
  <si>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</si>
  <si>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</si>
  <si>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</si>
  <si>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</si>
  <si>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</si>
  <si>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</si>
  <si>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</si>
  <si>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</si>
  <si>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</si>
  <si>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</si>
  <si>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</si>
  <si>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</si>
  <si>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</si>
  <si>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</si>
  <si>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</si>
  <si>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</si>
  <si>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</si>
  <si>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</si>
  <si>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</si>
  <si>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</si>
  <si>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ILS</t>
  </si>
  <si>
    <t>GBP</t>
  </si>
  <si>
    <t>מזומן ועו"ש בש"ח</t>
  </si>
  <si>
    <t>USD</t>
  </si>
  <si>
    <t>פק"מ לתקופה של עד שלושה חודשים</t>
  </si>
  <si>
    <t>Aaa.il</t>
  </si>
  <si>
    <t>מידרוג Moodys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</si>
  <si>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</si>
  <si>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</si>
  <si>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</si>
  <si>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</si>
  <si>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</si>
  <si>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</si>
  <si>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</si>
  <si>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</si>
  <si>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</si>
  <si>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</si>
  <si>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</si>
  <si>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</si>
  <si>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</si>
  <si>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</si>
  <si>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</si>
  <si>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</si>
  <si>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</si>
  <si>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</si>
  <si>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</si>
  <si>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</si>
  <si>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</si>
  <si>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</si>
  <si>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0330</t>
  </si>
  <si>
    <t>IL0011609851</t>
  </si>
  <si>
    <t>31/03/2030</t>
  </si>
  <si>
    <t>ממשל צמודה 1131</t>
  </si>
  <si>
    <t>IL0011722209</t>
  </si>
  <si>
    <t>צמוד למדד המחירים לצרכן בריבית קבועה</t>
  </si>
  <si>
    <t>30/11/2031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</si>
  <si>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</si>
  <si>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</si>
  <si>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</si>
  <si>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</si>
  <si>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</si>
  <si>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</si>
  <si>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צמודה 1025</t>
  </si>
  <si>
    <t>IL0011359127</t>
  </si>
  <si>
    <t>31/10/2025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</si>
  <si>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</si>
  <si>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</si>
  <si>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</si>
  <si>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</si>
  <si>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</si>
  <si>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</si>
  <si>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</si>
  <si>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</si>
  <si>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</si>
  <si>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</si>
  <si>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</si>
  <si>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</si>
  <si>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0432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</si>
  <si>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</si>
  <si>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</si>
  <si>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</si>
  <si>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</si>
  <si>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</si>
  <si>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</si>
  <si>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</si>
  <si>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</si>
  <si>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</si>
  <si>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</si>
  <si>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</si>
  <si>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</si>
  <si>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</si>
  <si>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</si>
  <si>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</si>
  <si>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</si>
  <si>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</si>
  <si>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</si>
  <si>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</si>
  <si>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</si>
  <si>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</si>
  <si>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</si>
  <si>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נייר ערך</t>
  </si>
  <si>
    <t>01/07/2032</t>
  </si>
  <si>
    <t>החוב לא נחות</t>
  </si>
  <si>
    <t>אנלייט אנרגיה</t>
  </si>
  <si>
    <t>אנלייט אנ אגח ד</t>
  </si>
  <si>
    <t>IL0072002566</t>
  </si>
  <si>
    <t>אנרגיה מתחדשת</t>
  </si>
  <si>
    <t>A2.il</t>
  </si>
  <si>
    <t>02/09/2029</t>
  </si>
  <si>
    <t>אנלייט אנר אגח ז</t>
  </si>
  <si>
    <t>IL0012181223</t>
  </si>
  <si>
    <t>01/09/2033</t>
  </si>
  <si>
    <t>מגדלי ים תיכון</t>
  </si>
  <si>
    <t>מגדלי תיכון אגח ו</t>
  </si>
  <si>
    <t>IL0011991242</t>
  </si>
  <si>
    <t>נדל"ן מניב בישראל</t>
  </si>
  <si>
    <t>30/06/2032</t>
  </si>
  <si>
    <t>מגדלי תיכון אגח ז</t>
  </si>
  <si>
    <t>IL0012176942</t>
  </si>
  <si>
    <t>01/07/2035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</si>
  <si>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</si>
  <si>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</si>
  <si>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</si>
  <si>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</si>
  <si>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</si>
  <si>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</si>
  <si>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ה</t>
  </si>
  <si>
    <t>IL0011988867</t>
  </si>
  <si>
    <t>01/07/2029</t>
  </si>
  <si>
    <t>פתאל אירו אגח ו</t>
  </si>
  <si>
    <t>IL0012192865</t>
  </si>
  <si>
    <t>01/10/2034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</si>
  <si>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</si>
  <si>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</si>
  <si>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</si>
  <si>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</si>
  <si>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</si>
  <si>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</si>
  <si>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</si>
  <si>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</si>
  <si>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</si>
  <si>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</si>
  <si>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</si>
  <si>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</si>
  <si>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</si>
  <si>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</si>
  <si>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מניף-שירותים פיננסיים</t>
  </si>
  <si>
    <t>מניף אגח ג</t>
  </si>
  <si>
    <t>IL0012167206</t>
  </si>
  <si>
    <t>אשראי חוץ בנקאי</t>
  </si>
  <si>
    <t>30/11/2029</t>
  </si>
  <si>
    <t>עזריאלי קבוצה</t>
  </si>
  <si>
    <t>עזריאלי אגח ט</t>
  </si>
  <si>
    <t>IL0012092537</t>
  </si>
  <si>
    <t>Aa1.il</t>
  </si>
  <si>
    <t>02/01/2046</t>
  </si>
  <si>
    <t>הראל השקעות</t>
  </si>
  <si>
    <t>הראל השק אגח א</t>
  </si>
  <si>
    <t>IL0058501102</t>
  </si>
  <si>
    <t>ביטוח</t>
  </si>
  <si>
    <t>Aa2.il</t>
  </si>
  <si>
    <t>31/12/2035</t>
  </si>
  <si>
    <t>מזרחי טפחות הנפ</t>
  </si>
  <si>
    <t>מז טפ הנפק 61</t>
  </si>
  <si>
    <t>IL0023104644</t>
  </si>
  <si>
    <t>בנקים</t>
  </si>
  <si>
    <t>04/12/2026</t>
  </si>
  <si>
    <t>ויתניה</t>
  </si>
  <si>
    <t>ויתניה אגח ז</t>
  </si>
  <si>
    <t>IL0012162413</t>
  </si>
  <si>
    <t>AA</t>
  </si>
  <si>
    <t>ישרס</t>
  </si>
  <si>
    <t>ישרס אגח יט</t>
  </si>
  <si>
    <t>IL0061303488</t>
  </si>
  <si>
    <t>31/03/2036</t>
  </si>
  <si>
    <t>מישורים חברה פת</t>
  </si>
  <si>
    <t>מישורים אגח ט</t>
  </si>
  <si>
    <t>IL0011787970</t>
  </si>
  <si>
    <t>Baa1.il</t>
  </si>
  <si>
    <t>31/12/2028</t>
  </si>
  <si>
    <t>אשטרום נכסים</t>
  </si>
  <si>
    <t>אשטרום נכ אגח14</t>
  </si>
  <si>
    <t>IL0012018961</t>
  </si>
  <si>
    <t>ilA</t>
  </si>
  <si>
    <t>01/01/2034</t>
  </si>
  <si>
    <t>אשטרום נכסים אגח 9</t>
  </si>
  <si>
    <t>IL0025101705</t>
  </si>
  <si>
    <t>01/10/2029</t>
  </si>
  <si>
    <t>אשטרום קבוצה</t>
  </si>
  <si>
    <t>אשטרום קב אגח ד</t>
  </si>
  <si>
    <t>IL0011829897</t>
  </si>
  <si>
    <t>31/12/2029</t>
  </si>
  <si>
    <t>דלק קבוצה</t>
  </si>
  <si>
    <t>דלק קבוצה אגח לט</t>
  </si>
  <si>
    <t>IL0012057720</t>
  </si>
  <si>
    <t>חיפושי נפט וגז</t>
  </si>
  <si>
    <t>ilA-</t>
  </si>
  <si>
    <t>31/12/2032</t>
  </si>
  <si>
    <t>דלק קבוצה אגח מ</t>
  </si>
  <si>
    <t>IL0012173899</t>
  </si>
  <si>
    <t>30/06/2033</t>
  </si>
  <si>
    <t>הכשרת הישוב בישראל בע"מ</t>
  </si>
  <si>
    <t>הכשרת ישוב אג24</t>
  </si>
  <si>
    <t>IL0011915191</t>
  </si>
  <si>
    <t>נאוויטס פטרוליום</t>
  </si>
  <si>
    <t>נאוויטס פט אגחו</t>
  </si>
  <si>
    <t>IL0012048257</t>
  </si>
  <si>
    <t>30/09/2029</t>
  </si>
  <si>
    <t>אפי נכסים</t>
  </si>
  <si>
    <t>אפי נכסים אגח טז</t>
  </si>
  <si>
    <t>IL0012109471</t>
  </si>
  <si>
    <t>ilA+</t>
  </si>
  <si>
    <t>אשטרום נכ אגח 12</t>
  </si>
  <si>
    <t>IL0025102794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</si>
  <si>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</si>
  <si>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</si>
  <si>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</si>
  <si>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</si>
  <si>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</si>
  <si>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</si>
  <si>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</si>
  <si>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</si>
  <si>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</si>
  <si>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הראל הנפקות</t>
  </si>
  <si>
    <t>הראל הנפקות נדחים כא</t>
  </si>
  <si>
    <t>IL0012206079</t>
  </si>
  <si>
    <t>01/07/2074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</si>
  <si>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</si>
  <si>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</si>
  <si>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</si>
  <si>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</si>
  <si>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</si>
  <si>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</si>
  <si>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</si>
  <si>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</si>
  <si>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</t>
  </si>
  <si>
    <t>IL0011783672</t>
  </si>
  <si>
    <t>31/03/2032</t>
  </si>
  <si>
    <t>מגה אור אגח יא</t>
  </si>
  <si>
    <t>IL0011783755</t>
  </si>
  <si>
    <t>סלקום</t>
  </si>
  <si>
    <t>סלקום אגח יג</t>
  </si>
  <si>
    <t>IL0011891905</t>
  </si>
  <si>
    <t>תקשורת ומדיה</t>
  </si>
  <si>
    <t>06/01/2030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</si>
  <si>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</si>
  <si>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</si>
  <si>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</si>
  <si>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</si>
  <si>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</si>
  <si>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</si>
  <si>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</si>
  <si>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</si>
  <si>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</si>
  <si>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</si>
  <si>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</si>
  <si>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</si>
  <si>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</si>
  <si>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</si>
  <si>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</si>
  <si>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</si>
  <si>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</si>
  <si>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05/01/2032</t>
  </si>
  <si>
    <t>אקויטל</t>
  </si>
  <si>
    <t>אקויטל אגח 4</t>
  </si>
  <si>
    <t>IL0011976078</t>
  </si>
  <si>
    <t>25/07/2036</t>
  </si>
  <si>
    <t>בזק</t>
  </si>
  <si>
    <t>בזק אגח 12</t>
  </si>
  <si>
    <t>IL0023002426</t>
  </si>
  <si>
    <t>02/06/2030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</si>
  <si>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</si>
  <si>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</si>
  <si>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</si>
  <si>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</si>
  <si>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</si>
  <si>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</si>
  <si>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</si>
  <si>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</si>
  <si>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גב ים אגח יא</t>
  </si>
  <si>
    <t>IL0012083395</t>
  </si>
  <si>
    <t>מליסרון</t>
  </si>
  <si>
    <t>מליסרון אגח טז</t>
  </si>
  <si>
    <t>IL0032302650</t>
  </si>
  <si>
    <t>01/04/2027</t>
  </si>
  <si>
    <t>מליסרון אגח יט</t>
  </si>
  <si>
    <t>IL0032303989</t>
  </si>
  <si>
    <t>מליסרון אגח כא</t>
  </si>
  <si>
    <t>IL0011946386</t>
  </si>
  <si>
    <t>01/01/2037</t>
  </si>
  <si>
    <t>סילברסטין נכסים לימיטד</t>
  </si>
  <si>
    <t>סילברסטין אגח ג</t>
  </si>
  <si>
    <t>IL0012116484</t>
  </si>
  <si>
    <t>ארה"ב</t>
  </si>
  <si>
    <t>31/12/2030</t>
  </si>
  <si>
    <t>הפניקס גיוסי הו</t>
  </si>
  <si>
    <t>פניקס הון אגחטו</t>
  </si>
  <si>
    <t>IL0012019530</t>
  </si>
  <si>
    <t>1 ריט</t>
  </si>
  <si>
    <t>ריט 1 אגח ז</t>
  </si>
  <si>
    <t>IL0011712713</t>
  </si>
  <si>
    <t>20/09/2034</t>
  </si>
  <si>
    <t>אלוני חץ</t>
  </si>
  <si>
    <t>אלוני חץ אגח יג</t>
  </si>
  <si>
    <t>IL0011894065</t>
  </si>
  <si>
    <t>ilAA-</t>
  </si>
  <si>
    <t>01/03/2037</t>
  </si>
  <si>
    <t>אלקו החזקות</t>
  </si>
  <si>
    <t>אלקו אגח יג</t>
  </si>
  <si>
    <t>IL0069402332</t>
  </si>
  <si>
    <t>16/09/2029</t>
  </si>
  <si>
    <t>ביג</t>
  </si>
  <si>
    <t>ביג אגח כ</t>
  </si>
  <si>
    <t>IL0011861882</t>
  </si>
  <si>
    <t>01/05/2033</t>
  </si>
  <si>
    <t>דיסקונט מנפיקים</t>
  </si>
  <si>
    <t>דיסקונט מנ נד ט</t>
  </si>
  <si>
    <t>IL0011912461</t>
  </si>
  <si>
    <t>30/11/2033</t>
  </si>
  <si>
    <t>הראל הנפ אגח יא</t>
  </si>
  <si>
    <t>IL0011363160</t>
  </si>
  <si>
    <t>הראל הנפ אגח יח</t>
  </si>
  <si>
    <t>IL0011826661</t>
  </si>
  <si>
    <t>הראל הנפק אגח כ</t>
  </si>
  <si>
    <t>IL0012079849</t>
  </si>
  <si>
    <t>31/12/2036</t>
  </si>
  <si>
    <t>הראל הנפקות אגח י</t>
  </si>
  <si>
    <t>IL0011340481</t>
  </si>
  <si>
    <t>ירושלים הנפקות</t>
  </si>
  <si>
    <t>ירושלים הנ אגח יט</t>
  </si>
  <si>
    <t>IL0012014333</t>
  </si>
  <si>
    <t>31/01/2031</t>
  </si>
  <si>
    <t>ירושליםהנ אגח טז</t>
  </si>
  <si>
    <t>IL0011721706</t>
  </si>
  <si>
    <t>כלל עסקי ביטוח</t>
  </si>
  <si>
    <t>כלל ביטוח אגח ג</t>
  </si>
  <si>
    <t>IL0012013913</t>
  </si>
  <si>
    <t>02/11/2031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</si>
  <si>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</si>
  <si>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</si>
  <si>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</si>
  <si>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</si>
  <si>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</si>
  <si>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</si>
  <si>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</si>
  <si>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לאומי</t>
  </si>
  <si>
    <t>לאומי התח נד406</t>
  </si>
  <si>
    <t>IL0012164237</t>
  </si>
  <si>
    <t>28/02/2036</t>
  </si>
  <si>
    <t>מז טפ הנפ הת 69</t>
  </si>
  <si>
    <t>IL0012021593</t>
  </si>
  <si>
    <t>25/06/2034</t>
  </si>
  <si>
    <t>נמקו ריאלטי</t>
  </si>
  <si>
    <t>נמקו אגח ו</t>
  </si>
  <si>
    <t>IL0012231713</t>
  </si>
  <si>
    <t>30/06/2030</t>
  </si>
  <si>
    <t>פועלים</t>
  </si>
  <si>
    <t>פועלים הת נד יא</t>
  </si>
  <si>
    <t>IL0012014663</t>
  </si>
  <si>
    <t>07/12/2034</t>
  </si>
  <si>
    <t>פועלים התח נד יב</t>
  </si>
  <si>
    <t>IL0012141219</t>
  </si>
  <si>
    <t>29/11/2037</t>
  </si>
  <si>
    <t>פז נפט</t>
  </si>
  <si>
    <t>פז נפט אגח ז</t>
  </si>
  <si>
    <t>IL0011425951</t>
  </si>
  <si>
    <t>01/12/2030</t>
  </si>
  <si>
    <t>עזריאלי אגח ז</t>
  </si>
  <si>
    <t>IL0011786725</t>
  </si>
  <si>
    <t>ilAA+</t>
  </si>
  <si>
    <t>02/07/2036</t>
  </si>
  <si>
    <t>עזריאלי אגח ח</t>
  </si>
  <si>
    <t>IL0011786808</t>
  </si>
  <si>
    <t>02/01/2041</t>
  </si>
  <si>
    <t>דיסק מנ אגח טו</t>
  </si>
  <si>
    <t>IL0074803045</t>
  </si>
  <si>
    <t>15/08/2032</t>
  </si>
  <si>
    <t>דיסק מנ אגח יז</t>
  </si>
  <si>
    <t>IL0012159534</t>
  </si>
  <si>
    <t>20/03/2035</t>
  </si>
  <si>
    <t>חברת החשמל לישראל בע"מ</t>
  </si>
  <si>
    <t>חשמל אגח 29</t>
  </si>
  <si>
    <t>IL0060002362</t>
  </si>
  <si>
    <t>01/03/2026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</si>
  <si>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</si>
  <si>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</si>
  <si>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</si>
  <si>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</si>
  <si>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</si>
  <si>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</si>
  <si>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</si>
  <si>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</si>
  <si>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</si>
  <si>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לאומי אגח 183</t>
  </si>
  <si>
    <t>IL0060405474</t>
  </si>
  <si>
    <t>25/11/2029</t>
  </si>
  <si>
    <t>לאומי אגח 186</t>
  </si>
  <si>
    <t>IL0012018391</t>
  </si>
  <si>
    <t>מז טפ הנפק 46</t>
  </si>
  <si>
    <t>IL0023102259</t>
  </si>
  <si>
    <t>28/09/2027</t>
  </si>
  <si>
    <t>מז טפ הנפק 52</t>
  </si>
  <si>
    <t>IL0023103810</t>
  </si>
  <si>
    <t>01/07/2030</t>
  </si>
  <si>
    <t>חברת נמלי ישראל-פיתוח נכסים בעמ</t>
  </si>
  <si>
    <t>נמלי ישראל אגח ב</t>
  </si>
  <si>
    <t>IL0011455727</t>
  </si>
  <si>
    <t>פועלים אגח 203</t>
  </si>
  <si>
    <t>IL0011998684</t>
  </si>
  <si>
    <t>02/12/2030</t>
  </si>
  <si>
    <t>נאוויטס אגח ז</t>
  </si>
  <si>
    <t>IL0012160433</t>
  </si>
  <si>
    <t>ilBBB+</t>
  </si>
  <si>
    <t>ישפרו</t>
  </si>
  <si>
    <t>ישפרו אגח א</t>
  </si>
  <si>
    <t>IL0012022906</t>
  </si>
  <si>
    <t>NR</t>
  </si>
  <si>
    <t>31/12/2027</t>
  </si>
  <si>
    <t>נאייקס</t>
  </si>
  <si>
    <t>נאייקס אגח א</t>
  </si>
  <si>
    <t>IL0012189655</t>
  </si>
  <si>
    <t>תוכנה ואינטרנט</t>
  </si>
  <si>
    <t>30/09/2030</t>
  </si>
  <si>
    <t>נמקו אגח ה</t>
  </si>
  <si>
    <t>IL0012132143</t>
  </si>
  <si>
    <t>צמוד למט"ח</t>
  </si>
  <si>
    <t>חו"ל</t>
  </si>
  <si>
    <t>15/04/2040</t>
  </si>
  <si>
    <t>אזורים</t>
  </si>
  <si>
    <t>אזורים אגח 14</t>
  </si>
  <si>
    <t>IL0071504448</t>
  </si>
  <si>
    <t>מימון ישיר</t>
  </si>
  <si>
    <t>מימון ישיר אגח ג</t>
  </si>
  <si>
    <t>IL0011712143</t>
  </si>
  <si>
    <t>31/12/2025</t>
  </si>
  <si>
    <t>אלקטרהנדלן אגחו</t>
  </si>
  <si>
    <t>IL0011745648</t>
  </si>
  <si>
    <t>30/05/2030</t>
  </si>
  <si>
    <t>עזריאלי אגח ד</t>
  </si>
  <si>
    <t>IL0011386500</t>
  </si>
  <si>
    <t>05/07/2030</t>
  </si>
  <si>
    <t>מנורה מב הון</t>
  </si>
  <si>
    <t>מנורה הון התח ו</t>
  </si>
  <si>
    <t>IL0011602419</t>
  </si>
  <si>
    <t>Aa3.il</t>
  </si>
  <si>
    <t>נכסים ובנין</t>
  </si>
  <si>
    <t>נכסים ובנין אגח ט</t>
  </si>
  <si>
    <t>IL0069902125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</si>
  <si>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</si>
  <si>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</si>
  <si>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</si>
  <si>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</si>
  <si>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</si>
  <si>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</si>
  <si>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או.פי.סי אנרגיה</t>
  </si>
  <si>
    <t>או.פי.סי אגח ג</t>
  </si>
  <si>
    <t>IL0011803553</t>
  </si>
  <si>
    <t>01/09/2030</t>
  </si>
  <si>
    <t>אלקטרה</t>
  </si>
  <si>
    <t>אלקטרה אגח ד</t>
  </si>
  <si>
    <t>IL0073901493</t>
  </si>
  <si>
    <t>30/06/2026</t>
  </si>
  <si>
    <t>סלקום אגח ט</t>
  </si>
  <si>
    <t>IL0011328361</t>
  </si>
  <si>
    <t>06/07/2025</t>
  </si>
  <si>
    <t>סלקום אגח יב</t>
  </si>
  <si>
    <t>IL0011430803</t>
  </si>
  <si>
    <t>05/01/2028</t>
  </si>
  <si>
    <t>שפיר הנדסה</t>
  </si>
  <si>
    <t>שפיר הנדס אגח ב</t>
  </si>
  <si>
    <t>IL0011419517</t>
  </si>
  <si>
    <t>מתכת ומוצרי בניה</t>
  </si>
  <si>
    <t>מבנה</t>
  </si>
  <si>
    <t>מבני תעשיה אגח טז</t>
  </si>
  <si>
    <t>IL0022604388</t>
  </si>
  <si>
    <t>פניקס הון אגח יא</t>
  </si>
  <si>
    <t>IL0011593592</t>
  </si>
  <si>
    <t>ריט 1 אגח ה</t>
  </si>
  <si>
    <t>IL0011367534</t>
  </si>
  <si>
    <t>20/09/2028</t>
  </si>
  <si>
    <t>שופרסל</t>
  </si>
  <si>
    <t>שופרסל אגח ד</t>
  </si>
  <si>
    <t>IL0077701915</t>
  </si>
  <si>
    <t>08/10/2029</t>
  </si>
  <si>
    <t>ביג אגח יב</t>
  </si>
  <si>
    <t>IL0011562316</t>
  </si>
  <si>
    <t>25/02/2028</t>
  </si>
  <si>
    <t>הראל הנפ אגח יג</t>
  </si>
  <si>
    <t>IL0011381717</t>
  </si>
  <si>
    <t>הראל הנפקות אגח ט</t>
  </si>
  <si>
    <t>IL0011340309</t>
  </si>
  <si>
    <t>ירושליםהנ אגח טו</t>
  </si>
  <si>
    <t>IL0011617698</t>
  </si>
  <si>
    <t>31/12/2026</t>
  </si>
  <si>
    <t>כללביט אגח ט</t>
  </si>
  <si>
    <t>IL0011360505</t>
  </si>
  <si>
    <t>31/07/2028</t>
  </si>
  <si>
    <t>פז נפט אגח ו</t>
  </si>
  <si>
    <t>IL0011395428</t>
  </si>
  <si>
    <t>30/11/2028</t>
  </si>
  <si>
    <t>לאומי אגח 184</t>
  </si>
  <si>
    <t>IL0060406043</t>
  </si>
  <si>
    <t>05/05/2030</t>
  </si>
  <si>
    <t>מז טפ הנ אגח 64</t>
  </si>
  <si>
    <t>IL0023105559</t>
  </si>
  <si>
    <t>13/04/2031</t>
  </si>
  <si>
    <t>פועלים אגח 100</t>
  </si>
  <si>
    <t>IL0066204889</t>
  </si>
  <si>
    <t>09/12/2031</t>
  </si>
  <si>
    <t>צור</t>
  </si>
  <si>
    <t>צור אגח י</t>
  </si>
  <si>
    <t>IL0073001716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</si>
  <si>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</si>
  <si>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</si>
  <si>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</si>
  <si>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</si>
  <si>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</si>
  <si>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</si>
  <si>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</si>
  <si>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</si>
  <si>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</si>
  <si>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</si>
  <si>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</si>
  <si>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</si>
  <si>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</si>
  <si>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</si>
  <si>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</si>
  <si>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</si>
  <si>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</si>
  <si>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</si>
  <si>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</si>
  <si>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</si>
  <si>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</si>
  <si>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</si>
  <si>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</si>
  <si>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</si>
  <si>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</si>
  <si>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</si>
  <si>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</si>
  <si>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</si>
  <si>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פרטנר</t>
  </si>
  <si>
    <t>IL0010834849</t>
  </si>
  <si>
    <t>מטריקס</t>
  </si>
  <si>
    <t>IL0004450156</t>
  </si>
  <si>
    <t>דיסקונט</t>
  </si>
  <si>
    <t>IL0006912120</t>
  </si>
  <si>
    <t>אברא</t>
  </si>
  <si>
    <t>בבילון</t>
  </si>
  <si>
    <t>IL0011016669</t>
  </si>
  <si>
    <t>שטראוס גרופ</t>
  </si>
  <si>
    <t>שטראוס</t>
  </si>
  <si>
    <t>IL0007460160</t>
  </si>
  <si>
    <t>מזון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</si>
  <si>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</si>
  <si>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</si>
  <si>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</si>
  <si>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</si>
  <si>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</si>
  <si>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</si>
  <si>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</si>
  <si>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</si>
  <si>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</si>
  <si>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</si>
  <si>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</si>
  <si>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קבוצת דלק בע"מ מ"ר 1</t>
  </si>
  <si>
    <t>IL0010841281</t>
  </si>
  <si>
    <t>הפועלים</t>
  </si>
  <si>
    <t>IL0006625771</t>
  </si>
  <si>
    <t>מליסרון מ"ר 1 ש"ח</t>
  </si>
  <si>
    <t>IL0003230146</t>
  </si>
  <si>
    <t>IL0011000077</t>
  </si>
  <si>
    <t>IL0002810146</t>
  </si>
  <si>
    <t>רמי לוי</t>
  </si>
  <si>
    <t>IL0011042491</t>
  </si>
  <si>
    <t>מבני תעשיה בע"מ מ"ר 1 ש"ח</t>
  </si>
  <si>
    <t>IL0002260193</t>
  </si>
  <si>
    <t>דלתא</t>
  </si>
  <si>
    <t>דלתא גליל מר</t>
  </si>
  <si>
    <t>IL0006270347</t>
  </si>
  <si>
    <t>אופנה והלבשה</t>
  </si>
  <si>
    <t>טאואר</t>
  </si>
  <si>
    <t>טאואר סמיקונדקטור</t>
  </si>
  <si>
    <t>IL0010823792</t>
  </si>
  <si>
    <t>מוליכים למחצה</t>
  </si>
  <si>
    <t>תאת טכנולוגיות</t>
  </si>
  <si>
    <t>תאת טכנולוגיות מ"ר</t>
  </si>
  <si>
    <t>IL0010827264</t>
  </si>
  <si>
    <t>חשמל</t>
  </si>
  <si>
    <t>IL0005760173</t>
  </si>
  <si>
    <t>בית שמש</t>
  </si>
  <si>
    <t>מנועי בית שמש מ"ר 1</t>
  </si>
  <si>
    <t>IL0010815616</t>
  </si>
  <si>
    <t>מהדרין</t>
  </si>
  <si>
    <t>מהדרין מ"ר 1</t>
  </si>
  <si>
    <t>IL0006860147</t>
  </si>
  <si>
    <t>IL0011194789</t>
  </si>
  <si>
    <t>טיב טעם</t>
  </si>
  <si>
    <t>טיב טעם הולדינגס מ"ר 1</t>
  </si>
  <si>
    <t>IL0001030100</t>
  </si>
  <si>
    <t>אלקטרה צריכה</t>
  </si>
  <si>
    <t>IL0050101299</t>
  </si>
  <si>
    <t>איי.די.איי. חברה לביטוח בעמ</t>
  </si>
  <si>
    <t>איידיאיי ביטוח</t>
  </si>
  <si>
    <t>IL0011295016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</si>
  <si>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</si>
  <si>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</si>
  <si>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</si>
  <si>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</si>
  <si>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</si>
  <si>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</si>
  <si>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</si>
  <si>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</si>
  <si>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</si>
  <si>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</si>
  <si>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</si>
  <si>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</si>
  <si>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הולמס פלייס</t>
  </si>
  <si>
    <t>IL0011425878</t>
  </si>
  <si>
    <t>שרותים</t>
  </si>
  <si>
    <t>פתאל החזקות</t>
  </si>
  <si>
    <t>IL0011434292</t>
  </si>
  <si>
    <t>מלונאות ותיירות</t>
  </si>
  <si>
    <t>אנרג'יאן נפט וגז פי אל סי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</si>
  <si>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</si>
  <si>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</si>
  <si>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</si>
  <si>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</si>
  <si>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</si>
  <si>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</si>
  <si>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ארגו פרופרטיז</t>
  </si>
  <si>
    <t>NL0015000D84</t>
  </si>
  <si>
    <t>ביונ תלת מימד</t>
  </si>
  <si>
    <t>IL0011755613</t>
  </si>
  <si>
    <t>רובוטיקה ותלת מימד</t>
  </si>
  <si>
    <t>קבוצת אקרשטיין בע"מ</t>
  </si>
  <si>
    <t>קבוצת אקרשטיין</t>
  </si>
  <si>
    <t>IL0011762056</t>
  </si>
  <si>
    <t>מניף</t>
  </si>
  <si>
    <t>IL0011708935</t>
  </si>
  <si>
    <t>מקס סטוק</t>
  </si>
  <si>
    <t>IL0011685588</t>
  </si>
  <si>
    <t>הראל פיקדון סחיר בע"מ</t>
  </si>
  <si>
    <t>אר פי אופטיקל</t>
  </si>
  <si>
    <t>אחר</t>
  </si>
  <si>
    <t>MICROSOFT</t>
  </si>
  <si>
    <t>INR2EJN1ERAN0W5ZP974</t>
  </si>
  <si>
    <t>LEI</t>
  </si>
  <si>
    <t>MICROSOFT CORP</t>
  </si>
  <si>
    <t>US5949181045</t>
  </si>
  <si>
    <t>NASDAQ</t>
  </si>
  <si>
    <t>Software</t>
  </si>
  <si>
    <t>BERKSHIRE HATHWAY</t>
  </si>
  <si>
    <t>BERKSHIRE HTHWY</t>
  </si>
  <si>
    <t>US0846707026</t>
  </si>
  <si>
    <t>NYSE</t>
  </si>
  <si>
    <t>Other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</si>
  <si>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</si>
  <si>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</si>
  <si>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</si>
  <si>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</si>
  <si>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</si>
  <si>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</si>
  <si>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NORTHROP GRUMMAN</t>
  </si>
  <si>
    <t>NORTHROP GRUMMA</t>
  </si>
  <si>
    <t>US6668071029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</si>
  <si>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</si>
  <si>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</si>
  <si>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</si>
  <si>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</si>
  <si>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</si>
  <si>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</si>
  <si>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</si>
  <si>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</si>
  <si>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</si>
  <si>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ALPHABET</t>
  </si>
  <si>
    <t>5493006MHB84DD0ZWV18</t>
  </si>
  <si>
    <t>ALPHABET INC-CL C</t>
  </si>
  <si>
    <t>US02079K1079</t>
  </si>
  <si>
    <t>Wireless Telecommunication Services</t>
  </si>
  <si>
    <t>INTEL CORPORATION</t>
  </si>
  <si>
    <t>INTEL CORP</t>
  </si>
  <si>
    <t>US4581401001</t>
  </si>
  <si>
    <t>AMAZON.COM</t>
  </si>
  <si>
    <t>ZXTILKJKG63JELOEG630</t>
  </si>
  <si>
    <t>AMAZON.COM INC</t>
  </si>
  <si>
    <t>US0231351067</t>
  </si>
  <si>
    <t>ADVANCED MICRO DEVICES</t>
  </si>
  <si>
    <t>R2I72C950HOYXII45366</t>
  </si>
  <si>
    <t>ADVANCED MICRO</t>
  </si>
  <si>
    <t>US0079031078</t>
  </si>
  <si>
    <t>ELI LILLY</t>
  </si>
  <si>
    <t>FRDRIPF3EKNDJ2CQJL29</t>
  </si>
  <si>
    <t>LILLY CO</t>
  </si>
  <si>
    <t>US5324571083</t>
  </si>
  <si>
    <t>Pharmaceuticals</t>
  </si>
  <si>
    <t>NIKE</t>
  </si>
  <si>
    <t>787RXPR0UX0O0XUXPZ81</t>
  </si>
  <si>
    <t>NIKE INC -CL B</t>
  </si>
  <si>
    <t>US6541061031</t>
  </si>
  <si>
    <t>Consumer Durables &amp; Apparel</t>
  </si>
  <si>
    <t>PROLOGIS</t>
  </si>
  <si>
    <t>US74340W1036</t>
  </si>
  <si>
    <t>AIRBNB</t>
  </si>
  <si>
    <t>AIRBNB INC-CLAS</t>
  </si>
  <si>
    <t>US0090661010</t>
  </si>
  <si>
    <t>BIOGEN IDEC</t>
  </si>
  <si>
    <t>BIOGEN IDEC INC</t>
  </si>
  <si>
    <t>US09062X1037</t>
  </si>
  <si>
    <t>UBER TECHNOLOGIED</t>
  </si>
  <si>
    <t>Uber Technologies</t>
  </si>
  <si>
    <t>US90353T1007</t>
  </si>
  <si>
    <t>JANNUS</t>
  </si>
  <si>
    <t>JANNUS HEND HOR</t>
  </si>
  <si>
    <t>LU0828813369</t>
  </si>
  <si>
    <t>FLEX LTD</t>
  </si>
  <si>
    <t>LTD</t>
  </si>
  <si>
    <t>SG9999000020</t>
  </si>
  <si>
    <t>MERCADOLIBRE INC</t>
  </si>
  <si>
    <t>MERCADOLIBRE IN</t>
  </si>
  <si>
    <t>US58733R1023</t>
  </si>
  <si>
    <t>ORACLE</t>
  </si>
  <si>
    <t>1Z4GXXU7ZHVWFCD8TV52</t>
  </si>
  <si>
    <t>ORACLE CORP</t>
  </si>
  <si>
    <t>US68389X1054</t>
  </si>
  <si>
    <t>MARVELL TECHNOLOGY GROUP</t>
  </si>
  <si>
    <t>MARVELL TECHNOL</t>
  </si>
  <si>
    <t>US5738741041</t>
  </si>
  <si>
    <t>SCHLUMBERGER</t>
  </si>
  <si>
    <t>SCHLUMBERGER LT</t>
  </si>
  <si>
    <t>AN8068571086</t>
  </si>
  <si>
    <t>Energy Equipment &amp; Services</t>
  </si>
  <si>
    <t>ALESCO</t>
  </si>
  <si>
    <t>ALESCO PREF.FUN</t>
  </si>
  <si>
    <t>KYG015912085</t>
  </si>
  <si>
    <t>סיווג הקרן</t>
  </si>
  <si>
    <t>מגדל קרנות נאמנות בע"מ</t>
  </si>
  <si>
    <t>.ח.פ</t>
  </si>
  <si>
    <t>) ת"א 904Aסל )mtf</t>
  </si>
  <si>
    <t>IL0011502593</t>
  </si>
  <si>
    <t>עוקב אחר מדדי מניות בישראל</t>
  </si>
  <si>
    <t>90 מניות בארץ - מניות כללי-ת"א</t>
  </si>
  <si>
    <t>מור ניהול קרנות נאמנות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</si>
  <si>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</si>
  <si>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</si>
  <si>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</si>
  <si>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</si>
  <si>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</si>
  <si>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</si>
  <si>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</si>
  <si>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מנוטרלת מט"חNIKKEITF225.M</t>
  </si>
  <si>
    <t>IL0011505315</t>
  </si>
  <si>
    <t>יפן</t>
  </si>
  <si>
    <t>NIKKEI 225 - מניות בחו"ל - מניות גיאוגרפי - מנוטרלת מט"ח-אסיה יפן</t>
  </si>
  <si>
    <t>INVESCO</t>
  </si>
  <si>
    <t>549300VY6FEJBCIMET58</t>
  </si>
  <si>
    <t>INVESCO QQQ TRUST SERIES 1</t>
  </si>
  <si>
    <t>US46090E1038</t>
  </si>
  <si>
    <t>Equity Funds</t>
  </si>
  <si>
    <t>SPDR TRUST</t>
  </si>
  <si>
    <t>549300EJNY3KKJHPOY44</t>
  </si>
  <si>
    <t>HEALTH CARE SELECT SECTOR</t>
  </si>
  <si>
    <t>US81369Y2090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</si>
  <si>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</si>
  <si>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</si>
  <si>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</si>
  <si>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</si>
  <si>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</si>
  <si>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</si>
  <si>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</si>
  <si>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LSE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</si>
  <si>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</si>
  <si>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</si>
  <si>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</si>
  <si>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</si>
  <si>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</si>
  <si>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</si>
  <si>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</si>
  <si>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LYXOR</t>
  </si>
  <si>
    <t>213800MPG89TQUBL5C29</t>
  </si>
  <si>
    <t>LYXOR ETF 600 H</t>
  </si>
  <si>
    <t>LU1834986900</t>
  </si>
  <si>
    <t>אירופה</t>
  </si>
  <si>
    <t>54930064FLK0RD4TRU75</t>
  </si>
  <si>
    <t>ENERGY SELECT SECTOR SPDR</t>
  </si>
  <si>
    <t>US81369Y5069</t>
  </si>
  <si>
    <t>5493001YVWPO25CNKN94</t>
  </si>
  <si>
    <t>ISHARES CHINA LARGE-CAP ETF</t>
  </si>
  <si>
    <t>US4642871846</t>
  </si>
  <si>
    <t>סין</t>
  </si>
  <si>
    <t>549300N0QVNMDXCU4R13</t>
  </si>
  <si>
    <t>ISHARES CORE FTSE 100</t>
  </si>
  <si>
    <t>IE0005042456</t>
  </si>
  <si>
    <t>VANECK VECTORS</t>
  </si>
  <si>
    <t>549300MJTG2N9QRH7I02</t>
  </si>
  <si>
    <t>VANECK SEMICONDUCTOR ETF</t>
  </si>
  <si>
    <t>US92189F6768</t>
  </si>
  <si>
    <t>GLOBAL X MANAGEMENT</t>
  </si>
  <si>
    <t>549300P5QELW9NWLDY61</t>
  </si>
  <si>
    <t>GLOBAL X US INFRASTRUCTURE</t>
  </si>
  <si>
    <t>US37954Y6730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</si>
  <si>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</si>
  <si>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</si>
  <si>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</si>
  <si>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</si>
  <si>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</si>
  <si>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</si>
  <si>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INVESCO AEROSPACE &amp; DEFENSE</t>
  </si>
  <si>
    <t>US46137V1008</t>
  </si>
  <si>
    <t>549300NNE4LGFWCGLC69</t>
  </si>
  <si>
    <t>INVESCO S&amp;P 500 EQUAL WEIGHT</t>
  </si>
  <si>
    <t>US46137V3244</t>
  </si>
  <si>
    <t>FIRST TRUST ADVISORS</t>
  </si>
  <si>
    <t>549300IMO4B4W5RWYH14</t>
  </si>
  <si>
    <t>FIRST TRST NASD</t>
  </si>
  <si>
    <t>US33737A1088</t>
  </si>
  <si>
    <t>549300BBJPWNKDPREW36</t>
  </si>
  <si>
    <t>SPDR S&amp;P CAPITAL MARKETS ETF</t>
  </si>
  <si>
    <t>US78464A7717</t>
  </si>
  <si>
    <t>VANECK DEFENSE</t>
  </si>
  <si>
    <t xml:space="preserve">254900AUH77IV6EFT897 </t>
  </si>
  <si>
    <t>IE000YYE6WK5</t>
  </si>
  <si>
    <t>549300TT5VW373IGI142</t>
  </si>
  <si>
    <t>SPDR BLOOMBERG</t>
  </si>
  <si>
    <t>IE0004TYCC17</t>
  </si>
  <si>
    <t>עוקב אחר מדדים אחרים בחו"ל</t>
  </si>
  <si>
    <t>Bond/Fixed Income Funds</t>
  </si>
  <si>
    <t>MSCI</t>
  </si>
  <si>
    <t xml:space="preserve">549300K53ZG6VNCNTO67 </t>
  </si>
  <si>
    <t>Xtrackers MSCI Europe UCITS ETF 1C</t>
  </si>
  <si>
    <t>LU0274209237</t>
  </si>
  <si>
    <t>קסם קרנות נאמנות</t>
  </si>
  <si>
    <t>) תל בונד שקלי00) יETF קסם</t>
  </si>
  <si>
    <t>IL0011464141</t>
  </si>
  <si>
    <t>עוקב אחר מדדים אחרים בישראל</t>
  </si>
  <si>
    <t>אג"ח בארץ - חברות והמרה-תל בונד שקלי-תל בונד- שקלי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</si>
  <si>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</si>
  <si>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</si>
  <si>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</si>
  <si>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</si>
  <si>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</si>
  <si>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</si>
  <si>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</si>
  <si>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</si>
  <si>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</si>
  <si>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</si>
  <si>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</si>
  <si>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</si>
  <si>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הודו</t>
  </si>
  <si>
    <t>CIFC</t>
  </si>
  <si>
    <t>5493001KJTIIGC8Y1R12</t>
  </si>
  <si>
    <t>CIFC SCL ISR E</t>
  </si>
  <si>
    <t>KYG2139S1277</t>
  </si>
  <si>
    <t>אג"ח קונצרני</t>
  </si>
  <si>
    <t>ARUKGIA LN</t>
  </si>
  <si>
    <t>QXLNS35572JXFT415E26</t>
  </si>
  <si>
    <t>Artemis UK Select Fund I Acc</t>
  </si>
  <si>
    <t>GB00B2PLJG05</t>
  </si>
  <si>
    <t>NOMJSIU</t>
  </si>
  <si>
    <t>635400SQUKRVVPKOEQ45</t>
  </si>
  <si>
    <t>NOMJSIU ID</t>
  </si>
  <si>
    <t>IE00B3YZ8K73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</si>
  <si>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</si>
  <si>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</si>
  <si>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</si>
  <si>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</si>
  <si>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</si>
  <si>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</si>
  <si>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01/06/2026</t>
  </si>
  <si>
    <t>נאייקס אפ 1</t>
  </si>
  <si>
    <t>IL0012189812</t>
  </si>
  <si>
    <t>נכס בסיס</t>
  </si>
  <si>
    <t>NASDAQ100</t>
  </si>
  <si>
    <t>NASDAQ 100 E-MINI SEP25</t>
  </si>
  <si>
    <t>NQ1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</si>
  <si>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</si>
  <si>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</si>
  <si>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</si>
  <si>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</si>
  <si>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</si>
  <si>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</si>
  <si>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</si>
  <si>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</si>
  <si>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</si>
  <si>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</si>
  <si>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</si>
  <si>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</si>
  <si>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</si>
  <si>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</si>
  <si>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</si>
  <si>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</si>
  <si>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</si>
  <si>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</si>
  <si>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</si>
  <si>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</si>
  <si>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</si>
  <si>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</si>
  <si>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</si>
  <si>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לא סחיר</t>
  </si>
  <si>
    <t xml:space="preserve">29/12/2006 </t>
  </si>
  <si>
    <t>29/12/2026</t>
  </si>
  <si>
    <t>חברת ציטוט</t>
  </si>
  <si>
    <t>אי תלות</t>
  </si>
  <si>
    <t xml:space="preserve">30/06/2025 </t>
  </si>
  <si>
    <t>מרכז תעשיות מידע חיפה בע"מ</t>
  </si>
  <si>
    <t>מת"ם אגח א -רמ</t>
  </si>
  <si>
    <t>IL0011389991</t>
  </si>
  <si>
    <t xml:space="preserve">05/12/2018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</si>
  <si>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</si>
  <si>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</si>
  <si>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</si>
  <si>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</si>
  <si>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</si>
  <si>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</si>
  <si>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</si>
  <si>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</si>
  <si>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>בהשעיה</t>
  </si>
  <si>
    <t xml:space="preserve">31/08/2016 </t>
  </si>
  <si>
    <t>N/A</t>
  </si>
  <si>
    <t>החוב נחות</t>
  </si>
  <si>
    <t>כן</t>
  </si>
  <si>
    <t>קיימת תלות</t>
  </si>
  <si>
    <t>31/12/2024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</si>
  <si>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</si>
  <si>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</si>
  <si>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</si>
  <si>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</si>
  <si>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</si>
  <si>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</si>
  <si>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קאר אנד גו</t>
  </si>
  <si>
    <t>קאר אנד גו 2009</t>
  </si>
  <si>
    <t xml:space="preserve">27/05/2004 </t>
  </si>
  <si>
    <t>ilC</t>
  </si>
  <si>
    <t>אול-יר הולדינגס לימיטד</t>
  </si>
  <si>
    <t>אולר-יר אגח ה</t>
  </si>
  <si>
    <t xml:space="preserve">06/04/2022 </t>
  </si>
  <si>
    <t>31/07/2024</t>
  </si>
  <si>
    <t>אלון חברת הדלק</t>
  </si>
  <si>
    <t>אלון דלק בנאמנות</t>
  </si>
  <si>
    <t>מניות לא סחירות</t>
  </si>
  <si>
    <t xml:space="preserve">31/12/2020 </t>
  </si>
  <si>
    <t>גורם תלוי/פנימי</t>
  </si>
  <si>
    <t>יומן אקסטנשנס</t>
  </si>
  <si>
    <t>Human xtensions</t>
  </si>
  <si>
    <t>מכשור רפואי</t>
  </si>
  <si>
    <t xml:space="preserve">31/01/2021 </t>
  </si>
  <si>
    <t>מומחה בלתי תלוי</t>
  </si>
  <si>
    <t>ויולה ג'נריישין קפיטל</t>
  </si>
  <si>
    <t>ויולה ג'נריישן ניהול</t>
  </si>
  <si>
    <t>תשתיות</t>
  </si>
  <si>
    <t xml:space="preserve">29/06/2025 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</si>
  <si>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</si>
  <si>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</si>
  <si>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</si>
  <si>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</si>
  <si>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</si>
  <si>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</si>
  <si>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מסחר ושרותים</t>
  </si>
  <si>
    <t xml:space="preserve">ODYSIGHT </t>
  </si>
  <si>
    <t>ODYSIGHT  INC</t>
  </si>
  <si>
    <t xml:space="preserve">28/04/2021 </t>
  </si>
  <si>
    <t>ALESCO PFD V</t>
  </si>
  <si>
    <t>ALESC 7X</t>
  </si>
  <si>
    <t>ALESC 0 23/6/36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</si>
  <si>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</si>
  <si>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</si>
  <si>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</si>
  <si>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</si>
  <si>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</si>
  <si>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</si>
  <si>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</si>
  <si>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</si>
  <si>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</si>
  <si>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</si>
  <si>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</si>
  <si>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</si>
  <si>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</si>
  <si>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</si>
  <si>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אלפא ערך בע"מ</t>
  </si>
  <si>
    <t>קרן גידור אלפא</t>
  </si>
  <si>
    <t>קרן גידור (Hedge Fund)</t>
  </si>
  <si>
    <t>איי קיימן</t>
  </si>
  <si>
    <t xml:space="preserve">12/04/2007 </t>
  </si>
  <si>
    <t>דיווח מנהל הקרן</t>
  </si>
  <si>
    <t xml:space="preserve">08/06/2025 </t>
  </si>
  <si>
    <t>Windin Capital</t>
  </si>
  <si>
    <t>WINDIN  CAPITAL FUND LP</t>
  </si>
  <si>
    <t>קרן השקעה אחרת</t>
  </si>
  <si>
    <t>Buyout</t>
  </si>
  <si>
    <t xml:space="preserve">10/03/2022 </t>
  </si>
  <si>
    <t xml:space="preserve">29/05/2025 </t>
  </si>
  <si>
    <t>ספרה פארקינג ניהול בע"מ</t>
  </si>
  <si>
    <t>ספרה פארק-אין ג'י פי</t>
  </si>
  <si>
    <t>קרן נדל"ן</t>
  </si>
  <si>
    <t xml:space="preserve">07/12/2021 </t>
  </si>
  <si>
    <t xml:space="preserve">10/06/2025 </t>
  </si>
  <si>
    <t>MV Senior GP S.a r.l</t>
  </si>
  <si>
    <t xml:space="preserve">2016 2429 508 </t>
  </si>
  <si>
    <t>מספר תאגיד או שותפות בחו"ל</t>
  </si>
  <si>
    <t>MV SENIOR 2</t>
  </si>
  <si>
    <t>קרן חוב</t>
  </si>
  <si>
    <t>Direct Lending Debt</t>
  </si>
  <si>
    <t>לוכסמבורג</t>
  </si>
  <si>
    <t>גרמניה</t>
  </si>
  <si>
    <t xml:space="preserve">08/03/2021 </t>
  </si>
  <si>
    <t xml:space="preserve">21/05/2025 </t>
  </si>
  <si>
    <t>ALEMIF III Management LLC</t>
  </si>
  <si>
    <t xml:space="preserve">84-3368433 </t>
  </si>
  <si>
    <t>אלקטרה נדל"ן 3</t>
  </si>
  <si>
    <t>Value Added Real Estate</t>
  </si>
  <si>
    <t xml:space="preserve">29/04/2021 </t>
  </si>
  <si>
    <t xml:space="preserve">17/06/2025 </t>
  </si>
  <si>
    <t>AP Fund II GP LLC</t>
  </si>
  <si>
    <t xml:space="preserve">82-1064081 </t>
  </si>
  <si>
    <t>Blue Atlantic partners II</t>
  </si>
  <si>
    <t xml:space="preserve">28/02/2018 </t>
  </si>
  <si>
    <t>Madison Realty Capital Debt Fund V GP LLC</t>
  </si>
  <si>
    <t xml:space="preserve">84-2386457 </t>
  </si>
  <si>
    <t>Madison realty cap debt v</t>
  </si>
  <si>
    <t xml:space="preserve">23/06/2025 </t>
  </si>
  <si>
    <t>HarbourVest Partners LLC</t>
  </si>
  <si>
    <t xml:space="preserve">801-53287 </t>
  </si>
  <si>
    <t>DOVER 10</t>
  </si>
  <si>
    <t>פרייבט אקוויטי</t>
  </si>
  <si>
    <t>Secondaries</t>
  </si>
  <si>
    <t xml:space="preserve">08/03/2020 </t>
  </si>
  <si>
    <t xml:space="preserve">26/06/2025 </t>
  </si>
  <si>
    <t>ALTO</t>
  </si>
  <si>
    <t>אלטו נדלן 3</t>
  </si>
  <si>
    <t xml:space="preserve">16/04/2018 </t>
  </si>
  <si>
    <t>AP Fund III GP LLC</t>
  </si>
  <si>
    <t xml:space="preserve">84-2057868 </t>
  </si>
  <si>
    <t>Blue Atlantic partners III</t>
  </si>
  <si>
    <t xml:space="preserve">04/08/2022 </t>
  </si>
  <si>
    <t>Hamilton Lane Advisors LLC</t>
  </si>
  <si>
    <t xml:space="preserve">23-2962336 </t>
  </si>
  <si>
    <t>Hamilton Lane CI IV</t>
  </si>
  <si>
    <t>Co-Investment/Direct</t>
  </si>
  <si>
    <t xml:space="preserve">11/04/2021 </t>
  </si>
  <si>
    <t>EMIF II Management LLC</t>
  </si>
  <si>
    <t xml:space="preserve">82-5051216 </t>
  </si>
  <si>
    <t>אלקטרה נדל"ן 2</t>
  </si>
  <si>
    <t xml:space="preserve">06/06/2023 </t>
  </si>
  <si>
    <t xml:space="preserve">05/06/2025 </t>
  </si>
  <si>
    <t>Pantheon Access GP S.a r.l</t>
  </si>
  <si>
    <t xml:space="preserve">B 201.101 </t>
  </si>
  <si>
    <t>PANTHEON ACCESS</t>
  </si>
  <si>
    <t>קרן אנרגיה ותשתיות</t>
  </si>
  <si>
    <t>Debt Infrastructure</t>
  </si>
  <si>
    <t xml:space="preserve">03/05/2022 </t>
  </si>
  <si>
    <t xml:space="preserve">11/05/2025 </t>
  </si>
  <si>
    <t xml:space="preserve">FORMA FUND GENERAL PARTNER LTD </t>
  </si>
  <si>
    <t>Forma Fund I</t>
  </si>
  <si>
    <t xml:space="preserve">18/03/2020 </t>
  </si>
  <si>
    <t>א. רוטשילד ת ניהול נכסים בע"מ</t>
  </si>
  <si>
    <t xml:space="preserve">18/11/2020 </t>
  </si>
  <si>
    <t xml:space="preserve">31/03/2025 </t>
  </si>
  <si>
    <t>איבו ג'י.פי. אוף ג'י.פי. בע"מ</t>
  </si>
  <si>
    <t>אי.בי.אי פילאר גטינגן נכסים 1</t>
  </si>
  <si>
    <t xml:space="preserve">13/12/2021 </t>
  </si>
  <si>
    <t xml:space="preserve">19/06/2025 </t>
  </si>
  <si>
    <t>MV Subordinated GP S.a r.l.</t>
  </si>
  <si>
    <t xml:space="preserve">2016 24 43519 </t>
  </si>
  <si>
    <t>MV Subordinated V</t>
  </si>
  <si>
    <t>Mezzanine Debt</t>
  </si>
  <si>
    <t xml:space="preserve">26/08/2021 </t>
  </si>
  <si>
    <t>FORMA EUROPEAN FUND II GENERAL PARTNER LTD</t>
  </si>
  <si>
    <t>Forma European Fund II</t>
  </si>
  <si>
    <t xml:space="preserve">13/07/2021 </t>
  </si>
  <si>
    <t xml:space="preserve">18/05/2025 </t>
  </si>
  <si>
    <t>Vintage Investments 11 (Access) L.P.</t>
  </si>
  <si>
    <t xml:space="preserve">MC-96011 </t>
  </si>
  <si>
    <t>VINTAGE 5 ACCESS</t>
  </si>
  <si>
    <t>FOF/Managed Account</t>
  </si>
  <si>
    <t>ODYSIGHT אופציה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</si>
  <si>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</si>
  <si>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</si>
  <si>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</si>
  <si>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</si>
  <si>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</si>
  <si>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</si>
  <si>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</si>
  <si>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</si>
  <si>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</si>
  <si>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</si>
  <si>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</si>
  <si>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</si>
  <si>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</si>
  <si>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</si>
  <si>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</si>
  <si>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</si>
  <si>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</si>
  <si>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</si>
  <si>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</si>
  <si>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</si>
  <si>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</si>
  <si>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</si>
  <si>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</si>
  <si>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</si>
  <si>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</si>
  <si>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</si>
  <si>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</si>
  <si>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</si>
  <si>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</si>
  <si>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</si>
  <si>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</si>
  <si>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</si>
  <si>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</si>
  <si>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</si>
  <si>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</si>
  <si>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13/05/2025</t>
  </si>
  <si>
    <t>12/11/2025</t>
  </si>
  <si>
    <t>ללא</t>
  </si>
  <si>
    <t>No-delivery</t>
  </si>
  <si>
    <t>גורם אחר</t>
  </si>
  <si>
    <t>FIRBILIT</t>
  </si>
  <si>
    <t>EURILS</t>
  </si>
  <si>
    <t>13/06/2025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</si>
  <si>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</si>
  <si>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</si>
  <si>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</si>
  <si>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</si>
  <si>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</si>
  <si>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</si>
  <si>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</si>
  <si>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</si>
  <si>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</si>
  <si>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</si>
  <si>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</si>
  <si>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</si>
  <si>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</si>
  <si>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</si>
  <si>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</si>
  <si>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</si>
  <si>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</si>
  <si>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</si>
  <si>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</si>
  <si>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</si>
  <si>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</si>
  <si>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</si>
  <si>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</si>
  <si>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ALESC 0</t>
  </si>
  <si>
    <t xml:space="preserve">17/01/2022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</si>
  <si>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</si>
  <si>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</si>
  <si>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</si>
  <si>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</si>
  <si>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</si>
  <si>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</si>
  <si>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</si>
  <si>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</si>
  <si>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</si>
  <si>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</si>
  <si>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</si>
  <si>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</si>
  <si>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</si>
  <si>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</si>
  <si>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</si>
  <si>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</si>
  <si>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</si>
  <si>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</si>
  <si>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</si>
  <si>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</si>
  <si>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</si>
  <si>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</si>
  <si>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</si>
  <si>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</si>
  <si>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</si>
  <si>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</si>
  <si>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</si>
  <si>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</si>
  <si>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</si>
  <si>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</si>
  <si>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</si>
  <si>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</si>
  <si>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</si>
  <si>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</si>
  <si>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</si>
  <si>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</si>
  <si>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</si>
  <si>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</si>
  <si>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</si>
  <si>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</si>
  <si>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</si>
  <si>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</si>
  <si>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</si>
  <si>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</si>
  <si>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</si>
  <si>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</si>
  <si>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</si>
  <si>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</si>
  <si>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</si>
  <si>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</si>
  <si>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</si>
  <si>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</si>
  <si>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</si>
  <si>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</si>
  <si>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</si>
  <si>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</si>
  <si>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</si>
  <si>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</si>
  <si>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</si>
  <si>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</si>
  <si>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</si>
  <si>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</si>
  <si>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</si>
  <si>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</si>
  <si>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</si>
  <si>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</si>
  <si>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</si>
  <si>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</si>
  <si>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</si>
  <si>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</si>
  <si>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</si>
  <si>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</si>
  <si>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</si>
  <si>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</si>
  <si>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</si>
  <si>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</si>
  <si>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</si>
  <si>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</si>
  <si>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</si>
  <si>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</si>
  <si>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</si>
  <si>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</si>
  <si>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</si>
  <si>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</si>
  <si>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</si>
  <si>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</si>
  <si>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</si>
  <si>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</si>
  <si>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</si>
  <si>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</si>
  <si>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</si>
  <si>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</si>
  <si>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</si>
  <si>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</si>
  <si>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</si>
  <si>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</si>
  <si>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</si>
  <si>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</si>
  <si>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</si>
  <si>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</si>
  <si>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</si>
  <si>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</si>
  <si>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</si>
  <si>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</si>
  <si>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</si>
  <si>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</si>
  <si>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</si>
  <si>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</si>
  <si>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</si>
  <si>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</si>
  <si>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</si>
  <si>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</si>
  <si>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</si>
  <si>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</si>
  <si>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</si>
  <si>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</si>
  <si>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</si>
  <si>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</si>
  <si>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</si>
  <si>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</si>
  <si>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</si>
  <si>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</si>
  <si>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</si>
  <si>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</si>
  <si>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</si>
  <si>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</si>
  <si>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</si>
  <si>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</si>
  <si>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</si>
  <si>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</si>
  <si>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</si>
  <si>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</si>
  <si>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</si>
  <si>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</si>
  <si>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</si>
  <si>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</si>
  <si>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</si>
  <si>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</si>
  <si>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</si>
  <si>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</si>
  <si>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</si>
  <si>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</si>
  <si>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</si>
  <si>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</si>
  <si>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</si>
  <si>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</si>
  <si>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</si>
  <si>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</si>
  <si>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</si>
  <si>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</si>
  <si>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</si>
  <si>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</si>
  <si>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</si>
  <si>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</si>
  <si>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</si>
  <si>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</si>
  <si>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</si>
  <si>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</si>
  <si>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</si>
  <si>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</si>
  <si>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</si>
  <si>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</si>
  <si>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</si>
  <si>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</si>
  <si>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</si>
  <si>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</si>
  <si>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</si>
  <si>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</si>
  <si>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</si>
  <si>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</si>
  <si>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</si>
  <si>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</si>
  <si>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</si>
  <si>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</si>
  <si>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</si>
  <si>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</si>
  <si>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</si>
  <si>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</si>
  <si>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</si>
  <si>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</si>
  <si>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</si>
  <si>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</si>
  <si>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</si>
  <si>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</si>
  <si>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</si>
  <si>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</si>
  <si>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</si>
  <si>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</si>
  <si>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</si>
  <si>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</si>
  <si>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</si>
  <si>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</si>
  <si>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</si>
  <si>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</si>
  <si>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</si>
  <si>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</si>
  <si>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</si>
  <si>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</si>
  <si>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</si>
  <si>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</si>
  <si>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</si>
  <si>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</si>
  <si>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</si>
  <si>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</si>
  <si>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</si>
  <si>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</si>
  <si>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</si>
  <si>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</si>
  <si>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</si>
  <si>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</si>
  <si>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</si>
  <si>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</si>
  <si>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</si>
  <si>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</si>
  <si>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</si>
  <si>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</si>
  <si>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</si>
  <si>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</si>
  <si>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</si>
  <si>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</si>
  <si>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</si>
  <si>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</si>
  <si>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</si>
  <si>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</si>
  <si>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</si>
  <si>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</si>
  <si>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</si>
  <si>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</si>
  <si>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</si>
  <si>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</si>
  <si>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</si>
  <si>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</si>
  <si>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</si>
  <si>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</si>
  <si>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</si>
  <si>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</si>
  <si>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</si>
  <si>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</si>
  <si>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</si>
  <si>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</si>
  <si>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</si>
  <si>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</si>
  <si>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</si>
  <si>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</si>
  <si>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</si>
  <si>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</si>
  <si>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</si>
  <si>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</si>
  <si>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</si>
  <si>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</si>
  <si>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</si>
  <si>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</si>
  <si>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</si>
  <si>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</si>
  <si>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</si>
  <si>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</si>
  <si>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</si>
  <si>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</si>
  <si>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</si>
  <si>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</si>
  <si>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</si>
  <si>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</si>
  <si>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</si>
  <si>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</si>
  <si>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</si>
  <si>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</si>
  <si>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</si>
  <si>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</si>
  <si>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</si>
  <si>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</si>
  <si>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</si>
  <si>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</si>
  <si>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</si>
  <si>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</si>
  <si>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</si>
  <si>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</si>
  <si>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</si>
  <si>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</si>
  <si>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</si>
  <si>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</si>
  <si>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</si>
  <si>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</si>
  <si>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</si>
  <si>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</si>
  <si>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</si>
  <si>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</si>
  <si>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</si>
  <si>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</si>
  <si>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</si>
  <si>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</si>
  <si>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</si>
  <si>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</si>
  <si>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</si>
  <si>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</si>
  <si>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</si>
  <si>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</si>
  <si>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</si>
  <si>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</si>
  <si>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</si>
  <si>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</si>
  <si>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</si>
  <si>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</si>
  <si>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</si>
  <si>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</si>
  <si>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</si>
  <si>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</si>
  <si>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</si>
  <si>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</si>
  <si>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</si>
  <si>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</si>
  <si>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</si>
  <si>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</si>
  <si>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</si>
  <si>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</si>
  <si>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</si>
  <si>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</si>
  <si>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</si>
  <si>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</si>
  <si>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</si>
  <si>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</si>
  <si>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</si>
  <si>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</si>
  <si>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</si>
  <si>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</si>
  <si>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</si>
  <si>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</si>
  <si>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</si>
  <si>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</si>
  <si>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</si>
  <si>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</si>
  <si>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</si>
  <si>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</si>
  <si>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</si>
  <si>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</si>
  <si>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</si>
  <si>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</si>
  <si>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</si>
  <si>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</si>
  <si>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</si>
  <si>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</si>
  <si>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</si>
  <si>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</si>
  <si>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</si>
  <si>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</si>
  <si>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</si>
  <si>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</si>
  <si>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</si>
  <si>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</si>
  <si>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</si>
  <si>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</si>
  <si>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</si>
  <si>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</si>
  <si>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</si>
  <si>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</si>
  <si>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</si>
  <si>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</si>
  <si>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</si>
  <si>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</si>
  <si>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</si>
  <si>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</si>
  <si>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</si>
  <si>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</si>
  <si>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</si>
  <si>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</si>
  <si>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</si>
  <si>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</si>
  <si>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</si>
  <si>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</si>
  <si>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</si>
  <si>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</si>
  <si>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</si>
  <si>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</si>
  <si>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</si>
  <si>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</si>
  <si>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</si>
  <si>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</si>
  <si>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</si>
  <si>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</si>
  <si>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</si>
  <si>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</si>
  <si>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</si>
  <si>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</si>
  <si>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</si>
  <si>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</si>
  <si>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</si>
  <si>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</si>
  <si>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</si>
  <si>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</si>
  <si>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</si>
  <si>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</si>
  <si>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</si>
  <si>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</si>
  <si>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</si>
  <si>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</si>
  <si>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</si>
  <si>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</si>
  <si>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</si>
  <si>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</si>
  <si>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</si>
  <si>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</si>
  <si>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</si>
  <si>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</si>
  <si>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</si>
  <si>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</si>
  <si>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</si>
  <si>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</si>
  <si>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</si>
  <si>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</si>
  <si>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</si>
  <si>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</si>
  <si>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</si>
  <si>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</si>
  <si>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</si>
  <si>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</si>
  <si>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</si>
  <si>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</si>
  <si>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</si>
  <si>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</si>
  <si>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</si>
  <si>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</si>
  <si>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</si>
  <si>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</si>
  <si>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</si>
  <si>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</si>
  <si>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</si>
  <si>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</si>
  <si>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</si>
  <si>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</si>
  <si>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</si>
  <si>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</si>
  <si>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</si>
  <si>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</si>
  <si>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</si>
  <si>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</si>
  <si>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</si>
  <si>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</si>
  <si>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</si>
  <si>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</si>
  <si>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</si>
  <si>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</si>
  <si>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</si>
  <si>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</si>
  <si>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</si>
  <si>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</si>
  <si>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</si>
  <si>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</si>
  <si>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</si>
  <si>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</si>
  <si>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</si>
  <si>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</si>
  <si>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</si>
  <si>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</si>
  <si>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</si>
  <si>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</si>
  <si>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</si>
  <si>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</si>
  <si>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</si>
  <si>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</si>
  <si>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</si>
  <si>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</si>
  <si>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</si>
  <si>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</si>
  <si>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</si>
  <si>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</si>
  <si>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</si>
  <si>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</si>
  <si>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</si>
  <si>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</si>
  <si>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</si>
  <si>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</si>
  <si>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</si>
  <si>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</si>
  <si>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</si>
  <si>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</si>
  <si>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</si>
  <si>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</si>
  <si>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</si>
  <si>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</si>
  <si>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</si>
  <si>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</si>
  <si>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</si>
  <si>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</si>
  <si>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</si>
  <si>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</si>
  <si>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</si>
  <si>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</si>
  <si>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</si>
  <si>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</si>
  <si>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</si>
  <si>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</si>
  <si>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</si>
  <si>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</si>
  <si>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</si>
  <si>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</si>
  <si>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</si>
  <si>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</si>
  <si>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</si>
  <si>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</si>
  <si>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</si>
  <si>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</si>
  <si>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</si>
  <si>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</si>
  <si>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</si>
  <si>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</si>
  <si>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</si>
  <si>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</si>
  <si>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</si>
  <si>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</si>
  <si>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</si>
  <si>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</si>
  <si>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</si>
  <si>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</si>
  <si>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</si>
  <si>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</si>
  <si>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</si>
  <si>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</si>
  <si>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</si>
  <si>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</si>
  <si>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</si>
  <si>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</si>
  <si>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</si>
  <si>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</si>
  <si>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</si>
  <si>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</si>
  <si>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</si>
  <si>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</si>
  <si>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</si>
  <si>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</si>
  <si>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</si>
  <si>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</si>
  <si>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</si>
  <si>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</si>
  <si>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</si>
  <si>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</si>
  <si>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</si>
  <si>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</si>
  <si>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</si>
  <si>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</si>
  <si>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</si>
  <si>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</si>
  <si>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</si>
  <si>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</si>
  <si>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</si>
  <si>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</si>
  <si>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</si>
  <si>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</si>
  <si>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</si>
  <si>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</si>
  <si>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</si>
  <si>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</si>
  <si>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</si>
  <si>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</si>
  <si>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</si>
  <si>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</si>
  <si>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</si>
  <si>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</si>
  <si>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</si>
  <si>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</si>
  <si>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</si>
  <si>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</si>
  <si>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</si>
  <si>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</si>
  <si>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</si>
  <si>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</si>
  <si>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</si>
  <si>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</si>
  <si>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</si>
  <si>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</si>
  <si>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</si>
  <si>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</si>
  <si>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</si>
  <si>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</si>
  <si>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</si>
  <si>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</si>
  <si>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</si>
  <si>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</si>
  <si>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</si>
  <si>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</si>
  <si>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</si>
  <si>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</si>
  <si>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</si>
  <si>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Core</t>
  </si>
  <si>
    <t>Core-Plus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</si>
  <si>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</si>
  <si>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</si>
  <si>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</si>
  <si>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</si>
  <si>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</si>
  <si>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</si>
  <si>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</si>
  <si>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</si>
  <si>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</si>
  <si>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</si>
  <si>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</si>
  <si>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</si>
  <si>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</si>
  <si>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</si>
  <si>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</si>
  <si>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</si>
  <si>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</si>
  <si>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</si>
  <si>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</si>
  <si>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</si>
  <si>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</si>
  <si>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</si>
  <si>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</si>
  <si>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</si>
  <si>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</si>
  <si>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</si>
  <si>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</si>
  <si>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</si>
  <si>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</si>
  <si>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</si>
  <si>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</si>
  <si>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</si>
  <si>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</si>
  <si>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</si>
  <si>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</si>
  <si>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</si>
  <si>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</si>
  <si>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</si>
  <si>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</si>
  <si>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</si>
  <si>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</si>
  <si>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</si>
  <si>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</si>
  <si>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</si>
  <si>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</si>
  <si>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</si>
  <si>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</si>
  <si>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</si>
  <si>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</si>
  <si>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</si>
  <si>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</si>
  <si>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</si>
  <si>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</si>
  <si>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</si>
  <si>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</si>
  <si>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</si>
  <si>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</si>
  <si>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</si>
  <si>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</si>
  <si>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</si>
  <si>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</si>
  <si>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</si>
  <si>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</si>
  <si>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</si>
  <si>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</si>
  <si>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</si>
  <si>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</si>
  <si>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</si>
  <si>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</si>
  <si>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</si>
  <si>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</si>
  <si>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</si>
  <si>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</si>
  <si>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</si>
  <si>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</si>
  <si>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</si>
  <si>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</si>
  <si>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</si>
  <si>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</si>
  <si>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</si>
  <si>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</si>
  <si>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</si>
  <si>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</si>
  <si>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</si>
  <si>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</si>
  <si>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</si>
  <si>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</si>
  <si>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</si>
  <si>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</si>
  <si>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</si>
  <si>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</si>
  <si>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</si>
  <si>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</si>
  <si>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</si>
  <si>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</si>
  <si>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</si>
  <si>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</si>
  <si>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</si>
  <si>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</si>
  <si>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</si>
  <si>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</si>
  <si>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</si>
  <si>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</si>
  <si>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</si>
  <si>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</si>
  <si>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</si>
  <si>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</si>
  <si>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</si>
  <si>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</si>
  <si>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</si>
  <si>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</si>
  <si>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</si>
  <si>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</si>
  <si>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</si>
  <si>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</si>
  <si>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</si>
  <si>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</si>
  <si>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</si>
  <si>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</si>
  <si>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</si>
  <si>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</si>
  <si>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</si>
  <si>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</si>
  <si>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</si>
  <si>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</si>
  <si>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</si>
  <si>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</si>
  <si>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</si>
  <si>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</si>
  <si>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</si>
  <si>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</si>
  <si>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</si>
  <si>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</si>
  <si>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</si>
  <si>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</si>
  <si>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</si>
  <si>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</si>
  <si>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</si>
  <si>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</si>
  <si>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</si>
  <si>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</si>
  <si>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</si>
  <si>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</si>
  <si>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</si>
  <si>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</si>
  <si>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</si>
  <si>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</si>
  <si>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</si>
  <si>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</si>
  <si>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</si>
  <si>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</si>
  <si>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</si>
  <si>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</si>
  <si>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</si>
  <si>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</si>
  <si>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</si>
  <si>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</si>
  <si>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</si>
  <si>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</si>
  <si>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</si>
  <si>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</si>
  <si>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</si>
  <si>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</si>
  <si>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</si>
  <si>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</si>
  <si>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</si>
  <si>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</si>
  <si>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</si>
  <si>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</si>
  <si>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</si>
  <si>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</si>
  <si>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</si>
  <si>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</si>
  <si>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</si>
  <si>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</si>
  <si>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</si>
  <si>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</si>
  <si>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</si>
  <si>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</si>
  <si>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</si>
  <si>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</si>
  <si>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</si>
  <si>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</si>
  <si>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</si>
  <si>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</si>
  <si>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</si>
  <si>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</si>
  <si>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</si>
  <si>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</si>
  <si>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</si>
  <si>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</si>
  <si>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</si>
  <si>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</si>
  <si>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</si>
  <si>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</si>
  <si>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</si>
  <si>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</si>
  <si>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</si>
  <si>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</si>
  <si>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</si>
  <si>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</si>
  <si>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</si>
  <si>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</si>
  <si>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</si>
  <si>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</si>
  <si>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</si>
  <si>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</si>
  <si>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</si>
  <si>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</si>
  <si>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</si>
  <si>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</si>
  <si>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</si>
  <si>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</si>
  <si>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</si>
  <si>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</si>
  <si>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</si>
  <si>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</si>
  <si>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</si>
  <si>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</si>
  <si>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</si>
  <si>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</si>
  <si>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</si>
  <si>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</si>
  <si>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</si>
  <si>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</si>
  <si>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</si>
  <si>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</si>
  <si>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</si>
  <si>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</si>
  <si>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</si>
  <si>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</si>
  <si>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</si>
  <si>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</si>
  <si>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</si>
  <si>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</si>
  <si>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</si>
  <si>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</si>
  <si>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</si>
  <si>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</si>
  <si>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</si>
  <si>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</si>
  <si>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</si>
  <si>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</si>
  <si>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</si>
  <si>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</si>
  <si>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</si>
  <si>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</si>
  <si>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</si>
  <si>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</si>
  <si>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</si>
  <si>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</si>
  <si>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</si>
  <si>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</si>
  <si>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</si>
  <si>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</si>
  <si>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</si>
  <si>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</si>
  <si>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</si>
  <si>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</si>
  <si>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</si>
  <si>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</si>
  <si>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</si>
  <si>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</si>
  <si>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</si>
  <si>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</si>
  <si>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</si>
  <si>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</si>
  <si>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</si>
  <si>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</si>
  <si>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</si>
  <si>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</si>
  <si>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</si>
  <si>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</si>
  <si>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</si>
  <si>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</si>
  <si>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</si>
  <si>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</si>
  <si>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</si>
  <si>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</si>
  <si>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</si>
  <si>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</si>
  <si>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</si>
  <si>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</si>
  <si>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</si>
  <si>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</si>
  <si>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</si>
  <si>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</si>
  <si>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</si>
  <si>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</si>
  <si>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</si>
  <si>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</si>
  <si>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</si>
  <si>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</si>
  <si>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</si>
  <si>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</si>
  <si>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</si>
  <si>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</si>
  <si>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</si>
  <si>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</si>
  <si>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</si>
  <si>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</si>
  <si>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</si>
  <si>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</si>
  <si>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</si>
  <si>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</si>
  <si>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</si>
  <si>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</si>
  <si>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</si>
  <si>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</si>
  <si>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</si>
  <si>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</si>
  <si>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</si>
  <si>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</si>
  <si>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</si>
  <si>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</si>
  <si>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</si>
  <si>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</si>
  <si>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</si>
  <si>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</si>
  <si>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</si>
  <si>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</si>
  <si>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</si>
  <si>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</si>
  <si>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</si>
  <si>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</si>
  <si>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</si>
  <si>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</si>
  <si>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</si>
  <si>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</si>
  <si>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</si>
  <si>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</si>
  <si>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</si>
  <si>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</si>
  <si>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</si>
  <si>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</si>
  <si>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</si>
  <si>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IL0012224627</t>
  </si>
  <si>
    <t>רוטשילד אירופה נדלן אדריס</t>
  </si>
  <si>
    <t>FORMA FUND GENERAL PARTNER LTD</t>
  </si>
  <si>
    <t>549300OLLMBPCCISBP98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</si>
</sst>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0.0000000%"/>
    <numFmt numFmtId="167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3">
    <xf numFmtId="0" fontId="0" fillId="0" borderId="0"/>
    <xf numFmtId="0" fontId="1" fillId="0" borderId="0"/>
    <xf numFmtId="0" fontId="25" fillId="0" borderId="0"/>
  </cellStyleXfs>
  <cellXfs count="11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4" fontId="26" fillId="0" borderId="0" xfId="2" applyNumberFormat="1" applyFont="1" applyAlignment="1">
      <alignment horizontal="right"/>
    </xf>
  </cellXfs>
  <cellStyles count="3">
    <cellStyle name="Normal" xfId="0" builtinId="0"/>
    <cellStyle name="Normal 2" xfId="2" xr:uid="{374F574E-9228-42D6-ACA1-E32995A4ED81}"/>
    <cellStyle name="Normal 3" xfId="1" xr:uid="{D04DA16C-4FFB-4118-9F72-01773CF7962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payroll-fs\Data\Malam-Gemel\Malam-Gemel\&#1495;&#1513;&#1489;&#1493;&#1514;%20&#1502;&#1500;&#1501;\&#1495;&#1513;&#1489;&#1493;&#1514;%20&#1489;&#1504;&#1511;%20&#1492;&#1508;&#1493;&#1506;&#1500;&#1497;&#1501;\&#1502;&#1491;&#1493;&#1512;%20&#1513;&#1497;&#1512;&#1493;&#1514;%20&#1493;&#1489;&#1511;&#1512;&#1492;\&#1512;&#1513;&#1497;&#1502;&#1493;&#1514;%20&#1504;&#1499;&#1505;&#1497;&#1501;\2025\Q2-2025\&#8207;&#8207;&#1492;&#1512;&#1499;&#1489;&#1514;%20&#1491;&#1493;&#1495;%20&#1512;&#1513;&#1497;&#1502;&#1514;%20&#1504;&#1499;&#1505;&#1497;&#1501;%20&#1493;&#1492;&#1504;&#1490;&#1513;&#1492;%20-%20&#1502;&#1500;&#1502;%20V7.xlsm" TargetMode="External"/><Relationship Id="rId1" Type="http://schemas.openxmlformats.org/officeDocument/2006/relationships/externalLinkPath" Target="/Malam-Gemel/Malam-Gemel/&#1495;&#1513;&#1489;&#1493;&#1514;%20&#1502;&#1500;&#1501;/&#1495;&#1513;&#1489;&#1493;&#1514;%20&#1489;&#1504;&#1511;%20&#1492;&#1508;&#1493;&#1506;&#1500;&#1497;&#1501;/&#1502;&#1491;&#1493;&#1512;%20&#1513;&#1497;&#1512;&#1493;&#1514;%20&#1493;&#1489;&#1511;&#1512;&#1492;/&#1512;&#1513;&#1497;&#1502;&#1493;&#1514;%20&#1504;&#1499;&#1505;&#1497;&#1501;/2025/Q2-2025/&#8207;&#8207;&#1492;&#1512;&#1499;&#1489;&#1514;%20&#1491;&#1493;&#1495;%20&#1512;&#1513;&#1497;&#1502;&#1514;%20&#1504;&#1499;&#1505;&#1497;&#1501;%20&#1493;&#1492;&#1504;&#1490;&#1513;&#1492;%20-%20&#1502;&#1500;&#1502;%20V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4AC6-894D-4742-9BDE-2351E1A6F913}">
  <sheetPr codeName="Sheet1"/>
  <dimension ref="A1:H29"/>
  <sheetViews>
    <sheetView showGridLines="0" rightToLeft="1" tabSelected="1" workbookViewId="0">
      <selection activeCell="B31" sqref="B31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1" t="s">
        <v>0</v>
      </c>
      <c r="B1" s="2"/>
      <c r="C1" s="2"/>
      <c r="D1" s="2"/>
    </row>
    <row r="3" spans="1:8" ht="15" x14ac:dyDescent="0.2">
      <c r="A3" t="s">
        <v>1</v>
      </c>
      <c r="D3" s="3" t="s">
        <v>2</v>
      </c>
    </row>
    <row r="5" spans="1:8" ht="15" x14ac:dyDescent="0.2">
      <c r="A5" t="s">
        <v>3</v>
      </c>
      <c r="D5" s="3" t="s">
        <v>4</v>
      </c>
    </row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2025</v>
      </c>
    </row>
    <row r="11" spans="1:8" ht="15" x14ac:dyDescent="0.2">
      <c r="A11" t="s">
        <v>7</v>
      </c>
      <c r="D11" s="3" t="s">
        <v>8</v>
      </c>
    </row>
    <row r="13" spans="1:8" ht="15" x14ac:dyDescent="0.2">
      <c r="A13" t="s">
        <v>9</v>
      </c>
      <c r="D13" s="5">
        <v>510930670</v>
      </c>
    </row>
    <row r="15" spans="1:8" ht="15" x14ac:dyDescent="0.25">
      <c r="A15" s="6" t="s">
        <v>10</v>
      </c>
      <c r="D15" s="5"/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/>
    </row>
    <row r="22" spans="1:8" x14ac:dyDescent="0.2">
      <c r="A22" s="9"/>
      <c r="B22" s="12"/>
      <c r="C22" s="12"/>
    </row>
    <row r="23" spans="1:8" ht="15" x14ac:dyDescent="0.25">
      <c r="A23" s="6" t="s">
        <v>15</v>
      </c>
      <c r="D23" t="s">
        <v>16</v>
      </c>
    </row>
    <row r="25" spans="1:8" x14ac:dyDescent="0.2">
      <c r="D25" s="13"/>
    </row>
    <row r="28" spans="1:8" ht="14.1" customHeight="1" x14ac:dyDescent="0.2">
      <c r="A28" s="14"/>
      <c r="D28" s="15"/>
      <c r="E28" s="16"/>
      <c r="F28" s="16"/>
      <c r="G28" s="16"/>
      <c r="H28" s="16"/>
    </row>
    <row r="29" spans="1:8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64DAC96-CB28-4F5A-AB5B-A49490F7B813}">
      <formula1>Company_Name</formula1>
    </dataValidation>
    <dataValidation type="list" allowBlank="1" showInputMessage="1" showErrorMessage="1" sqref="D9" xr:uid="{7D0A67DA-64F9-43D0-9612-F47C0FF604F7}">
      <formula1>YEAR</formula1>
    </dataValidation>
    <dataValidation type="list" allowBlank="1" showInputMessage="1" showErrorMessage="1" sqref="D7" xr:uid="{C34BD7C5-23EC-427B-B981-735E1E1A5926}">
      <formula1>QTR</formula1>
    </dataValidation>
    <dataValidation type="list" allowBlank="1" showInputMessage="1" showErrorMessage="1" sqref="D5" xr:uid="{F3EDC9A3-5871-44FA-8976-52C188BC9E35}">
      <formula1>File_Type</formula1>
    </dataValidation>
    <dataValidation type="list" allowBlank="1" showInputMessage="1" showErrorMessage="1" sqref="D3" xr:uid="{BF6FB000-5605-4BFF-AB78-CFD804020919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4798-ABCB-4E57-B4D0-F63FF5AC7E89}">
  <sheetPr codeName="Sheet3"/>
  <dimension ref="A1:E32"/>
  <sheetViews>
    <sheetView showGridLines="0" rightToLeft="1" workbookViewId="0">
      <selection activeCell="B36" sqref="B36"/>
    </sheetView>
  </sheetViews>
  <sheetFormatPr defaultColWidth="9" defaultRowHeight="12.75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customWidth="1"/>
    <col min="7" max="8" width="8.625" style="22" customWidth="1"/>
    <col min="9" max="10" width="9" style="22"/>
    <col min="11" max="12" width="8.625" style="22" customWidth="1"/>
    <col min="13" max="16384" width="9" style="22"/>
  </cols>
  <sheetData>
    <row r="1" spans="1:5" ht="18.75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4230.9120000000003</v>
      </c>
      <c r="C3" s="26">
        <v>0</v>
      </c>
      <c r="D3" s="26">
        <v>0</v>
      </c>
      <c r="E3" s="27">
        <v>3.1986778902082937E-2</v>
      </c>
    </row>
    <row r="4" spans="1:5" x14ac:dyDescent="0.2">
      <c r="A4" s="24" t="s">
        <v>23</v>
      </c>
      <c r="B4" s="25">
        <v>26919.501919999999</v>
      </c>
      <c r="C4" s="26">
        <v>0</v>
      </c>
      <c r="D4" s="26">
        <v>0</v>
      </c>
      <c r="E4" s="27">
        <v>0.2035183327068105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26135.627679999983</v>
      </c>
      <c r="C6" s="26">
        <v>0</v>
      </c>
      <c r="D6" s="26">
        <v>0</v>
      </c>
      <c r="E6" s="27">
        <v>0.19759204258262006</v>
      </c>
    </row>
    <row r="7" spans="1:5" x14ac:dyDescent="0.2">
      <c r="A7" s="24" t="s">
        <v>26</v>
      </c>
      <c r="B7" s="25">
        <v>24586.633229999999</v>
      </c>
      <c r="C7" s="26">
        <v>0</v>
      </c>
      <c r="D7" s="26">
        <v>0</v>
      </c>
      <c r="E7" s="27">
        <v>0.18588124760680796</v>
      </c>
    </row>
    <row r="8" spans="1:5" x14ac:dyDescent="0.2">
      <c r="A8" s="24" t="s">
        <v>27</v>
      </c>
      <c r="B8" s="25">
        <v>28629.926759999998</v>
      </c>
      <c r="C8" s="26">
        <v>0</v>
      </c>
      <c r="D8" s="26">
        <v>0</v>
      </c>
      <c r="E8" s="27">
        <v>0.21644958279797535</v>
      </c>
    </row>
    <row r="9" spans="1:5" x14ac:dyDescent="0.2">
      <c r="A9" s="24" t="s">
        <v>28</v>
      </c>
      <c r="B9" s="25">
        <v>5910.3581400000003</v>
      </c>
      <c r="C9" s="26">
        <v>0</v>
      </c>
      <c r="D9" s="26">
        <v>0</v>
      </c>
      <c r="E9" s="27">
        <v>4.4683822082876253E-2</v>
      </c>
    </row>
    <row r="10" spans="1:5" x14ac:dyDescent="0.2">
      <c r="A10" s="24" t="s">
        <v>29</v>
      </c>
      <c r="B10" s="25">
        <v>55.35</v>
      </c>
      <c r="C10" s="26">
        <v>0</v>
      </c>
      <c r="D10" s="26">
        <v>0</v>
      </c>
      <c r="E10" s="27">
        <v>4.1846018357987364E-4</v>
      </c>
    </row>
    <row r="11" spans="1:5" x14ac:dyDescent="0.2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31</v>
      </c>
      <c r="B12" s="25">
        <v>184.21235999999999</v>
      </c>
      <c r="C12" s="26">
        <v>0</v>
      </c>
      <c r="D12" s="26">
        <v>0</v>
      </c>
      <c r="E12" s="27">
        <v>1.3926926464910888E-3</v>
      </c>
    </row>
    <row r="13" spans="1:5" x14ac:dyDescent="0.2">
      <c r="A13" s="24" t="s">
        <v>32</v>
      </c>
      <c r="B13" s="25">
        <v>451.30649</v>
      </c>
      <c r="C13" s="26">
        <v>0</v>
      </c>
      <c r="D13" s="26">
        <v>0</v>
      </c>
      <c r="E13" s="27">
        <v>3.4119927128489322E-3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188.05036000000001</v>
      </c>
      <c r="C18" s="26">
        <v>0</v>
      </c>
      <c r="D18" s="26">
        <v>0</v>
      </c>
      <c r="E18" s="27">
        <v>1.4217089099884611E-3</v>
      </c>
    </row>
    <row r="19" spans="1:5" x14ac:dyDescent="0.2">
      <c r="A19" s="24" t="s">
        <v>38</v>
      </c>
      <c r="B19" s="25">
        <v>144.73067</v>
      </c>
      <c r="C19" s="26">
        <v>0</v>
      </c>
      <c r="D19" s="26">
        <v>0</v>
      </c>
      <c r="E19" s="27">
        <v>1.0942009528064698E-3</v>
      </c>
    </row>
    <row r="20" spans="1:5" x14ac:dyDescent="0.2">
      <c r="A20" s="24" t="s">
        <v>39</v>
      </c>
      <c r="B20" s="25">
        <v>13776.674300000001</v>
      </c>
      <c r="C20" s="26">
        <v>0</v>
      </c>
      <c r="D20" s="26">
        <v>0</v>
      </c>
      <c r="E20" s="27">
        <v>0.10415518801622634</v>
      </c>
    </row>
    <row r="21" spans="1:5" x14ac:dyDescent="0.2">
      <c r="A21" s="24" t="s">
        <v>40</v>
      </c>
      <c r="B21" s="25">
        <v>0.80549999999999999</v>
      </c>
      <c r="C21" s="26">
        <v>0</v>
      </c>
      <c r="D21" s="26">
        <v>0</v>
      </c>
      <c r="E21" s="27">
        <v>6.0897864114469417E-6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1056.50549</v>
      </c>
      <c r="C23" s="26">
        <v>0</v>
      </c>
      <c r="D23" s="26">
        <v>0</v>
      </c>
      <c r="E23" s="27">
        <v>7.9874522366494005E-3</v>
      </c>
    </row>
    <row r="24" spans="1:5" x14ac:dyDescent="0.2">
      <c r="A24" s="24" t="s">
        <v>43</v>
      </c>
      <c r="B24" s="25">
        <v>0</v>
      </c>
      <c r="C24" s="26">
        <v>0</v>
      </c>
      <c r="D24" s="26">
        <v>0</v>
      </c>
      <c r="E24" s="27">
        <v>0</v>
      </c>
    </row>
    <row r="25" spans="1:5" x14ac:dyDescent="0.2">
      <c r="A25" s="24" t="s">
        <v>44</v>
      </c>
      <c r="B25" s="25">
        <v>5.3949999999999998E-2</v>
      </c>
      <c r="C25" s="26">
        <v>0</v>
      </c>
      <c r="D25" s="26">
        <v>0</v>
      </c>
      <c r="E25" s="27">
        <v>4.0787582482627245E-7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49</v>
      </c>
      <c r="B30" s="28">
        <v>132270.64885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1533.6220000000001</v>
      </c>
      <c r="C32" s="26">
        <v>0</v>
      </c>
      <c r="D32" s="26">
        <v>0</v>
      </c>
      <c r="E32" s="27">
        <v>1.1560840518285482E-2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7BFE-F07F-4202-BE2B-22FF7AF7CA04}">
  <sheetPr codeName="Sheet4"/>
  <dimension ref="A1:R21"/>
  <sheetViews>
    <sheetView rightToLeft="1" topLeftCell="B1" workbookViewId="0">
      <selection activeCell="N26" sqref="N26"/>
    </sheetView>
  </sheetViews>
  <sheetFormatPr defaultColWidth="9" defaultRowHeight="14.25" x14ac:dyDescent="0.2"/>
  <cols>
    <col min="1" max="2" width="11.625" style="38" customWidth="1"/>
    <col min="3" max="3" width="28.25" style="38" bestFit="1" customWidth="1"/>
    <col min="4" max="4" width="11.625" style="38" customWidth="1"/>
    <col min="5" max="5" width="11.625" style="45" customWidth="1"/>
    <col min="6" max="6" width="27.5" style="38" bestFit="1" customWidth="1"/>
    <col min="7" max="11" width="11.625" style="38" customWidth="1"/>
    <col min="12" max="13" width="11.625" style="41" customWidth="1"/>
    <col min="14" max="14" width="11.625" style="46" customWidth="1"/>
    <col min="15" max="15" width="11.625" style="41" customWidth="1"/>
    <col min="16" max="17" width="11.625" style="46" customWidth="1"/>
    <col min="18" max="18" width="12" style="38" bestFit="1" customWidth="1"/>
    <col min="19" max="16384" width="9" style="38"/>
  </cols>
  <sheetData>
    <row r="1" spans="1:18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8" x14ac:dyDescent="0.2">
      <c r="A2" s="38">
        <v>420</v>
      </c>
      <c r="B2" s="38">
        <v>420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1E-4</v>
      </c>
      <c r="M2" s="42">
        <v>3.9552</v>
      </c>
      <c r="N2" s="43">
        <v>0</v>
      </c>
      <c r="O2" s="42">
        <v>5.5000000000000003E-4</v>
      </c>
      <c r="P2" s="43">
        <v>1.00000010000001E-7</v>
      </c>
      <c r="Q2" s="43">
        <v>0</v>
      </c>
      <c r="R2" s="44"/>
    </row>
    <row r="3" spans="1:18" x14ac:dyDescent="0.2">
      <c r="A3" s="38">
        <v>420</v>
      </c>
      <c r="B3" s="38">
        <v>420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1">
        <v>1.7922</v>
      </c>
      <c r="M3" s="42">
        <v>1</v>
      </c>
      <c r="N3" s="43">
        <v>0</v>
      </c>
      <c r="O3" s="42">
        <v>1.7922800000000001</v>
      </c>
      <c r="P3" s="43">
        <v>4.3310004331000436E-4</v>
      </c>
      <c r="Q3" s="43">
        <v>1.36E-5</v>
      </c>
      <c r="R3" s="44"/>
    </row>
    <row r="4" spans="1:18" x14ac:dyDescent="0.2">
      <c r="A4" s="38">
        <v>420</v>
      </c>
      <c r="B4" s="38">
        <v>420</v>
      </c>
      <c r="C4" s="38" t="s">
        <v>69</v>
      </c>
      <c r="D4" s="39" t="s">
        <v>70</v>
      </c>
      <c r="E4" s="40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1">
        <v>2.6446000000000001</v>
      </c>
      <c r="M4" s="42">
        <v>4.6235999999999997</v>
      </c>
      <c r="N4" s="43">
        <v>0</v>
      </c>
      <c r="O4" s="42">
        <v>12.22775</v>
      </c>
      <c r="P4" s="43">
        <v>2.9547002954700297E-3</v>
      </c>
      <c r="Q4" s="43">
        <v>9.2899999999999995E-5</v>
      </c>
      <c r="R4" s="44"/>
    </row>
    <row r="5" spans="1:18" x14ac:dyDescent="0.2">
      <c r="A5" s="38">
        <v>420</v>
      </c>
      <c r="B5" s="38">
        <v>420</v>
      </c>
      <c r="C5" s="38" t="s">
        <v>69</v>
      </c>
      <c r="D5" s="39" t="s">
        <v>70</v>
      </c>
      <c r="E5" s="40" t="s">
        <v>71</v>
      </c>
      <c r="F5" s="38" t="s">
        <v>80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78</v>
      </c>
      <c r="L5" s="41">
        <v>758.83709999999996</v>
      </c>
      <c r="M5" s="42">
        <v>1</v>
      </c>
      <c r="N5" s="43">
        <v>0</v>
      </c>
      <c r="O5" s="42">
        <v>758.83718999999996</v>
      </c>
      <c r="P5" s="43">
        <v>0.18336421833642186</v>
      </c>
      <c r="Q5" s="43">
        <v>5.7663999999999997E-3</v>
      </c>
      <c r="R5" s="44"/>
    </row>
    <row r="6" spans="1:18" x14ac:dyDescent="0.2">
      <c r="A6" s="38">
        <v>420</v>
      </c>
      <c r="B6" s="38">
        <v>420</v>
      </c>
      <c r="C6" s="38" t="s">
        <v>69</v>
      </c>
      <c r="D6" s="39" t="s">
        <v>70</v>
      </c>
      <c r="E6" s="40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81</v>
      </c>
      <c r="L6" s="41">
        <v>227.0334</v>
      </c>
      <c r="M6" s="42">
        <v>3.3719999999999999</v>
      </c>
      <c r="N6" s="43">
        <v>0</v>
      </c>
      <c r="O6" s="42">
        <v>765.55664999999999</v>
      </c>
      <c r="P6" s="43">
        <v>0.18498791849879187</v>
      </c>
      <c r="Q6" s="43">
        <v>5.8174000000000003E-3</v>
      </c>
      <c r="R6" s="44"/>
    </row>
    <row r="7" spans="1:18" x14ac:dyDescent="0.2">
      <c r="A7" s="38">
        <v>420</v>
      </c>
      <c r="B7" s="38">
        <v>420</v>
      </c>
      <c r="C7" s="38" t="s">
        <v>69</v>
      </c>
      <c r="D7" s="39" t="s">
        <v>70</v>
      </c>
      <c r="E7" s="40" t="s">
        <v>71</v>
      </c>
      <c r="F7" s="38" t="s">
        <v>82</v>
      </c>
      <c r="G7" s="38" t="s">
        <v>73</v>
      </c>
      <c r="H7" s="38" t="s">
        <v>74</v>
      </c>
      <c r="I7" s="38" t="s">
        <v>83</v>
      </c>
      <c r="J7" s="38" t="s">
        <v>84</v>
      </c>
      <c r="K7" s="38" t="s">
        <v>78</v>
      </c>
      <c r="L7" s="41">
        <v>2600</v>
      </c>
      <c r="M7" s="42">
        <v>1</v>
      </c>
      <c r="N7" s="43">
        <v>0</v>
      </c>
      <c r="O7" s="42">
        <v>2600</v>
      </c>
      <c r="P7" s="43">
        <v>0.62825996282599628</v>
      </c>
      <c r="Q7" s="43">
        <v>1.9757199999999999E-2</v>
      </c>
      <c r="R7" s="44"/>
    </row>
    <row r="8" spans="1:18" x14ac:dyDescent="0.2">
      <c r="A8" s="38">
        <v>420</v>
      </c>
      <c r="B8" s="38">
        <v>1471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41">
        <v>0.1246</v>
      </c>
      <c r="M8" s="42">
        <v>3.9552</v>
      </c>
      <c r="N8" s="43">
        <v>0</v>
      </c>
      <c r="O8" s="42">
        <v>0.49285000000000001</v>
      </c>
      <c r="P8" s="43">
        <v>5.3282256170838795E-3</v>
      </c>
      <c r="Q8" s="43">
        <v>4.6529999999999998E-4</v>
      </c>
    </row>
    <row r="9" spans="1:18" x14ac:dyDescent="0.2">
      <c r="A9" s="38">
        <v>420</v>
      </c>
      <c r="B9" s="38">
        <v>1471</v>
      </c>
      <c r="C9" s="38" t="s">
        <v>69</v>
      </c>
      <c r="D9" s="39" t="s">
        <v>70</v>
      </c>
      <c r="E9" s="40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81</v>
      </c>
      <c r="L9" s="41">
        <v>0.1918</v>
      </c>
      <c r="M9" s="42">
        <v>3.3719999999999999</v>
      </c>
      <c r="N9" s="43">
        <v>0</v>
      </c>
      <c r="O9" s="42">
        <v>0.64695000000000003</v>
      </c>
      <c r="P9" s="43">
        <v>6.9942083047020709E-3</v>
      </c>
      <c r="Q9" s="43">
        <v>6.1079999999999999E-4</v>
      </c>
    </row>
    <row r="10" spans="1:18" x14ac:dyDescent="0.2">
      <c r="A10" s="38">
        <v>420</v>
      </c>
      <c r="B10" s="38">
        <v>1471</v>
      </c>
      <c r="C10" s="38" t="s">
        <v>69</v>
      </c>
      <c r="D10" s="39" t="s">
        <v>70</v>
      </c>
      <c r="E10" s="40" t="s">
        <v>71</v>
      </c>
      <c r="F10" s="38" t="s">
        <v>82</v>
      </c>
      <c r="G10" s="38" t="s">
        <v>73</v>
      </c>
      <c r="H10" s="38" t="s">
        <v>74</v>
      </c>
      <c r="I10" s="38" t="s">
        <v>83</v>
      </c>
      <c r="J10" s="38" t="s">
        <v>84</v>
      </c>
      <c r="K10" s="38" t="s">
        <v>78</v>
      </c>
      <c r="L10" s="41">
        <v>26</v>
      </c>
      <c r="M10" s="42">
        <v>1</v>
      </c>
      <c r="N10" s="43">
        <v>0</v>
      </c>
      <c r="O10" s="42">
        <v>26</v>
      </c>
      <c r="P10" s="43">
        <v>0.28108728019515239</v>
      </c>
      <c r="Q10" s="43">
        <v>2.45481E-2</v>
      </c>
    </row>
    <row r="11" spans="1:18" x14ac:dyDescent="0.2">
      <c r="A11" s="38">
        <v>420</v>
      </c>
      <c r="B11" s="38">
        <v>1471</v>
      </c>
      <c r="C11" s="38" t="s">
        <v>69</v>
      </c>
      <c r="D11" s="39" t="s">
        <v>70</v>
      </c>
      <c r="E11" s="40" t="s">
        <v>71</v>
      </c>
      <c r="F11" s="38" t="s">
        <v>80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78</v>
      </c>
      <c r="L11" s="41">
        <v>59.701500000000003</v>
      </c>
      <c r="M11" s="42">
        <v>1</v>
      </c>
      <c r="N11" s="43">
        <v>0</v>
      </c>
      <c r="O11" s="42">
        <v>65.358159999999998</v>
      </c>
      <c r="P11" s="43">
        <v>0.70659028588306161</v>
      </c>
      <c r="Q11" s="43">
        <v>5.6367599999999997E-2</v>
      </c>
    </row>
    <row r="12" spans="1:18" x14ac:dyDescent="0.2">
      <c r="D12" s="39"/>
      <c r="E12" s="40"/>
      <c r="M12" s="42"/>
      <c r="N12" s="43"/>
      <c r="O12" s="42"/>
      <c r="P12" s="43"/>
      <c r="Q12" s="43"/>
    </row>
    <row r="13" spans="1:18" x14ac:dyDescent="0.2">
      <c r="D13" s="39"/>
      <c r="E13" s="40"/>
      <c r="M13" s="42"/>
      <c r="N13" s="43"/>
      <c r="O13" s="42"/>
      <c r="P13" s="43"/>
      <c r="Q13" s="43"/>
    </row>
    <row r="14" spans="1:18" x14ac:dyDescent="0.2">
      <c r="D14" s="39"/>
      <c r="E14" s="40"/>
      <c r="M14" s="42"/>
      <c r="N14" s="43"/>
      <c r="O14" s="42"/>
      <c r="P14" s="43"/>
      <c r="Q14" s="43"/>
    </row>
    <row r="15" spans="1:18" x14ac:dyDescent="0.2">
      <c r="D15" s="39"/>
      <c r="E15" s="40"/>
      <c r="M15" s="42"/>
      <c r="N15" s="43"/>
      <c r="O15" s="42"/>
      <c r="P15" s="43"/>
      <c r="Q15" s="43"/>
    </row>
    <row r="16" spans="1:18" x14ac:dyDescent="0.15">
      <c r="D16" s="39"/>
      <c r="E16" s="40"/>
      <c r="M16" s="42"/>
      <c r="N16" s="116"/>
      <c r="O16" s="42"/>
      <c r="P16" s="43"/>
      <c r="Q16" s="43"/>
    </row>
    <row r="17" spans="4:17" x14ac:dyDescent="0.2">
      <c r="D17" s="39"/>
      <c r="E17" s="40"/>
      <c r="M17" s="42"/>
      <c r="N17" s="43"/>
      <c r="O17" s="42"/>
      <c r="P17" s="43"/>
      <c r="Q17" s="43"/>
    </row>
    <row r="18" spans="4:17" x14ac:dyDescent="0.2">
      <c r="D18" s="39"/>
      <c r="E18" s="40"/>
      <c r="M18" s="42"/>
      <c r="N18" s="43"/>
      <c r="O18" s="42"/>
      <c r="P18" s="43"/>
      <c r="Q18" s="43"/>
    </row>
    <row r="19" spans="4:17" x14ac:dyDescent="0.2">
      <c r="D19" s="39"/>
      <c r="E19" s="40"/>
      <c r="M19" s="42"/>
      <c r="N19" s="43"/>
      <c r="O19" s="42"/>
      <c r="P19" s="43"/>
      <c r="Q19" s="43"/>
    </row>
    <row r="20" spans="4:17" x14ac:dyDescent="0.2">
      <c r="D20" s="39"/>
    </row>
    <row r="21" spans="4:17" x14ac:dyDescent="0.2">
      <c r="D21" s="39"/>
    </row>
  </sheetData>
  <sheetProtection formatColumns="0"/>
  <dataValidations count="4">
    <dataValidation type="list" allowBlank="1" showInputMessage="1" showErrorMessage="1" sqref="E2:E20" xr:uid="{99CD4D8A-5A8B-4186-9412-829C6EAF41E4}">
      <formula1>Issuer_Number_Banks</formula1>
    </dataValidation>
    <dataValidation type="list" allowBlank="1" showInputMessage="1" showErrorMessage="1" sqref="J2:J21" xr:uid="{3115DF31-3CB5-4B0B-9083-A022E549784F}">
      <formula1>Rating_Agency</formula1>
    </dataValidation>
    <dataValidation type="list" allowBlank="1" showInputMessage="1" showErrorMessage="1" sqref="H2:H20" xr:uid="{F890EBD2-FB45-40B9-8954-C72AC45A313C}">
      <formula1>Holding_interest</formula1>
    </dataValidation>
    <dataValidation type="list" allowBlank="1" showInputMessage="1" showErrorMessage="1" sqref="G2:G20" xr:uid="{9583917F-B374-412A-9497-307544B003C7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41C5-9345-41CC-B2CD-ADE458AE9A29}">
  <sheetPr codeName="Sheet5"/>
  <dimension ref="A1:Z26"/>
  <sheetViews>
    <sheetView rightToLeft="1" topLeftCell="AC27" workbookViewId="0"/>
  </sheetViews>
  <sheetFormatPr defaultColWidth="9" defaultRowHeight="14.25" x14ac:dyDescent="0.2"/>
  <cols>
    <col min="1" max="4" width="11.625" style="45" customWidth="1"/>
    <col min="5" max="5" width="14.75" style="45" bestFit="1" customWidth="1"/>
    <col min="6" max="12" width="11.625" style="45" customWidth="1"/>
    <col min="13" max="13" width="11.625" style="49" customWidth="1"/>
    <col min="14" max="14" width="11.625" style="50" customWidth="1"/>
    <col min="15" max="16" width="11.625" style="51" customWidth="1"/>
    <col min="17" max="17" width="11.625" style="49" customWidth="1"/>
    <col min="18" max="18" width="14.5" style="49" bestFit="1" customWidth="1"/>
    <col min="19" max="21" width="11.625" style="49" customWidth="1"/>
    <col min="22" max="23" width="11.625" style="45" customWidth="1"/>
    <col min="24" max="26" width="11.625" style="51" customWidth="1"/>
    <col min="27" max="30" width="11.625" style="45" customWidth="1"/>
    <col min="31" max="16384" width="9" style="45"/>
  </cols>
  <sheetData>
    <row r="1" spans="1:26" ht="66.75" customHeight="1" x14ac:dyDescent="0.2">
      <c r="A1" s="34" t="s">
        <v>52</v>
      </c>
      <c r="B1" s="34" t="s">
        <v>53</v>
      </c>
      <c r="C1" s="34" t="s">
        <v>85</v>
      </c>
      <c r="D1" s="34" t="s">
        <v>86</v>
      </c>
      <c r="E1" s="34" t="s">
        <v>87</v>
      </c>
      <c r="F1" s="34" t="s">
        <v>57</v>
      </c>
      <c r="G1" s="34" t="s">
        <v>58</v>
      </c>
      <c r="H1" s="34" t="s">
        <v>88</v>
      </c>
      <c r="I1" s="34" t="s">
        <v>89</v>
      </c>
      <c r="J1" s="34" t="s">
        <v>90</v>
      </c>
      <c r="K1" s="34" t="s">
        <v>61</v>
      </c>
      <c r="L1" s="34" t="s">
        <v>62</v>
      </c>
      <c r="M1" s="35" t="s">
        <v>91</v>
      </c>
      <c r="N1" s="47" t="s">
        <v>92</v>
      </c>
      <c r="O1" s="36" t="s">
        <v>65</v>
      </c>
      <c r="P1" s="36" t="s">
        <v>93</v>
      </c>
      <c r="Q1" s="35" t="s">
        <v>94</v>
      </c>
      <c r="R1" s="35" t="s">
        <v>95</v>
      </c>
      <c r="S1" s="35" t="s">
        <v>64</v>
      </c>
      <c r="T1" s="35" t="s">
        <v>96</v>
      </c>
      <c r="U1" s="35" t="s">
        <v>66</v>
      </c>
      <c r="V1" s="34" t="s">
        <v>97</v>
      </c>
      <c r="W1" s="34" t="s">
        <v>20</v>
      </c>
      <c r="X1" s="36" t="s">
        <v>98</v>
      </c>
      <c r="Y1" s="36" t="s">
        <v>67</v>
      </c>
      <c r="Z1" s="36" t="s">
        <v>68</v>
      </c>
    </row>
    <row r="2" spans="1:26" x14ac:dyDescent="0.2">
      <c r="A2" s="40">
        <v>420</v>
      </c>
      <c r="B2" s="40">
        <v>420</v>
      </c>
      <c r="C2" s="40" t="s">
        <v>99</v>
      </c>
      <c r="D2" s="40" t="s">
        <v>100</v>
      </c>
      <c r="E2" s="40" t="s">
        <v>101</v>
      </c>
      <c r="F2" s="40" t="s">
        <v>102</v>
      </c>
      <c r="G2" s="40" t="s">
        <v>73</v>
      </c>
      <c r="H2" s="40" t="s">
        <v>73</v>
      </c>
      <c r="I2" s="40" t="s">
        <v>103</v>
      </c>
      <c r="J2" s="40" t="s">
        <v>104</v>
      </c>
      <c r="K2" s="40" t="s">
        <v>105</v>
      </c>
      <c r="L2" s="39" t="s">
        <v>78</v>
      </c>
      <c r="M2" s="42">
        <v>11.43</v>
      </c>
      <c r="N2" s="48" t="s">
        <v>106</v>
      </c>
      <c r="O2" s="43">
        <v>5.5E-2</v>
      </c>
      <c r="P2" s="43">
        <v>4.3499999999999997E-2</v>
      </c>
      <c r="Q2" s="42">
        <v>0</v>
      </c>
      <c r="R2" s="42">
        <v>1105494</v>
      </c>
      <c r="S2" s="42">
        <v>1</v>
      </c>
      <c r="T2" s="42">
        <v>115.63</v>
      </c>
      <c r="U2" s="42">
        <v>1278.28271</v>
      </c>
      <c r="V2" s="39"/>
      <c r="W2" s="40" t="s">
        <v>18</v>
      </c>
      <c r="X2" s="43">
        <v>3.8399999999999998E-5</v>
      </c>
      <c r="Y2" s="43">
        <v>4.843660484366049E-2</v>
      </c>
      <c r="Z2" s="43">
        <v>9.7135999999999993E-3</v>
      </c>
    </row>
    <row r="3" spans="1:26" x14ac:dyDescent="0.2">
      <c r="A3" s="40">
        <v>420</v>
      </c>
      <c r="B3" s="40">
        <v>420</v>
      </c>
      <c r="C3" s="40" t="s">
        <v>99</v>
      </c>
      <c r="D3" s="40" t="s">
        <v>107</v>
      </c>
      <c r="E3" s="40" t="s">
        <v>108</v>
      </c>
      <c r="F3" s="40" t="s">
        <v>102</v>
      </c>
      <c r="G3" s="40" t="s">
        <v>73</v>
      </c>
      <c r="H3" s="40" t="s">
        <v>73</v>
      </c>
      <c r="I3" s="40" t="s">
        <v>103</v>
      </c>
      <c r="J3" s="40" t="s">
        <v>104</v>
      </c>
      <c r="K3" s="40" t="s">
        <v>105</v>
      </c>
      <c r="L3" s="39" t="s">
        <v>78</v>
      </c>
      <c r="M3" s="42">
        <v>4.6399999999999997</v>
      </c>
      <c r="N3" s="48" t="s">
        <v>109</v>
      </c>
      <c r="O3" s="43">
        <v>0.01</v>
      </c>
      <c r="P3" s="43">
        <v>3.9600000000000003E-2</v>
      </c>
      <c r="Q3" s="42">
        <v>0</v>
      </c>
      <c r="R3" s="42">
        <v>5593262</v>
      </c>
      <c r="S3" s="42">
        <v>1</v>
      </c>
      <c r="T3" s="42">
        <v>87.63</v>
      </c>
      <c r="U3" s="42">
        <v>4901.3754900000004</v>
      </c>
      <c r="V3" s="39"/>
      <c r="W3" s="40" t="s">
        <v>18</v>
      </c>
      <c r="X3" s="43">
        <v>1.4809999999999999E-4</v>
      </c>
      <c r="Y3" s="43">
        <v>0.18572251857225189</v>
      </c>
      <c r="Z3" s="43">
        <v>3.7245199999999999E-2</v>
      </c>
    </row>
    <row r="4" spans="1:26" x14ac:dyDescent="0.2">
      <c r="A4" s="40">
        <v>420</v>
      </c>
      <c r="B4" s="40">
        <v>420</v>
      </c>
      <c r="C4" s="40" t="s">
        <v>99</v>
      </c>
      <c r="D4" s="40" t="s">
        <v>110</v>
      </c>
      <c r="E4" s="40" t="s">
        <v>111</v>
      </c>
      <c r="F4" s="40" t="s">
        <v>112</v>
      </c>
      <c r="G4" s="40" t="s">
        <v>73</v>
      </c>
      <c r="H4" s="40" t="s">
        <v>73</v>
      </c>
      <c r="I4" s="40" t="s">
        <v>103</v>
      </c>
      <c r="J4" s="40" t="s">
        <v>104</v>
      </c>
      <c r="K4" s="40" t="s">
        <v>105</v>
      </c>
      <c r="L4" s="39" t="s">
        <v>78</v>
      </c>
      <c r="M4" s="42">
        <v>6.4</v>
      </c>
      <c r="N4" s="48" t="s">
        <v>113</v>
      </c>
      <c r="O4" s="43">
        <v>1E-3</v>
      </c>
      <c r="P4" s="43">
        <v>1.9699999999999999E-2</v>
      </c>
      <c r="Q4" s="42">
        <v>0</v>
      </c>
      <c r="R4" s="42">
        <v>6811534</v>
      </c>
      <c r="S4" s="42">
        <v>1</v>
      </c>
      <c r="T4" s="42">
        <v>104.14</v>
      </c>
      <c r="U4" s="42">
        <v>7093.5315000000001</v>
      </c>
      <c r="V4" s="39"/>
      <c r="W4" s="40" t="s">
        <v>18</v>
      </c>
      <c r="X4" s="43">
        <v>1.9900000000000001E-4</v>
      </c>
      <c r="Y4" s="43">
        <v>0.26878752687875274</v>
      </c>
      <c r="Z4" s="43">
        <v>5.3903300000000001E-2</v>
      </c>
    </row>
    <row r="5" spans="1:26" x14ac:dyDescent="0.2">
      <c r="A5" s="40">
        <v>420</v>
      </c>
      <c r="B5" s="40">
        <v>420</v>
      </c>
      <c r="C5" s="40" t="s">
        <v>99</v>
      </c>
      <c r="D5" s="40" t="s">
        <v>114</v>
      </c>
      <c r="E5" s="40" t="s">
        <v>115</v>
      </c>
      <c r="F5" s="40" t="s">
        <v>112</v>
      </c>
      <c r="G5" s="40" t="s">
        <v>73</v>
      </c>
      <c r="H5" s="40" t="s">
        <v>73</v>
      </c>
      <c r="I5" s="40" t="s">
        <v>103</v>
      </c>
      <c r="J5" s="40" t="s">
        <v>104</v>
      </c>
      <c r="K5" s="40" t="s">
        <v>105</v>
      </c>
      <c r="L5" s="39" t="s">
        <v>78</v>
      </c>
      <c r="M5" s="42">
        <v>3.27</v>
      </c>
      <c r="N5" s="48" t="s">
        <v>116</v>
      </c>
      <c r="O5" s="43">
        <v>1.0999999999999999E-2</v>
      </c>
      <c r="P5" s="43">
        <v>2.0500000000000001E-2</v>
      </c>
      <c r="Q5" s="42">
        <v>0</v>
      </c>
      <c r="R5" s="42">
        <v>8486697</v>
      </c>
      <c r="S5" s="42">
        <v>1</v>
      </c>
      <c r="T5" s="42">
        <v>103.51</v>
      </c>
      <c r="U5" s="42">
        <v>8784.5800600000002</v>
      </c>
      <c r="V5" s="39"/>
      <c r="W5" s="40" t="s">
        <v>18</v>
      </c>
      <c r="X5" s="43">
        <v>2.7050000000000002E-4</v>
      </c>
      <c r="Y5" s="43">
        <v>0.33286463328646337</v>
      </c>
      <c r="Z5" s="43">
        <v>6.6753400000000004E-2</v>
      </c>
    </row>
    <row r="6" spans="1:26" x14ac:dyDescent="0.2">
      <c r="A6" s="40">
        <v>420</v>
      </c>
      <c r="B6" s="40">
        <v>420</v>
      </c>
      <c r="C6" s="40" t="s">
        <v>99</v>
      </c>
      <c r="D6" s="40" t="s">
        <v>117</v>
      </c>
      <c r="E6" s="40" t="s">
        <v>118</v>
      </c>
      <c r="F6" s="40" t="s">
        <v>102</v>
      </c>
      <c r="G6" s="40" t="s">
        <v>73</v>
      </c>
      <c r="H6" s="40" t="s">
        <v>73</v>
      </c>
      <c r="I6" s="40" t="s">
        <v>103</v>
      </c>
      <c r="J6" s="40" t="s">
        <v>104</v>
      </c>
      <c r="K6" s="40" t="s">
        <v>105</v>
      </c>
      <c r="L6" s="39" t="s">
        <v>78</v>
      </c>
      <c r="M6" s="42">
        <v>8.18</v>
      </c>
      <c r="N6" s="48" t="s">
        <v>119</v>
      </c>
      <c r="O6" s="43">
        <v>0.04</v>
      </c>
      <c r="P6" s="43">
        <v>4.1099999999999998E-2</v>
      </c>
      <c r="Q6" s="42">
        <v>0</v>
      </c>
      <c r="R6" s="42">
        <v>4328752</v>
      </c>
      <c r="S6" s="42">
        <v>1</v>
      </c>
      <c r="T6" s="42">
        <v>100.1</v>
      </c>
      <c r="U6" s="42">
        <v>4333.0807500000001</v>
      </c>
      <c r="V6" s="39"/>
      <c r="W6" s="40" t="s">
        <v>18</v>
      </c>
      <c r="X6" s="43">
        <v>1.303E-4</v>
      </c>
      <c r="Y6" s="43">
        <v>0.16418871641887164</v>
      </c>
      <c r="Z6" s="43">
        <v>3.2926799999999999E-2</v>
      </c>
    </row>
    <row r="7" spans="1:26" x14ac:dyDescent="0.2">
      <c r="A7" s="40">
        <v>420</v>
      </c>
      <c r="B7" s="40">
        <v>1471</v>
      </c>
      <c r="C7" s="40" t="s">
        <v>99</v>
      </c>
      <c r="D7" s="40" t="s">
        <v>100</v>
      </c>
      <c r="E7" s="40" t="s">
        <v>101</v>
      </c>
      <c r="F7" s="40" t="s">
        <v>102</v>
      </c>
      <c r="G7" s="40" t="s">
        <v>73</v>
      </c>
      <c r="H7" s="40" t="s">
        <v>73</v>
      </c>
      <c r="I7" s="40" t="s">
        <v>103</v>
      </c>
      <c r="J7" s="40" t="s">
        <v>104</v>
      </c>
      <c r="K7" s="40" t="s">
        <v>105</v>
      </c>
      <c r="L7" s="39" t="s">
        <v>78</v>
      </c>
      <c r="M7" s="42">
        <v>11.43</v>
      </c>
      <c r="N7" s="48" t="s">
        <v>106</v>
      </c>
      <c r="O7" s="43">
        <v>5.5E-2</v>
      </c>
      <c r="P7" s="43">
        <v>4.3499999999999997E-2</v>
      </c>
      <c r="Q7" s="42">
        <v>0</v>
      </c>
      <c r="R7" s="42">
        <v>51686</v>
      </c>
      <c r="S7" s="42">
        <v>1</v>
      </c>
      <c r="T7" s="42">
        <v>115.63</v>
      </c>
      <c r="U7" s="42">
        <v>59.764519999999997</v>
      </c>
      <c r="V7" s="39"/>
      <c r="W7" s="40" t="s">
        <v>18</v>
      </c>
      <c r="X7" s="43">
        <v>1.7E-6</v>
      </c>
      <c r="Y7" s="43">
        <v>0.1130509</v>
      </c>
      <c r="Z7" s="43">
        <v>5.6427100000000001E-2</v>
      </c>
    </row>
    <row r="8" spans="1:26" x14ac:dyDescent="0.2">
      <c r="A8" s="40">
        <v>420</v>
      </c>
      <c r="B8" s="40">
        <v>1471</v>
      </c>
      <c r="C8" s="40" t="s">
        <v>99</v>
      </c>
      <c r="D8" s="40" t="s">
        <v>120</v>
      </c>
      <c r="E8" s="40" t="s">
        <v>121</v>
      </c>
      <c r="F8" s="40" t="s">
        <v>112</v>
      </c>
      <c r="G8" s="40" t="s">
        <v>73</v>
      </c>
      <c r="H8" s="40" t="s">
        <v>73</v>
      </c>
      <c r="I8" s="40" t="s">
        <v>103</v>
      </c>
      <c r="J8" s="40" t="s">
        <v>104</v>
      </c>
      <c r="K8" s="40" t="s">
        <v>105</v>
      </c>
      <c r="L8" s="39" t="s">
        <v>78</v>
      </c>
      <c r="M8" s="42">
        <v>0.33</v>
      </c>
      <c r="N8" s="48" t="s">
        <v>122</v>
      </c>
      <c r="O8" s="43">
        <v>7.4999999999999997E-3</v>
      </c>
      <c r="P8" s="43">
        <v>5.8999999999999999E-3</v>
      </c>
      <c r="Q8" s="42">
        <v>0</v>
      </c>
      <c r="R8" s="42">
        <v>14905</v>
      </c>
      <c r="S8" s="42">
        <v>1</v>
      </c>
      <c r="T8" s="42">
        <v>118.26</v>
      </c>
      <c r="U8" s="42">
        <v>17.626650000000001</v>
      </c>
      <c r="V8" s="39"/>
      <c r="W8" s="40" t="s">
        <v>18</v>
      </c>
      <c r="X8" s="43">
        <v>1.1000000000000001E-6</v>
      </c>
      <c r="Y8" s="43">
        <v>3.3342700000000003E-2</v>
      </c>
      <c r="Z8" s="43">
        <v>1.6642299999999999E-2</v>
      </c>
    </row>
    <row r="9" spans="1:26" x14ac:dyDescent="0.2">
      <c r="A9" s="40">
        <v>420</v>
      </c>
      <c r="B9" s="40">
        <v>1471</v>
      </c>
      <c r="C9" s="40" t="s">
        <v>99</v>
      </c>
      <c r="D9" s="40" t="s">
        <v>123</v>
      </c>
      <c r="E9" s="40" t="s">
        <v>124</v>
      </c>
      <c r="F9" s="40" t="s">
        <v>102</v>
      </c>
      <c r="G9" s="40" t="s">
        <v>73</v>
      </c>
      <c r="H9" s="40" t="s">
        <v>73</v>
      </c>
      <c r="I9" s="40" t="s">
        <v>103</v>
      </c>
      <c r="J9" s="40" t="s">
        <v>104</v>
      </c>
      <c r="K9" s="40" t="s">
        <v>105</v>
      </c>
      <c r="L9" s="39" t="s">
        <v>78</v>
      </c>
      <c r="M9" s="42">
        <v>14.72</v>
      </c>
      <c r="N9" s="48" t="s">
        <v>125</v>
      </c>
      <c r="O9" s="43">
        <v>3.7499999999999999E-2</v>
      </c>
      <c r="P9" s="43">
        <v>4.4699999999999997E-2</v>
      </c>
      <c r="Q9" s="42">
        <v>0</v>
      </c>
      <c r="R9" s="42">
        <v>23442</v>
      </c>
      <c r="S9" s="42">
        <v>1</v>
      </c>
      <c r="T9" s="42">
        <v>91.05</v>
      </c>
      <c r="U9" s="42">
        <v>21.34394</v>
      </c>
      <c r="V9" s="39"/>
      <c r="W9" s="40" t="s">
        <v>18</v>
      </c>
      <c r="X9" s="43">
        <v>7.9999999999999996E-7</v>
      </c>
      <c r="Y9" s="43">
        <v>4.0374300000000002E-2</v>
      </c>
      <c r="Z9" s="43">
        <v>2.0152E-2</v>
      </c>
    </row>
    <row r="10" spans="1:26" x14ac:dyDescent="0.2">
      <c r="A10" s="40">
        <v>420</v>
      </c>
      <c r="B10" s="40">
        <v>1471</v>
      </c>
      <c r="C10" s="40" t="s">
        <v>99</v>
      </c>
      <c r="D10" s="40" t="s">
        <v>126</v>
      </c>
      <c r="E10" s="40" t="s">
        <v>127</v>
      </c>
      <c r="F10" s="40" t="s">
        <v>112</v>
      </c>
      <c r="G10" s="40" t="s">
        <v>73</v>
      </c>
      <c r="H10" s="40" t="s">
        <v>73</v>
      </c>
      <c r="I10" s="40" t="s">
        <v>103</v>
      </c>
      <c r="J10" s="40" t="s">
        <v>104</v>
      </c>
      <c r="K10" s="40" t="s">
        <v>105</v>
      </c>
      <c r="L10" s="39" t="s">
        <v>78</v>
      </c>
      <c r="M10" s="42">
        <v>1.91</v>
      </c>
      <c r="N10" s="48" t="s">
        <v>128</v>
      </c>
      <c r="O10" s="43">
        <v>7.4999999999999997E-3</v>
      </c>
      <c r="P10" s="43">
        <v>2.0899999999999998E-2</v>
      </c>
      <c r="Q10" s="42">
        <v>0</v>
      </c>
      <c r="R10" s="42">
        <v>126689</v>
      </c>
      <c r="S10" s="42">
        <v>1</v>
      </c>
      <c r="T10" s="42">
        <v>115.45</v>
      </c>
      <c r="U10" s="42">
        <v>146.26245</v>
      </c>
      <c r="V10" s="39"/>
      <c r="W10" s="40" t="s">
        <v>18</v>
      </c>
      <c r="X10" s="43">
        <v>5.2000000000000002E-6</v>
      </c>
      <c r="Y10" s="43">
        <v>0.2766709</v>
      </c>
      <c r="Z10" s="43">
        <v>0.13809469999999999</v>
      </c>
    </row>
    <row r="11" spans="1:26" x14ac:dyDescent="0.2">
      <c r="A11" s="40">
        <v>420</v>
      </c>
      <c r="B11" s="40">
        <v>1471</v>
      </c>
      <c r="C11" s="40" t="s">
        <v>99</v>
      </c>
      <c r="D11" s="40" t="s">
        <v>129</v>
      </c>
      <c r="E11" s="40" t="s">
        <v>130</v>
      </c>
      <c r="F11" s="40" t="s">
        <v>102</v>
      </c>
      <c r="G11" s="40" t="s">
        <v>73</v>
      </c>
      <c r="H11" s="40" t="s">
        <v>73</v>
      </c>
      <c r="I11" s="40" t="s">
        <v>103</v>
      </c>
      <c r="J11" s="40" t="s">
        <v>104</v>
      </c>
      <c r="K11" s="40" t="s">
        <v>105</v>
      </c>
      <c r="L11" s="39" t="s">
        <v>78</v>
      </c>
      <c r="M11" s="42">
        <v>3.11</v>
      </c>
      <c r="N11" s="48" t="s">
        <v>131</v>
      </c>
      <c r="O11" s="43">
        <v>2.2499999999999999E-2</v>
      </c>
      <c r="P11" s="43">
        <v>3.9399999999999998E-2</v>
      </c>
      <c r="Q11" s="42">
        <v>0</v>
      </c>
      <c r="R11" s="42">
        <v>93112</v>
      </c>
      <c r="S11" s="42">
        <v>1</v>
      </c>
      <c r="T11" s="42">
        <v>96.6</v>
      </c>
      <c r="U11" s="42">
        <v>89.946190000000001</v>
      </c>
      <c r="V11" s="39"/>
      <c r="W11" s="40" t="s">
        <v>18</v>
      </c>
      <c r="X11" s="43">
        <v>2.6000000000000001E-6</v>
      </c>
      <c r="Y11" s="43">
        <v>0.17014270000000001</v>
      </c>
      <c r="Z11" s="43">
        <v>8.4923299999999993E-2</v>
      </c>
    </row>
    <row r="12" spans="1:26" x14ac:dyDescent="0.2">
      <c r="A12" s="40">
        <v>420</v>
      </c>
      <c r="B12" s="40">
        <v>1471</v>
      </c>
      <c r="C12" s="40" t="s">
        <v>99</v>
      </c>
      <c r="D12" s="40" t="s">
        <v>132</v>
      </c>
      <c r="E12" s="40" t="s">
        <v>133</v>
      </c>
      <c r="F12" s="40" t="s">
        <v>112</v>
      </c>
      <c r="G12" s="40" t="s">
        <v>73</v>
      </c>
      <c r="H12" s="40" t="s">
        <v>73</v>
      </c>
      <c r="I12" s="40" t="s">
        <v>103</v>
      </c>
      <c r="J12" s="40" t="s">
        <v>104</v>
      </c>
      <c r="K12" s="40" t="s">
        <v>105</v>
      </c>
      <c r="L12" s="39" t="s">
        <v>78</v>
      </c>
      <c r="M12" s="42">
        <v>3.89</v>
      </c>
      <c r="N12" s="48" t="s">
        <v>134</v>
      </c>
      <c r="O12" s="43">
        <v>5.0000000000000001E-3</v>
      </c>
      <c r="P12" s="43">
        <v>2.01E-2</v>
      </c>
      <c r="Q12" s="42">
        <v>0</v>
      </c>
      <c r="R12" s="42">
        <v>16688</v>
      </c>
      <c r="S12" s="42">
        <v>1</v>
      </c>
      <c r="T12" s="42">
        <v>110.62</v>
      </c>
      <c r="U12" s="42">
        <v>18.460260000000002</v>
      </c>
      <c r="V12" s="39"/>
      <c r="W12" s="40" t="s">
        <v>18</v>
      </c>
      <c r="X12" s="43">
        <v>4.9999999999999998E-7</v>
      </c>
      <c r="Y12" s="43">
        <v>3.4919499999999999E-2</v>
      </c>
      <c r="Z12" s="43">
        <v>1.7429400000000001E-2</v>
      </c>
    </row>
    <row r="13" spans="1:26" x14ac:dyDescent="0.2">
      <c r="A13" s="40">
        <v>420</v>
      </c>
      <c r="B13" s="40">
        <v>1471</v>
      </c>
      <c r="C13" s="40" t="s">
        <v>99</v>
      </c>
      <c r="D13" s="40" t="s">
        <v>110</v>
      </c>
      <c r="E13" s="40" t="s">
        <v>111</v>
      </c>
      <c r="F13" s="40" t="s">
        <v>112</v>
      </c>
      <c r="G13" s="40" t="s">
        <v>73</v>
      </c>
      <c r="H13" s="40" t="s">
        <v>73</v>
      </c>
      <c r="I13" s="40" t="s">
        <v>103</v>
      </c>
      <c r="J13" s="40" t="s">
        <v>104</v>
      </c>
      <c r="K13" s="40" t="s">
        <v>105</v>
      </c>
      <c r="L13" s="39" t="s">
        <v>78</v>
      </c>
      <c r="M13" s="42">
        <v>6.4</v>
      </c>
      <c r="N13" s="48" t="s">
        <v>113</v>
      </c>
      <c r="O13" s="43">
        <v>1E-3</v>
      </c>
      <c r="P13" s="43">
        <v>1.9699999999999999E-2</v>
      </c>
      <c r="Q13" s="42">
        <v>0</v>
      </c>
      <c r="R13" s="42">
        <v>98778</v>
      </c>
      <c r="S13" s="42">
        <v>1</v>
      </c>
      <c r="T13" s="42">
        <v>104.14</v>
      </c>
      <c r="U13" s="42">
        <v>102.8674</v>
      </c>
      <c r="V13" s="39"/>
      <c r="W13" s="40" t="s">
        <v>18</v>
      </c>
      <c r="X13" s="43">
        <v>2.7999999999999999E-6</v>
      </c>
      <c r="Y13" s="43">
        <v>0.1945846</v>
      </c>
      <c r="Z13" s="43">
        <v>9.7123000000000001E-2</v>
      </c>
    </row>
    <row r="14" spans="1:26" x14ac:dyDescent="0.2">
      <c r="A14" s="40">
        <v>420</v>
      </c>
      <c r="B14" s="40">
        <v>1471</v>
      </c>
      <c r="C14" s="40" t="s">
        <v>99</v>
      </c>
      <c r="D14" s="40" t="s">
        <v>135</v>
      </c>
      <c r="E14" s="40" t="s">
        <v>136</v>
      </c>
      <c r="F14" s="40" t="s">
        <v>102</v>
      </c>
      <c r="G14" s="40" t="s">
        <v>73</v>
      </c>
      <c r="H14" s="40" t="s">
        <v>73</v>
      </c>
      <c r="I14" s="40" t="s">
        <v>103</v>
      </c>
      <c r="J14" s="40" t="s">
        <v>104</v>
      </c>
      <c r="K14" s="40" t="s">
        <v>105</v>
      </c>
      <c r="L14" s="39" t="s">
        <v>78</v>
      </c>
      <c r="M14" s="42">
        <v>6.54</v>
      </c>
      <c r="N14" s="48" t="s">
        <v>137</v>
      </c>
      <c r="O14" s="43">
        <v>1.2999999999999999E-2</v>
      </c>
      <c r="P14" s="43">
        <v>4.0399999999999998E-2</v>
      </c>
      <c r="Q14" s="42">
        <v>0</v>
      </c>
      <c r="R14" s="42">
        <v>49000</v>
      </c>
      <c r="S14" s="42">
        <v>1</v>
      </c>
      <c r="T14" s="42">
        <v>84.1</v>
      </c>
      <c r="U14" s="42">
        <v>41.209000000000003</v>
      </c>
      <c r="V14" s="39"/>
      <c r="W14" s="40" t="s">
        <v>18</v>
      </c>
      <c r="X14" s="43">
        <v>1.3E-6</v>
      </c>
      <c r="Y14" s="43">
        <v>7.7951199999999998E-2</v>
      </c>
      <c r="Z14" s="43">
        <v>3.8907799999999999E-2</v>
      </c>
    </row>
    <row r="15" spans="1:26" x14ac:dyDescent="0.2">
      <c r="A15" s="40">
        <v>420</v>
      </c>
      <c r="B15" s="40">
        <v>1471</v>
      </c>
      <c r="C15" s="40" t="s">
        <v>99</v>
      </c>
      <c r="D15" s="40" t="s">
        <v>114</v>
      </c>
      <c r="E15" s="40" t="s">
        <v>115</v>
      </c>
      <c r="F15" s="40" t="s">
        <v>112</v>
      </c>
      <c r="G15" s="40" t="s">
        <v>73</v>
      </c>
      <c r="H15" s="40" t="s">
        <v>73</v>
      </c>
      <c r="I15" s="40" t="s">
        <v>103</v>
      </c>
      <c r="J15" s="40" t="s">
        <v>104</v>
      </c>
      <c r="K15" s="40" t="s">
        <v>105</v>
      </c>
      <c r="L15" s="39" t="s">
        <v>78</v>
      </c>
      <c r="M15" s="42">
        <v>3.27</v>
      </c>
      <c r="N15" s="48" t="s">
        <v>116</v>
      </c>
      <c r="O15" s="43">
        <v>1.0999999999999999E-2</v>
      </c>
      <c r="P15" s="43">
        <v>2.0500000000000001E-2</v>
      </c>
      <c r="Q15" s="42">
        <v>0</v>
      </c>
      <c r="R15" s="42">
        <v>30114</v>
      </c>
      <c r="S15" s="42">
        <v>1</v>
      </c>
      <c r="T15" s="42">
        <v>103.51</v>
      </c>
      <c r="U15" s="42">
        <v>31.170999999999999</v>
      </c>
      <c r="V15" s="39"/>
      <c r="W15" s="40" t="s">
        <v>18</v>
      </c>
      <c r="X15" s="43">
        <v>8.9999999999999996E-7</v>
      </c>
      <c r="Y15" s="43">
        <v>5.89632E-2</v>
      </c>
      <c r="Z15" s="43">
        <v>2.94303E-2</v>
      </c>
    </row>
    <row r="16" spans="1:26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2"/>
      <c r="N16" s="48"/>
      <c r="O16" s="43"/>
      <c r="P16" s="43"/>
      <c r="Q16" s="42"/>
      <c r="R16" s="42"/>
      <c r="S16" s="42"/>
      <c r="T16" s="42"/>
      <c r="U16" s="42"/>
      <c r="V16" s="39"/>
      <c r="W16" s="40"/>
      <c r="X16" s="43"/>
      <c r="Y16" s="43"/>
      <c r="Z16" s="43"/>
    </row>
    <row r="17" spans="1:26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2"/>
      <c r="N17" s="48"/>
      <c r="O17" s="43"/>
      <c r="P17" s="43"/>
      <c r="Q17" s="42"/>
      <c r="R17" s="42"/>
      <c r="S17" s="42"/>
      <c r="T17" s="42"/>
      <c r="U17" s="42"/>
      <c r="V17" s="39"/>
      <c r="W17" s="40"/>
      <c r="X17" s="43"/>
      <c r="Y17" s="43"/>
      <c r="Z17" s="43"/>
    </row>
    <row r="18" spans="1:26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2"/>
      <c r="N18" s="48"/>
      <c r="O18" s="43"/>
      <c r="P18" s="43"/>
      <c r="Q18" s="42"/>
      <c r="R18" s="42"/>
      <c r="S18" s="42"/>
      <c r="T18" s="42"/>
      <c r="U18" s="42"/>
      <c r="V18" s="39"/>
      <c r="W18" s="40"/>
      <c r="X18" s="43"/>
      <c r="Y18" s="43"/>
      <c r="Z18" s="43"/>
    </row>
    <row r="19" spans="1:26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2"/>
      <c r="N19" s="48"/>
      <c r="O19" s="43"/>
      <c r="P19" s="43"/>
      <c r="Q19" s="42"/>
      <c r="R19" s="42"/>
      <c r="S19" s="42"/>
      <c r="T19" s="42"/>
      <c r="U19" s="42"/>
      <c r="V19" s="39"/>
      <c r="W19" s="40"/>
      <c r="X19" s="43"/>
      <c r="Y19" s="43"/>
      <c r="Z19" s="43"/>
    </row>
    <row r="20" spans="1:26" x14ac:dyDescent="0.2">
      <c r="F20" s="40"/>
      <c r="G20" s="40"/>
      <c r="H20" s="40"/>
      <c r="I20" s="40"/>
      <c r="K20" s="40"/>
      <c r="L20" s="39"/>
      <c r="M20" s="42"/>
      <c r="N20" s="48"/>
      <c r="O20" s="43"/>
      <c r="P20" s="43"/>
      <c r="Q20" s="42"/>
      <c r="R20" s="42"/>
      <c r="S20" s="42"/>
      <c r="T20" s="42"/>
      <c r="U20" s="42"/>
      <c r="V20" s="39"/>
      <c r="W20" s="40"/>
      <c r="X20" s="43"/>
      <c r="Y20" s="43"/>
      <c r="Z20" s="43"/>
    </row>
    <row r="21" spans="1:26" x14ac:dyDescent="0.2">
      <c r="L21" s="40"/>
    </row>
    <row r="22" spans="1:26" x14ac:dyDescent="0.2">
      <c r="L22" s="40"/>
    </row>
    <row r="23" spans="1:26" x14ac:dyDescent="0.2">
      <c r="L23" s="40"/>
    </row>
    <row r="24" spans="1:26" x14ac:dyDescent="0.2">
      <c r="L24" s="40"/>
    </row>
    <row r="25" spans="1:26" x14ac:dyDescent="0.2">
      <c r="L25" s="40"/>
    </row>
    <row r="26" spans="1:26" x14ac:dyDescent="0.2">
      <c r="L26" s="40"/>
    </row>
  </sheetData>
  <sheetProtection formatColumns="0"/>
  <dataValidations count="5">
    <dataValidation type="list" allowBlank="1" showInputMessage="1" showErrorMessage="1" sqref="H2:H20" xr:uid="{81E2128E-5DA7-4545-B5F6-51E5B4DE7D2E}">
      <formula1>Country_list</formula1>
    </dataValidation>
    <dataValidation type="list" allowBlank="1" showInputMessage="1" showErrorMessage="1" sqref="W2:W20" xr:uid="{8199A81E-9901-47DC-BA84-3F301F325241}">
      <formula1>In_the_books</formula1>
    </dataValidation>
    <dataValidation type="list" allowBlank="1" showInputMessage="1" showErrorMessage="1" sqref="K2:K20" xr:uid="{ACE284E1-6260-4E03-8E4E-23BDCAD56A02}">
      <formula1>Rating_Agency</formula1>
    </dataValidation>
    <dataValidation type="list" allowBlank="1" showInputMessage="1" showErrorMessage="1" sqref="I2:I20" xr:uid="{A20A30F3-7483-4DAA-9106-2F157E0B633B}">
      <formula1>Stock_Exchange_Gov_Bonds</formula1>
    </dataValidation>
    <dataValidation type="list" allowBlank="1" showInputMessage="1" showErrorMessage="1" sqref="G2:G20" xr:uid="{B8787444-DFDA-40AD-B6B8-2D2924148E58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C10A-9F63-4CB1-9318-4594A9FBB600}">
  <sheetPr codeName="Sheet6"/>
  <dimension ref="A1:AJ1048572"/>
  <sheetViews>
    <sheetView rightToLeft="1" topLeftCell="AC1" workbookViewId="0"/>
  </sheetViews>
  <sheetFormatPr defaultColWidth="11.625" defaultRowHeight="14.25" x14ac:dyDescent="0.2"/>
  <cols>
    <col min="1" max="3" width="11.625" style="45"/>
    <col min="4" max="6" width="11.625" style="45" customWidth="1"/>
    <col min="7" max="9" width="11.625" style="45"/>
    <col min="10" max="11" width="11.625" style="45" customWidth="1"/>
    <col min="12" max="18" width="11.625" style="45"/>
    <col min="19" max="19" width="11.625" style="49"/>
    <col min="20" max="20" width="11.625" style="45"/>
    <col min="21" max="21" width="11.625" style="50"/>
    <col min="22" max="23" width="11.625" style="51"/>
    <col min="24" max="25" width="11.625" style="45"/>
    <col min="26" max="30" width="11.625" style="49"/>
    <col min="31" max="31" width="11.625" style="45" customWidth="1"/>
    <col min="32" max="33" width="11.625" style="45"/>
    <col min="34" max="36" width="11.625" style="51"/>
    <col min="37" max="16384" width="11.625" style="45"/>
  </cols>
  <sheetData>
    <row r="1" spans="1:36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141</v>
      </c>
      <c r="N1" s="34" t="s">
        <v>59</v>
      </c>
      <c r="O1" s="34" t="s">
        <v>90</v>
      </c>
      <c r="P1" s="34" t="s">
        <v>61</v>
      </c>
      <c r="Q1" s="34" t="s">
        <v>142</v>
      </c>
      <c r="R1" s="34" t="s">
        <v>62</v>
      </c>
      <c r="S1" s="35" t="s">
        <v>91</v>
      </c>
      <c r="T1" s="34" t="s">
        <v>143</v>
      </c>
      <c r="U1" s="47" t="s">
        <v>92</v>
      </c>
      <c r="V1" s="36" t="s">
        <v>65</v>
      </c>
      <c r="W1" s="36" t="s">
        <v>93</v>
      </c>
      <c r="X1" s="34" t="s">
        <v>144</v>
      </c>
      <c r="Y1" s="34" t="s">
        <v>145</v>
      </c>
      <c r="Z1" s="35" t="s">
        <v>95</v>
      </c>
      <c r="AA1" s="35" t="s">
        <v>64</v>
      </c>
      <c r="AB1" s="35" t="s">
        <v>96</v>
      </c>
      <c r="AC1" s="35" t="s">
        <v>94</v>
      </c>
      <c r="AD1" s="35" t="s">
        <v>66</v>
      </c>
      <c r="AE1" s="34" t="s">
        <v>97</v>
      </c>
      <c r="AF1" s="34" t="s">
        <v>146</v>
      </c>
      <c r="AG1" s="34" t="s">
        <v>20</v>
      </c>
      <c r="AH1" s="36" t="s">
        <v>98</v>
      </c>
      <c r="AI1" s="36" t="s">
        <v>67</v>
      </c>
      <c r="AJ1" s="36" t="s">
        <v>68</v>
      </c>
    </row>
    <row r="2" spans="1:36" x14ac:dyDescent="0.2">
      <c r="A2" s="40">
        <v>420</v>
      </c>
      <c r="B2" s="40">
        <v>420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2"/>
      <c r="T2" s="53"/>
      <c r="U2" s="54" t="s">
        <v>147</v>
      </c>
      <c r="V2" s="55"/>
      <c r="X2" s="40"/>
      <c r="Y2" s="40"/>
      <c r="Z2" s="52"/>
      <c r="AA2" s="52"/>
      <c r="AB2" s="52"/>
      <c r="AC2" s="52"/>
      <c r="AD2" s="52"/>
      <c r="AE2" s="40"/>
      <c r="AF2" s="39"/>
      <c r="AG2" s="40"/>
      <c r="AI2" s="51" t="s">
        <v>147</v>
      </c>
    </row>
    <row r="3" spans="1:36" x14ac:dyDescent="0.2">
      <c r="A3" s="40">
        <v>420</v>
      </c>
      <c r="B3" s="40">
        <v>1471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2"/>
      <c r="T3" s="53"/>
      <c r="U3" s="54" t="s">
        <v>147</v>
      </c>
      <c r="V3" s="55"/>
      <c r="W3" s="55"/>
      <c r="X3" s="40"/>
      <c r="Y3" s="40"/>
      <c r="Z3" s="52"/>
      <c r="AA3" s="52"/>
      <c r="AB3" s="52"/>
      <c r="AC3" s="52"/>
      <c r="AD3" s="52"/>
      <c r="AE3" s="40"/>
      <c r="AG3" s="40"/>
      <c r="AI3" s="51" t="s">
        <v>147</v>
      </c>
    </row>
    <row r="4" spans="1:36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2"/>
      <c r="T4" s="53"/>
      <c r="U4" s="54"/>
      <c r="V4" s="55"/>
      <c r="W4" s="55"/>
      <c r="X4" s="40"/>
      <c r="Y4" s="40"/>
      <c r="Z4" s="52"/>
      <c r="AA4" s="52"/>
      <c r="AB4" s="52"/>
      <c r="AC4" s="52"/>
      <c r="AD4" s="52"/>
      <c r="AE4" s="40"/>
      <c r="AG4" s="40"/>
    </row>
    <row r="5" spans="1:36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2"/>
      <c r="T5" s="53"/>
      <c r="U5" s="54"/>
      <c r="V5" s="55"/>
      <c r="W5" s="55"/>
      <c r="X5" s="40"/>
      <c r="Y5" s="40"/>
      <c r="Z5" s="52"/>
      <c r="AA5" s="52"/>
      <c r="AB5" s="52"/>
      <c r="AC5" s="52"/>
      <c r="AD5" s="52"/>
      <c r="AE5" s="40"/>
      <c r="AG5" s="40"/>
    </row>
    <row r="6" spans="1:36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2"/>
      <c r="T6" s="53"/>
      <c r="U6" s="54"/>
      <c r="V6" s="55"/>
      <c r="W6" s="55"/>
      <c r="X6" s="40"/>
      <c r="Y6" s="40"/>
      <c r="Z6" s="52"/>
      <c r="AA6" s="52"/>
      <c r="AB6" s="52"/>
      <c r="AC6" s="52"/>
      <c r="AD6" s="52"/>
      <c r="AE6" s="40"/>
      <c r="AG6" s="40"/>
    </row>
    <row r="7" spans="1:36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2"/>
      <c r="T7" s="53"/>
      <c r="U7" s="54"/>
      <c r="V7" s="55"/>
      <c r="W7" s="55"/>
      <c r="X7" s="40"/>
      <c r="Y7" s="40"/>
      <c r="Z7" s="52"/>
      <c r="AA7" s="52"/>
      <c r="AB7" s="52"/>
      <c r="AC7" s="52"/>
      <c r="AD7" s="52"/>
      <c r="AE7" s="40"/>
      <c r="AG7" s="39"/>
    </row>
    <row r="8" spans="1:36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2"/>
      <c r="T8" s="53"/>
      <c r="U8" s="54"/>
      <c r="V8" s="55"/>
      <c r="W8" s="55"/>
      <c r="X8" s="40"/>
      <c r="Y8" s="40"/>
      <c r="Z8" s="52"/>
      <c r="AB8" s="42"/>
      <c r="AC8" s="42"/>
      <c r="AG8" s="39"/>
    </row>
    <row r="9" spans="1:36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2"/>
      <c r="T9" s="53"/>
      <c r="U9" s="54"/>
      <c r="V9" s="55"/>
      <c r="W9" s="55"/>
      <c r="X9" s="40"/>
      <c r="Y9" s="40"/>
      <c r="Z9" s="52"/>
      <c r="AB9" s="56"/>
      <c r="AC9" s="56"/>
      <c r="AD9" s="56"/>
      <c r="AG9" s="40"/>
    </row>
    <row r="10" spans="1:36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2"/>
      <c r="T10" s="53"/>
      <c r="U10" s="54"/>
      <c r="V10" s="55"/>
      <c r="W10" s="55"/>
      <c r="X10" s="40"/>
      <c r="Y10" s="40"/>
      <c r="Z10" s="52"/>
      <c r="AA10" s="52"/>
      <c r="AB10" s="52"/>
      <c r="AC10" s="52"/>
      <c r="AD10" s="52"/>
      <c r="AE10" s="40"/>
      <c r="AG10" s="40"/>
    </row>
    <row r="11" spans="1:36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2"/>
      <c r="T11" s="53"/>
      <c r="U11" s="54"/>
      <c r="V11" s="55"/>
      <c r="W11" s="55"/>
      <c r="X11" s="40"/>
      <c r="Y11" s="40"/>
      <c r="Z11" s="52"/>
      <c r="AA11" s="52"/>
      <c r="AB11" s="52"/>
      <c r="AC11" s="52"/>
      <c r="AD11" s="52"/>
      <c r="AE11" s="40"/>
      <c r="AG11" s="40"/>
    </row>
    <row r="12" spans="1:36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2"/>
      <c r="T12" s="53"/>
      <c r="U12" s="54"/>
      <c r="V12" s="55"/>
      <c r="W12" s="55"/>
      <c r="X12" s="40"/>
      <c r="Y12" s="40"/>
      <c r="Z12" s="52"/>
      <c r="AA12" s="52"/>
      <c r="AB12" s="52"/>
      <c r="AC12" s="52"/>
      <c r="AD12" s="52"/>
      <c r="AE12" s="40"/>
      <c r="AG12" s="40"/>
    </row>
    <row r="13" spans="1:36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2"/>
      <c r="T13" s="53"/>
      <c r="U13" s="54"/>
      <c r="V13" s="55"/>
      <c r="W13" s="55"/>
      <c r="X13" s="40"/>
      <c r="Y13" s="40"/>
      <c r="Z13" s="52"/>
      <c r="AA13" s="52"/>
      <c r="AB13" s="52"/>
      <c r="AC13" s="52"/>
      <c r="AD13" s="52"/>
      <c r="AE13" s="40"/>
      <c r="AG13" s="40"/>
    </row>
    <row r="14" spans="1:36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2"/>
      <c r="T14" s="53"/>
      <c r="U14" s="54"/>
      <c r="V14" s="55"/>
      <c r="W14" s="55"/>
      <c r="X14" s="40"/>
      <c r="Y14" s="40"/>
      <c r="Z14" s="52"/>
      <c r="AA14" s="52"/>
      <c r="AB14" s="52"/>
      <c r="AC14" s="52"/>
      <c r="AD14" s="52"/>
      <c r="AE14" s="40"/>
      <c r="AG14" s="40"/>
    </row>
    <row r="15" spans="1:36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2"/>
      <c r="T15" s="53"/>
      <c r="U15" s="54"/>
      <c r="V15" s="55"/>
      <c r="W15" s="55"/>
      <c r="X15" s="40"/>
      <c r="Y15" s="40"/>
      <c r="Z15" s="52"/>
      <c r="AA15" s="52"/>
      <c r="AB15" s="52"/>
      <c r="AC15" s="52"/>
      <c r="AD15" s="52"/>
      <c r="AE15" s="40"/>
      <c r="AG15" s="40"/>
    </row>
    <row r="16" spans="1:36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2"/>
      <c r="T16" s="53"/>
      <c r="U16" s="54"/>
      <c r="V16" s="55"/>
      <c r="W16" s="55"/>
      <c r="X16" s="40"/>
      <c r="Y16" s="40"/>
      <c r="Z16" s="52"/>
      <c r="AA16" s="52"/>
      <c r="AB16" s="52"/>
      <c r="AC16" s="52"/>
      <c r="AD16" s="52"/>
      <c r="AE16" s="40"/>
      <c r="AG16" s="40"/>
    </row>
    <row r="17" spans="1:3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2"/>
      <c r="T17" s="53"/>
      <c r="U17" s="54"/>
      <c r="V17" s="55"/>
      <c r="W17" s="55"/>
      <c r="X17" s="40"/>
      <c r="Y17" s="40"/>
      <c r="Z17" s="52"/>
      <c r="AA17" s="52"/>
      <c r="AB17" s="52"/>
      <c r="AC17" s="52"/>
      <c r="AD17" s="52"/>
      <c r="AE17" s="40"/>
      <c r="AG17" s="40"/>
    </row>
    <row r="18" spans="1:3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2"/>
      <c r="T18" s="53"/>
      <c r="U18" s="54"/>
      <c r="V18" s="55"/>
      <c r="W18" s="55"/>
      <c r="X18" s="40"/>
      <c r="Y18" s="40"/>
      <c r="Z18" s="52"/>
      <c r="AA18" s="52"/>
      <c r="AB18" s="52"/>
      <c r="AC18" s="52"/>
      <c r="AD18" s="52"/>
      <c r="AE18" s="40"/>
      <c r="AG18" s="40"/>
    </row>
    <row r="19" spans="1:3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2"/>
      <c r="T19" s="53"/>
      <c r="U19" s="54"/>
      <c r="V19" s="55"/>
      <c r="W19" s="55"/>
      <c r="X19" s="40"/>
      <c r="Y19" s="40"/>
      <c r="Z19" s="52"/>
      <c r="AA19" s="52"/>
      <c r="AB19" s="52"/>
      <c r="AC19" s="52"/>
      <c r="AD19" s="52"/>
      <c r="AE19" s="40"/>
      <c r="AG19" s="40"/>
    </row>
    <row r="20" spans="1:33" x14ac:dyDescent="0.2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3"/>
      <c r="X20" s="40"/>
      <c r="Y20" s="40"/>
      <c r="AG20" s="40"/>
    </row>
    <row r="21" spans="1:33" x14ac:dyDescent="0.2">
      <c r="T21" s="38"/>
    </row>
    <row r="22" spans="1:33" x14ac:dyDescent="0.2">
      <c r="T22" s="38"/>
    </row>
    <row r="23" spans="1:33" x14ac:dyDescent="0.2">
      <c r="T23" s="38"/>
    </row>
    <row r="24" spans="1:33" x14ac:dyDescent="0.2">
      <c r="T24" s="38"/>
    </row>
    <row r="25" spans="1:33" x14ac:dyDescent="0.2">
      <c r="T25" s="39"/>
    </row>
    <row r="1048572" spans="12:14" x14ac:dyDescent="0.2">
      <c r="L1048572" s="57"/>
      <c r="N1048572" s="58"/>
    </row>
  </sheetData>
  <sheetProtection formatColumns="0"/>
  <dataValidations count="15">
    <dataValidation type="list" allowBlank="1" showInputMessage="1" showErrorMessage="1" sqref="L2:L20" xr:uid="{FC49A928-3844-4F90-8041-78CA8653BB71}">
      <formula1>Stock_Exchange</formula1>
    </dataValidation>
    <dataValidation type="list" allowBlank="1" showInputMessage="1" showErrorMessage="1" sqref="M2:M20" xr:uid="{1E8D6583-5C10-47C1-8E60-2B2553ADD27B}">
      <formula1>Industry_Sector</formula1>
    </dataValidation>
    <dataValidation type="list" allowBlank="1" showInputMessage="1" showErrorMessage="1" sqref="H2" xr:uid="{06E35BF9-1F6A-4922-8E3B-3C35D9D754FE}">
      <formula1>Security_ID_Number_Type</formula1>
    </dataValidation>
    <dataValidation type="list" allowBlank="1" showInputMessage="1" showErrorMessage="1" sqref="H3:H20" xr:uid="{980E0E76-8A6F-4649-9CBC-3561A86B79A0}">
      <formula1>Type_of_Security_ID_Fund</formula1>
    </dataValidation>
    <dataValidation type="list" allowBlank="1" showInputMessage="1" showErrorMessage="1" sqref="E2:E20" xr:uid="{3049565F-7FDD-488E-9B0A-F7D3E9478F60}">
      <formula1>Issuer_Number_Type_2</formula1>
    </dataValidation>
    <dataValidation type="list" allowBlank="1" showInputMessage="1" showErrorMessage="1" sqref="X2:X20" xr:uid="{6CBE7051-2378-4240-9905-E980CD010DF7}">
      <formula1>Subordination_Risk</formula1>
    </dataValidation>
    <dataValidation type="list" allowBlank="1" showInputMessage="1" showErrorMessage="1" sqref="Y2:Y20" xr:uid="{B1FB1326-817B-477A-ABBD-EE79B6166FBD}">
      <formula1>Yes_No_Bad_Debt</formula1>
    </dataValidation>
    <dataValidation type="list" allowBlank="1" showInputMessage="1" showErrorMessage="1" sqref="T2:T20" xr:uid="{EA6AD31C-6A40-4474-8BDC-3C43D3CAEF05}">
      <formula1>Underlying_Interest_Rates</formula1>
    </dataValidation>
    <dataValidation type="list" allowBlank="1" showInputMessage="1" showErrorMessage="1" sqref="K2:K20" xr:uid="{D4B6EC2F-344B-4CB8-BDFD-C5B70D3E532F}">
      <formula1>Country_list</formula1>
    </dataValidation>
    <dataValidation type="list" allowBlank="1" showInputMessage="1" showErrorMessage="1" sqref="AG9:AG20 AG2:AG6" xr:uid="{5B09411B-0B89-4107-B7A6-65E2BFC3159A}">
      <formula1>In_the_books</formula1>
    </dataValidation>
    <dataValidation type="list" allowBlank="1" showInputMessage="1" showErrorMessage="1" sqref="Q2:Q20" xr:uid="{D3906E63-8E69-4331-9FDD-48ED4E536AF3}">
      <formula1>What_is_rated</formula1>
    </dataValidation>
    <dataValidation type="list" allowBlank="1" showInputMessage="1" showErrorMessage="1" sqref="P2:P20" xr:uid="{86F74FF0-CB68-4005-BFDD-A948CC21E913}">
      <formula1>Rating_Agency</formula1>
    </dataValidation>
    <dataValidation type="list" allowBlank="1" showInputMessage="1" showErrorMessage="1" sqref="N1048572:N1048576 N2:N20" xr:uid="{42CA0F4E-5F52-47C2-AEA9-089817E46C21}">
      <formula1>Holding_interest</formula1>
    </dataValidation>
    <dataValidation type="list" allowBlank="1" showInputMessage="1" showErrorMessage="1" sqref="J2:J20" xr:uid="{2AD88D4E-D759-4E98-82AF-C2DCBB809D45}">
      <formula1>israel_abroad</formula1>
    </dataValidation>
    <dataValidation type="list" allowBlank="1" showInputMessage="1" showErrorMessage="1" sqref="L1048572:L1048576" xr:uid="{40A126CC-A656-48B8-893D-979220956747}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640A-231D-4811-BFD9-88F3F6A8F020}">
  <sheetPr codeName="Sheet7"/>
  <dimension ref="A1:AK149"/>
  <sheetViews>
    <sheetView rightToLeft="1" topLeftCell="M135" workbookViewId="0">
      <selection activeCell="AD149" sqref="AD149"/>
    </sheetView>
  </sheetViews>
  <sheetFormatPr defaultColWidth="11.625" defaultRowHeight="14.25" x14ac:dyDescent="0.2"/>
  <cols>
    <col min="1" max="2" width="11.625" style="38"/>
    <col min="3" max="3" width="27.25" style="38" bestFit="1" customWidth="1"/>
    <col min="4" max="5" width="11.625" style="38"/>
    <col min="6" max="6" width="24" style="45" bestFit="1" customWidth="1"/>
    <col min="7" max="7" width="14.5" style="38" bestFit="1" customWidth="1"/>
    <col min="8" max="8" width="23.75" style="38" customWidth="1"/>
    <col min="9" max="9" width="22.75" style="38" bestFit="1" customWidth="1"/>
    <col min="10" max="12" width="11.625" style="38" customWidth="1"/>
    <col min="13" max="13" width="11.625" style="38"/>
    <col min="14" max="14" width="14.375" style="38" bestFit="1" customWidth="1"/>
    <col min="15" max="19" width="11.625" style="38"/>
    <col min="20" max="20" width="11.625" style="41"/>
    <col min="21" max="21" width="11.625" style="61"/>
    <col min="22" max="24" width="11.625" style="46"/>
    <col min="25" max="25" width="11.625" style="45"/>
    <col min="26" max="26" width="13.5" style="49" bestFit="1" customWidth="1"/>
    <col min="27" max="27" width="13.5" style="41" bestFit="1" customWidth="1"/>
    <col min="28" max="31" width="11.625" style="41"/>
    <col min="32" max="33" width="11.625" style="38"/>
    <col min="34" max="37" width="11.625" style="46"/>
    <col min="38" max="16384" width="11.625" style="38"/>
  </cols>
  <sheetData>
    <row r="1" spans="1:37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89</v>
      </c>
      <c r="N1" s="34" t="s">
        <v>141</v>
      </c>
      <c r="O1" s="34" t="s">
        <v>59</v>
      </c>
      <c r="P1" s="34" t="s">
        <v>90</v>
      </c>
      <c r="Q1" s="34" t="s">
        <v>61</v>
      </c>
      <c r="R1" s="34" t="s">
        <v>142</v>
      </c>
      <c r="S1" s="34" t="s">
        <v>62</v>
      </c>
      <c r="T1" s="35" t="s">
        <v>91</v>
      </c>
      <c r="U1" s="47" t="s">
        <v>92</v>
      </c>
      <c r="V1" s="36" t="s">
        <v>65</v>
      </c>
      <c r="W1" s="36" t="s">
        <v>93</v>
      </c>
      <c r="X1" s="36" t="s">
        <v>144</v>
      </c>
      <c r="Y1" s="34" t="s">
        <v>145</v>
      </c>
      <c r="Z1" s="35" t="s">
        <v>95</v>
      </c>
      <c r="AA1" s="35" t="s">
        <v>64</v>
      </c>
      <c r="AB1" s="35" t="s">
        <v>96</v>
      </c>
      <c r="AC1" s="35" t="s">
        <v>94</v>
      </c>
      <c r="AD1" s="35" t="s">
        <v>66</v>
      </c>
      <c r="AE1" s="35" t="s">
        <v>97</v>
      </c>
      <c r="AF1" s="34" t="s">
        <v>146</v>
      </c>
      <c r="AG1" s="34" t="s">
        <v>20</v>
      </c>
      <c r="AH1" s="36" t="s">
        <v>98</v>
      </c>
      <c r="AI1" s="36" t="s">
        <v>67</v>
      </c>
      <c r="AJ1" s="36" t="s">
        <v>68</v>
      </c>
      <c r="AK1" s="38"/>
    </row>
    <row r="2" spans="1:37" x14ac:dyDescent="0.2">
      <c r="A2" s="39">
        <v>420</v>
      </c>
      <c r="B2" s="53">
        <v>420</v>
      </c>
      <c r="C2" s="53" t="s">
        <v>149</v>
      </c>
      <c r="D2" s="53">
        <v>511344186</v>
      </c>
      <c r="E2" s="53" t="s">
        <v>150</v>
      </c>
      <c r="F2" s="40" t="s">
        <v>151</v>
      </c>
      <c r="G2" s="53" t="s">
        <v>152</v>
      </c>
      <c r="H2" s="53" t="s">
        <v>153</v>
      </c>
      <c r="I2" s="40" t="s">
        <v>154</v>
      </c>
      <c r="J2" s="53" t="s">
        <v>73</v>
      </c>
      <c r="K2" s="40" t="s">
        <v>73</v>
      </c>
      <c r="L2" s="40" t="s">
        <v>155</v>
      </c>
      <c r="M2" s="53" t="s">
        <v>103</v>
      </c>
      <c r="N2" s="40" t="s">
        <v>156</v>
      </c>
      <c r="O2" s="53" t="s">
        <v>74</v>
      </c>
      <c r="P2" s="53" t="s">
        <v>157</v>
      </c>
      <c r="Q2" s="53" t="s">
        <v>84</v>
      </c>
      <c r="R2" s="53" t="s">
        <v>158</v>
      </c>
      <c r="S2" s="53" t="s">
        <v>78</v>
      </c>
      <c r="T2" s="52">
        <v>3.43</v>
      </c>
      <c r="U2" s="59" t="s">
        <v>159</v>
      </c>
      <c r="V2" s="60">
        <v>3.9399999999999998E-2</v>
      </c>
      <c r="W2" s="60">
        <v>4.5999999999999999E-2</v>
      </c>
      <c r="X2" s="60" t="s">
        <v>160</v>
      </c>
      <c r="Y2" s="40" t="s">
        <v>74</v>
      </c>
      <c r="Z2" s="52">
        <v>383501.98</v>
      </c>
      <c r="AA2" s="56">
        <v>1</v>
      </c>
      <c r="AB2" s="41">
        <v>97.95</v>
      </c>
      <c r="AC2" s="41">
        <v>35.4876</v>
      </c>
      <c r="AD2" s="41">
        <v>411.12777999999997</v>
      </c>
      <c r="AG2" s="38" t="s">
        <v>18</v>
      </c>
      <c r="AH2" s="46">
        <v>2.6855E-3</v>
      </c>
      <c r="AI2" s="46">
        <v>1.4613804384141314E-2</v>
      </c>
      <c r="AJ2" s="46">
        <v>2.8544999999999998E-3</v>
      </c>
    </row>
    <row r="3" spans="1:37" x14ac:dyDescent="0.2">
      <c r="A3" s="53">
        <v>420</v>
      </c>
      <c r="B3" s="53">
        <v>420</v>
      </c>
      <c r="C3" s="53" t="s">
        <v>161</v>
      </c>
      <c r="D3" s="53">
        <v>520041146</v>
      </c>
      <c r="E3" s="53" t="s">
        <v>150</v>
      </c>
      <c r="F3" s="40" t="s">
        <v>162</v>
      </c>
      <c r="G3" s="53" t="s">
        <v>163</v>
      </c>
      <c r="H3" s="53" t="s">
        <v>153</v>
      </c>
      <c r="I3" s="40" t="s">
        <v>154</v>
      </c>
      <c r="J3" s="53" t="s">
        <v>73</v>
      </c>
      <c r="K3" s="40" t="s">
        <v>73</v>
      </c>
      <c r="L3" s="40" t="s">
        <v>155</v>
      </c>
      <c r="M3" s="53" t="s">
        <v>103</v>
      </c>
      <c r="N3" s="40" t="s">
        <v>164</v>
      </c>
      <c r="O3" s="53" t="s">
        <v>74</v>
      </c>
      <c r="P3" s="53" t="s">
        <v>165</v>
      </c>
      <c r="Q3" s="53" t="s">
        <v>84</v>
      </c>
      <c r="R3" s="53" t="s">
        <v>158</v>
      </c>
      <c r="S3" s="53" t="s">
        <v>78</v>
      </c>
      <c r="T3" s="52">
        <v>3.05</v>
      </c>
      <c r="U3" s="59" t="s">
        <v>166</v>
      </c>
      <c r="V3" s="60">
        <v>1.4999999999999999E-2</v>
      </c>
      <c r="W3" s="60">
        <v>5.0599999999999999E-2</v>
      </c>
      <c r="X3" s="60" t="s">
        <v>160</v>
      </c>
      <c r="Y3" s="40" t="s">
        <v>74</v>
      </c>
      <c r="Z3" s="52">
        <v>399473</v>
      </c>
      <c r="AA3" s="56">
        <v>1</v>
      </c>
      <c r="AB3" s="41">
        <v>90.42</v>
      </c>
      <c r="AC3" s="41">
        <v>0</v>
      </c>
      <c r="AD3" s="41">
        <v>361.20348000000001</v>
      </c>
      <c r="AG3" s="38" t="s">
        <v>18</v>
      </c>
      <c r="AH3" s="46">
        <v>3.3940000000000001E-4</v>
      </c>
      <c r="AI3" s="46">
        <v>1.4052204215661265E-2</v>
      </c>
      <c r="AJ3" s="46">
        <v>2.7447999999999999E-3</v>
      </c>
    </row>
    <row r="4" spans="1:37" x14ac:dyDescent="0.2">
      <c r="A4" s="53">
        <v>420</v>
      </c>
      <c r="B4" s="53">
        <v>420</v>
      </c>
      <c r="C4" s="53" t="s">
        <v>161</v>
      </c>
      <c r="D4" s="53">
        <v>520041146</v>
      </c>
      <c r="E4" s="53" t="s">
        <v>150</v>
      </c>
      <c r="F4" s="40" t="s">
        <v>167</v>
      </c>
      <c r="G4" s="53" t="s">
        <v>168</v>
      </c>
      <c r="H4" s="53" t="s">
        <v>153</v>
      </c>
      <c r="I4" s="40" t="s">
        <v>154</v>
      </c>
      <c r="J4" s="53" t="s">
        <v>73</v>
      </c>
      <c r="K4" s="40" t="s">
        <v>73</v>
      </c>
      <c r="L4" s="40" t="s">
        <v>155</v>
      </c>
      <c r="M4" s="53" t="s">
        <v>103</v>
      </c>
      <c r="N4" s="40" t="s">
        <v>164</v>
      </c>
      <c r="O4" s="53" t="s">
        <v>74</v>
      </c>
      <c r="P4" s="53" t="s">
        <v>165</v>
      </c>
      <c r="Q4" s="53" t="s">
        <v>84</v>
      </c>
      <c r="R4" s="53" t="s">
        <v>158</v>
      </c>
      <c r="S4" s="53" t="s">
        <v>78</v>
      </c>
      <c r="T4" s="52">
        <v>5.63</v>
      </c>
      <c r="U4" s="59" t="s">
        <v>169</v>
      </c>
      <c r="V4" s="60">
        <v>0.05</v>
      </c>
      <c r="W4" s="60">
        <v>5.2600000000000001E-2</v>
      </c>
      <c r="X4" s="60" t="s">
        <v>160</v>
      </c>
      <c r="Y4" s="40" t="s">
        <v>74</v>
      </c>
      <c r="Z4" s="52">
        <v>260000</v>
      </c>
      <c r="AA4" s="56">
        <v>1</v>
      </c>
      <c r="AB4" s="41">
        <v>100.64</v>
      </c>
      <c r="AC4" s="41">
        <v>0</v>
      </c>
      <c r="AD4" s="41">
        <v>261.66399999999999</v>
      </c>
      <c r="AG4" s="38" t="s">
        <v>18</v>
      </c>
      <c r="AH4" s="46">
        <v>5.5460000000000004E-4</v>
      </c>
      <c r="AI4" s="46">
        <v>1.0179703053910916E-2</v>
      </c>
      <c r="AJ4" s="46">
        <v>1.9884E-3</v>
      </c>
    </row>
    <row r="5" spans="1:37" x14ac:dyDescent="0.2">
      <c r="A5" s="53">
        <v>420</v>
      </c>
      <c r="B5" s="53">
        <v>420</v>
      </c>
      <c r="C5" s="53" t="s">
        <v>170</v>
      </c>
      <c r="D5" s="53">
        <v>512719485</v>
      </c>
      <c r="E5" s="53" t="s">
        <v>150</v>
      </c>
      <c r="F5" s="40" t="s">
        <v>171</v>
      </c>
      <c r="G5" s="53" t="s">
        <v>172</v>
      </c>
      <c r="H5" s="53" t="s">
        <v>153</v>
      </c>
      <c r="I5" s="40" t="s">
        <v>154</v>
      </c>
      <c r="J5" s="53" t="s">
        <v>73</v>
      </c>
      <c r="K5" s="40" t="s">
        <v>73</v>
      </c>
      <c r="L5" s="40" t="s">
        <v>155</v>
      </c>
      <c r="M5" s="53" t="s">
        <v>103</v>
      </c>
      <c r="N5" s="40" t="s">
        <v>173</v>
      </c>
      <c r="O5" s="53" t="s">
        <v>74</v>
      </c>
      <c r="P5" s="53" t="s">
        <v>165</v>
      </c>
      <c r="Q5" s="53" t="s">
        <v>84</v>
      </c>
      <c r="R5" s="53" t="s">
        <v>158</v>
      </c>
      <c r="S5" s="53" t="s">
        <v>78</v>
      </c>
      <c r="T5" s="52">
        <v>4.88</v>
      </c>
      <c r="U5" s="59" t="s">
        <v>174</v>
      </c>
      <c r="V5" s="60">
        <v>5.4800000000000001E-2</v>
      </c>
      <c r="W5" s="60">
        <v>4.82E-2</v>
      </c>
      <c r="X5" s="60" t="s">
        <v>160</v>
      </c>
      <c r="Y5" s="40" t="s">
        <v>74</v>
      </c>
      <c r="Z5" s="52">
        <v>195000</v>
      </c>
      <c r="AA5" s="41">
        <v>1</v>
      </c>
      <c r="AB5" s="41">
        <v>103.44</v>
      </c>
      <c r="AC5" s="41">
        <v>0</v>
      </c>
      <c r="AD5" s="41">
        <v>201.708</v>
      </c>
      <c r="AG5" s="38" t="s">
        <v>18</v>
      </c>
      <c r="AH5" s="46">
        <v>6.4999999999999997E-4</v>
      </c>
      <c r="AI5" s="46">
        <v>7.847202354160707E-3</v>
      </c>
      <c r="AJ5" s="46">
        <v>1.5328E-3</v>
      </c>
    </row>
    <row r="6" spans="1:37" x14ac:dyDescent="0.2">
      <c r="A6" s="53">
        <v>420</v>
      </c>
      <c r="B6" s="53">
        <v>420</v>
      </c>
      <c r="C6" s="53" t="s">
        <v>170</v>
      </c>
      <c r="D6" s="53">
        <v>512719485</v>
      </c>
      <c r="E6" s="53" t="s">
        <v>150</v>
      </c>
      <c r="F6" s="40" t="s">
        <v>175</v>
      </c>
      <c r="G6" s="53" t="s">
        <v>176</v>
      </c>
      <c r="H6" s="53" t="s">
        <v>153</v>
      </c>
      <c r="I6" s="40" t="s">
        <v>154</v>
      </c>
      <c r="J6" s="53" t="s">
        <v>73</v>
      </c>
      <c r="K6" s="40" t="s">
        <v>73</v>
      </c>
      <c r="L6" s="40" t="s">
        <v>155</v>
      </c>
      <c r="M6" s="53" t="s">
        <v>103</v>
      </c>
      <c r="N6" s="40" t="s">
        <v>173</v>
      </c>
      <c r="O6" s="53" t="s">
        <v>74</v>
      </c>
      <c r="P6" s="53" t="s">
        <v>165</v>
      </c>
      <c r="Q6" s="53" t="s">
        <v>84</v>
      </c>
      <c r="R6" s="53" t="s">
        <v>158</v>
      </c>
      <c r="S6" s="53" t="s">
        <v>78</v>
      </c>
      <c r="T6" s="52">
        <v>6.56</v>
      </c>
      <c r="U6" s="59" t="s">
        <v>177</v>
      </c>
      <c r="V6" s="60">
        <v>5.2900000000000003E-2</v>
      </c>
      <c r="W6" s="60">
        <v>5.1700000000000003E-2</v>
      </c>
      <c r="X6" s="60" t="s">
        <v>160</v>
      </c>
      <c r="Y6" s="40" t="s">
        <v>74</v>
      </c>
      <c r="Z6" s="52">
        <v>200000</v>
      </c>
      <c r="AA6" s="41">
        <v>1</v>
      </c>
      <c r="AB6" s="41">
        <v>101.2</v>
      </c>
      <c r="AC6" s="41">
        <v>0</v>
      </c>
      <c r="AD6" s="41">
        <v>202.4</v>
      </c>
      <c r="AG6" s="38" t="s">
        <v>18</v>
      </c>
      <c r="AH6" s="46">
        <v>3.6390000000000001E-4</v>
      </c>
      <c r="AI6" s="46">
        <v>7.8741023622307081E-3</v>
      </c>
      <c r="AJ6" s="46">
        <v>1.5380000000000001E-3</v>
      </c>
    </row>
    <row r="7" spans="1:37" x14ac:dyDescent="0.2">
      <c r="A7" s="53">
        <v>420</v>
      </c>
      <c r="B7" s="53">
        <v>420</v>
      </c>
      <c r="C7" s="53" t="s">
        <v>178</v>
      </c>
      <c r="D7" s="53">
        <v>515328250</v>
      </c>
      <c r="E7" s="53" t="s">
        <v>150</v>
      </c>
      <c r="F7" s="40" t="s">
        <v>179</v>
      </c>
      <c r="G7" s="53" t="s">
        <v>180</v>
      </c>
      <c r="H7" s="53" t="s">
        <v>153</v>
      </c>
      <c r="I7" s="40" t="s">
        <v>154</v>
      </c>
      <c r="J7" s="53" t="s">
        <v>73</v>
      </c>
      <c r="K7" s="40" t="s">
        <v>181</v>
      </c>
      <c r="L7" s="40" t="s">
        <v>155</v>
      </c>
      <c r="M7" s="53" t="s">
        <v>103</v>
      </c>
      <c r="N7" s="40" t="s">
        <v>182</v>
      </c>
      <c r="O7" s="53" t="s">
        <v>74</v>
      </c>
      <c r="P7" s="53" t="s">
        <v>165</v>
      </c>
      <c r="Q7" s="53" t="s">
        <v>84</v>
      </c>
      <c r="R7" s="53" t="s">
        <v>158</v>
      </c>
      <c r="S7" s="53" t="s">
        <v>78</v>
      </c>
      <c r="T7" s="52">
        <v>1.32</v>
      </c>
      <c r="U7" s="59" t="s">
        <v>183</v>
      </c>
      <c r="V7" s="60">
        <v>2.6499999999999999E-2</v>
      </c>
      <c r="W7" s="60">
        <v>4.9599999999999998E-2</v>
      </c>
      <c r="X7" s="60" t="s">
        <v>160</v>
      </c>
      <c r="Y7" s="40" t="s">
        <v>74</v>
      </c>
      <c r="Z7" s="52">
        <v>185714.29</v>
      </c>
      <c r="AA7" s="56">
        <v>1</v>
      </c>
      <c r="AB7" s="41">
        <v>97.97</v>
      </c>
      <c r="AC7" s="41">
        <v>0</v>
      </c>
      <c r="AD7" s="41">
        <v>181.94427999999999</v>
      </c>
      <c r="AG7" s="38" t="s">
        <v>18</v>
      </c>
      <c r="AH7" s="46">
        <v>3.6259999999999998E-4</v>
      </c>
      <c r="AI7" s="46">
        <v>7.0783021234906368E-3</v>
      </c>
      <c r="AJ7" s="46">
        <v>1.3826000000000001E-3</v>
      </c>
    </row>
    <row r="8" spans="1:37" x14ac:dyDescent="0.2">
      <c r="A8" s="53">
        <v>420</v>
      </c>
      <c r="B8" s="53">
        <v>420</v>
      </c>
      <c r="C8" s="53" t="s">
        <v>178</v>
      </c>
      <c r="D8" s="53">
        <v>515328250</v>
      </c>
      <c r="E8" s="53" t="s">
        <v>150</v>
      </c>
      <c r="F8" s="40" t="s">
        <v>184</v>
      </c>
      <c r="G8" s="53" t="s">
        <v>185</v>
      </c>
      <c r="H8" s="53" t="s">
        <v>153</v>
      </c>
      <c r="I8" s="40" t="s">
        <v>154</v>
      </c>
      <c r="J8" s="53" t="s">
        <v>73</v>
      </c>
      <c r="K8" s="40" t="s">
        <v>73</v>
      </c>
      <c r="L8" s="40" t="s">
        <v>155</v>
      </c>
      <c r="M8" s="53" t="s">
        <v>103</v>
      </c>
      <c r="N8" s="40" t="s">
        <v>182</v>
      </c>
      <c r="O8" s="53" t="s">
        <v>74</v>
      </c>
      <c r="P8" s="53" t="s">
        <v>165</v>
      </c>
      <c r="Q8" s="53" t="s">
        <v>84</v>
      </c>
      <c r="R8" s="53" t="s">
        <v>158</v>
      </c>
      <c r="S8" s="53" t="s">
        <v>78</v>
      </c>
      <c r="T8" s="52">
        <v>2.78</v>
      </c>
      <c r="U8" s="59" t="s">
        <v>186</v>
      </c>
      <c r="V8" s="60">
        <v>6.3700000000000007E-2</v>
      </c>
      <c r="W8" s="60">
        <v>5.0900000000000001E-2</v>
      </c>
      <c r="X8" s="60" t="s">
        <v>160</v>
      </c>
      <c r="Y8" s="40" t="s">
        <v>74</v>
      </c>
      <c r="Z8" s="52">
        <v>195000</v>
      </c>
      <c r="AA8" s="56">
        <v>1</v>
      </c>
      <c r="AB8" s="41">
        <v>103.67</v>
      </c>
      <c r="AC8" s="41">
        <v>0</v>
      </c>
      <c r="AD8" s="41">
        <v>202.15649999999999</v>
      </c>
      <c r="AG8" s="38" t="s">
        <v>18</v>
      </c>
      <c r="AH8" s="46">
        <v>4.6769999999999998E-4</v>
      </c>
      <c r="AI8" s="46">
        <v>7.8647023594107072E-3</v>
      </c>
      <c r="AJ8" s="46">
        <v>1.5361999999999999E-3</v>
      </c>
    </row>
    <row r="9" spans="1:37" x14ac:dyDescent="0.2">
      <c r="A9" s="53">
        <v>420</v>
      </c>
      <c r="B9" s="53">
        <v>420</v>
      </c>
      <c r="C9" s="53" t="s">
        <v>178</v>
      </c>
      <c r="D9" s="53">
        <v>515328250</v>
      </c>
      <c r="E9" s="53" t="s">
        <v>150</v>
      </c>
      <c r="F9" s="40" t="s">
        <v>187</v>
      </c>
      <c r="G9" s="53" t="s">
        <v>188</v>
      </c>
      <c r="H9" s="53" t="s">
        <v>153</v>
      </c>
      <c r="I9" s="40" t="s">
        <v>154</v>
      </c>
      <c r="J9" s="53" t="s">
        <v>73</v>
      </c>
      <c r="K9" s="40" t="s">
        <v>181</v>
      </c>
      <c r="L9" s="40" t="s">
        <v>155</v>
      </c>
      <c r="M9" s="53" t="s">
        <v>103</v>
      </c>
      <c r="N9" s="40" t="s">
        <v>182</v>
      </c>
      <c r="O9" s="53" t="s">
        <v>74</v>
      </c>
      <c r="P9" s="53" t="s">
        <v>165</v>
      </c>
      <c r="Q9" s="53" t="s">
        <v>84</v>
      </c>
      <c r="R9" s="53" t="s">
        <v>158</v>
      </c>
      <c r="S9" s="53" t="s">
        <v>78</v>
      </c>
      <c r="T9" s="52">
        <v>5.65</v>
      </c>
      <c r="U9" s="59" t="s">
        <v>189</v>
      </c>
      <c r="V9" s="60">
        <v>5.5899999999999998E-2</v>
      </c>
      <c r="W9" s="60">
        <v>5.2400000000000002E-2</v>
      </c>
      <c r="X9" s="60" t="s">
        <v>160</v>
      </c>
      <c r="Y9" s="40" t="s">
        <v>74</v>
      </c>
      <c r="Z9" s="52">
        <v>174000</v>
      </c>
      <c r="AA9" s="56">
        <v>1</v>
      </c>
      <c r="AB9" s="41">
        <v>103.88</v>
      </c>
      <c r="AC9" s="41">
        <v>0</v>
      </c>
      <c r="AD9" s="41">
        <v>180.75120000000001</v>
      </c>
      <c r="AG9" s="38" t="s">
        <v>18</v>
      </c>
      <c r="AH9" s="46">
        <v>7.7789999999999999E-4</v>
      </c>
      <c r="AI9" s="46">
        <v>7.0319021095706325E-3</v>
      </c>
      <c r="AJ9" s="46">
        <v>1.3734999999999999E-3</v>
      </c>
    </row>
    <row r="10" spans="1:37" x14ac:dyDescent="0.2">
      <c r="A10" s="53">
        <v>420</v>
      </c>
      <c r="B10" s="53">
        <v>420</v>
      </c>
      <c r="C10" s="53" t="s">
        <v>190</v>
      </c>
      <c r="D10" s="53">
        <v>512467994</v>
      </c>
      <c r="E10" s="53" t="s">
        <v>150</v>
      </c>
      <c r="F10" s="40" t="s">
        <v>191</v>
      </c>
      <c r="G10" s="53" t="s">
        <v>192</v>
      </c>
      <c r="H10" s="53" t="s">
        <v>153</v>
      </c>
      <c r="I10" s="40" t="s">
        <v>154</v>
      </c>
      <c r="J10" s="53" t="s">
        <v>73</v>
      </c>
      <c r="K10" s="40" t="s">
        <v>73</v>
      </c>
      <c r="L10" s="40" t="s">
        <v>155</v>
      </c>
      <c r="M10" s="53" t="s">
        <v>103</v>
      </c>
      <c r="N10" s="40" t="s">
        <v>193</v>
      </c>
      <c r="O10" s="53" t="s">
        <v>74</v>
      </c>
      <c r="P10" s="53" t="s">
        <v>165</v>
      </c>
      <c r="Q10" s="53" t="s">
        <v>84</v>
      </c>
      <c r="R10" s="53" t="s">
        <v>158</v>
      </c>
      <c r="S10" s="53" t="s">
        <v>78</v>
      </c>
      <c r="T10" s="52">
        <v>3.69</v>
      </c>
      <c r="U10" s="59" t="s">
        <v>137</v>
      </c>
      <c r="V10" s="60">
        <v>5.8200000000000002E-2</v>
      </c>
      <c r="W10" s="60">
        <v>4.8399999999999999E-2</v>
      </c>
      <c r="X10" s="60" t="s">
        <v>160</v>
      </c>
      <c r="Y10" s="40" t="s">
        <v>74</v>
      </c>
      <c r="Z10" s="52">
        <v>183000</v>
      </c>
      <c r="AA10" s="56">
        <v>1</v>
      </c>
      <c r="AB10" s="41">
        <v>104.76</v>
      </c>
      <c r="AC10" s="41">
        <v>0</v>
      </c>
      <c r="AD10" s="41">
        <v>191.71080000000001</v>
      </c>
      <c r="AG10" s="38" t="s">
        <v>18</v>
      </c>
      <c r="AH10" s="46">
        <v>1.0457000000000001E-3</v>
      </c>
      <c r="AI10" s="46">
        <v>7.4583022374906712E-3</v>
      </c>
      <c r="AJ10" s="46">
        <v>1.4568000000000001E-3</v>
      </c>
    </row>
    <row r="11" spans="1:37" x14ac:dyDescent="0.2">
      <c r="A11" s="53">
        <v>420</v>
      </c>
      <c r="B11" s="53">
        <v>420</v>
      </c>
      <c r="C11" s="53" t="s">
        <v>194</v>
      </c>
      <c r="D11" s="53">
        <v>510607328</v>
      </c>
      <c r="E11" s="53" t="s">
        <v>150</v>
      </c>
      <c r="F11" s="40" t="s">
        <v>195</v>
      </c>
      <c r="G11" s="53" t="s">
        <v>196</v>
      </c>
      <c r="H11" s="53" t="s">
        <v>153</v>
      </c>
      <c r="I11" s="40" t="s">
        <v>154</v>
      </c>
      <c r="J11" s="53" t="s">
        <v>73</v>
      </c>
      <c r="K11" s="40" t="s">
        <v>73</v>
      </c>
      <c r="L11" s="40" t="s">
        <v>155</v>
      </c>
      <c r="M11" s="53" t="s">
        <v>103</v>
      </c>
      <c r="N11" s="40" t="s">
        <v>182</v>
      </c>
      <c r="O11" s="53" t="s">
        <v>74</v>
      </c>
      <c r="P11" s="53" t="s">
        <v>197</v>
      </c>
      <c r="Q11" s="53" t="s">
        <v>84</v>
      </c>
      <c r="R11" s="53" t="s">
        <v>158</v>
      </c>
      <c r="S11" s="53" t="s">
        <v>78</v>
      </c>
      <c r="T11" s="52">
        <v>4.04</v>
      </c>
      <c r="U11" s="59" t="s">
        <v>198</v>
      </c>
      <c r="V11" s="60">
        <v>6.0699999999999997E-2</v>
      </c>
      <c r="W11" s="60">
        <v>5.4800000000000001E-2</v>
      </c>
      <c r="X11" s="60" t="s">
        <v>160</v>
      </c>
      <c r="Y11" s="40" t="s">
        <v>74</v>
      </c>
      <c r="Z11" s="52">
        <v>346073</v>
      </c>
      <c r="AA11" s="56">
        <v>1</v>
      </c>
      <c r="AB11" s="41">
        <v>103.15</v>
      </c>
      <c r="AC11" s="41">
        <v>0</v>
      </c>
      <c r="AD11" s="41">
        <v>356.97429</v>
      </c>
      <c r="AG11" s="38" t="s">
        <v>18</v>
      </c>
      <c r="AH11" s="46">
        <v>8.2969999999999995E-4</v>
      </c>
      <c r="AI11" s="46">
        <v>1.3887704166311248E-2</v>
      </c>
      <c r="AJ11" s="46">
        <v>2.7125999999999999E-3</v>
      </c>
    </row>
    <row r="12" spans="1:37" x14ac:dyDescent="0.2">
      <c r="A12" s="53">
        <v>420</v>
      </c>
      <c r="B12" s="53">
        <v>420</v>
      </c>
      <c r="C12" s="53" t="s">
        <v>199</v>
      </c>
      <c r="D12" s="53">
        <v>516269248</v>
      </c>
      <c r="E12" s="53" t="s">
        <v>150</v>
      </c>
      <c r="F12" s="40" t="s">
        <v>200</v>
      </c>
      <c r="G12" s="53" t="s">
        <v>201</v>
      </c>
      <c r="H12" s="53" t="s">
        <v>153</v>
      </c>
      <c r="I12" s="40" t="s">
        <v>202</v>
      </c>
      <c r="J12" s="53" t="s">
        <v>73</v>
      </c>
      <c r="K12" s="40" t="s">
        <v>73</v>
      </c>
      <c r="L12" s="40" t="s">
        <v>155</v>
      </c>
      <c r="M12" s="53" t="s">
        <v>103</v>
      </c>
      <c r="N12" s="40" t="s">
        <v>203</v>
      </c>
      <c r="O12" s="53" t="s">
        <v>74</v>
      </c>
      <c r="P12" s="53" t="s">
        <v>197</v>
      </c>
      <c r="Q12" s="53" t="s">
        <v>84</v>
      </c>
      <c r="R12" s="53" t="s">
        <v>158</v>
      </c>
      <c r="S12" s="53" t="s">
        <v>78</v>
      </c>
      <c r="T12" s="52">
        <v>5.56</v>
      </c>
      <c r="U12" s="59" t="s">
        <v>189</v>
      </c>
      <c r="V12" s="60">
        <v>3.3000000000000002E-2</v>
      </c>
      <c r="W12" s="60">
        <v>3.3000000000000002E-2</v>
      </c>
      <c r="X12" s="60" t="s">
        <v>160</v>
      </c>
      <c r="Y12" s="40" t="s">
        <v>74</v>
      </c>
      <c r="Z12" s="52">
        <v>175384.62</v>
      </c>
      <c r="AA12" s="56">
        <v>1</v>
      </c>
      <c r="AB12" s="41">
        <v>109.3</v>
      </c>
      <c r="AC12" s="41">
        <v>0</v>
      </c>
      <c r="AD12" s="41">
        <v>191.69538</v>
      </c>
      <c r="AG12" s="38" t="s">
        <v>18</v>
      </c>
      <c r="AH12" s="46">
        <v>1.4779999999999999E-4</v>
      </c>
      <c r="AI12" s="46">
        <v>7.4577022373106712E-3</v>
      </c>
      <c r="AJ12" s="46">
        <v>1.4567E-3</v>
      </c>
    </row>
    <row r="13" spans="1:37" x14ac:dyDescent="0.2">
      <c r="A13" s="53">
        <v>420</v>
      </c>
      <c r="B13" s="53">
        <v>420</v>
      </c>
      <c r="C13" s="53" t="s">
        <v>204</v>
      </c>
      <c r="D13" s="53">
        <v>512764408</v>
      </c>
      <c r="E13" s="53" t="s">
        <v>150</v>
      </c>
      <c r="F13" s="40" t="s">
        <v>205</v>
      </c>
      <c r="G13" s="53" t="s">
        <v>206</v>
      </c>
      <c r="H13" s="53" t="s">
        <v>153</v>
      </c>
      <c r="I13" s="40" t="s">
        <v>154</v>
      </c>
      <c r="J13" s="53" t="s">
        <v>73</v>
      </c>
      <c r="K13" s="40" t="s">
        <v>73</v>
      </c>
      <c r="L13" s="40" t="s">
        <v>155</v>
      </c>
      <c r="M13" s="53" t="s">
        <v>103</v>
      </c>
      <c r="N13" s="40" t="s">
        <v>207</v>
      </c>
      <c r="O13" s="53" t="s">
        <v>74</v>
      </c>
      <c r="P13" s="53" t="s">
        <v>197</v>
      </c>
      <c r="Q13" s="53" t="s">
        <v>84</v>
      </c>
      <c r="R13" s="53" t="s">
        <v>158</v>
      </c>
      <c r="S13" s="53" t="s">
        <v>78</v>
      </c>
      <c r="T13" s="52">
        <v>3.11</v>
      </c>
      <c r="U13" s="59" t="s">
        <v>208</v>
      </c>
      <c r="V13" s="60">
        <v>6.4000000000000001E-2</v>
      </c>
      <c r="W13" s="60">
        <v>5.5599999999999997E-2</v>
      </c>
      <c r="X13" s="60" t="s">
        <v>160</v>
      </c>
      <c r="Y13" s="40" t="s">
        <v>74</v>
      </c>
      <c r="Z13" s="52">
        <v>127000</v>
      </c>
      <c r="AA13" s="56">
        <v>1</v>
      </c>
      <c r="AB13" s="41">
        <v>103.33</v>
      </c>
      <c r="AC13" s="41">
        <v>0</v>
      </c>
      <c r="AD13" s="41">
        <v>131.22909999999999</v>
      </c>
      <c r="AG13" s="38" t="s">
        <v>18</v>
      </c>
      <c r="AH13" s="46">
        <v>3.6670000000000002E-4</v>
      </c>
      <c r="AI13" s="46">
        <v>5.1053015315904596E-3</v>
      </c>
      <c r="AJ13" s="46">
        <v>9.9719999999999995E-4</v>
      </c>
    </row>
    <row r="14" spans="1:37" x14ac:dyDescent="0.2">
      <c r="A14" s="53">
        <v>420</v>
      </c>
      <c r="B14" s="53">
        <v>420</v>
      </c>
      <c r="C14" s="53" t="s">
        <v>209</v>
      </c>
      <c r="D14" s="53">
        <v>510960719</v>
      </c>
      <c r="E14" s="53" t="s">
        <v>150</v>
      </c>
      <c r="F14" s="40" t="s">
        <v>210</v>
      </c>
      <c r="G14" s="53" t="s">
        <v>211</v>
      </c>
      <c r="H14" s="53" t="s">
        <v>153</v>
      </c>
      <c r="I14" s="40" t="s">
        <v>202</v>
      </c>
      <c r="J14" s="53" t="s">
        <v>73</v>
      </c>
      <c r="K14" s="40" t="s">
        <v>73</v>
      </c>
      <c r="L14" s="40" t="s">
        <v>155</v>
      </c>
      <c r="M14" s="53" t="s">
        <v>103</v>
      </c>
      <c r="N14" s="40" t="s">
        <v>173</v>
      </c>
      <c r="O14" s="53" t="s">
        <v>74</v>
      </c>
      <c r="P14" s="53" t="s">
        <v>212</v>
      </c>
      <c r="Q14" s="53" t="s">
        <v>84</v>
      </c>
      <c r="R14" s="53" t="s">
        <v>158</v>
      </c>
      <c r="S14" s="53" t="s">
        <v>78</v>
      </c>
      <c r="T14" s="52">
        <v>11.94</v>
      </c>
      <c r="U14" s="59" t="s">
        <v>213</v>
      </c>
      <c r="V14" s="60">
        <v>3.6700000000000003E-2</v>
      </c>
      <c r="W14" s="60">
        <v>3.1600000000000003E-2</v>
      </c>
      <c r="X14" s="60" t="s">
        <v>160</v>
      </c>
      <c r="Y14" s="40" t="s">
        <v>74</v>
      </c>
      <c r="Z14" s="52">
        <v>100000</v>
      </c>
      <c r="AA14" s="56">
        <v>1</v>
      </c>
      <c r="AB14" s="41">
        <v>109.54</v>
      </c>
      <c r="AC14" s="41">
        <v>1.8898999999999999</v>
      </c>
      <c r="AD14" s="41">
        <v>109.54</v>
      </c>
      <c r="AG14" s="38" t="s">
        <v>18</v>
      </c>
      <c r="AH14" s="46">
        <v>3.04E-5</v>
      </c>
      <c r="AI14" s="46">
        <v>4.2615012784503834E-3</v>
      </c>
      <c r="AJ14" s="46">
        <v>8.3239999999999996E-4</v>
      </c>
    </row>
    <row r="15" spans="1:37" x14ac:dyDescent="0.2">
      <c r="A15" s="53">
        <v>420</v>
      </c>
      <c r="B15" s="53">
        <v>420</v>
      </c>
      <c r="C15" s="53" t="s">
        <v>214</v>
      </c>
      <c r="D15" s="53">
        <v>520033986</v>
      </c>
      <c r="E15" s="53" t="s">
        <v>150</v>
      </c>
      <c r="F15" s="40" t="s">
        <v>215</v>
      </c>
      <c r="G15" s="53" t="s">
        <v>216</v>
      </c>
      <c r="H15" s="53" t="s">
        <v>153</v>
      </c>
      <c r="I15" s="40" t="s">
        <v>154</v>
      </c>
      <c r="J15" s="53" t="s">
        <v>73</v>
      </c>
      <c r="K15" s="40" t="s">
        <v>73</v>
      </c>
      <c r="L15" s="40" t="s">
        <v>155</v>
      </c>
      <c r="M15" s="53" t="s">
        <v>103</v>
      </c>
      <c r="N15" s="40" t="s">
        <v>217</v>
      </c>
      <c r="O15" s="53" t="s">
        <v>74</v>
      </c>
      <c r="P15" s="53" t="s">
        <v>218</v>
      </c>
      <c r="Q15" s="53" t="s">
        <v>84</v>
      </c>
      <c r="R15" s="53" t="s">
        <v>158</v>
      </c>
      <c r="S15" s="53" t="s">
        <v>78</v>
      </c>
      <c r="T15" s="52">
        <v>4.9400000000000004</v>
      </c>
      <c r="U15" s="59" t="s">
        <v>219</v>
      </c>
      <c r="V15" s="60">
        <v>1.95E-2</v>
      </c>
      <c r="W15" s="60">
        <v>4.5400000000000003E-2</v>
      </c>
      <c r="X15" s="60" t="s">
        <v>160</v>
      </c>
      <c r="Y15" s="40" t="s">
        <v>74</v>
      </c>
      <c r="Z15" s="52">
        <v>181749.44</v>
      </c>
      <c r="AA15" s="56">
        <v>1</v>
      </c>
      <c r="AB15" s="41">
        <v>88.13</v>
      </c>
      <c r="AC15" s="41">
        <v>0</v>
      </c>
      <c r="AD15" s="41">
        <v>160.17578</v>
      </c>
      <c r="AG15" s="38" t="s">
        <v>18</v>
      </c>
      <c r="AH15" s="46">
        <v>1.897E-4</v>
      </c>
      <c r="AI15" s="46">
        <v>6.2315018694505606E-3</v>
      </c>
      <c r="AJ15" s="46">
        <v>1.2172000000000001E-3</v>
      </c>
    </row>
    <row r="16" spans="1:37" x14ac:dyDescent="0.2">
      <c r="A16" s="53">
        <v>420</v>
      </c>
      <c r="B16" s="53">
        <v>420</v>
      </c>
      <c r="C16" s="53" t="s">
        <v>220</v>
      </c>
      <c r="D16" s="53">
        <v>520032046</v>
      </c>
      <c r="E16" s="53" t="s">
        <v>150</v>
      </c>
      <c r="F16" s="40" t="s">
        <v>221</v>
      </c>
      <c r="G16" s="53" t="s">
        <v>222</v>
      </c>
      <c r="H16" s="53" t="s">
        <v>153</v>
      </c>
      <c r="I16" s="40" t="s">
        <v>202</v>
      </c>
      <c r="J16" s="53" t="s">
        <v>73</v>
      </c>
      <c r="K16" s="40" t="s">
        <v>73</v>
      </c>
      <c r="L16" s="40" t="s">
        <v>155</v>
      </c>
      <c r="M16" s="53" t="s">
        <v>103</v>
      </c>
      <c r="N16" s="40" t="s">
        <v>223</v>
      </c>
      <c r="O16" s="53" t="s">
        <v>74</v>
      </c>
      <c r="P16" s="53" t="s">
        <v>83</v>
      </c>
      <c r="Q16" s="53" t="s">
        <v>84</v>
      </c>
      <c r="R16" s="53" t="s">
        <v>158</v>
      </c>
      <c r="S16" s="53" t="s">
        <v>78</v>
      </c>
      <c r="T16" s="52">
        <v>1.42</v>
      </c>
      <c r="U16" s="59" t="s">
        <v>224</v>
      </c>
      <c r="V16" s="60">
        <v>5.0000000000000001E-3</v>
      </c>
      <c r="W16" s="60">
        <v>2.6200000000000001E-2</v>
      </c>
      <c r="X16" s="60" t="s">
        <v>160</v>
      </c>
      <c r="Y16" s="40" t="s">
        <v>74</v>
      </c>
      <c r="Z16" s="52">
        <v>395886</v>
      </c>
      <c r="AA16" s="56">
        <v>1</v>
      </c>
      <c r="AB16" s="41">
        <v>112.82</v>
      </c>
      <c r="AC16" s="41">
        <v>0</v>
      </c>
      <c r="AD16" s="41">
        <v>446.63857999999999</v>
      </c>
      <c r="AG16" s="38" t="s">
        <v>18</v>
      </c>
      <c r="AH16" s="46">
        <v>5.1860000000000003E-4</v>
      </c>
      <c r="AI16" s="46">
        <v>1.7375905212771561E-2</v>
      </c>
      <c r="AJ16" s="46">
        <v>3.3939999999999999E-3</v>
      </c>
    </row>
    <row r="17" spans="1:36" x14ac:dyDescent="0.2">
      <c r="A17" s="53">
        <v>420</v>
      </c>
      <c r="B17" s="53">
        <v>420</v>
      </c>
      <c r="C17" s="53" t="s">
        <v>225</v>
      </c>
      <c r="D17" s="53">
        <v>512096793</v>
      </c>
      <c r="E17" s="53" t="s">
        <v>150</v>
      </c>
      <c r="F17" s="40" t="s">
        <v>226</v>
      </c>
      <c r="G17" s="53" t="s">
        <v>227</v>
      </c>
      <c r="H17" s="53" t="s">
        <v>153</v>
      </c>
      <c r="I17" s="40" t="s">
        <v>202</v>
      </c>
      <c r="J17" s="53" t="s">
        <v>73</v>
      </c>
      <c r="K17" s="40" t="s">
        <v>73</v>
      </c>
      <c r="L17" s="40" t="s">
        <v>155</v>
      </c>
      <c r="M17" s="53" t="s">
        <v>103</v>
      </c>
      <c r="N17" s="40" t="s">
        <v>173</v>
      </c>
      <c r="O17" s="53" t="s">
        <v>74</v>
      </c>
      <c r="P17" s="53" t="s">
        <v>228</v>
      </c>
      <c r="Q17" s="53" t="s">
        <v>105</v>
      </c>
      <c r="R17" s="53" t="s">
        <v>158</v>
      </c>
      <c r="S17" s="53" t="s">
        <v>78</v>
      </c>
      <c r="T17" s="52">
        <v>5.1100000000000003</v>
      </c>
      <c r="U17" s="59" t="s">
        <v>174</v>
      </c>
      <c r="V17" s="60">
        <v>3.1800000000000002E-2</v>
      </c>
      <c r="W17" s="60">
        <v>3.0499999999999999E-2</v>
      </c>
      <c r="X17" s="60" t="s">
        <v>160</v>
      </c>
      <c r="Y17" s="40" t="s">
        <v>74</v>
      </c>
      <c r="Z17" s="52">
        <v>200000</v>
      </c>
      <c r="AA17" s="56">
        <v>1</v>
      </c>
      <c r="AB17" s="41">
        <v>102.65</v>
      </c>
      <c r="AC17" s="41">
        <v>0</v>
      </c>
      <c r="AD17" s="41">
        <v>205.3</v>
      </c>
      <c r="AG17" s="38" t="s">
        <v>18</v>
      </c>
      <c r="AH17" s="46">
        <v>8.9619999999999999E-4</v>
      </c>
      <c r="AI17" s="46">
        <v>7.9870023961007182E-3</v>
      </c>
      <c r="AJ17" s="46">
        <v>1.5601E-3</v>
      </c>
    </row>
    <row r="18" spans="1:36" x14ac:dyDescent="0.2">
      <c r="A18" s="53">
        <v>420</v>
      </c>
      <c r="B18" s="53">
        <v>420</v>
      </c>
      <c r="C18" s="53" t="s">
        <v>229</v>
      </c>
      <c r="D18" s="53">
        <v>520017807</v>
      </c>
      <c r="E18" s="53" t="s">
        <v>150</v>
      </c>
      <c r="F18" s="40" t="s">
        <v>230</v>
      </c>
      <c r="G18" s="53" t="s">
        <v>231</v>
      </c>
      <c r="H18" s="53" t="s">
        <v>153</v>
      </c>
      <c r="I18" s="40" t="s">
        <v>202</v>
      </c>
      <c r="J18" s="53" t="s">
        <v>73</v>
      </c>
      <c r="K18" s="40" t="s">
        <v>73</v>
      </c>
      <c r="L18" s="40" t="s">
        <v>155</v>
      </c>
      <c r="M18" s="53" t="s">
        <v>103</v>
      </c>
      <c r="N18" s="40" t="s">
        <v>173</v>
      </c>
      <c r="O18" s="53" t="s">
        <v>74</v>
      </c>
      <c r="P18" s="53" t="s">
        <v>228</v>
      </c>
      <c r="Q18" s="53" t="s">
        <v>105</v>
      </c>
      <c r="R18" s="53" t="s">
        <v>158</v>
      </c>
      <c r="S18" s="53" t="s">
        <v>78</v>
      </c>
      <c r="T18" s="52">
        <v>5.56</v>
      </c>
      <c r="U18" s="59" t="s">
        <v>232</v>
      </c>
      <c r="V18" s="60">
        <v>1.4999999999999999E-2</v>
      </c>
      <c r="W18" s="60">
        <v>3.1199999999999999E-2</v>
      </c>
      <c r="X18" s="60" t="s">
        <v>160</v>
      </c>
      <c r="Y18" s="40" t="s">
        <v>74</v>
      </c>
      <c r="Z18" s="52">
        <v>323368.87</v>
      </c>
      <c r="AA18" s="56">
        <v>1</v>
      </c>
      <c r="AB18" s="41">
        <v>103.74</v>
      </c>
      <c r="AC18" s="41">
        <v>0</v>
      </c>
      <c r="AD18" s="41">
        <v>335.46285999999998</v>
      </c>
      <c r="AG18" s="38" t="s">
        <v>18</v>
      </c>
      <c r="AH18" s="46">
        <v>6.5050000000000004E-4</v>
      </c>
      <c r="AI18" s="46">
        <v>1.3050803915241174E-2</v>
      </c>
      <c r="AJ18" s="46">
        <v>2.5492000000000002E-3</v>
      </c>
    </row>
    <row r="19" spans="1:36" x14ac:dyDescent="0.2">
      <c r="A19" s="38">
        <v>420</v>
      </c>
      <c r="B19" s="38">
        <v>420</v>
      </c>
      <c r="C19" s="38" t="s">
        <v>233</v>
      </c>
      <c r="D19" s="38">
        <v>511491839</v>
      </c>
      <c r="E19" s="38" t="s">
        <v>150</v>
      </c>
      <c r="F19" s="40" t="s">
        <v>234</v>
      </c>
      <c r="G19" s="38" t="s">
        <v>235</v>
      </c>
      <c r="H19" s="38" t="s">
        <v>153</v>
      </c>
      <c r="I19" s="40" t="s">
        <v>202</v>
      </c>
      <c r="J19" s="53" t="s">
        <v>73</v>
      </c>
      <c r="K19" s="40" t="s">
        <v>73</v>
      </c>
      <c r="L19" s="40" t="s">
        <v>155</v>
      </c>
      <c r="M19" s="53" t="s">
        <v>103</v>
      </c>
      <c r="N19" s="40" t="s">
        <v>182</v>
      </c>
      <c r="O19" s="53" t="s">
        <v>74</v>
      </c>
      <c r="P19" s="53" t="s">
        <v>236</v>
      </c>
      <c r="Q19" s="38" t="s">
        <v>84</v>
      </c>
      <c r="R19" s="53" t="s">
        <v>158</v>
      </c>
      <c r="S19" s="53" t="s">
        <v>78</v>
      </c>
      <c r="T19" s="41">
        <v>2.35</v>
      </c>
      <c r="U19" s="61" t="s">
        <v>237</v>
      </c>
      <c r="V19" s="46">
        <v>3.3700000000000001E-2</v>
      </c>
      <c r="W19" s="46">
        <v>3.8199999999999998E-2</v>
      </c>
      <c r="X19" s="46" t="s">
        <v>160</v>
      </c>
      <c r="Y19" s="40" t="s">
        <v>74</v>
      </c>
      <c r="Z19" s="52">
        <v>26076.13</v>
      </c>
      <c r="AA19" s="41">
        <v>1</v>
      </c>
      <c r="AB19" s="41">
        <v>114.21</v>
      </c>
      <c r="AC19" s="41">
        <v>0</v>
      </c>
      <c r="AD19" s="41">
        <v>29.78154</v>
      </c>
      <c r="AG19" s="38" t="s">
        <v>18</v>
      </c>
      <c r="AH19" s="46">
        <v>1.219E-4</v>
      </c>
      <c r="AI19" s="46">
        <v>1.1586003475801043E-3</v>
      </c>
      <c r="AJ19" s="46">
        <v>2.263E-4</v>
      </c>
    </row>
    <row r="20" spans="1:36" x14ac:dyDescent="0.2">
      <c r="A20" s="38">
        <v>420</v>
      </c>
      <c r="B20" s="38">
        <v>420</v>
      </c>
      <c r="C20" s="38" t="s">
        <v>238</v>
      </c>
      <c r="D20" s="38">
        <v>520036617</v>
      </c>
      <c r="E20" s="38" t="s">
        <v>150</v>
      </c>
      <c r="F20" s="45" t="s">
        <v>239</v>
      </c>
      <c r="G20" s="38" t="s">
        <v>240</v>
      </c>
      <c r="H20" s="38" t="s">
        <v>153</v>
      </c>
      <c r="I20" s="45" t="s">
        <v>202</v>
      </c>
      <c r="J20" s="38" t="s">
        <v>73</v>
      </c>
      <c r="K20" s="38" t="s">
        <v>73</v>
      </c>
      <c r="L20" s="38" t="s">
        <v>155</v>
      </c>
      <c r="M20" s="39" t="s">
        <v>103</v>
      </c>
      <c r="N20" s="45" t="s">
        <v>173</v>
      </c>
      <c r="O20" s="38" t="s">
        <v>74</v>
      </c>
      <c r="P20" s="38" t="s">
        <v>241</v>
      </c>
      <c r="Q20" s="38" t="s">
        <v>76</v>
      </c>
      <c r="R20" s="38" t="s">
        <v>158</v>
      </c>
      <c r="S20" s="38" t="s">
        <v>78</v>
      </c>
      <c r="T20" s="41">
        <v>5.57</v>
      </c>
      <c r="U20" s="61" t="s">
        <v>242</v>
      </c>
      <c r="V20" s="46">
        <v>3.6799999999999999E-2</v>
      </c>
      <c r="W20" s="46">
        <v>3.32E-2</v>
      </c>
      <c r="X20" s="46" t="s">
        <v>160</v>
      </c>
      <c r="Y20" s="45" t="s">
        <v>74</v>
      </c>
      <c r="Z20" s="49">
        <v>173000</v>
      </c>
      <c r="AA20" s="41">
        <v>1</v>
      </c>
      <c r="AB20" s="41">
        <v>107.29</v>
      </c>
      <c r="AC20" s="41">
        <v>0</v>
      </c>
      <c r="AD20" s="41">
        <v>185.61170000000001</v>
      </c>
      <c r="AG20" s="38" t="s">
        <v>18</v>
      </c>
      <c r="AH20" s="46">
        <v>3.8989999999999999E-4</v>
      </c>
      <c r="AI20" s="46">
        <v>7.2210021663006493E-3</v>
      </c>
      <c r="AJ20" s="46">
        <v>1.4105000000000001E-3</v>
      </c>
    </row>
    <row r="21" spans="1:36" x14ac:dyDescent="0.2">
      <c r="A21" s="38">
        <v>420</v>
      </c>
      <c r="B21" s="38">
        <v>420</v>
      </c>
      <c r="C21" s="38" t="s">
        <v>238</v>
      </c>
      <c r="D21" s="38">
        <v>520036617</v>
      </c>
      <c r="E21" s="38" t="s">
        <v>150</v>
      </c>
      <c r="F21" s="45" t="s">
        <v>243</v>
      </c>
      <c r="G21" s="38" t="s">
        <v>244</v>
      </c>
      <c r="H21" s="38" t="s">
        <v>153</v>
      </c>
      <c r="I21" s="45" t="s">
        <v>154</v>
      </c>
      <c r="J21" s="38" t="s">
        <v>73</v>
      </c>
      <c r="K21" s="38" t="s">
        <v>73</v>
      </c>
      <c r="L21" s="38" t="s">
        <v>155</v>
      </c>
      <c r="M21" s="39" t="s">
        <v>103</v>
      </c>
      <c r="N21" s="45" t="s">
        <v>173</v>
      </c>
      <c r="O21" s="38" t="s">
        <v>74</v>
      </c>
      <c r="P21" s="38" t="s">
        <v>241</v>
      </c>
      <c r="Q21" s="38" t="s">
        <v>76</v>
      </c>
      <c r="R21" s="38" t="s">
        <v>158</v>
      </c>
      <c r="S21" s="38" t="s">
        <v>78</v>
      </c>
      <c r="T21" s="41">
        <v>2.09</v>
      </c>
      <c r="U21" s="61" t="s">
        <v>245</v>
      </c>
      <c r="V21" s="46">
        <v>5.2999999999999999E-2</v>
      </c>
      <c r="W21" s="46">
        <v>0.05</v>
      </c>
      <c r="X21" s="46" t="s">
        <v>160</v>
      </c>
      <c r="Y21" s="45" t="s">
        <v>74</v>
      </c>
      <c r="Z21" s="49">
        <v>185714.28</v>
      </c>
      <c r="AA21" s="41">
        <v>1</v>
      </c>
      <c r="AB21" s="41">
        <v>102.04</v>
      </c>
      <c r="AC21" s="41">
        <v>0</v>
      </c>
      <c r="AD21" s="41">
        <v>189.50285</v>
      </c>
      <c r="AG21" s="38" t="s">
        <v>18</v>
      </c>
      <c r="AH21" s="46">
        <v>4.9100000000000001E-4</v>
      </c>
      <c r="AI21" s="46">
        <v>7.3724022117206637E-3</v>
      </c>
      <c r="AJ21" s="46">
        <v>1.4400000000000001E-3</v>
      </c>
    </row>
    <row r="22" spans="1:36" x14ac:dyDescent="0.2">
      <c r="A22" s="38">
        <v>420</v>
      </c>
      <c r="B22" s="38">
        <v>420</v>
      </c>
      <c r="C22" s="38" t="s">
        <v>246</v>
      </c>
      <c r="D22" s="38">
        <v>510381601</v>
      </c>
      <c r="E22" s="38" t="s">
        <v>150</v>
      </c>
      <c r="F22" s="45" t="s">
        <v>247</v>
      </c>
      <c r="G22" s="38" t="s">
        <v>248</v>
      </c>
      <c r="H22" s="38" t="s">
        <v>153</v>
      </c>
      <c r="I22" s="45" t="s">
        <v>202</v>
      </c>
      <c r="J22" s="38" t="s">
        <v>73</v>
      </c>
      <c r="K22" s="38" t="s">
        <v>73</v>
      </c>
      <c r="L22" s="38" t="s">
        <v>155</v>
      </c>
      <c r="M22" s="39" t="s">
        <v>103</v>
      </c>
      <c r="N22" s="38" t="s">
        <v>193</v>
      </c>
      <c r="O22" s="38" t="s">
        <v>74</v>
      </c>
      <c r="P22" s="38" t="s">
        <v>241</v>
      </c>
      <c r="Q22" s="38" t="s">
        <v>76</v>
      </c>
      <c r="R22" s="38" t="s">
        <v>158</v>
      </c>
      <c r="S22" s="38" t="s">
        <v>78</v>
      </c>
      <c r="T22" s="41">
        <v>2.81</v>
      </c>
      <c r="U22" s="61" t="s">
        <v>249</v>
      </c>
      <c r="V22" s="46">
        <v>7.4999999999999997E-3</v>
      </c>
      <c r="W22" s="46">
        <v>3.0200000000000001E-2</v>
      </c>
      <c r="X22" s="46" t="s">
        <v>160</v>
      </c>
      <c r="Y22" s="45" t="s">
        <v>74</v>
      </c>
      <c r="Z22" s="49">
        <v>723494.3</v>
      </c>
      <c r="AA22" s="41">
        <v>1</v>
      </c>
      <c r="AB22" s="41">
        <v>107.32</v>
      </c>
      <c r="AC22" s="41">
        <v>0</v>
      </c>
      <c r="AD22" s="41">
        <v>776.45407999999998</v>
      </c>
      <c r="AG22" s="38" t="s">
        <v>18</v>
      </c>
      <c r="AH22" s="46">
        <v>5.0819999999999999E-4</v>
      </c>
      <c r="AI22" s="46">
        <v>3.0207009062102719E-2</v>
      </c>
      <c r="AJ22" s="46">
        <v>5.9002000000000004E-3</v>
      </c>
    </row>
    <row r="23" spans="1:36" x14ac:dyDescent="0.2">
      <c r="A23" s="38">
        <v>420</v>
      </c>
      <c r="B23" s="38">
        <v>420</v>
      </c>
      <c r="C23" s="38" t="s">
        <v>250</v>
      </c>
      <c r="D23" s="38">
        <v>520044322</v>
      </c>
      <c r="E23" s="38" t="s">
        <v>150</v>
      </c>
      <c r="F23" s="45" t="s">
        <v>251</v>
      </c>
      <c r="G23" s="38" t="s">
        <v>252</v>
      </c>
      <c r="H23" s="38" t="s">
        <v>153</v>
      </c>
      <c r="I23" s="38" t="s">
        <v>154</v>
      </c>
      <c r="J23" s="38" t="s">
        <v>73</v>
      </c>
      <c r="K23" s="38" t="s">
        <v>73</v>
      </c>
      <c r="L23" s="38" t="s">
        <v>155</v>
      </c>
      <c r="M23" s="39" t="s">
        <v>103</v>
      </c>
      <c r="N23" s="38" t="s">
        <v>253</v>
      </c>
      <c r="O23" s="38" t="s">
        <v>74</v>
      </c>
      <c r="P23" s="38" t="s">
        <v>254</v>
      </c>
      <c r="Q23" s="38" t="s">
        <v>76</v>
      </c>
      <c r="R23" s="38" t="s">
        <v>158</v>
      </c>
      <c r="S23" s="38" t="s">
        <v>78</v>
      </c>
      <c r="T23" s="41">
        <v>4.96</v>
      </c>
      <c r="U23" s="61" t="s">
        <v>255</v>
      </c>
      <c r="V23" s="46">
        <v>6.3799999999999996E-2</v>
      </c>
      <c r="W23" s="46">
        <v>5.1799999999999999E-2</v>
      </c>
      <c r="X23" s="46" t="s">
        <v>160</v>
      </c>
      <c r="Y23" s="45" t="s">
        <v>74</v>
      </c>
      <c r="Z23" s="49">
        <v>259000</v>
      </c>
      <c r="AA23" s="41">
        <v>1</v>
      </c>
      <c r="AB23" s="41">
        <v>106.21</v>
      </c>
      <c r="AC23" s="41">
        <v>0</v>
      </c>
      <c r="AD23" s="41">
        <v>275.08390000000003</v>
      </c>
      <c r="AG23" s="38" t="s">
        <v>18</v>
      </c>
      <c r="AH23" s="46">
        <v>2.5900000000000001E-4</v>
      </c>
      <c r="AI23" s="46">
        <v>1.0701803210540962E-2</v>
      </c>
      <c r="AJ23" s="46">
        <v>2.0902999999999998E-3</v>
      </c>
    </row>
    <row r="24" spans="1:36" x14ac:dyDescent="0.2">
      <c r="A24" s="38">
        <v>420</v>
      </c>
      <c r="B24" s="38">
        <v>420</v>
      </c>
      <c r="C24" s="38" t="s">
        <v>250</v>
      </c>
      <c r="D24" s="38">
        <v>520044322</v>
      </c>
      <c r="E24" s="38" t="s">
        <v>150</v>
      </c>
      <c r="F24" s="45" t="s">
        <v>256</v>
      </c>
      <c r="G24" s="38" t="s">
        <v>257</v>
      </c>
      <c r="H24" s="38" t="s">
        <v>153</v>
      </c>
      <c r="I24" s="38" t="s">
        <v>154</v>
      </c>
      <c r="J24" s="38" t="s">
        <v>73</v>
      </c>
      <c r="K24" s="38" t="s">
        <v>73</v>
      </c>
      <c r="L24" s="38" t="s">
        <v>155</v>
      </c>
      <c r="M24" s="39" t="s">
        <v>103</v>
      </c>
      <c r="N24" s="38" t="s">
        <v>253</v>
      </c>
      <c r="O24" s="38" t="s">
        <v>74</v>
      </c>
      <c r="P24" s="38" t="s">
        <v>254</v>
      </c>
      <c r="Q24" s="38" t="s">
        <v>76</v>
      </c>
      <c r="R24" s="38" t="s">
        <v>158</v>
      </c>
      <c r="S24" s="38" t="s">
        <v>78</v>
      </c>
      <c r="T24" s="41">
        <v>5.6</v>
      </c>
      <c r="U24" s="61" t="s">
        <v>258</v>
      </c>
      <c r="V24" s="46">
        <v>5.6899999999999999E-2</v>
      </c>
      <c r="W24" s="46">
        <v>5.5100000000000003E-2</v>
      </c>
      <c r="X24" s="46" t="s">
        <v>160</v>
      </c>
      <c r="Y24" s="45" t="s">
        <v>74</v>
      </c>
      <c r="Z24" s="49">
        <v>194000</v>
      </c>
      <c r="AA24" s="41">
        <v>1</v>
      </c>
      <c r="AB24" s="41">
        <v>101.37</v>
      </c>
      <c r="AC24" s="41">
        <v>0</v>
      </c>
      <c r="AD24" s="41">
        <v>196.65780000000001</v>
      </c>
      <c r="AG24" s="38" t="s">
        <v>18</v>
      </c>
      <c r="AH24" s="46">
        <v>1.2400000000000001E-4</v>
      </c>
      <c r="AI24" s="46">
        <v>7.650702295210688E-3</v>
      </c>
      <c r="AJ24" s="46">
        <v>1.4943999999999999E-3</v>
      </c>
    </row>
    <row r="25" spans="1:36" x14ac:dyDescent="0.2">
      <c r="A25" s="38">
        <v>420</v>
      </c>
      <c r="B25" s="38">
        <v>420</v>
      </c>
      <c r="C25" s="38" t="s">
        <v>259</v>
      </c>
      <c r="D25" s="38">
        <v>520020116</v>
      </c>
      <c r="E25" s="38" t="s">
        <v>150</v>
      </c>
      <c r="F25" s="45" t="s">
        <v>260</v>
      </c>
      <c r="G25" s="38" t="s">
        <v>261</v>
      </c>
      <c r="H25" s="38" t="s">
        <v>153</v>
      </c>
      <c r="I25" s="38" t="s">
        <v>202</v>
      </c>
      <c r="J25" s="38" t="s">
        <v>73</v>
      </c>
      <c r="K25" s="38" t="s">
        <v>73</v>
      </c>
      <c r="L25" s="38" t="s">
        <v>155</v>
      </c>
      <c r="M25" s="38" t="s">
        <v>103</v>
      </c>
      <c r="N25" s="38" t="s">
        <v>173</v>
      </c>
      <c r="O25" s="38" t="s">
        <v>74</v>
      </c>
      <c r="P25" s="38" t="s">
        <v>254</v>
      </c>
      <c r="Q25" s="38" t="s">
        <v>76</v>
      </c>
      <c r="R25" s="38" t="s">
        <v>158</v>
      </c>
      <c r="S25" s="38" t="s">
        <v>78</v>
      </c>
      <c r="T25" s="41">
        <v>1.93</v>
      </c>
      <c r="U25" s="61" t="s">
        <v>237</v>
      </c>
      <c r="V25" s="46">
        <v>3.6499999999999998E-2</v>
      </c>
      <c r="W25" s="46">
        <v>3.0700000000000002E-2</v>
      </c>
      <c r="X25" s="46" t="s">
        <v>160</v>
      </c>
      <c r="Y25" s="45" t="s">
        <v>74</v>
      </c>
      <c r="Z25" s="49">
        <v>124800</v>
      </c>
      <c r="AA25" s="41">
        <v>1</v>
      </c>
      <c r="AB25" s="41">
        <v>109.91</v>
      </c>
      <c r="AC25" s="41">
        <v>0</v>
      </c>
      <c r="AD25" s="41">
        <v>137.16767999999999</v>
      </c>
      <c r="AG25" s="38" t="s">
        <v>18</v>
      </c>
      <c r="AH25" s="46">
        <v>4.7839999999999997E-4</v>
      </c>
      <c r="AI25" s="46">
        <v>5.3363016008904805E-3</v>
      </c>
      <c r="AJ25" s="46">
        <v>1.0422999999999999E-3</v>
      </c>
    </row>
    <row r="26" spans="1:36" x14ac:dyDescent="0.2">
      <c r="A26" s="38">
        <v>420</v>
      </c>
      <c r="B26" s="38">
        <v>420</v>
      </c>
      <c r="C26" s="38" t="s">
        <v>262</v>
      </c>
      <c r="D26" s="38">
        <v>550263107</v>
      </c>
      <c r="E26" s="38" t="s">
        <v>150</v>
      </c>
      <c r="F26" s="45" t="s">
        <v>263</v>
      </c>
      <c r="G26" s="38" t="s">
        <v>264</v>
      </c>
      <c r="H26" s="38" t="s">
        <v>153</v>
      </c>
      <c r="I26" s="38" t="s">
        <v>154</v>
      </c>
      <c r="J26" s="38" t="s">
        <v>73</v>
      </c>
      <c r="K26" s="38" t="s">
        <v>73</v>
      </c>
      <c r="L26" s="38" t="s">
        <v>155</v>
      </c>
      <c r="M26" s="38" t="s">
        <v>103</v>
      </c>
      <c r="N26" s="38" t="s">
        <v>253</v>
      </c>
      <c r="O26" s="38" t="s">
        <v>74</v>
      </c>
      <c r="P26" s="38" t="s">
        <v>254</v>
      </c>
      <c r="Q26" s="38" t="s">
        <v>76</v>
      </c>
      <c r="R26" s="38" t="s">
        <v>158</v>
      </c>
      <c r="S26" s="38" t="s">
        <v>78</v>
      </c>
      <c r="T26" s="41">
        <v>3.13</v>
      </c>
      <c r="U26" s="61" t="s">
        <v>265</v>
      </c>
      <c r="V26" s="46">
        <v>6.7000000000000004E-2</v>
      </c>
      <c r="W26" s="46">
        <v>5.11E-2</v>
      </c>
      <c r="X26" s="46" t="s">
        <v>160</v>
      </c>
      <c r="Y26" s="45" t="s">
        <v>74</v>
      </c>
      <c r="Z26" s="49">
        <v>93000</v>
      </c>
      <c r="AA26" s="41">
        <v>1</v>
      </c>
      <c r="AB26" s="41">
        <v>106.88</v>
      </c>
      <c r="AC26" s="41">
        <v>0</v>
      </c>
      <c r="AD26" s="41">
        <v>99.398399999999995</v>
      </c>
      <c r="AG26" s="38" t="s">
        <v>18</v>
      </c>
      <c r="AH26" s="46">
        <v>1.021E-4</v>
      </c>
      <c r="AI26" s="46">
        <v>3.867001160100348E-3</v>
      </c>
      <c r="AJ26" s="46">
        <v>7.5529999999999998E-4</v>
      </c>
    </row>
    <row r="27" spans="1:36" x14ac:dyDescent="0.2">
      <c r="A27" s="38">
        <v>420</v>
      </c>
      <c r="B27" s="38">
        <v>420</v>
      </c>
      <c r="C27" s="38" t="s">
        <v>266</v>
      </c>
      <c r="D27" s="38">
        <v>510560188</v>
      </c>
      <c r="E27" s="38" t="s">
        <v>150</v>
      </c>
      <c r="F27" s="45" t="s">
        <v>267</v>
      </c>
      <c r="G27" s="38" t="s">
        <v>268</v>
      </c>
      <c r="H27" s="38" t="s">
        <v>153</v>
      </c>
      <c r="I27" s="38" t="s">
        <v>202</v>
      </c>
      <c r="J27" s="38" t="s">
        <v>73</v>
      </c>
      <c r="K27" s="38" t="s">
        <v>73</v>
      </c>
      <c r="L27" s="38" t="s">
        <v>155</v>
      </c>
      <c r="M27" s="38" t="s">
        <v>103</v>
      </c>
      <c r="N27" s="38" t="s">
        <v>182</v>
      </c>
      <c r="O27" s="38" t="s">
        <v>74</v>
      </c>
      <c r="P27" s="38" t="s">
        <v>269</v>
      </c>
      <c r="Q27" s="38" t="s">
        <v>76</v>
      </c>
      <c r="R27" s="38" t="s">
        <v>158</v>
      </c>
      <c r="S27" s="38" t="s">
        <v>78</v>
      </c>
      <c r="T27" s="41">
        <v>6.6</v>
      </c>
      <c r="U27" s="61" t="s">
        <v>189</v>
      </c>
      <c r="V27" s="46">
        <v>4.02E-2</v>
      </c>
      <c r="W27" s="46">
        <v>3.2399999999999998E-2</v>
      </c>
      <c r="X27" s="46" t="s">
        <v>160</v>
      </c>
      <c r="Y27" s="45" t="s">
        <v>74</v>
      </c>
      <c r="Z27" s="49">
        <v>259000</v>
      </c>
      <c r="AA27" s="41">
        <v>1</v>
      </c>
      <c r="AB27" s="41">
        <v>108.93</v>
      </c>
      <c r="AC27" s="41">
        <v>0</v>
      </c>
      <c r="AD27" s="41">
        <v>282.12869999999998</v>
      </c>
      <c r="AG27" s="38" t="s">
        <v>18</v>
      </c>
      <c r="AH27" s="46">
        <v>3.21E-4</v>
      </c>
      <c r="AI27" s="46">
        <v>1.0975903292770988E-2</v>
      </c>
      <c r="AJ27" s="46">
        <v>2.1438999999999998E-3</v>
      </c>
    </row>
    <row r="28" spans="1:36" x14ac:dyDescent="0.2">
      <c r="A28" s="38">
        <v>420</v>
      </c>
      <c r="B28" s="38">
        <v>420</v>
      </c>
      <c r="C28" s="38" t="s">
        <v>238</v>
      </c>
      <c r="D28" s="38">
        <v>520036617</v>
      </c>
      <c r="E28" s="38" t="s">
        <v>150</v>
      </c>
      <c r="F28" s="45" t="s">
        <v>270</v>
      </c>
      <c r="G28" s="38" t="s">
        <v>271</v>
      </c>
      <c r="H28" s="38" t="s">
        <v>153</v>
      </c>
      <c r="I28" s="38" t="s">
        <v>202</v>
      </c>
      <c r="J28" s="38" t="s">
        <v>73</v>
      </c>
      <c r="K28" s="38" t="s">
        <v>73</v>
      </c>
      <c r="L28" s="38" t="s">
        <v>155</v>
      </c>
      <c r="M28" s="38" t="s">
        <v>103</v>
      </c>
      <c r="N28" s="38" t="s">
        <v>173</v>
      </c>
      <c r="O28" s="38" t="s">
        <v>74</v>
      </c>
      <c r="P28" s="38" t="s">
        <v>269</v>
      </c>
      <c r="Q28" s="38" t="s">
        <v>76</v>
      </c>
      <c r="R28" s="38" t="s">
        <v>158</v>
      </c>
      <c r="S28" s="38" t="s">
        <v>78</v>
      </c>
      <c r="T28" s="41">
        <v>3.42</v>
      </c>
      <c r="U28" s="61" t="s">
        <v>186</v>
      </c>
      <c r="V28" s="46">
        <v>1.5299999999999999E-2</v>
      </c>
      <c r="W28" s="46">
        <v>2.7900000000000001E-2</v>
      </c>
      <c r="X28" s="46" t="s">
        <v>160</v>
      </c>
      <c r="Y28" s="45" t="s">
        <v>74</v>
      </c>
      <c r="Z28" s="49">
        <v>466208.34</v>
      </c>
      <c r="AA28" s="41">
        <v>1</v>
      </c>
      <c r="AB28" s="41">
        <v>112.31</v>
      </c>
      <c r="AC28" s="41">
        <v>20.656300000000002</v>
      </c>
      <c r="AD28" s="41">
        <v>544.25487999999996</v>
      </c>
      <c r="AG28" s="38" t="s">
        <v>18</v>
      </c>
      <c r="AH28" s="46">
        <v>9.0549999999999995E-4</v>
      </c>
      <c r="AI28" s="46">
        <v>2.0370006111001832E-2</v>
      </c>
      <c r="AJ28" s="46">
        <v>3.9788000000000002E-3</v>
      </c>
    </row>
    <row r="29" spans="1:36" x14ac:dyDescent="0.2">
      <c r="A29" s="38">
        <v>420</v>
      </c>
      <c r="B29" s="38">
        <v>420</v>
      </c>
      <c r="C29" s="38" t="s">
        <v>272</v>
      </c>
      <c r="D29" s="38">
        <v>520036658</v>
      </c>
      <c r="E29" s="38" t="s">
        <v>150</v>
      </c>
      <c r="F29" s="45" t="s">
        <v>273</v>
      </c>
      <c r="G29" s="38" t="s">
        <v>274</v>
      </c>
      <c r="H29" s="38" t="s">
        <v>153</v>
      </c>
      <c r="I29" s="38" t="s">
        <v>154</v>
      </c>
      <c r="J29" s="38" t="s">
        <v>73</v>
      </c>
      <c r="K29" s="38" t="s">
        <v>73</v>
      </c>
      <c r="L29" s="38" t="s">
        <v>155</v>
      </c>
      <c r="M29" s="38" t="s">
        <v>103</v>
      </c>
      <c r="N29" s="38" t="s">
        <v>203</v>
      </c>
      <c r="O29" s="38" t="s">
        <v>74</v>
      </c>
      <c r="P29" s="38" t="s">
        <v>269</v>
      </c>
      <c r="Q29" s="38" t="s">
        <v>76</v>
      </c>
      <c r="R29" s="38" t="s">
        <v>158</v>
      </c>
      <c r="S29" s="38" t="s">
        <v>78</v>
      </c>
      <c r="T29" s="41">
        <v>2.59</v>
      </c>
      <c r="U29" s="61" t="s">
        <v>275</v>
      </c>
      <c r="V29" s="46">
        <v>0.05</v>
      </c>
      <c r="W29" s="46">
        <v>5.1700000000000003E-2</v>
      </c>
      <c r="X29" s="46" t="s">
        <v>160</v>
      </c>
      <c r="Y29" s="45" t="s">
        <v>74</v>
      </c>
      <c r="Z29" s="49">
        <v>734297.12</v>
      </c>
      <c r="AA29" s="41">
        <v>1</v>
      </c>
      <c r="AB29" s="41">
        <v>101.04</v>
      </c>
      <c r="AC29" s="41">
        <v>0</v>
      </c>
      <c r="AD29" s="41">
        <v>741.93380999999999</v>
      </c>
      <c r="AG29" s="38" t="s">
        <v>18</v>
      </c>
      <c r="AH29" s="46">
        <v>7.2860000000000004E-4</v>
      </c>
      <c r="AI29" s="46">
        <v>2.8864108659232595E-2</v>
      </c>
      <c r="AJ29" s="46">
        <v>5.6379000000000004E-3</v>
      </c>
    </row>
    <row r="30" spans="1:36" x14ac:dyDescent="0.2">
      <c r="A30" s="38">
        <v>420</v>
      </c>
      <c r="B30" s="38">
        <v>420</v>
      </c>
      <c r="C30" s="38" t="s">
        <v>276</v>
      </c>
      <c r="D30" s="38">
        <v>515846558</v>
      </c>
      <c r="E30" s="38" t="s">
        <v>150</v>
      </c>
      <c r="F30" s="45" t="s">
        <v>277</v>
      </c>
      <c r="G30" s="38" t="s">
        <v>278</v>
      </c>
      <c r="H30" s="38" t="s">
        <v>153</v>
      </c>
      <c r="I30" s="38" t="s">
        <v>202</v>
      </c>
      <c r="J30" s="38" t="s">
        <v>73</v>
      </c>
      <c r="K30" s="38" t="s">
        <v>73</v>
      </c>
      <c r="L30" s="38" t="s">
        <v>155</v>
      </c>
      <c r="M30" s="38" t="s">
        <v>103</v>
      </c>
      <c r="N30" s="38" t="s">
        <v>279</v>
      </c>
      <c r="O30" s="38" t="s">
        <v>74</v>
      </c>
      <c r="P30" s="38" t="s">
        <v>269</v>
      </c>
      <c r="Q30" s="38" t="s">
        <v>76</v>
      </c>
      <c r="R30" s="38" t="s">
        <v>158</v>
      </c>
      <c r="S30" s="38" t="s">
        <v>78</v>
      </c>
      <c r="T30" s="41">
        <v>4.01</v>
      </c>
      <c r="U30" s="61" t="s">
        <v>280</v>
      </c>
      <c r="V30" s="46">
        <v>7.4999999999999997E-3</v>
      </c>
      <c r="W30" s="46">
        <v>3.1E-2</v>
      </c>
      <c r="X30" s="46" t="s">
        <v>160</v>
      </c>
      <c r="Y30" s="45" t="s">
        <v>74</v>
      </c>
      <c r="Z30" s="49">
        <v>197399.5</v>
      </c>
      <c r="AA30" s="41">
        <v>1</v>
      </c>
      <c r="AB30" s="41">
        <v>103.72</v>
      </c>
      <c r="AC30" s="41">
        <v>0</v>
      </c>
      <c r="AD30" s="41">
        <v>204.74276</v>
      </c>
      <c r="AG30" s="38" t="s">
        <v>18</v>
      </c>
      <c r="AH30" s="46">
        <v>2.0929999999999999E-4</v>
      </c>
      <c r="AI30" s="46">
        <v>7.9653023895907161E-3</v>
      </c>
      <c r="AJ30" s="46">
        <v>1.5558E-3</v>
      </c>
    </row>
    <row r="31" spans="1:36" x14ac:dyDescent="0.2">
      <c r="A31" s="38">
        <v>420</v>
      </c>
      <c r="B31" s="38">
        <v>420</v>
      </c>
      <c r="C31" s="38" t="s">
        <v>281</v>
      </c>
      <c r="D31" s="38">
        <v>513834200</v>
      </c>
      <c r="E31" s="38" t="s">
        <v>150</v>
      </c>
      <c r="F31" s="45" t="s">
        <v>282</v>
      </c>
      <c r="G31" s="38" t="s">
        <v>283</v>
      </c>
      <c r="H31" s="38" t="s">
        <v>153</v>
      </c>
      <c r="I31" s="38" t="s">
        <v>154</v>
      </c>
      <c r="J31" s="38" t="s">
        <v>73</v>
      </c>
      <c r="K31" s="38" t="s">
        <v>73</v>
      </c>
      <c r="L31" s="38" t="s">
        <v>155</v>
      </c>
      <c r="M31" s="38" t="s">
        <v>103</v>
      </c>
      <c r="N31" s="38" t="s">
        <v>217</v>
      </c>
      <c r="O31" s="38" t="s">
        <v>74</v>
      </c>
      <c r="P31" s="38" t="s">
        <v>269</v>
      </c>
      <c r="Q31" s="38" t="s">
        <v>76</v>
      </c>
      <c r="R31" s="38" t="s">
        <v>158</v>
      </c>
      <c r="S31" s="38" t="s">
        <v>78</v>
      </c>
      <c r="T31" s="41">
        <v>7.7</v>
      </c>
      <c r="U31" s="61" t="s">
        <v>284</v>
      </c>
      <c r="V31" s="46">
        <v>5.8500000000000003E-2</v>
      </c>
      <c r="W31" s="46">
        <v>5.3400000000000003E-2</v>
      </c>
      <c r="X31" s="46" t="s">
        <v>160</v>
      </c>
      <c r="Y31" s="45" t="s">
        <v>74</v>
      </c>
      <c r="Z31" s="49">
        <v>239000</v>
      </c>
      <c r="AA31" s="41">
        <v>1</v>
      </c>
      <c r="AB31" s="41">
        <v>105.43</v>
      </c>
      <c r="AC31" s="41">
        <v>0</v>
      </c>
      <c r="AD31" s="41">
        <v>251.9777</v>
      </c>
      <c r="AG31" s="38" t="s">
        <v>18</v>
      </c>
      <c r="AH31" s="46">
        <v>2.3900000000000001E-4</v>
      </c>
      <c r="AI31" s="46">
        <v>9.8029029408708817E-3</v>
      </c>
      <c r="AJ31" s="46">
        <v>1.9147999999999999E-3</v>
      </c>
    </row>
    <row r="32" spans="1:36" x14ac:dyDescent="0.2">
      <c r="A32" s="38">
        <v>420</v>
      </c>
      <c r="B32" s="38">
        <v>420</v>
      </c>
      <c r="C32" s="38" t="s">
        <v>285</v>
      </c>
      <c r="D32" s="38">
        <v>520028010</v>
      </c>
      <c r="E32" s="38" t="s">
        <v>150</v>
      </c>
      <c r="F32" s="45" t="s">
        <v>286</v>
      </c>
      <c r="G32" s="38" t="s">
        <v>287</v>
      </c>
      <c r="H32" s="38" t="s">
        <v>153</v>
      </c>
      <c r="I32" s="38" t="s">
        <v>154</v>
      </c>
      <c r="J32" s="38" t="s">
        <v>73</v>
      </c>
      <c r="K32" s="38" t="s">
        <v>73</v>
      </c>
      <c r="L32" s="38" t="s">
        <v>155</v>
      </c>
      <c r="M32" s="38" t="s">
        <v>103</v>
      </c>
      <c r="N32" s="38" t="s">
        <v>279</v>
      </c>
      <c r="O32" s="38" t="s">
        <v>74</v>
      </c>
      <c r="P32" s="38" t="s">
        <v>269</v>
      </c>
      <c r="Q32" s="38" t="s">
        <v>76</v>
      </c>
      <c r="R32" s="38" t="s">
        <v>158</v>
      </c>
      <c r="S32" s="38" t="s">
        <v>78</v>
      </c>
      <c r="T32" s="41">
        <v>2.06</v>
      </c>
      <c r="U32" s="61" t="s">
        <v>288</v>
      </c>
      <c r="V32" s="46">
        <v>2.1999999999999999E-2</v>
      </c>
      <c r="W32" s="46">
        <v>4.8899999999999999E-2</v>
      </c>
      <c r="X32" s="46" t="s">
        <v>160</v>
      </c>
      <c r="Y32" s="45" t="s">
        <v>74</v>
      </c>
      <c r="Z32" s="49">
        <v>162316.60999999999</v>
      </c>
      <c r="AA32" s="41">
        <v>1</v>
      </c>
      <c r="AB32" s="41">
        <v>94.79</v>
      </c>
      <c r="AC32" s="41">
        <v>0</v>
      </c>
      <c r="AD32" s="41">
        <v>153.85991000000001</v>
      </c>
      <c r="AG32" s="38" t="s">
        <v>18</v>
      </c>
      <c r="AH32" s="46">
        <v>1.872E-4</v>
      </c>
      <c r="AI32" s="46">
        <v>5.9857017957105386E-3</v>
      </c>
      <c r="AJ32" s="46">
        <v>1.1692E-3</v>
      </c>
    </row>
    <row r="33" spans="1:36" x14ac:dyDescent="0.2">
      <c r="A33" s="38">
        <v>420</v>
      </c>
      <c r="B33" s="38">
        <v>420</v>
      </c>
      <c r="C33" s="38" t="s">
        <v>285</v>
      </c>
      <c r="D33" s="38">
        <v>520028010</v>
      </c>
      <c r="E33" s="38" t="s">
        <v>150</v>
      </c>
      <c r="F33" s="45" t="s">
        <v>289</v>
      </c>
      <c r="G33" s="38" t="s">
        <v>290</v>
      </c>
      <c r="H33" s="38" t="s">
        <v>153</v>
      </c>
      <c r="I33" s="38" t="s">
        <v>154</v>
      </c>
      <c r="J33" s="38" t="s">
        <v>73</v>
      </c>
      <c r="K33" s="38" t="s">
        <v>73</v>
      </c>
      <c r="L33" s="38" t="s">
        <v>155</v>
      </c>
      <c r="M33" s="38" t="s">
        <v>103</v>
      </c>
      <c r="N33" s="38" t="s">
        <v>279</v>
      </c>
      <c r="O33" s="38" t="s">
        <v>74</v>
      </c>
      <c r="P33" s="38" t="s">
        <v>269</v>
      </c>
      <c r="Q33" s="38" t="s">
        <v>76</v>
      </c>
      <c r="R33" s="38" t="s">
        <v>158</v>
      </c>
      <c r="S33" s="38" t="s">
        <v>78</v>
      </c>
      <c r="T33" s="41">
        <v>2.95</v>
      </c>
      <c r="U33" s="61" t="s">
        <v>291</v>
      </c>
      <c r="V33" s="46">
        <v>2.7400000000000001E-2</v>
      </c>
      <c r="W33" s="46">
        <v>4.8099999999999997E-2</v>
      </c>
      <c r="X33" s="46" t="s">
        <v>160</v>
      </c>
      <c r="Y33" s="45" t="s">
        <v>74</v>
      </c>
      <c r="Z33" s="49">
        <v>220000</v>
      </c>
      <c r="AA33" s="41">
        <v>1</v>
      </c>
      <c r="AB33" s="41">
        <v>95.36</v>
      </c>
      <c r="AC33" s="41">
        <v>0</v>
      </c>
      <c r="AD33" s="41">
        <v>209.792</v>
      </c>
      <c r="AG33" s="38" t="s">
        <v>18</v>
      </c>
      <c r="AH33" s="46">
        <v>2.9329999999999997E-4</v>
      </c>
      <c r="AI33" s="46">
        <v>8.1617024485107336E-3</v>
      </c>
      <c r="AJ33" s="46">
        <v>1.5942E-3</v>
      </c>
    </row>
    <row r="34" spans="1:36" x14ac:dyDescent="0.2">
      <c r="A34" s="38">
        <v>420</v>
      </c>
      <c r="B34" s="38">
        <v>420</v>
      </c>
      <c r="C34" s="38" t="s">
        <v>292</v>
      </c>
      <c r="D34" s="38">
        <v>513257873</v>
      </c>
      <c r="E34" s="38" t="s">
        <v>150</v>
      </c>
      <c r="F34" s="45" t="s">
        <v>293</v>
      </c>
      <c r="G34" s="38" t="s">
        <v>294</v>
      </c>
      <c r="H34" s="38" t="s">
        <v>153</v>
      </c>
      <c r="I34" s="38" t="s">
        <v>202</v>
      </c>
      <c r="J34" s="38" t="s">
        <v>73</v>
      </c>
      <c r="K34" s="38" t="s">
        <v>73</v>
      </c>
      <c r="L34" s="38" t="s">
        <v>155</v>
      </c>
      <c r="M34" s="38" t="s">
        <v>103</v>
      </c>
      <c r="N34" s="38" t="s">
        <v>173</v>
      </c>
      <c r="O34" s="38" t="s">
        <v>74</v>
      </c>
      <c r="P34" s="38" t="s">
        <v>269</v>
      </c>
      <c r="Q34" s="38" t="s">
        <v>76</v>
      </c>
      <c r="R34" s="38" t="s">
        <v>158</v>
      </c>
      <c r="S34" s="38" t="s">
        <v>78</v>
      </c>
      <c r="T34" s="41">
        <v>5.19</v>
      </c>
      <c r="U34" s="61" t="s">
        <v>295</v>
      </c>
      <c r="V34" s="46">
        <v>5.0000000000000001E-3</v>
      </c>
      <c r="W34" s="46">
        <v>2.81E-2</v>
      </c>
      <c r="X34" s="46" t="s">
        <v>160</v>
      </c>
      <c r="Y34" s="45" t="s">
        <v>74</v>
      </c>
      <c r="Z34" s="49">
        <v>528000</v>
      </c>
      <c r="AA34" s="41">
        <v>1</v>
      </c>
      <c r="AB34" s="41">
        <v>102.61</v>
      </c>
      <c r="AC34" s="41">
        <v>0</v>
      </c>
      <c r="AD34" s="41">
        <v>541.7808</v>
      </c>
      <c r="AG34" s="38" t="s">
        <v>18</v>
      </c>
      <c r="AH34" s="46">
        <v>4.9176999999999997E-3</v>
      </c>
      <c r="AI34" s="46">
        <v>2.1077306323191897E-2</v>
      </c>
      <c r="AJ34" s="46">
        <v>4.117E-3</v>
      </c>
    </row>
    <row r="35" spans="1:36" x14ac:dyDescent="0.2">
      <c r="A35" s="38">
        <v>420</v>
      </c>
      <c r="B35" s="38">
        <v>420</v>
      </c>
      <c r="C35" s="38" t="s">
        <v>292</v>
      </c>
      <c r="D35" s="38">
        <v>513257873</v>
      </c>
      <c r="E35" s="38" t="s">
        <v>150</v>
      </c>
      <c r="F35" s="45" t="s">
        <v>296</v>
      </c>
      <c r="G35" s="38" t="s">
        <v>297</v>
      </c>
      <c r="H35" s="38" t="s">
        <v>153</v>
      </c>
      <c r="I35" s="38" t="s">
        <v>202</v>
      </c>
      <c r="J35" s="38" t="s">
        <v>73</v>
      </c>
      <c r="K35" s="38" t="s">
        <v>73</v>
      </c>
      <c r="L35" s="38" t="s">
        <v>155</v>
      </c>
      <c r="M35" s="38" t="s">
        <v>103</v>
      </c>
      <c r="N35" s="38" t="s">
        <v>173</v>
      </c>
      <c r="O35" s="38" t="s">
        <v>74</v>
      </c>
      <c r="P35" s="38" t="s">
        <v>269</v>
      </c>
      <c r="Q35" s="38" t="s">
        <v>76</v>
      </c>
      <c r="R35" s="38" t="s">
        <v>158</v>
      </c>
      <c r="S35" s="38" t="s">
        <v>78</v>
      </c>
      <c r="T35" s="41">
        <v>5.1100000000000003</v>
      </c>
      <c r="U35" s="61" t="s">
        <v>295</v>
      </c>
      <c r="V35" s="46">
        <v>9.7000000000000003E-3</v>
      </c>
      <c r="W35" s="46">
        <v>3.2000000000000001E-2</v>
      </c>
      <c r="X35" s="46" t="s">
        <v>160</v>
      </c>
      <c r="Y35" s="45" t="s">
        <v>74</v>
      </c>
      <c r="Z35" s="49">
        <v>217343.48</v>
      </c>
      <c r="AA35" s="41">
        <v>1</v>
      </c>
      <c r="AB35" s="41">
        <v>103.36</v>
      </c>
      <c r="AC35" s="41">
        <v>0</v>
      </c>
      <c r="AD35" s="41">
        <v>224.64622</v>
      </c>
      <c r="AG35" s="38" t="s">
        <v>18</v>
      </c>
      <c r="AH35" s="46">
        <v>3.611E-4</v>
      </c>
      <c r="AI35" s="46">
        <v>8.7396026218807855E-3</v>
      </c>
      <c r="AJ35" s="46">
        <v>1.7071E-3</v>
      </c>
    </row>
    <row r="36" spans="1:36" x14ac:dyDescent="0.2">
      <c r="A36" s="38">
        <v>420</v>
      </c>
      <c r="B36" s="38">
        <v>420</v>
      </c>
      <c r="C36" s="38" t="s">
        <v>298</v>
      </c>
      <c r="D36" s="38">
        <v>511930125</v>
      </c>
      <c r="E36" s="38" t="s">
        <v>150</v>
      </c>
      <c r="F36" s="45" t="s">
        <v>299</v>
      </c>
      <c r="G36" s="38" t="s">
        <v>300</v>
      </c>
      <c r="H36" s="38" t="s">
        <v>153</v>
      </c>
      <c r="I36" s="38" t="s">
        <v>154</v>
      </c>
      <c r="J36" s="38" t="s">
        <v>73</v>
      </c>
      <c r="K36" s="38" t="s">
        <v>73</v>
      </c>
      <c r="L36" s="38" t="s">
        <v>155</v>
      </c>
      <c r="M36" s="38" t="s">
        <v>103</v>
      </c>
      <c r="N36" s="38" t="s">
        <v>301</v>
      </c>
      <c r="O36" s="38" t="s">
        <v>74</v>
      </c>
      <c r="P36" s="38" t="s">
        <v>269</v>
      </c>
      <c r="Q36" s="38" t="s">
        <v>76</v>
      </c>
      <c r="R36" s="38" t="s">
        <v>158</v>
      </c>
      <c r="S36" s="38" t="s">
        <v>78</v>
      </c>
      <c r="T36" s="41">
        <v>2.81</v>
      </c>
      <c r="U36" s="61" t="s">
        <v>302</v>
      </c>
      <c r="V36" s="46">
        <v>4.7300000000000002E-2</v>
      </c>
      <c r="W36" s="46">
        <v>4.7199999999999999E-2</v>
      </c>
      <c r="X36" s="46" t="s">
        <v>160</v>
      </c>
      <c r="Y36" s="45" t="s">
        <v>74</v>
      </c>
      <c r="Z36" s="49">
        <v>665000</v>
      </c>
      <c r="AA36" s="41">
        <v>1</v>
      </c>
      <c r="AB36" s="41">
        <v>100.11</v>
      </c>
      <c r="AC36" s="41">
        <v>15.7272</v>
      </c>
      <c r="AD36" s="41">
        <v>665.73149999999998</v>
      </c>
      <c r="AG36" s="38" t="s">
        <v>18</v>
      </c>
      <c r="AH36" s="46">
        <v>1.4143000000000001E-3</v>
      </c>
      <c r="AI36" s="46">
        <v>2.589950776985233E-2</v>
      </c>
      <c r="AJ36" s="46">
        <v>5.0587999999999996E-3</v>
      </c>
    </row>
    <row r="37" spans="1:36" x14ac:dyDescent="0.2">
      <c r="A37" s="38">
        <v>420</v>
      </c>
      <c r="B37" s="38">
        <v>420</v>
      </c>
      <c r="C37" s="38" t="s">
        <v>303</v>
      </c>
      <c r="D37" s="38">
        <v>515983476</v>
      </c>
      <c r="E37" s="38" t="s">
        <v>150</v>
      </c>
      <c r="F37" s="45" t="s">
        <v>304</v>
      </c>
      <c r="G37" s="38" t="s">
        <v>305</v>
      </c>
      <c r="H37" s="38" t="s">
        <v>153</v>
      </c>
      <c r="I37" s="38" t="s">
        <v>202</v>
      </c>
      <c r="J37" s="38" t="s">
        <v>73</v>
      </c>
      <c r="K37" s="38" t="s">
        <v>73</v>
      </c>
      <c r="L37" s="38" t="s">
        <v>155</v>
      </c>
      <c r="M37" s="38" t="s">
        <v>103</v>
      </c>
      <c r="N37" s="38" t="s">
        <v>279</v>
      </c>
      <c r="O37" s="38" t="s">
        <v>74</v>
      </c>
      <c r="P37" s="38" t="s">
        <v>269</v>
      </c>
      <c r="Q37" s="38" t="s">
        <v>76</v>
      </c>
      <c r="R37" s="38" t="s">
        <v>158</v>
      </c>
      <c r="S37" s="38" t="s">
        <v>78</v>
      </c>
      <c r="T37" s="41">
        <v>3.67</v>
      </c>
      <c r="U37" s="61" t="s">
        <v>306</v>
      </c>
      <c r="V37" s="46">
        <v>7.4999999999999997E-3</v>
      </c>
      <c r="W37" s="46">
        <v>3.0800000000000001E-2</v>
      </c>
      <c r="X37" s="46" t="s">
        <v>160</v>
      </c>
      <c r="Y37" s="45" t="s">
        <v>74</v>
      </c>
      <c r="Z37" s="49">
        <v>330652.98</v>
      </c>
      <c r="AA37" s="41">
        <v>1</v>
      </c>
      <c r="AB37" s="41">
        <v>104.87</v>
      </c>
      <c r="AC37" s="41">
        <v>0</v>
      </c>
      <c r="AD37" s="41">
        <v>346.75578000000002</v>
      </c>
      <c r="AG37" s="38" t="s">
        <v>18</v>
      </c>
      <c r="AH37" s="46">
        <v>5.6400000000000005E-4</v>
      </c>
      <c r="AI37" s="46">
        <v>1.3490104047031213E-2</v>
      </c>
      <c r="AJ37" s="46">
        <v>2.6350000000000002E-3</v>
      </c>
    </row>
    <row r="38" spans="1:36" x14ac:dyDescent="0.2">
      <c r="A38" s="38">
        <v>420</v>
      </c>
      <c r="B38" s="38">
        <v>420</v>
      </c>
      <c r="C38" s="38" t="s">
        <v>307</v>
      </c>
      <c r="D38" s="38">
        <v>520027830</v>
      </c>
      <c r="E38" s="38" t="s">
        <v>150</v>
      </c>
      <c r="F38" s="45" t="s">
        <v>308</v>
      </c>
      <c r="G38" s="38" t="s">
        <v>309</v>
      </c>
      <c r="H38" s="38" t="s">
        <v>153</v>
      </c>
      <c r="I38" s="38" t="s">
        <v>154</v>
      </c>
      <c r="J38" s="38" t="s">
        <v>73</v>
      </c>
      <c r="K38" s="38" t="s">
        <v>73</v>
      </c>
      <c r="L38" s="38" t="s">
        <v>155</v>
      </c>
      <c r="M38" s="38" t="s">
        <v>103</v>
      </c>
      <c r="N38" s="38" t="s">
        <v>310</v>
      </c>
      <c r="O38" s="38" t="s">
        <v>74</v>
      </c>
      <c r="P38" s="38" t="s">
        <v>311</v>
      </c>
      <c r="Q38" s="38" t="s">
        <v>76</v>
      </c>
      <c r="R38" s="38" t="s">
        <v>158</v>
      </c>
      <c r="S38" s="38" t="s">
        <v>78</v>
      </c>
      <c r="T38" s="41">
        <v>7.33</v>
      </c>
      <c r="U38" s="61" t="s">
        <v>312</v>
      </c>
      <c r="V38" s="46">
        <v>2.4E-2</v>
      </c>
      <c r="W38" s="46">
        <v>4.6899999999999997E-2</v>
      </c>
      <c r="X38" s="46" t="s">
        <v>160</v>
      </c>
      <c r="Y38" s="45" t="s">
        <v>74</v>
      </c>
      <c r="Z38" s="49">
        <v>240000</v>
      </c>
      <c r="AA38" s="41">
        <v>1</v>
      </c>
      <c r="AB38" s="41">
        <v>84.92</v>
      </c>
      <c r="AC38" s="41">
        <v>0</v>
      </c>
      <c r="AD38" s="41">
        <v>203.80799999999999</v>
      </c>
      <c r="AG38" s="38" t="s">
        <v>18</v>
      </c>
      <c r="AH38" s="46">
        <v>1.528E-4</v>
      </c>
      <c r="AI38" s="46">
        <v>7.9289023786707127E-3</v>
      </c>
      <c r="AJ38" s="46">
        <v>1.5487000000000001E-3</v>
      </c>
    </row>
    <row r="39" spans="1:36" x14ac:dyDescent="0.2">
      <c r="A39" s="38">
        <v>420</v>
      </c>
      <c r="B39" s="38">
        <v>420</v>
      </c>
      <c r="C39" s="38" t="s">
        <v>313</v>
      </c>
      <c r="D39" s="38">
        <v>511659401</v>
      </c>
      <c r="E39" s="38" t="s">
        <v>150</v>
      </c>
      <c r="F39" s="45" t="s">
        <v>314</v>
      </c>
      <c r="G39" s="38" t="s">
        <v>315</v>
      </c>
      <c r="H39" s="38" t="s">
        <v>153</v>
      </c>
      <c r="I39" s="38" t="s">
        <v>202</v>
      </c>
      <c r="J39" s="38" t="s">
        <v>73</v>
      </c>
      <c r="K39" s="38" t="s">
        <v>73</v>
      </c>
      <c r="L39" s="38" t="s">
        <v>155</v>
      </c>
      <c r="M39" s="38" t="s">
        <v>103</v>
      </c>
      <c r="N39" s="38" t="s">
        <v>173</v>
      </c>
      <c r="O39" s="38" t="s">
        <v>74</v>
      </c>
      <c r="P39" s="38" t="s">
        <v>311</v>
      </c>
      <c r="Q39" s="38" t="s">
        <v>76</v>
      </c>
      <c r="R39" s="38" t="s">
        <v>158</v>
      </c>
      <c r="S39" s="38" t="s">
        <v>78</v>
      </c>
      <c r="T39" s="41">
        <v>7.21</v>
      </c>
      <c r="U39" s="61" t="s">
        <v>316</v>
      </c>
      <c r="V39" s="46">
        <v>3.5999999999999997E-2</v>
      </c>
      <c r="W39" s="46">
        <v>3.0499999999999999E-2</v>
      </c>
      <c r="X39" s="46" t="s">
        <v>160</v>
      </c>
      <c r="Y39" s="45" t="s">
        <v>74</v>
      </c>
      <c r="Z39" s="49">
        <v>130000</v>
      </c>
      <c r="AA39" s="41">
        <v>1</v>
      </c>
      <c r="AB39" s="41">
        <v>106.32</v>
      </c>
      <c r="AC39" s="41">
        <v>0</v>
      </c>
      <c r="AD39" s="41">
        <v>138.21600000000001</v>
      </c>
      <c r="AG39" s="38" t="s">
        <v>18</v>
      </c>
      <c r="AH39" s="46">
        <v>1.7789999999999999E-4</v>
      </c>
      <c r="AI39" s="46">
        <v>5.3771016131304835E-3</v>
      </c>
      <c r="AJ39" s="46">
        <v>1.0503000000000001E-3</v>
      </c>
    </row>
    <row r="40" spans="1:36" x14ac:dyDescent="0.2">
      <c r="A40" s="38">
        <v>420</v>
      </c>
      <c r="B40" s="38">
        <v>420</v>
      </c>
      <c r="C40" s="38" t="s">
        <v>317</v>
      </c>
      <c r="D40" s="38">
        <v>520026683</v>
      </c>
      <c r="E40" s="38" t="s">
        <v>150</v>
      </c>
      <c r="F40" s="45" t="s">
        <v>318</v>
      </c>
      <c r="G40" s="38" t="s">
        <v>319</v>
      </c>
      <c r="H40" s="38" t="s">
        <v>153</v>
      </c>
      <c r="I40" s="38" t="s">
        <v>154</v>
      </c>
      <c r="J40" s="38" t="s">
        <v>73</v>
      </c>
      <c r="K40" s="38" t="s">
        <v>73</v>
      </c>
      <c r="L40" s="38" t="s">
        <v>155</v>
      </c>
      <c r="M40" s="38" t="s">
        <v>103</v>
      </c>
      <c r="N40" s="38" t="s">
        <v>173</v>
      </c>
      <c r="O40" s="38" t="s">
        <v>74</v>
      </c>
      <c r="P40" s="38" t="s">
        <v>311</v>
      </c>
      <c r="Q40" s="38" t="s">
        <v>76</v>
      </c>
      <c r="R40" s="38" t="s">
        <v>158</v>
      </c>
      <c r="S40" s="38" t="s">
        <v>78</v>
      </c>
      <c r="T40" s="41">
        <v>4.67</v>
      </c>
      <c r="U40" s="61" t="s">
        <v>320</v>
      </c>
      <c r="V40" s="46">
        <v>2.4400000000000002E-2</v>
      </c>
      <c r="W40" s="46">
        <v>4.7E-2</v>
      </c>
      <c r="X40" s="46" t="s">
        <v>160</v>
      </c>
      <c r="Y40" s="45" t="s">
        <v>74</v>
      </c>
      <c r="Z40" s="49">
        <v>230000</v>
      </c>
      <c r="AA40" s="41">
        <v>1</v>
      </c>
      <c r="AB40" s="41">
        <v>91.3</v>
      </c>
      <c r="AC40" s="41">
        <v>0</v>
      </c>
      <c r="AD40" s="41">
        <v>209.99</v>
      </c>
      <c r="AG40" s="38" t="s">
        <v>18</v>
      </c>
      <c r="AH40" s="46">
        <v>1.8919999999999999E-4</v>
      </c>
      <c r="AI40" s="46">
        <v>8.1694024508207359E-3</v>
      </c>
      <c r="AJ40" s="46">
        <v>1.5957E-3</v>
      </c>
    </row>
    <row r="41" spans="1:36" x14ac:dyDescent="0.2">
      <c r="A41" s="38">
        <v>420</v>
      </c>
      <c r="B41" s="38">
        <v>420</v>
      </c>
      <c r="C41" s="38" t="s">
        <v>321</v>
      </c>
      <c r="D41" s="38">
        <v>520030859</v>
      </c>
      <c r="E41" s="38" t="s">
        <v>150</v>
      </c>
      <c r="F41" s="45" t="s">
        <v>322</v>
      </c>
      <c r="G41" s="38" t="s">
        <v>323</v>
      </c>
      <c r="H41" s="38" t="s">
        <v>153</v>
      </c>
      <c r="I41" s="38" t="s">
        <v>154</v>
      </c>
      <c r="J41" s="38" t="s">
        <v>73</v>
      </c>
      <c r="K41" s="38" t="s">
        <v>73</v>
      </c>
      <c r="L41" s="38" t="s">
        <v>155</v>
      </c>
      <c r="M41" s="38" t="s">
        <v>103</v>
      </c>
      <c r="N41" s="38" t="s">
        <v>279</v>
      </c>
      <c r="O41" s="38" t="s">
        <v>74</v>
      </c>
      <c r="P41" s="38" t="s">
        <v>311</v>
      </c>
      <c r="Q41" s="38" t="s">
        <v>76</v>
      </c>
      <c r="R41" s="38" t="s">
        <v>158</v>
      </c>
      <c r="S41" s="38" t="s">
        <v>78</v>
      </c>
      <c r="T41" s="41">
        <v>5.83</v>
      </c>
      <c r="U41" s="61" t="s">
        <v>324</v>
      </c>
      <c r="V41" s="46">
        <v>5.3100000000000001E-2</v>
      </c>
      <c r="W41" s="46">
        <v>4.8000000000000001E-2</v>
      </c>
      <c r="X41" s="46" t="s">
        <v>160</v>
      </c>
      <c r="Y41" s="45" t="s">
        <v>74</v>
      </c>
      <c r="Z41" s="49">
        <v>65000</v>
      </c>
      <c r="AA41" s="41">
        <v>1</v>
      </c>
      <c r="AB41" s="41">
        <v>105.58</v>
      </c>
      <c r="AC41" s="41">
        <v>0</v>
      </c>
      <c r="AD41" s="41">
        <v>68.626999999999995</v>
      </c>
      <c r="AG41" s="38" t="s">
        <v>18</v>
      </c>
      <c r="AH41" s="46">
        <v>2.042E-4</v>
      </c>
      <c r="AI41" s="46">
        <v>2.66990080097024E-3</v>
      </c>
      <c r="AJ41" s="46">
        <v>5.2150000000000005E-4</v>
      </c>
    </row>
    <row r="42" spans="1:36" x14ac:dyDescent="0.2">
      <c r="A42" s="38">
        <v>420</v>
      </c>
      <c r="B42" s="38">
        <v>420</v>
      </c>
      <c r="C42" s="38" t="s">
        <v>325</v>
      </c>
      <c r="D42" s="38">
        <v>520031931</v>
      </c>
      <c r="E42" s="38" t="s">
        <v>150</v>
      </c>
      <c r="F42" s="45" t="s">
        <v>326</v>
      </c>
      <c r="G42" s="38" t="s">
        <v>327</v>
      </c>
      <c r="H42" s="38" t="s">
        <v>153</v>
      </c>
      <c r="I42" s="38" t="s">
        <v>202</v>
      </c>
      <c r="J42" s="38" t="s">
        <v>73</v>
      </c>
      <c r="K42" s="38" t="s">
        <v>73</v>
      </c>
      <c r="L42" s="38" t="s">
        <v>155</v>
      </c>
      <c r="M42" s="38" t="s">
        <v>103</v>
      </c>
      <c r="N42" s="38" t="s">
        <v>301</v>
      </c>
      <c r="O42" s="38" t="s">
        <v>74</v>
      </c>
      <c r="P42" s="38" t="s">
        <v>311</v>
      </c>
      <c r="Q42" s="38" t="s">
        <v>76</v>
      </c>
      <c r="R42" s="38" t="s">
        <v>158</v>
      </c>
      <c r="S42" s="38" t="s">
        <v>78</v>
      </c>
      <c r="T42" s="41">
        <v>2.82</v>
      </c>
      <c r="U42" s="61" t="s">
        <v>328</v>
      </c>
      <c r="V42" s="46">
        <v>1.7000000000000001E-2</v>
      </c>
      <c r="W42" s="46">
        <v>2.53E-2</v>
      </c>
      <c r="X42" s="46" t="s">
        <v>160</v>
      </c>
      <c r="Y42" s="45" t="s">
        <v>74</v>
      </c>
      <c r="Z42" s="49">
        <v>350911</v>
      </c>
      <c r="AA42" s="41">
        <v>1</v>
      </c>
      <c r="AB42" s="41">
        <v>112.86</v>
      </c>
      <c r="AC42" s="41">
        <v>0</v>
      </c>
      <c r="AD42" s="41">
        <v>396.03814999999997</v>
      </c>
      <c r="AG42" s="38" t="s">
        <v>18</v>
      </c>
      <c r="AH42" s="46">
        <v>2.764E-4</v>
      </c>
      <c r="AI42" s="46">
        <v>1.5407404622221385E-2</v>
      </c>
      <c r="AJ42" s="46">
        <v>3.0095E-3</v>
      </c>
    </row>
    <row r="43" spans="1:36" x14ac:dyDescent="0.2">
      <c r="A43" s="38">
        <v>420</v>
      </c>
      <c r="B43" s="38">
        <v>420</v>
      </c>
      <c r="C43" s="38" t="s">
        <v>329</v>
      </c>
      <c r="D43" s="38">
        <v>520001736</v>
      </c>
      <c r="E43" s="38" t="s">
        <v>150</v>
      </c>
      <c r="F43" s="45" t="s">
        <v>330</v>
      </c>
      <c r="G43" s="38" t="s">
        <v>331</v>
      </c>
      <c r="H43" s="38" t="s">
        <v>153</v>
      </c>
      <c r="I43" s="38" t="s">
        <v>154</v>
      </c>
      <c r="J43" s="38" t="s">
        <v>73</v>
      </c>
      <c r="K43" s="38" t="s">
        <v>73</v>
      </c>
      <c r="L43" s="38" t="s">
        <v>155</v>
      </c>
      <c r="M43" s="38" t="s">
        <v>103</v>
      </c>
      <c r="N43" s="38" t="s">
        <v>173</v>
      </c>
      <c r="O43" s="38" t="s">
        <v>74</v>
      </c>
      <c r="P43" s="38" t="s">
        <v>311</v>
      </c>
      <c r="Q43" s="38" t="s">
        <v>76</v>
      </c>
      <c r="R43" s="38" t="s">
        <v>158</v>
      </c>
      <c r="S43" s="38" t="s">
        <v>78</v>
      </c>
      <c r="T43" s="41">
        <v>4.8099999999999996</v>
      </c>
      <c r="U43" s="61" t="s">
        <v>332</v>
      </c>
      <c r="V43" s="46">
        <v>2.5499999999999998E-2</v>
      </c>
      <c r="W43" s="46">
        <v>4.9200000000000001E-2</v>
      </c>
      <c r="X43" s="46" t="s">
        <v>160</v>
      </c>
      <c r="Y43" s="45" t="s">
        <v>74</v>
      </c>
      <c r="Z43" s="49">
        <v>212962.98</v>
      </c>
      <c r="AA43" s="41">
        <v>1</v>
      </c>
      <c r="AB43" s="41">
        <v>89.51</v>
      </c>
      <c r="AC43" s="41">
        <v>0</v>
      </c>
      <c r="AD43" s="41">
        <v>190.62316000000001</v>
      </c>
      <c r="AG43" s="38" t="s">
        <v>18</v>
      </c>
      <c r="AH43" s="46">
        <v>7.6299999999999998E-5</v>
      </c>
      <c r="AI43" s="46">
        <v>7.4160022248006673E-3</v>
      </c>
      <c r="AJ43" s="46">
        <v>1.4484999999999999E-3</v>
      </c>
    </row>
    <row r="44" spans="1:36" x14ac:dyDescent="0.2">
      <c r="A44" s="38">
        <v>420</v>
      </c>
      <c r="B44" s="38">
        <v>420</v>
      </c>
      <c r="C44" s="38" t="s">
        <v>329</v>
      </c>
      <c r="D44" s="38">
        <v>520001736</v>
      </c>
      <c r="E44" s="38" t="s">
        <v>150</v>
      </c>
      <c r="F44" s="45" t="s">
        <v>333</v>
      </c>
      <c r="G44" s="38" t="s">
        <v>334</v>
      </c>
      <c r="H44" s="38" t="s">
        <v>153</v>
      </c>
      <c r="I44" s="38" t="s">
        <v>202</v>
      </c>
      <c r="J44" s="38" t="s">
        <v>73</v>
      </c>
      <c r="K44" s="38" t="s">
        <v>73</v>
      </c>
      <c r="L44" s="38" t="s">
        <v>155</v>
      </c>
      <c r="M44" s="38" t="s">
        <v>103</v>
      </c>
      <c r="N44" s="38" t="s">
        <v>173</v>
      </c>
      <c r="O44" s="38" t="s">
        <v>74</v>
      </c>
      <c r="P44" s="38" t="s">
        <v>311</v>
      </c>
      <c r="Q44" s="38" t="s">
        <v>76</v>
      </c>
      <c r="R44" s="38" t="s">
        <v>158</v>
      </c>
      <c r="S44" s="38" t="s">
        <v>78</v>
      </c>
      <c r="T44" s="41">
        <v>4</v>
      </c>
      <c r="U44" s="61" t="s">
        <v>258</v>
      </c>
      <c r="V44" s="46">
        <v>5.0000000000000001E-3</v>
      </c>
      <c r="W44" s="46">
        <v>2.8799999999999999E-2</v>
      </c>
      <c r="X44" s="46" t="s">
        <v>160</v>
      </c>
      <c r="Y44" s="45" t="s">
        <v>74</v>
      </c>
      <c r="Z44" s="49">
        <v>105032.27</v>
      </c>
      <c r="AA44" s="41">
        <v>1</v>
      </c>
      <c r="AB44" s="41">
        <v>106.2</v>
      </c>
      <c r="AC44" s="41">
        <v>0</v>
      </c>
      <c r="AD44" s="41">
        <v>111.54427</v>
      </c>
      <c r="AG44" s="38" t="s">
        <v>18</v>
      </c>
      <c r="AH44" s="46">
        <v>7.86E-5</v>
      </c>
      <c r="AI44" s="46">
        <v>4.3395013018503901E-3</v>
      </c>
      <c r="AJ44" s="46">
        <v>8.476E-4</v>
      </c>
    </row>
    <row r="45" spans="1:36" x14ac:dyDescent="0.2">
      <c r="A45" s="38">
        <v>420</v>
      </c>
      <c r="B45" s="38">
        <v>420</v>
      </c>
      <c r="C45" s="38" t="s">
        <v>329</v>
      </c>
      <c r="D45" s="38">
        <v>520001736</v>
      </c>
      <c r="E45" s="38" t="s">
        <v>150</v>
      </c>
      <c r="F45" s="45" t="s">
        <v>335</v>
      </c>
      <c r="G45" s="38" t="s">
        <v>336</v>
      </c>
      <c r="H45" s="38" t="s">
        <v>153</v>
      </c>
      <c r="I45" s="38" t="s">
        <v>202</v>
      </c>
      <c r="J45" s="38" t="s">
        <v>73</v>
      </c>
      <c r="K45" s="38" t="s">
        <v>73</v>
      </c>
      <c r="L45" s="38" t="s">
        <v>155</v>
      </c>
      <c r="M45" s="38" t="s">
        <v>103</v>
      </c>
      <c r="N45" s="38" t="s">
        <v>173</v>
      </c>
      <c r="O45" s="38" t="s">
        <v>74</v>
      </c>
      <c r="P45" s="38" t="s">
        <v>311</v>
      </c>
      <c r="Q45" s="38" t="s">
        <v>76</v>
      </c>
      <c r="R45" s="38" t="s">
        <v>158</v>
      </c>
      <c r="S45" s="38" t="s">
        <v>78</v>
      </c>
      <c r="T45" s="41">
        <v>4.45</v>
      </c>
      <c r="U45" s="61" t="s">
        <v>177</v>
      </c>
      <c r="V45" s="46">
        <v>5.8999999999999999E-3</v>
      </c>
      <c r="W45" s="46">
        <v>2.87E-2</v>
      </c>
      <c r="X45" s="46" t="s">
        <v>160</v>
      </c>
      <c r="Y45" s="45" t="s">
        <v>74</v>
      </c>
      <c r="Z45" s="49">
        <v>792266</v>
      </c>
      <c r="AA45" s="41">
        <v>1</v>
      </c>
      <c r="AB45" s="41">
        <v>102.74</v>
      </c>
      <c r="AC45" s="41">
        <v>0</v>
      </c>
      <c r="AD45" s="41">
        <v>813.97407999999996</v>
      </c>
      <c r="AG45" s="38" t="s">
        <v>18</v>
      </c>
      <c r="AH45" s="46">
        <v>5.6559999999999998E-4</v>
      </c>
      <c r="AI45" s="46">
        <v>3.1666709500012845E-2</v>
      </c>
      <c r="AJ45" s="46">
        <v>6.1853000000000003E-3</v>
      </c>
    </row>
    <row r="46" spans="1:36" x14ac:dyDescent="0.2">
      <c r="A46" s="38">
        <v>420</v>
      </c>
      <c r="B46" s="38">
        <v>420</v>
      </c>
      <c r="C46" s="38" t="s">
        <v>329</v>
      </c>
      <c r="D46" s="38">
        <v>520001736</v>
      </c>
      <c r="E46" s="38" t="s">
        <v>150</v>
      </c>
      <c r="F46" s="45" t="s">
        <v>337</v>
      </c>
      <c r="G46" s="38" t="s">
        <v>338</v>
      </c>
      <c r="H46" s="38" t="s">
        <v>153</v>
      </c>
      <c r="I46" s="38" t="s">
        <v>202</v>
      </c>
      <c r="J46" s="38" t="s">
        <v>73</v>
      </c>
      <c r="K46" s="38" t="s">
        <v>73</v>
      </c>
      <c r="L46" s="38" t="s">
        <v>155</v>
      </c>
      <c r="M46" s="38" t="s">
        <v>103</v>
      </c>
      <c r="N46" s="38" t="s">
        <v>173</v>
      </c>
      <c r="O46" s="38" t="s">
        <v>74</v>
      </c>
      <c r="P46" s="38" t="s">
        <v>311</v>
      </c>
      <c r="Q46" s="38" t="s">
        <v>76</v>
      </c>
      <c r="R46" s="38" t="s">
        <v>158</v>
      </c>
      <c r="S46" s="38" t="s">
        <v>78</v>
      </c>
      <c r="T46" s="41">
        <v>3.07</v>
      </c>
      <c r="U46" s="61" t="s">
        <v>109</v>
      </c>
      <c r="V46" s="46">
        <v>3.3399999999999999E-2</v>
      </c>
      <c r="W46" s="46">
        <v>2.9399999999999999E-2</v>
      </c>
      <c r="X46" s="46" t="s">
        <v>160</v>
      </c>
      <c r="Y46" s="45" t="s">
        <v>74</v>
      </c>
      <c r="Z46" s="49">
        <v>171000</v>
      </c>
      <c r="AA46" s="41">
        <v>1</v>
      </c>
      <c r="AB46" s="41">
        <v>105.28</v>
      </c>
      <c r="AC46" s="41">
        <v>0</v>
      </c>
      <c r="AD46" s="41">
        <v>180.02879999999999</v>
      </c>
      <c r="AG46" s="38" t="s">
        <v>18</v>
      </c>
      <c r="AH46" s="46">
        <v>1.5890000000000001E-4</v>
      </c>
      <c r="AI46" s="46">
        <v>7.0038021011406305E-3</v>
      </c>
      <c r="AJ46" s="46">
        <v>1.3680000000000001E-3</v>
      </c>
    </row>
    <row r="47" spans="1:36" x14ac:dyDescent="0.2">
      <c r="A47" s="38">
        <v>420</v>
      </c>
      <c r="B47" s="38">
        <v>420</v>
      </c>
      <c r="C47" s="38" t="s">
        <v>339</v>
      </c>
      <c r="D47" s="38">
        <v>520037789</v>
      </c>
      <c r="E47" s="38" t="s">
        <v>150</v>
      </c>
      <c r="F47" s="45" t="s">
        <v>340</v>
      </c>
      <c r="G47" s="38" t="s">
        <v>341</v>
      </c>
      <c r="H47" s="38" t="s">
        <v>153</v>
      </c>
      <c r="I47" s="38" t="s">
        <v>202</v>
      </c>
      <c r="J47" s="38" t="s">
        <v>73</v>
      </c>
      <c r="K47" s="38" t="s">
        <v>73</v>
      </c>
      <c r="L47" s="38" t="s">
        <v>155</v>
      </c>
      <c r="M47" s="38" t="s">
        <v>103</v>
      </c>
      <c r="N47" s="38" t="s">
        <v>173</v>
      </c>
      <c r="O47" s="38" t="s">
        <v>74</v>
      </c>
      <c r="P47" s="38" t="s">
        <v>311</v>
      </c>
      <c r="Q47" s="38" t="s">
        <v>76</v>
      </c>
      <c r="R47" s="38" t="s">
        <v>158</v>
      </c>
      <c r="S47" s="38" t="s">
        <v>78</v>
      </c>
      <c r="T47" s="41">
        <v>1.68</v>
      </c>
      <c r="U47" s="61" t="s">
        <v>342</v>
      </c>
      <c r="V47" s="46">
        <v>2.35E-2</v>
      </c>
      <c r="W47" s="46">
        <v>2.7400000000000001E-2</v>
      </c>
      <c r="X47" s="46" t="s">
        <v>160</v>
      </c>
      <c r="Y47" s="45" t="s">
        <v>74</v>
      </c>
      <c r="Z47" s="49">
        <v>245020.7</v>
      </c>
      <c r="AA47" s="41">
        <v>1</v>
      </c>
      <c r="AB47" s="41">
        <v>118.4</v>
      </c>
      <c r="AC47" s="41">
        <v>0</v>
      </c>
      <c r="AD47" s="41">
        <v>290.10449999999997</v>
      </c>
      <c r="AG47" s="38" t="s">
        <v>18</v>
      </c>
      <c r="AH47" s="46">
        <v>2.6709999999999999E-4</v>
      </c>
      <c r="AI47" s="46">
        <v>1.1286203385861015E-2</v>
      </c>
      <c r="AJ47" s="46">
        <v>2.2044999999999999E-3</v>
      </c>
    </row>
    <row r="48" spans="1:36" x14ac:dyDescent="0.2">
      <c r="A48" s="38">
        <v>420</v>
      </c>
      <c r="B48" s="38">
        <v>420</v>
      </c>
      <c r="C48" s="38" t="s">
        <v>339</v>
      </c>
      <c r="D48" s="38">
        <v>520037789</v>
      </c>
      <c r="E48" s="38" t="s">
        <v>150</v>
      </c>
      <c r="F48" s="45" t="s">
        <v>343</v>
      </c>
      <c r="G48" s="38" t="s">
        <v>344</v>
      </c>
      <c r="H48" s="38" t="s">
        <v>153</v>
      </c>
      <c r="I48" s="38" t="s">
        <v>202</v>
      </c>
      <c r="J48" s="38" t="s">
        <v>73</v>
      </c>
      <c r="K48" s="38" t="s">
        <v>73</v>
      </c>
      <c r="L48" s="38" t="s">
        <v>155</v>
      </c>
      <c r="M48" s="38" t="s">
        <v>103</v>
      </c>
      <c r="N48" s="38" t="s">
        <v>173</v>
      </c>
      <c r="O48" s="38" t="s">
        <v>74</v>
      </c>
      <c r="P48" s="38" t="s">
        <v>311</v>
      </c>
      <c r="Q48" s="38" t="s">
        <v>76</v>
      </c>
      <c r="R48" s="38" t="s">
        <v>158</v>
      </c>
      <c r="S48" s="38" t="s">
        <v>78</v>
      </c>
      <c r="T48" s="41">
        <v>3.75</v>
      </c>
      <c r="U48" s="61" t="s">
        <v>186</v>
      </c>
      <c r="V48" s="46">
        <v>1.43E-2</v>
      </c>
      <c r="W48" s="46">
        <v>2.81E-2</v>
      </c>
      <c r="X48" s="46" t="s">
        <v>160</v>
      </c>
      <c r="Y48" s="45" t="s">
        <v>74</v>
      </c>
      <c r="Z48" s="49">
        <v>237362.64</v>
      </c>
      <c r="AA48" s="41">
        <v>1</v>
      </c>
      <c r="AB48" s="41">
        <v>111.28</v>
      </c>
      <c r="AC48" s="41">
        <v>5.0949999999999998</v>
      </c>
      <c r="AD48" s="41">
        <v>269.23214000000002</v>
      </c>
      <c r="AG48" s="38" t="s">
        <v>18</v>
      </c>
      <c r="AH48" s="46">
        <v>1.2310000000000001E-4</v>
      </c>
      <c r="AI48" s="46">
        <v>1.0275903082770923E-2</v>
      </c>
      <c r="AJ48" s="46">
        <v>2.0072000000000002E-3</v>
      </c>
    </row>
    <row r="49" spans="1:36" x14ac:dyDescent="0.2">
      <c r="A49" s="38">
        <v>420</v>
      </c>
      <c r="B49" s="38">
        <v>420</v>
      </c>
      <c r="C49" s="38" t="s">
        <v>339</v>
      </c>
      <c r="D49" s="38">
        <v>520037789</v>
      </c>
      <c r="E49" s="38" t="s">
        <v>150</v>
      </c>
      <c r="F49" s="45" t="s">
        <v>345</v>
      </c>
      <c r="G49" s="38" t="s">
        <v>346</v>
      </c>
      <c r="H49" s="38" t="s">
        <v>153</v>
      </c>
      <c r="I49" s="38" t="s">
        <v>202</v>
      </c>
      <c r="J49" s="38" t="s">
        <v>73</v>
      </c>
      <c r="K49" s="38" t="s">
        <v>73</v>
      </c>
      <c r="L49" s="38" t="s">
        <v>155</v>
      </c>
      <c r="M49" s="38" t="s">
        <v>103</v>
      </c>
      <c r="N49" s="38" t="s">
        <v>173</v>
      </c>
      <c r="O49" s="38" t="s">
        <v>74</v>
      </c>
      <c r="P49" s="38" t="s">
        <v>311</v>
      </c>
      <c r="Q49" s="38" t="s">
        <v>76</v>
      </c>
      <c r="R49" s="38" t="s">
        <v>158</v>
      </c>
      <c r="S49" s="38" t="s">
        <v>78</v>
      </c>
      <c r="T49" s="41">
        <v>5.6</v>
      </c>
      <c r="U49" s="61" t="s">
        <v>347</v>
      </c>
      <c r="V49" s="46">
        <v>3.61E-2</v>
      </c>
      <c r="W49" s="46">
        <v>2.93E-2</v>
      </c>
      <c r="X49" s="46" t="s">
        <v>160</v>
      </c>
      <c r="Y49" s="45" t="s">
        <v>74</v>
      </c>
      <c r="Z49" s="49">
        <v>450065.74</v>
      </c>
      <c r="AA49" s="41">
        <v>1</v>
      </c>
      <c r="AB49" s="41">
        <v>111.6</v>
      </c>
      <c r="AC49" s="41">
        <v>9.9865999999999993</v>
      </c>
      <c r="AD49" s="41">
        <v>512.25995999999998</v>
      </c>
      <c r="AG49" s="38" t="s">
        <v>18</v>
      </c>
      <c r="AH49" s="46">
        <v>2.8699999999999998E-4</v>
      </c>
      <c r="AI49" s="46">
        <v>1.9540405862121756E-2</v>
      </c>
      <c r="AJ49" s="46">
        <v>3.8167000000000001E-3</v>
      </c>
    </row>
    <row r="50" spans="1:36" x14ac:dyDescent="0.2">
      <c r="A50" s="38">
        <v>420</v>
      </c>
      <c r="B50" s="38">
        <v>420</v>
      </c>
      <c r="C50" s="38" t="s">
        <v>348</v>
      </c>
      <c r="D50" s="38">
        <v>1737</v>
      </c>
      <c r="E50" s="38" t="s">
        <v>150</v>
      </c>
      <c r="F50" s="45" t="s">
        <v>349</v>
      </c>
      <c r="G50" s="38" t="s">
        <v>350</v>
      </c>
      <c r="H50" s="38" t="s">
        <v>153</v>
      </c>
      <c r="I50" s="38" t="s">
        <v>154</v>
      </c>
      <c r="J50" s="38" t="s">
        <v>73</v>
      </c>
      <c r="K50" s="38" t="s">
        <v>351</v>
      </c>
      <c r="L50" s="38" t="s">
        <v>155</v>
      </c>
      <c r="M50" s="38" t="s">
        <v>103</v>
      </c>
      <c r="N50" s="38" t="s">
        <v>182</v>
      </c>
      <c r="O50" s="38" t="s">
        <v>74</v>
      </c>
      <c r="P50" s="38" t="s">
        <v>311</v>
      </c>
      <c r="Q50" s="38" t="s">
        <v>76</v>
      </c>
      <c r="R50" s="38" t="s">
        <v>158</v>
      </c>
      <c r="S50" s="38" t="s">
        <v>78</v>
      </c>
      <c r="T50" s="41">
        <v>3.96</v>
      </c>
      <c r="U50" s="61" t="s">
        <v>352</v>
      </c>
      <c r="V50" s="46">
        <v>6.7400000000000002E-2</v>
      </c>
      <c r="W50" s="46">
        <v>5.6800000000000003E-2</v>
      </c>
      <c r="X50" s="46" t="s">
        <v>160</v>
      </c>
      <c r="Y50" s="45" t="s">
        <v>74</v>
      </c>
      <c r="Z50" s="49">
        <v>248000</v>
      </c>
      <c r="AA50" s="41">
        <v>1</v>
      </c>
      <c r="AB50" s="41">
        <v>104.44</v>
      </c>
      <c r="AC50" s="41">
        <v>0</v>
      </c>
      <c r="AD50" s="41">
        <v>259.01119999999997</v>
      </c>
      <c r="AG50" s="38" t="s">
        <v>18</v>
      </c>
      <c r="AH50" s="46">
        <v>8.7009999999999995E-4</v>
      </c>
      <c r="AI50" s="46">
        <v>1.0076503022950907E-2</v>
      </c>
      <c r="AJ50" s="46">
        <v>1.9681999999999998E-3</v>
      </c>
    </row>
    <row r="51" spans="1:36" x14ac:dyDescent="0.2">
      <c r="A51" s="38">
        <v>420</v>
      </c>
      <c r="B51" s="38">
        <v>420</v>
      </c>
      <c r="C51" s="38" t="s">
        <v>353</v>
      </c>
      <c r="D51" s="38">
        <v>514290345</v>
      </c>
      <c r="E51" s="38" t="s">
        <v>150</v>
      </c>
      <c r="F51" s="45" t="s">
        <v>354</v>
      </c>
      <c r="G51" s="38" t="s">
        <v>355</v>
      </c>
      <c r="H51" s="38" t="s">
        <v>153</v>
      </c>
      <c r="I51" s="38" t="s">
        <v>154</v>
      </c>
      <c r="J51" s="38" t="s">
        <v>73</v>
      </c>
      <c r="K51" s="38" t="s">
        <v>73</v>
      </c>
      <c r="L51" s="38" t="s">
        <v>155</v>
      </c>
      <c r="M51" s="38" t="s">
        <v>103</v>
      </c>
      <c r="N51" s="38" t="s">
        <v>217</v>
      </c>
      <c r="O51" s="38" t="s">
        <v>74</v>
      </c>
      <c r="P51" s="38" t="s">
        <v>311</v>
      </c>
      <c r="Q51" s="38" t="s">
        <v>76</v>
      </c>
      <c r="R51" s="38" t="s">
        <v>158</v>
      </c>
      <c r="S51" s="38" t="s">
        <v>78</v>
      </c>
      <c r="T51" s="41">
        <v>4.49</v>
      </c>
      <c r="U51" s="61" t="s">
        <v>258</v>
      </c>
      <c r="V51" s="46">
        <v>4.6899999999999997E-2</v>
      </c>
      <c r="W51" s="46">
        <v>4.5600000000000002E-2</v>
      </c>
      <c r="X51" s="46" t="s">
        <v>160</v>
      </c>
      <c r="Y51" s="45" t="s">
        <v>74</v>
      </c>
      <c r="Z51" s="49">
        <v>325000</v>
      </c>
      <c r="AA51" s="41">
        <v>1</v>
      </c>
      <c r="AB51" s="41">
        <v>100.9</v>
      </c>
      <c r="AC51" s="41">
        <v>0</v>
      </c>
      <c r="AD51" s="41">
        <v>327.92500000000001</v>
      </c>
      <c r="AG51" s="38" t="s">
        <v>18</v>
      </c>
      <c r="AH51" s="46">
        <v>6.4999999999999997E-4</v>
      </c>
      <c r="AI51" s="46">
        <v>1.2757503827251148E-2</v>
      </c>
      <c r="AJ51" s="46">
        <v>2.4919E-3</v>
      </c>
    </row>
    <row r="52" spans="1:36" x14ac:dyDescent="0.2">
      <c r="A52" s="38">
        <v>420</v>
      </c>
      <c r="B52" s="38">
        <v>420</v>
      </c>
      <c r="C52" s="38" t="s">
        <v>356</v>
      </c>
      <c r="D52" s="38">
        <v>513821488</v>
      </c>
      <c r="E52" s="38" t="s">
        <v>150</v>
      </c>
      <c r="F52" s="45" t="s">
        <v>357</v>
      </c>
      <c r="G52" s="38" t="s">
        <v>358</v>
      </c>
      <c r="H52" s="38" t="s">
        <v>153</v>
      </c>
      <c r="I52" s="38" t="s">
        <v>202</v>
      </c>
      <c r="J52" s="38" t="s">
        <v>73</v>
      </c>
      <c r="K52" s="38" t="s">
        <v>73</v>
      </c>
      <c r="L52" s="38" t="s">
        <v>155</v>
      </c>
      <c r="M52" s="38" t="s">
        <v>103</v>
      </c>
      <c r="N52" s="38" t="s">
        <v>173</v>
      </c>
      <c r="O52" s="38" t="s">
        <v>74</v>
      </c>
      <c r="P52" s="38" t="s">
        <v>311</v>
      </c>
      <c r="Q52" s="38" t="s">
        <v>76</v>
      </c>
      <c r="R52" s="38" t="s">
        <v>158</v>
      </c>
      <c r="S52" s="38" t="s">
        <v>78</v>
      </c>
      <c r="T52" s="41">
        <v>6</v>
      </c>
      <c r="U52" s="61" t="s">
        <v>359</v>
      </c>
      <c r="V52" s="46">
        <v>2.5000000000000001E-2</v>
      </c>
      <c r="W52" s="46">
        <v>2.9499999999999998E-2</v>
      </c>
      <c r="X52" s="46" t="s">
        <v>160</v>
      </c>
      <c r="Y52" s="45" t="s">
        <v>74</v>
      </c>
      <c r="Z52" s="49">
        <v>142000</v>
      </c>
      <c r="AA52" s="41">
        <v>1</v>
      </c>
      <c r="AB52" s="41">
        <v>114.89</v>
      </c>
      <c r="AC52" s="41">
        <v>0</v>
      </c>
      <c r="AD52" s="41">
        <v>163.1438</v>
      </c>
      <c r="AG52" s="38" t="s">
        <v>18</v>
      </c>
      <c r="AH52" s="46">
        <v>1.052E-4</v>
      </c>
      <c r="AI52" s="46">
        <v>6.3469019040705713E-3</v>
      </c>
      <c r="AJ52" s="46">
        <v>1.2397E-3</v>
      </c>
    </row>
    <row r="53" spans="1:36" x14ac:dyDescent="0.2">
      <c r="A53" s="38">
        <v>420</v>
      </c>
      <c r="B53" s="38">
        <v>420</v>
      </c>
      <c r="C53" s="38" t="s">
        <v>360</v>
      </c>
      <c r="D53" s="38">
        <v>520038506</v>
      </c>
      <c r="E53" s="38" t="s">
        <v>150</v>
      </c>
      <c r="F53" s="45" t="s">
        <v>361</v>
      </c>
      <c r="G53" s="38" t="s">
        <v>362</v>
      </c>
      <c r="H53" s="38" t="s">
        <v>153</v>
      </c>
      <c r="I53" s="38" t="s">
        <v>154</v>
      </c>
      <c r="J53" s="38" t="s">
        <v>73</v>
      </c>
      <c r="K53" s="38" t="s">
        <v>73</v>
      </c>
      <c r="L53" s="38" t="s">
        <v>155</v>
      </c>
      <c r="M53" s="38" t="s">
        <v>103</v>
      </c>
      <c r="N53" s="38" t="s">
        <v>173</v>
      </c>
      <c r="O53" s="38" t="s">
        <v>74</v>
      </c>
      <c r="P53" s="38" t="s">
        <v>363</v>
      </c>
      <c r="Q53" s="38" t="s">
        <v>76</v>
      </c>
      <c r="R53" s="38" t="s">
        <v>158</v>
      </c>
      <c r="S53" s="38" t="s">
        <v>78</v>
      </c>
      <c r="T53" s="41">
        <v>5.94</v>
      </c>
      <c r="U53" s="61" t="s">
        <v>364</v>
      </c>
      <c r="V53" s="46">
        <v>4.9399999999999999E-2</v>
      </c>
      <c r="W53" s="46">
        <v>5.2400000000000002E-2</v>
      </c>
      <c r="X53" s="46" t="s">
        <v>160</v>
      </c>
      <c r="Y53" s="45" t="s">
        <v>74</v>
      </c>
      <c r="Z53" s="49">
        <v>206996</v>
      </c>
      <c r="AA53" s="41">
        <v>1</v>
      </c>
      <c r="AB53" s="41">
        <v>99.91</v>
      </c>
      <c r="AC53" s="41">
        <v>0</v>
      </c>
      <c r="AD53" s="41">
        <v>206.80969999999999</v>
      </c>
      <c r="AG53" s="38" t="s">
        <v>18</v>
      </c>
      <c r="AH53" s="46">
        <v>1.1120000000000001E-4</v>
      </c>
      <c r="AI53" s="46">
        <v>8.0457024137107237E-3</v>
      </c>
      <c r="AJ53" s="46">
        <v>1.5715E-3</v>
      </c>
    </row>
    <row r="54" spans="1:36" x14ac:dyDescent="0.2">
      <c r="A54" s="38">
        <v>420</v>
      </c>
      <c r="B54" s="38">
        <v>420</v>
      </c>
      <c r="C54" s="38" t="s">
        <v>365</v>
      </c>
      <c r="D54" s="38">
        <v>520025370</v>
      </c>
      <c r="E54" s="38" t="s">
        <v>150</v>
      </c>
      <c r="F54" s="45" t="s">
        <v>366</v>
      </c>
      <c r="G54" s="38" t="s">
        <v>367</v>
      </c>
      <c r="H54" s="38" t="s">
        <v>153</v>
      </c>
      <c r="I54" s="38" t="s">
        <v>154</v>
      </c>
      <c r="J54" s="38" t="s">
        <v>73</v>
      </c>
      <c r="K54" s="38" t="s">
        <v>73</v>
      </c>
      <c r="L54" s="38" t="s">
        <v>155</v>
      </c>
      <c r="M54" s="38" t="s">
        <v>103</v>
      </c>
      <c r="N54" s="38" t="s">
        <v>279</v>
      </c>
      <c r="O54" s="38" t="s">
        <v>74</v>
      </c>
      <c r="P54" s="38" t="s">
        <v>363</v>
      </c>
      <c r="Q54" s="38" t="s">
        <v>76</v>
      </c>
      <c r="R54" s="38" t="s">
        <v>158</v>
      </c>
      <c r="S54" s="38" t="s">
        <v>78</v>
      </c>
      <c r="T54" s="41">
        <v>2.09</v>
      </c>
      <c r="U54" s="61" t="s">
        <v>368</v>
      </c>
      <c r="V54" s="46">
        <v>2.0400000000000001E-2</v>
      </c>
      <c r="W54" s="46">
        <v>4.8300000000000003E-2</v>
      </c>
      <c r="X54" s="46" t="s">
        <v>160</v>
      </c>
      <c r="Y54" s="45" t="s">
        <v>74</v>
      </c>
      <c r="Z54" s="49">
        <v>95663.75</v>
      </c>
      <c r="AA54" s="41">
        <v>1</v>
      </c>
      <c r="AB54" s="41">
        <v>95.04</v>
      </c>
      <c r="AC54" s="41">
        <v>0</v>
      </c>
      <c r="AD54" s="41">
        <v>90.918819999999997</v>
      </c>
      <c r="AG54" s="38" t="s">
        <v>18</v>
      </c>
      <c r="AH54" s="46">
        <v>2.5500000000000002E-4</v>
      </c>
      <c r="AI54" s="46">
        <v>3.5371010611303182E-3</v>
      </c>
      <c r="AJ54" s="46">
        <v>6.9090000000000004E-4</v>
      </c>
    </row>
    <row r="55" spans="1:36" x14ac:dyDescent="0.2">
      <c r="A55" s="38">
        <v>420</v>
      </c>
      <c r="B55" s="38">
        <v>420</v>
      </c>
      <c r="C55" s="38" t="s">
        <v>369</v>
      </c>
      <c r="D55" s="38">
        <v>513623314</v>
      </c>
      <c r="E55" s="38" t="s">
        <v>150</v>
      </c>
      <c r="F55" s="45" t="s">
        <v>370</v>
      </c>
      <c r="G55" s="38" t="s">
        <v>371</v>
      </c>
      <c r="H55" s="38" t="s">
        <v>153</v>
      </c>
      <c r="I55" s="38" t="s">
        <v>202</v>
      </c>
      <c r="J55" s="38" t="s">
        <v>73</v>
      </c>
      <c r="K55" s="38" t="s">
        <v>73</v>
      </c>
      <c r="L55" s="38" t="s">
        <v>155</v>
      </c>
      <c r="M55" s="38" t="s">
        <v>103</v>
      </c>
      <c r="N55" s="38" t="s">
        <v>173</v>
      </c>
      <c r="O55" s="38" t="s">
        <v>74</v>
      </c>
      <c r="P55" s="38" t="s">
        <v>363</v>
      </c>
      <c r="Q55" s="38" t="s">
        <v>76</v>
      </c>
      <c r="R55" s="38" t="s">
        <v>158</v>
      </c>
      <c r="S55" s="38" t="s">
        <v>78</v>
      </c>
      <c r="T55" s="41">
        <v>4.93</v>
      </c>
      <c r="U55" s="61" t="s">
        <v>372</v>
      </c>
      <c r="V55" s="46">
        <v>1.8700000000000001E-2</v>
      </c>
      <c r="W55" s="46">
        <v>2.9700000000000001E-2</v>
      </c>
      <c r="X55" s="46" t="s">
        <v>160</v>
      </c>
      <c r="Y55" s="45" t="s">
        <v>74</v>
      </c>
      <c r="Z55" s="49">
        <v>229090.92</v>
      </c>
      <c r="AA55" s="41">
        <v>1</v>
      </c>
      <c r="AB55" s="41">
        <v>106.87</v>
      </c>
      <c r="AC55" s="41">
        <v>0</v>
      </c>
      <c r="AD55" s="41">
        <v>244.82946000000001</v>
      </c>
      <c r="AG55" s="38" t="s">
        <v>18</v>
      </c>
      <c r="AH55" s="46">
        <v>2.3440000000000001E-4</v>
      </c>
      <c r="AI55" s="46">
        <v>9.5248028574408568E-3</v>
      </c>
      <c r="AJ55" s="46">
        <v>1.8603999999999999E-3</v>
      </c>
    </row>
    <row r="56" spans="1:36" x14ac:dyDescent="0.2">
      <c r="A56" s="38">
        <v>420</v>
      </c>
      <c r="B56" s="38">
        <v>420</v>
      </c>
      <c r="C56" s="38" t="s">
        <v>373</v>
      </c>
      <c r="D56" s="38">
        <v>520029935</v>
      </c>
      <c r="E56" s="38" t="s">
        <v>150</v>
      </c>
      <c r="F56" s="45" t="s">
        <v>374</v>
      </c>
      <c r="G56" s="38" t="s">
        <v>375</v>
      </c>
      <c r="H56" s="38" t="s">
        <v>153</v>
      </c>
      <c r="I56" s="38" t="s">
        <v>202</v>
      </c>
      <c r="J56" s="38" t="s">
        <v>73</v>
      </c>
      <c r="K56" s="38" t="s">
        <v>73</v>
      </c>
      <c r="L56" s="38" t="s">
        <v>155</v>
      </c>
      <c r="M56" s="38" t="s">
        <v>103</v>
      </c>
      <c r="N56" s="38" t="s">
        <v>223</v>
      </c>
      <c r="O56" s="38" t="s">
        <v>74</v>
      </c>
      <c r="P56" s="38" t="s">
        <v>363</v>
      </c>
      <c r="Q56" s="38" t="s">
        <v>76</v>
      </c>
      <c r="R56" s="38" t="s">
        <v>158</v>
      </c>
      <c r="S56" s="38" t="s">
        <v>78</v>
      </c>
      <c r="T56" s="41">
        <v>3.24</v>
      </c>
      <c r="U56" s="61" t="s">
        <v>376</v>
      </c>
      <c r="V56" s="46">
        <v>3.1699999999999999E-2</v>
      </c>
      <c r="W56" s="46">
        <v>2.8199999999999999E-2</v>
      </c>
      <c r="X56" s="46" t="s">
        <v>160</v>
      </c>
      <c r="Y56" s="45" t="s">
        <v>74</v>
      </c>
      <c r="Z56" s="49">
        <v>350000</v>
      </c>
      <c r="AA56" s="41">
        <v>1</v>
      </c>
      <c r="AB56" s="41">
        <v>111.86</v>
      </c>
      <c r="AC56" s="41">
        <v>0</v>
      </c>
      <c r="AD56" s="41">
        <v>391.51</v>
      </c>
      <c r="AG56" s="38" t="s">
        <v>18</v>
      </c>
      <c r="AH56" s="46">
        <v>4.1439999999999999E-4</v>
      </c>
      <c r="AI56" s="46">
        <v>1.523120456936137E-2</v>
      </c>
      <c r="AJ56" s="46">
        <v>2.9751000000000001E-3</v>
      </c>
    </row>
    <row r="57" spans="1:36" x14ac:dyDescent="0.2">
      <c r="A57" s="38">
        <v>420</v>
      </c>
      <c r="B57" s="38">
        <v>420</v>
      </c>
      <c r="C57" s="38" t="s">
        <v>281</v>
      </c>
      <c r="D57" s="38">
        <v>513834200</v>
      </c>
      <c r="E57" s="38" t="s">
        <v>150</v>
      </c>
      <c r="F57" s="45" t="s">
        <v>377</v>
      </c>
      <c r="G57" s="38" t="s">
        <v>378</v>
      </c>
      <c r="H57" s="38" t="s">
        <v>153</v>
      </c>
      <c r="I57" s="38" t="s">
        <v>154</v>
      </c>
      <c r="J57" s="38" t="s">
        <v>73</v>
      </c>
      <c r="K57" s="38" t="s">
        <v>73</v>
      </c>
      <c r="L57" s="38" t="s">
        <v>155</v>
      </c>
      <c r="M57" s="38" t="s">
        <v>103</v>
      </c>
      <c r="N57" s="38" t="s">
        <v>217</v>
      </c>
      <c r="O57" s="38" t="s">
        <v>74</v>
      </c>
      <c r="P57" s="38" t="s">
        <v>363</v>
      </c>
      <c r="Q57" s="38" t="s">
        <v>76</v>
      </c>
      <c r="R57" s="38" t="s">
        <v>158</v>
      </c>
      <c r="S57" s="38" t="s">
        <v>78</v>
      </c>
      <c r="T57" s="41">
        <v>2.4</v>
      </c>
      <c r="U57" s="61" t="s">
        <v>352</v>
      </c>
      <c r="V57" s="46">
        <v>4.36E-2</v>
      </c>
      <c r="W57" s="46">
        <v>4.4299999999999999E-2</v>
      </c>
      <c r="X57" s="46" t="s">
        <v>160</v>
      </c>
      <c r="Y57" s="45" t="s">
        <v>74</v>
      </c>
      <c r="Z57" s="49">
        <v>758000</v>
      </c>
      <c r="AA57" s="41">
        <v>1</v>
      </c>
      <c r="AB57" s="41">
        <v>99.95</v>
      </c>
      <c r="AC57" s="41">
        <v>0</v>
      </c>
      <c r="AD57" s="41">
        <v>757.62099999999998</v>
      </c>
      <c r="AG57" s="38" t="s">
        <v>18</v>
      </c>
      <c r="AH57" s="46">
        <v>2.5265999999999999E-3</v>
      </c>
      <c r="AI57" s="46">
        <v>2.9474408842322653E-2</v>
      </c>
      <c r="AJ57" s="46">
        <v>5.7571000000000002E-3</v>
      </c>
    </row>
    <row r="58" spans="1:36" x14ac:dyDescent="0.2">
      <c r="A58" s="38">
        <v>420</v>
      </c>
      <c r="B58" s="38">
        <v>420</v>
      </c>
      <c r="C58" s="38" t="s">
        <v>281</v>
      </c>
      <c r="D58" s="38">
        <v>513834200</v>
      </c>
      <c r="E58" s="38" t="s">
        <v>150</v>
      </c>
      <c r="F58" s="45" t="s">
        <v>379</v>
      </c>
      <c r="G58" s="38" t="s">
        <v>380</v>
      </c>
      <c r="H58" s="38" t="s">
        <v>153</v>
      </c>
      <c r="I58" s="38" t="s">
        <v>154</v>
      </c>
      <c r="J58" s="38" t="s">
        <v>73</v>
      </c>
      <c r="K58" s="38" t="s">
        <v>73</v>
      </c>
      <c r="L58" s="38" t="s">
        <v>155</v>
      </c>
      <c r="M58" s="38" t="s">
        <v>103</v>
      </c>
      <c r="N58" s="38" t="s">
        <v>217</v>
      </c>
      <c r="O58" s="38" t="s">
        <v>74</v>
      </c>
      <c r="P58" s="38" t="s">
        <v>363</v>
      </c>
      <c r="Q58" s="38" t="s">
        <v>76</v>
      </c>
      <c r="R58" s="38" t="s">
        <v>158</v>
      </c>
      <c r="S58" s="38" t="s">
        <v>78</v>
      </c>
      <c r="T58" s="41">
        <v>6.8</v>
      </c>
      <c r="U58" s="61" t="s">
        <v>219</v>
      </c>
      <c r="V58" s="46">
        <v>2.63E-2</v>
      </c>
      <c r="W58" s="46">
        <v>4.7399999999999998E-2</v>
      </c>
      <c r="X58" s="46" t="s">
        <v>160</v>
      </c>
      <c r="Y58" s="45" t="s">
        <v>74</v>
      </c>
      <c r="Z58" s="49">
        <v>245000</v>
      </c>
      <c r="AA58" s="41">
        <v>1</v>
      </c>
      <c r="AB58" s="41">
        <v>87.1</v>
      </c>
      <c r="AC58" s="41">
        <v>0</v>
      </c>
      <c r="AD58" s="41">
        <v>213.39500000000001</v>
      </c>
      <c r="AG58" s="38" t="s">
        <v>18</v>
      </c>
      <c r="AH58" s="46">
        <v>3.5310000000000002E-4</v>
      </c>
      <c r="AI58" s="46">
        <v>8.3019024905707454E-3</v>
      </c>
      <c r="AJ58" s="46">
        <v>1.6216E-3</v>
      </c>
    </row>
    <row r="59" spans="1:36" x14ac:dyDescent="0.2">
      <c r="A59" s="38">
        <v>420</v>
      </c>
      <c r="B59" s="38">
        <v>420</v>
      </c>
      <c r="C59" s="38" t="s">
        <v>281</v>
      </c>
      <c r="D59" s="38">
        <v>513834200</v>
      </c>
      <c r="E59" s="38" t="s">
        <v>150</v>
      </c>
      <c r="F59" s="45" t="s">
        <v>381</v>
      </c>
      <c r="G59" s="38" t="s">
        <v>382</v>
      </c>
      <c r="H59" s="38" t="s">
        <v>153</v>
      </c>
      <c r="I59" s="38" t="s">
        <v>154</v>
      </c>
      <c r="J59" s="38" t="s">
        <v>73</v>
      </c>
      <c r="K59" s="38" t="s">
        <v>73</v>
      </c>
      <c r="L59" s="38" t="s">
        <v>155</v>
      </c>
      <c r="M59" s="38" t="s">
        <v>103</v>
      </c>
      <c r="N59" s="38" t="s">
        <v>217</v>
      </c>
      <c r="O59" s="38" t="s">
        <v>74</v>
      </c>
      <c r="P59" s="38" t="s">
        <v>363</v>
      </c>
      <c r="Q59" s="38" t="s">
        <v>76</v>
      </c>
      <c r="R59" s="38" t="s">
        <v>158</v>
      </c>
      <c r="S59" s="38" t="s">
        <v>78</v>
      </c>
      <c r="T59" s="41">
        <v>6.87</v>
      </c>
      <c r="U59" s="61" t="s">
        <v>383</v>
      </c>
      <c r="V59" s="46">
        <v>6.0199999999999997E-2</v>
      </c>
      <c r="W59" s="46">
        <v>4.7699999999999999E-2</v>
      </c>
      <c r="X59" s="46" t="s">
        <v>160</v>
      </c>
      <c r="Y59" s="45" t="s">
        <v>74</v>
      </c>
      <c r="Z59" s="49">
        <v>260000</v>
      </c>
      <c r="AA59" s="41">
        <v>1</v>
      </c>
      <c r="AB59" s="41">
        <v>109.04</v>
      </c>
      <c r="AC59" s="41">
        <v>0</v>
      </c>
      <c r="AD59" s="41">
        <v>283.50400000000002</v>
      </c>
      <c r="AG59" s="38" t="s">
        <v>18</v>
      </c>
      <c r="AH59" s="46">
        <v>5.1999999999999995E-4</v>
      </c>
      <c r="AI59" s="46">
        <v>1.1029403308820991E-2</v>
      </c>
      <c r="AJ59" s="46">
        <v>2.1543000000000001E-3</v>
      </c>
    </row>
    <row r="60" spans="1:36" x14ac:dyDescent="0.2">
      <c r="A60" s="38">
        <v>420</v>
      </c>
      <c r="B60" s="38">
        <v>420</v>
      </c>
      <c r="C60" s="38" t="s">
        <v>281</v>
      </c>
      <c r="D60" s="38">
        <v>513834200</v>
      </c>
      <c r="E60" s="38" t="s">
        <v>150</v>
      </c>
      <c r="F60" s="45" t="s">
        <v>384</v>
      </c>
      <c r="G60" s="38" t="s">
        <v>385</v>
      </c>
      <c r="H60" s="38" t="s">
        <v>153</v>
      </c>
      <c r="I60" s="38" t="s">
        <v>202</v>
      </c>
      <c r="J60" s="38" t="s">
        <v>73</v>
      </c>
      <c r="K60" s="38" t="s">
        <v>73</v>
      </c>
      <c r="L60" s="38" t="s">
        <v>155</v>
      </c>
      <c r="M60" s="38" t="s">
        <v>103</v>
      </c>
      <c r="N60" s="38" t="s">
        <v>217</v>
      </c>
      <c r="O60" s="38" t="s">
        <v>74</v>
      </c>
      <c r="P60" s="38" t="s">
        <v>363</v>
      </c>
      <c r="Q60" s="38" t="s">
        <v>76</v>
      </c>
      <c r="R60" s="38" t="s">
        <v>158</v>
      </c>
      <c r="S60" s="38" t="s">
        <v>78</v>
      </c>
      <c r="T60" s="41">
        <v>1.48</v>
      </c>
      <c r="U60" s="61" t="s">
        <v>249</v>
      </c>
      <c r="V60" s="46">
        <v>2.4E-2</v>
      </c>
      <c r="W60" s="46">
        <v>2.52E-2</v>
      </c>
      <c r="X60" s="46" t="s">
        <v>160</v>
      </c>
      <c r="Y60" s="45" t="s">
        <v>74</v>
      </c>
      <c r="Z60" s="49">
        <v>234097</v>
      </c>
      <c r="AA60" s="41">
        <v>1</v>
      </c>
      <c r="AB60" s="41">
        <v>116.85</v>
      </c>
      <c r="AC60" s="41">
        <v>0</v>
      </c>
      <c r="AD60" s="41">
        <v>273.54234000000002</v>
      </c>
      <c r="AG60" s="38" t="s">
        <v>18</v>
      </c>
      <c r="AH60" s="46">
        <v>7.9299999999999998E-4</v>
      </c>
      <c r="AI60" s="46">
        <v>1.0641803192540957E-2</v>
      </c>
      <c r="AJ60" s="46">
        <v>2.0785999999999999E-3</v>
      </c>
    </row>
    <row r="61" spans="1:36" x14ac:dyDescent="0.2">
      <c r="A61" s="38">
        <v>420</v>
      </c>
      <c r="B61" s="38">
        <v>420</v>
      </c>
      <c r="C61" s="38" t="s">
        <v>386</v>
      </c>
      <c r="D61" s="38">
        <v>513682146</v>
      </c>
      <c r="E61" s="38" t="s">
        <v>150</v>
      </c>
      <c r="F61" s="45" t="s">
        <v>387</v>
      </c>
      <c r="G61" s="38" t="s">
        <v>388</v>
      </c>
      <c r="H61" s="38" t="s">
        <v>153</v>
      </c>
      <c r="I61" s="38" t="s">
        <v>202</v>
      </c>
      <c r="J61" s="38" t="s">
        <v>73</v>
      </c>
      <c r="K61" s="38" t="s">
        <v>73</v>
      </c>
      <c r="L61" s="38" t="s">
        <v>155</v>
      </c>
      <c r="M61" s="38" t="s">
        <v>103</v>
      </c>
      <c r="N61" s="38" t="s">
        <v>223</v>
      </c>
      <c r="O61" s="38" t="s">
        <v>74</v>
      </c>
      <c r="P61" s="38" t="s">
        <v>363</v>
      </c>
      <c r="Q61" s="38" t="s">
        <v>76</v>
      </c>
      <c r="R61" s="38" t="s">
        <v>158</v>
      </c>
      <c r="S61" s="38" t="s">
        <v>78</v>
      </c>
      <c r="T61" s="41">
        <v>3.88</v>
      </c>
      <c r="U61" s="61" t="s">
        <v>389</v>
      </c>
      <c r="V61" s="46">
        <v>2.5899999999999999E-2</v>
      </c>
      <c r="W61" s="46">
        <v>2.7400000000000001E-2</v>
      </c>
      <c r="X61" s="46" t="s">
        <v>160</v>
      </c>
      <c r="Y61" s="45" t="s">
        <v>74</v>
      </c>
      <c r="Z61" s="49">
        <v>350000</v>
      </c>
      <c r="AA61" s="41">
        <v>1</v>
      </c>
      <c r="AB61" s="41">
        <v>105.24</v>
      </c>
      <c r="AC61" s="41">
        <v>0</v>
      </c>
      <c r="AD61" s="41">
        <v>368.34</v>
      </c>
      <c r="AG61" s="38" t="s">
        <v>18</v>
      </c>
      <c r="AH61" s="46">
        <v>5.1250000000000004E-4</v>
      </c>
      <c r="AI61" s="46">
        <v>1.432980429894129E-2</v>
      </c>
      <c r="AJ61" s="46">
        <v>2.7989999999999998E-3</v>
      </c>
    </row>
    <row r="62" spans="1:36" x14ac:dyDescent="0.2">
      <c r="A62" s="38">
        <v>420</v>
      </c>
      <c r="B62" s="38">
        <v>420</v>
      </c>
      <c r="C62" s="38" t="s">
        <v>386</v>
      </c>
      <c r="D62" s="38">
        <v>513682146</v>
      </c>
      <c r="E62" s="38" t="s">
        <v>150</v>
      </c>
      <c r="F62" s="45" t="s">
        <v>390</v>
      </c>
      <c r="G62" s="38" t="s">
        <v>391</v>
      </c>
      <c r="H62" s="38" t="s">
        <v>153</v>
      </c>
      <c r="I62" s="38" t="s">
        <v>202</v>
      </c>
      <c r="J62" s="38" t="s">
        <v>73</v>
      </c>
      <c r="K62" s="38" t="s">
        <v>73</v>
      </c>
      <c r="L62" s="38" t="s">
        <v>155</v>
      </c>
      <c r="M62" s="38" t="s">
        <v>103</v>
      </c>
      <c r="N62" s="38" t="s">
        <v>223</v>
      </c>
      <c r="O62" s="38" t="s">
        <v>74</v>
      </c>
      <c r="P62" s="38" t="s">
        <v>363</v>
      </c>
      <c r="Q62" s="38" t="s">
        <v>76</v>
      </c>
      <c r="R62" s="38" t="s">
        <v>158</v>
      </c>
      <c r="S62" s="38" t="s">
        <v>78</v>
      </c>
      <c r="T62" s="41">
        <v>1.98</v>
      </c>
      <c r="U62" s="61" t="s">
        <v>288</v>
      </c>
      <c r="V62" s="46">
        <v>2E-3</v>
      </c>
      <c r="W62" s="46">
        <v>2.5999999999999999E-2</v>
      </c>
      <c r="X62" s="46" t="s">
        <v>160</v>
      </c>
      <c r="Y62" s="45" t="s">
        <v>74</v>
      </c>
      <c r="Z62" s="49">
        <v>133623.75</v>
      </c>
      <c r="AA62" s="41">
        <v>1</v>
      </c>
      <c r="AB62" s="41">
        <v>111.76</v>
      </c>
      <c r="AC62" s="41">
        <v>0</v>
      </c>
      <c r="AD62" s="41">
        <v>149.33789999999999</v>
      </c>
      <c r="AG62" s="38" t="s">
        <v>18</v>
      </c>
      <c r="AH62" s="46">
        <v>2.1139999999999999E-4</v>
      </c>
      <c r="AI62" s="46">
        <v>5.8098017429405232E-3</v>
      </c>
      <c r="AJ62" s="46">
        <v>1.1348E-3</v>
      </c>
    </row>
    <row r="63" spans="1:36" x14ac:dyDescent="0.2">
      <c r="A63" s="38">
        <v>420</v>
      </c>
      <c r="B63" s="38">
        <v>420</v>
      </c>
      <c r="C63" s="38" t="s">
        <v>392</v>
      </c>
      <c r="D63" s="38">
        <v>520036120</v>
      </c>
      <c r="E63" s="38" t="s">
        <v>150</v>
      </c>
      <c r="F63" s="45" t="s">
        <v>393</v>
      </c>
      <c r="G63" s="38" t="s">
        <v>394</v>
      </c>
      <c r="H63" s="38" t="s">
        <v>153</v>
      </c>
      <c r="I63" s="38" t="s">
        <v>154</v>
      </c>
      <c r="J63" s="38" t="s">
        <v>73</v>
      </c>
      <c r="K63" s="38" t="s">
        <v>73</v>
      </c>
      <c r="L63" s="38" t="s">
        <v>155</v>
      </c>
      <c r="M63" s="38" t="s">
        <v>103</v>
      </c>
      <c r="N63" s="38" t="s">
        <v>217</v>
      </c>
      <c r="O63" s="38" t="s">
        <v>74</v>
      </c>
      <c r="P63" s="38" t="s">
        <v>363</v>
      </c>
      <c r="Q63" s="38" t="s">
        <v>76</v>
      </c>
      <c r="R63" s="38" t="s">
        <v>158</v>
      </c>
      <c r="S63" s="38" t="s">
        <v>78</v>
      </c>
      <c r="T63" s="41">
        <v>4.7</v>
      </c>
      <c r="U63" s="61" t="s">
        <v>395</v>
      </c>
      <c r="V63" s="46">
        <v>5.2499999999999998E-2</v>
      </c>
      <c r="W63" s="46">
        <v>4.65E-2</v>
      </c>
      <c r="X63" s="46" t="s">
        <v>160</v>
      </c>
      <c r="Y63" s="45" t="s">
        <v>74</v>
      </c>
      <c r="Z63" s="49">
        <v>121000</v>
      </c>
      <c r="AA63" s="41">
        <v>1</v>
      </c>
      <c r="AB63" s="41">
        <v>103.89</v>
      </c>
      <c r="AC63" s="41">
        <v>0</v>
      </c>
      <c r="AD63" s="41">
        <v>125.7069</v>
      </c>
      <c r="AG63" s="38" t="s">
        <v>18</v>
      </c>
      <c r="AH63" s="46">
        <v>2.42E-4</v>
      </c>
      <c r="AI63" s="46">
        <v>4.8905014671504401E-3</v>
      </c>
      <c r="AJ63" s="46">
        <v>9.5520000000000002E-4</v>
      </c>
    </row>
    <row r="64" spans="1:36" x14ac:dyDescent="0.2">
      <c r="A64" s="38">
        <v>420</v>
      </c>
      <c r="B64" s="38">
        <v>420</v>
      </c>
      <c r="C64" s="38" t="s">
        <v>396</v>
      </c>
      <c r="D64" s="38">
        <v>513754069</v>
      </c>
      <c r="E64" s="38" t="s">
        <v>150</v>
      </c>
      <c r="F64" s="45" t="s">
        <v>397</v>
      </c>
      <c r="G64" s="38" t="s">
        <v>398</v>
      </c>
      <c r="H64" s="38" t="s">
        <v>153</v>
      </c>
      <c r="I64" s="38" t="s">
        <v>154</v>
      </c>
      <c r="J64" s="38" t="s">
        <v>73</v>
      </c>
      <c r="K64" s="38" t="s">
        <v>73</v>
      </c>
      <c r="L64" s="38" t="s">
        <v>155</v>
      </c>
      <c r="M64" s="38" t="s">
        <v>103</v>
      </c>
      <c r="N64" s="38" t="s">
        <v>217</v>
      </c>
      <c r="O64" s="38" t="s">
        <v>74</v>
      </c>
      <c r="P64" s="38" t="s">
        <v>363</v>
      </c>
      <c r="Q64" s="38" t="s">
        <v>76</v>
      </c>
      <c r="R64" s="38" t="s">
        <v>158</v>
      </c>
      <c r="S64" s="38" t="s">
        <v>78</v>
      </c>
      <c r="T64" s="41">
        <v>8.51</v>
      </c>
      <c r="U64" s="61" t="s">
        <v>399</v>
      </c>
      <c r="V64" s="46">
        <v>5.5100000000000003E-2</v>
      </c>
      <c r="W64" s="46">
        <v>5.1400000000000001E-2</v>
      </c>
      <c r="X64" s="46" t="s">
        <v>160</v>
      </c>
      <c r="Y64" s="45" t="s">
        <v>74</v>
      </c>
      <c r="Z64" s="49">
        <v>239000</v>
      </c>
      <c r="AA64" s="41">
        <v>1</v>
      </c>
      <c r="AB64" s="41">
        <v>104.59</v>
      </c>
      <c r="AC64" s="41">
        <v>0</v>
      </c>
      <c r="AD64" s="41">
        <v>249.9701</v>
      </c>
      <c r="AG64" s="38" t="s">
        <v>18</v>
      </c>
      <c r="AH64" s="46">
        <v>4.7800000000000002E-4</v>
      </c>
      <c r="AI64" s="46">
        <v>9.7248029174408744E-3</v>
      </c>
      <c r="AJ64" s="46">
        <v>1.8994999999999999E-3</v>
      </c>
    </row>
    <row r="65" spans="1:36" x14ac:dyDescent="0.2">
      <c r="A65" s="38">
        <v>420</v>
      </c>
      <c r="B65" s="38">
        <v>420</v>
      </c>
      <c r="C65" s="38" t="s">
        <v>396</v>
      </c>
      <c r="D65" s="38">
        <v>513754069</v>
      </c>
      <c r="E65" s="38" t="s">
        <v>150</v>
      </c>
      <c r="F65" s="45" t="s">
        <v>400</v>
      </c>
      <c r="G65" s="38" t="s">
        <v>401</v>
      </c>
      <c r="H65" s="38" t="s">
        <v>153</v>
      </c>
      <c r="I65" s="38" t="s">
        <v>154</v>
      </c>
      <c r="J65" s="38" t="s">
        <v>73</v>
      </c>
      <c r="K65" s="38" t="s">
        <v>73</v>
      </c>
      <c r="L65" s="38" t="s">
        <v>155</v>
      </c>
      <c r="M65" s="38" t="s">
        <v>103</v>
      </c>
      <c r="N65" s="38" t="s">
        <v>217</v>
      </c>
      <c r="O65" s="38" t="s">
        <v>74</v>
      </c>
      <c r="P65" s="38" t="s">
        <v>363</v>
      </c>
      <c r="Q65" s="38" t="s">
        <v>76</v>
      </c>
      <c r="R65" s="38" t="s">
        <v>158</v>
      </c>
      <c r="S65" s="38" t="s">
        <v>78</v>
      </c>
      <c r="T65" s="41">
        <v>7.2</v>
      </c>
      <c r="U65" s="61" t="s">
        <v>402</v>
      </c>
      <c r="V65" s="46">
        <v>5.3100000000000001E-2</v>
      </c>
      <c r="W65" s="46">
        <v>4.9399999999999999E-2</v>
      </c>
      <c r="X65" s="46" t="s">
        <v>160</v>
      </c>
      <c r="Y65" s="45" t="s">
        <v>74</v>
      </c>
      <c r="Z65" s="49">
        <v>152000</v>
      </c>
      <c r="AA65" s="41">
        <v>1</v>
      </c>
      <c r="AB65" s="41">
        <v>105.3</v>
      </c>
      <c r="AC65" s="41">
        <v>0</v>
      </c>
      <c r="AD65" s="41">
        <v>160.05600000000001</v>
      </c>
      <c r="AG65" s="38" t="s">
        <v>18</v>
      </c>
      <c r="AH65" s="46">
        <v>1.193E-4</v>
      </c>
      <c r="AI65" s="46">
        <v>6.2268018680405601E-3</v>
      </c>
      <c r="AJ65" s="46">
        <v>1.2163E-3</v>
      </c>
    </row>
    <row r="66" spans="1:36" x14ac:dyDescent="0.2">
      <c r="A66" s="38">
        <v>420</v>
      </c>
      <c r="B66" s="38">
        <v>420</v>
      </c>
      <c r="C66" s="38" t="s">
        <v>403</v>
      </c>
      <c r="D66" s="38">
        <v>520018078</v>
      </c>
      <c r="E66" s="38" t="s">
        <v>150</v>
      </c>
      <c r="F66" s="45" t="s">
        <v>404</v>
      </c>
      <c r="G66" s="38" t="s">
        <v>405</v>
      </c>
      <c r="H66" s="38" t="s">
        <v>153</v>
      </c>
      <c r="I66" s="38" t="s">
        <v>202</v>
      </c>
      <c r="J66" s="38" t="s">
        <v>73</v>
      </c>
      <c r="K66" s="38" t="s">
        <v>73</v>
      </c>
      <c r="L66" s="38" t="s">
        <v>155</v>
      </c>
      <c r="M66" s="38" t="s">
        <v>103</v>
      </c>
      <c r="N66" s="38" t="s">
        <v>223</v>
      </c>
      <c r="O66" s="38" t="s">
        <v>74</v>
      </c>
      <c r="P66" s="38" t="s">
        <v>363</v>
      </c>
      <c r="Q66" s="38" t="s">
        <v>76</v>
      </c>
      <c r="R66" s="38" t="s">
        <v>158</v>
      </c>
      <c r="S66" s="38" t="s">
        <v>78</v>
      </c>
      <c r="T66" s="41">
        <v>5.24</v>
      </c>
      <c r="U66" s="61" t="s">
        <v>406</v>
      </c>
      <c r="V66" s="46">
        <v>3.1E-2</v>
      </c>
      <c r="W66" s="46">
        <v>2.9399999999999999E-2</v>
      </c>
      <c r="X66" s="46" t="s">
        <v>160</v>
      </c>
      <c r="Y66" s="45" t="s">
        <v>74</v>
      </c>
      <c r="Z66" s="49">
        <v>180000</v>
      </c>
      <c r="AA66" s="41">
        <v>1</v>
      </c>
      <c r="AB66" s="41">
        <v>103.76</v>
      </c>
      <c r="AC66" s="41">
        <v>0</v>
      </c>
      <c r="AD66" s="41">
        <v>186.768</v>
      </c>
      <c r="AG66" s="38" t="s">
        <v>18</v>
      </c>
      <c r="AH66" s="46">
        <v>1.172E-4</v>
      </c>
      <c r="AI66" s="46">
        <v>7.2660021798006532E-3</v>
      </c>
      <c r="AJ66" s="46">
        <v>1.4192E-3</v>
      </c>
    </row>
    <row r="67" spans="1:36" x14ac:dyDescent="0.2">
      <c r="A67" s="38">
        <v>420</v>
      </c>
      <c r="B67" s="38">
        <v>420</v>
      </c>
      <c r="C67" s="38" t="s">
        <v>220</v>
      </c>
      <c r="D67" s="38">
        <v>520032046</v>
      </c>
      <c r="E67" s="38" t="s">
        <v>150</v>
      </c>
      <c r="F67" s="45" t="s">
        <v>407</v>
      </c>
      <c r="G67" s="38" t="s">
        <v>408</v>
      </c>
      <c r="H67" s="38" t="s">
        <v>153</v>
      </c>
      <c r="I67" s="38" t="s">
        <v>202</v>
      </c>
      <c r="J67" s="38" t="s">
        <v>73</v>
      </c>
      <c r="K67" s="38" t="s">
        <v>73</v>
      </c>
      <c r="L67" s="38" t="s">
        <v>155</v>
      </c>
      <c r="M67" s="38" t="s">
        <v>103</v>
      </c>
      <c r="N67" s="38" t="s">
        <v>223</v>
      </c>
      <c r="O67" s="38" t="s">
        <v>74</v>
      </c>
      <c r="P67" s="38" t="s">
        <v>363</v>
      </c>
      <c r="Q67" s="38" t="s">
        <v>76</v>
      </c>
      <c r="R67" s="38" t="s">
        <v>158</v>
      </c>
      <c r="S67" s="38" t="s">
        <v>78</v>
      </c>
      <c r="T67" s="41">
        <v>3.8</v>
      </c>
      <c r="U67" s="61" t="s">
        <v>409</v>
      </c>
      <c r="V67" s="46">
        <v>3.3599999999999998E-2</v>
      </c>
      <c r="W67" s="46">
        <v>2.7300000000000001E-2</v>
      </c>
      <c r="X67" s="46" t="s">
        <v>160</v>
      </c>
      <c r="Y67" s="45" t="s">
        <v>74</v>
      </c>
      <c r="Z67" s="49">
        <v>200000</v>
      </c>
      <c r="AA67" s="41">
        <v>1</v>
      </c>
      <c r="AB67" s="41">
        <v>107.56</v>
      </c>
      <c r="AC67" s="41">
        <v>0</v>
      </c>
      <c r="AD67" s="41">
        <v>215.12</v>
      </c>
      <c r="AG67" s="38" t="s">
        <v>18</v>
      </c>
      <c r="AH67" s="46">
        <v>1.7129999999999999E-4</v>
      </c>
      <c r="AI67" s="46">
        <v>8.3690025107007529E-3</v>
      </c>
      <c r="AJ67" s="46">
        <v>1.6347E-3</v>
      </c>
    </row>
    <row r="68" spans="1:36" x14ac:dyDescent="0.2">
      <c r="A68" s="38">
        <v>420</v>
      </c>
      <c r="B68" s="38">
        <v>420</v>
      </c>
      <c r="C68" s="38" t="s">
        <v>410</v>
      </c>
      <c r="D68" s="38">
        <v>1665</v>
      </c>
      <c r="E68" s="38" t="s">
        <v>150</v>
      </c>
      <c r="F68" s="45" t="s">
        <v>411</v>
      </c>
      <c r="G68" s="38" t="s">
        <v>412</v>
      </c>
      <c r="H68" s="38" t="s">
        <v>153</v>
      </c>
      <c r="I68" s="38" t="s">
        <v>154</v>
      </c>
      <c r="J68" s="38" t="s">
        <v>73</v>
      </c>
      <c r="K68" s="38" t="s">
        <v>73</v>
      </c>
      <c r="L68" s="38" t="s">
        <v>155</v>
      </c>
      <c r="M68" s="38" t="s">
        <v>103</v>
      </c>
      <c r="N68" s="38" t="s">
        <v>182</v>
      </c>
      <c r="O68" s="38" t="s">
        <v>74</v>
      </c>
      <c r="P68" s="38" t="s">
        <v>363</v>
      </c>
      <c r="Q68" s="38" t="s">
        <v>76</v>
      </c>
      <c r="R68" s="38" t="s">
        <v>158</v>
      </c>
      <c r="S68" s="38" t="s">
        <v>78</v>
      </c>
      <c r="T68" s="41">
        <v>4.4000000000000004</v>
      </c>
      <c r="U68" s="61" t="s">
        <v>413</v>
      </c>
      <c r="V68" s="46">
        <v>5.8000000000000003E-2</v>
      </c>
      <c r="W68" s="46">
        <v>5.57E-2</v>
      </c>
      <c r="X68" s="46" t="s">
        <v>160</v>
      </c>
      <c r="Y68" s="45" t="s">
        <v>74</v>
      </c>
      <c r="Z68" s="49">
        <v>219000</v>
      </c>
      <c r="AA68" s="41">
        <v>1</v>
      </c>
      <c r="AB68" s="41">
        <v>101.67</v>
      </c>
      <c r="AC68" s="41">
        <v>0</v>
      </c>
      <c r="AD68" s="41">
        <v>222.65729999999999</v>
      </c>
      <c r="AG68" s="38" t="s">
        <v>18</v>
      </c>
      <c r="AH68" s="46">
        <v>6.2569999999999998E-4</v>
      </c>
      <c r="AI68" s="46">
        <v>8.6622025986607797E-3</v>
      </c>
      <c r="AJ68" s="46">
        <v>1.6919999999999999E-3</v>
      </c>
    </row>
    <row r="69" spans="1:36" x14ac:dyDescent="0.2">
      <c r="A69" s="38">
        <v>420</v>
      </c>
      <c r="B69" s="38">
        <v>420</v>
      </c>
      <c r="C69" s="38" t="s">
        <v>414</v>
      </c>
      <c r="D69" s="38">
        <v>520000118</v>
      </c>
      <c r="E69" s="38" t="s">
        <v>150</v>
      </c>
      <c r="F69" s="45" t="s">
        <v>415</v>
      </c>
      <c r="G69" s="38" t="s">
        <v>416</v>
      </c>
      <c r="H69" s="38" t="s">
        <v>153</v>
      </c>
      <c r="I69" s="38" t="s">
        <v>202</v>
      </c>
      <c r="J69" s="38" t="s">
        <v>73</v>
      </c>
      <c r="K69" s="38" t="s">
        <v>73</v>
      </c>
      <c r="L69" s="38" t="s">
        <v>155</v>
      </c>
      <c r="M69" s="38" t="s">
        <v>103</v>
      </c>
      <c r="N69" s="38" t="s">
        <v>223</v>
      </c>
      <c r="O69" s="38" t="s">
        <v>74</v>
      </c>
      <c r="P69" s="38" t="s">
        <v>363</v>
      </c>
      <c r="Q69" s="38" t="s">
        <v>76</v>
      </c>
      <c r="R69" s="38" t="s">
        <v>158</v>
      </c>
      <c r="S69" s="38" t="s">
        <v>78</v>
      </c>
      <c r="T69" s="41">
        <v>4.0999999999999996</v>
      </c>
      <c r="U69" s="61" t="s">
        <v>417</v>
      </c>
      <c r="V69" s="46">
        <v>3.7100000000000001E-2</v>
      </c>
      <c r="W69" s="46">
        <v>2.86E-2</v>
      </c>
      <c r="X69" s="46" t="s">
        <v>160</v>
      </c>
      <c r="Y69" s="45" t="s">
        <v>74</v>
      </c>
      <c r="Z69" s="49">
        <v>200000</v>
      </c>
      <c r="AA69" s="41">
        <v>1</v>
      </c>
      <c r="AB69" s="41">
        <v>110.56</v>
      </c>
      <c r="AC69" s="41">
        <v>0</v>
      </c>
      <c r="AD69" s="41">
        <v>221.12</v>
      </c>
      <c r="AG69" s="38" t="s">
        <v>18</v>
      </c>
      <c r="AH69" s="46">
        <v>5.2059999999999997E-4</v>
      </c>
      <c r="AI69" s="46">
        <v>8.6024025807207739E-3</v>
      </c>
      <c r="AJ69" s="46">
        <v>1.6803E-3</v>
      </c>
    </row>
    <row r="70" spans="1:36" x14ac:dyDescent="0.2">
      <c r="A70" s="38">
        <v>420</v>
      </c>
      <c r="B70" s="38">
        <v>420</v>
      </c>
      <c r="C70" s="38" t="s">
        <v>414</v>
      </c>
      <c r="D70" s="38">
        <v>520000118</v>
      </c>
      <c r="E70" s="38" t="s">
        <v>150</v>
      </c>
      <c r="F70" s="45" t="s">
        <v>418</v>
      </c>
      <c r="G70" s="38" t="s">
        <v>419</v>
      </c>
      <c r="H70" s="38" t="s">
        <v>153</v>
      </c>
      <c r="I70" s="38" t="s">
        <v>202</v>
      </c>
      <c r="J70" s="38" t="s">
        <v>73</v>
      </c>
      <c r="K70" s="38" t="s">
        <v>73</v>
      </c>
      <c r="L70" s="38" t="s">
        <v>155</v>
      </c>
      <c r="M70" s="38" t="s">
        <v>103</v>
      </c>
      <c r="N70" s="38" t="s">
        <v>223</v>
      </c>
      <c r="O70" s="38" t="s">
        <v>74</v>
      </c>
      <c r="P70" s="38" t="s">
        <v>363</v>
      </c>
      <c r="Q70" s="38" t="s">
        <v>76</v>
      </c>
      <c r="R70" s="38" t="s">
        <v>158</v>
      </c>
      <c r="S70" s="38" t="s">
        <v>78</v>
      </c>
      <c r="T70" s="41">
        <v>6.56</v>
      </c>
      <c r="U70" s="61" t="s">
        <v>420</v>
      </c>
      <c r="V70" s="46">
        <v>3.4500000000000003E-2</v>
      </c>
      <c r="W70" s="46">
        <v>2.9000000000000001E-2</v>
      </c>
      <c r="X70" s="46" t="s">
        <v>160</v>
      </c>
      <c r="Y70" s="45" t="s">
        <v>74</v>
      </c>
      <c r="Z70" s="49">
        <v>200000</v>
      </c>
      <c r="AA70" s="41">
        <v>1</v>
      </c>
      <c r="AB70" s="41">
        <v>106.85</v>
      </c>
      <c r="AC70" s="41">
        <v>0</v>
      </c>
      <c r="AD70" s="41">
        <v>213.7</v>
      </c>
      <c r="AG70" s="38" t="s">
        <v>18</v>
      </c>
      <c r="AH70" s="46">
        <v>1.3579999999999999E-4</v>
      </c>
      <c r="AI70" s="46">
        <v>8.313702494110748E-3</v>
      </c>
      <c r="AJ70" s="46">
        <v>1.6239E-3</v>
      </c>
    </row>
    <row r="71" spans="1:36" x14ac:dyDescent="0.2">
      <c r="A71" s="38">
        <v>420</v>
      </c>
      <c r="B71" s="38">
        <v>420</v>
      </c>
      <c r="C71" s="38" t="s">
        <v>421</v>
      </c>
      <c r="D71" s="38">
        <v>510216054</v>
      </c>
      <c r="E71" s="38" t="s">
        <v>150</v>
      </c>
      <c r="F71" s="45" t="s">
        <v>422</v>
      </c>
      <c r="G71" s="38" t="s">
        <v>423</v>
      </c>
      <c r="H71" s="38" t="s">
        <v>153</v>
      </c>
      <c r="I71" s="38" t="s">
        <v>202</v>
      </c>
      <c r="J71" s="38" t="s">
        <v>73</v>
      </c>
      <c r="K71" s="38" t="s">
        <v>73</v>
      </c>
      <c r="L71" s="38" t="s">
        <v>155</v>
      </c>
      <c r="M71" s="38" t="s">
        <v>103</v>
      </c>
      <c r="N71" s="38" t="s">
        <v>203</v>
      </c>
      <c r="O71" s="38" t="s">
        <v>74</v>
      </c>
      <c r="P71" s="38" t="s">
        <v>363</v>
      </c>
      <c r="Q71" s="38" t="s">
        <v>76</v>
      </c>
      <c r="R71" s="38" t="s">
        <v>158</v>
      </c>
      <c r="S71" s="38" t="s">
        <v>78</v>
      </c>
      <c r="T71" s="41">
        <v>2.85</v>
      </c>
      <c r="U71" s="61" t="s">
        <v>424</v>
      </c>
      <c r="V71" s="46">
        <v>1.23E-2</v>
      </c>
      <c r="W71" s="46">
        <v>2.76E-2</v>
      </c>
      <c r="X71" s="46" t="s">
        <v>160</v>
      </c>
      <c r="Y71" s="45" t="s">
        <v>74</v>
      </c>
      <c r="Z71" s="49">
        <v>132532.59</v>
      </c>
      <c r="AA71" s="41">
        <v>1</v>
      </c>
      <c r="AB71" s="41">
        <v>112.88</v>
      </c>
      <c r="AC71" s="41">
        <v>0</v>
      </c>
      <c r="AD71" s="41">
        <v>149.60278</v>
      </c>
      <c r="AG71" s="38" t="s">
        <v>18</v>
      </c>
      <c r="AH71" s="46">
        <v>1.383E-4</v>
      </c>
      <c r="AI71" s="46">
        <v>5.8201017460305232E-3</v>
      </c>
      <c r="AJ71" s="46">
        <v>1.1368000000000001E-3</v>
      </c>
    </row>
    <row r="72" spans="1:36" x14ac:dyDescent="0.2">
      <c r="A72" s="38">
        <v>420</v>
      </c>
      <c r="B72" s="38">
        <v>420</v>
      </c>
      <c r="C72" s="38" t="s">
        <v>209</v>
      </c>
      <c r="D72" s="38">
        <v>510960719</v>
      </c>
      <c r="E72" s="38" t="s">
        <v>150</v>
      </c>
      <c r="F72" s="45" t="s">
        <v>425</v>
      </c>
      <c r="G72" s="38" t="s">
        <v>426</v>
      </c>
      <c r="H72" s="38" t="s">
        <v>153</v>
      </c>
      <c r="I72" s="38" t="s">
        <v>202</v>
      </c>
      <c r="J72" s="38" t="s">
        <v>73</v>
      </c>
      <c r="K72" s="38" t="s">
        <v>73</v>
      </c>
      <c r="L72" s="38" t="s">
        <v>155</v>
      </c>
      <c r="M72" s="38" t="s">
        <v>103</v>
      </c>
      <c r="N72" s="38" t="s">
        <v>173</v>
      </c>
      <c r="O72" s="38" t="s">
        <v>74</v>
      </c>
      <c r="P72" s="38" t="s">
        <v>427</v>
      </c>
      <c r="Q72" s="38" t="s">
        <v>76</v>
      </c>
      <c r="R72" s="38" t="s">
        <v>158</v>
      </c>
      <c r="S72" s="38" t="s">
        <v>78</v>
      </c>
      <c r="T72" s="41">
        <v>6.42</v>
      </c>
      <c r="U72" s="61" t="s">
        <v>428</v>
      </c>
      <c r="V72" s="46">
        <v>8.9999999999999993E-3</v>
      </c>
      <c r="W72" s="46">
        <v>2.8400000000000002E-2</v>
      </c>
      <c r="X72" s="46" t="s">
        <v>160</v>
      </c>
      <c r="Y72" s="45" t="s">
        <v>74</v>
      </c>
      <c r="Z72" s="49">
        <v>127346.93</v>
      </c>
      <c r="AA72" s="41">
        <v>1</v>
      </c>
      <c r="AB72" s="41">
        <v>101.93</v>
      </c>
      <c r="AC72" s="41">
        <v>3.7336999999999998</v>
      </c>
      <c r="AD72" s="41">
        <v>133.53842</v>
      </c>
      <c r="AG72" s="38" t="s">
        <v>18</v>
      </c>
      <c r="AH72" s="46">
        <v>4.7200000000000002E-5</v>
      </c>
      <c r="AI72" s="46">
        <v>5.049901514970455E-3</v>
      </c>
      <c r="AJ72" s="46">
        <v>9.8639999999999991E-4</v>
      </c>
    </row>
    <row r="73" spans="1:36" x14ac:dyDescent="0.2">
      <c r="A73" s="38">
        <v>420</v>
      </c>
      <c r="B73" s="38">
        <v>420</v>
      </c>
      <c r="C73" s="38" t="s">
        <v>209</v>
      </c>
      <c r="D73" s="38">
        <v>510960719</v>
      </c>
      <c r="E73" s="38" t="s">
        <v>150</v>
      </c>
      <c r="F73" s="45" t="s">
        <v>429</v>
      </c>
      <c r="G73" s="38" t="s">
        <v>430</v>
      </c>
      <c r="H73" s="38" t="s">
        <v>153</v>
      </c>
      <c r="I73" s="38" t="s">
        <v>202</v>
      </c>
      <c r="J73" s="38" t="s">
        <v>73</v>
      </c>
      <c r="K73" s="38" t="s">
        <v>73</v>
      </c>
      <c r="L73" s="38" t="s">
        <v>155</v>
      </c>
      <c r="M73" s="38" t="s">
        <v>103</v>
      </c>
      <c r="N73" s="38" t="s">
        <v>173</v>
      </c>
      <c r="O73" s="38" t="s">
        <v>74</v>
      </c>
      <c r="P73" s="38" t="s">
        <v>427</v>
      </c>
      <c r="Q73" s="38" t="s">
        <v>76</v>
      </c>
      <c r="R73" s="38" t="s">
        <v>158</v>
      </c>
      <c r="S73" s="38" t="s">
        <v>78</v>
      </c>
      <c r="T73" s="41">
        <v>9.8800000000000008</v>
      </c>
      <c r="U73" s="61" t="s">
        <v>431</v>
      </c>
      <c r="V73" s="46">
        <v>1.6899999999999998E-2</v>
      </c>
      <c r="W73" s="46">
        <v>2.9499999999999998E-2</v>
      </c>
      <c r="X73" s="46" t="s">
        <v>160</v>
      </c>
      <c r="Y73" s="45" t="s">
        <v>74</v>
      </c>
      <c r="Z73" s="49">
        <v>277502</v>
      </c>
      <c r="AA73" s="41">
        <v>1</v>
      </c>
      <c r="AB73" s="41">
        <v>102.05</v>
      </c>
      <c r="AC73" s="41">
        <v>2.7038000000000002</v>
      </c>
      <c r="AD73" s="41">
        <v>283.19078999999999</v>
      </c>
      <c r="AG73" s="38" t="s">
        <v>18</v>
      </c>
      <c r="AH73" s="46">
        <v>6.3600000000000001E-5</v>
      </c>
      <c r="AI73" s="46">
        <v>1.101720330516099E-2</v>
      </c>
      <c r="AJ73" s="46">
        <v>2.1519E-3</v>
      </c>
    </row>
    <row r="74" spans="1:36" x14ac:dyDescent="0.2">
      <c r="A74" s="38">
        <v>420</v>
      </c>
      <c r="B74" s="38">
        <v>420</v>
      </c>
      <c r="C74" s="38" t="s">
        <v>373</v>
      </c>
      <c r="D74" s="38">
        <v>520029935</v>
      </c>
      <c r="E74" s="38" t="s">
        <v>150</v>
      </c>
      <c r="F74" s="45" t="s">
        <v>432</v>
      </c>
      <c r="G74" s="38" t="s">
        <v>433</v>
      </c>
      <c r="H74" s="38" t="s">
        <v>153</v>
      </c>
      <c r="I74" s="38" t="s">
        <v>202</v>
      </c>
      <c r="J74" s="38" t="s">
        <v>73</v>
      </c>
      <c r="K74" s="38" t="s">
        <v>73</v>
      </c>
      <c r="L74" s="38" t="s">
        <v>155</v>
      </c>
      <c r="M74" s="38" t="s">
        <v>103</v>
      </c>
      <c r="N74" s="38" t="s">
        <v>223</v>
      </c>
      <c r="O74" s="38" t="s">
        <v>74</v>
      </c>
      <c r="P74" s="38" t="s">
        <v>75</v>
      </c>
      <c r="Q74" s="38" t="s">
        <v>76</v>
      </c>
      <c r="R74" s="38" t="s">
        <v>158</v>
      </c>
      <c r="S74" s="38" t="s">
        <v>78</v>
      </c>
      <c r="T74" s="41">
        <v>3.5</v>
      </c>
      <c r="U74" s="61" t="s">
        <v>434</v>
      </c>
      <c r="V74" s="46">
        <v>2E-3</v>
      </c>
      <c r="W74" s="46">
        <v>2.5999999999999999E-2</v>
      </c>
      <c r="X74" s="46" t="s">
        <v>160</v>
      </c>
      <c r="Y74" s="45" t="s">
        <v>74</v>
      </c>
      <c r="Z74" s="49">
        <v>307894.74</v>
      </c>
      <c r="AA74" s="41">
        <v>1</v>
      </c>
      <c r="AB74" s="41">
        <v>105.05</v>
      </c>
      <c r="AC74" s="41">
        <v>0</v>
      </c>
      <c r="AD74" s="41">
        <v>323.44342</v>
      </c>
      <c r="AG74" s="38" t="s">
        <v>18</v>
      </c>
      <c r="AH74" s="46">
        <v>9.0299999999999999E-5</v>
      </c>
      <c r="AI74" s="46">
        <v>1.2583203774961131E-2</v>
      </c>
      <c r="AJ74" s="46">
        <v>2.4578E-3</v>
      </c>
    </row>
    <row r="75" spans="1:36" x14ac:dyDescent="0.2">
      <c r="A75" s="38">
        <v>420</v>
      </c>
      <c r="B75" s="38">
        <v>420</v>
      </c>
      <c r="C75" s="38" t="s">
        <v>373</v>
      </c>
      <c r="D75" s="38">
        <v>520029935</v>
      </c>
      <c r="E75" s="38" t="s">
        <v>150</v>
      </c>
      <c r="F75" s="45" t="s">
        <v>435</v>
      </c>
      <c r="G75" s="38" t="s">
        <v>436</v>
      </c>
      <c r="H75" s="38" t="s">
        <v>153</v>
      </c>
      <c r="I75" s="38" t="s">
        <v>202</v>
      </c>
      <c r="J75" s="38" t="s">
        <v>73</v>
      </c>
      <c r="K75" s="38" t="s">
        <v>73</v>
      </c>
      <c r="L75" s="38" t="s">
        <v>155</v>
      </c>
      <c r="M75" s="38" t="s">
        <v>103</v>
      </c>
      <c r="N75" s="38" t="s">
        <v>223</v>
      </c>
      <c r="O75" s="38" t="s">
        <v>74</v>
      </c>
      <c r="P75" s="38" t="s">
        <v>75</v>
      </c>
      <c r="Q75" s="38" t="s">
        <v>76</v>
      </c>
      <c r="R75" s="38" t="s">
        <v>158</v>
      </c>
      <c r="S75" s="38" t="s">
        <v>78</v>
      </c>
      <c r="T75" s="41">
        <v>4.82</v>
      </c>
      <c r="U75" s="61" t="s">
        <v>437</v>
      </c>
      <c r="V75" s="46">
        <v>2.4E-2</v>
      </c>
      <c r="W75" s="46">
        <v>2.5999999999999999E-2</v>
      </c>
      <c r="X75" s="46" t="s">
        <v>160</v>
      </c>
      <c r="Y75" s="45" t="s">
        <v>74</v>
      </c>
      <c r="Z75" s="49">
        <v>300000</v>
      </c>
      <c r="AA75" s="41">
        <v>1</v>
      </c>
      <c r="AB75" s="41">
        <v>101.7</v>
      </c>
      <c r="AC75" s="41">
        <v>0</v>
      </c>
      <c r="AD75" s="41">
        <v>305.10000000000002</v>
      </c>
      <c r="AG75" s="38" t="s">
        <v>18</v>
      </c>
      <c r="AH75" s="46">
        <v>1.362E-4</v>
      </c>
      <c r="AI75" s="46">
        <v>1.1869603560881067E-2</v>
      </c>
      <c r="AJ75" s="46">
        <v>2.3184E-3</v>
      </c>
    </row>
    <row r="76" spans="1:36" x14ac:dyDescent="0.2">
      <c r="A76" s="38">
        <v>420</v>
      </c>
      <c r="B76" s="38">
        <v>420</v>
      </c>
      <c r="C76" s="38" t="s">
        <v>438</v>
      </c>
      <c r="D76" s="38">
        <v>520000472</v>
      </c>
      <c r="E76" s="38" t="s">
        <v>150</v>
      </c>
      <c r="F76" s="45" t="s">
        <v>439</v>
      </c>
      <c r="G76" s="38" t="s">
        <v>440</v>
      </c>
      <c r="H76" s="38" t="s">
        <v>153</v>
      </c>
      <c r="I76" s="38" t="s">
        <v>202</v>
      </c>
      <c r="J76" s="38" t="s">
        <v>73</v>
      </c>
      <c r="K76" s="38" t="s">
        <v>73</v>
      </c>
      <c r="L76" s="38" t="s">
        <v>155</v>
      </c>
      <c r="M76" s="38" t="s">
        <v>103</v>
      </c>
      <c r="N76" s="38" t="s">
        <v>203</v>
      </c>
      <c r="O76" s="38" t="s">
        <v>74</v>
      </c>
      <c r="P76" s="38" t="s">
        <v>75</v>
      </c>
      <c r="Q76" s="38" t="s">
        <v>76</v>
      </c>
      <c r="R76" s="38" t="s">
        <v>158</v>
      </c>
      <c r="S76" s="38" t="s">
        <v>78</v>
      </c>
      <c r="T76" s="41">
        <v>0.65</v>
      </c>
      <c r="U76" s="61" t="s">
        <v>441</v>
      </c>
      <c r="V76" s="46">
        <v>4.4999999999999998E-2</v>
      </c>
      <c r="W76" s="46">
        <v>2.9700000000000001E-2</v>
      </c>
      <c r="X76" s="46" t="s">
        <v>160</v>
      </c>
      <c r="Y76" s="45" t="s">
        <v>74</v>
      </c>
      <c r="Z76" s="49">
        <v>1005948.5</v>
      </c>
      <c r="AA76" s="41">
        <v>1</v>
      </c>
      <c r="AB76" s="41">
        <v>121.68</v>
      </c>
      <c r="AC76" s="41">
        <v>0</v>
      </c>
      <c r="AD76" s="41">
        <v>1224.0381299999999</v>
      </c>
      <c r="AG76" s="38" t="s">
        <v>18</v>
      </c>
      <c r="AH76" s="46">
        <v>6.8070000000000001E-4</v>
      </c>
      <c r="AI76" s="46">
        <v>4.7619814285944279E-2</v>
      </c>
      <c r="AJ76" s="46">
        <v>9.3013999999999996E-3</v>
      </c>
    </row>
    <row r="77" spans="1:36" x14ac:dyDescent="0.2">
      <c r="A77" s="38">
        <v>420</v>
      </c>
      <c r="B77" s="38">
        <v>420</v>
      </c>
      <c r="C77" s="38" t="s">
        <v>438</v>
      </c>
      <c r="D77" s="38">
        <v>520000472</v>
      </c>
      <c r="E77" s="38" t="s">
        <v>150</v>
      </c>
      <c r="F77" s="45" t="s">
        <v>442</v>
      </c>
      <c r="G77" s="38" t="s">
        <v>443</v>
      </c>
      <c r="H77" s="38" t="s">
        <v>153</v>
      </c>
      <c r="I77" s="38" t="s">
        <v>202</v>
      </c>
      <c r="J77" s="38" t="s">
        <v>73</v>
      </c>
      <c r="K77" s="38" t="s">
        <v>73</v>
      </c>
      <c r="L77" s="38" t="s">
        <v>155</v>
      </c>
      <c r="M77" s="38" t="s">
        <v>103</v>
      </c>
      <c r="N77" s="38" t="s">
        <v>203</v>
      </c>
      <c r="O77" s="38" t="s">
        <v>74</v>
      </c>
      <c r="P77" s="38" t="s">
        <v>75</v>
      </c>
      <c r="Q77" s="38" t="s">
        <v>76</v>
      </c>
      <c r="R77" s="38" t="s">
        <v>158</v>
      </c>
      <c r="S77" s="38" t="s">
        <v>78</v>
      </c>
      <c r="T77" s="41">
        <v>7.14</v>
      </c>
      <c r="U77" s="61" t="s">
        <v>444</v>
      </c>
      <c r="V77" s="46">
        <v>0.03</v>
      </c>
      <c r="W77" s="46">
        <v>2.5999999999999999E-2</v>
      </c>
      <c r="X77" s="46" t="s">
        <v>160</v>
      </c>
      <c r="Y77" s="45" t="s">
        <v>74</v>
      </c>
      <c r="Z77" s="49">
        <v>385000</v>
      </c>
      <c r="AA77" s="41">
        <v>1</v>
      </c>
      <c r="AB77" s="41">
        <v>109.5</v>
      </c>
      <c r="AC77" s="41">
        <v>0</v>
      </c>
      <c r="AD77" s="41">
        <v>421.57499999999999</v>
      </c>
      <c r="AG77" s="38" t="s">
        <v>18</v>
      </c>
      <c r="AH77" s="46">
        <v>9.4300000000000002E-5</v>
      </c>
      <c r="AI77" s="46">
        <v>1.6400904920271474E-2</v>
      </c>
      <c r="AJ77" s="46">
        <v>3.2035000000000002E-3</v>
      </c>
    </row>
    <row r="78" spans="1:36" x14ac:dyDescent="0.2">
      <c r="A78" s="38">
        <v>420</v>
      </c>
      <c r="B78" s="38">
        <v>420</v>
      </c>
      <c r="C78" s="38" t="s">
        <v>438</v>
      </c>
      <c r="D78" s="38">
        <v>520000472</v>
      </c>
      <c r="E78" s="38" t="s">
        <v>150</v>
      </c>
      <c r="F78" s="45" t="s">
        <v>445</v>
      </c>
      <c r="G78" s="38" t="s">
        <v>446</v>
      </c>
      <c r="H78" s="38" t="s">
        <v>153</v>
      </c>
      <c r="I78" s="38" t="s">
        <v>202</v>
      </c>
      <c r="J78" s="38" t="s">
        <v>73</v>
      </c>
      <c r="K78" s="38" t="s">
        <v>73</v>
      </c>
      <c r="L78" s="38" t="s">
        <v>155</v>
      </c>
      <c r="M78" s="38" t="s">
        <v>103</v>
      </c>
      <c r="N78" s="38" t="s">
        <v>203</v>
      </c>
      <c r="O78" s="38" t="s">
        <v>74</v>
      </c>
      <c r="P78" s="38" t="s">
        <v>75</v>
      </c>
      <c r="Q78" s="38" t="s">
        <v>76</v>
      </c>
      <c r="R78" s="38" t="s">
        <v>158</v>
      </c>
      <c r="S78" s="38" t="s">
        <v>78</v>
      </c>
      <c r="T78" s="41">
        <v>10.06</v>
      </c>
      <c r="U78" s="61" t="s">
        <v>447</v>
      </c>
      <c r="V78" s="46">
        <v>3.2000000000000001E-2</v>
      </c>
      <c r="W78" s="46">
        <v>2.8000000000000001E-2</v>
      </c>
      <c r="X78" s="46" t="s">
        <v>160</v>
      </c>
      <c r="Y78" s="45" t="s">
        <v>74</v>
      </c>
      <c r="Z78" s="49">
        <v>400000</v>
      </c>
      <c r="AA78" s="41">
        <v>1</v>
      </c>
      <c r="AB78" s="41">
        <v>110.87</v>
      </c>
      <c r="AC78" s="41">
        <v>0</v>
      </c>
      <c r="AD78" s="41">
        <v>443.48</v>
      </c>
      <c r="AG78" s="38" t="s">
        <v>18</v>
      </c>
      <c r="AH78" s="46">
        <v>8.1199999999999995E-5</v>
      </c>
      <c r="AI78" s="46">
        <v>1.7253105175931552E-2</v>
      </c>
      <c r="AJ78" s="46">
        <v>3.3700000000000002E-3</v>
      </c>
    </row>
    <row r="79" spans="1:36" x14ac:dyDescent="0.2">
      <c r="A79" s="38">
        <v>420</v>
      </c>
      <c r="B79" s="38">
        <v>420</v>
      </c>
      <c r="C79" s="38" t="s">
        <v>438</v>
      </c>
      <c r="D79" s="38">
        <v>520000472</v>
      </c>
      <c r="E79" s="38" t="s">
        <v>150</v>
      </c>
      <c r="F79" s="45" t="s">
        <v>448</v>
      </c>
      <c r="G79" s="38" t="s">
        <v>449</v>
      </c>
      <c r="H79" s="38" t="s">
        <v>153</v>
      </c>
      <c r="I79" s="38" t="s">
        <v>202</v>
      </c>
      <c r="J79" s="38" t="s">
        <v>73</v>
      </c>
      <c r="K79" s="38" t="s">
        <v>73</v>
      </c>
      <c r="L79" s="38" t="s">
        <v>155</v>
      </c>
      <c r="M79" s="38" t="s">
        <v>103</v>
      </c>
      <c r="N79" s="38" t="s">
        <v>253</v>
      </c>
      <c r="O79" s="38" t="s">
        <v>74</v>
      </c>
      <c r="P79" s="38" t="s">
        <v>75</v>
      </c>
      <c r="Q79" s="38" t="s">
        <v>76</v>
      </c>
      <c r="R79" s="38" t="s">
        <v>158</v>
      </c>
      <c r="S79" s="38" t="s">
        <v>78</v>
      </c>
      <c r="T79" s="41">
        <v>7.84</v>
      </c>
      <c r="U79" s="61" t="s">
        <v>450</v>
      </c>
      <c r="V79" s="46">
        <v>2.9899999999999999E-2</v>
      </c>
      <c r="W79" s="46">
        <v>2.76E-2</v>
      </c>
      <c r="X79" s="46" t="s">
        <v>160</v>
      </c>
      <c r="Y79" s="45" t="s">
        <v>74</v>
      </c>
      <c r="Z79" s="49">
        <v>28000</v>
      </c>
      <c r="AA79" s="41">
        <v>1</v>
      </c>
      <c r="AB79" s="41">
        <v>103.17</v>
      </c>
      <c r="AC79" s="41">
        <v>0</v>
      </c>
      <c r="AD79" s="41">
        <v>28.887599999999999</v>
      </c>
      <c r="AG79" s="38" t="s">
        <v>18</v>
      </c>
      <c r="AH79" s="46">
        <v>7.2299999999999996E-5</v>
      </c>
      <c r="AI79" s="46">
        <v>1.1238003371401011E-3</v>
      </c>
      <c r="AJ79" s="46">
        <v>2.195E-4</v>
      </c>
    </row>
    <row r="80" spans="1:36" x14ac:dyDescent="0.2">
      <c r="A80" s="38">
        <v>420</v>
      </c>
      <c r="B80" s="38">
        <v>420</v>
      </c>
      <c r="C80" s="38" t="s">
        <v>403</v>
      </c>
      <c r="D80" s="38">
        <v>520018078</v>
      </c>
      <c r="E80" s="38" t="s">
        <v>150</v>
      </c>
      <c r="F80" s="45" t="s">
        <v>451</v>
      </c>
      <c r="G80" s="38" t="s">
        <v>452</v>
      </c>
      <c r="H80" s="38" t="s">
        <v>153</v>
      </c>
      <c r="I80" s="38" t="s">
        <v>202</v>
      </c>
      <c r="J80" s="38" t="s">
        <v>73</v>
      </c>
      <c r="K80" s="38" t="s">
        <v>73</v>
      </c>
      <c r="L80" s="38" t="s">
        <v>155</v>
      </c>
      <c r="M80" s="38" t="s">
        <v>103</v>
      </c>
      <c r="N80" s="38" t="s">
        <v>223</v>
      </c>
      <c r="O80" s="38" t="s">
        <v>74</v>
      </c>
      <c r="P80" s="38" t="s">
        <v>75</v>
      </c>
      <c r="Q80" s="38" t="s">
        <v>76</v>
      </c>
      <c r="R80" s="38" t="s">
        <v>158</v>
      </c>
      <c r="S80" s="38" t="s">
        <v>78</v>
      </c>
      <c r="T80" s="41">
        <v>4.3899999999999997</v>
      </c>
      <c r="U80" s="61" t="s">
        <v>453</v>
      </c>
      <c r="V80" s="46">
        <v>1E-3</v>
      </c>
      <c r="W80" s="46">
        <v>2.58E-2</v>
      </c>
      <c r="X80" s="46" t="s">
        <v>160</v>
      </c>
      <c r="Y80" s="45" t="s">
        <v>74</v>
      </c>
      <c r="Z80" s="49">
        <v>385427</v>
      </c>
      <c r="AA80" s="41">
        <v>1</v>
      </c>
      <c r="AB80" s="41">
        <v>102.6</v>
      </c>
      <c r="AC80" s="41">
        <v>0</v>
      </c>
      <c r="AD80" s="41">
        <v>395.44810000000001</v>
      </c>
      <c r="AG80" s="38" t="s">
        <v>18</v>
      </c>
      <c r="AH80" s="46">
        <v>8.9800000000000001E-5</v>
      </c>
      <c r="AI80" s="46">
        <v>1.5384404615321383E-2</v>
      </c>
      <c r="AJ80" s="46">
        <v>3.0049999999999999E-3</v>
      </c>
    </row>
    <row r="81" spans="1:36" x14ac:dyDescent="0.2">
      <c r="A81" s="38">
        <v>420</v>
      </c>
      <c r="B81" s="38">
        <v>420</v>
      </c>
      <c r="C81" s="38" t="s">
        <v>403</v>
      </c>
      <c r="D81" s="38">
        <v>520018078</v>
      </c>
      <c r="E81" s="38" t="s">
        <v>150</v>
      </c>
      <c r="F81" s="45" t="s">
        <v>454</v>
      </c>
      <c r="G81" s="38" t="s">
        <v>455</v>
      </c>
      <c r="H81" s="38" t="s">
        <v>153</v>
      </c>
      <c r="I81" s="38" t="s">
        <v>202</v>
      </c>
      <c r="J81" s="38" t="s">
        <v>73</v>
      </c>
      <c r="K81" s="38" t="s">
        <v>73</v>
      </c>
      <c r="L81" s="38" t="s">
        <v>155</v>
      </c>
      <c r="M81" s="38" t="s">
        <v>103</v>
      </c>
      <c r="N81" s="38" t="s">
        <v>223</v>
      </c>
      <c r="O81" s="38" t="s">
        <v>74</v>
      </c>
      <c r="P81" s="38" t="s">
        <v>75</v>
      </c>
      <c r="Q81" s="38" t="s">
        <v>76</v>
      </c>
      <c r="R81" s="38" t="s">
        <v>158</v>
      </c>
      <c r="S81" s="38" t="s">
        <v>78</v>
      </c>
      <c r="T81" s="41">
        <v>4.3899999999999997</v>
      </c>
      <c r="U81" s="61" t="s">
        <v>376</v>
      </c>
      <c r="V81" s="46">
        <v>2.0199999999999999E-2</v>
      </c>
      <c r="W81" s="46">
        <v>2.63E-2</v>
      </c>
      <c r="X81" s="46" t="s">
        <v>160</v>
      </c>
      <c r="Y81" s="45" t="s">
        <v>74</v>
      </c>
      <c r="Z81" s="49">
        <v>520000</v>
      </c>
      <c r="AA81" s="41">
        <v>1</v>
      </c>
      <c r="AB81" s="41">
        <v>102.52</v>
      </c>
      <c r="AC81" s="41">
        <v>0</v>
      </c>
      <c r="AD81" s="41">
        <v>533.10400000000004</v>
      </c>
      <c r="AG81" s="38" t="s">
        <v>18</v>
      </c>
      <c r="AH81" s="46">
        <v>1.4569999999999999E-4</v>
      </c>
      <c r="AI81" s="46">
        <v>2.0739806221941864E-2</v>
      </c>
      <c r="AJ81" s="46">
        <v>4.0509999999999999E-3</v>
      </c>
    </row>
    <row r="82" spans="1:36" x14ac:dyDescent="0.2">
      <c r="A82" s="38">
        <v>420</v>
      </c>
      <c r="B82" s="38">
        <v>420</v>
      </c>
      <c r="C82" s="38" t="s">
        <v>220</v>
      </c>
      <c r="D82" s="38">
        <v>520032046</v>
      </c>
      <c r="E82" s="38" t="s">
        <v>150</v>
      </c>
      <c r="F82" s="45" t="s">
        <v>456</v>
      </c>
      <c r="G82" s="38" t="s">
        <v>457</v>
      </c>
      <c r="H82" s="38" t="s">
        <v>153</v>
      </c>
      <c r="I82" s="38" t="s">
        <v>202</v>
      </c>
      <c r="J82" s="38" t="s">
        <v>73</v>
      </c>
      <c r="K82" s="38" t="s">
        <v>73</v>
      </c>
      <c r="L82" s="38" t="s">
        <v>155</v>
      </c>
      <c r="M82" s="38" t="s">
        <v>103</v>
      </c>
      <c r="N82" s="38" t="s">
        <v>223</v>
      </c>
      <c r="O82" s="38" t="s">
        <v>74</v>
      </c>
      <c r="P82" s="38" t="s">
        <v>75</v>
      </c>
      <c r="Q82" s="38" t="s">
        <v>76</v>
      </c>
      <c r="R82" s="38" t="s">
        <v>158</v>
      </c>
      <c r="S82" s="38" t="s">
        <v>78</v>
      </c>
      <c r="T82" s="41">
        <v>2.21</v>
      </c>
      <c r="U82" s="61" t="s">
        <v>458</v>
      </c>
      <c r="V82" s="46">
        <v>1.2200000000000001E-2</v>
      </c>
      <c r="W82" s="46">
        <v>2.5000000000000001E-2</v>
      </c>
      <c r="X82" s="46" t="s">
        <v>160</v>
      </c>
      <c r="Y82" s="45" t="s">
        <v>74</v>
      </c>
      <c r="Z82" s="49">
        <v>701729</v>
      </c>
      <c r="AA82" s="41">
        <v>1</v>
      </c>
      <c r="AB82" s="41">
        <v>116.02</v>
      </c>
      <c r="AC82" s="41">
        <v>0</v>
      </c>
      <c r="AD82" s="41">
        <v>814.14598000000001</v>
      </c>
      <c r="AG82" s="38" t="s">
        <v>18</v>
      </c>
      <c r="AH82" s="46">
        <v>2.3259999999999999E-4</v>
      </c>
      <c r="AI82" s="46">
        <v>3.1673409502022846E-2</v>
      </c>
      <c r="AJ82" s="46">
        <v>6.1866000000000004E-3</v>
      </c>
    </row>
    <row r="83" spans="1:36" x14ac:dyDescent="0.2">
      <c r="A83" s="38">
        <v>420</v>
      </c>
      <c r="B83" s="38">
        <v>420</v>
      </c>
      <c r="C83" s="38" t="s">
        <v>220</v>
      </c>
      <c r="D83" s="38">
        <v>520032046</v>
      </c>
      <c r="E83" s="38" t="s">
        <v>150</v>
      </c>
      <c r="F83" s="45" t="s">
        <v>459</v>
      </c>
      <c r="G83" s="38" t="s">
        <v>460</v>
      </c>
      <c r="H83" s="38" t="s">
        <v>153</v>
      </c>
      <c r="I83" s="38" t="s">
        <v>202</v>
      </c>
      <c r="J83" s="38" t="s">
        <v>73</v>
      </c>
      <c r="K83" s="38" t="s">
        <v>73</v>
      </c>
      <c r="L83" s="38" t="s">
        <v>155</v>
      </c>
      <c r="M83" s="38" t="s">
        <v>103</v>
      </c>
      <c r="N83" s="38" t="s">
        <v>223</v>
      </c>
      <c r="O83" s="38" t="s">
        <v>74</v>
      </c>
      <c r="P83" s="38" t="s">
        <v>75</v>
      </c>
      <c r="Q83" s="38" t="s">
        <v>76</v>
      </c>
      <c r="R83" s="38" t="s">
        <v>158</v>
      </c>
      <c r="S83" s="38" t="s">
        <v>78</v>
      </c>
      <c r="T83" s="41">
        <v>4.9800000000000004</v>
      </c>
      <c r="U83" s="61" t="s">
        <v>461</v>
      </c>
      <c r="V83" s="46">
        <v>2E-3</v>
      </c>
      <c r="W83" s="46">
        <v>2.6100000000000002E-2</v>
      </c>
      <c r="X83" s="46" t="s">
        <v>160</v>
      </c>
      <c r="Y83" s="45" t="s">
        <v>74</v>
      </c>
      <c r="Z83" s="49">
        <v>130000</v>
      </c>
      <c r="AA83" s="41">
        <v>1</v>
      </c>
      <c r="AB83" s="41">
        <v>104.05</v>
      </c>
      <c r="AC83" s="41">
        <v>0.30459999999999998</v>
      </c>
      <c r="AD83" s="41">
        <v>135.26499999999999</v>
      </c>
      <c r="AG83" s="38" t="s">
        <v>18</v>
      </c>
      <c r="AH83" s="46">
        <v>3.7499999999999997E-5</v>
      </c>
      <c r="AI83" s="46">
        <v>5.2623015786904736E-3</v>
      </c>
      <c r="AJ83" s="46">
        <v>1.0279E-3</v>
      </c>
    </row>
    <row r="84" spans="1:36" x14ac:dyDescent="0.2">
      <c r="A84" s="38">
        <v>420</v>
      </c>
      <c r="B84" s="38">
        <v>420</v>
      </c>
      <c r="C84" s="38" t="s">
        <v>462</v>
      </c>
      <c r="D84" s="38">
        <v>513569780</v>
      </c>
      <c r="E84" s="38" t="s">
        <v>150</v>
      </c>
      <c r="F84" s="45" t="s">
        <v>463</v>
      </c>
      <c r="G84" s="38" t="s">
        <v>464</v>
      </c>
      <c r="H84" s="38" t="s">
        <v>153</v>
      </c>
      <c r="I84" s="38" t="s">
        <v>202</v>
      </c>
      <c r="J84" s="38" t="s">
        <v>73</v>
      </c>
      <c r="K84" s="38" t="s">
        <v>73</v>
      </c>
      <c r="L84" s="38" t="s">
        <v>155</v>
      </c>
      <c r="M84" s="38" t="s">
        <v>103</v>
      </c>
      <c r="N84" s="38" t="s">
        <v>173</v>
      </c>
      <c r="O84" s="38" t="s">
        <v>74</v>
      </c>
      <c r="P84" s="38" t="s">
        <v>75</v>
      </c>
      <c r="Q84" s="38" t="s">
        <v>76</v>
      </c>
      <c r="R84" s="38" t="s">
        <v>158</v>
      </c>
      <c r="S84" s="38" t="s">
        <v>78</v>
      </c>
      <c r="T84" s="41">
        <v>4.32</v>
      </c>
      <c r="U84" s="61" t="s">
        <v>306</v>
      </c>
      <c r="V84" s="46">
        <v>1.6500000000000001E-2</v>
      </c>
      <c r="W84" s="46">
        <v>2.5100000000000001E-2</v>
      </c>
      <c r="X84" s="46" t="s">
        <v>160</v>
      </c>
      <c r="Y84" s="45" t="s">
        <v>74</v>
      </c>
      <c r="Z84" s="49">
        <v>530000</v>
      </c>
      <c r="AA84" s="41">
        <v>1</v>
      </c>
      <c r="AB84" s="41">
        <v>113.88</v>
      </c>
      <c r="AC84" s="41">
        <v>0</v>
      </c>
      <c r="AD84" s="41">
        <v>603.56399999999996</v>
      </c>
      <c r="AG84" s="38" t="s">
        <v>18</v>
      </c>
      <c r="AH84" s="46">
        <v>2.5050000000000002E-4</v>
      </c>
      <c r="AI84" s="46">
        <v>2.3480907044272113E-2</v>
      </c>
      <c r="AJ84" s="46">
        <v>4.5864E-3</v>
      </c>
    </row>
    <row r="85" spans="1:36" x14ac:dyDescent="0.2">
      <c r="A85" s="38">
        <v>420</v>
      </c>
      <c r="B85" s="38">
        <v>420</v>
      </c>
      <c r="C85" s="38" t="s">
        <v>414</v>
      </c>
      <c r="D85" s="38">
        <v>520000118</v>
      </c>
      <c r="E85" s="38" t="s">
        <v>150</v>
      </c>
      <c r="F85" s="45" t="s">
        <v>465</v>
      </c>
      <c r="G85" s="38" t="s">
        <v>466</v>
      </c>
      <c r="H85" s="38" t="s">
        <v>153</v>
      </c>
      <c r="I85" s="38" t="s">
        <v>202</v>
      </c>
      <c r="J85" s="38" t="s">
        <v>73</v>
      </c>
      <c r="K85" s="38" t="s">
        <v>73</v>
      </c>
      <c r="L85" s="38" t="s">
        <v>155</v>
      </c>
      <c r="M85" s="38" t="s">
        <v>103</v>
      </c>
      <c r="N85" s="38" t="s">
        <v>223</v>
      </c>
      <c r="O85" s="38" t="s">
        <v>74</v>
      </c>
      <c r="P85" s="38" t="s">
        <v>75</v>
      </c>
      <c r="Q85" s="38" t="s">
        <v>76</v>
      </c>
      <c r="R85" s="38" t="s">
        <v>158</v>
      </c>
      <c r="S85" s="38" t="s">
        <v>78</v>
      </c>
      <c r="T85" s="41">
        <v>2.81</v>
      </c>
      <c r="U85" s="61" t="s">
        <v>467</v>
      </c>
      <c r="V85" s="46">
        <v>1.7500000000000002E-2</v>
      </c>
      <c r="W85" s="46">
        <v>2.4400000000000002E-2</v>
      </c>
      <c r="X85" s="46" t="s">
        <v>160</v>
      </c>
      <c r="Y85" s="45" t="s">
        <v>74</v>
      </c>
      <c r="Z85" s="49">
        <v>248099.20000000001</v>
      </c>
      <c r="AA85" s="41">
        <v>1</v>
      </c>
      <c r="AB85" s="41">
        <v>115.29</v>
      </c>
      <c r="AC85" s="41">
        <v>0</v>
      </c>
      <c r="AD85" s="41">
        <v>286.03356000000002</v>
      </c>
      <c r="AG85" s="38" t="s">
        <v>18</v>
      </c>
      <c r="AH85" s="46">
        <v>1.1120000000000001E-4</v>
      </c>
      <c r="AI85" s="46">
        <v>1.1127803338341001E-2</v>
      </c>
      <c r="AJ85" s="46">
        <v>2.1735000000000001E-3</v>
      </c>
    </row>
    <row r="86" spans="1:36" x14ac:dyDescent="0.2">
      <c r="A86" s="38">
        <v>420</v>
      </c>
      <c r="B86" s="38">
        <v>420</v>
      </c>
      <c r="C86" s="38" t="s">
        <v>262</v>
      </c>
      <c r="D86" s="38">
        <v>550263107</v>
      </c>
      <c r="E86" s="38" t="s">
        <v>150</v>
      </c>
      <c r="F86" s="45" t="s">
        <v>468</v>
      </c>
      <c r="G86" s="38" t="s">
        <v>469</v>
      </c>
      <c r="H86" s="38" t="s">
        <v>153</v>
      </c>
      <c r="I86" s="38" t="s">
        <v>154</v>
      </c>
      <c r="J86" s="38" t="s">
        <v>73</v>
      </c>
      <c r="K86" s="38" t="s">
        <v>73</v>
      </c>
      <c r="L86" s="38" t="s">
        <v>155</v>
      </c>
      <c r="M86" s="38" t="s">
        <v>103</v>
      </c>
      <c r="N86" s="38" t="s">
        <v>253</v>
      </c>
      <c r="O86" s="38" t="s">
        <v>74</v>
      </c>
      <c r="P86" s="38" t="s">
        <v>470</v>
      </c>
      <c r="Q86" s="38" t="s">
        <v>76</v>
      </c>
      <c r="R86" s="38" t="s">
        <v>158</v>
      </c>
      <c r="S86" s="38" t="s">
        <v>78</v>
      </c>
      <c r="T86" s="41">
        <v>4.01</v>
      </c>
      <c r="U86" s="61" t="s">
        <v>413</v>
      </c>
      <c r="V86" s="46">
        <v>0.06</v>
      </c>
      <c r="W86" s="46">
        <v>5.8299999999999998E-2</v>
      </c>
      <c r="X86" s="46" t="s">
        <v>160</v>
      </c>
      <c r="Y86" s="45" t="s">
        <v>74</v>
      </c>
      <c r="Z86" s="49">
        <v>260000</v>
      </c>
      <c r="AA86" s="41">
        <v>1</v>
      </c>
      <c r="AB86" s="41">
        <v>100.97</v>
      </c>
      <c r="AC86" s="41">
        <v>0</v>
      </c>
      <c r="AD86" s="41">
        <v>262.52199999999999</v>
      </c>
      <c r="AG86" s="38" t="s">
        <v>18</v>
      </c>
      <c r="AH86" s="46">
        <v>3.2370000000000001E-4</v>
      </c>
      <c r="AI86" s="46">
        <v>1.0213103063930917E-2</v>
      </c>
      <c r="AJ86" s="46">
        <v>1.9949E-3</v>
      </c>
    </row>
    <row r="87" spans="1:36" x14ac:dyDescent="0.2">
      <c r="A87" s="38">
        <v>420</v>
      </c>
      <c r="B87" s="38">
        <v>420</v>
      </c>
      <c r="C87" s="38" t="s">
        <v>471</v>
      </c>
      <c r="D87" s="38">
        <v>520029208</v>
      </c>
      <c r="E87" s="38" t="s">
        <v>150</v>
      </c>
      <c r="F87" s="45" t="s">
        <v>472</v>
      </c>
      <c r="G87" s="38" t="s">
        <v>473</v>
      </c>
      <c r="H87" s="38" t="s">
        <v>153</v>
      </c>
      <c r="I87" s="38" t="s">
        <v>202</v>
      </c>
      <c r="J87" s="38" t="s">
        <v>73</v>
      </c>
      <c r="K87" s="38" t="s">
        <v>73</v>
      </c>
      <c r="L87" s="38" t="s">
        <v>155</v>
      </c>
      <c r="M87" s="38" t="s">
        <v>103</v>
      </c>
      <c r="N87" s="38" t="s">
        <v>173</v>
      </c>
      <c r="O87" s="38" t="s">
        <v>74</v>
      </c>
      <c r="P87" s="38" t="s">
        <v>474</v>
      </c>
      <c r="Q87" s="38" t="s">
        <v>474</v>
      </c>
      <c r="R87" s="38" t="s">
        <v>474</v>
      </c>
      <c r="S87" s="38" t="s">
        <v>78</v>
      </c>
      <c r="T87" s="41">
        <v>2.38</v>
      </c>
      <c r="U87" s="61" t="s">
        <v>475</v>
      </c>
      <c r="V87" s="46">
        <v>4.6098E-2</v>
      </c>
      <c r="W87" s="46">
        <v>3.2500000000000001E-2</v>
      </c>
      <c r="X87" s="46" t="s">
        <v>160</v>
      </c>
      <c r="Y87" s="45" t="s">
        <v>74</v>
      </c>
      <c r="Z87" s="49">
        <v>70415</v>
      </c>
      <c r="AA87" s="41">
        <v>1</v>
      </c>
      <c r="AB87" s="41">
        <v>108.49</v>
      </c>
      <c r="AC87" s="41">
        <v>0</v>
      </c>
      <c r="AD87" s="41">
        <v>76.393230000000003</v>
      </c>
      <c r="AG87" s="38" t="s">
        <v>18</v>
      </c>
      <c r="AH87" s="46">
        <v>7.1799999999999997E-5</v>
      </c>
      <c r="AI87" s="46">
        <v>2.972000891600267E-3</v>
      </c>
      <c r="AJ87" s="46">
        <v>5.8049999999999996E-4</v>
      </c>
    </row>
    <row r="88" spans="1:36" x14ac:dyDescent="0.2">
      <c r="A88" s="38">
        <v>420</v>
      </c>
      <c r="B88" s="38">
        <v>420</v>
      </c>
      <c r="C88" s="38" t="s">
        <v>476</v>
      </c>
      <c r="D88" s="38">
        <v>513639013</v>
      </c>
      <c r="E88" s="38" t="s">
        <v>150</v>
      </c>
      <c r="F88" s="45" t="s">
        <v>477</v>
      </c>
      <c r="G88" s="38" t="s">
        <v>478</v>
      </c>
      <c r="H88" s="38" t="s">
        <v>153</v>
      </c>
      <c r="I88" s="38" t="s">
        <v>154</v>
      </c>
      <c r="J88" s="38" t="s">
        <v>73</v>
      </c>
      <c r="K88" s="38" t="s">
        <v>73</v>
      </c>
      <c r="L88" s="38" t="s">
        <v>155</v>
      </c>
      <c r="M88" s="38" t="s">
        <v>103</v>
      </c>
      <c r="N88" s="38" t="s">
        <v>479</v>
      </c>
      <c r="O88" s="38" t="s">
        <v>74</v>
      </c>
      <c r="P88" s="38" t="s">
        <v>474</v>
      </c>
      <c r="Q88" s="38" t="s">
        <v>474</v>
      </c>
      <c r="R88" s="38" t="s">
        <v>474</v>
      </c>
      <c r="S88" s="38" t="s">
        <v>78</v>
      </c>
      <c r="T88" s="41">
        <v>3.82</v>
      </c>
      <c r="U88" s="61" t="s">
        <v>480</v>
      </c>
      <c r="V88" s="46">
        <v>5.8999999999999997E-2</v>
      </c>
      <c r="W88" s="46">
        <v>5.4199999999999998E-2</v>
      </c>
      <c r="X88" s="46" t="s">
        <v>160</v>
      </c>
      <c r="Y88" s="45" t="s">
        <v>74</v>
      </c>
      <c r="Z88" s="49">
        <v>197000</v>
      </c>
      <c r="AA88" s="41">
        <v>1</v>
      </c>
      <c r="AB88" s="41">
        <v>103.91</v>
      </c>
      <c r="AC88" s="41">
        <v>0</v>
      </c>
      <c r="AD88" s="41">
        <v>204.70269999999999</v>
      </c>
      <c r="AG88" s="38" t="s">
        <v>18</v>
      </c>
      <c r="AH88" s="46">
        <v>4.0509999999999998E-4</v>
      </c>
      <c r="AI88" s="46">
        <v>7.9637023891107172E-3</v>
      </c>
      <c r="AJ88" s="46">
        <v>1.5555E-3</v>
      </c>
    </row>
    <row r="89" spans="1:36" x14ac:dyDescent="0.2">
      <c r="A89" s="38">
        <v>420</v>
      </c>
      <c r="B89" s="38">
        <v>420</v>
      </c>
      <c r="C89" s="38" t="s">
        <v>410</v>
      </c>
      <c r="D89" s="38">
        <v>1665</v>
      </c>
      <c r="E89" s="38" t="s">
        <v>138</v>
      </c>
      <c r="F89" s="45" t="s">
        <v>481</v>
      </c>
      <c r="G89" s="38" t="s">
        <v>482</v>
      </c>
      <c r="H89" s="38" t="s">
        <v>153</v>
      </c>
      <c r="I89" s="38" t="s">
        <v>483</v>
      </c>
      <c r="J89" s="38" t="s">
        <v>484</v>
      </c>
      <c r="K89" s="38" t="s">
        <v>351</v>
      </c>
      <c r="L89" s="38" t="s">
        <v>155</v>
      </c>
      <c r="M89" s="38" t="s">
        <v>103</v>
      </c>
      <c r="N89" s="38" t="s">
        <v>173</v>
      </c>
      <c r="O89" s="38" t="s">
        <v>74</v>
      </c>
      <c r="P89" s="38" t="s">
        <v>363</v>
      </c>
      <c r="Q89" s="38" t="s">
        <v>76</v>
      </c>
      <c r="R89" s="38" t="s">
        <v>158</v>
      </c>
      <c r="S89" s="38" t="s">
        <v>78</v>
      </c>
      <c r="T89" s="41">
        <v>5.76</v>
      </c>
      <c r="U89" s="61" t="s">
        <v>485</v>
      </c>
      <c r="V89" s="46">
        <v>6.5000000000000002E-2</v>
      </c>
      <c r="W89" s="46">
        <v>5.7000000000000002E-2</v>
      </c>
      <c r="X89" s="46" t="s">
        <v>160</v>
      </c>
      <c r="Y89" s="45" t="s">
        <v>74</v>
      </c>
      <c r="Z89" s="49">
        <v>193540</v>
      </c>
      <c r="AA89" s="41">
        <v>1</v>
      </c>
      <c r="AB89" s="41">
        <v>106.35</v>
      </c>
      <c r="AC89" s="41">
        <v>0</v>
      </c>
      <c r="AD89" s="41">
        <v>205.82979</v>
      </c>
      <c r="AG89" s="38" t="s">
        <v>18</v>
      </c>
      <c r="AH89" s="46">
        <v>3.2220000000000003E-4</v>
      </c>
      <c r="AI89" s="46">
        <v>8.00760240228072E-3</v>
      </c>
      <c r="AJ89" s="46">
        <v>1.5640999999999999E-3</v>
      </c>
    </row>
    <row r="90" spans="1:36" x14ac:dyDescent="0.2">
      <c r="A90" s="38">
        <v>420</v>
      </c>
      <c r="B90" s="38">
        <v>1471</v>
      </c>
      <c r="C90" s="38" t="s">
        <v>486</v>
      </c>
      <c r="D90" s="38">
        <v>520025990</v>
      </c>
      <c r="E90" s="38" t="s">
        <v>150</v>
      </c>
      <c r="F90" s="45" t="s">
        <v>487</v>
      </c>
      <c r="G90" s="38" t="s">
        <v>488</v>
      </c>
      <c r="H90" s="38" t="s">
        <v>153</v>
      </c>
      <c r="I90" s="38" t="s">
        <v>154</v>
      </c>
      <c r="J90" s="38" t="s">
        <v>73</v>
      </c>
      <c r="K90" s="38" t="s">
        <v>73</v>
      </c>
      <c r="L90" s="38" t="s">
        <v>155</v>
      </c>
      <c r="M90" s="38" t="s">
        <v>103</v>
      </c>
      <c r="N90" s="38" t="s">
        <v>193</v>
      </c>
      <c r="O90" s="38" t="s">
        <v>74</v>
      </c>
      <c r="P90" s="38" t="s">
        <v>157</v>
      </c>
      <c r="Q90" s="38" t="s">
        <v>84</v>
      </c>
      <c r="R90" s="38" t="s">
        <v>158</v>
      </c>
      <c r="S90" s="38" t="s">
        <v>78</v>
      </c>
      <c r="T90" s="41">
        <v>1.95</v>
      </c>
      <c r="U90" s="61" t="s">
        <v>237</v>
      </c>
      <c r="V90" s="46">
        <v>2.5499999999999998E-2</v>
      </c>
      <c r="W90" s="46">
        <v>4.9599999999999998E-2</v>
      </c>
      <c r="X90" s="46" t="s">
        <v>160</v>
      </c>
      <c r="Y90" s="45" t="s">
        <v>74</v>
      </c>
      <c r="Z90" s="49">
        <v>5780</v>
      </c>
      <c r="AA90" s="41">
        <v>1</v>
      </c>
      <c r="AB90" s="41">
        <v>95.58</v>
      </c>
      <c r="AC90" s="41">
        <v>0</v>
      </c>
      <c r="AD90" s="41">
        <v>5.5245199999999999</v>
      </c>
      <c r="AG90" s="38" t="s">
        <v>18</v>
      </c>
      <c r="AH90" s="46">
        <v>8.8000000000000004E-6</v>
      </c>
      <c r="AI90" s="46">
        <v>1.3567101356710135E-2</v>
      </c>
      <c r="AJ90" s="46">
        <v>5.2160000000000002E-3</v>
      </c>
    </row>
    <row r="91" spans="1:36" x14ac:dyDescent="0.2">
      <c r="A91" s="38">
        <v>420</v>
      </c>
      <c r="B91" s="38">
        <v>1471</v>
      </c>
      <c r="C91" s="38" t="s">
        <v>489</v>
      </c>
      <c r="D91" s="38">
        <v>513893123</v>
      </c>
      <c r="E91" s="38" t="s">
        <v>150</v>
      </c>
      <c r="F91" s="45" t="s">
        <v>490</v>
      </c>
      <c r="G91" s="38" t="s">
        <v>491</v>
      </c>
      <c r="H91" s="38" t="s">
        <v>153</v>
      </c>
      <c r="I91" s="38" t="s">
        <v>202</v>
      </c>
      <c r="J91" s="38" t="s">
        <v>73</v>
      </c>
      <c r="K91" s="38" t="s">
        <v>73</v>
      </c>
      <c r="L91" s="38" t="s">
        <v>155</v>
      </c>
      <c r="M91" s="38" t="s">
        <v>103</v>
      </c>
      <c r="N91" s="38" t="s">
        <v>207</v>
      </c>
      <c r="O91" s="38" t="s">
        <v>74</v>
      </c>
      <c r="P91" s="38" t="s">
        <v>157</v>
      </c>
      <c r="Q91" s="38" t="s">
        <v>84</v>
      </c>
      <c r="R91" s="38" t="s">
        <v>158</v>
      </c>
      <c r="S91" s="38" t="s">
        <v>78</v>
      </c>
      <c r="T91" s="41">
        <v>0.5</v>
      </c>
      <c r="U91" s="61" t="s">
        <v>492</v>
      </c>
      <c r="V91" s="46">
        <v>1.8499999999999999E-2</v>
      </c>
      <c r="W91" s="46">
        <v>2.7799999999999998E-2</v>
      </c>
      <c r="X91" s="46" t="s">
        <v>160</v>
      </c>
      <c r="Y91" s="45" t="s">
        <v>74</v>
      </c>
      <c r="Z91" s="49">
        <v>10.88</v>
      </c>
      <c r="AA91" s="41">
        <v>1</v>
      </c>
      <c r="AB91" s="41">
        <v>116.51</v>
      </c>
      <c r="AC91" s="41">
        <v>0</v>
      </c>
      <c r="AD91" s="41">
        <v>1.2670000000000001E-2</v>
      </c>
      <c r="AG91" s="38" t="s">
        <v>18</v>
      </c>
      <c r="AH91" s="46">
        <v>0</v>
      </c>
      <c r="AI91" s="46">
        <v>3.1100003110000305E-5</v>
      </c>
      <c r="AJ91" s="46">
        <v>1.2E-5</v>
      </c>
    </row>
    <row r="92" spans="1:36" x14ac:dyDescent="0.2">
      <c r="A92" s="38">
        <v>420</v>
      </c>
      <c r="B92" s="38">
        <v>1471</v>
      </c>
      <c r="C92" s="38" t="s">
        <v>170</v>
      </c>
      <c r="D92" s="38">
        <v>512719485</v>
      </c>
      <c r="E92" s="38" t="s">
        <v>150</v>
      </c>
      <c r="F92" s="45" t="s">
        <v>171</v>
      </c>
      <c r="G92" s="38" t="s">
        <v>172</v>
      </c>
      <c r="H92" s="38" t="s">
        <v>153</v>
      </c>
      <c r="I92" s="38" t="s">
        <v>154</v>
      </c>
      <c r="J92" s="38" t="s">
        <v>73</v>
      </c>
      <c r="K92" s="38" t="s">
        <v>73</v>
      </c>
      <c r="L92" s="38" t="s">
        <v>155</v>
      </c>
      <c r="M92" s="38" t="s">
        <v>103</v>
      </c>
      <c r="N92" s="38" t="s">
        <v>173</v>
      </c>
      <c r="O92" s="38" t="s">
        <v>74</v>
      </c>
      <c r="P92" s="38" t="s">
        <v>165</v>
      </c>
      <c r="Q92" s="38" t="s">
        <v>84</v>
      </c>
      <c r="R92" s="38" t="s">
        <v>158</v>
      </c>
      <c r="S92" s="38" t="s">
        <v>78</v>
      </c>
      <c r="T92" s="41">
        <v>4.88</v>
      </c>
      <c r="U92" s="61" t="s">
        <v>174</v>
      </c>
      <c r="V92" s="46">
        <v>5.4800000000000001E-2</v>
      </c>
      <c r="W92" s="46">
        <v>4.82E-2</v>
      </c>
      <c r="X92" s="46" t="s">
        <v>160</v>
      </c>
      <c r="Y92" s="45" t="s">
        <v>74</v>
      </c>
      <c r="Z92" s="49">
        <v>4000</v>
      </c>
      <c r="AA92" s="41">
        <v>1</v>
      </c>
      <c r="AB92" s="41">
        <v>103.44</v>
      </c>
      <c r="AC92" s="41">
        <v>0</v>
      </c>
      <c r="AD92" s="41">
        <v>4.1375999999999999</v>
      </c>
      <c r="AG92" s="38" t="s">
        <v>18</v>
      </c>
      <c r="AH92" s="46">
        <v>1.33E-5</v>
      </c>
      <c r="AI92" s="46">
        <v>1.01611010161101E-2</v>
      </c>
      <c r="AJ92" s="46">
        <v>3.9065000000000003E-3</v>
      </c>
    </row>
    <row r="93" spans="1:36" x14ac:dyDescent="0.2">
      <c r="A93" s="38">
        <v>420</v>
      </c>
      <c r="B93" s="38">
        <v>1471</v>
      </c>
      <c r="C93" s="38" t="s">
        <v>178</v>
      </c>
      <c r="D93" s="38">
        <v>515328250</v>
      </c>
      <c r="E93" s="38" t="s">
        <v>150</v>
      </c>
      <c r="F93" s="45" t="s">
        <v>179</v>
      </c>
      <c r="G93" s="38" t="s">
        <v>180</v>
      </c>
      <c r="H93" s="38" t="s">
        <v>153</v>
      </c>
      <c r="I93" s="38" t="s">
        <v>154</v>
      </c>
      <c r="J93" s="38" t="s">
        <v>73</v>
      </c>
      <c r="K93" s="38" t="s">
        <v>181</v>
      </c>
      <c r="L93" s="38" t="s">
        <v>155</v>
      </c>
      <c r="M93" s="38" t="s">
        <v>103</v>
      </c>
      <c r="N93" s="38" t="s">
        <v>182</v>
      </c>
      <c r="O93" s="38" t="s">
        <v>74</v>
      </c>
      <c r="P93" s="38" t="s">
        <v>165</v>
      </c>
      <c r="Q93" s="38" t="s">
        <v>84</v>
      </c>
      <c r="R93" s="38" t="s">
        <v>158</v>
      </c>
      <c r="S93" s="38" t="s">
        <v>78</v>
      </c>
      <c r="T93" s="41">
        <v>1.32</v>
      </c>
      <c r="U93" s="61" t="s">
        <v>183</v>
      </c>
      <c r="V93" s="46">
        <v>2.6499999999999999E-2</v>
      </c>
      <c r="W93" s="46">
        <v>4.9599999999999998E-2</v>
      </c>
      <c r="X93" s="46" t="s">
        <v>160</v>
      </c>
      <c r="Y93" s="45" t="s">
        <v>74</v>
      </c>
      <c r="Z93" s="49">
        <v>5000</v>
      </c>
      <c r="AA93" s="41">
        <v>1</v>
      </c>
      <c r="AB93" s="41">
        <v>97.97</v>
      </c>
      <c r="AC93" s="41">
        <v>0</v>
      </c>
      <c r="AD93" s="41">
        <v>4.8985000000000003</v>
      </c>
      <c r="AG93" s="38" t="s">
        <v>18</v>
      </c>
      <c r="AH93" s="46">
        <v>9.7000000000000003E-6</v>
      </c>
      <c r="AI93" s="46">
        <v>1.202980120298012E-2</v>
      </c>
      <c r="AJ93" s="46">
        <v>4.6249999999999998E-3</v>
      </c>
    </row>
    <row r="94" spans="1:36" x14ac:dyDescent="0.2">
      <c r="A94" s="38">
        <v>420</v>
      </c>
      <c r="B94" s="38">
        <v>1471</v>
      </c>
      <c r="C94" s="38" t="s">
        <v>190</v>
      </c>
      <c r="D94" s="38">
        <v>512467994</v>
      </c>
      <c r="E94" s="38" t="s">
        <v>150</v>
      </c>
      <c r="F94" s="45" t="s">
        <v>191</v>
      </c>
      <c r="G94" s="38" t="s">
        <v>192</v>
      </c>
      <c r="H94" s="38" t="s">
        <v>153</v>
      </c>
      <c r="I94" s="38" t="s">
        <v>154</v>
      </c>
      <c r="J94" s="38" t="s">
        <v>73</v>
      </c>
      <c r="K94" s="38" t="s">
        <v>73</v>
      </c>
      <c r="L94" s="38" t="s">
        <v>155</v>
      </c>
      <c r="M94" s="38" t="s">
        <v>103</v>
      </c>
      <c r="N94" s="38" t="s">
        <v>193</v>
      </c>
      <c r="O94" s="38" t="s">
        <v>74</v>
      </c>
      <c r="P94" s="38" t="s">
        <v>165</v>
      </c>
      <c r="Q94" s="38" t="s">
        <v>84</v>
      </c>
      <c r="R94" s="38" t="s">
        <v>158</v>
      </c>
      <c r="S94" s="38" t="s">
        <v>78</v>
      </c>
      <c r="T94" s="41">
        <v>3.69</v>
      </c>
      <c r="U94" s="61" t="s">
        <v>137</v>
      </c>
      <c r="V94" s="46">
        <v>5.8200000000000002E-2</v>
      </c>
      <c r="W94" s="46">
        <v>4.8399999999999999E-2</v>
      </c>
      <c r="X94" s="46" t="s">
        <v>160</v>
      </c>
      <c r="Y94" s="45" t="s">
        <v>74</v>
      </c>
      <c r="Z94" s="49">
        <v>3000</v>
      </c>
      <c r="AA94" s="41">
        <v>1</v>
      </c>
      <c r="AB94" s="41">
        <v>104.76</v>
      </c>
      <c r="AC94" s="41">
        <v>0</v>
      </c>
      <c r="AD94" s="41">
        <v>3.1427999999999998</v>
      </c>
      <c r="AG94" s="38" t="s">
        <v>18</v>
      </c>
      <c r="AH94" s="46">
        <v>1.7099999999999999E-5</v>
      </c>
      <c r="AI94" s="46">
        <v>7.7181007718100771E-3</v>
      </c>
      <c r="AJ94" s="46">
        <v>2.9673E-3</v>
      </c>
    </row>
    <row r="95" spans="1:36" x14ac:dyDescent="0.2">
      <c r="A95" s="38">
        <v>420</v>
      </c>
      <c r="B95" s="38">
        <v>1471</v>
      </c>
      <c r="C95" s="38" t="s">
        <v>194</v>
      </c>
      <c r="D95" s="38">
        <v>510607328</v>
      </c>
      <c r="E95" s="38" t="s">
        <v>150</v>
      </c>
      <c r="F95" s="45" t="s">
        <v>493</v>
      </c>
      <c r="G95" s="38" t="s">
        <v>494</v>
      </c>
      <c r="H95" s="38" t="s">
        <v>153</v>
      </c>
      <c r="I95" s="38" t="s">
        <v>154</v>
      </c>
      <c r="J95" s="38" t="s">
        <v>73</v>
      </c>
      <c r="K95" s="38" t="s">
        <v>73</v>
      </c>
      <c r="L95" s="38" t="s">
        <v>155</v>
      </c>
      <c r="M95" s="38" t="s">
        <v>103</v>
      </c>
      <c r="N95" s="38" t="s">
        <v>182</v>
      </c>
      <c r="O95" s="38" t="s">
        <v>74</v>
      </c>
      <c r="P95" s="38" t="s">
        <v>197</v>
      </c>
      <c r="Q95" s="38" t="s">
        <v>84</v>
      </c>
      <c r="R95" s="38" t="s">
        <v>158</v>
      </c>
      <c r="S95" s="38" t="s">
        <v>78</v>
      </c>
      <c r="T95" s="41">
        <v>2.5099999999999998</v>
      </c>
      <c r="U95" s="61" t="s">
        <v>495</v>
      </c>
      <c r="V95" s="46">
        <v>2.8500000000000001E-2</v>
      </c>
      <c r="W95" s="46">
        <v>5.2600000000000001E-2</v>
      </c>
      <c r="X95" s="46" t="s">
        <v>160</v>
      </c>
      <c r="Y95" s="45" t="s">
        <v>74</v>
      </c>
      <c r="Z95" s="49">
        <v>588.25</v>
      </c>
      <c r="AA95" s="41">
        <v>1</v>
      </c>
      <c r="AB95" s="41">
        <v>94.58</v>
      </c>
      <c r="AC95" s="41">
        <v>0</v>
      </c>
      <c r="AD95" s="41">
        <v>0.55635999999999997</v>
      </c>
      <c r="AG95" s="38" t="s">
        <v>18</v>
      </c>
      <c r="AH95" s="46">
        <v>1.3999999999999999E-6</v>
      </c>
      <c r="AI95" s="46">
        <v>1.3663001366300135E-3</v>
      </c>
      <c r="AJ95" s="46">
        <v>5.2530000000000003E-4</v>
      </c>
    </row>
    <row r="96" spans="1:36" x14ac:dyDescent="0.2">
      <c r="A96" s="38">
        <v>420</v>
      </c>
      <c r="B96" s="38">
        <v>1471</v>
      </c>
      <c r="C96" s="38" t="s">
        <v>199</v>
      </c>
      <c r="D96" s="38">
        <v>516269248</v>
      </c>
      <c r="E96" s="38" t="s">
        <v>150</v>
      </c>
      <c r="F96" s="45" t="s">
        <v>200</v>
      </c>
      <c r="G96" s="38" t="s">
        <v>201</v>
      </c>
      <c r="H96" s="38" t="s">
        <v>153</v>
      </c>
      <c r="I96" s="38" t="s">
        <v>202</v>
      </c>
      <c r="J96" s="38" t="s">
        <v>73</v>
      </c>
      <c r="K96" s="38" t="s">
        <v>73</v>
      </c>
      <c r="L96" s="38" t="s">
        <v>155</v>
      </c>
      <c r="M96" s="38" t="s">
        <v>103</v>
      </c>
      <c r="N96" s="38" t="s">
        <v>203</v>
      </c>
      <c r="O96" s="38" t="s">
        <v>74</v>
      </c>
      <c r="P96" s="38" t="s">
        <v>197</v>
      </c>
      <c r="Q96" s="38" t="s">
        <v>84</v>
      </c>
      <c r="R96" s="38" t="s">
        <v>158</v>
      </c>
      <c r="S96" s="38" t="s">
        <v>78</v>
      </c>
      <c r="T96" s="41">
        <v>5.56</v>
      </c>
      <c r="U96" s="61" t="s">
        <v>189</v>
      </c>
      <c r="V96" s="46">
        <v>3.3000000000000002E-2</v>
      </c>
      <c r="W96" s="46">
        <v>3.3000000000000002E-2</v>
      </c>
      <c r="X96" s="46" t="s">
        <v>160</v>
      </c>
      <c r="Y96" s="45" t="s">
        <v>74</v>
      </c>
      <c r="Z96" s="49">
        <v>2769.24</v>
      </c>
      <c r="AA96" s="41">
        <v>1</v>
      </c>
      <c r="AB96" s="41">
        <v>109.3</v>
      </c>
      <c r="AC96" s="41">
        <v>0</v>
      </c>
      <c r="AD96" s="41">
        <v>3.02677</v>
      </c>
      <c r="AG96" s="38" t="s">
        <v>18</v>
      </c>
      <c r="AH96" s="46">
        <v>2.3E-6</v>
      </c>
      <c r="AI96" s="46">
        <v>7.4332007433200739E-3</v>
      </c>
      <c r="AJ96" s="46">
        <v>2.8576999999999999E-3</v>
      </c>
    </row>
    <row r="97" spans="1:36" x14ac:dyDescent="0.2">
      <c r="A97" s="38">
        <v>420</v>
      </c>
      <c r="B97" s="38">
        <v>1471</v>
      </c>
      <c r="C97" s="38" t="s">
        <v>209</v>
      </c>
      <c r="D97" s="38">
        <v>510960719</v>
      </c>
      <c r="E97" s="38" t="s">
        <v>150</v>
      </c>
      <c r="F97" s="45" t="s">
        <v>496</v>
      </c>
      <c r="G97" s="38" t="s">
        <v>497</v>
      </c>
      <c r="H97" s="38" t="s">
        <v>153</v>
      </c>
      <c r="I97" s="38" t="s">
        <v>202</v>
      </c>
      <c r="J97" s="38" t="s">
        <v>73</v>
      </c>
      <c r="K97" s="38" t="s">
        <v>73</v>
      </c>
      <c r="L97" s="38" t="s">
        <v>155</v>
      </c>
      <c r="M97" s="38" t="s">
        <v>103</v>
      </c>
      <c r="N97" s="38" t="s">
        <v>173</v>
      </c>
      <c r="O97" s="38" t="s">
        <v>74</v>
      </c>
      <c r="P97" s="38" t="s">
        <v>212</v>
      </c>
      <c r="Q97" s="38" t="s">
        <v>84</v>
      </c>
      <c r="R97" s="38" t="s">
        <v>158</v>
      </c>
      <c r="S97" s="38" t="s">
        <v>78</v>
      </c>
      <c r="T97" s="41">
        <v>2.68</v>
      </c>
      <c r="U97" s="61" t="s">
        <v>498</v>
      </c>
      <c r="V97" s="46">
        <v>1.34E-2</v>
      </c>
      <c r="W97" s="46">
        <v>2.8000000000000001E-2</v>
      </c>
      <c r="X97" s="46" t="s">
        <v>160</v>
      </c>
      <c r="Y97" s="45" t="s">
        <v>74</v>
      </c>
      <c r="Z97" s="49">
        <v>2408.4</v>
      </c>
      <c r="AA97" s="41">
        <v>1</v>
      </c>
      <c r="AB97" s="41">
        <v>114.07</v>
      </c>
      <c r="AC97" s="41">
        <v>0.30659999999999998</v>
      </c>
      <c r="AD97" s="41">
        <v>3.0538599999999998</v>
      </c>
      <c r="AG97" s="38" t="s">
        <v>18</v>
      </c>
      <c r="AH97" s="46">
        <v>9.9999999999999995E-7</v>
      </c>
      <c r="AI97" s="46">
        <v>6.7467006746700668E-3</v>
      </c>
      <c r="AJ97" s="46">
        <v>2.5937999999999998E-3</v>
      </c>
    </row>
    <row r="98" spans="1:36" x14ac:dyDescent="0.2">
      <c r="A98" s="38">
        <v>420</v>
      </c>
      <c r="B98" s="38">
        <v>1471</v>
      </c>
      <c r="C98" s="38" t="s">
        <v>499</v>
      </c>
      <c r="D98" s="38">
        <v>513937714</v>
      </c>
      <c r="E98" s="38" t="s">
        <v>150</v>
      </c>
      <c r="F98" s="45" t="s">
        <v>500</v>
      </c>
      <c r="G98" s="38" t="s">
        <v>501</v>
      </c>
      <c r="H98" s="38" t="s">
        <v>153</v>
      </c>
      <c r="I98" s="38" t="s">
        <v>154</v>
      </c>
      <c r="J98" s="38" t="s">
        <v>73</v>
      </c>
      <c r="K98" s="38" t="s">
        <v>73</v>
      </c>
      <c r="L98" s="38" t="s">
        <v>155</v>
      </c>
      <c r="M98" s="38" t="s">
        <v>103</v>
      </c>
      <c r="N98" s="38" t="s">
        <v>217</v>
      </c>
      <c r="O98" s="38" t="s">
        <v>74</v>
      </c>
      <c r="P98" s="38" t="s">
        <v>502</v>
      </c>
      <c r="Q98" s="38" t="s">
        <v>84</v>
      </c>
      <c r="R98" s="38" t="s">
        <v>158</v>
      </c>
      <c r="S98" s="38" t="s">
        <v>78</v>
      </c>
      <c r="T98" s="41">
        <v>1.24</v>
      </c>
      <c r="U98" s="61" t="s">
        <v>480</v>
      </c>
      <c r="V98" s="46">
        <v>1.84E-2</v>
      </c>
      <c r="W98" s="46">
        <v>4.65E-2</v>
      </c>
      <c r="X98" s="46" t="s">
        <v>160</v>
      </c>
      <c r="Y98" s="45" t="s">
        <v>74</v>
      </c>
      <c r="Z98" s="49">
        <v>13000</v>
      </c>
      <c r="AA98" s="41">
        <v>1</v>
      </c>
      <c r="AB98" s="41">
        <v>97.15</v>
      </c>
      <c r="AC98" s="41">
        <v>0</v>
      </c>
      <c r="AD98" s="41">
        <v>12.6295</v>
      </c>
      <c r="AG98" s="38" t="s">
        <v>18</v>
      </c>
      <c r="AH98" s="46">
        <v>4.3300000000000002E-5</v>
      </c>
      <c r="AI98" s="46">
        <v>3.1015603101560308E-2</v>
      </c>
      <c r="AJ98" s="46">
        <v>1.1924199999999999E-2</v>
      </c>
    </row>
    <row r="99" spans="1:36" x14ac:dyDescent="0.2">
      <c r="A99" s="38">
        <v>420</v>
      </c>
      <c r="B99" s="38">
        <v>1471</v>
      </c>
      <c r="C99" s="38" t="s">
        <v>220</v>
      </c>
      <c r="D99" s="38">
        <v>520032046</v>
      </c>
      <c r="E99" s="38" t="s">
        <v>150</v>
      </c>
      <c r="F99" s="45" t="s">
        <v>221</v>
      </c>
      <c r="G99" s="38" t="s">
        <v>222</v>
      </c>
      <c r="H99" s="38" t="s">
        <v>153</v>
      </c>
      <c r="I99" s="38" t="s">
        <v>202</v>
      </c>
      <c r="J99" s="38" t="s">
        <v>73</v>
      </c>
      <c r="K99" s="38" t="s">
        <v>73</v>
      </c>
      <c r="L99" s="38" t="s">
        <v>155</v>
      </c>
      <c r="M99" s="38" t="s">
        <v>103</v>
      </c>
      <c r="N99" s="38" t="s">
        <v>223</v>
      </c>
      <c r="O99" s="38" t="s">
        <v>74</v>
      </c>
      <c r="P99" s="38" t="s">
        <v>83</v>
      </c>
      <c r="Q99" s="38" t="s">
        <v>84</v>
      </c>
      <c r="R99" s="38" t="s">
        <v>158</v>
      </c>
      <c r="S99" s="38" t="s">
        <v>78</v>
      </c>
      <c r="T99" s="41">
        <v>1.42</v>
      </c>
      <c r="U99" s="61" t="s">
        <v>224</v>
      </c>
      <c r="V99" s="46">
        <v>5.0000000000000001E-3</v>
      </c>
      <c r="W99" s="46">
        <v>2.6200000000000001E-2</v>
      </c>
      <c r="X99" s="46" t="s">
        <v>160</v>
      </c>
      <c r="Y99" s="45" t="s">
        <v>74</v>
      </c>
      <c r="Z99" s="49">
        <v>14181</v>
      </c>
      <c r="AA99" s="41">
        <v>1</v>
      </c>
      <c r="AB99" s="41">
        <v>112.82</v>
      </c>
      <c r="AC99" s="41">
        <v>0</v>
      </c>
      <c r="AD99" s="41">
        <v>15.999000000000001</v>
      </c>
      <c r="AG99" s="38" t="s">
        <v>18</v>
      </c>
      <c r="AH99" s="46">
        <v>1.8499999999999999E-5</v>
      </c>
      <c r="AI99" s="46">
        <v>3.9290403929040395E-2</v>
      </c>
      <c r="AJ99" s="46">
        <v>1.51056E-2</v>
      </c>
    </row>
    <row r="100" spans="1:36" x14ac:dyDescent="0.2">
      <c r="A100" s="38">
        <v>420</v>
      </c>
      <c r="B100" s="38">
        <v>1471</v>
      </c>
      <c r="C100" s="38" t="s">
        <v>238</v>
      </c>
      <c r="D100" s="38">
        <v>520036617</v>
      </c>
      <c r="E100" s="38" t="s">
        <v>150</v>
      </c>
      <c r="F100" s="45" t="s">
        <v>239</v>
      </c>
      <c r="G100" s="38" t="s">
        <v>240</v>
      </c>
      <c r="H100" s="38" t="s">
        <v>153</v>
      </c>
      <c r="I100" s="38" t="s">
        <v>202</v>
      </c>
      <c r="J100" s="38" t="s">
        <v>73</v>
      </c>
      <c r="K100" s="38" t="s">
        <v>73</v>
      </c>
      <c r="L100" s="38" t="s">
        <v>155</v>
      </c>
      <c r="M100" s="38" t="s">
        <v>103</v>
      </c>
      <c r="N100" s="38" t="s">
        <v>173</v>
      </c>
      <c r="O100" s="38" t="s">
        <v>74</v>
      </c>
      <c r="P100" s="38" t="s">
        <v>241</v>
      </c>
      <c r="Q100" s="38" t="s">
        <v>76</v>
      </c>
      <c r="R100" s="38" t="s">
        <v>158</v>
      </c>
      <c r="S100" s="38" t="s">
        <v>78</v>
      </c>
      <c r="T100" s="41">
        <v>5.57</v>
      </c>
      <c r="U100" s="61" t="s">
        <v>242</v>
      </c>
      <c r="V100" s="46">
        <v>3.6799999999999999E-2</v>
      </c>
      <c r="W100" s="46">
        <v>3.32E-2</v>
      </c>
      <c r="X100" s="46" t="s">
        <v>160</v>
      </c>
      <c r="Y100" s="45" t="s">
        <v>74</v>
      </c>
      <c r="Z100" s="49">
        <v>3000</v>
      </c>
      <c r="AA100" s="41">
        <v>1</v>
      </c>
      <c r="AB100" s="41">
        <v>107.29</v>
      </c>
      <c r="AC100" s="41">
        <v>0</v>
      </c>
      <c r="AD100" s="41">
        <v>3.2187000000000001</v>
      </c>
      <c r="AG100" s="38" t="s">
        <v>18</v>
      </c>
      <c r="AH100" s="46">
        <v>6.7000000000000002E-6</v>
      </c>
      <c r="AI100" s="46">
        <v>7.9045007904500787E-3</v>
      </c>
      <c r="AJ100" s="46">
        <v>3.039E-3</v>
      </c>
    </row>
    <row r="101" spans="1:36" x14ac:dyDescent="0.2">
      <c r="A101" s="38">
        <v>420</v>
      </c>
      <c r="B101" s="38">
        <v>1471</v>
      </c>
      <c r="C101" s="38" t="s">
        <v>238</v>
      </c>
      <c r="D101" s="38">
        <v>520036617</v>
      </c>
      <c r="E101" s="38" t="s">
        <v>150</v>
      </c>
      <c r="F101" s="45" t="s">
        <v>243</v>
      </c>
      <c r="G101" s="38" t="s">
        <v>244</v>
      </c>
      <c r="H101" s="38" t="s">
        <v>153</v>
      </c>
      <c r="I101" s="38" t="s">
        <v>154</v>
      </c>
      <c r="J101" s="38" t="s">
        <v>73</v>
      </c>
      <c r="K101" s="38" t="s">
        <v>73</v>
      </c>
      <c r="L101" s="38" t="s">
        <v>155</v>
      </c>
      <c r="M101" s="38" t="s">
        <v>103</v>
      </c>
      <c r="N101" s="38" t="s">
        <v>173</v>
      </c>
      <c r="O101" s="38" t="s">
        <v>74</v>
      </c>
      <c r="P101" s="38" t="s">
        <v>241</v>
      </c>
      <c r="Q101" s="38" t="s">
        <v>76</v>
      </c>
      <c r="R101" s="38" t="s">
        <v>158</v>
      </c>
      <c r="S101" s="38" t="s">
        <v>78</v>
      </c>
      <c r="T101" s="41">
        <v>2.09</v>
      </c>
      <c r="U101" s="61" t="s">
        <v>245</v>
      </c>
      <c r="V101" s="46">
        <v>5.2999999999999999E-2</v>
      </c>
      <c r="W101" s="46">
        <v>0.05</v>
      </c>
      <c r="X101" s="46" t="s">
        <v>160</v>
      </c>
      <c r="Y101" s="45" t="s">
        <v>74</v>
      </c>
      <c r="Z101" s="49">
        <v>2857.14</v>
      </c>
      <c r="AA101" s="41">
        <v>1</v>
      </c>
      <c r="AB101" s="41">
        <v>102.04</v>
      </c>
      <c r="AC101" s="41">
        <v>0</v>
      </c>
      <c r="AD101" s="41">
        <v>2.9154200000000001</v>
      </c>
      <c r="AG101" s="38" t="s">
        <v>18</v>
      </c>
      <c r="AH101" s="46">
        <v>7.5000000000000002E-6</v>
      </c>
      <c r="AI101" s="46">
        <v>7.1597007159700712E-3</v>
      </c>
      <c r="AJ101" s="46">
        <v>2.7526E-3</v>
      </c>
    </row>
    <row r="102" spans="1:36" x14ac:dyDescent="0.2">
      <c r="A102" s="38">
        <v>420</v>
      </c>
      <c r="B102" s="38">
        <v>1471</v>
      </c>
      <c r="C102" s="38" t="s">
        <v>246</v>
      </c>
      <c r="D102" s="38">
        <v>510381601</v>
      </c>
      <c r="E102" s="38" t="s">
        <v>150</v>
      </c>
      <c r="F102" s="45" t="s">
        <v>247</v>
      </c>
      <c r="G102" s="38" t="s">
        <v>248</v>
      </c>
      <c r="H102" s="38" t="s">
        <v>153</v>
      </c>
      <c r="I102" s="38" t="s">
        <v>202</v>
      </c>
      <c r="J102" s="38" t="s">
        <v>73</v>
      </c>
      <c r="K102" s="38" t="s">
        <v>73</v>
      </c>
      <c r="L102" s="38" t="s">
        <v>155</v>
      </c>
      <c r="M102" s="38" t="s">
        <v>103</v>
      </c>
      <c r="N102" s="38" t="s">
        <v>193</v>
      </c>
      <c r="O102" s="38" t="s">
        <v>74</v>
      </c>
      <c r="P102" s="38" t="s">
        <v>241</v>
      </c>
      <c r="Q102" s="38" t="s">
        <v>76</v>
      </c>
      <c r="R102" s="38" t="s">
        <v>158</v>
      </c>
      <c r="S102" s="38" t="s">
        <v>78</v>
      </c>
      <c r="T102" s="41">
        <v>2.81</v>
      </c>
      <c r="U102" s="61" t="s">
        <v>249</v>
      </c>
      <c r="V102" s="46">
        <v>7.4999999999999997E-3</v>
      </c>
      <c r="W102" s="46">
        <v>3.0200000000000001E-2</v>
      </c>
      <c r="X102" s="46" t="s">
        <v>160</v>
      </c>
      <c r="Y102" s="45" t="s">
        <v>74</v>
      </c>
      <c r="Z102" s="49">
        <v>10698.55</v>
      </c>
      <c r="AA102" s="41">
        <v>1</v>
      </c>
      <c r="AB102" s="41">
        <v>107.32</v>
      </c>
      <c r="AC102" s="41">
        <v>0</v>
      </c>
      <c r="AD102" s="41">
        <v>11.481680000000001</v>
      </c>
      <c r="AG102" s="38" t="s">
        <v>18</v>
      </c>
      <c r="AH102" s="46">
        <v>7.5000000000000002E-6</v>
      </c>
      <c r="AI102" s="46">
        <v>2.8196702819670284E-2</v>
      </c>
      <c r="AJ102" s="46">
        <v>1.0840499999999999E-2</v>
      </c>
    </row>
    <row r="103" spans="1:36" x14ac:dyDescent="0.2">
      <c r="A103" s="38">
        <v>420</v>
      </c>
      <c r="B103" s="38">
        <v>1471</v>
      </c>
      <c r="C103" s="38" t="s">
        <v>503</v>
      </c>
      <c r="D103" s="38">
        <v>520025438</v>
      </c>
      <c r="E103" s="38" t="s">
        <v>150</v>
      </c>
      <c r="F103" s="45" t="s">
        <v>504</v>
      </c>
      <c r="G103" s="38" t="s">
        <v>505</v>
      </c>
      <c r="H103" s="38" t="s">
        <v>153</v>
      </c>
      <c r="I103" s="38" t="s">
        <v>154</v>
      </c>
      <c r="J103" s="38" t="s">
        <v>73</v>
      </c>
      <c r="K103" s="38" t="s">
        <v>73</v>
      </c>
      <c r="L103" s="38" t="s">
        <v>155</v>
      </c>
      <c r="M103" s="38" t="s">
        <v>103</v>
      </c>
      <c r="N103" s="38" t="s">
        <v>173</v>
      </c>
      <c r="O103" s="38" t="s">
        <v>74</v>
      </c>
      <c r="P103" s="38" t="s">
        <v>241</v>
      </c>
      <c r="Q103" s="38" t="s">
        <v>76</v>
      </c>
      <c r="R103" s="38" t="s">
        <v>158</v>
      </c>
      <c r="S103" s="38" t="s">
        <v>78</v>
      </c>
      <c r="T103" s="41">
        <v>2.37</v>
      </c>
      <c r="U103" s="61" t="s">
        <v>186</v>
      </c>
      <c r="V103" s="46">
        <v>3.95E-2</v>
      </c>
      <c r="W103" s="46">
        <v>5.3199999999999997E-2</v>
      </c>
      <c r="X103" s="46" t="s">
        <v>160</v>
      </c>
      <c r="Y103" s="45" t="s">
        <v>74</v>
      </c>
      <c r="Z103" s="49">
        <v>15722</v>
      </c>
      <c r="AA103" s="41">
        <v>1</v>
      </c>
      <c r="AB103" s="41">
        <v>97.03</v>
      </c>
      <c r="AC103" s="41">
        <v>0</v>
      </c>
      <c r="AD103" s="41">
        <v>15.255050000000001</v>
      </c>
      <c r="AG103" s="38" t="s">
        <v>18</v>
      </c>
      <c r="AH103" s="46">
        <v>1.3200000000000001E-5</v>
      </c>
      <c r="AI103" s="46">
        <v>3.7463403746340371E-2</v>
      </c>
      <c r="AJ103" s="46">
        <v>1.44032E-2</v>
      </c>
    </row>
    <row r="104" spans="1:36" x14ac:dyDescent="0.2">
      <c r="A104" s="38">
        <v>420</v>
      </c>
      <c r="B104" s="38">
        <v>1471</v>
      </c>
      <c r="C104" s="38" t="s">
        <v>506</v>
      </c>
      <c r="D104" s="38">
        <v>520033234</v>
      </c>
      <c r="E104" s="38" t="s">
        <v>150</v>
      </c>
      <c r="F104" s="45" t="s">
        <v>507</v>
      </c>
      <c r="G104" s="38" t="s">
        <v>508</v>
      </c>
      <c r="H104" s="38" t="s">
        <v>153</v>
      </c>
      <c r="I104" s="38" t="s">
        <v>202</v>
      </c>
      <c r="J104" s="38" t="s">
        <v>73</v>
      </c>
      <c r="K104" s="38" t="s">
        <v>73</v>
      </c>
      <c r="L104" s="38" t="s">
        <v>155</v>
      </c>
      <c r="M104" s="38" t="s">
        <v>103</v>
      </c>
      <c r="N104" s="38" t="s">
        <v>182</v>
      </c>
      <c r="O104" s="38" t="s">
        <v>74</v>
      </c>
      <c r="P104" s="38" t="s">
        <v>254</v>
      </c>
      <c r="Q104" s="38" t="s">
        <v>76</v>
      </c>
      <c r="R104" s="38" t="s">
        <v>158</v>
      </c>
      <c r="S104" s="38" t="s">
        <v>78</v>
      </c>
      <c r="T104" s="41">
        <v>1.46</v>
      </c>
      <c r="U104" s="61" t="s">
        <v>509</v>
      </c>
      <c r="V104" s="46">
        <v>0.04</v>
      </c>
      <c r="W104" s="46">
        <v>4.2500000000000003E-2</v>
      </c>
      <c r="X104" s="46" t="s">
        <v>160</v>
      </c>
      <c r="Y104" s="45" t="s">
        <v>74</v>
      </c>
      <c r="Z104" s="49">
        <v>3060</v>
      </c>
      <c r="AA104" s="41">
        <v>1</v>
      </c>
      <c r="AB104" s="41">
        <v>116.46</v>
      </c>
      <c r="AC104" s="41">
        <v>0</v>
      </c>
      <c r="AD104" s="41">
        <v>3.5636700000000001</v>
      </c>
      <c r="AG104" s="38" t="s">
        <v>18</v>
      </c>
      <c r="AH104" s="46">
        <v>1.9999999999999999E-6</v>
      </c>
      <c r="AI104" s="46">
        <v>8.7517008751700869E-3</v>
      </c>
      <c r="AJ104" s="46">
        <v>3.3647E-3</v>
      </c>
    </row>
    <row r="105" spans="1:36" x14ac:dyDescent="0.2">
      <c r="A105" s="38">
        <v>420</v>
      </c>
      <c r="B105" s="38">
        <v>1471</v>
      </c>
      <c r="C105" s="38" t="s">
        <v>506</v>
      </c>
      <c r="D105" s="38">
        <v>520033234</v>
      </c>
      <c r="E105" s="38" t="s">
        <v>150</v>
      </c>
      <c r="F105" s="45" t="s">
        <v>510</v>
      </c>
      <c r="G105" s="38" t="s">
        <v>511</v>
      </c>
      <c r="H105" s="38" t="s">
        <v>153</v>
      </c>
      <c r="I105" s="38" t="s">
        <v>202</v>
      </c>
      <c r="J105" s="38" t="s">
        <v>73</v>
      </c>
      <c r="K105" s="38" t="s">
        <v>73</v>
      </c>
      <c r="L105" s="38" t="s">
        <v>155</v>
      </c>
      <c r="M105" s="38" t="s">
        <v>103</v>
      </c>
      <c r="N105" s="38" t="s">
        <v>182</v>
      </c>
      <c r="O105" s="38" t="s">
        <v>74</v>
      </c>
      <c r="P105" s="38" t="s">
        <v>254</v>
      </c>
      <c r="Q105" s="38" t="s">
        <v>76</v>
      </c>
      <c r="R105" s="38" t="s">
        <v>158</v>
      </c>
      <c r="S105" s="38" t="s">
        <v>78</v>
      </c>
      <c r="T105" s="41">
        <v>2.5</v>
      </c>
      <c r="U105" s="61" t="s">
        <v>288</v>
      </c>
      <c r="V105" s="46">
        <v>3.2800000000000003E-2</v>
      </c>
      <c r="W105" s="46">
        <v>4.3700000000000003E-2</v>
      </c>
      <c r="X105" s="46" t="s">
        <v>160</v>
      </c>
      <c r="Y105" s="45" t="s">
        <v>74</v>
      </c>
      <c r="Z105" s="49">
        <v>10182.11</v>
      </c>
      <c r="AA105" s="41">
        <v>1</v>
      </c>
      <c r="AB105" s="41">
        <v>115.58</v>
      </c>
      <c r="AC105" s="41">
        <v>0</v>
      </c>
      <c r="AD105" s="41">
        <v>11.76848</v>
      </c>
      <c r="AG105" s="38" t="s">
        <v>18</v>
      </c>
      <c r="AH105" s="46">
        <v>9.3999999999999998E-6</v>
      </c>
      <c r="AI105" s="46">
        <v>2.8901102890110286E-2</v>
      </c>
      <c r="AJ105" s="46">
        <v>1.1111299999999999E-2</v>
      </c>
    </row>
    <row r="106" spans="1:36" x14ac:dyDescent="0.2">
      <c r="A106" s="38">
        <v>420</v>
      </c>
      <c r="B106" s="38">
        <v>1471</v>
      </c>
      <c r="C106" s="38" t="s">
        <v>250</v>
      </c>
      <c r="D106" s="38">
        <v>520044322</v>
      </c>
      <c r="E106" s="38" t="s">
        <v>150</v>
      </c>
      <c r="F106" s="45" t="s">
        <v>251</v>
      </c>
      <c r="G106" s="38" t="s">
        <v>252</v>
      </c>
      <c r="H106" s="38" t="s">
        <v>153</v>
      </c>
      <c r="I106" s="38" t="s">
        <v>154</v>
      </c>
      <c r="J106" s="38" t="s">
        <v>73</v>
      </c>
      <c r="K106" s="38" t="s">
        <v>73</v>
      </c>
      <c r="L106" s="38" t="s">
        <v>155</v>
      </c>
      <c r="M106" s="38" t="s">
        <v>103</v>
      </c>
      <c r="N106" s="38" t="s">
        <v>253</v>
      </c>
      <c r="O106" s="38" t="s">
        <v>74</v>
      </c>
      <c r="P106" s="38" t="s">
        <v>254</v>
      </c>
      <c r="Q106" s="38" t="s">
        <v>76</v>
      </c>
      <c r="R106" s="38" t="s">
        <v>158</v>
      </c>
      <c r="S106" s="38" t="s">
        <v>78</v>
      </c>
      <c r="T106" s="41">
        <v>4.96</v>
      </c>
      <c r="U106" s="61" t="s">
        <v>255</v>
      </c>
      <c r="V106" s="46">
        <v>6.3799999999999996E-2</v>
      </c>
      <c r="W106" s="46">
        <v>5.1799999999999999E-2</v>
      </c>
      <c r="X106" s="46" t="s">
        <v>160</v>
      </c>
      <c r="Y106" s="45" t="s">
        <v>74</v>
      </c>
      <c r="Z106" s="49">
        <v>3000</v>
      </c>
      <c r="AA106" s="41">
        <v>1</v>
      </c>
      <c r="AB106" s="41">
        <v>106.21</v>
      </c>
      <c r="AC106" s="41">
        <v>0</v>
      </c>
      <c r="AD106" s="41">
        <v>3.1863000000000001</v>
      </c>
      <c r="AG106" s="38" t="s">
        <v>18</v>
      </c>
      <c r="AH106" s="46">
        <v>3.0000000000000001E-6</v>
      </c>
      <c r="AI106" s="46">
        <v>7.8249007824900772E-3</v>
      </c>
      <c r="AJ106" s="46">
        <v>3.0084E-3</v>
      </c>
    </row>
    <row r="107" spans="1:36" x14ac:dyDescent="0.2">
      <c r="A107" s="38">
        <v>420</v>
      </c>
      <c r="B107" s="38">
        <v>1471</v>
      </c>
      <c r="C107" s="38" t="s">
        <v>259</v>
      </c>
      <c r="D107" s="38">
        <v>520020116</v>
      </c>
      <c r="E107" s="38" t="s">
        <v>150</v>
      </c>
      <c r="F107" s="45" t="s">
        <v>260</v>
      </c>
      <c r="G107" s="38" t="s">
        <v>261</v>
      </c>
      <c r="H107" s="38" t="s">
        <v>153</v>
      </c>
      <c r="I107" s="38" t="s">
        <v>202</v>
      </c>
      <c r="J107" s="38" t="s">
        <v>73</v>
      </c>
      <c r="K107" s="38" t="s">
        <v>73</v>
      </c>
      <c r="L107" s="38" t="s">
        <v>155</v>
      </c>
      <c r="M107" s="38" t="s">
        <v>103</v>
      </c>
      <c r="N107" s="38" t="s">
        <v>173</v>
      </c>
      <c r="O107" s="38" t="s">
        <v>74</v>
      </c>
      <c r="P107" s="38" t="s">
        <v>254</v>
      </c>
      <c r="Q107" s="38" t="s">
        <v>76</v>
      </c>
      <c r="R107" s="38" t="s">
        <v>158</v>
      </c>
      <c r="S107" s="38" t="s">
        <v>78</v>
      </c>
      <c r="T107" s="41">
        <v>1.93</v>
      </c>
      <c r="U107" s="61" t="s">
        <v>237</v>
      </c>
      <c r="V107" s="46">
        <v>3.6499999999999998E-2</v>
      </c>
      <c r="W107" s="46">
        <v>3.0700000000000002E-2</v>
      </c>
      <c r="X107" s="46" t="s">
        <v>160</v>
      </c>
      <c r="Y107" s="45" t="s">
        <v>74</v>
      </c>
      <c r="Z107" s="49">
        <v>1600</v>
      </c>
      <c r="AA107" s="41">
        <v>1</v>
      </c>
      <c r="AB107" s="41">
        <v>109.91</v>
      </c>
      <c r="AC107" s="41">
        <v>0</v>
      </c>
      <c r="AD107" s="41">
        <v>1.7585599999999999</v>
      </c>
      <c r="AG107" s="38" t="s">
        <v>18</v>
      </c>
      <c r="AH107" s="46">
        <v>6.1E-6</v>
      </c>
      <c r="AI107" s="46">
        <v>4.3187004318700432E-3</v>
      </c>
      <c r="AJ107" s="46">
        <v>1.6604E-3</v>
      </c>
    </row>
    <row r="108" spans="1:36" x14ac:dyDescent="0.2">
      <c r="A108" s="38">
        <v>420</v>
      </c>
      <c r="B108" s="38">
        <v>1471</v>
      </c>
      <c r="C108" s="38" t="s">
        <v>262</v>
      </c>
      <c r="D108" s="38">
        <v>550263107</v>
      </c>
      <c r="E108" s="38" t="s">
        <v>150</v>
      </c>
      <c r="F108" s="45" t="s">
        <v>263</v>
      </c>
      <c r="G108" s="38" t="s">
        <v>264</v>
      </c>
      <c r="H108" s="38" t="s">
        <v>153</v>
      </c>
      <c r="I108" s="38" t="s">
        <v>154</v>
      </c>
      <c r="J108" s="38" t="s">
        <v>73</v>
      </c>
      <c r="K108" s="38" t="s">
        <v>73</v>
      </c>
      <c r="L108" s="38" t="s">
        <v>155</v>
      </c>
      <c r="M108" s="38" t="s">
        <v>103</v>
      </c>
      <c r="N108" s="38" t="s">
        <v>253</v>
      </c>
      <c r="O108" s="38" t="s">
        <v>74</v>
      </c>
      <c r="P108" s="38" t="s">
        <v>254</v>
      </c>
      <c r="Q108" s="38" t="s">
        <v>76</v>
      </c>
      <c r="R108" s="38" t="s">
        <v>158</v>
      </c>
      <c r="S108" s="38" t="s">
        <v>78</v>
      </c>
      <c r="T108" s="41">
        <v>3.13</v>
      </c>
      <c r="U108" s="61" t="s">
        <v>265</v>
      </c>
      <c r="V108" s="46">
        <v>6.7000000000000004E-2</v>
      </c>
      <c r="W108" s="46">
        <v>5.11E-2</v>
      </c>
      <c r="X108" s="46" t="s">
        <v>160</v>
      </c>
      <c r="Y108" s="45" t="s">
        <v>74</v>
      </c>
      <c r="Z108" s="49">
        <v>2000</v>
      </c>
      <c r="AA108" s="41">
        <v>1</v>
      </c>
      <c r="AB108" s="41">
        <v>106.88</v>
      </c>
      <c r="AC108" s="41">
        <v>0</v>
      </c>
      <c r="AD108" s="41">
        <v>2.1375999999999999</v>
      </c>
      <c r="AG108" s="38" t="s">
        <v>18</v>
      </c>
      <c r="AH108" s="46">
        <v>2.0999999999999998E-6</v>
      </c>
      <c r="AI108" s="46">
        <v>5.249500524950052E-3</v>
      </c>
      <c r="AJ108" s="46">
        <v>2.0181999999999999E-3</v>
      </c>
    </row>
    <row r="109" spans="1:36" x14ac:dyDescent="0.2">
      <c r="A109" s="38">
        <v>420</v>
      </c>
      <c r="B109" s="38">
        <v>1471</v>
      </c>
      <c r="C109" s="38" t="s">
        <v>512</v>
      </c>
      <c r="D109" s="38">
        <v>514401702</v>
      </c>
      <c r="E109" s="38" t="s">
        <v>150</v>
      </c>
      <c r="F109" s="45" t="s">
        <v>513</v>
      </c>
      <c r="G109" s="38" t="s">
        <v>514</v>
      </c>
      <c r="H109" s="38" t="s">
        <v>153</v>
      </c>
      <c r="I109" s="38" t="s">
        <v>154</v>
      </c>
      <c r="J109" s="38" t="s">
        <v>73</v>
      </c>
      <c r="K109" s="38" t="s">
        <v>73</v>
      </c>
      <c r="L109" s="38" t="s">
        <v>155</v>
      </c>
      <c r="M109" s="38" t="s">
        <v>103</v>
      </c>
      <c r="N109" s="38" t="s">
        <v>203</v>
      </c>
      <c r="O109" s="38" t="s">
        <v>74</v>
      </c>
      <c r="P109" s="38" t="s">
        <v>269</v>
      </c>
      <c r="Q109" s="38" t="s">
        <v>76</v>
      </c>
      <c r="R109" s="38" t="s">
        <v>158</v>
      </c>
      <c r="S109" s="38" t="s">
        <v>78</v>
      </c>
      <c r="T109" s="41">
        <v>2.8</v>
      </c>
      <c r="U109" s="61" t="s">
        <v>515</v>
      </c>
      <c r="V109" s="46">
        <v>2.5000000000000001E-2</v>
      </c>
      <c r="W109" s="46">
        <v>5.04E-2</v>
      </c>
      <c r="X109" s="46" t="s">
        <v>160</v>
      </c>
      <c r="Y109" s="45" t="s">
        <v>74</v>
      </c>
      <c r="Z109" s="49">
        <v>0.84</v>
      </c>
      <c r="AA109" s="41">
        <v>1</v>
      </c>
      <c r="AB109" s="41">
        <v>94.1</v>
      </c>
      <c r="AC109" s="41">
        <v>0</v>
      </c>
      <c r="AD109" s="41">
        <v>7.9000000000000001E-4</v>
      </c>
      <c r="AG109" s="38" t="s">
        <v>18</v>
      </c>
      <c r="AH109" s="46">
        <v>0</v>
      </c>
      <c r="AI109" s="46">
        <v>1.9000001900000189E-6</v>
      </c>
      <c r="AJ109" s="46">
        <v>6.9999999999999997E-7</v>
      </c>
    </row>
    <row r="110" spans="1:36" x14ac:dyDescent="0.2">
      <c r="A110" s="38">
        <v>420</v>
      </c>
      <c r="B110" s="38">
        <v>1471</v>
      </c>
      <c r="C110" s="38" t="s">
        <v>516</v>
      </c>
      <c r="D110" s="38">
        <v>520028911</v>
      </c>
      <c r="E110" s="38" t="s">
        <v>150</v>
      </c>
      <c r="F110" s="45" t="s">
        <v>517</v>
      </c>
      <c r="G110" s="38" t="s">
        <v>518</v>
      </c>
      <c r="H110" s="38" t="s">
        <v>153</v>
      </c>
      <c r="I110" s="38" t="s">
        <v>154</v>
      </c>
      <c r="J110" s="38" t="s">
        <v>73</v>
      </c>
      <c r="K110" s="38" t="s">
        <v>73</v>
      </c>
      <c r="L110" s="38" t="s">
        <v>155</v>
      </c>
      <c r="M110" s="38" t="s">
        <v>103</v>
      </c>
      <c r="N110" s="38" t="s">
        <v>279</v>
      </c>
      <c r="O110" s="38" t="s">
        <v>74</v>
      </c>
      <c r="P110" s="38" t="s">
        <v>269</v>
      </c>
      <c r="Q110" s="38" t="s">
        <v>76</v>
      </c>
      <c r="R110" s="38" t="s">
        <v>158</v>
      </c>
      <c r="S110" s="38" t="s">
        <v>78</v>
      </c>
      <c r="T110" s="41">
        <v>0.99</v>
      </c>
      <c r="U110" s="61" t="s">
        <v>519</v>
      </c>
      <c r="V110" s="46">
        <v>0.04</v>
      </c>
      <c r="W110" s="46">
        <v>4.9099999999999998E-2</v>
      </c>
      <c r="X110" s="46" t="s">
        <v>160</v>
      </c>
      <c r="Y110" s="45" t="s">
        <v>74</v>
      </c>
      <c r="Z110" s="49">
        <v>1122.67</v>
      </c>
      <c r="AA110" s="41">
        <v>1</v>
      </c>
      <c r="AB110" s="41">
        <v>99.19</v>
      </c>
      <c r="AC110" s="41">
        <v>0</v>
      </c>
      <c r="AD110" s="41">
        <v>1.1135699999999999</v>
      </c>
      <c r="AG110" s="38" t="s">
        <v>18</v>
      </c>
      <c r="AH110" s="46">
        <v>1.7E-5</v>
      </c>
      <c r="AI110" s="46">
        <v>2.7347002734700271E-3</v>
      </c>
      <c r="AJ110" s="46">
        <v>1.0514000000000001E-3</v>
      </c>
    </row>
    <row r="111" spans="1:36" x14ac:dyDescent="0.2">
      <c r="A111" s="38">
        <v>420</v>
      </c>
      <c r="B111" s="38">
        <v>1471</v>
      </c>
      <c r="C111" s="38" t="s">
        <v>266</v>
      </c>
      <c r="D111" s="38">
        <v>510560188</v>
      </c>
      <c r="E111" s="38" t="s">
        <v>150</v>
      </c>
      <c r="F111" s="45" t="s">
        <v>267</v>
      </c>
      <c r="G111" s="38" t="s">
        <v>268</v>
      </c>
      <c r="H111" s="38" t="s">
        <v>153</v>
      </c>
      <c r="I111" s="38" t="s">
        <v>202</v>
      </c>
      <c r="J111" s="38" t="s">
        <v>73</v>
      </c>
      <c r="K111" s="38" t="s">
        <v>73</v>
      </c>
      <c r="L111" s="38" t="s">
        <v>155</v>
      </c>
      <c r="M111" s="38" t="s">
        <v>103</v>
      </c>
      <c r="N111" s="38" t="s">
        <v>182</v>
      </c>
      <c r="O111" s="38" t="s">
        <v>74</v>
      </c>
      <c r="P111" s="38" t="s">
        <v>269</v>
      </c>
      <c r="Q111" s="38" t="s">
        <v>76</v>
      </c>
      <c r="R111" s="38" t="s">
        <v>158</v>
      </c>
      <c r="S111" s="38" t="s">
        <v>78</v>
      </c>
      <c r="T111" s="41">
        <v>6.6</v>
      </c>
      <c r="U111" s="61" t="s">
        <v>189</v>
      </c>
      <c r="V111" s="46">
        <v>4.02E-2</v>
      </c>
      <c r="W111" s="46">
        <v>3.2399999999999998E-2</v>
      </c>
      <c r="X111" s="46" t="s">
        <v>160</v>
      </c>
      <c r="Y111" s="45" t="s">
        <v>74</v>
      </c>
      <c r="Z111" s="49">
        <v>3000</v>
      </c>
      <c r="AA111" s="41">
        <v>1</v>
      </c>
      <c r="AB111" s="41">
        <v>108.93</v>
      </c>
      <c r="AC111" s="41">
        <v>0</v>
      </c>
      <c r="AD111" s="41">
        <v>3.2679</v>
      </c>
      <c r="AG111" s="38" t="s">
        <v>18</v>
      </c>
      <c r="AH111" s="46">
        <v>3.7000000000000002E-6</v>
      </c>
      <c r="AI111" s="46">
        <v>8.0253008025300814E-3</v>
      </c>
      <c r="AJ111" s="46">
        <v>3.0853999999999999E-3</v>
      </c>
    </row>
    <row r="112" spans="1:36" x14ac:dyDescent="0.2">
      <c r="A112" s="38">
        <v>420</v>
      </c>
      <c r="B112" s="38">
        <v>1471</v>
      </c>
      <c r="C112" s="38" t="s">
        <v>285</v>
      </c>
      <c r="D112" s="38">
        <v>520028010</v>
      </c>
      <c r="E112" s="38" t="s">
        <v>150</v>
      </c>
      <c r="F112" s="45" t="s">
        <v>286</v>
      </c>
      <c r="G112" s="38" t="s">
        <v>287</v>
      </c>
      <c r="H112" s="38" t="s">
        <v>153</v>
      </c>
      <c r="I112" s="38" t="s">
        <v>154</v>
      </c>
      <c r="J112" s="38" t="s">
        <v>73</v>
      </c>
      <c r="K112" s="38" t="s">
        <v>73</v>
      </c>
      <c r="L112" s="38" t="s">
        <v>155</v>
      </c>
      <c r="M112" s="38" t="s">
        <v>103</v>
      </c>
      <c r="N112" s="38" t="s">
        <v>279</v>
      </c>
      <c r="O112" s="38" t="s">
        <v>74</v>
      </c>
      <c r="P112" s="38" t="s">
        <v>269</v>
      </c>
      <c r="Q112" s="38" t="s">
        <v>76</v>
      </c>
      <c r="R112" s="38" t="s">
        <v>158</v>
      </c>
      <c r="S112" s="38" t="s">
        <v>78</v>
      </c>
      <c r="T112" s="41">
        <v>2.06</v>
      </c>
      <c r="U112" s="61" t="s">
        <v>288</v>
      </c>
      <c r="V112" s="46">
        <v>2.1999999999999999E-2</v>
      </c>
      <c r="W112" s="46">
        <v>4.8899999999999999E-2</v>
      </c>
      <c r="X112" s="46" t="s">
        <v>160</v>
      </c>
      <c r="Y112" s="45" t="s">
        <v>74</v>
      </c>
      <c r="Z112" s="49">
        <v>9327.6</v>
      </c>
      <c r="AA112" s="41">
        <v>1</v>
      </c>
      <c r="AB112" s="41">
        <v>94.79</v>
      </c>
      <c r="AC112" s="41">
        <v>0</v>
      </c>
      <c r="AD112" s="41">
        <v>8.8416300000000003</v>
      </c>
      <c r="AG112" s="38" t="s">
        <v>18</v>
      </c>
      <c r="AH112" s="46">
        <v>1.0699999999999999E-5</v>
      </c>
      <c r="AI112" s="46">
        <v>2.1713302171330218E-2</v>
      </c>
      <c r="AJ112" s="46">
        <v>8.3479000000000001E-3</v>
      </c>
    </row>
    <row r="113" spans="1:36" x14ac:dyDescent="0.2">
      <c r="A113" s="38">
        <v>420</v>
      </c>
      <c r="B113" s="38">
        <v>1471</v>
      </c>
      <c r="C113" s="38" t="s">
        <v>298</v>
      </c>
      <c r="D113" s="38">
        <v>511930125</v>
      </c>
      <c r="E113" s="38" t="s">
        <v>150</v>
      </c>
      <c r="F113" s="45" t="s">
        <v>520</v>
      </c>
      <c r="G113" s="38" t="s">
        <v>521</v>
      </c>
      <c r="H113" s="38" t="s">
        <v>153</v>
      </c>
      <c r="I113" s="38" t="s">
        <v>154</v>
      </c>
      <c r="J113" s="38" t="s">
        <v>73</v>
      </c>
      <c r="K113" s="38" t="s">
        <v>73</v>
      </c>
      <c r="L113" s="38" t="s">
        <v>155</v>
      </c>
      <c r="M113" s="38" t="s">
        <v>103</v>
      </c>
      <c r="N113" s="38" t="s">
        <v>301</v>
      </c>
      <c r="O113" s="38" t="s">
        <v>74</v>
      </c>
      <c r="P113" s="38" t="s">
        <v>269</v>
      </c>
      <c r="Q113" s="38" t="s">
        <v>76</v>
      </c>
      <c r="R113" s="38" t="s">
        <v>158</v>
      </c>
      <c r="S113" s="38" t="s">
        <v>78</v>
      </c>
      <c r="T113" s="41">
        <v>0.01</v>
      </c>
      <c r="U113" s="61" t="s">
        <v>522</v>
      </c>
      <c r="V113" s="46">
        <v>4.1399999999999999E-2</v>
      </c>
      <c r="W113" s="46">
        <v>8.9700000000000002E-2</v>
      </c>
      <c r="X113" s="46" t="s">
        <v>160</v>
      </c>
      <c r="Y113" s="45" t="s">
        <v>74</v>
      </c>
      <c r="Z113" s="49">
        <v>4692.37</v>
      </c>
      <c r="AA113" s="41">
        <v>1</v>
      </c>
      <c r="AB113" s="41">
        <v>101.95</v>
      </c>
      <c r="AC113" s="41">
        <v>0</v>
      </c>
      <c r="AD113" s="41">
        <v>4.7838700000000003</v>
      </c>
      <c r="AG113" s="38" t="s">
        <v>18</v>
      </c>
      <c r="AH113" s="46">
        <v>4.1600000000000002E-5</v>
      </c>
      <c r="AI113" s="46">
        <v>1.1748201174820116E-2</v>
      </c>
      <c r="AJ113" s="46">
        <v>4.5167000000000002E-3</v>
      </c>
    </row>
    <row r="114" spans="1:36" x14ac:dyDescent="0.2">
      <c r="A114" s="38">
        <v>420</v>
      </c>
      <c r="B114" s="38">
        <v>1471</v>
      </c>
      <c r="C114" s="38" t="s">
        <v>298</v>
      </c>
      <c r="D114" s="38">
        <v>511930125</v>
      </c>
      <c r="E114" s="38" t="s">
        <v>150</v>
      </c>
      <c r="F114" s="45" t="s">
        <v>523</v>
      </c>
      <c r="G114" s="38" t="s">
        <v>524</v>
      </c>
      <c r="H114" s="38" t="s">
        <v>153</v>
      </c>
      <c r="I114" s="38" t="s">
        <v>154</v>
      </c>
      <c r="J114" s="38" t="s">
        <v>73</v>
      </c>
      <c r="K114" s="38" t="s">
        <v>73</v>
      </c>
      <c r="L114" s="38" t="s">
        <v>155</v>
      </c>
      <c r="M114" s="38" t="s">
        <v>103</v>
      </c>
      <c r="N114" s="38" t="s">
        <v>301</v>
      </c>
      <c r="O114" s="38" t="s">
        <v>74</v>
      </c>
      <c r="P114" s="38" t="s">
        <v>269</v>
      </c>
      <c r="Q114" s="38" t="s">
        <v>76</v>
      </c>
      <c r="R114" s="38" t="s">
        <v>158</v>
      </c>
      <c r="S114" s="38" t="s">
        <v>78</v>
      </c>
      <c r="T114" s="41">
        <v>1.56</v>
      </c>
      <c r="U114" s="61" t="s">
        <v>525</v>
      </c>
      <c r="V114" s="46">
        <v>2.5000000000000001E-2</v>
      </c>
      <c r="W114" s="46">
        <v>4.8399999999999999E-2</v>
      </c>
      <c r="X114" s="46" t="s">
        <v>160</v>
      </c>
      <c r="Y114" s="45" t="s">
        <v>74</v>
      </c>
      <c r="Z114" s="49">
        <v>9625</v>
      </c>
      <c r="AA114" s="41">
        <v>1</v>
      </c>
      <c r="AB114" s="41">
        <v>97.69</v>
      </c>
      <c r="AC114" s="41">
        <v>0</v>
      </c>
      <c r="AD114" s="41">
        <v>9.4026599999999991</v>
      </c>
      <c r="AG114" s="38" t="s">
        <v>18</v>
      </c>
      <c r="AH114" s="46">
        <v>1.31E-5</v>
      </c>
      <c r="AI114" s="46">
        <v>2.3091102309110229E-2</v>
      </c>
      <c r="AJ114" s="46">
        <v>8.8775999999999994E-3</v>
      </c>
    </row>
    <row r="115" spans="1:36" x14ac:dyDescent="0.2">
      <c r="A115" s="38">
        <v>420</v>
      </c>
      <c r="B115" s="38">
        <v>1471</v>
      </c>
      <c r="C115" s="38" t="s">
        <v>526</v>
      </c>
      <c r="D115" s="38">
        <v>514892801</v>
      </c>
      <c r="E115" s="38" t="s">
        <v>150</v>
      </c>
      <c r="F115" s="45" t="s">
        <v>527</v>
      </c>
      <c r="G115" s="38" t="s">
        <v>528</v>
      </c>
      <c r="H115" s="38" t="s">
        <v>153</v>
      </c>
      <c r="I115" s="38" t="s">
        <v>154</v>
      </c>
      <c r="J115" s="38" t="s">
        <v>73</v>
      </c>
      <c r="K115" s="38" t="s">
        <v>73</v>
      </c>
      <c r="L115" s="38" t="s">
        <v>155</v>
      </c>
      <c r="M115" s="38" t="s">
        <v>103</v>
      </c>
      <c r="N115" s="38" t="s">
        <v>529</v>
      </c>
      <c r="O115" s="38" t="s">
        <v>74</v>
      </c>
      <c r="P115" s="38" t="s">
        <v>269</v>
      </c>
      <c r="Q115" s="38" t="s">
        <v>76</v>
      </c>
      <c r="R115" s="38" t="s">
        <v>158</v>
      </c>
      <c r="S115" s="38" t="s">
        <v>78</v>
      </c>
      <c r="T115" s="41">
        <v>2.87</v>
      </c>
      <c r="U115" s="61" t="s">
        <v>498</v>
      </c>
      <c r="V115" s="46">
        <v>2.6200000000000001E-2</v>
      </c>
      <c r="W115" s="46">
        <v>4.87E-2</v>
      </c>
      <c r="X115" s="46" t="s">
        <v>160</v>
      </c>
      <c r="Y115" s="45" t="s">
        <v>74</v>
      </c>
      <c r="Z115" s="49">
        <v>6968.7</v>
      </c>
      <c r="AA115" s="41">
        <v>1</v>
      </c>
      <c r="AB115" s="41">
        <v>93.94</v>
      </c>
      <c r="AC115" s="41">
        <v>1.4898</v>
      </c>
      <c r="AD115" s="41">
        <v>8.0361899999999995</v>
      </c>
      <c r="AG115" s="38" t="s">
        <v>18</v>
      </c>
      <c r="AH115" s="46">
        <v>1.9400000000000001E-5</v>
      </c>
      <c r="AI115" s="46">
        <v>1.6076601607660161E-2</v>
      </c>
      <c r="AJ115" s="46">
        <v>6.1808000000000002E-3</v>
      </c>
    </row>
    <row r="116" spans="1:36" x14ac:dyDescent="0.2">
      <c r="A116" s="38">
        <v>420</v>
      </c>
      <c r="B116" s="38">
        <v>1471</v>
      </c>
      <c r="C116" s="38" t="s">
        <v>307</v>
      </c>
      <c r="D116" s="38">
        <v>520027830</v>
      </c>
      <c r="E116" s="38" t="s">
        <v>150</v>
      </c>
      <c r="F116" s="45" t="s">
        <v>308</v>
      </c>
      <c r="G116" s="38" t="s">
        <v>309</v>
      </c>
      <c r="H116" s="38" t="s">
        <v>153</v>
      </c>
      <c r="I116" s="38" t="s">
        <v>154</v>
      </c>
      <c r="J116" s="38" t="s">
        <v>73</v>
      </c>
      <c r="K116" s="38" t="s">
        <v>73</v>
      </c>
      <c r="L116" s="38" t="s">
        <v>155</v>
      </c>
      <c r="M116" s="38" t="s">
        <v>103</v>
      </c>
      <c r="N116" s="38" t="s">
        <v>310</v>
      </c>
      <c r="O116" s="38" t="s">
        <v>74</v>
      </c>
      <c r="P116" s="38" t="s">
        <v>311</v>
      </c>
      <c r="Q116" s="38" t="s">
        <v>76</v>
      </c>
      <c r="R116" s="38" t="s">
        <v>158</v>
      </c>
      <c r="S116" s="38" t="s">
        <v>78</v>
      </c>
      <c r="T116" s="41">
        <v>7.33</v>
      </c>
      <c r="U116" s="61" t="s">
        <v>312</v>
      </c>
      <c r="V116" s="46">
        <v>2.4E-2</v>
      </c>
      <c r="W116" s="46">
        <v>4.6899999999999997E-2</v>
      </c>
      <c r="X116" s="46" t="s">
        <v>160</v>
      </c>
      <c r="Y116" s="45" t="s">
        <v>74</v>
      </c>
      <c r="Z116" s="49">
        <v>21219.06</v>
      </c>
      <c r="AA116" s="41">
        <v>1</v>
      </c>
      <c r="AB116" s="41">
        <v>84.92</v>
      </c>
      <c r="AC116" s="41">
        <v>0</v>
      </c>
      <c r="AD116" s="41">
        <v>18.019220000000001</v>
      </c>
      <c r="AG116" s="38" t="s">
        <v>18</v>
      </c>
      <c r="AH116" s="46">
        <v>1.3499999999999999E-5</v>
      </c>
      <c r="AI116" s="46">
        <v>4.4251704425170436E-2</v>
      </c>
      <c r="AJ116" s="46">
        <v>1.7013E-2</v>
      </c>
    </row>
    <row r="117" spans="1:36" x14ac:dyDescent="0.2">
      <c r="A117" s="38">
        <v>420</v>
      </c>
      <c r="B117" s="38">
        <v>1471</v>
      </c>
      <c r="C117" s="38" t="s">
        <v>321</v>
      </c>
      <c r="D117" s="38">
        <v>520030859</v>
      </c>
      <c r="E117" s="38" t="s">
        <v>150</v>
      </c>
      <c r="F117" s="45" t="s">
        <v>322</v>
      </c>
      <c r="G117" s="38" t="s">
        <v>323</v>
      </c>
      <c r="H117" s="38" t="s">
        <v>153</v>
      </c>
      <c r="I117" s="38" t="s">
        <v>154</v>
      </c>
      <c r="J117" s="38" t="s">
        <v>73</v>
      </c>
      <c r="K117" s="38" t="s">
        <v>73</v>
      </c>
      <c r="L117" s="38" t="s">
        <v>155</v>
      </c>
      <c r="M117" s="38" t="s">
        <v>103</v>
      </c>
      <c r="N117" s="38" t="s">
        <v>279</v>
      </c>
      <c r="O117" s="38" t="s">
        <v>74</v>
      </c>
      <c r="P117" s="38" t="s">
        <v>311</v>
      </c>
      <c r="Q117" s="38" t="s">
        <v>76</v>
      </c>
      <c r="R117" s="38" t="s">
        <v>158</v>
      </c>
      <c r="S117" s="38" t="s">
        <v>78</v>
      </c>
      <c r="T117" s="41">
        <v>5.83</v>
      </c>
      <c r="U117" s="61" t="s">
        <v>324</v>
      </c>
      <c r="V117" s="46">
        <v>5.3100000000000001E-2</v>
      </c>
      <c r="W117" s="46">
        <v>4.8000000000000001E-2</v>
      </c>
      <c r="X117" s="46" t="s">
        <v>160</v>
      </c>
      <c r="Y117" s="45" t="s">
        <v>74</v>
      </c>
      <c r="Z117" s="49">
        <v>1000</v>
      </c>
      <c r="AA117" s="41">
        <v>1</v>
      </c>
      <c r="AB117" s="41">
        <v>105.58</v>
      </c>
      <c r="AC117" s="41">
        <v>0</v>
      </c>
      <c r="AD117" s="41">
        <v>1.0558000000000001</v>
      </c>
      <c r="AG117" s="38" t="s">
        <v>18</v>
      </c>
      <c r="AH117" s="46">
        <v>3.1E-6</v>
      </c>
      <c r="AI117" s="46">
        <v>2.592800259280026E-3</v>
      </c>
      <c r="AJ117" s="46">
        <v>9.9679999999999994E-4</v>
      </c>
    </row>
    <row r="118" spans="1:36" x14ac:dyDescent="0.2">
      <c r="A118" s="38">
        <v>420</v>
      </c>
      <c r="B118" s="38">
        <v>1471</v>
      </c>
      <c r="C118" s="38" t="s">
        <v>329</v>
      </c>
      <c r="D118" s="38">
        <v>520001736</v>
      </c>
      <c r="E118" s="38" t="s">
        <v>150</v>
      </c>
      <c r="F118" s="45" t="s">
        <v>333</v>
      </c>
      <c r="G118" s="38" t="s">
        <v>334</v>
      </c>
      <c r="H118" s="38" t="s">
        <v>153</v>
      </c>
      <c r="I118" s="38" t="s">
        <v>202</v>
      </c>
      <c r="J118" s="38" t="s">
        <v>73</v>
      </c>
      <c r="K118" s="38" t="s">
        <v>73</v>
      </c>
      <c r="L118" s="38" t="s">
        <v>155</v>
      </c>
      <c r="M118" s="38" t="s">
        <v>103</v>
      </c>
      <c r="N118" s="38" t="s">
        <v>173</v>
      </c>
      <c r="O118" s="38" t="s">
        <v>74</v>
      </c>
      <c r="P118" s="38" t="s">
        <v>311</v>
      </c>
      <c r="Q118" s="38" t="s">
        <v>76</v>
      </c>
      <c r="R118" s="38" t="s">
        <v>158</v>
      </c>
      <c r="S118" s="38" t="s">
        <v>78</v>
      </c>
      <c r="T118" s="41">
        <v>4</v>
      </c>
      <c r="U118" s="61" t="s">
        <v>258</v>
      </c>
      <c r="V118" s="46">
        <v>5.0000000000000001E-3</v>
      </c>
      <c r="W118" s="46">
        <v>2.8799999999999999E-2</v>
      </c>
      <c r="X118" s="46" t="s">
        <v>160</v>
      </c>
      <c r="Y118" s="45" t="s">
        <v>74</v>
      </c>
      <c r="Z118" s="49">
        <v>1419.36</v>
      </c>
      <c r="AA118" s="41">
        <v>1</v>
      </c>
      <c r="AB118" s="41">
        <v>106.2</v>
      </c>
      <c r="AC118" s="41">
        <v>0</v>
      </c>
      <c r="AD118" s="41">
        <v>1.50736</v>
      </c>
      <c r="AG118" s="38" t="s">
        <v>18</v>
      </c>
      <c r="AH118" s="46">
        <v>9.9999999999999995E-7</v>
      </c>
      <c r="AI118" s="46">
        <v>3.7018003701800367E-3</v>
      </c>
      <c r="AJ118" s="46">
        <v>1.4231999999999999E-3</v>
      </c>
    </row>
    <row r="119" spans="1:36" x14ac:dyDescent="0.2">
      <c r="A119" s="38">
        <v>420</v>
      </c>
      <c r="B119" s="38">
        <v>1471</v>
      </c>
      <c r="C119" s="38" t="s">
        <v>329</v>
      </c>
      <c r="D119" s="38">
        <v>520001736</v>
      </c>
      <c r="E119" s="38" t="s">
        <v>150</v>
      </c>
      <c r="F119" s="45" t="s">
        <v>337</v>
      </c>
      <c r="G119" s="38" t="s">
        <v>338</v>
      </c>
      <c r="H119" s="38" t="s">
        <v>153</v>
      </c>
      <c r="I119" s="38" t="s">
        <v>202</v>
      </c>
      <c r="J119" s="38" t="s">
        <v>73</v>
      </c>
      <c r="K119" s="38" t="s">
        <v>73</v>
      </c>
      <c r="L119" s="38" t="s">
        <v>155</v>
      </c>
      <c r="M119" s="38" t="s">
        <v>103</v>
      </c>
      <c r="N119" s="38" t="s">
        <v>173</v>
      </c>
      <c r="O119" s="38" t="s">
        <v>74</v>
      </c>
      <c r="P119" s="38" t="s">
        <v>311</v>
      </c>
      <c r="Q119" s="38" t="s">
        <v>76</v>
      </c>
      <c r="R119" s="38" t="s">
        <v>158</v>
      </c>
      <c r="S119" s="38" t="s">
        <v>78</v>
      </c>
      <c r="T119" s="41">
        <v>3.07</v>
      </c>
      <c r="U119" s="61" t="s">
        <v>109</v>
      </c>
      <c r="V119" s="46">
        <v>3.3399999999999999E-2</v>
      </c>
      <c r="W119" s="46">
        <v>2.9399999999999999E-2</v>
      </c>
      <c r="X119" s="46" t="s">
        <v>160</v>
      </c>
      <c r="Y119" s="45" t="s">
        <v>74</v>
      </c>
      <c r="Z119" s="49">
        <v>3000</v>
      </c>
      <c r="AA119" s="41">
        <v>1</v>
      </c>
      <c r="AB119" s="41">
        <v>105.28</v>
      </c>
      <c r="AC119" s="41">
        <v>0</v>
      </c>
      <c r="AD119" s="41">
        <v>3.1583999999999999</v>
      </c>
      <c r="AG119" s="38" t="s">
        <v>18</v>
      </c>
      <c r="AH119" s="46">
        <v>2.7E-6</v>
      </c>
      <c r="AI119" s="46">
        <v>7.7564007756400774E-3</v>
      </c>
      <c r="AJ119" s="46">
        <v>2.9819999999999998E-3</v>
      </c>
    </row>
    <row r="120" spans="1:36" x14ac:dyDescent="0.2">
      <c r="A120" s="38">
        <v>420</v>
      </c>
      <c r="B120" s="38">
        <v>1471</v>
      </c>
      <c r="C120" s="38" t="s">
        <v>530</v>
      </c>
      <c r="D120" s="38">
        <v>520024126</v>
      </c>
      <c r="E120" s="38" t="s">
        <v>150</v>
      </c>
      <c r="F120" s="45" t="s">
        <v>531</v>
      </c>
      <c r="G120" s="38" t="s">
        <v>532</v>
      </c>
      <c r="H120" s="38" t="s">
        <v>153</v>
      </c>
      <c r="I120" s="38" t="s">
        <v>154</v>
      </c>
      <c r="J120" s="38" t="s">
        <v>73</v>
      </c>
      <c r="K120" s="38" t="s">
        <v>73</v>
      </c>
      <c r="L120" s="38" t="s">
        <v>155</v>
      </c>
      <c r="M120" s="38" t="s">
        <v>103</v>
      </c>
      <c r="N120" s="38" t="s">
        <v>173</v>
      </c>
      <c r="O120" s="38" t="s">
        <v>74</v>
      </c>
      <c r="P120" s="38" t="s">
        <v>311</v>
      </c>
      <c r="Q120" s="38" t="s">
        <v>76</v>
      </c>
      <c r="R120" s="38" t="s">
        <v>158</v>
      </c>
      <c r="S120" s="38" t="s">
        <v>78</v>
      </c>
      <c r="T120" s="41">
        <v>1.91</v>
      </c>
      <c r="U120" s="61" t="s">
        <v>288</v>
      </c>
      <c r="V120" s="46">
        <v>5.6500000000000002E-2</v>
      </c>
      <c r="W120" s="46">
        <v>4.7399999999999998E-2</v>
      </c>
      <c r="X120" s="46" t="s">
        <v>160</v>
      </c>
      <c r="Y120" s="45" t="s">
        <v>74</v>
      </c>
      <c r="Z120" s="49">
        <v>7994.17</v>
      </c>
      <c r="AA120" s="41">
        <v>1</v>
      </c>
      <c r="AB120" s="41">
        <v>101.82</v>
      </c>
      <c r="AC120" s="41">
        <v>0</v>
      </c>
      <c r="AD120" s="41">
        <v>8.1396599999999992</v>
      </c>
      <c r="AG120" s="38" t="s">
        <v>18</v>
      </c>
      <c r="AH120" s="46">
        <v>6.8200000000000004E-5</v>
      </c>
      <c r="AI120" s="46">
        <v>1.9989401998940198E-2</v>
      </c>
      <c r="AJ120" s="46">
        <v>7.6851000000000003E-3</v>
      </c>
    </row>
    <row r="121" spans="1:36" x14ac:dyDescent="0.2">
      <c r="A121" s="38">
        <v>420</v>
      </c>
      <c r="B121" s="38">
        <v>1471</v>
      </c>
      <c r="C121" s="38" t="s">
        <v>339</v>
      </c>
      <c r="D121" s="38">
        <v>520037789</v>
      </c>
      <c r="E121" s="38" t="s">
        <v>150</v>
      </c>
      <c r="F121" s="45" t="s">
        <v>340</v>
      </c>
      <c r="G121" s="38" t="s">
        <v>341</v>
      </c>
      <c r="H121" s="38" t="s">
        <v>153</v>
      </c>
      <c r="I121" s="38" t="s">
        <v>202</v>
      </c>
      <c r="J121" s="38" t="s">
        <v>73</v>
      </c>
      <c r="K121" s="38" t="s">
        <v>73</v>
      </c>
      <c r="L121" s="38" t="s">
        <v>155</v>
      </c>
      <c r="M121" s="38" t="s">
        <v>103</v>
      </c>
      <c r="N121" s="38" t="s">
        <v>173</v>
      </c>
      <c r="O121" s="38" t="s">
        <v>74</v>
      </c>
      <c r="P121" s="38" t="s">
        <v>311</v>
      </c>
      <c r="Q121" s="38" t="s">
        <v>76</v>
      </c>
      <c r="R121" s="38" t="s">
        <v>158</v>
      </c>
      <c r="S121" s="38" t="s">
        <v>78</v>
      </c>
      <c r="T121" s="41">
        <v>1.68</v>
      </c>
      <c r="U121" s="61" t="s">
        <v>342</v>
      </c>
      <c r="V121" s="46">
        <v>2.35E-2</v>
      </c>
      <c r="W121" s="46">
        <v>2.7400000000000001E-2</v>
      </c>
      <c r="X121" s="46" t="s">
        <v>160</v>
      </c>
      <c r="Y121" s="45" t="s">
        <v>74</v>
      </c>
      <c r="Z121" s="49">
        <v>0.75</v>
      </c>
      <c r="AA121" s="41">
        <v>1</v>
      </c>
      <c r="AB121" s="41">
        <v>118.4</v>
      </c>
      <c r="AC121" s="41">
        <v>0</v>
      </c>
      <c r="AD121" s="41">
        <v>8.8000000000000003E-4</v>
      </c>
      <c r="AG121" s="38" t="s">
        <v>18</v>
      </c>
      <c r="AH121" s="46">
        <v>0</v>
      </c>
      <c r="AI121" s="46">
        <v>2.2000002200000221E-6</v>
      </c>
      <c r="AJ121" s="46">
        <v>7.9999999999999996E-7</v>
      </c>
    </row>
    <row r="122" spans="1:36" x14ac:dyDescent="0.2">
      <c r="A122" s="38">
        <v>420</v>
      </c>
      <c r="B122" s="38">
        <v>1471</v>
      </c>
      <c r="C122" s="38" t="s">
        <v>339</v>
      </c>
      <c r="D122" s="38">
        <v>520037789</v>
      </c>
      <c r="E122" s="38" t="s">
        <v>150</v>
      </c>
      <c r="F122" s="45" t="s">
        <v>345</v>
      </c>
      <c r="G122" s="38" t="s">
        <v>346</v>
      </c>
      <c r="H122" s="38" t="s">
        <v>153</v>
      </c>
      <c r="I122" s="38" t="s">
        <v>202</v>
      </c>
      <c r="J122" s="38" t="s">
        <v>73</v>
      </c>
      <c r="K122" s="38" t="s">
        <v>73</v>
      </c>
      <c r="L122" s="38" t="s">
        <v>155</v>
      </c>
      <c r="M122" s="38" t="s">
        <v>103</v>
      </c>
      <c r="N122" s="38" t="s">
        <v>173</v>
      </c>
      <c r="O122" s="38" t="s">
        <v>74</v>
      </c>
      <c r="P122" s="38" t="s">
        <v>311</v>
      </c>
      <c r="Q122" s="38" t="s">
        <v>76</v>
      </c>
      <c r="R122" s="38" t="s">
        <v>158</v>
      </c>
      <c r="S122" s="38" t="s">
        <v>78</v>
      </c>
      <c r="T122" s="41">
        <v>5.6</v>
      </c>
      <c r="U122" s="61" t="s">
        <v>347</v>
      </c>
      <c r="V122" s="46">
        <v>3.61E-2</v>
      </c>
      <c r="W122" s="46">
        <v>2.93E-2</v>
      </c>
      <c r="X122" s="46" t="s">
        <v>160</v>
      </c>
      <c r="Y122" s="45" t="s">
        <v>74</v>
      </c>
      <c r="Z122" s="49">
        <v>2954.54</v>
      </c>
      <c r="AA122" s="41">
        <v>1</v>
      </c>
      <c r="AB122" s="41">
        <v>111.6</v>
      </c>
      <c r="AC122" s="41">
        <v>6.5500000000000003E-2</v>
      </c>
      <c r="AD122" s="41">
        <v>3.3627600000000002</v>
      </c>
      <c r="AG122" s="38" t="s">
        <v>18</v>
      </c>
      <c r="AH122" s="46">
        <v>1.7999999999999999E-6</v>
      </c>
      <c r="AI122" s="46">
        <v>8.0974008097400799E-3</v>
      </c>
      <c r="AJ122" s="46">
        <v>3.1131000000000002E-3</v>
      </c>
    </row>
    <row r="123" spans="1:36" x14ac:dyDescent="0.2">
      <c r="A123" s="38">
        <v>420</v>
      </c>
      <c r="B123" s="38">
        <v>1471</v>
      </c>
      <c r="C123" s="38" t="s">
        <v>348</v>
      </c>
      <c r="D123" s="38">
        <v>1737</v>
      </c>
      <c r="E123" s="38" t="s">
        <v>150</v>
      </c>
      <c r="F123" s="45" t="s">
        <v>349</v>
      </c>
      <c r="G123" s="38" t="s">
        <v>350</v>
      </c>
      <c r="H123" s="38" t="s">
        <v>153</v>
      </c>
      <c r="I123" s="38" t="s">
        <v>154</v>
      </c>
      <c r="J123" s="38" t="s">
        <v>73</v>
      </c>
      <c r="K123" s="38" t="s">
        <v>351</v>
      </c>
      <c r="L123" s="38" t="s">
        <v>155</v>
      </c>
      <c r="M123" s="38" t="s">
        <v>103</v>
      </c>
      <c r="N123" s="38" t="s">
        <v>182</v>
      </c>
      <c r="O123" s="38" t="s">
        <v>74</v>
      </c>
      <c r="P123" s="38" t="s">
        <v>311</v>
      </c>
      <c r="Q123" s="38" t="s">
        <v>76</v>
      </c>
      <c r="R123" s="38" t="s">
        <v>158</v>
      </c>
      <c r="S123" s="38" t="s">
        <v>78</v>
      </c>
      <c r="T123" s="41">
        <v>3.96</v>
      </c>
      <c r="U123" s="61" t="s">
        <v>352</v>
      </c>
      <c r="V123" s="46">
        <v>6.7400000000000002E-2</v>
      </c>
      <c r="W123" s="46">
        <v>5.6800000000000003E-2</v>
      </c>
      <c r="X123" s="46" t="s">
        <v>160</v>
      </c>
      <c r="Y123" s="45" t="s">
        <v>74</v>
      </c>
      <c r="Z123" s="49">
        <v>3000</v>
      </c>
      <c r="AA123" s="41">
        <v>1</v>
      </c>
      <c r="AB123" s="41">
        <v>104.44</v>
      </c>
      <c r="AC123" s="41">
        <v>0</v>
      </c>
      <c r="AD123" s="41">
        <v>3.1332</v>
      </c>
      <c r="AG123" s="38" t="s">
        <v>18</v>
      </c>
      <c r="AH123" s="46">
        <v>1.0499999999999999E-5</v>
      </c>
      <c r="AI123" s="46">
        <v>7.6945007694500765E-3</v>
      </c>
      <c r="AJ123" s="46">
        <v>2.9581999999999998E-3</v>
      </c>
    </row>
    <row r="124" spans="1:36" x14ac:dyDescent="0.2">
      <c r="A124" s="38">
        <v>420</v>
      </c>
      <c r="B124" s="38">
        <v>1471</v>
      </c>
      <c r="C124" s="38" t="s">
        <v>353</v>
      </c>
      <c r="D124" s="38">
        <v>514290345</v>
      </c>
      <c r="E124" s="38" t="s">
        <v>150</v>
      </c>
      <c r="F124" s="45" t="s">
        <v>533</v>
      </c>
      <c r="G124" s="38" t="s">
        <v>534</v>
      </c>
      <c r="H124" s="38" t="s">
        <v>153</v>
      </c>
      <c r="I124" s="38" t="s">
        <v>154</v>
      </c>
      <c r="J124" s="38" t="s">
        <v>73</v>
      </c>
      <c r="K124" s="38" t="s">
        <v>73</v>
      </c>
      <c r="L124" s="38" t="s">
        <v>155</v>
      </c>
      <c r="M124" s="38" t="s">
        <v>103</v>
      </c>
      <c r="N124" s="38" t="s">
        <v>217</v>
      </c>
      <c r="O124" s="38" t="s">
        <v>74</v>
      </c>
      <c r="P124" s="38" t="s">
        <v>311</v>
      </c>
      <c r="Q124" s="38" t="s">
        <v>76</v>
      </c>
      <c r="R124" s="38" t="s">
        <v>158</v>
      </c>
      <c r="S124" s="38" t="s">
        <v>78</v>
      </c>
      <c r="T124" s="41">
        <v>3.65</v>
      </c>
      <c r="U124" s="61" t="s">
        <v>137</v>
      </c>
      <c r="V124" s="46">
        <v>2.6200000000000001E-2</v>
      </c>
      <c r="W124" s="46">
        <v>4.4999999999999998E-2</v>
      </c>
      <c r="X124" s="46" t="s">
        <v>160</v>
      </c>
      <c r="Y124" s="45" t="s">
        <v>74</v>
      </c>
      <c r="Z124" s="49">
        <v>13000</v>
      </c>
      <c r="AA124" s="41">
        <v>1</v>
      </c>
      <c r="AB124" s="41">
        <v>94.04</v>
      </c>
      <c r="AC124" s="41">
        <v>0</v>
      </c>
      <c r="AD124" s="41">
        <v>12.225199999999999</v>
      </c>
      <c r="AG124" s="38" t="s">
        <v>18</v>
      </c>
      <c r="AH124" s="46">
        <v>1.0000000000000001E-5</v>
      </c>
      <c r="AI124" s="46">
        <v>3.0022703002270296E-2</v>
      </c>
      <c r="AJ124" s="46">
        <v>1.1542500000000001E-2</v>
      </c>
    </row>
    <row r="125" spans="1:36" x14ac:dyDescent="0.2">
      <c r="A125" s="38">
        <v>420</v>
      </c>
      <c r="B125" s="38">
        <v>1471</v>
      </c>
      <c r="C125" s="38" t="s">
        <v>353</v>
      </c>
      <c r="D125" s="38">
        <v>514290345</v>
      </c>
      <c r="E125" s="38" t="s">
        <v>150</v>
      </c>
      <c r="F125" s="45" t="s">
        <v>354</v>
      </c>
      <c r="G125" s="38" t="s">
        <v>355</v>
      </c>
      <c r="H125" s="38" t="s">
        <v>153</v>
      </c>
      <c r="I125" s="38" t="s">
        <v>154</v>
      </c>
      <c r="J125" s="38" t="s">
        <v>73</v>
      </c>
      <c r="K125" s="38" t="s">
        <v>73</v>
      </c>
      <c r="L125" s="38" t="s">
        <v>155</v>
      </c>
      <c r="M125" s="38" t="s">
        <v>103</v>
      </c>
      <c r="N125" s="38" t="s">
        <v>217</v>
      </c>
      <c r="O125" s="38" t="s">
        <v>74</v>
      </c>
      <c r="P125" s="38" t="s">
        <v>311</v>
      </c>
      <c r="Q125" s="38" t="s">
        <v>76</v>
      </c>
      <c r="R125" s="38" t="s">
        <v>158</v>
      </c>
      <c r="S125" s="38" t="s">
        <v>78</v>
      </c>
      <c r="T125" s="41">
        <v>4.49</v>
      </c>
      <c r="U125" s="61" t="s">
        <v>258</v>
      </c>
      <c r="V125" s="46">
        <v>4.6899999999999997E-2</v>
      </c>
      <c r="W125" s="46">
        <v>4.5600000000000002E-2</v>
      </c>
      <c r="X125" s="46" t="s">
        <v>160</v>
      </c>
      <c r="Y125" s="45" t="s">
        <v>74</v>
      </c>
      <c r="Z125" s="49">
        <v>5000</v>
      </c>
      <c r="AA125" s="41">
        <v>1</v>
      </c>
      <c r="AB125" s="41">
        <v>100.9</v>
      </c>
      <c r="AC125" s="41">
        <v>0</v>
      </c>
      <c r="AD125" s="41">
        <v>5.0449999999999999</v>
      </c>
      <c r="AG125" s="38" t="s">
        <v>18</v>
      </c>
      <c r="AH125" s="46">
        <v>1.0000000000000001E-5</v>
      </c>
      <c r="AI125" s="46">
        <v>1.2389501238950123E-2</v>
      </c>
      <c r="AJ125" s="46">
        <v>4.7632999999999998E-3</v>
      </c>
    </row>
    <row r="126" spans="1:36" x14ac:dyDescent="0.2">
      <c r="A126" s="38">
        <v>420</v>
      </c>
      <c r="B126" s="38">
        <v>1471</v>
      </c>
      <c r="C126" s="38" t="s">
        <v>356</v>
      </c>
      <c r="D126" s="38">
        <v>513821488</v>
      </c>
      <c r="E126" s="38" t="s">
        <v>150</v>
      </c>
      <c r="F126" s="45" t="s">
        <v>535</v>
      </c>
      <c r="G126" s="38" t="s">
        <v>536</v>
      </c>
      <c r="H126" s="38" t="s">
        <v>153</v>
      </c>
      <c r="I126" s="38" t="s">
        <v>202</v>
      </c>
      <c r="J126" s="38" t="s">
        <v>73</v>
      </c>
      <c r="K126" s="38" t="s">
        <v>73</v>
      </c>
      <c r="L126" s="38" t="s">
        <v>155</v>
      </c>
      <c r="M126" s="38" t="s">
        <v>103</v>
      </c>
      <c r="N126" s="38" t="s">
        <v>173</v>
      </c>
      <c r="O126" s="38" t="s">
        <v>74</v>
      </c>
      <c r="P126" s="38" t="s">
        <v>311</v>
      </c>
      <c r="Q126" s="38" t="s">
        <v>76</v>
      </c>
      <c r="R126" s="38" t="s">
        <v>158</v>
      </c>
      <c r="S126" s="38" t="s">
        <v>78</v>
      </c>
      <c r="T126" s="41">
        <v>1.66</v>
      </c>
      <c r="U126" s="61" t="s">
        <v>537</v>
      </c>
      <c r="V126" s="46">
        <v>0.04</v>
      </c>
      <c r="W126" s="46">
        <v>2.93E-2</v>
      </c>
      <c r="X126" s="46" t="s">
        <v>160</v>
      </c>
      <c r="Y126" s="45" t="s">
        <v>74</v>
      </c>
      <c r="Z126" s="49">
        <v>7533.44</v>
      </c>
      <c r="AA126" s="41">
        <v>1</v>
      </c>
      <c r="AB126" s="41">
        <v>121.17</v>
      </c>
      <c r="AC126" s="41">
        <v>0</v>
      </c>
      <c r="AD126" s="41">
        <v>9.1282599999999992</v>
      </c>
      <c r="AG126" s="38" t="s">
        <v>18</v>
      </c>
      <c r="AH126" s="46">
        <v>8.8999999999999995E-6</v>
      </c>
      <c r="AI126" s="46">
        <v>2.2417202241720224E-2</v>
      </c>
      <c r="AJ126" s="46">
        <v>8.6184999999999994E-3</v>
      </c>
    </row>
    <row r="127" spans="1:36" x14ac:dyDescent="0.2">
      <c r="A127" s="38">
        <v>420</v>
      </c>
      <c r="B127" s="38">
        <v>1471</v>
      </c>
      <c r="C127" s="38" t="s">
        <v>538</v>
      </c>
      <c r="D127" s="38">
        <v>520022732</v>
      </c>
      <c r="E127" s="38" t="s">
        <v>150</v>
      </c>
      <c r="F127" s="45" t="s">
        <v>539</v>
      </c>
      <c r="G127" s="38" t="s">
        <v>540</v>
      </c>
      <c r="H127" s="38" t="s">
        <v>153</v>
      </c>
      <c r="I127" s="38" t="s">
        <v>202</v>
      </c>
      <c r="J127" s="38" t="s">
        <v>73</v>
      </c>
      <c r="K127" s="38" t="s">
        <v>73</v>
      </c>
      <c r="L127" s="38" t="s">
        <v>155</v>
      </c>
      <c r="M127" s="38" t="s">
        <v>103</v>
      </c>
      <c r="N127" s="38" t="s">
        <v>156</v>
      </c>
      <c r="O127" s="38" t="s">
        <v>74</v>
      </c>
      <c r="P127" s="38" t="s">
        <v>311</v>
      </c>
      <c r="Q127" s="38" t="s">
        <v>76</v>
      </c>
      <c r="R127" s="38" t="s">
        <v>158</v>
      </c>
      <c r="S127" s="38" t="s">
        <v>78</v>
      </c>
      <c r="T127" s="41">
        <v>2.16</v>
      </c>
      <c r="U127" s="61" t="s">
        <v>541</v>
      </c>
      <c r="V127" s="46">
        <v>2.9899999999999999E-2</v>
      </c>
      <c r="W127" s="46">
        <v>2.7300000000000001E-2</v>
      </c>
      <c r="X127" s="46" t="s">
        <v>160</v>
      </c>
      <c r="Y127" s="45" t="s">
        <v>74</v>
      </c>
      <c r="Z127" s="49">
        <v>9166.42</v>
      </c>
      <c r="AA127" s="41">
        <v>1</v>
      </c>
      <c r="AB127" s="41">
        <v>119.99</v>
      </c>
      <c r="AC127" s="41">
        <v>0</v>
      </c>
      <c r="AD127" s="41">
        <v>10.99878</v>
      </c>
      <c r="AG127" s="38" t="s">
        <v>18</v>
      </c>
      <c r="AH127" s="46">
        <v>6.2000000000000003E-5</v>
      </c>
      <c r="AI127" s="46">
        <v>2.7010802701080271E-2</v>
      </c>
      <c r="AJ127" s="46">
        <v>1.0384600000000001E-2</v>
      </c>
    </row>
    <row r="128" spans="1:36" x14ac:dyDescent="0.2">
      <c r="A128" s="38">
        <v>420</v>
      </c>
      <c r="B128" s="38">
        <v>1471</v>
      </c>
      <c r="C128" s="38" t="s">
        <v>369</v>
      </c>
      <c r="D128" s="38">
        <v>513623314</v>
      </c>
      <c r="E128" s="38" t="s">
        <v>150</v>
      </c>
      <c r="F128" s="45" t="s">
        <v>542</v>
      </c>
      <c r="G128" s="38" t="s">
        <v>543</v>
      </c>
      <c r="H128" s="38" t="s">
        <v>153</v>
      </c>
      <c r="I128" s="38" t="s">
        <v>202</v>
      </c>
      <c r="J128" s="38" t="s">
        <v>73</v>
      </c>
      <c r="K128" s="38" t="s">
        <v>73</v>
      </c>
      <c r="L128" s="38" t="s">
        <v>155</v>
      </c>
      <c r="M128" s="38" t="s">
        <v>103</v>
      </c>
      <c r="N128" s="38" t="s">
        <v>173</v>
      </c>
      <c r="O128" s="38" t="s">
        <v>74</v>
      </c>
      <c r="P128" s="38" t="s">
        <v>363</v>
      </c>
      <c r="Q128" s="38" t="s">
        <v>76</v>
      </c>
      <c r="R128" s="38" t="s">
        <v>158</v>
      </c>
      <c r="S128" s="38" t="s">
        <v>78</v>
      </c>
      <c r="T128" s="41">
        <v>2.17</v>
      </c>
      <c r="U128" s="61" t="s">
        <v>544</v>
      </c>
      <c r="V128" s="46">
        <v>3.3500000000000002E-2</v>
      </c>
      <c r="W128" s="46">
        <v>2.87E-2</v>
      </c>
      <c r="X128" s="46" t="s">
        <v>160</v>
      </c>
      <c r="Y128" s="45" t="s">
        <v>74</v>
      </c>
      <c r="Z128" s="49">
        <v>11191</v>
      </c>
      <c r="AA128" s="41">
        <v>1</v>
      </c>
      <c r="AB128" s="41">
        <v>119.31</v>
      </c>
      <c r="AC128" s="41">
        <v>0</v>
      </c>
      <c r="AD128" s="41">
        <v>13.351979999999999</v>
      </c>
      <c r="AG128" s="38" t="s">
        <v>18</v>
      </c>
      <c r="AH128" s="46">
        <v>1.8499999999999999E-5</v>
      </c>
      <c r="AI128" s="46">
        <v>3.2789803278980324E-2</v>
      </c>
      <c r="AJ128" s="46">
        <v>1.26064E-2</v>
      </c>
    </row>
    <row r="129" spans="1:36" x14ac:dyDescent="0.2">
      <c r="A129" s="38">
        <v>420</v>
      </c>
      <c r="B129" s="38">
        <v>1471</v>
      </c>
      <c r="C129" s="38" t="s">
        <v>281</v>
      </c>
      <c r="D129" s="38">
        <v>513834200</v>
      </c>
      <c r="E129" s="38" t="s">
        <v>150</v>
      </c>
      <c r="F129" s="45" t="s">
        <v>545</v>
      </c>
      <c r="G129" s="38" t="s">
        <v>546</v>
      </c>
      <c r="H129" s="38" t="s">
        <v>153</v>
      </c>
      <c r="I129" s="38" t="s">
        <v>154</v>
      </c>
      <c r="J129" s="38" t="s">
        <v>73</v>
      </c>
      <c r="K129" s="38" t="s">
        <v>73</v>
      </c>
      <c r="L129" s="38" t="s">
        <v>155</v>
      </c>
      <c r="M129" s="38" t="s">
        <v>103</v>
      </c>
      <c r="N129" s="38" t="s">
        <v>217</v>
      </c>
      <c r="O129" s="38" t="s">
        <v>74</v>
      </c>
      <c r="P129" s="38" t="s">
        <v>363</v>
      </c>
      <c r="Q129" s="38" t="s">
        <v>76</v>
      </c>
      <c r="R129" s="38" t="s">
        <v>158</v>
      </c>
      <c r="S129" s="38" t="s">
        <v>78</v>
      </c>
      <c r="T129" s="41">
        <v>4.17</v>
      </c>
      <c r="U129" s="61" t="s">
        <v>255</v>
      </c>
      <c r="V129" s="46">
        <v>3.95E-2</v>
      </c>
      <c r="W129" s="46">
        <v>4.4699999999999997E-2</v>
      </c>
      <c r="X129" s="46" t="s">
        <v>160</v>
      </c>
      <c r="Y129" s="45" t="s">
        <v>74</v>
      </c>
      <c r="Z129" s="49">
        <v>12000</v>
      </c>
      <c r="AA129" s="41">
        <v>1</v>
      </c>
      <c r="AB129" s="41">
        <v>98.06</v>
      </c>
      <c r="AC129" s="41">
        <v>0</v>
      </c>
      <c r="AD129" s="41">
        <v>11.767200000000001</v>
      </c>
      <c r="AG129" s="38" t="s">
        <v>18</v>
      </c>
      <c r="AH129" s="46">
        <v>4.99E-5</v>
      </c>
      <c r="AI129" s="46">
        <v>2.889790288979029E-2</v>
      </c>
      <c r="AJ129" s="46">
        <v>1.1110099999999999E-2</v>
      </c>
    </row>
    <row r="130" spans="1:36" x14ac:dyDescent="0.2">
      <c r="A130" s="38">
        <v>420</v>
      </c>
      <c r="B130" s="38">
        <v>1471</v>
      </c>
      <c r="C130" s="38" t="s">
        <v>281</v>
      </c>
      <c r="D130" s="38">
        <v>513834200</v>
      </c>
      <c r="E130" s="38" t="s">
        <v>150</v>
      </c>
      <c r="F130" s="45" t="s">
        <v>381</v>
      </c>
      <c r="G130" s="38" t="s">
        <v>382</v>
      </c>
      <c r="H130" s="38" t="s">
        <v>153</v>
      </c>
      <c r="I130" s="38" t="s">
        <v>154</v>
      </c>
      <c r="J130" s="38" t="s">
        <v>73</v>
      </c>
      <c r="K130" s="38" t="s">
        <v>73</v>
      </c>
      <c r="L130" s="38" t="s">
        <v>155</v>
      </c>
      <c r="M130" s="38" t="s">
        <v>103</v>
      </c>
      <c r="N130" s="38" t="s">
        <v>217</v>
      </c>
      <c r="O130" s="38" t="s">
        <v>74</v>
      </c>
      <c r="P130" s="38" t="s">
        <v>363</v>
      </c>
      <c r="Q130" s="38" t="s">
        <v>76</v>
      </c>
      <c r="R130" s="38" t="s">
        <v>158</v>
      </c>
      <c r="S130" s="38" t="s">
        <v>78</v>
      </c>
      <c r="T130" s="41">
        <v>6.87</v>
      </c>
      <c r="U130" s="61" t="s">
        <v>383</v>
      </c>
      <c r="V130" s="46">
        <v>6.0199999999999997E-2</v>
      </c>
      <c r="W130" s="46">
        <v>4.7699999999999999E-2</v>
      </c>
      <c r="X130" s="46" t="s">
        <v>160</v>
      </c>
      <c r="Y130" s="45" t="s">
        <v>74</v>
      </c>
      <c r="Z130" s="49">
        <v>3000</v>
      </c>
      <c r="AA130" s="41">
        <v>1</v>
      </c>
      <c r="AB130" s="41">
        <v>109.04</v>
      </c>
      <c r="AC130" s="41">
        <v>0</v>
      </c>
      <c r="AD130" s="41">
        <v>3.2711999999999999</v>
      </c>
      <c r="AG130" s="38" t="s">
        <v>18</v>
      </c>
      <c r="AH130" s="46">
        <v>6.0000000000000002E-6</v>
      </c>
      <c r="AI130" s="46">
        <v>8.0334008033400798E-3</v>
      </c>
      <c r="AJ130" s="46">
        <v>3.0885000000000001E-3</v>
      </c>
    </row>
    <row r="131" spans="1:36" x14ac:dyDescent="0.2">
      <c r="A131" s="38">
        <v>420</v>
      </c>
      <c r="B131" s="38">
        <v>1471</v>
      </c>
      <c r="C131" s="38" t="s">
        <v>281</v>
      </c>
      <c r="D131" s="38">
        <v>513834200</v>
      </c>
      <c r="E131" s="38" t="s">
        <v>150</v>
      </c>
      <c r="F131" s="45" t="s">
        <v>547</v>
      </c>
      <c r="G131" s="38" t="s">
        <v>548</v>
      </c>
      <c r="H131" s="38" t="s">
        <v>153</v>
      </c>
      <c r="I131" s="38" t="s">
        <v>202</v>
      </c>
      <c r="J131" s="38" t="s">
        <v>73</v>
      </c>
      <c r="K131" s="38" t="s">
        <v>73</v>
      </c>
      <c r="L131" s="38" t="s">
        <v>155</v>
      </c>
      <c r="M131" s="38" t="s">
        <v>103</v>
      </c>
      <c r="N131" s="38" t="s">
        <v>217</v>
      </c>
      <c r="O131" s="38" t="s">
        <v>74</v>
      </c>
      <c r="P131" s="38" t="s">
        <v>363</v>
      </c>
      <c r="Q131" s="38" t="s">
        <v>76</v>
      </c>
      <c r="R131" s="38" t="s">
        <v>158</v>
      </c>
      <c r="S131" s="38" t="s">
        <v>78</v>
      </c>
      <c r="T131" s="41">
        <v>0.5</v>
      </c>
      <c r="U131" s="61" t="s">
        <v>237</v>
      </c>
      <c r="V131" s="46">
        <v>2.4E-2</v>
      </c>
      <c r="W131" s="46">
        <v>2.8799999999999999E-2</v>
      </c>
      <c r="X131" s="46" t="s">
        <v>160</v>
      </c>
      <c r="Y131" s="45" t="s">
        <v>74</v>
      </c>
      <c r="Z131" s="49">
        <v>10602</v>
      </c>
      <c r="AA131" s="41">
        <v>1</v>
      </c>
      <c r="AB131" s="41">
        <v>116.76</v>
      </c>
      <c r="AC131" s="41">
        <v>0</v>
      </c>
      <c r="AD131" s="41">
        <v>12.37889</v>
      </c>
      <c r="AG131" s="38" t="s">
        <v>18</v>
      </c>
      <c r="AH131" s="46">
        <v>3.5899999999999998E-5</v>
      </c>
      <c r="AI131" s="46">
        <v>3.0400103040010302E-2</v>
      </c>
      <c r="AJ131" s="46">
        <v>1.1687599999999999E-2</v>
      </c>
    </row>
    <row r="132" spans="1:36" x14ac:dyDescent="0.2">
      <c r="A132" s="38">
        <v>420</v>
      </c>
      <c r="B132" s="38">
        <v>1471</v>
      </c>
      <c r="C132" s="38" t="s">
        <v>281</v>
      </c>
      <c r="D132" s="38">
        <v>513834200</v>
      </c>
      <c r="E132" s="38" t="s">
        <v>150</v>
      </c>
      <c r="F132" s="45" t="s">
        <v>384</v>
      </c>
      <c r="G132" s="38" t="s">
        <v>385</v>
      </c>
      <c r="H132" s="38" t="s">
        <v>153</v>
      </c>
      <c r="I132" s="38" t="s">
        <v>202</v>
      </c>
      <c r="J132" s="38" t="s">
        <v>73</v>
      </c>
      <c r="K132" s="38" t="s">
        <v>73</v>
      </c>
      <c r="L132" s="38" t="s">
        <v>155</v>
      </c>
      <c r="M132" s="38" t="s">
        <v>103</v>
      </c>
      <c r="N132" s="38" t="s">
        <v>217</v>
      </c>
      <c r="O132" s="38" t="s">
        <v>74</v>
      </c>
      <c r="P132" s="38" t="s">
        <v>363</v>
      </c>
      <c r="Q132" s="38" t="s">
        <v>76</v>
      </c>
      <c r="R132" s="38" t="s">
        <v>158</v>
      </c>
      <c r="S132" s="38" t="s">
        <v>78</v>
      </c>
      <c r="T132" s="41">
        <v>1.48</v>
      </c>
      <c r="U132" s="61" t="s">
        <v>249</v>
      </c>
      <c r="V132" s="46">
        <v>2.4E-2</v>
      </c>
      <c r="W132" s="46">
        <v>2.52E-2</v>
      </c>
      <c r="X132" s="46" t="s">
        <v>160</v>
      </c>
      <c r="Y132" s="45" t="s">
        <v>74</v>
      </c>
      <c r="Z132" s="49">
        <v>12996</v>
      </c>
      <c r="AA132" s="41">
        <v>1</v>
      </c>
      <c r="AB132" s="41">
        <v>116.85</v>
      </c>
      <c r="AC132" s="41">
        <v>0</v>
      </c>
      <c r="AD132" s="41">
        <v>15.18582</v>
      </c>
      <c r="AG132" s="38" t="s">
        <v>18</v>
      </c>
      <c r="AH132" s="46">
        <v>4.3999999999999999E-5</v>
      </c>
      <c r="AI132" s="46">
        <v>3.7293403729340369E-2</v>
      </c>
      <c r="AJ132" s="46">
        <v>1.43378E-2</v>
      </c>
    </row>
    <row r="133" spans="1:36" x14ac:dyDescent="0.2">
      <c r="A133" s="38">
        <v>420</v>
      </c>
      <c r="B133" s="38">
        <v>1471</v>
      </c>
      <c r="C133" s="38" t="s">
        <v>386</v>
      </c>
      <c r="D133" s="38">
        <v>513682146</v>
      </c>
      <c r="E133" s="38" t="s">
        <v>150</v>
      </c>
      <c r="F133" s="45" t="s">
        <v>549</v>
      </c>
      <c r="G133" s="38" t="s">
        <v>550</v>
      </c>
      <c r="H133" s="38" t="s">
        <v>153</v>
      </c>
      <c r="I133" s="38" t="s">
        <v>202</v>
      </c>
      <c r="J133" s="38" t="s">
        <v>73</v>
      </c>
      <c r="K133" s="38" t="s">
        <v>73</v>
      </c>
      <c r="L133" s="38" t="s">
        <v>155</v>
      </c>
      <c r="M133" s="38" t="s">
        <v>103</v>
      </c>
      <c r="N133" s="38" t="s">
        <v>223</v>
      </c>
      <c r="O133" s="38" t="s">
        <v>74</v>
      </c>
      <c r="P133" s="38" t="s">
        <v>363</v>
      </c>
      <c r="Q133" s="38" t="s">
        <v>76</v>
      </c>
      <c r="R133" s="38" t="s">
        <v>158</v>
      </c>
      <c r="S133" s="38" t="s">
        <v>78</v>
      </c>
      <c r="T133" s="41">
        <v>1</v>
      </c>
      <c r="U133" s="61" t="s">
        <v>551</v>
      </c>
      <c r="V133" s="46">
        <v>2E-3</v>
      </c>
      <c r="W133" s="46">
        <v>2.46E-2</v>
      </c>
      <c r="X133" s="46" t="s">
        <v>160</v>
      </c>
      <c r="Y133" s="45" t="s">
        <v>74</v>
      </c>
      <c r="Z133" s="49">
        <v>7930</v>
      </c>
      <c r="AA133" s="41">
        <v>1</v>
      </c>
      <c r="AB133" s="41">
        <v>113.44</v>
      </c>
      <c r="AC133" s="41">
        <v>0</v>
      </c>
      <c r="AD133" s="41">
        <v>8.9957899999999995</v>
      </c>
      <c r="AG133" s="38" t="s">
        <v>18</v>
      </c>
      <c r="AH133" s="46">
        <v>2.8399999999999999E-5</v>
      </c>
      <c r="AI133" s="46">
        <v>2.2091902209190221E-2</v>
      </c>
      <c r="AJ133" s="46">
        <v>8.4933999999999999E-3</v>
      </c>
    </row>
    <row r="134" spans="1:36" x14ac:dyDescent="0.2">
      <c r="A134" s="38">
        <v>420</v>
      </c>
      <c r="B134" s="38">
        <v>1471</v>
      </c>
      <c r="C134" s="38" t="s">
        <v>386</v>
      </c>
      <c r="D134" s="38">
        <v>513682146</v>
      </c>
      <c r="E134" s="38" t="s">
        <v>150</v>
      </c>
      <c r="F134" s="45" t="s">
        <v>390</v>
      </c>
      <c r="G134" s="38" t="s">
        <v>391</v>
      </c>
      <c r="H134" s="38" t="s">
        <v>153</v>
      </c>
      <c r="I134" s="38" t="s">
        <v>202</v>
      </c>
      <c r="J134" s="38" t="s">
        <v>73</v>
      </c>
      <c r="K134" s="38" t="s">
        <v>73</v>
      </c>
      <c r="L134" s="38" t="s">
        <v>155</v>
      </c>
      <c r="M134" s="38" t="s">
        <v>103</v>
      </c>
      <c r="N134" s="38" t="s">
        <v>223</v>
      </c>
      <c r="O134" s="38" t="s">
        <v>74</v>
      </c>
      <c r="P134" s="38" t="s">
        <v>363</v>
      </c>
      <c r="Q134" s="38" t="s">
        <v>76</v>
      </c>
      <c r="R134" s="38" t="s">
        <v>158</v>
      </c>
      <c r="S134" s="38" t="s">
        <v>78</v>
      </c>
      <c r="T134" s="41">
        <v>1.98</v>
      </c>
      <c r="U134" s="61" t="s">
        <v>288</v>
      </c>
      <c r="V134" s="46">
        <v>2E-3</v>
      </c>
      <c r="W134" s="46">
        <v>2.5999999999999999E-2</v>
      </c>
      <c r="X134" s="46" t="s">
        <v>160</v>
      </c>
      <c r="Y134" s="45" t="s">
        <v>74</v>
      </c>
      <c r="Z134" s="49">
        <v>14422.5</v>
      </c>
      <c r="AA134" s="41">
        <v>1</v>
      </c>
      <c r="AB134" s="41">
        <v>111.76</v>
      </c>
      <c r="AC134" s="41">
        <v>0</v>
      </c>
      <c r="AD134" s="41">
        <v>16.118580000000001</v>
      </c>
      <c r="AG134" s="38" t="s">
        <v>18</v>
      </c>
      <c r="AH134" s="46">
        <v>2.2799999999999999E-5</v>
      </c>
      <c r="AI134" s="46">
        <v>3.9584103958410388E-2</v>
      </c>
      <c r="AJ134" s="46">
        <v>1.5218499999999999E-2</v>
      </c>
    </row>
    <row r="135" spans="1:36" x14ac:dyDescent="0.2">
      <c r="A135" s="38">
        <v>420</v>
      </c>
      <c r="B135" s="38">
        <v>1471</v>
      </c>
      <c r="C135" s="38" t="s">
        <v>396</v>
      </c>
      <c r="D135" s="38">
        <v>513754069</v>
      </c>
      <c r="E135" s="38" t="s">
        <v>150</v>
      </c>
      <c r="F135" s="45" t="s">
        <v>400</v>
      </c>
      <c r="G135" s="38" t="s">
        <v>401</v>
      </c>
      <c r="H135" s="38" t="s">
        <v>153</v>
      </c>
      <c r="I135" s="38" t="s">
        <v>154</v>
      </c>
      <c r="J135" s="38" t="s">
        <v>73</v>
      </c>
      <c r="K135" s="38" t="s">
        <v>73</v>
      </c>
      <c r="L135" s="38" t="s">
        <v>155</v>
      </c>
      <c r="M135" s="38" t="s">
        <v>103</v>
      </c>
      <c r="N135" s="38" t="s">
        <v>217</v>
      </c>
      <c r="O135" s="38" t="s">
        <v>74</v>
      </c>
      <c r="P135" s="38" t="s">
        <v>363</v>
      </c>
      <c r="Q135" s="38" t="s">
        <v>76</v>
      </c>
      <c r="R135" s="38" t="s">
        <v>158</v>
      </c>
      <c r="S135" s="38" t="s">
        <v>78</v>
      </c>
      <c r="T135" s="41">
        <v>7.2</v>
      </c>
      <c r="U135" s="61" t="s">
        <v>402</v>
      </c>
      <c r="V135" s="46">
        <v>5.3100000000000001E-2</v>
      </c>
      <c r="W135" s="46">
        <v>4.9399999999999999E-2</v>
      </c>
      <c r="X135" s="46" t="s">
        <v>160</v>
      </c>
      <c r="Y135" s="45" t="s">
        <v>74</v>
      </c>
      <c r="Z135" s="49">
        <v>3000</v>
      </c>
      <c r="AA135" s="41">
        <v>1</v>
      </c>
      <c r="AB135" s="41">
        <v>105.3</v>
      </c>
      <c r="AC135" s="41">
        <v>0</v>
      </c>
      <c r="AD135" s="41">
        <v>3.1589999999999998</v>
      </c>
      <c r="AG135" s="38" t="s">
        <v>18</v>
      </c>
      <c r="AH135" s="46">
        <v>2.3E-6</v>
      </c>
      <c r="AI135" s="46">
        <v>7.757900775790077E-3</v>
      </c>
      <c r="AJ135" s="46">
        <v>2.9826000000000002E-3</v>
      </c>
    </row>
    <row r="136" spans="1:36" x14ac:dyDescent="0.2">
      <c r="A136" s="38">
        <v>420</v>
      </c>
      <c r="B136" s="38">
        <v>1471</v>
      </c>
      <c r="C136" s="38" t="s">
        <v>396</v>
      </c>
      <c r="D136" s="38">
        <v>513754069</v>
      </c>
      <c r="E136" s="38" t="s">
        <v>150</v>
      </c>
      <c r="F136" s="45" t="s">
        <v>552</v>
      </c>
      <c r="G136" s="38" t="s">
        <v>553</v>
      </c>
      <c r="H136" s="38" t="s">
        <v>153</v>
      </c>
      <c r="I136" s="38" t="s">
        <v>202</v>
      </c>
      <c r="J136" s="38" t="s">
        <v>73</v>
      </c>
      <c r="K136" s="38" t="s">
        <v>73</v>
      </c>
      <c r="L136" s="38" t="s">
        <v>155</v>
      </c>
      <c r="M136" s="38" t="s">
        <v>103</v>
      </c>
      <c r="N136" s="38" t="s">
        <v>217</v>
      </c>
      <c r="O136" s="38" t="s">
        <v>74</v>
      </c>
      <c r="P136" s="38" t="s">
        <v>363</v>
      </c>
      <c r="Q136" s="38" t="s">
        <v>76</v>
      </c>
      <c r="R136" s="38" t="s">
        <v>158</v>
      </c>
      <c r="S136" s="38" t="s">
        <v>78</v>
      </c>
      <c r="T136" s="41">
        <v>0.08</v>
      </c>
      <c r="U136" s="61" t="s">
        <v>554</v>
      </c>
      <c r="V136" s="46">
        <v>2.4799999999999999E-2</v>
      </c>
      <c r="W136" s="46">
        <v>4.9799999999999997E-2</v>
      </c>
      <c r="X136" s="46" t="s">
        <v>160</v>
      </c>
      <c r="Y136" s="45" t="s">
        <v>74</v>
      </c>
      <c r="Z136" s="49">
        <v>0.09</v>
      </c>
      <c r="AA136" s="41">
        <v>1</v>
      </c>
      <c r="AB136" s="41">
        <v>118.24</v>
      </c>
      <c r="AC136" s="41">
        <v>0</v>
      </c>
      <c r="AD136" s="41">
        <v>1E-4</v>
      </c>
      <c r="AG136" s="38" t="s">
        <v>18</v>
      </c>
      <c r="AH136" s="46">
        <v>0</v>
      </c>
      <c r="AI136" s="46">
        <v>2.0000002000000197E-7</v>
      </c>
      <c r="AJ136" s="46">
        <v>9.9999999999999995E-8</v>
      </c>
    </row>
    <row r="137" spans="1:36" x14ac:dyDescent="0.2">
      <c r="A137" s="38">
        <v>420</v>
      </c>
      <c r="B137" s="38">
        <v>1471</v>
      </c>
      <c r="C137" s="38" t="s">
        <v>421</v>
      </c>
      <c r="D137" s="38">
        <v>510216054</v>
      </c>
      <c r="E137" s="38" t="s">
        <v>150</v>
      </c>
      <c r="F137" s="45" t="s">
        <v>555</v>
      </c>
      <c r="G137" s="38" t="s">
        <v>556</v>
      </c>
      <c r="H137" s="38" t="s">
        <v>153</v>
      </c>
      <c r="I137" s="38" t="s">
        <v>202</v>
      </c>
      <c r="J137" s="38" t="s">
        <v>73</v>
      </c>
      <c r="K137" s="38" t="s">
        <v>73</v>
      </c>
      <c r="L137" s="38" t="s">
        <v>155</v>
      </c>
      <c r="M137" s="38" t="s">
        <v>103</v>
      </c>
      <c r="N137" s="38" t="s">
        <v>203</v>
      </c>
      <c r="O137" s="38" t="s">
        <v>74</v>
      </c>
      <c r="P137" s="38" t="s">
        <v>363</v>
      </c>
      <c r="Q137" s="38" t="s">
        <v>76</v>
      </c>
      <c r="R137" s="38" t="s">
        <v>158</v>
      </c>
      <c r="S137" s="38" t="s">
        <v>78</v>
      </c>
      <c r="T137" s="41">
        <v>1.87</v>
      </c>
      <c r="U137" s="61" t="s">
        <v>557</v>
      </c>
      <c r="V137" s="46">
        <v>1.9400000000000001E-2</v>
      </c>
      <c r="W137" s="46">
        <v>2.63E-2</v>
      </c>
      <c r="X137" s="46" t="s">
        <v>160</v>
      </c>
      <c r="Y137" s="45" t="s">
        <v>74</v>
      </c>
      <c r="Z137" s="49">
        <v>9401.73</v>
      </c>
      <c r="AA137" s="41">
        <v>1</v>
      </c>
      <c r="AB137" s="41">
        <v>116.7</v>
      </c>
      <c r="AC137" s="41">
        <v>0</v>
      </c>
      <c r="AD137" s="41">
        <v>10.97181</v>
      </c>
      <c r="AG137" s="38" t="s">
        <v>18</v>
      </c>
      <c r="AH137" s="46">
        <v>3.8999999999999999E-5</v>
      </c>
      <c r="AI137" s="46">
        <v>2.6944602694460269E-2</v>
      </c>
      <c r="AJ137" s="46">
        <v>1.03591E-2</v>
      </c>
    </row>
    <row r="138" spans="1:36" x14ac:dyDescent="0.2">
      <c r="A138" s="38">
        <v>420</v>
      </c>
      <c r="B138" s="38">
        <v>1471</v>
      </c>
      <c r="C138" s="38" t="s">
        <v>421</v>
      </c>
      <c r="D138" s="38">
        <v>510216054</v>
      </c>
      <c r="E138" s="38" t="s">
        <v>150</v>
      </c>
      <c r="F138" s="45" t="s">
        <v>422</v>
      </c>
      <c r="G138" s="38" t="s">
        <v>423</v>
      </c>
      <c r="H138" s="38" t="s">
        <v>153</v>
      </c>
      <c r="I138" s="38" t="s">
        <v>202</v>
      </c>
      <c r="J138" s="38" t="s">
        <v>73</v>
      </c>
      <c r="K138" s="38" t="s">
        <v>73</v>
      </c>
      <c r="L138" s="38" t="s">
        <v>155</v>
      </c>
      <c r="M138" s="38" t="s">
        <v>103</v>
      </c>
      <c r="N138" s="38" t="s">
        <v>203</v>
      </c>
      <c r="O138" s="38" t="s">
        <v>74</v>
      </c>
      <c r="P138" s="38" t="s">
        <v>363</v>
      </c>
      <c r="Q138" s="38" t="s">
        <v>76</v>
      </c>
      <c r="R138" s="38" t="s">
        <v>158</v>
      </c>
      <c r="S138" s="38" t="s">
        <v>78</v>
      </c>
      <c r="T138" s="41">
        <v>2.85</v>
      </c>
      <c r="U138" s="61" t="s">
        <v>424</v>
      </c>
      <c r="V138" s="46">
        <v>1.23E-2</v>
      </c>
      <c r="W138" s="46">
        <v>2.76E-2</v>
      </c>
      <c r="X138" s="46" t="s">
        <v>160</v>
      </c>
      <c r="Y138" s="45" t="s">
        <v>74</v>
      </c>
      <c r="Z138" s="49">
        <v>10496.72</v>
      </c>
      <c r="AA138" s="41">
        <v>1</v>
      </c>
      <c r="AB138" s="41">
        <v>112.88</v>
      </c>
      <c r="AC138" s="41">
        <v>0</v>
      </c>
      <c r="AD138" s="41">
        <v>11.84869</v>
      </c>
      <c r="AG138" s="38" t="s">
        <v>18</v>
      </c>
      <c r="AH138" s="46">
        <v>1.0900000000000001E-5</v>
      </c>
      <c r="AI138" s="46">
        <v>2.9098002909800288E-2</v>
      </c>
      <c r="AJ138" s="46">
        <v>1.1187000000000001E-2</v>
      </c>
    </row>
    <row r="139" spans="1:36" x14ac:dyDescent="0.2">
      <c r="A139" s="38">
        <v>420</v>
      </c>
      <c r="B139" s="38">
        <v>1471</v>
      </c>
      <c r="C139" s="38" t="s">
        <v>209</v>
      </c>
      <c r="D139" s="38">
        <v>510960719</v>
      </c>
      <c r="E139" s="38" t="s">
        <v>150</v>
      </c>
      <c r="F139" s="45" t="s">
        <v>425</v>
      </c>
      <c r="G139" s="38" t="s">
        <v>426</v>
      </c>
      <c r="H139" s="38" t="s">
        <v>153</v>
      </c>
      <c r="I139" s="38" t="s">
        <v>202</v>
      </c>
      <c r="J139" s="38" t="s">
        <v>73</v>
      </c>
      <c r="K139" s="38" t="s">
        <v>73</v>
      </c>
      <c r="L139" s="38" t="s">
        <v>155</v>
      </c>
      <c r="M139" s="38" t="s">
        <v>103</v>
      </c>
      <c r="N139" s="38" t="s">
        <v>173</v>
      </c>
      <c r="O139" s="38" t="s">
        <v>74</v>
      </c>
      <c r="P139" s="38" t="s">
        <v>427</v>
      </c>
      <c r="Q139" s="38" t="s">
        <v>76</v>
      </c>
      <c r="R139" s="38" t="s">
        <v>158</v>
      </c>
      <c r="S139" s="38" t="s">
        <v>78</v>
      </c>
      <c r="T139" s="41">
        <v>6.42</v>
      </c>
      <c r="U139" s="61" t="s">
        <v>428</v>
      </c>
      <c r="V139" s="46">
        <v>8.9999999999999993E-3</v>
      </c>
      <c r="W139" s="46">
        <v>2.8400000000000002E-2</v>
      </c>
      <c r="X139" s="46" t="s">
        <v>160</v>
      </c>
      <c r="Y139" s="45" t="s">
        <v>74</v>
      </c>
      <c r="Z139" s="49">
        <v>0.1</v>
      </c>
      <c r="AA139" s="41">
        <v>1</v>
      </c>
      <c r="AB139" s="41">
        <v>101.93</v>
      </c>
      <c r="AC139" s="41">
        <v>0</v>
      </c>
      <c r="AD139" s="41">
        <v>1E-4</v>
      </c>
      <c r="AG139" s="38" t="s">
        <v>18</v>
      </c>
      <c r="AH139" s="46">
        <v>0</v>
      </c>
      <c r="AI139" s="46">
        <v>2.0000002000000197E-7</v>
      </c>
      <c r="AJ139" s="46">
        <v>9.9999999999999995E-8</v>
      </c>
    </row>
    <row r="140" spans="1:36" x14ac:dyDescent="0.2">
      <c r="A140" s="38">
        <v>420</v>
      </c>
      <c r="B140" s="38">
        <v>1471</v>
      </c>
      <c r="C140" s="38" t="s">
        <v>373</v>
      </c>
      <c r="D140" s="38">
        <v>520029935</v>
      </c>
      <c r="E140" s="38" t="s">
        <v>150</v>
      </c>
      <c r="F140" s="45" t="s">
        <v>432</v>
      </c>
      <c r="G140" s="38" t="s">
        <v>433</v>
      </c>
      <c r="H140" s="38" t="s">
        <v>153</v>
      </c>
      <c r="I140" s="38" t="s">
        <v>202</v>
      </c>
      <c r="J140" s="38" t="s">
        <v>73</v>
      </c>
      <c r="K140" s="38" t="s">
        <v>73</v>
      </c>
      <c r="L140" s="38" t="s">
        <v>155</v>
      </c>
      <c r="M140" s="38" t="s">
        <v>103</v>
      </c>
      <c r="N140" s="38" t="s">
        <v>223</v>
      </c>
      <c r="O140" s="38" t="s">
        <v>74</v>
      </c>
      <c r="P140" s="38" t="s">
        <v>75</v>
      </c>
      <c r="Q140" s="38" t="s">
        <v>76</v>
      </c>
      <c r="R140" s="38" t="s">
        <v>158</v>
      </c>
      <c r="S140" s="38" t="s">
        <v>78</v>
      </c>
      <c r="T140" s="41">
        <v>3.5</v>
      </c>
      <c r="U140" s="61" t="s">
        <v>434</v>
      </c>
      <c r="V140" s="46">
        <v>2E-3</v>
      </c>
      <c r="W140" s="46">
        <v>2.5999999999999999E-2</v>
      </c>
      <c r="X140" s="46" t="s">
        <v>160</v>
      </c>
      <c r="Y140" s="45" t="s">
        <v>74</v>
      </c>
      <c r="Z140" s="49">
        <v>3947.36</v>
      </c>
      <c r="AA140" s="41">
        <v>1</v>
      </c>
      <c r="AB140" s="41">
        <v>105.05</v>
      </c>
      <c r="AC140" s="41">
        <v>0</v>
      </c>
      <c r="AD140" s="41">
        <v>4.1467000000000001</v>
      </c>
      <c r="AG140" s="38" t="s">
        <v>18</v>
      </c>
      <c r="AH140" s="46">
        <v>1.1000000000000001E-6</v>
      </c>
      <c r="AI140" s="46">
        <v>1.0183501018350102E-2</v>
      </c>
      <c r="AJ140" s="46">
        <v>3.9151000000000004E-3</v>
      </c>
    </row>
    <row r="141" spans="1:36" x14ac:dyDescent="0.2">
      <c r="A141" s="38">
        <v>420</v>
      </c>
      <c r="B141" s="38">
        <v>1471</v>
      </c>
      <c r="C141" s="38" t="s">
        <v>438</v>
      </c>
      <c r="D141" s="38">
        <v>520000472</v>
      </c>
      <c r="E141" s="38" t="s">
        <v>150</v>
      </c>
      <c r="F141" s="45" t="s">
        <v>439</v>
      </c>
      <c r="G141" s="38" t="s">
        <v>440</v>
      </c>
      <c r="H141" s="38" t="s">
        <v>153</v>
      </c>
      <c r="I141" s="38" t="s">
        <v>202</v>
      </c>
      <c r="J141" s="38" t="s">
        <v>73</v>
      </c>
      <c r="K141" s="38" t="s">
        <v>73</v>
      </c>
      <c r="L141" s="38" t="s">
        <v>155</v>
      </c>
      <c r="M141" s="38" t="s">
        <v>103</v>
      </c>
      <c r="N141" s="38" t="s">
        <v>203</v>
      </c>
      <c r="O141" s="38" t="s">
        <v>74</v>
      </c>
      <c r="P141" s="38" t="s">
        <v>75</v>
      </c>
      <c r="Q141" s="38" t="s">
        <v>76</v>
      </c>
      <c r="R141" s="38" t="s">
        <v>158</v>
      </c>
      <c r="S141" s="38" t="s">
        <v>78</v>
      </c>
      <c r="T141" s="41">
        <v>0.65</v>
      </c>
      <c r="U141" s="61" t="s">
        <v>441</v>
      </c>
      <c r="V141" s="46">
        <v>4.4999999999999998E-2</v>
      </c>
      <c r="W141" s="46">
        <v>2.9700000000000001E-2</v>
      </c>
      <c r="X141" s="46" t="s">
        <v>160</v>
      </c>
      <c r="Y141" s="45" t="s">
        <v>74</v>
      </c>
      <c r="Z141" s="49">
        <v>11600</v>
      </c>
      <c r="AA141" s="41">
        <v>1</v>
      </c>
      <c r="AB141" s="41">
        <v>121.68</v>
      </c>
      <c r="AC141" s="41">
        <v>0</v>
      </c>
      <c r="AD141" s="41">
        <v>14.114879999999999</v>
      </c>
      <c r="AG141" s="38" t="s">
        <v>18</v>
      </c>
      <c r="AH141" s="46">
        <v>7.7999999999999999E-6</v>
      </c>
      <c r="AI141" s="46">
        <v>3.4663403466340344E-2</v>
      </c>
      <c r="AJ141" s="46">
        <v>1.33267E-2</v>
      </c>
    </row>
    <row r="142" spans="1:36" x14ac:dyDescent="0.2">
      <c r="A142" s="38">
        <v>420</v>
      </c>
      <c r="B142" s="38">
        <v>1471</v>
      </c>
      <c r="C142" s="38" t="s">
        <v>438</v>
      </c>
      <c r="D142" s="38">
        <v>520000472</v>
      </c>
      <c r="E142" s="38" t="s">
        <v>150</v>
      </c>
      <c r="F142" s="45" t="s">
        <v>445</v>
      </c>
      <c r="G142" s="38" t="s">
        <v>446</v>
      </c>
      <c r="H142" s="38" t="s">
        <v>153</v>
      </c>
      <c r="I142" s="38" t="s">
        <v>202</v>
      </c>
      <c r="J142" s="38" t="s">
        <v>73</v>
      </c>
      <c r="K142" s="38" t="s">
        <v>73</v>
      </c>
      <c r="L142" s="38" t="s">
        <v>155</v>
      </c>
      <c r="M142" s="38" t="s">
        <v>103</v>
      </c>
      <c r="N142" s="38" t="s">
        <v>203</v>
      </c>
      <c r="O142" s="38" t="s">
        <v>74</v>
      </c>
      <c r="P142" s="38" t="s">
        <v>75</v>
      </c>
      <c r="Q142" s="38" t="s">
        <v>76</v>
      </c>
      <c r="R142" s="38" t="s">
        <v>158</v>
      </c>
      <c r="S142" s="38" t="s">
        <v>78</v>
      </c>
      <c r="T142" s="41">
        <v>10.06</v>
      </c>
      <c r="U142" s="61" t="s">
        <v>447</v>
      </c>
      <c r="V142" s="46">
        <v>3.2000000000000001E-2</v>
      </c>
      <c r="W142" s="46">
        <v>2.8000000000000001E-2</v>
      </c>
      <c r="X142" s="46" t="s">
        <v>160</v>
      </c>
      <c r="Y142" s="45" t="s">
        <v>74</v>
      </c>
      <c r="Z142" s="49">
        <v>19830</v>
      </c>
      <c r="AA142" s="41">
        <v>1</v>
      </c>
      <c r="AB142" s="41">
        <v>110.87</v>
      </c>
      <c r="AC142" s="41">
        <v>0</v>
      </c>
      <c r="AD142" s="41">
        <v>21.985520000000001</v>
      </c>
      <c r="AG142" s="38" t="s">
        <v>18</v>
      </c>
      <c r="AH142" s="46">
        <v>3.9999999999999998E-6</v>
      </c>
      <c r="AI142" s="46">
        <v>5.3992105399210538E-2</v>
      </c>
      <c r="AJ142" s="46">
        <v>2.07578E-2</v>
      </c>
    </row>
    <row r="143" spans="1:36" x14ac:dyDescent="0.2">
      <c r="A143" s="38">
        <v>420</v>
      </c>
      <c r="B143" s="38">
        <v>1471</v>
      </c>
      <c r="C143" s="38" t="s">
        <v>403</v>
      </c>
      <c r="D143" s="38">
        <v>520018078</v>
      </c>
      <c r="E143" s="38" t="s">
        <v>150</v>
      </c>
      <c r="F143" s="45" t="s">
        <v>558</v>
      </c>
      <c r="G143" s="38" t="s">
        <v>559</v>
      </c>
      <c r="H143" s="38" t="s">
        <v>153</v>
      </c>
      <c r="I143" s="38" t="s">
        <v>154</v>
      </c>
      <c r="J143" s="38" t="s">
        <v>73</v>
      </c>
      <c r="K143" s="38" t="s">
        <v>73</v>
      </c>
      <c r="L143" s="38" t="s">
        <v>155</v>
      </c>
      <c r="M143" s="38" t="s">
        <v>103</v>
      </c>
      <c r="N143" s="38" t="s">
        <v>223</v>
      </c>
      <c r="O143" s="38" t="s">
        <v>74</v>
      </c>
      <c r="P143" s="38" t="s">
        <v>75</v>
      </c>
      <c r="Q143" s="38" t="s">
        <v>76</v>
      </c>
      <c r="R143" s="38" t="s">
        <v>158</v>
      </c>
      <c r="S143" s="38" t="s">
        <v>78</v>
      </c>
      <c r="T143" s="41">
        <v>2.46</v>
      </c>
      <c r="U143" s="61" t="s">
        <v>560</v>
      </c>
      <c r="V143" s="46">
        <v>2.76E-2</v>
      </c>
      <c r="W143" s="46">
        <v>4.3799999999999999E-2</v>
      </c>
      <c r="X143" s="46" t="s">
        <v>160</v>
      </c>
      <c r="Y143" s="45" t="s">
        <v>74</v>
      </c>
      <c r="Z143" s="49">
        <v>10800</v>
      </c>
      <c r="AA143" s="41">
        <v>1</v>
      </c>
      <c r="AB143" s="41">
        <v>96.65</v>
      </c>
      <c r="AC143" s="41">
        <v>0</v>
      </c>
      <c r="AD143" s="41">
        <v>10.4382</v>
      </c>
      <c r="AG143" s="38" t="s">
        <v>18</v>
      </c>
      <c r="AH143" s="46">
        <v>4.8999999999999997E-6</v>
      </c>
      <c r="AI143" s="46">
        <v>2.5634202563420253E-2</v>
      </c>
      <c r="AJ143" s="46">
        <v>9.8553000000000009E-3</v>
      </c>
    </row>
    <row r="144" spans="1:36" x14ac:dyDescent="0.2">
      <c r="A144" s="38">
        <v>420</v>
      </c>
      <c r="B144" s="38">
        <v>1471</v>
      </c>
      <c r="C144" s="38" t="s">
        <v>403</v>
      </c>
      <c r="D144" s="38">
        <v>520018078</v>
      </c>
      <c r="E144" s="38" t="s">
        <v>150</v>
      </c>
      <c r="F144" s="45" t="s">
        <v>454</v>
      </c>
      <c r="G144" s="38" t="s">
        <v>455</v>
      </c>
      <c r="H144" s="38" t="s">
        <v>153</v>
      </c>
      <c r="I144" s="38" t="s">
        <v>202</v>
      </c>
      <c r="J144" s="38" t="s">
        <v>73</v>
      </c>
      <c r="K144" s="38" t="s">
        <v>73</v>
      </c>
      <c r="L144" s="38" t="s">
        <v>155</v>
      </c>
      <c r="M144" s="38" t="s">
        <v>103</v>
      </c>
      <c r="N144" s="38" t="s">
        <v>223</v>
      </c>
      <c r="O144" s="38" t="s">
        <v>74</v>
      </c>
      <c r="P144" s="38" t="s">
        <v>75</v>
      </c>
      <c r="Q144" s="38" t="s">
        <v>76</v>
      </c>
      <c r="R144" s="38" t="s">
        <v>158</v>
      </c>
      <c r="S144" s="38" t="s">
        <v>78</v>
      </c>
      <c r="T144" s="41">
        <v>4.3899999999999997</v>
      </c>
      <c r="U144" s="61" t="s">
        <v>376</v>
      </c>
      <c r="V144" s="46">
        <v>2.0199999999999999E-2</v>
      </c>
      <c r="W144" s="46">
        <v>2.63E-2</v>
      </c>
      <c r="X144" s="46" t="s">
        <v>160</v>
      </c>
      <c r="Y144" s="45" t="s">
        <v>74</v>
      </c>
      <c r="Z144" s="49">
        <v>7000</v>
      </c>
      <c r="AA144" s="41">
        <v>1</v>
      </c>
      <c r="AB144" s="41">
        <v>102.52</v>
      </c>
      <c r="AC144" s="41">
        <v>0</v>
      </c>
      <c r="AD144" s="41">
        <v>7.1764000000000001</v>
      </c>
      <c r="AG144" s="38" t="s">
        <v>18</v>
      </c>
      <c r="AH144" s="46">
        <v>1.9E-6</v>
      </c>
      <c r="AI144" s="46">
        <v>1.7623801762380174E-2</v>
      </c>
      <c r="AJ144" s="46">
        <v>6.7755999999999997E-3</v>
      </c>
    </row>
    <row r="145" spans="1:36" x14ac:dyDescent="0.2">
      <c r="A145" s="38">
        <v>420</v>
      </c>
      <c r="B145" s="38">
        <v>1471</v>
      </c>
      <c r="C145" s="38" t="s">
        <v>220</v>
      </c>
      <c r="D145" s="38">
        <v>520032046</v>
      </c>
      <c r="E145" s="38" t="s">
        <v>150</v>
      </c>
      <c r="F145" s="45" t="s">
        <v>561</v>
      </c>
      <c r="G145" s="38" t="s">
        <v>562</v>
      </c>
      <c r="H145" s="38" t="s">
        <v>153</v>
      </c>
      <c r="I145" s="38" t="s">
        <v>202</v>
      </c>
      <c r="J145" s="38" t="s">
        <v>73</v>
      </c>
      <c r="K145" s="38" t="s">
        <v>73</v>
      </c>
      <c r="L145" s="38" t="s">
        <v>155</v>
      </c>
      <c r="M145" s="38" t="s">
        <v>103</v>
      </c>
      <c r="N145" s="38" t="s">
        <v>223</v>
      </c>
      <c r="O145" s="38" t="s">
        <v>74</v>
      </c>
      <c r="P145" s="38" t="s">
        <v>75</v>
      </c>
      <c r="Q145" s="38" t="s">
        <v>76</v>
      </c>
      <c r="R145" s="38" t="s">
        <v>158</v>
      </c>
      <c r="S145" s="38" t="s">
        <v>78</v>
      </c>
      <c r="T145" s="41">
        <v>3.21</v>
      </c>
      <c r="U145" s="61" t="s">
        <v>563</v>
      </c>
      <c r="V145" s="46">
        <v>1E-3</v>
      </c>
      <c r="W145" s="46">
        <v>2.58E-2</v>
      </c>
      <c r="X145" s="46" t="s">
        <v>160</v>
      </c>
      <c r="Y145" s="45" t="s">
        <v>74</v>
      </c>
      <c r="Z145" s="49">
        <v>0.48</v>
      </c>
      <c r="AA145" s="41">
        <v>1</v>
      </c>
      <c r="AB145" s="41">
        <v>104.36</v>
      </c>
      <c r="AC145" s="41">
        <v>0</v>
      </c>
      <c r="AD145" s="41">
        <v>5.0000000000000001E-4</v>
      </c>
      <c r="AG145" s="38" t="s">
        <v>18</v>
      </c>
      <c r="AH145" s="46">
        <v>0</v>
      </c>
      <c r="AI145" s="46">
        <v>1.2000001200000118E-6</v>
      </c>
      <c r="AJ145" s="46">
        <v>4.9999999999999998E-7</v>
      </c>
    </row>
    <row r="146" spans="1:36" x14ac:dyDescent="0.2">
      <c r="A146" s="38">
        <v>420</v>
      </c>
      <c r="B146" s="38">
        <v>1471</v>
      </c>
      <c r="C146" s="38" t="s">
        <v>220</v>
      </c>
      <c r="D146" s="38">
        <v>520032046</v>
      </c>
      <c r="E146" s="38" t="s">
        <v>150</v>
      </c>
      <c r="F146" s="45" t="s">
        <v>456</v>
      </c>
      <c r="G146" s="38" t="s">
        <v>457</v>
      </c>
      <c r="H146" s="38" t="s">
        <v>153</v>
      </c>
      <c r="I146" s="38" t="s">
        <v>202</v>
      </c>
      <c r="J146" s="38" t="s">
        <v>73</v>
      </c>
      <c r="K146" s="38" t="s">
        <v>73</v>
      </c>
      <c r="L146" s="38" t="s">
        <v>155</v>
      </c>
      <c r="M146" s="38" t="s">
        <v>103</v>
      </c>
      <c r="N146" s="38" t="s">
        <v>223</v>
      </c>
      <c r="O146" s="38" t="s">
        <v>74</v>
      </c>
      <c r="P146" s="38" t="s">
        <v>75</v>
      </c>
      <c r="Q146" s="38" t="s">
        <v>76</v>
      </c>
      <c r="R146" s="38" t="s">
        <v>158</v>
      </c>
      <c r="S146" s="38" t="s">
        <v>78</v>
      </c>
      <c r="T146" s="41">
        <v>2.21</v>
      </c>
      <c r="U146" s="61" t="s">
        <v>458</v>
      </c>
      <c r="V146" s="46">
        <v>1.2200000000000001E-2</v>
      </c>
      <c r="W146" s="46">
        <v>2.5000000000000001E-2</v>
      </c>
      <c r="X146" s="46" t="s">
        <v>160</v>
      </c>
      <c r="Y146" s="45" t="s">
        <v>74</v>
      </c>
      <c r="Z146" s="49">
        <v>12000</v>
      </c>
      <c r="AA146" s="41">
        <v>1</v>
      </c>
      <c r="AB146" s="41">
        <v>116.02</v>
      </c>
      <c r="AC146" s="41">
        <v>0</v>
      </c>
      <c r="AD146" s="41">
        <v>13.9224</v>
      </c>
      <c r="AG146" s="38" t="s">
        <v>18</v>
      </c>
      <c r="AH146" s="46">
        <v>3.8999999999999999E-6</v>
      </c>
      <c r="AI146" s="46">
        <v>3.4190703419070337E-2</v>
      </c>
      <c r="AJ146" s="46">
        <v>1.3144899999999999E-2</v>
      </c>
    </row>
    <row r="147" spans="1:36" x14ac:dyDescent="0.2">
      <c r="A147" s="38">
        <v>420</v>
      </c>
      <c r="B147" s="38">
        <v>1471</v>
      </c>
      <c r="C147" s="38" t="s">
        <v>414</v>
      </c>
      <c r="D147" s="38">
        <v>520000118</v>
      </c>
      <c r="E147" s="38" t="s">
        <v>150</v>
      </c>
      <c r="F147" s="45" t="s">
        <v>564</v>
      </c>
      <c r="G147" s="38" t="s">
        <v>565</v>
      </c>
      <c r="H147" s="38" t="s">
        <v>153</v>
      </c>
      <c r="I147" s="38" t="s">
        <v>154</v>
      </c>
      <c r="J147" s="38" t="s">
        <v>73</v>
      </c>
      <c r="K147" s="38" t="s">
        <v>73</v>
      </c>
      <c r="L147" s="38" t="s">
        <v>155</v>
      </c>
      <c r="M147" s="38" t="s">
        <v>103</v>
      </c>
      <c r="N147" s="38" t="s">
        <v>223</v>
      </c>
      <c r="O147" s="38" t="s">
        <v>74</v>
      </c>
      <c r="P147" s="38" t="s">
        <v>75</v>
      </c>
      <c r="Q147" s="38" t="s">
        <v>76</v>
      </c>
      <c r="R147" s="38" t="s">
        <v>158</v>
      </c>
      <c r="S147" s="38" t="s">
        <v>78</v>
      </c>
      <c r="T147" s="41">
        <v>3.18</v>
      </c>
      <c r="U147" s="61" t="s">
        <v>566</v>
      </c>
      <c r="V147" s="46">
        <v>2.5000000000000001E-2</v>
      </c>
      <c r="W147" s="46">
        <v>4.2999999999999997E-2</v>
      </c>
      <c r="X147" s="46" t="s">
        <v>160</v>
      </c>
      <c r="Y147" s="45" t="s">
        <v>74</v>
      </c>
      <c r="Z147" s="49">
        <v>7350</v>
      </c>
      <c r="AA147" s="41">
        <v>1</v>
      </c>
      <c r="AB147" s="41">
        <v>95.85</v>
      </c>
      <c r="AC147" s="41">
        <v>0</v>
      </c>
      <c r="AD147" s="41">
        <v>7.0449700000000002</v>
      </c>
      <c r="AG147" s="38" t="s">
        <v>18</v>
      </c>
      <c r="AH147" s="46">
        <v>3.5999999999999998E-6</v>
      </c>
      <c r="AI147" s="46">
        <v>1.7301101730110173E-2</v>
      </c>
      <c r="AJ147" s="46">
        <v>6.6515999999999997E-3</v>
      </c>
    </row>
    <row r="148" spans="1:36" x14ac:dyDescent="0.2">
      <c r="A148" s="38">
        <v>420</v>
      </c>
      <c r="B148" s="38">
        <v>1471</v>
      </c>
      <c r="C148" s="38" t="s">
        <v>567</v>
      </c>
      <c r="D148" s="38">
        <v>520025586</v>
      </c>
      <c r="E148" s="38" t="s">
        <v>150</v>
      </c>
      <c r="F148" s="45" t="s">
        <v>568</v>
      </c>
      <c r="G148" s="38" t="s">
        <v>569</v>
      </c>
      <c r="H148" s="38" t="s">
        <v>153</v>
      </c>
      <c r="I148" s="38" t="s">
        <v>202</v>
      </c>
      <c r="J148" s="38" t="s">
        <v>73</v>
      </c>
      <c r="K148" s="38" t="s">
        <v>73</v>
      </c>
      <c r="L148" s="38" t="s">
        <v>155</v>
      </c>
      <c r="M148" s="38" t="s">
        <v>103</v>
      </c>
      <c r="N148" s="38" t="s">
        <v>279</v>
      </c>
      <c r="O148" s="38" t="s">
        <v>74</v>
      </c>
      <c r="P148" s="38" t="s">
        <v>474</v>
      </c>
      <c r="Q148" s="38" t="s">
        <v>474</v>
      </c>
      <c r="R148" s="38" t="s">
        <v>474</v>
      </c>
      <c r="S148" s="38" t="s">
        <v>78</v>
      </c>
      <c r="T148" s="41">
        <v>2.44</v>
      </c>
      <c r="U148" s="61" t="s">
        <v>288</v>
      </c>
      <c r="V148" s="46">
        <v>3.6999999999999998E-2</v>
      </c>
      <c r="W148" s="46">
        <v>3.6799999999999999E-2</v>
      </c>
      <c r="X148" s="46" t="s">
        <v>160</v>
      </c>
      <c r="Y148" s="45" t="s">
        <v>74</v>
      </c>
      <c r="Z148" s="49">
        <v>1723.41</v>
      </c>
      <c r="AA148" s="41">
        <v>1</v>
      </c>
      <c r="AB148" s="41">
        <v>117.19</v>
      </c>
      <c r="AC148" s="41">
        <v>0</v>
      </c>
      <c r="AD148" s="41">
        <v>2.01966</v>
      </c>
      <c r="AG148" s="38" t="s">
        <v>18</v>
      </c>
      <c r="AH148" s="46">
        <v>3.8999999999999999E-6</v>
      </c>
      <c r="AI148" s="46">
        <v>4.9599004959900491E-3</v>
      </c>
      <c r="AJ148" s="46">
        <v>1.9069E-3</v>
      </c>
    </row>
    <row r="149" spans="1:36" x14ac:dyDescent="0.2">
      <c r="AD149" s="41">
        <f>SUM(AD2:AD148)</f>
        <v>26135.627679999983</v>
      </c>
    </row>
  </sheetData>
  <sheetProtection formatColumns="0"/>
  <dataValidations count="13">
    <dataValidation type="list" allowBlank="1" showInputMessage="1" showErrorMessage="1" sqref="I2" xr:uid="{351587C8-BBB1-4E1F-A49E-6AF6F834B956}">
      <formula1>Security_ID_Number_Type</formula1>
    </dataValidation>
    <dataValidation type="list" allowBlank="1" showInputMessage="1" showErrorMessage="1" sqref="N2:N19" xr:uid="{170F35EC-C5FC-4FAD-8F2B-778C73862311}">
      <formula1>Stock_Exchange</formula1>
    </dataValidation>
    <dataValidation type="list" allowBlank="1" showInputMessage="1" showErrorMessage="1" sqref="M2:M19" xr:uid="{C6AEB868-4D1D-4E37-BEAD-08D5957F6338}">
      <formula1>Tradeable_Status</formula1>
    </dataValidation>
    <dataValidation type="list" allowBlank="1" showInputMessage="1" showErrorMessage="1" sqref="O2:O19" xr:uid="{CE88FD2E-634D-4B3E-981C-CA0BC20BCD8A}">
      <formula1>Industry_Sector</formula1>
    </dataValidation>
    <dataValidation type="list" allowBlank="1" showInputMessage="1" showErrorMessage="1" sqref="F2:F19" xr:uid="{7A44BC58-858D-4676-8012-ED5AECCF36EC}">
      <formula1>Issuer_Number_Type_2</formula1>
    </dataValidation>
    <dataValidation type="list" allowBlank="1" showInputMessage="1" showErrorMessage="1" sqref="I3:I19" xr:uid="{55DD449D-F473-40CF-8847-392766339732}">
      <formula1>Type_of_Security_ID_Fund</formula1>
    </dataValidation>
    <dataValidation type="list" allowBlank="1" showInputMessage="1" showErrorMessage="1" sqref="Z2:Z19" xr:uid="{23E106A5-D370-4D93-A243-E01A87A34512}">
      <formula1>Yes_No_Bad_Debt</formula1>
    </dataValidation>
    <dataValidation type="list" allowBlank="1" showInputMessage="1" showErrorMessage="1" sqref="L2:L19" xr:uid="{65CF911E-0F1D-438B-85A7-D75BD6C733A0}">
      <formula1>Country_list</formula1>
    </dataValidation>
    <dataValidation type="list" allowBlank="1" showInputMessage="1" showErrorMessage="1" sqref="Y2:Y19" xr:uid="{24D0006D-EB17-4289-B76C-9ED484249ED8}">
      <formula1>Subordination_Risk</formula1>
    </dataValidation>
    <dataValidation type="list" allowBlank="1" showInputMessage="1" showErrorMessage="1" sqref="S2:S19" xr:uid="{B81CE53B-386D-41EC-B696-CF7CCD7D6498}">
      <formula1>What_is_rated</formula1>
    </dataValidation>
    <dataValidation type="list" allowBlank="1" showInputMessage="1" showErrorMessage="1" sqref="R2:R19" xr:uid="{12424262-2DF9-44DC-ADE5-B5D26781087E}">
      <formula1>Rating_Agency</formula1>
    </dataValidation>
    <dataValidation type="list" allowBlank="1" showInputMessage="1" showErrorMessage="1" sqref="P2:P19" xr:uid="{63D2EFB8-BD8D-4D0C-9E87-0F52390FA8F8}">
      <formula1>Holding_interest</formula1>
    </dataValidation>
    <dataValidation type="list" allowBlank="1" showInputMessage="1" showErrorMessage="1" sqref="K2:K19" xr:uid="{A1C8000C-DEA2-4D82-8350-8845363BA1FB}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4AFE-8512-4932-A413-DCAE6DD7EBBE}">
  <sheetPr codeName="Sheet8"/>
  <dimension ref="A1:X194"/>
  <sheetViews>
    <sheetView rightToLeft="1" topLeftCell="B1" workbookViewId="0">
      <selection activeCell="G4" sqref="G4"/>
    </sheetView>
  </sheetViews>
  <sheetFormatPr defaultColWidth="9" defaultRowHeight="14.25" x14ac:dyDescent="0.2"/>
  <cols>
    <col min="1" max="2" width="11.625" style="45" customWidth="1"/>
    <col min="3" max="3" width="30.25" style="45" bestFit="1" customWidth="1"/>
    <col min="4" max="4" width="24.5" style="45" bestFit="1" customWidth="1"/>
    <col min="5" max="5" width="11.625" style="45" customWidth="1"/>
    <col min="6" max="6" width="29.75" style="45" bestFit="1" customWidth="1"/>
    <col min="7" max="7" width="14.5" style="45" bestFit="1" customWidth="1"/>
    <col min="8" max="8" width="11.625" style="45" customWidth="1"/>
    <col min="9" max="9" width="13.5" style="45" bestFit="1" customWidth="1"/>
    <col min="10" max="11" width="11.625" style="45" customWidth="1"/>
    <col min="12" max="13" width="9" style="38"/>
    <col min="14" max="14" width="39" style="45" bestFit="1" customWidth="1"/>
    <col min="15" max="16" width="11.625" style="45" customWidth="1"/>
    <col min="17" max="19" width="11.625" style="49" customWidth="1"/>
    <col min="20" max="20" width="11.625" style="41" customWidth="1"/>
    <col min="21" max="21" width="11.625" style="49" customWidth="1"/>
    <col min="22" max="24" width="11.625" style="51" customWidth="1"/>
    <col min="25" max="26" width="11.625" style="45" customWidth="1"/>
    <col min="27" max="16384" width="9" style="45"/>
  </cols>
  <sheetData>
    <row r="1" spans="1:24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89</v>
      </c>
      <c r="N1" s="34" t="s">
        <v>141</v>
      </c>
      <c r="O1" s="34" t="s">
        <v>59</v>
      </c>
      <c r="P1" s="34" t="s">
        <v>62</v>
      </c>
      <c r="Q1" s="35" t="s">
        <v>95</v>
      </c>
      <c r="R1" s="35" t="s">
        <v>64</v>
      </c>
      <c r="S1" s="35" t="s">
        <v>96</v>
      </c>
      <c r="T1" s="35" t="s">
        <v>94</v>
      </c>
      <c r="U1" s="35" t="s">
        <v>66</v>
      </c>
      <c r="V1" s="36" t="s">
        <v>98</v>
      </c>
      <c r="W1" s="36" t="s">
        <v>67</v>
      </c>
      <c r="X1" s="36" t="s">
        <v>68</v>
      </c>
    </row>
    <row r="2" spans="1:24" x14ac:dyDescent="0.2">
      <c r="A2" s="40">
        <v>420</v>
      </c>
      <c r="B2" s="40">
        <v>420</v>
      </c>
      <c r="C2" s="40" t="s">
        <v>403</v>
      </c>
      <c r="D2" s="40">
        <v>520018078</v>
      </c>
      <c r="E2" s="40" t="s">
        <v>150</v>
      </c>
      <c r="F2" s="40" t="s">
        <v>403</v>
      </c>
      <c r="G2" s="40" t="s">
        <v>570</v>
      </c>
      <c r="H2" s="40" t="s">
        <v>153</v>
      </c>
      <c r="I2" s="40" t="s">
        <v>571</v>
      </c>
      <c r="J2" s="40" t="s">
        <v>73</v>
      </c>
      <c r="K2" s="40" t="s">
        <v>73</v>
      </c>
      <c r="L2" s="53" t="s">
        <v>155</v>
      </c>
      <c r="M2" s="40" t="s">
        <v>103</v>
      </c>
      <c r="N2" s="53" t="s">
        <v>223</v>
      </c>
      <c r="O2" s="53" t="s">
        <v>74</v>
      </c>
      <c r="P2" s="40" t="s">
        <v>78</v>
      </c>
      <c r="Q2" s="52">
        <v>27610</v>
      </c>
      <c r="R2" s="52">
        <v>1</v>
      </c>
      <c r="S2" s="52">
        <v>6262</v>
      </c>
      <c r="T2" s="56">
        <v>0</v>
      </c>
      <c r="U2" s="52">
        <v>1728.9382000000001</v>
      </c>
      <c r="V2" s="55">
        <v>1.84E-5</v>
      </c>
      <c r="W2" s="55">
        <v>7.032029296797071E-2</v>
      </c>
      <c r="X2" s="55">
        <v>1.31381E-2</v>
      </c>
    </row>
    <row r="3" spans="1:24" x14ac:dyDescent="0.2">
      <c r="A3" s="40">
        <v>420</v>
      </c>
      <c r="B3" s="40">
        <v>420</v>
      </c>
      <c r="C3" s="40" t="s">
        <v>572</v>
      </c>
      <c r="D3" s="40">
        <v>520036690</v>
      </c>
      <c r="E3" s="40" t="s">
        <v>150</v>
      </c>
      <c r="F3" s="40" t="s">
        <v>573</v>
      </c>
      <c r="G3" s="40" t="s">
        <v>574</v>
      </c>
      <c r="H3" s="40" t="s">
        <v>153</v>
      </c>
      <c r="I3" s="40" t="s">
        <v>571</v>
      </c>
      <c r="J3" s="40" t="s">
        <v>73</v>
      </c>
      <c r="K3" s="40" t="s">
        <v>73</v>
      </c>
      <c r="L3" s="53" t="s">
        <v>155</v>
      </c>
      <c r="M3" s="40" t="s">
        <v>103</v>
      </c>
      <c r="N3" s="53" t="s">
        <v>575</v>
      </c>
      <c r="O3" s="53" t="s">
        <v>74</v>
      </c>
      <c r="P3" s="40" t="s">
        <v>78</v>
      </c>
      <c r="Q3" s="52">
        <v>450</v>
      </c>
      <c r="R3" s="52">
        <v>1</v>
      </c>
      <c r="S3" s="52">
        <v>42880</v>
      </c>
      <c r="T3" s="56">
        <v>0</v>
      </c>
      <c r="U3" s="52">
        <v>192.96</v>
      </c>
      <c r="V3" s="55">
        <v>2.9300000000000001E-5</v>
      </c>
      <c r="W3" s="55">
        <v>7.8481992151800788E-3</v>
      </c>
      <c r="X3" s="55">
        <v>1.4663E-3</v>
      </c>
    </row>
    <row r="4" spans="1:24" x14ac:dyDescent="0.2">
      <c r="A4" s="40">
        <v>420</v>
      </c>
      <c r="B4" s="40">
        <v>420</v>
      </c>
      <c r="C4" s="40" t="s">
        <v>576</v>
      </c>
      <c r="D4" s="40">
        <v>550012777</v>
      </c>
      <c r="E4" s="40" t="s">
        <v>150</v>
      </c>
      <c r="F4" s="40" t="s">
        <v>576</v>
      </c>
      <c r="G4" s="40" t="s">
        <v>577</v>
      </c>
      <c r="H4" s="40" t="s">
        <v>153</v>
      </c>
      <c r="I4" s="40" t="s">
        <v>578</v>
      </c>
      <c r="J4" s="40" t="s">
        <v>73</v>
      </c>
      <c r="K4" s="40" t="s">
        <v>73</v>
      </c>
      <c r="L4" s="53" t="s">
        <v>155</v>
      </c>
      <c r="M4" s="40" t="s">
        <v>103</v>
      </c>
      <c r="N4" s="53" t="s">
        <v>253</v>
      </c>
      <c r="O4" s="53" t="s">
        <v>74</v>
      </c>
      <c r="P4" s="40" t="s">
        <v>78</v>
      </c>
      <c r="Q4" s="52">
        <v>28000</v>
      </c>
      <c r="R4" s="52">
        <v>1</v>
      </c>
      <c r="S4" s="52">
        <v>483.9</v>
      </c>
      <c r="T4" s="56">
        <v>0</v>
      </c>
      <c r="U4" s="52">
        <v>135.49199999999999</v>
      </c>
      <c r="V4" s="55">
        <v>2.4899999999999999E-5</v>
      </c>
      <c r="W4" s="55">
        <v>5.5107994489200559E-3</v>
      </c>
      <c r="X4" s="55">
        <v>1.0296000000000001E-3</v>
      </c>
    </row>
    <row r="5" spans="1:24" x14ac:dyDescent="0.2">
      <c r="A5" s="40">
        <v>420</v>
      </c>
      <c r="B5" s="40">
        <v>420</v>
      </c>
      <c r="C5" s="40" t="s">
        <v>392</v>
      </c>
      <c r="D5" s="40">
        <v>520036120</v>
      </c>
      <c r="E5" s="40" t="s">
        <v>150</v>
      </c>
      <c r="F5" s="40" t="s">
        <v>579</v>
      </c>
      <c r="G5" s="40" t="s">
        <v>580</v>
      </c>
      <c r="H5" s="40" t="s">
        <v>153</v>
      </c>
      <c r="I5" s="40" t="s">
        <v>571</v>
      </c>
      <c r="J5" s="40" t="s">
        <v>73</v>
      </c>
      <c r="K5" s="40" t="s">
        <v>73</v>
      </c>
      <c r="L5" s="53" t="s">
        <v>155</v>
      </c>
      <c r="M5" s="40" t="s">
        <v>103</v>
      </c>
      <c r="N5" s="53" t="s">
        <v>217</v>
      </c>
      <c r="O5" s="53" t="s">
        <v>74</v>
      </c>
      <c r="P5" s="40" t="s">
        <v>78</v>
      </c>
      <c r="Q5" s="52">
        <v>2320</v>
      </c>
      <c r="R5" s="52">
        <v>1</v>
      </c>
      <c r="S5" s="52">
        <v>14880</v>
      </c>
      <c r="T5" s="56">
        <v>0</v>
      </c>
      <c r="U5" s="52">
        <v>345.21600000000001</v>
      </c>
      <c r="V5" s="55">
        <v>2.9099999999999999E-5</v>
      </c>
      <c r="W5" s="55">
        <v>1.4040798595920143E-2</v>
      </c>
      <c r="X5" s="55">
        <v>2.6232999999999999E-3</v>
      </c>
    </row>
    <row r="6" spans="1:24" x14ac:dyDescent="0.2">
      <c r="A6" s="40">
        <v>420</v>
      </c>
      <c r="B6" s="40">
        <v>420</v>
      </c>
      <c r="C6" s="40" t="s">
        <v>581</v>
      </c>
      <c r="D6" s="40">
        <v>550013098</v>
      </c>
      <c r="E6" s="40" t="s">
        <v>150</v>
      </c>
      <c r="F6" s="40" t="s">
        <v>582</v>
      </c>
      <c r="G6" s="40" t="s">
        <v>583</v>
      </c>
      <c r="H6" s="40" t="s">
        <v>153</v>
      </c>
      <c r="I6" s="40" t="s">
        <v>578</v>
      </c>
      <c r="J6" s="40" t="s">
        <v>73</v>
      </c>
      <c r="K6" s="40" t="s">
        <v>73</v>
      </c>
      <c r="L6" s="53" t="s">
        <v>155</v>
      </c>
      <c r="M6" s="40" t="s">
        <v>103</v>
      </c>
      <c r="N6" s="53" t="s">
        <v>253</v>
      </c>
      <c r="O6" s="53" t="s">
        <v>74</v>
      </c>
      <c r="P6" s="40" t="s">
        <v>78</v>
      </c>
      <c r="Q6" s="52">
        <v>15967.45</v>
      </c>
      <c r="R6" s="52">
        <v>1</v>
      </c>
      <c r="S6" s="52">
        <v>1656</v>
      </c>
      <c r="T6" s="56">
        <v>0</v>
      </c>
      <c r="U6" s="52">
        <v>264.42097000000001</v>
      </c>
      <c r="V6" s="55">
        <v>1.36E-5</v>
      </c>
      <c r="W6" s="55">
        <v>1.075469892453011E-2</v>
      </c>
      <c r="X6" s="55">
        <v>2.0092999999999999E-3</v>
      </c>
    </row>
    <row r="7" spans="1:24" x14ac:dyDescent="0.2">
      <c r="A7" s="40">
        <v>420</v>
      </c>
      <c r="B7" s="40">
        <v>420</v>
      </c>
      <c r="C7" s="40" t="s">
        <v>325</v>
      </c>
      <c r="D7" s="40">
        <v>520031931</v>
      </c>
      <c r="E7" s="40" t="s">
        <v>150</v>
      </c>
      <c r="F7" s="40" t="s">
        <v>325</v>
      </c>
      <c r="G7" s="40" t="s">
        <v>584</v>
      </c>
      <c r="H7" s="40" t="s">
        <v>153</v>
      </c>
      <c r="I7" s="40" t="s">
        <v>571</v>
      </c>
      <c r="J7" s="40" t="s">
        <v>73</v>
      </c>
      <c r="K7" s="40" t="s">
        <v>73</v>
      </c>
      <c r="L7" s="53" t="s">
        <v>155</v>
      </c>
      <c r="M7" s="40" t="s">
        <v>103</v>
      </c>
      <c r="N7" s="53" t="s">
        <v>301</v>
      </c>
      <c r="O7" s="53" t="s">
        <v>74</v>
      </c>
      <c r="P7" s="40" t="s">
        <v>78</v>
      </c>
      <c r="Q7" s="52">
        <v>81209.02</v>
      </c>
      <c r="R7" s="52">
        <v>1</v>
      </c>
      <c r="S7" s="52">
        <v>575</v>
      </c>
      <c r="T7" s="56">
        <v>0</v>
      </c>
      <c r="U7" s="52">
        <v>466.95186000000001</v>
      </c>
      <c r="V7" s="55">
        <v>2.9300000000000001E-5</v>
      </c>
      <c r="W7" s="55">
        <v>1.8992098100790195E-2</v>
      </c>
      <c r="X7" s="55">
        <v>3.5482999999999999E-3</v>
      </c>
    </row>
    <row r="8" spans="1:24" x14ac:dyDescent="0.2">
      <c r="A8" s="40">
        <v>420</v>
      </c>
      <c r="B8" s="40">
        <v>420</v>
      </c>
      <c r="C8" s="40" t="s">
        <v>272</v>
      </c>
      <c r="D8" s="40">
        <v>520036658</v>
      </c>
      <c r="E8" s="40" t="s">
        <v>150</v>
      </c>
      <c r="F8" s="40" t="s">
        <v>585</v>
      </c>
      <c r="G8" s="40" t="s">
        <v>586</v>
      </c>
      <c r="H8" s="40" t="s">
        <v>153</v>
      </c>
      <c r="I8" s="40" t="s">
        <v>571</v>
      </c>
      <c r="J8" s="40" t="s">
        <v>73</v>
      </c>
      <c r="K8" s="40" t="s">
        <v>73</v>
      </c>
      <c r="L8" s="53" t="s">
        <v>155</v>
      </c>
      <c r="M8" s="40" t="s">
        <v>103</v>
      </c>
      <c r="N8" s="53" t="s">
        <v>203</v>
      </c>
      <c r="O8" s="53" t="s">
        <v>74</v>
      </c>
      <c r="P8" s="40" t="s">
        <v>78</v>
      </c>
      <c r="Q8" s="52">
        <v>83180</v>
      </c>
      <c r="R8" s="52">
        <v>1</v>
      </c>
      <c r="S8" s="52">
        <v>90.8</v>
      </c>
      <c r="T8" s="56">
        <v>0</v>
      </c>
      <c r="U8" s="52">
        <v>75.527439999999999</v>
      </c>
      <c r="V8" s="55">
        <v>2.6699999999999998E-5</v>
      </c>
      <c r="W8" s="55">
        <v>3.071899692810031E-3</v>
      </c>
      <c r="X8" s="55">
        <v>5.7390000000000002E-4</v>
      </c>
    </row>
    <row r="9" spans="1:24" x14ac:dyDescent="0.2">
      <c r="A9" s="40">
        <v>420</v>
      </c>
      <c r="B9" s="40">
        <v>420</v>
      </c>
      <c r="C9" s="40" t="s">
        <v>587</v>
      </c>
      <c r="D9" s="40">
        <v>520036872</v>
      </c>
      <c r="E9" s="40" t="s">
        <v>150</v>
      </c>
      <c r="F9" s="40" t="s">
        <v>588</v>
      </c>
      <c r="G9" s="40" t="s">
        <v>589</v>
      </c>
      <c r="H9" s="40" t="s">
        <v>153</v>
      </c>
      <c r="I9" s="40" t="s">
        <v>571</v>
      </c>
      <c r="J9" s="40" t="s">
        <v>73</v>
      </c>
      <c r="K9" s="40" t="s">
        <v>73</v>
      </c>
      <c r="L9" s="53" t="s">
        <v>155</v>
      </c>
      <c r="M9" s="40" t="s">
        <v>103</v>
      </c>
      <c r="N9" s="53" t="s">
        <v>479</v>
      </c>
      <c r="O9" s="53" t="s">
        <v>74</v>
      </c>
      <c r="P9" s="40" t="s">
        <v>78</v>
      </c>
      <c r="Q9" s="52">
        <v>691</v>
      </c>
      <c r="R9" s="52">
        <v>1</v>
      </c>
      <c r="S9" s="52">
        <v>57150</v>
      </c>
      <c r="T9" s="56">
        <v>0</v>
      </c>
      <c r="U9" s="52">
        <v>394.90649999999999</v>
      </c>
      <c r="V9" s="55">
        <v>1.0900000000000001E-5</v>
      </c>
      <c r="W9" s="55">
        <v>1.6061798393820163E-2</v>
      </c>
      <c r="X9" s="55">
        <v>3.0008999999999999E-3</v>
      </c>
    </row>
    <row r="10" spans="1:24" x14ac:dyDescent="0.2">
      <c r="A10" s="40">
        <v>420</v>
      </c>
      <c r="B10" s="40">
        <v>420</v>
      </c>
      <c r="C10" s="40" t="s">
        <v>516</v>
      </c>
      <c r="D10" s="40">
        <v>520028911</v>
      </c>
      <c r="E10" s="40" t="s">
        <v>150</v>
      </c>
      <c r="F10" s="40" t="s">
        <v>516</v>
      </c>
      <c r="G10" s="40" t="s">
        <v>590</v>
      </c>
      <c r="H10" s="40" t="s">
        <v>153</v>
      </c>
      <c r="I10" s="40" t="s">
        <v>571</v>
      </c>
      <c r="J10" s="40" t="s">
        <v>73</v>
      </c>
      <c r="K10" s="40" t="s">
        <v>73</v>
      </c>
      <c r="L10" s="53" t="s">
        <v>155</v>
      </c>
      <c r="M10" s="40" t="s">
        <v>103</v>
      </c>
      <c r="N10" s="53" t="s">
        <v>279</v>
      </c>
      <c r="O10" s="53" t="s">
        <v>74</v>
      </c>
      <c r="P10" s="40" t="s">
        <v>78</v>
      </c>
      <c r="Q10" s="52">
        <v>74</v>
      </c>
      <c r="R10" s="52">
        <v>1</v>
      </c>
      <c r="S10" s="52">
        <v>215900</v>
      </c>
      <c r="T10" s="56">
        <v>0</v>
      </c>
      <c r="U10" s="52">
        <v>159.76599999999999</v>
      </c>
      <c r="V10" s="55">
        <v>1.9300000000000002E-5</v>
      </c>
      <c r="W10" s="55">
        <v>6.4980993501900655E-3</v>
      </c>
      <c r="X10" s="55">
        <v>1.2141000000000001E-3</v>
      </c>
    </row>
    <row r="11" spans="1:24" x14ac:dyDescent="0.2">
      <c r="A11" s="40">
        <v>420</v>
      </c>
      <c r="B11" s="40">
        <v>420</v>
      </c>
      <c r="C11" s="40" t="s">
        <v>591</v>
      </c>
      <c r="D11" s="40">
        <v>520013954</v>
      </c>
      <c r="E11" s="40" t="s">
        <v>150</v>
      </c>
      <c r="F11" s="40" t="s">
        <v>591</v>
      </c>
      <c r="G11" s="40" t="s">
        <v>592</v>
      </c>
      <c r="H11" s="40" t="s">
        <v>153</v>
      </c>
      <c r="I11" s="40" t="s">
        <v>571</v>
      </c>
      <c r="J11" s="40" t="s">
        <v>73</v>
      </c>
      <c r="K11" s="40" t="s">
        <v>73</v>
      </c>
      <c r="L11" s="53" t="s">
        <v>155</v>
      </c>
      <c r="M11" s="40" t="s">
        <v>103</v>
      </c>
      <c r="N11" s="53" t="s">
        <v>593</v>
      </c>
      <c r="O11" s="53" t="s">
        <v>74</v>
      </c>
      <c r="P11" s="40" t="s">
        <v>78</v>
      </c>
      <c r="Q11" s="52">
        <v>16152</v>
      </c>
      <c r="R11" s="52">
        <v>1</v>
      </c>
      <c r="S11" s="52">
        <v>5699</v>
      </c>
      <c r="T11" s="56">
        <v>0</v>
      </c>
      <c r="U11" s="52">
        <v>920.50247999999999</v>
      </c>
      <c r="V11" s="55">
        <v>1.4E-5</v>
      </c>
      <c r="W11" s="55">
        <v>3.7439096256090383E-2</v>
      </c>
      <c r="X11" s="55">
        <v>6.9947999999999998E-3</v>
      </c>
    </row>
    <row r="12" spans="1:24" x14ac:dyDescent="0.2">
      <c r="A12" s="40">
        <v>420</v>
      </c>
      <c r="B12" s="40">
        <v>420</v>
      </c>
      <c r="C12" s="40" t="s">
        <v>369</v>
      </c>
      <c r="D12" s="40">
        <v>513623314</v>
      </c>
      <c r="E12" s="40" t="s">
        <v>150</v>
      </c>
      <c r="F12" s="40" t="s">
        <v>369</v>
      </c>
      <c r="G12" s="40" t="s">
        <v>594</v>
      </c>
      <c r="H12" s="40" t="s">
        <v>153</v>
      </c>
      <c r="I12" s="40" t="s">
        <v>571</v>
      </c>
      <c r="J12" s="40" t="s">
        <v>73</v>
      </c>
      <c r="K12" s="40" t="s">
        <v>73</v>
      </c>
      <c r="L12" s="53" t="s">
        <v>155</v>
      </c>
      <c r="M12" s="40" t="s">
        <v>103</v>
      </c>
      <c r="N12" s="53" t="s">
        <v>173</v>
      </c>
      <c r="O12" s="53" t="s">
        <v>74</v>
      </c>
      <c r="P12" s="40" t="s">
        <v>78</v>
      </c>
      <c r="Q12" s="52">
        <v>507</v>
      </c>
      <c r="R12" s="52">
        <v>1</v>
      </c>
      <c r="S12" s="52">
        <v>64490</v>
      </c>
      <c r="T12" s="56">
        <v>0</v>
      </c>
      <c r="U12" s="52">
        <v>326.96429999999998</v>
      </c>
      <c r="V12" s="55">
        <v>2.05E-5</v>
      </c>
      <c r="W12" s="55">
        <v>1.3298498670150134E-2</v>
      </c>
      <c r="X12" s="55">
        <v>2.4846E-3</v>
      </c>
    </row>
    <row r="13" spans="1:24" x14ac:dyDescent="0.2">
      <c r="A13" s="40">
        <v>420</v>
      </c>
      <c r="B13" s="40">
        <v>420</v>
      </c>
      <c r="C13" s="40" t="s">
        <v>595</v>
      </c>
      <c r="D13" s="40">
        <v>520017450</v>
      </c>
      <c r="E13" s="40" t="s">
        <v>150</v>
      </c>
      <c r="F13" s="40" t="s">
        <v>596</v>
      </c>
      <c r="G13" s="40" t="s">
        <v>597</v>
      </c>
      <c r="H13" s="40" t="s">
        <v>153</v>
      </c>
      <c r="I13" s="40" t="s">
        <v>571</v>
      </c>
      <c r="J13" s="40" t="s">
        <v>73</v>
      </c>
      <c r="K13" s="40" t="s">
        <v>73</v>
      </c>
      <c r="L13" s="53" t="s">
        <v>155</v>
      </c>
      <c r="M13" s="40" t="s">
        <v>103</v>
      </c>
      <c r="N13" s="53" t="s">
        <v>217</v>
      </c>
      <c r="O13" s="53" t="s">
        <v>74</v>
      </c>
      <c r="P13" s="40" t="s">
        <v>78</v>
      </c>
      <c r="Q13" s="52">
        <v>4867</v>
      </c>
      <c r="R13" s="52">
        <v>1</v>
      </c>
      <c r="S13" s="52">
        <v>9745</v>
      </c>
      <c r="T13" s="56">
        <v>0</v>
      </c>
      <c r="U13" s="52">
        <v>474.28915000000001</v>
      </c>
      <c r="V13" s="55">
        <v>1.9300000000000002E-5</v>
      </c>
      <c r="W13" s="55">
        <v>1.9290498070950193E-2</v>
      </c>
      <c r="X13" s="55">
        <v>3.6040999999999998E-3</v>
      </c>
    </row>
    <row r="14" spans="1:24" x14ac:dyDescent="0.2">
      <c r="A14" s="40">
        <v>420</v>
      </c>
      <c r="B14" s="40">
        <v>420</v>
      </c>
      <c r="C14" s="40" t="s">
        <v>598</v>
      </c>
      <c r="D14" s="40">
        <v>520044314</v>
      </c>
      <c r="E14" s="40" t="s">
        <v>150</v>
      </c>
      <c r="F14" s="40" t="s">
        <v>598</v>
      </c>
      <c r="G14" s="40" t="s">
        <v>599</v>
      </c>
      <c r="H14" s="40" t="s">
        <v>153</v>
      </c>
      <c r="I14" s="40" t="s">
        <v>571</v>
      </c>
      <c r="J14" s="40" t="s">
        <v>73</v>
      </c>
      <c r="K14" s="40" t="s">
        <v>73</v>
      </c>
      <c r="L14" s="53" t="s">
        <v>155</v>
      </c>
      <c r="M14" s="40" t="s">
        <v>103</v>
      </c>
      <c r="N14" s="53" t="s">
        <v>301</v>
      </c>
      <c r="O14" s="53" t="s">
        <v>74</v>
      </c>
      <c r="P14" s="40" t="s">
        <v>78</v>
      </c>
      <c r="Q14" s="52">
        <v>5843</v>
      </c>
      <c r="R14" s="52">
        <v>1</v>
      </c>
      <c r="S14" s="52">
        <v>2555</v>
      </c>
      <c r="T14" s="56">
        <v>0</v>
      </c>
      <c r="U14" s="52">
        <v>149.28864999999999</v>
      </c>
      <c r="V14" s="55">
        <v>3.1300000000000002E-5</v>
      </c>
      <c r="W14" s="55">
        <v>6.0718993928100618E-3</v>
      </c>
      <c r="X14" s="55">
        <v>1.1344E-3</v>
      </c>
    </row>
    <row r="15" spans="1:24" x14ac:dyDescent="0.2">
      <c r="A15" s="40">
        <v>420</v>
      </c>
      <c r="B15" s="40">
        <v>420</v>
      </c>
      <c r="C15" s="40" t="s">
        <v>600</v>
      </c>
      <c r="D15" s="40">
        <v>520039413</v>
      </c>
      <c r="E15" s="40" t="s">
        <v>150</v>
      </c>
      <c r="F15" s="40" t="s">
        <v>600</v>
      </c>
      <c r="G15" s="40" t="s">
        <v>601</v>
      </c>
      <c r="H15" s="40" t="s">
        <v>153</v>
      </c>
      <c r="I15" s="40" t="s">
        <v>571</v>
      </c>
      <c r="J15" s="40" t="s">
        <v>73</v>
      </c>
      <c r="K15" s="40" t="s">
        <v>73</v>
      </c>
      <c r="L15" s="53" t="s">
        <v>155</v>
      </c>
      <c r="M15" s="40" t="s">
        <v>103</v>
      </c>
      <c r="N15" s="53" t="s">
        <v>575</v>
      </c>
      <c r="O15" s="53" t="s">
        <v>74</v>
      </c>
      <c r="P15" s="40" t="s">
        <v>78</v>
      </c>
      <c r="Q15" s="52">
        <v>1099</v>
      </c>
      <c r="R15" s="52">
        <v>1</v>
      </c>
      <c r="S15" s="52">
        <v>11720</v>
      </c>
      <c r="T15" s="56">
        <v>0</v>
      </c>
      <c r="U15" s="52">
        <v>128.80279999999999</v>
      </c>
      <c r="V15" s="55">
        <v>1.7200000000000001E-5</v>
      </c>
      <c r="W15" s="55">
        <v>5.2386994761300532E-3</v>
      </c>
      <c r="X15" s="55">
        <v>9.7879999999999994E-4</v>
      </c>
    </row>
    <row r="16" spans="1:24" x14ac:dyDescent="0.2">
      <c r="A16" s="40">
        <v>420</v>
      </c>
      <c r="B16" s="40">
        <v>420</v>
      </c>
      <c r="C16" s="40" t="s">
        <v>602</v>
      </c>
      <c r="D16" s="40">
        <v>520007030</v>
      </c>
      <c r="E16" s="40" t="s">
        <v>150</v>
      </c>
      <c r="F16" s="40" t="s">
        <v>602</v>
      </c>
      <c r="G16" s="40" t="s">
        <v>603</v>
      </c>
      <c r="H16" s="40" t="s">
        <v>153</v>
      </c>
      <c r="I16" s="40" t="s">
        <v>571</v>
      </c>
      <c r="J16" s="40" t="s">
        <v>73</v>
      </c>
      <c r="K16" s="40" t="s">
        <v>73</v>
      </c>
      <c r="L16" s="53" t="s">
        <v>155</v>
      </c>
      <c r="M16" s="40" t="s">
        <v>103</v>
      </c>
      <c r="N16" s="53" t="s">
        <v>223</v>
      </c>
      <c r="O16" s="53" t="s">
        <v>74</v>
      </c>
      <c r="P16" s="40" t="s">
        <v>78</v>
      </c>
      <c r="Q16" s="52">
        <v>15115</v>
      </c>
      <c r="R16" s="52">
        <v>1</v>
      </c>
      <c r="S16" s="52">
        <v>3356</v>
      </c>
      <c r="T16" s="56">
        <v>0</v>
      </c>
      <c r="U16" s="52">
        <v>507.25940000000003</v>
      </c>
      <c r="V16" s="55">
        <v>1.2300000000000001E-5</v>
      </c>
      <c r="W16" s="55">
        <v>2.0631497936850211E-2</v>
      </c>
      <c r="X16" s="55">
        <v>3.8546000000000001E-3</v>
      </c>
    </row>
    <row r="17" spans="1:24" x14ac:dyDescent="0.2">
      <c r="A17" s="40">
        <v>420</v>
      </c>
      <c r="B17" s="40">
        <v>420</v>
      </c>
      <c r="C17" s="40" t="s">
        <v>604</v>
      </c>
      <c r="D17" s="40">
        <v>512512468</v>
      </c>
      <c r="E17" s="40" t="s">
        <v>150</v>
      </c>
      <c r="F17" s="40" t="s">
        <v>605</v>
      </c>
      <c r="G17" s="40" t="s">
        <v>606</v>
      </c>
      <c r="H17" s="40" t="s">
        <v>153</v>
      </c>
      <c r="I17" s="40" t="s">
        <v>571</v>
      </c>
      <c r="J17" s="40" t="s">
        <v>73</v>
      </c>
      <c r="K17" s="40" t="s">
        <v>73</v>
      </c>
      <c r="L17" s="53" t="s">
        <v>155</v>
      </c>
      <c r="M17" s="40" t="s">
        <v>103</v>
      </c>
      <c r="N17" s="53" t="s">
        <v>575</v>
      </c>
      <c r="O17" s="53" t="s">
        <v>74</v>
      </c>
      <c r="P17" s="40" t="s">
        <v>78</v>
      </c>
      <c r="Q17" s="52">
        <v>35225</v>
      </c>
      <c r="R17" s="52">
        <v>1</v>
      </c>
      <c r="S17" s="52">
        <v>336.8</v>
      </c>
      <c r="T17" s="56">
        <v>0</v>
      </c>
      <c r="U17" s="52">
        <v>118.6378</v>
      </c>
      <c r="V17" s="55">
        <v>3.009E-4</v>
      </c>
      <c r="W17" s="55">
        <v>4.8252995174700494E-3</v>
      </c>
      <c r="X17" s="55">
        <v>9.0149999999999996E-4</v>
      </c>
    </row>
    <row r="18" spans="1:24" x14ac:dyDescent="0.2">
      <c r="A18" s="40">
        <v>420</v>
      </c>
      <c r="B18" s="40">
        <v>420</v>
      </c>
      <c r="C18" s="40" t="s">
        <v>607</v>
      </c>
      <c r="D18" s="40">
        <v>520003781</v>
      </c>
      <c r="E18" s="40" t="s">
        <v>150</v>
      </c>
      <c r="F18" s="40" t="s">
        <v>608</v>
      </c>
      <c r="G18" s="40" t="s">
        <v>609</v>
      </c>
      <c r="H18" s="40" t="s">
        <v>153</v>
      </c>
      <c r="I18" s="40" t="s">
        <v>571</v>
      </c>
      <c r="J18" s="40" t="s">
        <v>73</v>
      </c>
      <c r="K18" s="40" t="s">
        <v>73</v>
      </c>
      <c r="L18" s="53" t="s">
        <v>155</v>
      </c>
      <c r="M18" s="40" t="s">
        <v>103</v>
      </c>
      <c r="N18" s="53" t="s">
        <v>610</v>
      </c>
      <c r="O18" s="53" t="s">
        <v>74</v>
      </c>
      <c r="P18" s="40" t="s">
        <v>78</v>
      </c>
      <c r="Q18" s="52">
        <v>5287</v>
      </c>
      <c r="R18" s="52">
        <v>1</v>
      </c>
      <c r="S18" s="52">
        <v>9235</v>
      </c>
      <c r="T18" s="56">
        <v>0</v>
      </c>
      <c r="U18" s="52">
        <v>488.25445000000002</v>
      </c>
      <c r="V18" s="55">
        <v>4.5300000000000003E-5</v>
      </c>
      <c r="W18" s="55">
        <v>1.9858498014150204E-2</v>
      </c>
      <c r="X18" s="55">
        <v>3.7101999999999999E-3</v>
      </c>
    </row>
    <row r="19" spans="1:24" x14ac:dyDescent="0.2">
      <c r="A19" s="40">
        <v>420</v>
      </c>
      <c r="B19" s="40">
        <v>420</v>
      </c>
      <c r="C19" s="40" t="s">
        <v>611</v>
      </c>
      <c r="D19" s="40">
        <v>520000522</v>
      </c>
      <c r="E19" s="40" t="s">
        <v>150</v>
      </c>
      <c r="F19" s="40" t="s">
        <v>611</v>
      </c>
      <c r="G19" s="40" t="s">
        <v>612</v>
      </c>
      <c r="H19" s="40" t="s">
        <v>153</v>
      </c>
      <c r="I19" s="40" t="s">
        <v>571</v>
      </c>
      <c r="J19" s="40" t="s">
        <v>73</v>
      </c>
      <c r="K19" s="40" t="s">
        <v>73</v>
      </c>
      <c r="L19" s="53" t="s">
        <v>155</v>
      </c>
      <c r="M19" s="40" t="s">
        <v>103</v>
      </c>
      <c r="N19" s="53" t="s">
        <v>223</v>
      </c>
      <c r="O19" s="53" t="s">
        <v>74</v>
      </c>
      <c r="P19" s="40" t="s">
        <v>78</v>
      </c>
      <c r="Q19" s="52">
        <v>539</v>
      </c>
      <c r="R19" s="52">
        <v>1</v>
      </c>
      <c r="S19" s="52">
        <v>21950</v>
      </c>
      <c r="T19" s="56">
        <v>0</v>
      </c>
      <c r="U19" s="52">
        <v>118.3105</v>
      </c>
      <c r="V19" s="55">
        <v>1.9999999999999999E-6</v>
      </c>
      <c r="W19" s="55">
        <v>4.8119995188000489E-3</v>
      </c>
      <c r="X19" s="55">
        <v>8.9899999999999995E-4</v>
      </c>
    </row>
    <row r="20" spans="1:24" x14ac:dyDescent="0.2">
      <c r="A20" s="45">
        <v>420</v>
      </c>
      <c r="B20" s="45">
        <v>420</v>
      </c>
      <c r="C20" s="45" t="s">
        <v>613</v>
      </c>
      <c r="D20" s="45">
        <v>520029083</v>
      </c>
      <c r="E20" s="40" t="s">
        <v>150</v>
      </c>
      <c r="F20" s="45" t="s">
        <v>614</v>
      </c>
      <c r="G20" s="45" t="s">
        <v>615</v>
      </c>
      <c r="H20" s="40" t="s">
        <v>153</v>
      </c>
      <c r="I20" s="39" t="s">
        <v>571</v>
      </c>
      <c r="J20" s="45" t="s">
        <v>73</v>
      </c>
      <c r="K20" s="40" t="s">
        <v>73</v>
      </c>
      <c r="L20" s="53" t="s">
        <v>155</v>
      </c>
      <c r="M20" s="40" t="s">
        <v>103</v>
      </c>
      <c r="N20" s="53" t="s">
        <v>223</v>
      </c>
      <c r="O20" s="45" t="s">
        <v>74</v>
      </c>
      <c r="P20" s="45" t="s">
        <v>78</v>
      </c>
      <c r="Q20" s="49">
        <v>296</v>
      </c>
      <c r="R20" s="49">
        <v>1</v>
      </c>
      <c r="S20" s="49">
        <v>24370</v>
      </c>
      <c r="T20" s="41">
        <v>0</v>
      </c>
      <c r="U20" s="49">
        <v>72.135199999999998</v>
      </c>
      <c r="V20" s="51">
        <v>2.9000000000000002E-6</v>
      </c>
      <c r="W20" s="51">
        <v>2.9338997066100298E-3</v>
      </c>
      <c r="X20" s="51">
        <v>5.4819999999999999E-4</v>
      </c>
    </row>
    <row r="21" spans="1:24" x14ac:dyDescent="0.2">
      <c r="A21" s="45">
        <v>420</v>
      </c>
      <c r="B21" s="45">
        <v>420</v>
      </c>
      <c r="C21" s="45" t="s">
        <v>616</v>
      </c>
      <c r="D21" s="45">
        <v>520043027</v>
      </c>
      <c r="E21" s="45" t="s">
        <v>150</v>
      </c>
      <c r="F21" s="45" t="s">
        <v>616</v>
      </c>
      <c r="G21" s="45" t="s">
        <v>617</v>
      </c>
      <c r="H21" s="45" t="s">
        <v>153</v>
      </c>
      <c r="I21" s="39" t="s">
        <v>571</v>
      </c>
      <c r="J21" s="45" t="s">
        <v>73</v>
      </c>
      <c r="K21" s="45" t="s">
        <v>73</v>
      </c>
      <c r="L21" s="39" t="s">
        <v>155</v>
      </c>
      <c r="M21" s="45" t="s">
        <v>103</v>
      </c>
      <c r="N21" s="53" t="s">
        <v>618</v>
      </c>
      <c r="O21" s="45" t="s">
        <v>74</v>
      </c>
      <c r="P21" s="45" t="s">
        <v>78</v>
      </c>
      <c r="Q21" s="49">
        <v>206</v>
      </c>
      <c r="R21" s="49">
        <v>1</v>
      </c>
      <c r="S21" s="49">
        <v>149800</v>
      </c>
      <c r="T21" s="41">
        <v>0.41670000000000001</v>
      </c>
      <c r="U21" s="49">
        <v>308.58800000000002</v>
      </c>
      <c r="V21" s="51">
        <v>4.4000000000000002E-6</v>
      </c>
      <c r="W21" s="51">
        <v>1.2550998744900127E-2</v>
      </c>
      <c r="X21" s="51">
        <v>2.3449E-3</v>
      </c>
    </row>
    <row r="22" spans="1:24" x14ac:dyDescent="0.2">
      <c r="A22" s="45">
        <v>420</v>
      </c>
      <c r="B22" s="45">
        <v>420</v>
      </c>
      <c r="C22" s="45" t="s">
        <v>619</v>
      </c>
      <c r="D22" s="45">
        <v>520007469</v>
      </c>
      <c r="E22" s="45" t="s">
        <v>150</v>
      </c>
      <c r="F22" s="45" t="s">
        <v>620</v>
      </c>
      <c r="G22" s="45" t="s">
        <v>621</v>
      </c>
      <c r="H22" s="45" t="s">
        <v>153</v>
      </c>
      <c r="I22" s="39" t="s">
        <v>571</v>
      </c>
      <c r="J22" s="45" t="s">
        <v>73</v>
      </c>
      <c r="K22" s="45" t="s">
        <v>73</v>
      </c>
      <c r="L22" s="39" t="s">
        <v>155</v>
      </c>
      <c r="M22" s="45" t="s">
        <v>103</v>
      </c>
      <c r="N22" s="45" t="s">
        <v>217</v>
      </c>
      <c r="O22" s="45" t="s">
        <v>74</v>
      </c>
      <c r="P22" s="45" t="s">
        <v>78</v>
      </c>
      <c r="Q22" s="49">
        <v>1828</v>
      </c>
      <c r="R22" s="49">
        <v>1</v>
      </c>
      <c r="S22" s="49">
        <v>26530</v>
      </c>
      <c r="T22" s="41">
        <v>0</v>
      </c>
      <c r="U22" s="49">
        <v>484.96839999999997</v>
      </c>
      <c r="V22" s="51">
        <v>2.9300000000000001E-5</v>
      </c>
      <c r="W22" s="51">
        <v>1.97248980275102E-2</v>
      </c>
      <c r="X22" s="51">
        <v>3.6852E-3</v>
      </c>
    </row>
    <row r="23" spans="1:24" x14ac:dyDescent="0.2">
      <c r="A23" s="45">
        <v>420</v>
      </c>
      <c r="B23" s="45">
        <v>420</v>
      </c>
      <c r="C23" s="45" t="s">
        <v>250</v>
      </c>
      <c r="D23" s="45">
        <v>520044322</v>
      </c>
      <c r="E23" s="45" t="s">
        <v>150</v>
      </c>
      <c r="F23" s="45" t="s">
        <v>622</v>
      </c>
      <c r="G23" s="45" t="s">
        <v>623</v>
      </c>
      <c r="H23" s="45" t="s">
        <v>153</v>
      </c>
      <c r="I23" s="39" t="s">
        <v>571</v>
      </c>
      <c r="J23" s="45" t="s">
        <v>73</v>
      </c>
      <c r="K23" s="45" t="s">
        <v>73</v>
      </c>
      <c r="L23" s="39" t="s">
        <v>155</v>
      </c>
      <c r="M23" s="38" t="s">
        <v>103</v>
      </c>
      <c r="N23" s="45" t="s">
        <v>253</v>
      </c>
      <c r="O23" s="45" t="s">
        <v>74</v>
      </c>
      <c r="P23" s="45" t="s">
        <v>78</v>
      </c>
      <c r="Q23" s="49">
        <v>337</v>
      </c>
      <c r="R23" s="49">
        <v>1</v>
      </c>
      <c r="S23" s="49">
        <v>69740</v>
      </c>
      <c r="T23" s="41">
        <v>0</v>
      </c>
      <c r="U23" s="49">
        <v>235.02379999999999</v>
      </c>
      <c r="V23" s="51">
        <v>1.84E-5</v>
      </c>
      <c r="W23" s="51">
        <v>9.5589990441000972E-3</v>
      </c>
      <c r="X23" s="51">
        <v>1.7859E-3</v>
      </c>
    </row>
    <row r="24" spans="1:24" x14ac:dyDescent="0.2">
      <c r="A24" s="45">
        <v>420</v>
      </c>
      <c r="B24" s="45">
        <v>420</v>
      </c>
      <c r="C24" s="45" t="s">
        <v>414</v>
      </c>
      <c r="D24" s="45">
        <v>520000118</v>
      </c>
      <c r="E24" s="45" t="s">
        <v>150</v>
      </c>
      <c r="F24" s="45" t="s">
        <v>624</v>
      </c>
      <c r="G24" s="45" t="s">
        <v>625</v>
      </c>
      <c r="H24" s="45" t="s">
        <v>153</v>
      </c>
      <c r="I24" s="39" t="s">
        <v>571</v>
      </c>
      <c r="J24" s="45" t="s">
        <v>73</v>
      </c>
      <c r="K24" s="45" t="s">
        <v>73</v>
      </c>
      <c r="L24" s="39" t="s">
        <v>155</v>
      </c>
      <c r="M24" s="38" t="s">
        <v>103</v>
      </c>
      <c r="N24" s="45" t="s">
        <v>223</v>
      </c>
      <c r="O24" s="45" t="s">
        <v>74</v>
      </c>
      <c r="P24" s="45" t="s">
        <v>78</v>
      </c>
      <c r="Q24" s="49">
        <v>16773</v>
      </c>
      <c r="R24" s="49">
        <v>1</v>
      </c>
      <c r="S24" s="49">
        <v>6462</v>
      </c>
      <c r="T24" s="41">
        <v>0</v>
      </c>
      <c r="U24" s="49">
        <v>1083.8712599999999</v>
      </c>
      <c r="V24" s="51">
        <v>1.27E-5</v>
      </c>
      <c r="W24" s="51">
        <v>4.4083795591620449E-2</v>
      </c>
      <c r="X24" s="51">
        <v>8.2363000000000002E-3</v>
      </c>
    </row>
    <row r="25" spans="1:24" x14ac:dyDescent="0.2">
      <c r="A25" s="45">
        <v>420</v>
      </c>
      <c r="B25" s="45">
        <v>420</v>
      </c>
      <c r="C25" s="45" t="s">
        <v>339</v>
      </c>
      <c r="D25" s="45">
        <v>520037789</v>
      </c>
      <c r="E25" s="45" t="s">
        <v>150</v>
      </c>
      <c r="F25" s="45" t="s">
        <v>626</v>
      </c>
      <c r="G25" s="45" t="s">
        <v>627</v>
      </c>
      <c r="H25" s="45" t="s">
        <v>153</v>
      </c>
      <c r="I25" s="39" t="s">
        <v>571</v>
      </c>
      <c r="J25" s="45" t="s">
        <v>73</v>
      </c>
      <c r="K25" s="45" t="s">
        <v>73</v>
      </c>
      <c r="L25" s="39" t="s">
        <v>155</v>
      </c>
      <c r="M25" s="38" t="s">
        <v>103</v>
      </c>
      <c r="N25" s="45" t="s">
        <v>173</v>
      </c>
      <c r="O25" s="45" t="s">
        <v>74</v>
      </c>
      <c r="P25" s="45" t="s">
        <v>78</v>
      </c>
      <c r="Q25" s="49">
        <v>828</v>
      </c>
      <c r="R25" s="49">
        <v>1</v>
      </c>
      <c r="S25" s="49">
        <v>38400</v>
      </c>
      <c r="T25" s="41">
        <v>0</v>
      </c>
      <c r="U25" s="49">
        <v>317.952</v>
      </c>
      <c r="V25" s="51">
        <v>1.73E-5</v>
      </c>
      <c r="W25" s="51">
        <v>1.293189870681013E-2</v>
      </c>
      <c r="X25" s="51">
        <v>2.4161E-3</v>
      </c>
    </row>
    <row r="26" spans="1:24" x14ac:dyDescent="0.2">
      <c r="A26" s="45">
        <v>420</v>
      </c>
      <c r="B26" s="45">
        <v>420</v>
      </c>
      <c r="C26" s="45" t="s">
        <v>421</v>
      </c>
      <c r="D26" s="45">
        <v>510216054</v>
      </c>
      <c r="E26" s="45" t="s">
        <v>150</v>
      </c>
      <c r="F26" s="45" t="s">
        <v>421</v>
      </c>
      <c r="G26" s="45" t="s">
        <v>628</v>
      </c>
      <c r="H26" s="45" t="s">
        <v>153</v>
      </c>
      <c r="I26" s="39" t="s">
        <v>571</v>
      </c>
      <c r="J26" s="45" t="s">
        <v>73</v>
      </c>
      <c r="K26" s="45" t="s">
        <v>73</v>
      </c>
      <c r="L26" s="38" t="s">
        <v>155</v>
      </c>
      <c r="M26" s="38" t="s">
        <v>103</v>
      </c>
      <c r="N26" s="45" t="s">
        <v>203</v>
      </c>
      <c r="O26" s="45" t="s">
        <v>74</v>
      </c>
      <c r="P26" s="45" t="s">
        <v>78</v>
      </c>
      <c r="Q26" s="49">
        <v>259</v>
      </c>
      <c r="R26" s="49">
        <v>1</v>
      </c>
      <c r="S26" s="49">
        <v>61570</v>
      </c>
      <c r="T26" s="41">
        <v>3.1423000000000001</v>
      </c>
      <c r="U26" s="49">
        <v>159.46629999999999</v>
      </c>
      <c r="V26" s="51">
        <v>2.41E-5</v>
      </c>
      <c r="W26" s="51">
        <v>6.4858993514100658E-3</v>
      </c>
      <c r="X26" s="51">
        <v>1.2118000000000001E-3</v>
      </c>
    </row>
    <row r="27" spans="1:24" x14ac:dyDescent="0.2">
      <c r="A27" s="45">
        <v>420</v>
      </c>
      <c r="B27" s="45">
        <v>420</v>
      </c>
      <c r="C27" s="45" t="s">
        <v>307</v>
      </c>
      <c r="D27" s="45">
        <v>520027830</v>
      </c>
      <c r="E27" s="45" t="s">
        <v>150</v>
      </c>
      <c r="F27" s="45" t="s">
        <v>307</v>
      </c>
      <c r="G27" s="45" t="s">
        <v>629</v>
      </c>
      <c r="H27" s="45" t="s">
        <v>153</v>
      </c>
      <c r="I27" s="39" t="s">
        <v>571</v>
      </c>
      <c r="J27" s="45" t="s">
        <v>73</v>
      </c>
      <c r="K27" s="45" t="s">
        <v>73</v>
      </c>
      <c r="L27" s="38" t="s">
        <v>155</v>
      </c>
      <c r="M27" s="38" t="s">
        <v>103</v>
      </c>
      <c r="N27" s="45" t="s">
        <v>310</v>
      </c>
      <c r="O27" s="45" t="s">
        <v>74</v>
      </c>
      <c r="P27" s="45" t="s">
        <v>78</v>
      </c>
      <c r="Q27" s="49">
        <v>29376</v>
      </c>
      <c r="R27" s="49">
        <v>1</v>
      </c>
      <c r="S27" s="49">
        <v>2309</v>
      </c>
      <c r="T27" s="41">
        <v>0</v>
      </c>
      <c r="U27" s="49">
        <v>678.29183999999998</v>
      </c>
      <c r="V27" s="51">
        <v>2.27E-5</v>
      </c>
      <c r="W27" s="51">
        <v>2.7587797241220281E-2</v>
      </c>
      <c r="X27" s="51">
        <v>5.1542999999999997E-3</v>
      </c>
    </row>
    <row r="28" spans="1:24" x14ac:dyDescent="0.2">
      <c r="A28" s="45">
        <v>420</v>
      </c>
      <c r="B28" s="45">
        <v>420</v>
      </c>
      <c r="C28" s="45" t="s">
        <v>630</v>
      </c>
      <c r="D28" s="45">
        <v>513770669</v>
      </c>
      <c r="E28" s="45" t="s">
        <v>150</v>
      </c>
      <c r="F28" s="45" t="s">
        <v>630</v>
      </c>
      <c r="G28" s="45" t="s">
        <v>631</v>
      </c>
      <c r="H28" s="45" t="s">
        <v>153</v>
      </c>
      <c r="I28" s="39" t="s">
        <v>571</v>
      </c>
      <c r="J28" s="45" t="s">
        <v>73</v>
      </c>
      <c r="K28" s="45" t="s">
        <v>73</v>
      </c>
      <c r="L28" s="38" t="s">
        <v>155</v>
      </c>
      <c r="M28" s="38" t="s">
        <v>103</v>
      </c>
      <c r="N28" s="45" t="s">
        <v>156</v>
      </c>
      <c r="O28" s="45" t="s">
        <v>74</v>
      </c>
      <c r="P28" s="45" t="s">
        <v>78</v>
      </c>
      <c r="Q28" s="49">
        <v>687</v>
      </c>
      <c r="R28" s="49">
        <v>1</v>
      </c>
      <c r="S28" s="49">
        <v>32510</v>
      </c>
      <c r="T28" s="41">
        <v>0</v>
      </c>
      <c r="U28" s="49">
        <v>223.34370000000001</v>
      </c>
      <c r="V28" s="51">
        <v>4.9799999999999998E-5</v>
      </c>
      <c r="W28" s="51">
        <v>9.0838990916100922E-3</v>
      </c>
      <c r="X28" s="51">
        <v>1.6972000000000001E-3</v>
      </c>
    </row>
    <row r="29" spans="1:24" x14ac:dyDescent="0.2">
      <c r="A29" s="45">
        <v>420</v>
      </c>
      <c r="B29" s="45">
        <v>420</v>
      </c>
      <c r="C29" s="45" t="s">
        <v>530</v>
      </c>
      <c r="D29" s="45">
        <v>520024126</v>
      </c>
      <c r="E29" s="45" t="s">
        <v>150</v>
      </c>
      <c r="F29" s="45" t="s">
        <v>632</v>
      </c>
      <c r="G29" s="45" t="s">
        <v>633</v>
      </c>
      <c r="H29" s="45" t="s">
        <v>153</v>
      </c>
      <c r="I29" s="39" t="s">
        <v>571</v>
      </c>
      <c r="J29" s="45" t="s">
        <v>73</v>
      </c>
      <c r="K29" s="45" t="s">
        <v>73</v>
      </c>
      <c r="L29" s="38" t="s">
        <v>155</v>
      </c>
      <c r="M29" s="38" t="s">
        <v>103</v>
      </c>
      <c r="N29" s="45" t="s">
        <v>173</v>
      </c>
      <c r="O29" s="45" t="s">
        <v>74</v>
      </c>
      <c r="P29" s="45" t="s">
        <v>78</v>
      </c>
      <c r="Q29" s="49">
        <v>25067</v>
      </c>
      <c r="R29" s="49">
        <v>1</v>
      </c>
      <c r="S29" s="49">
        <v>1262</v>
      </c>
      <c r="T29" s="41">
        <v>0</v>
      </c>
      <c r="U29" s="49">
        <v>316.34554000000003</v>
      </c>
      <c r="V29" s="51">
        <v>3.4600000000000001E-5</v>
      </c>
      <c r="W29" s="51">
        <v>1.2866598713340132E-2</v>
      </c>
      <c r="X29" s="51">
        <v>2.4039E-3</v>
      </c>
    </row>
    <row r="30" spans="1:24" x14ac:dyDescent="0.2">
      <c r="A30" s="45">
        <v>420</v>
      </c>
      <c r="B30" s="45">
        <v>420</v>
      </c>
      <c r="C30" s="45" t="s">
        <v>634</v>
      </c>
      <c r="D30" s="45">
        <v>520025602</v>
      </c>
      <c r="E30" s="45" t="s">
        <v>150</v>
      </c>
      <c r="F30" s="45" t="s">
        <v>635</v>
      </c>
      <c r="G30" s="45" t="s">
        <v>636</v>
      </c>
      <c r="H30" s="45" t="s">
        <v>153</v>
      </c>
      <c r="I30" s="39" t="s">
        <v>571</v>
      </c>
      <c r="J30" s="45" t="s">
        <v>73</v>
      </c>
      <c r="K30" s="45" t="s">
        <v>73</v>
      </c>
      <c r="L30" s="38" t="s">
        <v>155</v>
      </c>
      <c r="M30" s="38" t="s">
        <v>103</v>
      </c>
      <c r="N30" s="45" t="s">
        <v>637</v>
      </c>
      <c r="O30" s="45" t="s">
        <v>74</v>
      </c>
      <c r="P30" s="45" t="s">
        <v>78</v>
      </c>
      <c r="Q30" s="49">
        <v>2248</v>
      </c>
      <c r="R30" s="49">
        <v>1</v>
      </c>
      <c r="S30" s="49">
        <v>17880</v>
      </c>
      <c r="T30" s="41">
        <v>0</v>
      </c>
      <c r="U30" s="49">
        <v>401.94240000000002</v>
      </c>
      <c r="V30" s="51">
        <v>8.6100000000000006E-5</v>
      </c>
      <c r="W30" s="51">
        <v>1.6347998365200168E-2</v>
      </c>
      <c r="X30" s="51">
        <v>3.0542999999999998E-3</v>
      </c>
    </row>
    <row r="31" spans="1:24" x14ac:dyDescent="0.2">
      <c r="A31" s="45">
        <v>420</v>
      </c>
      <c r="B31" s="45">
        <v>420</v>
      </c>
      <c r="C31" s="45" t="s">
        <v>638</v>
      </c>
      <c r="D31" s="45">
        <v>520041997</v>
      </c>
      <c r="E31" s="45" t="s">
        <v>150</v>
      </c>
      <c r="F31" s="45" t="s">
        <v>639</v>
      </c>
      <c r="G31" s="45" t="s">
        <v>640</v>
      </c>
      <c r="H31" s="45" t="s">
        <v>153</v>
      </c>
      <c r="I31" s="39" t="s">
        <v>571</v>
      </c>
      <c r="J31" s="45" t="s">
        <v>73</v>
      </c>
      <c r="K31" s="45" t="s">
        <v>73</v>
      </c>
      <c r="L31" s="38" t="s">
        <v>155</v>
      </c>
      <c r="M31" s="38" t="s">
        <v>103</v>
      </c>
      <c r="N31" s="45" t="s">
        <v>641</v>
      </c>
      <c r="O31" s="45" t="s">
        <v>74</v>
      </c>
      <c r="P31" s="45" t="s">
        <v>78</v>
      </c>
      <c r="Q31" s="49">
        <v>1087</v>
      </c>
      <c r="R31" s="49">
        <v>1</v>
      </c>
      <c r="S31" s="49">
        <v>14620</v>
      </c>
      <c r="T31" s="41">
        <v>0</v>
      </c>
      <c r="U31" s="49">
        <v>158.9194</v>
      </c>
      <c r="V31" s="51">
        <v>9.7000000000000003E-6</v>
      </c>
      <c r="W31" s="51">
        <v>6.463699353630066E-3</v>
      </c>
      <c r="X31" s="51">
        <v>1.2076000000000001E-3</v>
      </c>
    </row>
    <row r="32" spans="1:24" x14ac:dyDescent="0.2">
      <c r="A32" s="45">
        <v>420</v>
      </c>
      <c r="B32" s="45">
        <v>420</v>
      </c>
      <c r="C32" s="45" t="s">
        <v>642</v>
      </c>
      <c r="D32" s="45">
        <v>520035791</v>
      </c>
      <c r="E32" s="45" t="s">
        <v>150</v>
      </c>
      <c r="F32" s="45" t="s">
        <v>643</v>
      </c>
      <c r="G32" s="45" t="s">
        <v>644</v>
      </c>
      <c r="H32" s="45" t="s">
        <v>153</v>
      </c>
      <c r="I32" s="45" t="s">
        <v>571</v>
      </c>
      <c r="J32" s="45" t="s">
        <v>73</v>
      </c>
      <c r="K32" s="45" t="s">
        <v>73</v>
      </c>
      <c r="L32" s="38" t="s">
        <v>155</v>
      </c>
      <c r="M32" s="38" t="s">
        <v>103</v>
      </c>
      <c r="N32" s="45" t="s">
        <v>645</v>
      </c>
      <c r="O32" s="45" t="s">
        <v>74</v>
      </c>
      <c r="P32" s="45" t="s">
        <v>78</v>
      </c>
      <c r="Q32" s="49">
        <v>3852</v>
      </c>
      <c r="R32" s="49">
        <v>1</v>
      </c>
      <c r="S32" s="49">
        <v>10400</v>
      </c>
      <c r="T32" s="41">
        <v>0</v>
      </c>
      <c r="U32" s="49">
        <v>400.608</v>
      </c>
      <c r="V32" s="51">
        <v>3.0059999999999999E-4</v>
      </c>
      <c r="W32" s="51">
        <v>1.6293698370630168E-2</v>
      </c>
      <c r="X32" s="51">
        <v>3.0441999999999999E-3</v>
      </c>
    </row>
    <row r="33" spans="1:24" x14ac:dyDescent="0.2">
      <c r="A33" s="45">
        <v>420</v>
      </c>
      <c r="B33" s="45">
        <v>420</v>
      </c>
      <c r="C33" s="45" t="s">
        <v>285</v>
      </c>
      <c r="D33" s="45">
        <v>520028010</v>
      </c>
      <c r="E33" s="45" t="s">
        <v>150</v>
      </c>
      <c r="F33" s="45" t="s">
        <v>285</v>
      </c>
      <c r="G33" s="45" t="s">
        <v>646</v>
      </c>
      <c r="H33" s="45" t="s">
        <v>153</v>
      </c>
      <c r="I33" s="45" t="s">
        <v>571</v>
      </c>
      <c r="J33" s="45" t="s">
        <v>73</v>
      </c>
      <c r="K33" s="45" t="s">
        <v>73</v>
      </c>
      <c r="L33" s="38" t="s">
        <v>155</v>
      </c>
      <c r="M33" s="38" t="s">
        <v>103</v>
      </c>
      <c r="N33" s="45" t="s">
        <v>279</v>
      </c>
      <c r="O33" s="45" t="s">
        <v>74</v>
      </c>
      <c r="P33" s="45" t="s">
        <v>78</v>
      </c>
      <c r="Q33" s="49">
        <v>41</v>
      </c>
      <c r="R33" s="49">
        <v>1</v>
      </c>
      <c r="S33" s="49">
        <v>112370</v>
      </c>
      <c r="T33" s="41">
        <v>0</v>
      </c>
      <c r="U33" s="49">
        <v>46.0717</v>
      </c>
      <c r="V33" s="51">
        <v>5.4E-6</v>
      </c>
      <c r="W33" s="51">
        <v>1.873899812610019E-3</v>
      </c>
      <c r="X33" s="51">
        <v>3.501E-4</v>
      </c>
    </row>
    <row r="34" spans="1:24" x14ac:dyDescent="0.2">
      <c r="A34" s="45">
        <v>420</v>
      </c>
      <c r="B34" s="45">
        <v>420</v>
      </c>
      <c r="C34" s="45" t="s">
        <v>647</v>
      </c>
      <c r="D34" s="45">
        <v>520043480</v>
      </c>
      <c r="E34" s="45" t="s">
        <v>150</v>
      </c>
      <c r="F34" s="45" t="s">
        <v>648</v>
      </c>
      <c r="G34" s="45" t="s">
        <v>649</v>
      </c>
      <c r="H34" s="45" t="s">
        <v>153</v>
      </c>
      <c r="I34" s="45" t="s">
        <v>571</v>
      </c>
      <c r="J34" s="45" t="s">
        <v>73</v>
      </c>
      <c r="K34" s="45" t="s">
        <v>73</v>
      </c>
      <c r="L34" s="38" t="s">
        <v>155</v>
      </c>
      <c r="M34" s="38" t="s">
        <v>103</v>
      </c>
      <c r="N34" s="45" t="s">
        <v>529</v>
      </c>
      <c r="O34" s="45" t="s">
        <v>74</v>
      </c>
      <c r="P34" s="45" t="s">
        <v>78</v>
      </c>
      <c r="Q34" s="49">
        <v>907</v>
      </c>
      <c r="R34" s="49">
        <v>1</v>
      </c>
      <c r="S34" s="49">
        <v>56070</v>
      </c>
      <c r="T34" s="41">
        <v>0</v>
      </c>
      <c r="U34" s="49">
        <v>508.55489999999998</v>
      </c>
      <c r="V34" s="51">
        <v>9.9599999999999995E-5</v>
      </c>
      <c r="W34" s="51">
        <v>2.068419793158021E-2</v>
      </c>
      <c r="X34" s="51">
        <v>3.8644999999999999E-3</v>
      </c>
    </row>
    <row r="35" spans="1:24" x14ac:dyDescent="0.2">
      <c r="A35" s="45">
        <v>420</v>
      </c>
      <c r="B35" s="45">
        <v>420</v>
      </c>
      <c r="C35" s="45" t="s">
        <v>650</v>
      </c>
      <c r="D35" s="45">
        <v>520018482</v>
      </c>
      <c r="E35" s="45" t="s">
        <v>150</v>
      </c>
      <c r="F35" s="45" t="s">
        <v>651</v>
      </c>
      <c r="G35" s="45" t="s">
        <v>652</v>
      </c>
      <c r="H35" s="45" t="s">
        <v>153</v>
      </c>
      <c r="I35" s="45" t="s">
        <v>571</v>
      </c>
      <c r="J35" s="45" t="s">
        <v>73</v>
      </c>
      <c r="K35" s="45" t="s">
        <v>73</v>
      </c>
      <c r="L35" s="38" t="s">
        <v>155</v>
      </c>
      <c r="M35" s="38" t="s">
        <v>103</v>
      </c>
      <c r="N35" s="45" t="s">
        <v>610</v>
      </c>
      <c r="O35" s="45" t="s">
        <v>74</v>
      </c>
      <c r="P35" s="45" t="s">
        <v>78</v>
      </c>
      <c r="Q35" s="49">
        <v>546</v>
      </c>
      <c r="R35" s="49">
        <v>1</v>
      </c>
      <c r="S35" s="49">
        <v>24340</v>
      </c>
      <c r="T35" s="41">
        <v>0</v>
      </c>
      <c r="U35" s="49">
        <v>132.8964</v>
      </c>
      <c r="V35" s="51">
        <v>1.5860000000000001E-4</v>
      </c>
      <c r="W35" s="51">
        <v>5.405199459480055E-3</v>
      </c>
      <c r="X35" s="51">
        <v>1.0099E-3</v>
      </c>
    </row>
    <row r="36" spans="1:24" x14ac:dyDescent="0.2">
      <c r="A36" s="45">
        <v>420</v>
      </c>
      <c r="B36" s="45">
        <v>420</v>
      </c>
      <c r="C36" s="45" t="s">
        <v>209</v>
      </c>
      <c r="D36" s="45">
        <v>510960719</v>
      </c>
      <c r="E36" s="45" t="s">
        <v>150</v>
      </c>
      <c r="F36" s="45" t="s">
        <v>209</v>
      </c>
      <c r="G36" s="45" t="s">
        <v>653</v>
      </c>
      <c r="H36" s="45" t="s">
        <v>153</v>
      </c>
      <c r="I36" s="45" t="s">
        <v>571</v>
      </c>
      <c r="J36" s="45" t="s">
        <v>73</v>
      </c>
      <c r="K36" s="45" t="s">
        <v>73</v>
      </c>
      <c r="L36" s="38" t="s">
        <v>155</v>
      </c>
      <c r="M36" s="38" t="s">
        <v>103</v>
      </c>
      <c r="N36" s="45" t="s">
        <v>173</v>
      </c>
      <c r="O36" s="45" t="s">
        <v>74</v>
      </c>
      <c r="P36" s="45" t="s">
        <v>78</v>
      </c>
      <c r="Q36" s="49">
        <v>990</v>
      </c>
      <c r="R36" s="49">
        <v>1</v>
      </c>
      <c r="S36" s="49">
        <v>30970</v>
      </c>
      <c r="T36" s="41">
        <v>0</v>
      </c>
      <c r="U36" s="49">
        <v>306.60300000000001</v>
      </c>
      <c r="V36" s="51">
        <v>8.1000000000000004E-6</v>
      </c>
      <c r="W36" s="51">
        <v>1.2470298752970127E-2</v>
      </c>
      <c r="X36" s="51">
        <v>2.3299000000000002E-3</v>
      </c>
    </row>
    <row r="37" spans="1:24" x14ac:dyDescent="0.2">
      <c r="A37" s="45">
        <v>420</v>
      </c>
      <c r="B37" s="45">
        <v>420</v>
      </c>
      <c r="C37" s="45" t="s">
        <v>654</v>
      </c>
      <c r="D37" s="45">
        <v>520041187</v>
      </c>
      <c r="E37" s="45" t="s">
        <v>150</v>
      </c>
      <c r="F37" s="45" t="s">
        <v>655</v>
      </c>
      <c r="G37" s="45" t="s">
        <v>656</v>
      </c>
      <c r="H37" s="45" t="s">
        <v>153</v>
      </c>
      <c r="I37" s="45" t="s">
        <v>571</v>
      </c>
      <c r="J37" s="45" t="s">
        <v>73</v>
      </c>
      <c r="K37" s="45" t="s">
        <v>73</v>
      </c>
      <c r="L37" s="38" t="s">
        <v>155</v>
      </c>
      <c r="M37" s="38" t="s">
        <v>103</v>
      </c>
      <c r="N37" s="45" t="s">
        <v>156</v>
      </c>
      <c r="O37" s="45" t="s">
        <v>74</v>
      </c>
      <c r="P37" s="45" t="s">
        <v>78</v>
      </c>
      <c r="Q37" s="49">
        <v>19664</v>
      </c>
      <c r="R37" s="49">
        <v>1</v>
      </c>
      <c r="S37" s="49">
        <v>810</v>
      </c>
      <c r="T37" s="41">
        <v>0</v>
      </c>
      <c r="U37" s="49">
        <v>159.2784</v>
      </c>
      <c r="V37" s="51">
        <v>1.8459999999999999E-4</v>
      </c>
      <c r="W37" s="51">
        <v>6.4782993521700664E-3</v>
      </c>
      <c r="X37" s="51">
        <v>1.2103000000000001E-3</v>
      </c>
    </row>
    <row r="38" spans="1:24" x14ac:dyDescent="0.2">
      <c r="A38" s="45">
        <v>420</v>
      </c>
      <c r="B38" s="45">
        <v>420</v>
      </c>
      <c r="C38" s="45" t="s">
        <v>657</v>
      </c>
      <c r="D38" s="45">
        <v>520039967</v>
      </c>
      <c r="E38" s="45" t="s">
        <v>150</v>
      </c>
      <c r="F38" s="45" t="s">
        <v>657</v>
      </c>
      <c r="G38" s="45" t="s">
        <v>658</v>
      </c>
      <c r="H38" s="45" t="s">
        <v>153</v>
      </c>
      <c r="I38" s="45" t="s">
        <v>571</v>
      </c>
      <c r="J38" s="45" t="s">
        <v>73</v>
      </c>
      <c r="K38" s="45" t="s">
        <v>73</v>
      </c>
      <c r="L38" s="38" t="s">
        <v>155</v>
      </c>
      <c r="M38" s="38" t="s">
        <v>103</v>
      </c>
      <c r="N38" s="45" t="s">
        <v>156</v>
      </c>
      <c r="O38" s="45" t="s">
        <v>74</v>
      </c>
      <c r="P38" s="45" t="s">
        <v>78</v>
      </c>
      <c r="Q38" s="49">
        <v>1137</v>
      </c>
      <c r="R38" s="49">
        <v>1</v>
      </c>
      <c r="S38" s="49">
        <v>13120</v>
      </c>
      <c r="T38" s="41">
        <v>0</v>
      </c>
      <c r="U38" s="49">
        <v>149.17439999999999</v>
      </c>
      <c r="V38" s="51">
        <v>4.8900000000000003E-5</v>
      </c>
      <c r="W38" s="51">
        <v>6.0672993932700623E-3</v>
      </c>
      <c r="X38" s="51">
        <v>1.1336E-3</v>
      </c>
    </row>
    <row r="39" spans="1:24" x14ac:dyDescent="0.2">
      <c r="A39" s="45">
        <v>420</v>
      </c>
      <c r="B39" s="45">
        <v>420</v>
      </c>
      <c r="C39" s="45" t="s">
        <v>659</v>
      </c>
      <c r="D39" s="45">
        <v>513910703</v>
      </c>
      <c r="E39" s="45" t="s">
        <v>150</v>
      </c>
      <c r="F39" s="45" t="s">
        <v>660</v>
      </c>
      <c r="G39" s="45" t="s">
        <v>661</v>
      </c>
      <c r="H39" s="45" t="s">
        <v>153</v>
      </c>
      <c r="I39" s="45" t="s">
        <v>571</v>
      </c>
      <c r="J39" s="45" t="s">
        <v>73</v>
      </c>
      <c r="K39" s="45" t="s">
        <v>73</v>
      </c>
      <c r="L39" s="38" t="s">
        <v>155</v>
      </c>
      <c r="M39" s="38" t="s">
        <v>103</v>
      </c>
      <c r="N39" s="45" t="s">
        <v>217</v>
      </c>
      <c r="O39" s="45" t="s">
        <v>74</v>
      </c>
      <c r="P39" s="45" t="s">
        <v>78</v>
      </c>
      <c r="Q39" s="49">
        <v>1033</v>
      </c>
      <c r="R39" s="49">
        <v>1</v>
      </c>
      <c r="S39" s="49">
        <v>21960</v>
      </c>
      <c r="T39" s="41">
        <v>0</v>
      </c>
      <c r="U39" s="49">
        <v>226.8468</v>
      </c>
      <c r="V39" s="51">
        <v>6.9999999999999994E-5</v>
      </c>
      <c r="W39" s="51">
        <v>9.2263990773600937E-3</v>
      </c>
      <c r="X39" s="51">
        <v>1.7237999999999999E-3</v>
      </c>
    </row>
    <row r="40" spans="1:24" x14ac:dyDescent="0.2">
      <c r="A40" s="45">
        <v>420</v>
      </c>
      <c r="B40" s="45">
        <v>420</v>
      </c>
      <c r="C40" s="45" t="s">
        <v>246</v>
      </c>
      <c r="D40" s="45">
        <v>510381601</v>
      </c>
      <c r="E40" s="45" t="s">
        <v>150</v>
      </c>
      <c r="F40" s="45" t="s">
        <v>246</v>
      </c>
      <c r="G40" s="45" t="s">
        <v>662</v>
      </c>
      <c r="H40" s="45" t="s">
        <v>153</v>
      </c>
      <c r="I40" s="45" t="s">
        <v>571</v>
      </c>
      <c r="J40" s="45" t="s">
        <v>73</v>
      </c>
      <c r="K40" s="45" t="s">
        <v>73</v>
      </c>
      <c r="L40" s="38" t="s">
        <v>155</v>
      </c>
      <c r="M40" s="38" t="s">
        <v>103</v>
      </c>
      <c r="N40" s="45" t="s">
        <v>193</v>
      </c>
      <c r="O40" s="45" t="s">
        <v>74</v>
      </c>
      <c r="P40" s="45" t="s">
        <v>78</v>
      </c>
      <c r="Q40" s="49">
        <v>4787</v>
      </c>
      <c r="R40" s="49">
        <v>1</v>
      </c>
      <c r="S40" s="49">
        <v>7670</v>
      </c>
      <c r="T40" s="41">
        <v>0</v>
      </c>
      <c r="U40" s="49">
        <v>367.16289999999998</v>
      </c>
      <c r="V40" s="51">
        <v>4.2899999999999999E-5</v>
      </c>
      <c r="W40" s="51">
        <v>1.4933398506660152E-2</v>
      </c>
      <c r="X40" s="51">
        <v>2.7899999999999999E-3</v>
      </c>
    </row>
    <row r="41" spans="1:24" x14ac:dyDescent="0.2">
      <c r="A41" s="45">
        <v>420</v>
      </c>
      <c r="B41" s="45">
        <v>420</v>
      </c>
      <c r="C41" s="45" t="s">
        <v>663</v>
      </c>
      <c r="D41" s="45">
        <v>515001659</v>
      </c>
      <c r="E41" s="45" t="s">
        <v>150</v>
      </c>
      <c r="F41" s="45" t="s">
        <v>664</v>
      </c>
      <c r="G41" s="45" t="s">
        <v>665</v>
      </c>
      <c r="H41" s="45" t="s">
        <v>153</v>
      </c>
      <c r="I41" s="45" t="s">
        <v>571</v>
      </c>
      <c r="J41" s="45" t="s">
        <v>73</v>
      </c>
      <c r="K41" s="45" t="s">
        <v>73</v>
      </c>
      <c r="L41" s="38" t="s">
        <v>155</v>
      </c>
      <c r="M41" s="38" t="s">
        <v>103</v>
      </c>
      <c r="N41" s="45" t="s">
        <v>529</v>
      </c>
      <c r="O41" s="45" t="s">
        <v>74</v>
      </c>
      <c r="P41" s="45" t="s">
        <v>78</v>
      </c>
      <c r="Q41" s="49">
        <v>3752</v>
      </c>
      <c r="R41" s="49">
        <v>1</v>
      </c>
      <c r="S41" s="49">
        <v>2100</v>
      </c>
      <c r="T41" s="41">
        <v>0</v>
      </c>
      <c r="U41" s="49">
        <v>78.792000000000002</v>
      </c>
      <c r="V41" s="51">
        <v>2.5199999999999999E-5</v>
      </c>
      <c r="W41" s="51">
        <v>3.2046996795300326E-3</v>
      </c>
      <c r="X41" s="51">
        <v>5.9869999999999997E-4</v>
      </c>
    </row>
    <row r="42" spans="1:24" x14ac:dyDescent="0.2">
      <c r="A42" s="45">
        <v>420</v>
      </c>
      <c r="B42" s="45">
        <v>420</v>
      </c>
      <c r="C42" s="45" t="s">
        <v>526</v>
      </c>
      <c r="D42" s="45">
        <v>514892801</v>
      </c>
      <c r="E42" s="45" t="s">
        <v>150</v>
      </c>
      <c r="F42" s="45" t="s">
        <v>526</v>
      </c>
      <c r="G42" s="45" t="s">
        <v>666</v>
      </c>
      <c r="H42" s="45" t="s">
        <v>153</v>
      </c>
      <c r="I42" s="45" t="s">
        <v>571</v>
      </c>
      <c r="J42" s="45" t="s">
        <v>73</v>
      </c>
      <c r="K42" s="45" t="s">
        <v>73</v>
      </c>
      <c r="L42" s="38" t="s">
        <v>155</v>
      </c>
      <c r="M42" s="38" t="s">
        <v>103</v>
      </c>
      <c r="N42" s="45" t="s">
        <v>529</v>
      </c>
      <c r="O42" s="45" t="s">
        <v>74</v>
      </c>
      <c r="P42" s="45" t="s">
        <v>78</v>
      </c>
      <c r="Q42" s="49">
        <v>6810</v>
      </c>
      <c r="R42" s="49">
        <v>1</v>
      </c>
      <c r="S42" s="49">
        <v>3000</v>
      </c>
      <c r="T42" s="41">
        <v>0</v>
      </c>
      <c r="U42" s="49">
        <v>204.3</v>
      </c>
      <c r="V42" s="51">
        <v>1.9000000000000001E-5</v>
      </c>
      <c r="W42" s="51">
        <v>8.3093991690600839E-3</v>
      </c>
      <c r="X42" s="51">
        <v>1.5525000000000001E-3</v>
      </c>
    </row>
    <row r="43" spans="1:24" x14ac:dyDescent="0.2">
      <c r="A43" s="45">
        <v>420</v>
      </c>
      <c r="B43" s="45">
        <v>420</v>
      </c>
      <c r="C43" s="45" t="s">
        <v>667</v>
      </c>
      <c r="D43" s="45">
        <v>2250</v>
      </c>
      <c r="E43" s="45" t="s">
        <v>138</v>
      </c>
      <c r="F43" s="45" t="s">
        <v>668</v>
      </c>
      <c r="G43" s="45" t="s">
        <v>669</v>
      </c>
      <c r="H43" s="45" t="s">
        <v>153</v>
      </c>
      <c r="I43" s="45" t="s">
        <v>571</v>
      </c>
      <c r="J43" s="45" t="s">
        <v>73</v>
      </c>
      <c r="K43" s="45" t="s">
        <v>73</v>
      </c>
      <c r="L43" s="38" t="s">
        <v>155</v>
      </c>
      <c r="M43" s="38" t="s">
        <v>103</v>
      </c>
      <c r="N43" s="45" t="s">
        <v>164</v>
      </c>
      <c r="O43" s="45" t="s">
        <v>74</v>
      </c>
      <c r="P43" s="45" t="s">
        <v>78</v>
      </c>
      <c r="Q43" s="49">
        <v>1429</v>
      </c>
      <c r="R43" s="49">
        <v>1</v>
      </c>
      <c r="S43" s="49">
        <v>27780</v>
      </c>
      <c r="T43" s="41">
        <v>0</v>
      </c>
      <c r="U43" s="49">
        <v>396.97620000000001</v>
      </c>
      <c r="V43" s="51">
        <v>2.51E-5</v>
      </c>
      <c r="W43" s="51">
        <v>1.6145998385400165E-2</v>
      </c>
      <c r="X43" s="51">
        <v>3.0165999999999999E-3</v>
      </c>
    </row>
    <row r="44" spans="1:24" x14ac:dyDescent="0.2">
      <c r="A44" s="45">
        <v>420</v>
      </c>
      <c r="B44" s="45">
        <v>420</v>
      </c>
      <c r="C44" s="45" t="s">
        <v>161</v>
      </c>
      <c r="D44" s="45">
        <v>520041146</v>
      </c>
      <c r="E44" s="45" t="s">
        <v>150</v>
      </c>
      <c r="F44" s="45" t="s">
        <v>670</v>
      </c>
      <c r="G44" s="45" t="s">
        <v>671</v>
      </c>
      <c r="H44" s="45" t="s">
        <v>153</v>
      </c>
      <c r="I44" s="45" t="s">
        <v>571</v>
      </c>
      <c r="J44" s="45" t="s">
        <v>73</v>
      </c>
      <c r="K44" s="45" t="s">
        <v>73</v>
      </c>
      <c r="L44" s="38" t="s">
        <v>155</v>
      </c>
      <c r="M44" s="38" t="s">
        <v>103</v>
      </c>
      <c r="N44" s="45" t="s">
        <v>164</v>
      </c>
      <c r="O44" s="45" t="s">
        <v>74</v>
      </c>
      <c r="P44" s="45" t="s">
        <v>78</v>
      </c>
      <c r="Q44" s="49">
        <v>4992</v>
      </c>
      <c r="R44" s="49">
        <v>1</v>
      </c>
      <c r="S44" s="49">
        <v>7640</v>
      </c>
      <c r="T44" s="41">
        <v>0</v>
      </c>
      <c r="U44" s="49">
        <v>381.3888</v>
      </c>
      <c r="V44" s="51">
        <v>4.1699999999999997E-5</v>
      </c>
      <c r="W44" s="51">
        <v>1.5511998448800158E-2</v>
      </c>
      <c r="X44" s="51">
        <v>2.8980999999999998E-3</v>
      </c>
    </row>
    <row r="45" spans="1:24" x14ac:dyDescent="0.2">
      <c r="A45" s="45">
        <v>420</v>
      </c>
      <c r="B45" s="45">
        <v>420</v>
      </c>
      <c r="C45" s="45" t="s">
        <v>512</v>
      </c>
      <c r="D45" s="45">
        <v>514401702</v>
      </c>
      <c r="E45" s="45" t="s">
        <v>150</v>
      </c>
      <c r="F45" s="45" t="s">
        <v>672</v>
      </c>
      <c r="G45" s="45" t="s">
        <v>673</v>
      </c>
      <c r="H45" s="45" t="s">
        <v>153</v>
      </c>
      <c r="I45" s="45" t="s">
        <v>571</v>
      </c>
      <c r="J45" s="45" t="s">
        <v>73</v>
      </c>
      <c r="K45" s="45" t="s">
        <v>73</v>
      </c>
      <c r="L45" s="38" t="s">
        <v>155</v>
      </c>
      <c r="M45" s="38" t="s">
        <v>103</v>
      </c>
      <c r="N45" s="45" t="s">
        <v>203</v>
      </c>
      <c r="O45" s="45" t="s">
        <v>74</v>
      </c>
      <c r="P45" s="45" t="s">
        <v>78</v>
      </c>
      <c r="Q45" s="49">
        <v>3221</v>
      </c>
      <c r="R45" s="49">
        <v>1</v>
      </c>
      <c r="S45" s="49">
        <v>4100</v>
      </c>
      <c r="T45" s="41">
        <v>0</v>
      </c>
      <c r="U45" s="49">
        <v>132.06100000000001</v>
      </c>
      <c r="V45" s="51">
        <v>1.1600000000000001E-5</v>
      </c>
      <c r="W45" s="51">
        <v>5.3712994628700543E-3</v>
      </c>
      <c r="X45" s="51">
        <v>1.0035000000000001E-3</v>
      </c>
    </row>
    <row r="46" spans="1:24" x14ac:dyDescent="0.2">
      <c r="A46" s="45">
        <v>420</v>
      </c>
      <c r="B46" s="45">
        <v>420</v>
      </c>
      <c r="C46" s="45" t="s">
        <v>674</v>
      </c>
      <c r="D46" s="45">
        <v>512466723</v>
      </c>
      <c r="E46" s="45" t="s">
        <v>150</v>
      </c>
      <c r="F46" s="45" t="s">
        <v>674</v>
      </c>
      <c r="G46" s="45" t="s">
        <v>675</v>
      </c>
      <c r="H46" s="45" t="s">
        <v>153</v>
      </c>
      <c r="I46" s="45" t="s">
        <v>571</v>
      </c>
      <c r="J46" s="45" t="s">
        <v>73</v>
      </c>
      <c r="K46" s="45" t="s">
        <v>73</v>
      </c>
      <c r="L46" s="38" t="s">
        <v>155</v>
      </c>
      <c r="M46" s="38" t="s">
        <v>103</v>
      </c>
      <c r="N46" s="45" t="s">
        <v>676</v>
      </c>
      <c r="O46" s="45" t="s">
        <v>74</v>
      </c>
      <c r="P46" s="45" t="s">
        <v>78</v>
      </c>
      <c r="Q46" s="49">
        <v>55383</v>
      </c>
      <c r="R46" s="49">
        <v>1</v>
      </c>
      <c r="S46" s="49">
        <v>732.6</v>
      </c>
      <c r="T46" s="41">
        <v>6.6369999999999996</v>
      </c>
      <c r="U46" s="49">
        <v>405.73585000000003</v>
      </c>
      <c r="V46" s="51">
        <v>6.0309999999999997E-4</v>
      </c>
      <c r="W46" s="51">
        <v>1.650229834977017E-2</v>
      </c>
      <c r="X46" s="51">
        <v>3.0831999999999999E-3</v>
      </c>
    </row>
    <row r="47" spans="1:24" x14ac:dyDescent="0.2">
      <c r="A47" s="45">
        <v>420</v>
      </c>
      <c r="B47" s="45">
        <v>420</v>
      </c>
      <c r="C47" s="45" t="s">
        <v>677</v>
      </c>
      <c r="D47" s="45">
        <v>512607888</v>
      </c>
      <c r="E47" s="45" t="s">
        <v>150</v>
      </c>
      <c r="F47" s="45" t="s">
        <v>677</v>
      </c>
      <c r="G47" s="45" t="s">
        <v>678</v>
      </c>
      <c r="H47" s="45" t="s">
        <v>153</v>
      </c>
      <c r="I47" s="45" t="s">
        <v>571</v>
      </c>
      <c r="J47" s="45" t="s">
        <v>73</v>
      </c>
      <c r="K47" s="45" t="s">
        <v>73</v>
      </c>
      <c r="L47" s="38" t="s">
        <v>155</v>
      </c>
      <c r="M47" s="38" t="s">
        <v>103</v>
      </c>
      <c r="N47" s="45" t="s">
        <v>679</v>
      </c>
      <c r="O47" s="45" t="s">
        <v>74</v>
      </c>
      <c r="P47" s="45" t="s">
        <v>78</v>
      </c>
      <c r="Q47" s="49">
        <v>200</v>
      </c>
      <c r="R47" s="49">
        <v>1</v>
      </c>
      <c r="S47" s="49">
        <v>58480</v>
      </c>
      <c r="T47" s="41">
        <v>0</v>
      </c>
      <c r="U47" s="49">
        <v>116.96</v>
      </c>
      <c r="V47" s="51">
        <v>1.2099999999999999E-5</v>
      </c>
      <c r="W47" s="51">
        <v>4.7570995242900488E-3</v>
      </c>
      <c r="X47" s="51">
        <v>8.8880000000000003E-4</v>
      </c>
    </row>
    <row r="48" spans="1:24" x14ac:dyDescent="0.2">
      <c r="A48" s="45">
        <v>420</v>
      </c>
      <c r="B48" s="45">
        <v>420</v>
      </c>
      <c r="C48" s="45" t="s">
        <v>680</v>
      </c>
      <c r="D48" s="45">
        <v>1762</v>
      </c>
      <c r="E48" s="45" t="s">
        <v>138</v>
      </c>
      <c r="F48" s="45" t="s">
        <v>681</v>
      </c>
      <c r="G48" s="45" t="s">
        <v>682</v>
      </c>
      <c r="H48" s="45" t="s">
        <v>153</v>
      </c>
      <c r="I48" s="45" t="s">
        <v>571</v>
      </c>
      <c r="J48" s="45" t="s">
        <v>73</v>
      </c>
      <c r="K48" s="45" t="s">
        <v>181</v>
      </c>
      <c r="L48" s="38" t="s">
        <v>155</v>
      </c>
      <c r="M48" s="38" t="s">
        <v>103</v>
      </c>
      <c r="N48" s="45" t="s">
        <v>253</v>
      </c>
      <c r="O48" s="45" t="s">
        <v>74</v>
      </c>
      <c r="P48" s="45" t="s">
        <v>78</v>
      </c>
      <c r="Q48" s="49">
        <v>3642</v>
      </c>
      <c r="R48" s="49">
        <v>1</v>
      </c>
      <c r="S48" s="49">
        <v>4272</v>
      </c>
      <c r="T48" s="41">
        <v>3.8262</v>
      </c>
      <c r="U48" s="49">
        <v>155.58624</v>
      </c>
      <c r="V48" s="51">
        <v>1.9700000000000001E-5</v>
      </c>
      <c r="W48" s="51">
        <v>6.3280993671900642E-3</v>
      </c>
      <c r="X48" s="51">
        <v>1.1823000000000001E-3</v>
      </c>
    </row>
    <row r="49" spans="1:24" x14ac:dyDescent="0.2">
      <c r="A49" s="45">
        <v>420</v>
      </c>
      <c r="B49" s="45">
        <v>420</v>
      </c>
      <c r="C49" s="45" t="s">
        <v>683</v>
      </c>
      <c r="D49" s="45">
        <v>510706153</v>
      </c>
      <c r="E49" s="45" t="s">
        <v>150</v>
      </c>
      <c r="F49" s="45" t="s">
        <v>684</v>
      </c>
      <c r="G49" s="45" t="s">
        <v>685</v>
      </c>
      <c r="H49" s="45" t="s">
        <v>153</v>
      </c>
      <c r="I49" s="45" t="s">
        <v>571</v>
      </c>
      <c r="J49" s="45" t="s">
        <v>73</v>
      </c>
      <c r="K49" s="45" t="s">
        <v>73</v>
      </c>
      <c r="L49" s="38" t="s">
        <v>155</v>
      </c>
      <c r="M49" s="38" t="s">
        <v>103</v>
      </c>
      <c r="N49" s="45" t="s">
        <v>686</v>
      </c>
      <c r="O49" s="45" t="s">
        <v>74</v>
      </c>
      <c r="P49" s="45" t="s">
        <v>78</v>
      </c>
      <c r="Q49" s="49">
        <v>56219</v>
      </c>
      <c r="R49" s="49">
        <v>1</v>
      </c>
      <c r="S49" s="49">
        <v>1735</v>
      </c>
      <c r="T49" s="41">
        <v>0</v>
      </c>
      <c r="U49" s="49">
        <v>975.39964999999995</v>
      </c>
      <c r="V49" s="51">
        <v>2.7750000000000002E-4</v>
      </c>
      <c r="W49" s="51">
        <v>3.9671896032810405E-2</v>
      </c>
      <c r="X49" s="51">
        <v>7.4120000000000002E-3</v>
      </c>
    </row>
    <row r="50" spans="1:24" x14ac:dyDescent="0.2">
      <c r="A50" s="45">
        <v>420</v>
      </c>
      <c r="B50" s="45">
        <v>420</v>
      </c>
      <c r="C50" s="45" t="s">
        <v>687</v>
      </c>
      <c r="D50" s="45">
        <v>1884</v>
      </c>
      <c r="E50" s="45" t="s">
        <v>138</v>
      </c>
      <c r="F50" s="45" t="s">
        <v>687</v>
      </c>
      <c r="G50" s="45" t="s">
        <v>688</v>
      </c>
      <c r="H50" s="45" t="s">
        <v>153</v>
      </c>
      <c r="I50" s="45" t="s">
        <v>571</v>
      </c>
      <c r="J50" s="45" t="s">
        <v>73</v>
      </c>
      <c r="K50" s="45" t="s">
        <v>73</v>
      </c>
      <c r="L50" s="38" t="s">
        <v>155</v>
      </c>
      <c r="M50" s="38" t="s">
        <v>103</v>
      </c>
      <c r="N50" s="45" t="s">
        <v>182</v>
      </c>
      <c r="O50" s="45" t="s">
        <v>74</v>
      </c>
      <c r="P50" s="45" t="s">
        <v>78</v>
      </c>
      <c r="Q50" s="49">
        <v>1800</v>
      </c>
      <c r="R50" s="49">
        <v>1</v>
      </c>
      <c r="S50" s="49">
        <v>12250</v>
      </c>
      <c r="T50" s="41">
        <v>0</v>
      </c>
      <c r="U50" s="49">
        <v>220.5</v>
      </c>
      <c r="V50" s="51">
        <v>8.2799999999999993E-5</v>
      </c>
      <c r="W50" s="51">
        <v>8.9682991031700913E-3</v>
      </c>
      <c r="X50" s="51">
        <v>1.6756E-3</v>
      </c>
    </row>
    <row r="51" spans="1:24" x14ac:dyDescent="0.2">
      <c r="A51" s="45">
        <v>420</v>
      </c>
      <c r="B51" s="45">
        <v>420</v>
      </c>
      <c r="C51" s="45" t="s">
        <v>689</v>
      </c>
      <c r="D51" s="45">
        <v>514669506</v>
      </c>
      <c r="E51" s="45" t="s">
        <v>150</v>
      </c>
      <c r="F51" s="45" t="s">
        <v>689</v>
      </c>
      <c r="G51" s="45" t="s">
        <v>690</v>
      </c>
      <c r="H51" s="45" t="s">
        <v>153</v>
      </c>
      <c r="I51" s="45" t="s">
        <v>571</v>
      </c>
      <c r="J51" s="45" t="s">
        <v>73</v>
      </c>
      <c r="K51" s="45" t="s">
        <v>73</v>
      </c>
      <c r="L51" s="38" t="s">
        <v>155</v>
      </c>
      <c r="M51" s="38" t="s">
        <v>103</v>
      </c>
      <c r="N51" s="45" t="s">
        <v>691</v>
      </c>
      <c r="O51" s="45" t="s">
        <v>74</v>
      </c>
      <c r="P51" s="45" t="s">
        <v>78</v>
      </c>
      <c r="Q51" s="49">
        <v>22785</v>
      </c>
      <c r="R51" s="49">
        <v>1</v>
      </c>
      <c r="S51" s="49">
        <v>13.3</v>
      </c>
      <c r="T51" s="41">
        <v>0</v>
      </c>
      <c r="U51" s="49">
        <v>3.0304000000000002</v>
      </c>
      <c r="V51" s="51">
        <v>2.0320000000000001E-4</v>
      </c>
      <c r="W51" s="51">
        <v>1.2329998767000123E-4</v>
      </c>
      <c r="X51" s="51">
        <v>2.3E-5</v>
      </c>
    </row>
    <row r="52" spans="1:24" x14ac:dyDescent="0.2">
      <c r="A52" s="45">
        <v>420</v>
      </c>
      <c r="B52" s="45">
        <v>420</v>
      </c>
      <c r="C52" s="45" t="s">
        <v>692</v>
      </c>
      <c r="D52" s="45">
        <v>512714494</v>
      </c>
      <c r="E52" s="45" t="s">
        <v>150</v>
      </c>
      <c r="F52" s="45" t="s">
        <v>693</v>
      </c>
      <c r="G52" s="45" t="s">
        <v>694</v>
      </c>
      <c r="H52" s="45" t="s">
        <v>153</v>
      </c>
      <c r="I52" s="45" t="s">
        <v>571</v>
      </c>
      <c r="J52" s="45" t="s">
        <v>73</v>
      </c>
      <c r="K52" s="45" t="s">
        <v>73</v>
      </c>
      <c r="L52" s="38" t="s">
        <v>155</v>
      </c>
      <c r="M52" s="38" t="s">
        <v>103</v>
      </c>
      <c r="N52" s="45" t="s">
        <v>529</v>
      </c>
      <c r="O52" s="45" t="s">
        <v>74</v>
      </c>
      <c r="P52" s="45" t="s">
        <v>78</v>
      </c>
      <c r="Q52" s="49">
        <v>21457</v>
      </c>
      <c r="R52" s="49">
        <v>1</v>
      </c>
      <c r="S52" s="49">
        <v>922.7</v>
      </c>
      <c r="T52" s="41">
        <v>0</v>
      </c>
      <c r="U52" s="49">
        <v>197.98373000000001</v>
      </c>
      <c r="V52" s="51">
        <v>7.4300000000000004E-5</v>
      </c>
      <c r="W52" s="51">
        <v>8.0524991947500818E-3</v>
      </c>
      <c r="X52" s="51">
        <v>1.5045E-3</v>
      </c>
    </row>
    <row r="53" spans="1:24" x14ac:dyDescent="0.2">
      <c r="A53" s="45">
        <v>420</v>
      </c>
      <c r="B53" s="45">
        <v>420</v>
      </c>
      <c r="C53" s="45" t="s">
        <v>204</v>
      </c>
      <c r="D53" s="45">
        <v>512764408</v>
      </c>
      <c r="E53" s="45" t="s">
        <v>150</v>
      </c>
      <c r="F53" s="45" t="s">
        <v>695</v>
      </c>
      <c r="G53" s="45" t="s">
        <v>696</v>
      </c>
      <c r="H53" s="45" t="s">
        <v>153</v>
      </c>
      <c r="I53" s="45" t="s">
        <v>571</v>
      </c>
      <c r="J53" s="45" t="s">
        <v>73</v>
      </c>
      <c r="K53" s="45" t="s">
        <v>73</v>
      </c>
      <c r="L53" s="38" t="s">
        <v>155</v>
      </c>
      <c r="M53" s="38" t="s">
        <v>103</v>
      </c>
      <c r="N53" s="45" t="s">
        <v>207</v>
      </c>
      <c r="O53" s="45" t="s">
        <v>74</v>
      </c>
      <c r="P53" s="45" t="s">
        <v>78</v>
      </c>
      <c r="Q53" s="49">
        <v>10929</v>
      </c>
      <c r="R53" s="49">
        <v>1</v>
      </c>
      <c r="S53" s="49">
        <v>2410</v>
      </c>
      <c r="T53" s="41">
        <v>0</v>
      </c>
      <c r="U53" s="49">
        <v>263.38889999999998</v>
      </c>
      <c r="V53" s="51">
        <v>1.794E-4</v>
      </c>
      <c r="W53" s="51">
        <v>1.071269892873011E-2</v>
      </c>
      <c r="X53" s="51">
        <v>2.0014999999999998E-3</v>
      </c>
    </row>
    <row r="54" spans="1:24" x14ac:dyDescent="0.2">
      <c r="A54" s="45">
        <v>420</v>
      </c>
      <c r="B54" s="45">
        <v>420</v>
      </c>
      <c r="C54" s="45" t="s">
        <v>697</v>
      </c>
      <c r="D54" s="45">
        <v>513618967</v>
      </c>
      <c r="E54" s="45" t="s">
        <v>150</v>
      </c>
      <c r="F54" s="45" t="s">
        <v>697</v>
      </c>
      <c r="G54" s="45" t="s">
        <v>698</v>
      </c>
      <c r="H54" s="45" t="s">
        <v>153</v>
      </c>
      <c r="I54" s="45" t="s">
        <v>571</v>
      </c>
      <c r="J54" s="45" t="s">
        <v>73</v>
      </c>
      <c r="K54" s="45" t="s">
        <v>73</v>
      </c>
      <c r="L54" s="38" t="s">
        <v>155</v>
      </c>
      <c r="M54" s="38" t="s">
        <v>103</v>
      </c>
      <c r="N54" s="45" t="s">
        <v>156</v>
      </c>
      <c r="O54" s="45" t="s">
        <v>74</v>
      </c>
      <c r="P54" s="45" t="s">
        <v>78</v>
      </c>
      <c r="Q54" s="49">
        <v>15087</v>
      </c>
      <c r="R54" s="49">
        <v>1</v>
      </c>
      <c r="S54" s="49">
        <v>1600</v>
      </c>
      <c r="T54" s="41">
        <v>0</v>
      </c>
      <c r="U54" s="49">
        <v>241.392</v>
      </c>
      <c r="V54" s="51">
        <v>1.081E-4</v>
      </c>
      <c r="W54" s="51">
        <v>9.8179990182001003E-3</v>
      </c>
      <c r="X54" s="51">
        <v>1.8343000000000001E-3</v>
      </c>
    </row>
    <row r="55" spans="1:24" x14ac:dyDescent="0.2">
      <c r="A55" s="45">
        <v>420</v>
      </c>
      <c r="B55" s="45">
        <v>420</v>
      </c>
      <c r="C55" s="45" t="s">
        <v>699</v>
      </c>
      <c r="D55" s="45">
        <v>515989440</v>
      </c>
      <c r="E55" s="45" t="s">
        <v>150</v>
      </c>
      <c r="F55" s="45" t="s">
        <v>700</v>
      </c>
      <c r="G55" s="45" t="s">
        <v>2119</v>
      </c>
      <c r="H55" s="45" t="s">
        <v>153</v>
      </c>
      <c r="I55" s="45" t="s">
        <v>571</v>
      </c>
      <c r="J55" s="45" t="s">
        <v>73</v>
      </c>
      <c r="K55" s="45" t="s">
        <v>73</v>
      </c>
      <c r="L55" s="38" t="s">
        <v>155</v>
      </c>
      <c r="M55" s="38" t="s">
        <v>701</v>
      </c>
      <c r="N55" s="45" t="s">
        <v>618</v>
      </c>
      <c r="O55" s="45" t="s">
        <v>74</v>
      </c>
      <c r="P55" s="45" t="s">
        <v>78</v>
      </c>
      <c r="Q55" s="49">
        <v>5000</v>
      </c>
      <c r="R55" s="49">
        <v>1</v>
      </c>
      <c r="S55" s="49">
        <v>1336</v>
      </c>
      <c r="T55" s="41">
        <v>0</v>
      </c>
      <c r="U55" s="49">
        <v>66.8</v>
      </c>
      <c r="V55" s="51">
        <v>6.7399999999999998E-5</v>
      </c>
      <c r="W55" s="51">
        <v>2.7168997283100274E-3</v>
      </c>
      <c r="X55" s="51">
        <v>5.0759999999999998E-4</v>
      </c>
    </row>
    <row r="56" spans="1:24" x14ac:dyDescent="0.2">
      <c r="A56" s="45">
        <v>420</v>
      </c>
      <c r="B56" s="45">
        <v>420</v>
      </c>
      <c r="C56" s="45" t="s">
        <v>702</v>
      </c>
      <c r="D56" s="45" t="s">
        <v>703</v>
      </c>
      <c r="E56" s="45" t="s">
        <v>704</v>
      </c>
      <c r="F56" s="45" t="s">
        <v>705</v>
      </c>
      <c r="G56" s="45" t="s">
        <v>706</v>
      </c>
      <c r="H56" s="45" t="s">
        <v>153</v>
      </c>
      <c r="I56" s="45" t="s">
        <v>571</v>
      </c>
      <c r="J56" s="45" t="s">
        <v>484</v>
      </c>
      <c r="K56" s="45" t="s">
        <v>351</v>
      </c>
      <c r="L56" s="38" t="s">
        <v>155</v>
      </c>
      <c r="M56" s="38" t="s">
        <v>707</v>
      </c>
      <c r="N56" s="45" t="s">
        <v>708</v>
      </c>
      <c r="O56" s="45" t="s">
        <v>74</v>
      </c>
      <c r="P56" s="45" t="s">
        <v>81</v>
      </c>
      <c r="Q56" s="49">
        <v>297</v>
      </c>
      <c r="R56" s="49">
        <v>3.3719999999999999</v>
      </c>
      <c r="S56" s="49">
        <v>49741</v>
      </c>
      <c r="T56" s="41">
        <v>0</v>
      </c>
      <c r="U56" s="49">
        <v>498.14814999999999</v>
      </c>
      <c r="V56" s="51">
        <v>0</v>
      </c>
      <c r="W56" s="51">
        <v>2.0260897973910206E-2</v>
      </c>
      <c r="X56" s="51">
        <v>3.7854E-3</v>
      </c>
    </row>
    <row r="57" spans="1:24" x14ac:dyDescent="0.2">
      <c r="A57" s="45">
        <v>420</v>
      </c>
      <c r="B57" s="45">
        <v>420</v>
      </c>
      <c r="C57" s="45" t="s">
        <v>709</v>
      </c>
      <c r="D57" s="45">
        <v>99854</v>
      </c>
      <c r="E57" s="45" t="s">
        <v>138</v>
      </c>
      <c r="F57" s="45" t="s">
        <v>710</v>
      </c>
      <c r="G57" s="45" t="s">
        <v>711</v>
      </c>
      <c r="H57" s="45" t="s">
        <v>153</v>
      </c>
      <c r="I57" s="45" t="s">
        <v>571</v>
      </c>
      <c r="J57" s="45" t="s">
        <v>484</v>
      </c>
      <c r="K57" s="45" t="s">
        <v>351</v>
      </c>
      <c r="L57" s="38" t="s">
        <v>155</v>
      </c>
      <c r="M57" s="38" t="s">
        <v>712</v>
      </c>
      <c r="N57" s="45" t="s">
        <v>713</v>
      </c>
      <c r="O57" s="45" t="s">
        <v>74</v>
      </c>
      <c r="P57" s="45" t="s">
        <v>81</v>
      </c>
      <c r="Q57" s="49">
        <v>242</v>
      </c>
      <c r="R57" s="49">
        <v>3.3719999999999999</v>
      </c>
      <c r="S57" s="49">
        <v>48577</v>
      </c>
      <c r="T57" s="41">
        <v>0</v>
      </c>
      <c r="U57" s="49">
        <v>396.39997</v>
      </c>
      <c r="V57" s="51">
        <v>9.9999999999999995E-8</v>
      </c>
      <c r="W57" s="51">
        <v>1.6122598387740165E-2</v>
      </c>
      <c r="X57" s="51">
        <v>3.0122E-3</v>
      </c>
    </row>
    <row r="58" spans="1:24" x14ac:dyDescent="0.2">
      <c r="A58" s="45">
        <v>420</v>
      </c>
      <c r="B58" s="45">
        <v>420</v>
      </c>
      <c r="C58" s="45" t="s">
        <v>714</v>
      </c>
      <c r="D58" s="45" t="s">
        <v>715</v>
      </c>
      <c r="E58" s="45" t="s">
        <v>704</v>
      </c>
      <c r="F58" s="45" t="s">
        <v>716</v>
      </c>
      <c r="G58" s="45" t="s">
        <v>717</v>
      </c>
      <c r="H58" s="45" t="s">
        <v>153</v>
      </c>
      <c r="I58" s="45" t="s">
        <v>571</v>
      </c>
      <c r="J58" s="45" t="s">
        <v>484</v>
      </c>
      <c r="K58" s="45" t="s">
        <v>718</v>
      </c>
      <c r="L58" s="38" t="s">
        <v>155</v>
      </c>
      <c r="M58" s="38" t="s">
        <v>707</v>
      </c>
      <c r="N58" s="45" t="s">
        <v>719</v>
      </c>
      <c r="O58" s="45" t="s">
        <v>74</v>
      </c>
      <c r="P58" s="45" t="s">
        <v>81</v>
      </c>
      <c r="Q58" s="49">
        <v>1096</v>
      </c>
      <c r="R58" s="49">
        <v>3.3719999999999999</v>
      </c>
      <c r="S58" s="49">
        <v>22649</v>
      </c>
      <c r="T58" s="41">
        <v>0.62849999999999995</v>
      </c>
      <c r="U58" s="49">
        <v>837.04181000000005</v>
      </c>
      <c r="V58" s="51">
        <v>1.9999999999999999E-7</v>
      </c>
      <c r="W58" s="51">
        <v>3.404459659554035E-2</v>
      </c>
      <c r="X58" s="51">
        <v>6.3606000000000001E-3</v>
      </c>
    </row>
    <row r="59" spans="1:24" x14ac:dyDescent="0.2">
      <c r="A59" s="45">
        <v>420</v>
      </c>
      <c r="B59" s="45">
        <v>420</v>
      </c>
      <c r="C59" s="45" t="s">
        <v>720</v>
      </c>
      <c r="D59" s="45">
        <v>98238</v>
      </c>
      <c r="E59" s="45" t="s">
        <v>138</v>
      </c>
      <c r="F59" s="45" t="s">
        <v>721</v>
      </c>
      <c r="G59" s="45" t="s">
        <v>722</v>
      </c>
      <c r="H59" s="45" t="s">
        <v>153</v>
      </c>
      <c r="I59" s="45" t="s">
        <v>571</v>
      </c>
      <c r="J59" s="45" t="s">
        <v>484</v>
      </c>
      <c r="K59" s="45" t="s">
        <v>351</v>
      </c>
      <c r="L59" s="38" t="s">
        <v>155</v>
      </c>
      <c r="M59" s="38" t="s">
        <v>712</v>
      </c>
      <c r="N59" s="45" t="s">
        <v>713</v>
      </c>
      <c r="O59" s="45" t="s">
        <v>74</v>
      </c>
      <c r="P59" s="45" t="s">
        <v>81</v>
      </c>
      <c r="Q59" s="49">
        <v>167</v>
      </c>
      <c r="R59" s="49">
        <v>3.3719999999999999</v>
      </c>
      <c r="S59" s="49">
        <v>49998</v>
      </c>
      <c r="T59" s="41">
        <v>0</v>
      </c>
      <c r="U59" s="49">
        <v>281.55072999999999</v>
      </c>
      <c r="V59" s="51">
        <v>1.1000000000000001E-6</v>
      </c>
      <c r="W59" s="51">
        <v>1.1451398854860117E-2</v>
      </c>
      <c r="X59" s="51">
        <v>2.1394999999999999E-3</v>
      </c>
    </row>
    <row r="60" spans="1:24" x14ac:dyDescent="0.2">
      <c r="A60" s="45">
        <v>420</v>
      </c>
      <c r="B60" s="45">
        <v>420</v>
      </c>
      <c r="C60" s="45" t="s">
        <v>723</v>
      </c>
      <c r="D60" s="45" t="s">
        <v>724</v>
      </c>
      <c r="E60" s="45" t="s">
        <v>704</v>
      </c>
      <c r="F60" s="45" t="s">
        <v>725</v>
      </c>
      <c r="G60" s="45" t="s">
        <v>726</v>
      </c>
      <c r="H60" s="45" t="s">
        <v>153</v>
      </c>
      <c r="I60" s="45" t="s">
        <v>571</v>
      </c>
      <c r="J60" s="45" t="s">
        <v>484</v>
      </c>
      <c r="K60" s="45" t="s">
        <v>351</v>
      </c>
      <c r="L60" s="38" t="s">
        <v>155</v>
      </c>
      <c r="M60" s="38" t="s">
        <v>712</v>
      </c>
      <c r="N60" s="45" t="s">
        <v>727</v>
      </c>
      <c r="O60" s="45" t="s">
        <v>74</v>
      </c>
      <c r="P60" s="45" t="s">
        <v>81</v>
      </c>
      <c r="Q60" s="49">
        <v>177</v>
      </c>
      <c r="R60" s="49">
        <v>3.3719999999999999</v>
      </c>
      <c r="S60" s="49">
        <v>56194</v>
      </c>
      <c r="T60" s="41">
        <v>0</v>
      </c>
      <c r="U60" s="49">
        <v>335.39051000000001</v>
      </c>
      <c r="V60" s="51">
        <v>9.9999999999999995E-8</v>
      </c>
      <c r="W60" s="51">
        <v>1.3641198635880137E-2</v>
      </c>
      <c r="X60" s="51">
        <v>2.5485999999999998E-3</v>
      </c>
    </row>
    <row r="61" spans="1:24" x14ac:dyDescent="0.2">
      <c r="A61" s="45">
        <v>420</v>
      </c>
      <c r="B61" s="45">
        <v>420</v>
      </c>
      <c r="C61" s="45" t="s">
        <v>728</v>
      </c>
      <c r="D61" s="45" t="s">
        <v>729</v>
      </c>
      <c r="E61" s="45" t="s">
        <v>704</v>
      </c>
      <c r="F61" s="45" t="s">
        <v>730</v>
      </c>
      <c r="G61" s="45" t="s">
        <v>731</v>
      </c>
      <c r="H61" s="45" t="s">
        <v>153</v>
      </c>
      <c r="I61" s="45" t="s">
        <v>571</v>
      </c>
      <c r="J61" s="45" t="s">
        <v>484</v>
      </c>
      <c r="K61" s="45" t="s">
        <v>351</v>
      </c>
      <c r="L61" s="38" t="s">
        <v>155</v>
      </c>
      <c r="M61" s="38" t="s">
        <v>712</v>
      </c>
      <c r="N61" s="45" t="s">
        <v>727</v>
      </c>
      <c r="O61" s="45" t="s">
        <v>74</v>
      </c>
      <c r="P61" s="45" t="s">
        <v>81</v>
      </c>
      <c r="Q61" s="49">
        <v>348</v>
      </c>
      <c r="R61" s="49">
        <v>3.3719999999999999</v>
      </c>
      <c r="S61" s="49">
        <v>35505</v>
      </c>
      <c r="T61" s="41">
        <v>0</v>
      </c>
      <c r="U61" s="49">
        <v>416.63555000000002</v>
      </c>
      <c r="V61" s="51">
        <v>1.9999999999999999E-7</v>
      </c>
      <c r="W61" s="51">
        <v>1.6945598305440172E-2</v>
      </c>
      <c r="X61" s="51">
        <v>3.166E-3</v>
      </c>
    </row>
    <row r="62" spans="1:24" x14ac:dyDescent="0.2">
      <c r="A62" s="45">
        <v>420</v>
      </c>
      <c r="B62" s="45">
        <v>420</v>
      </c>
      <c r="C62" s="45" t="s">
        <v>732</v>
      </c>
      <c r="D62" s="45" t="s">
        <v>733</v>
      </c>
      <c r="E62" s="45" t="s">
        <v>704</v>
      </c>
      <c r="F62" s="45" t="s">
        <v>734</v>
      </c>
      <c r="G62" s="45" t="s">
        <v>735</v>
      </c>
      <c r="H62" s="45" t="s">
        <v>153</v>
      </c>
      <c r="I62" s="45" t="s">
        <v>571</v>
      </c>
      <c r="J62" s="45" t="s">
        <v>484</v>
      </c>
      <c r="K62" s="45" t="s">
        <v>351</v>
      </c>
      <c r="L62" s="38" t="s">
        <v>155</v>
      </c>
      <c r="M62" s="38" t="s">
        <v>707</v>
      </c>
      <c r="N62" s="45" t="s">
        <v>736</v>
      </c>
      <c r="O62" s="45" t="s">
        <v>74</v>
      </c>
      <c r="P62" s="45" t="s">
        <v>81</v>
      </c>
      <c r="Q62" s="49">
        <v>875</v>
      </c>
      <c r="R62" s="49">
        <v>3.3719999999999999</v>
      </c>
      <c r="S62" s="49">
        <v>17739</v>
      </c>
      <c r="T62" s="41">
        <v>0</v>
      </c>
      <c r="U62" s="49">
        <v>523.38918999999999</v>
      </c>
      <c r="V62" s="51">
        <v>9.9999999999999995E-8</v>
      </c>
      <c r="W62" s="51">
        <v>2.1287597871240217E-2</v>
      </c>
      <c r="X62" s="51">
        <v>3.9772000000000002E-3</v>
      </c>
    </row>
    <row r="63" spans="1:24" x14ac:dyDescent="0.2">
      <c r="A63" s="45">
        <v>420</v>
      </c>
      <c r="B63" s="45">
        <v>420</v>
      </c>
      <c r="C63" s="45" t="s">
        <v>737</v>
      </c>
      <c r="D63" s="45">
        <v>99169</v>
      </c>
      <c r="E63" s="45" t="s">
        <v>138</v>
      </c>
      <c r="F63" s="45" t="s">
        <v>738</v>
      </c>
      <c r="G63" s="45" t="s">
        <v>739</v>
      </c>
      <c r="H63" s="45" t="s">
        <v>153</v>
      </c>
      <c r="I63" s="45" t="s">
        <v>571</v>
      </c>
      <c r="J63" s="45" t="s">
        <v>484</v>
      </c>
      <c r="K63" s="45" t="s">
        <v>351</v>
      </c>
      <c r="L63" s="38" t="s">
        <v>155</v>
      </c>
      <c r="M63" s="38" t="s">
        <v>707</v>
      </c>
      <c r="N63" s="45" t="s">
        <v>719</v>
      </c>
      <c r="O63" s="45" t="s">
        <v>74</v>
      </c>
      <c r="P63" s="45" t="s">
        <v>81</v>
      </c>
      <c r="Q63" s="49">
        <v>3000</v>
      </c>
      <c r="R63" s="49">
        <v>3.3719999999999999</v>
      </c>
      <c r="S63" s="49">
        <v>2240</v>
      </c>
      <c r="T63" s="41">
        <v>0</v>
      </c>
      <c r="U63" s="49">
        <v>226.5984</v>
      </c>
      <c r="V63" s="51">
        <v>5.9999999999999997E-7</v>
      </c>
      <c r="W63" s="51">
        <v>9.2162990783700941E-3</v>
      </c>
      <c r="X63" s="51">
        <v>1.7218999999999999E-3</v>
      </c>
    </row>
    <row r="64" spans="1:24" x14ac:dyDescent="0.2">
      <c r="A64" s="45">
        <v>420</v>
      </c>
      <c r="B64" s="45">
        <v>420</v>
      </c>
      <c r="C64" s="45" t="s">
        <v>740</v>
      </c>
      <c r="D64" s="45" t="s">
        <v>741</v>
      </c>
      <c r="E64" s="45" t="s">
        <v>704</v>
      </c>
      <c r="F64" s="45" t="s">
        <v>742</v>
      </c>
      <c r="G64" s="45" t="s">
        <v>743</v>
      </c>
      <c r="H64" s="45" t="s">
        <v>153</v>
      </c>
      <c r="I64" s="45" t="s">
        <v>571</v>
      </c>
      <c r="J64" s="45" t="s">
        <v>484</v>
      </c>
      <c r="K64" s="45" t="s">
        <v>351</v>
      </c>
      <c r="L64" s="38" t="s">
        <v>155</v>
      </c>
      <c r="M64" s="38" t="s">
        <v>707</v>
      </c>
      <c r="N64" s="45" t="s">
        <v>736</v>
      </c>
      <c r="O64" s="45" t="s">
        <v>74</v>
      </c>
      <c r="P64" s="45" t="s">
        <v>81</v>
      </c>
      <c r="Q64" s="49">
        <v>350</v>
      </c>
      <c r="R64" s="49">
        <v>3.3719999999999999</v>
      </c>
      <c r="S64" s="49">
        <v>21939</v>
      </c>
      <c r="T64" s="41">
        <v>0</v>
      </c>
      <c r="U64" s="49">
        <v>258.92406999999997</v>
      </c>
      <c r="V64" s="51">
        <v>0</v>
      </c>
      <c r="W64" s="51">
        <v>1.0531098946890107E-2</v>
      </c>
      <c r="X64" s="51">
        <v>1.9675000000000001E-3</v>
      </c>
    </row>
    <row r="65" spans="1:24" x14ac:dyDescent="0.2">
      <c r="A65" s="45">
        <v>420</v>
      </c>
      <c r="B65" s="45">
        <v>420</v>
      </c>
      <c r="C65" s="45" t="s">
        <v>744</v>
      </c>
      <c r="D65" s="45" t="s">
        <v>745</v>
      </c>
      <c r="E65" s="45" t="s">
        <v>704</v>
      </c>
      <c r="F65" s="45" t="s">
        <v>746</v>
      </c>
      <c r="G65" s="45" t="s">
        <v>747</v>
      </c>
      <c r="H65" s="45" t="s">
        <v>153</v>
      </c>
      <c r="I65" s="45" t="s">
        <v>571</v>
      </c>
      <c r="J65" s="45" t="s">
        <v>484</v>
      </c>
      <c r="K65" s="45" t="s">
        <v>351</v>
      </c>
      <c r="L65" s="38" t="s">
        <v>155</v>
      </c>
      <c r="M65" s="38" t="s">
        <v>707</v>
      </c>
      <c r="N65" s="45" t="s">
        <v>719</v>
      </c>
      <c r="O65" s="45" t="s">
        <v>74</v>
      </c>
      <c r="P65" s="45" t="s">
        <v>81</v>
      </c>
      <c r="Q65" s="49">
        <v>500</v>
      </c>
      <c r="R65" s="49">
        <v>3.3719999999999999</v>
      </c>
      <c r="S65" s="49">
        <v>14190</v>
      </c>
      <c r="T65" s="41">
        <v>0</v>
      </c>
      <c r="U65" s="49">
        <v>239.24340000000001</v>
      </c>
      <c r="V65" s="51">
        <v>2.9999999999999999E-7</v>
      </c>
      <c r="W65" s="51">
        <v>9.730599026940099E-3</v>
      </c>
      <c r="X65" s="51">
        <v>1.818E-3</v>
      </c>
    </row>
    <row r="66" spans="1:24" x14ac:dyDescent="0.2">
      <c r="A66" s="45">
        <v>420</v>
      </c>
      <c r="B66" s="45">
        <v>420</v>
      </c>
      <c r="C66" s="45" t="s">
        <v>748</v>
      </c>
      <c r="D66" s="45" t="s">
        <v>749</v>
      </c>
      <c r="E66" s="45" t="s">
        <v>704</v>
      </c>
      <c r="F66" s="45" t="s">
        <v>750</v>
      </c>
      <c r="G66" s="45" t="s">
        <v>751</v>
      </c>
      <c r="H66" s="45" t="s">
        <v>153</v>
      </c>
      <c r="I66" s="45" t="s">
        <v>571</v>
      </c>
      <c r="J66" s="45" t="s">
        <v>484</v>
      </c>
      <c r="K66" s="45" t="s">
        <v>351</v>
      </c>
      <c r="L66" s="38" t="s">
        <v>155</v>
      </c>
      <c r="M66" s="38" t="s">
        <v>712</v>
      </c>
      <c r="N66" s="45" t="s">
        <v>752</v>
      </c>
      <c r="O66" s="45" t="s">
        <v>74</v>
      </c>
      <c r="P66" s="45" t="s">
        <v>81</v>
      </c>
      <c r="Q66" s="49">
        <v>85</v>
      </c>
      <c r="R66" s="49">
        <v>3.3719999999999999</v>
      </c>
      <c r="S66" s="49">
        <v>77953</v>
      </c>
      <c r="T66" s="41">
        <v>0</v>
      </c>
      <c r="U66" s="49">
        <v>223.42887999999999</v>
      </c>
      <c r="V66" s="51">
        <v>0</v>
      </c>
      <c r="W66" s="51">
        <v>9.0873990912600927E-3</v>
      </c>
      <c r="X66" s="51">
        <v>1.6978E-3</v>
      </c>
    </row>
    <row r="67" spans="1:24" x14ac:dyDescent="0.2">
      <c r="A67" s="45">
        <v>420</v>
      </c>
      <c r="B67" s="45">
        <v>420</v>
      </c>
      <c r="C67" s="45" t="s">
        <v>753</v>
      </c>
      <c r="D67" s="45" t="s">
        <v>754</v>
      </c>
      <c r="E67" s="45" t="s">
        <v>704</v>
      </c>
      <c r="F67" s="45" t="s">
        <v>755</v>
      </c>
      <c r="G67" s="45" t="s">
        <v>756</v>
      </c>
      <c r="H67" s="45" t="s">
        <v>153</v>
      </c>
      <c r="I67" s="45" t="s">
        <v>571</v>
      </c>
      <c r="J67" s="45" t="s">
        <v>484</v>
      </c>
      <c r="K67" s="45" t="s">
        <v>351</v>
      </c>
      <c r="L67" s="38" t="s">
        <v>155</v>
      </c>
      <c r="M67" s="38" t="s">
        <v>712</v>
      </c>
      <c r="N67" s="45" t="s">
        <v>757</v>
      </c>
      <c r="O67" s="45" t="s">
        <v>74</v>
      </c>
      <c r="P67" s="45" t="s">
        <v>81</v>
      </c>
      <c r="Q67" s="49">
        <v>1178</v>
      </c>
      <c r="R67" s="49">
        <v>3.3719999999999999</v>
      </c>
      <c r="S67" s="49">
        <v>7104</v>
      </c>
      <c r="T67" s="41">
        <v>0.3695</v>
      </c>
      <c r="U67" s="49">
        <v>282.18621999999999</v>
      </c>
      <c r="V67" s="51">
        <v>8.9999999999999996E-7</v>
      </c>
      <c r="W67" s="51">
        <v>1.1477198852280117E-2</v>
      </c>
      <c r="X67" s="51">
        <v>2.1443E-3</v>
      </c>
    </row>
    <row r="68" spans="1:24" x14ac:dyDescent="0.2">
      <c r="A68" s="45">
        <v>420</v>
      </c>
      <c r="B68" s="45">
        <v>420</v>
      </c>
      <c r="C68" s="45" t="s">
        <v>758</v>
      </c>
      <c r="D68" s="45">
        <v>997703</v>
      </c>
      <c r="E68" s="45" t="s">
        <v>138</v>
      </c>
      <c r="F68" s="45" t="s">
        <v>758</v>
      </c>
      <c r="G68" s="45" t="s">
        <v>759</v>
      </c>
      <c r="H68" s="45" t="s">
        <v>153</v>
      </c>
      <c r="I68" s="45" t="s">
        <v>571</v>
      </c>
      <c r="J68" s="45" t="s">
        <v>484</v>
      </c>
      <c r="K68" s="45" t="s">
        <v>351</v>
      </c>
      <c r="L68" s="38" t="s">
        <v>155</v>
      </c>
      <c r="M68" s="38" t="s">
        <v>712</v>
      </c>
      <c r="N68" s="45" t="s">
        <v>713</v>
      </c>
      <c r="O68" s="45" t="s">
        <v>74</v>
      </c>
      <c r="P68" s="45" t="s">
        <v>81</v>
      </c>
      <c r="Q68" s="49">
        <v>520</v>
      </c>
      <c r="R68" s="49">
        <v>3.3719999999999999</v>
      </c>
      <c r="S68" s="49">
        <v>10512</v>
      </c>
      <c r="T68" s="41">
        <v>0.38190000000000002</v>
      </c>
      <c r="U68" s="49">
        <v>184.32160999999999</v>
      </c>
      <c r="V68" s="51">
        <v>4.9999999999999998E-7</v>
      </c>
      <c r="W68" s="51">
        <v>7.4967992503200756E-3</v>
      </c>
      <c r="X68" s="51">
        <v>1.4005999999999999E-3</v>
      </c>
    </row>
    <row r="69" spans="1:24" x14ac:dyDescent="0.2">
      <c r="A69" s="45">
        <v>420</v>
      </c>
      <c r="B69" s="45">
        <v>420</v>
      </c>
      <c r="C69" s="45" t="s">
        <v>760</v>
      </c>
      <c r="D69" s="45">
        <v>997776</v>
      </c>
      <c r="E69" s="45" t="s">
        <v>138</v>
      </c>
      <c r="F69" s="45" t="s">
        <v>761</v>
      </c>
      <c r="G69" s="45" t="s">
        <v>762</v>
      </c>
      <c r="H69" s="45" t="s">
        <v>153</v>
      </c>
      <c r="I69" s="45" t="s">
        <v>571</v>
      </c>
      <c r="J69" s="45" t="s">
        <v>484</v>
      </c>
      <c r="K69" s="45" t="s">
        <v>351</v>
      </c>
      <c r="L69" s="38" t="s">
        <v>155</v>
      </c>
      <c r="M69" s="38" t="s">
        <v>707</v>
      </c>
      <c r="N69" s="45" t="s">
        <v>713</v>
      </c>
      <c r="O69" s="45" t="s">
        <v>74</v>
      </c>
      <c r="P69" s="45" t="s">
        <v>81</v>
      </c>
      <c r="Q69" s="49">
        <v>434</v>
      </c>
      <c r="R69" s="49">
        <v>3.3719999999999999</v>
      </c>
      <c r="S69" s="49">
        <v>13234</v>
      </c>
      <c r="T69" s="41">
        <v>0</v>
      </c>
      <c r="U69" s="49">
        <v>193.67269999999999</v>
      </c>
      <c r="V69" s="51">
        <v>9.9999999999999995E-7</v>
      </c>
      <c r="W69" s="51">
        <v>7.8771992122800786E-3</v>
      </c>
      <c r="X69" s="51">
        <v>1.4717E-3</v>
      </c>
    </row>
    <row r="70" spans="1:24" x14ac:dyDescent="0.2">
      <c r="A70" s="45">
        <v>420</v>
      </c>
      <c r="B70" s="45">
        <v>420</v>
      </c>
      <c r="C70" s="45" t="s">
        <v>763</v>
      </c>
      <c r="D70" s="45">
        <v>99288</v>
      </c>
      <c r="E70" s="45" t="s">
        <v>138</v>
      </c>
      <c r="F70" s="45" t="s">
        <v>764</v>
      </c>
      <c r="G70" s="45" t="s">
        <v>765</v>
      </c>
      <c r="H70" s="45" t="s">
        <v>153</v>
      </c>
      <c r="I70" s="45" t="s">
        <v>571</v>
      </c>
      <c r="J70" s="45" t="s">
        <v>484</v>
      </c>
      <c r="K70" s="45" t="s">
        <v>351</v>
      </c>
      <c r="L70" s="38" t="s">
        <v>155</v>
      </c>
      <c r="M70" s="38" t="s">
        <v>707</v>
      </c>
      <c r="N70" s="45" t="s">
        <v>713</v>
      </c>
      <c r="O70" s="45" t="s">
        <v>74</v>
      </c>
      <c r="P70" s="45" t="s">
        <v>81</v>
      </c>
      <c r="Q70" s="49">
        <v>392</v>
      </c>
      <c r="R70" s="49">
        <v>3.3719999999999999</v>
      </c>
      <c r="S70" s="49">
        <v>12559</v>
      </c>
      <c r="T70" s="41">
        <v>0</v>
      </c>
      <c r="U70" s="49">
        <v>166.00787</v>
      </c>
      <c r="V70" s="51">
        <v>2.6000000000000001E-6</v>
      </c>
      <c r="W70" s="51">
        <v>6.7519993248000686E-3</v>
      </c>
      <c r="X70" s="51">
        <v>1.2615E-3</v>
      </c>
    </row>
    <row r="71" spans="1:24" x14ac:dyDescent="0.2">
      <c r="A71" s="45">
        <v>420</v>
      </c>
      <c r="B71" s="45">
        <v>420</v>
      </c>
      <c r="C71" s="45" t="s">
        <v>766</v>
      </c>
      <c r="D71" s="45">
        <v>997779</v>
      </c>
      <c r="E71" s="45" t="s">
        <v>138</v>
      </c>
      <c r="F71" s="45" t="s">
        <v>767</v>
      </c>
      <c r="G71" s="45" t="s">
        <v>768</v>
      </c>
      <c r="H71" s="45" t="s">
        <v>153</v>
      </c>
      <c r="I71" s="45" t="s">
        <v>571</v>
      </c>
      <c r="J71" s="45" t="s">
        <v>484</v>
      </c>
      <c r="K71" s="45" t="s">
        <v>351</v>
      </c>
      <c r="L71" s="38" t="s">
        <v>155</v>
      </c>
      <c r="M71" s="38" t="s">
        <v>701</v>
      </c>
      <c r="N71" s="45" t="s">
        <v>713</v>
      </c>
      <c r="O71" s="45" t="s">
        <v>74</v>
      </c>
      <c r="P71" s="45" t="s">
        <v>81</v>
      </c>
      <c r="Q71" s="49">
        <v>339</v>
      </c>
      <c r="R71" s="49">
        <v>3.3719999999999999</v>
      </c>
      <c r="S71" s="49">
        <v>9330</v>
      </c>
      <c r="T71" s="41">
        <v>0</v>
      </c>
      <c r="U71" s="49">
        <v>106.65197000000001</v>
      </c>
      <c r="V71" s="51">
        <v>9.9999999999999995E-8</v>
      </c>
      <c r="W71" s="51">
        <v>4.3377995662200446E-3</v>
      </c>
      <c r="X71" s="51">
        <v>8.1039999999999997E-4</v>
      </c>
    </row>
    <row r="72" spans="1:24" x14ac:dyDescent="0.2">
      <c r="A72" s="45">
        <v>420</v>
      </c>
      <c r="B72" s="45">
        <v>420</v>
      </c>
      <c r="C72" s="45" t="s">
        <v>769</v>
      </c>
      <c r="D72" s="45">
        <v>997781</v>
      </c>
      <c r="E72" s="45" t="s">
        <v>138</v>
      </c>
      <c r="F72" s="45" t="s">
        <v>770</v>
      </c>
      <c r="G72" s="45" t="s">
        <v>771</v>
      </c>
      <c r="H72" s="45" t="s">
        <v>153</v>
      </c>
      <c r="I72" s="45" t="s">
        <v>571</v>
      </c>
      <c r="J72" s="45" t="s">
        <v>484</v>
      </c>
      <c r="K72" s="45" t="s">
        <v>351</v>
      </c>
      <c r="L72" s="38" t="s">
        <v>155</v>
      </c>
      <c r="M72" s="38" t="s">
        <v>701</v>
      </c>
      <c r="N72" s="45" t="s">
        <v>713</v>
      </c>
      <c r="O72" s="45" t="s">
        <v>74</v>
      </c>
      <c r="P72" s="45" t="s">
        <v>81</v>
      </c>
      <c r="Q72" s="49">
        <v>6130</v>
      </c>
      <c r="R72" s="49">
        <v>3.3719999999999999</v>
      </c>
      <c r="S72" s="49">
        <v>4374</v>
      </c>
      <c r="T72" s="41">
        <v>0</v>
      </c>
      <c r="U72" s="49">
        <v>904.12153999999998</v>
      </c>
      <c r="V72" s="51">
        <v>9.2509999999999999E-4</v>
      </c>
      <c r="W72" s="51">
        <v>3.6772896322710372E-2</v>
      </c>
      <c r="X72" s="51">
        <v>6.8703999999999996E-3</v>
      </c>
    </row>
    <row r="73" spans="1:24" x14ac:dyDescent="0.2">
      <c r="A73" s="45">
        <v>420</v>
      </c>
      <c r="B73" s="45">
        <v>420</v>
      </c>
      <c r="C73" s="45" t="s">
        <v>772</v>
      </c>
      <c r="D73" s="45">
        <v>997794</v>
      </c>
      <c r="E73" s="45" t="s">
        <v>138</v>
      </c>
      <c r="F73" s="45" t="s">
        <v>773</v>
      </c>
      <c r="G73" s="45" t="s">
        <v>774</v>
      </c>
      <c r="H73" s="45" t="s">
        <v>153</v>
      </c>
      <c r="I73" s="45" t="s">
        <v>571</v>
      </c>
      <c r="J73" s="45" t="s">
        <v>484</v>
      </c>
      <c r="K73" s="45" t="s">
        <v>351</v>
      </c>
      <c r="L73" s="38" t="s">
        <v>155</v>
      </c>
      <c r="M73" s="38" t="s">
        <v>707</v>
      </c>
      <c r="N73" s="45" t="s">
        <v>713</v>
      </c>
      <c r="O73" s="45" t="s">
        <v>74</v>
      </c>
      <c r="P73" s="45" t="s">
        <v>81</v>
      </c>
      <c r="Q73" s="49">
        <v>1423</v>
      </c>
      <c r="R73" s="49">
        <v>3.3719999999999999</v>
      </c>
      <c r="S73" s="49">
        <v>4992</v>
      </c>
      <c r="T73" s="41">
        <v>0</v>
      </c>
      <c r="U73" s="49">
        <v>239.53393</v>
      </c>
      <c r="V73" s="51">
        <v>3.8E-6</v>
      </c>
      <c r="W73" s="51">
        <v>9.7423990257600995E-3</v>
      </c>
      <c r="X73" s="51">
        <v>1.8201999999999999E-3</v>
      </c>
    </row>
    <row r="74" spans="1:24" x14ac:dyDescent="0.2">
      <c r="A74" s="45">
        <v>420</v>
      </c>
      <c r="B74" s="45">
        <v>420</v>
      </c>
      <c r="C74" s="45" t="s">
        <v>775</v>
      </c>
      <c r="D74" s="45">
        <v>997658</v>
      </c>
      <c r="E74" s="45" t="s">
        <v>138</v>
      </c>
      <c r="F74" s="45" t="s">
        <v>776</v>
      </c>
      <c r="G74" s="45" t="s">
        <v>777</v>
      </c>
      <c r="H74" s="45" t="s">
        <v>153</v>
      </c>
      <c r="I74" s="45" t="s">
        <v>571</v>
      </c>
      <c r="J74" s="45" t="s">
        <v>484</v>
      </c>
      <c r="K74" s="45" t="s">
        <v>351</v>
      </c>
      <c r="L74" s="38" t="s">
        <v>155</v>
      </c>
      <c r="M74" s="38" t="s">
        <v>707</v>
      </c>
      <c r="N74" s="45" t="s">
        <v>713</v>
      </c>
      <c r="O74" s="45" t="s">
        <v>74</v>
      </c>
      <c r="P74" s="45" t="s">
        <v>81</v>
      </c>
      <c r="Q74" s="49">
        <v>20</v>
      </c>
      <c r="R74" s="49">
        <v>3.3719999999999999</v>
      </c>
      <c r="S74" s="49">
        <v>261363</v>
      </c>
      <c r="T74" s="41">
        <v>0</v>
      </c>
      <c r="U74" s="49">
        <v>176.26320000000001</v>
      </c>
      <c r="V74" s="51">
        <v>2.9999999999999999E-7</v>
      </c>
      <c r="W74" s="51">
        <v>7.169099283090073E-3</v>
      </c>
      <c r="X74" s="51">
        <v>1.3393999999999999E-3</v>
      </c>
    </row>
    <row r="75" spans="1:24" x14ac:dyDescent="0.2">
      <c r="A75" s="45">
        <v>420</v>
      </c>
      <c r="B75" s="45">
        <v>420</v>
      </c>
      <c r="C75" s="45" t="s">
        <v>778</v>
      </c>
      <c r="D75" s="45" t="s">
        <v>779</v>
      </c>
      <c r="E75" s="45" t="s">
        <v>704</v>
      </c>
      <c r="F75" s="45" t="s">
        <v>780</v>
      </c>
      <c r="G75" s="45" t="s">
        <v>781</v>
      </c>
      <c r="H75" s="45" t="s">
        <v>153</v>
      </c>
      <c r="I75" s="45" t="s">
        <v>571</v>
      </c>
      <c r="J75" s="45" t="s">
        <v>484</v>
      </c>
      <c r="K75" s="45" t="s">
        <v>351</v>
      </c>
      <c r="L75" s="38" t="s">
        <v>155</v>
      </c>
      <c r="M75" s="38" t="s">
        <v>701</v>
      </c>
      <c r="N75" s="45" t="s">
        <v>713</v>
      </c>
      <c r="O75" s="45" t="s">
        <v>74</v>
      </c>
      <c r="P75" s="45" t="s">
        <v>81</v>
      </c>
      <c r="Q75" s="49">
        <v>421</v>
      </c>
      <c r="R75" s="49">
        <v>3.3719999999999999</v>
      </c>
      <c r="S75" s="49">
        <v>21863</v>
      </c>
      <c r="T75" s="41">
        <v>0</v>
      </c>
      <c r="U75" s="49">
        <v>310.36977000000002</v>
      </c>
      <c r="V75" s="51">
        <v>9.9999999999999995E-8</v>
      </c>
      <c r="W75" s="51">
        <v>1.2623498737650127E-2</v>
      </c>
      <c r="X75" s="51">
        <v>2.3584999999999999E-3</v>
      </c>
    </row>
    <row r="76" spans="1:24" x14ac:dyDescent="0.2">
      <c r="A76" s="45">
        <v>420</v>
      </c>
      <c r="B76" s="45">
        <v>420</v>
      </c>
      <c r="C76" s="45" t="s">
        <v>782</v>
      </c>
      <c r="D76" s="45">
        <v>99510</v>
      </c>
      <c r="E76" s="45" t="s">
        <v>138</v>
      </c>
      <c r="F76" s="45" t="s">
        <v>783</v>
      </c>
      <c r="G76" s="45" t="s">
        <v>784</v>
      </c>
      <c r="H76" s="45" t="s">
        <v>153</v>
      </c>
      <c r="I76" s="45" t="s">
        <v>571</v>
      </c>
      <c r="J76" s="45" t="s">
        <v>484</v>
      </c>
      <c r="K76" s="45" t="s">
        <v>351</v>
      </c>
      <c r="L76" s="38" t="s">
        <v>155</v>
      </c>
      <c r="M76" s="38" t="s">
        <v>707</v>
      </c>
      <c r="N76" s="45" t="s">
        <v>713</v>
      </c>
      <c r="O76" s="45" t="s">
        <v>74</v>
      </c>
      <c r="P76" s="45" t="s">
        <v>81</v>
      </c>
      <c r="Q76" s="49">
        <v>812</v>
      </c>
      <c r="R76" s="49">
        <v>3.3719999999999999</v>
      </c>
      <c r="S76" s="49">
        <v>7740</v>
      </c>
      <c r="T76" s="41">
        <v>0</v>
      </c>
      <c r="U76" s="49">
        <v>211.92615000000001</v>
      </c>
      <c r="V76" s="51">
        <v>8.9999999999999996E-7</v>
      </c>
      <c r="W76" s="51">
        <v>8.6195991380400867E-3</v>
      </c>
      <c r="X76" s="51">
        <v>1.6103999999999999E-3</v>
      </c>
    </row>
    <row r="77" spans="1:24" x14ac:dyDescent="0.2">
      <c r="A77" s="45">
        <v>420</v>
      </c>
      <c r="B77" s="45">
        <v>420</v>
      </c>
      <c r="C77" s="45" t="s">
        <v>785</v>
      </c>
      <c r="D77" s="45">
        <v>99108</v>
      </c>
      <c r="E77" s="45" t="s">
        <v>138</v>
      </c>
      <c r="F77" s="45" t="s">
        <v>786</v>
      </c>
      <c r="G77" s="45" t="s">
        <v>787</v>
      </c>
      <c r="H77" s="45" t="s">
        <v>153</v>
      </c>
      <c r="I77" s="45" t="s">
        <v>571</v>
      </c>
      <c r="J77" s="45" t="s">
        <v>484</v>
      </c>
      <c r="K77" s="45" t="s">
        <v>351</v>
      </c>
      <c r="L77" s="38" t="s">
        <v>155</v>
      </c>
      <c r="M77" s="38" t="s">
        <v>712</v>
      </c>
      <c r="N77" s="45" t="s">
        <v>788</v>
      </c>
      <c r="O77" s="45" t="s">
        <v>74</v>
      </c>
      <c r="P77" s="45" t="s">
        <v>81</v>
      </c>
      <c r="Q77" s="49">
        <v>0</v>
      </c>
      <c r="R77" s="49">
        <v>3.3719999999999999</v>
      </c>
      <c r="S77" s="49">
        <v>3380</v>
      </c>
      <c r="T77" s="41">
        <v>0.4163</v>
      </c>
      <c r="U77" s="49">
        <v>0</v>
      </c>
      <c r="V77" s="51">
        <v>0</v>
      </c>
      <c r="W77" s="51">
        <v>0</v>
      </c>
      <c r="X77" s="51">
        <v>0</v>
      </c>
    </row>
    <row r="78" spans="1:24" x14ac:dyDescent="0.2">
      <c r="A78" s="45">
        <v>420</v>
      </c>
      <c r="B78" s="45">
        <v>420</v>
      </c>
      <c r="C78" s="45" t="s">
        <v>789</v>
      </c>
      <c r="D78" s="45">
        <v>997495</v>
      </c>
      <c r="E78" s="45" t="s">
        <v>138</v>
      </c>
      <c r="F78" s="45" t="s">
        <v>790</v>
      </c>
      <c r="G78" s="45" t="s">
        <v>791</v>
      </c>
      <c r="H78" s="45" t="s">
        <v>153</v>
      </c>
      <c r="I78" s="45" t="s">
        <v>571</v>
      </c>
      <c r="J78" s="45" t="s">
        <v>484</v>
      </c>
      <c r="K78" s="45" t="s">
        <v>351</v>
      </c>
      <c r="L78" s="38" t="s">
        <v>155</v>
      </c>
      <c r="M78" s="38" t="s">
        <v>701</v>
      </c>
      <c r="N78" s="45" t="s">
        <v>713</v>
      </c>
      <c r="O78" s="45" t="s">
        <v>74</v>
      </c>
      <c r="P78" s="45" t="s">
        <v>81</v>
      </c>
      <c r="Q78" s="49">
        <v>16</v>
      </c>
      <c r="R78" s="49">
        <v>3.3719999999999999</v>
      </c>
      <c r="S78" s="49">
        <v>0.01</v>
      </c>
      <c r="T78" s="41">
        <v>0</v>
      </c>
      <c r="U78" s="49">
        <v>0</v>
      </c>
      <c r="V78" s="51">
        <v>0</v>
      </c>
      <c r="W78" s="51">
        <v>0</v>
      </c>
      <c r="X78" s="51">
        <v>0</v>
      </c>
    </row>
    <row r="79" spans="1:24" x14ac:dyDescent="0.2">
      <c r="A79" s="45">
        <v>420</v>
      </c>
      <c r="B79" s="45">
        <v>1471</v>
      </c>
      <c r="W79" s="51" t="s">
        <v>147</v>
      </c>
    </row>
    <row r="192" spans="4:4" x14ac:dyDescent="0.2">
      <c r="D192" s="62"/>
    </row>
    <row r="193" spans="4:4" x14ac:dyDescent="0.2">
      <c r="D193" s="62"/>
    </row>
    <row r="194" spans="4:4" x14ac:dyDescent="0.2">
      <c r="D194" s="62"/>
    </row>
  </sheetData>
  <sheetProtection formatColumns="0"/>
  <dataValidations count="8">
    <dataValidation type="list" allowBlank="1" showInputMessage="1" showErrorMessage="1" sqref="M2:M20" xr:uid="{E5F7D8DD-0666-4339-9CCD-E40942EFBFAC}">
      <formula1>Stock_Exchange</formula1>
    </dataValidation>
    <dataValidation type="list" allowBlank="1" showInputMessage="1" showErrorMessage="1" sqref="L2:L20" xr:uid="{094DD899-E523-4BEF-A72E-09C877AE01C6}">
      <formula1>Tradeable_Status</formula1>
    </dataValidation>
    <dataValidation type="list" allowBlank="1" showInputMessage="1" showErrorMessage="1" sqref="N2:N21" xr:uid="{8EF2E01B-8512-408B-8829-8425B4283238}">
      <formula1>Industry_Sector</formula1>
    </dataValidation>
    <dataValidation type="list" allowBlank="1" showInputMessage="1" showErrorMessage="1" sqref="H2:H20" xr:uid="{7F592B9A-E575-49E1-B805-0D976D3AD20C}">
      <formula1>Security_ID_Number_Type</formula1>
    </dataValidation>
    <dataValidation type="list" allowBlank="1" showInputMessage="1" showErrorMessage="1" sqref="E2:E20" xr:uid="{B7A74007-801C-4777-A2F0-F57364D16096}">
      <formula1>Issuer_Number_Type_2</formula1>
    </dataValidation>
    <dataValidation type="list" allowBlank="1" showInputMessage="1" showErrorMessage="1" sqref="K2:K20" xr:uid="{21EE5CE4-A775-4F9D-9C52-F6AA8AEF1EA7}">
      <formula1>Country_list</formula1>
    </dataValidation>
    <dataValidation type="list" allowBlank="1" showInputMessage="1" showErrorMessage="1" sqref="O2:O19" xr:uid="{87DE2E61-8738-4D76-A655-A06902844AF4}">
      <formula1>Holding_interest</formula1>
    </dataValidation>
    <dataValidation type="list" allowBlank="1" showInputMessage="1" showErrorMessage="1" sqref="J2:J19" xr:uid="{47CA5A92-E3FA-4771-A10B-A766C1605906}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EFB-34BA-4FD5-9DCE-9D906136E400}">
  <sheetPr codeName="Sheet9"/>
  <dimension ref="A1:W28"/>
  <sheetViews>
    <sheetView rightToLeft="1" topLeftCell="G1" workbookViewId="0">
      <selection activeCell="F17" sqref="F17"/>
    </sheetView>
  </sheetViews>
  <sheetFormatPr defaultColWidth="9" defaultRowHeight="14.25" x14ac:dyDescent="0.2"/>
  <cols>
    <col min="1" max="2" width="11.625" style="38" customWidth="1"/>
    <col min="3" max="3" width="23.125" style="38" bestFit="1" customWidth="1"/>
    <col min="4" max="4" width="25.5" style="38" bestFit="1" customWidth="1"/>
    <col min="5" max="5" width="9.75" style="45" bestFit="1" customWidth="1"/>
    <col min="6" max="6" width="33.375" style="38" bestFit="1" customWidth="1"/>
    <col min="7" max="7" width="14.375" style="38" bestFit="1" customWidth="1"/>
    <col min="8" max="11" width="11.625" style="38" customWidth="1"/>
    <col min="12" max="12" width="9" style="38"/>
    <col min="13" max="13" width="52.5" style="38" bestFit="1" customWidth="1"/>
    <col min="14" max="15" width="11.625" style="38" customWidth="1"/>
    <col min="16" max="16" width="11.625" style="49" customWidth="1"/>
    <col min="17" max="20" width="11.625" style="41" customWidth="1"/>
    <col min="21" max="23" width="11.625" style="46" customWidth="1"/>
    <col min="24" max="24" width="11.625" style="38" customWidth="1"/>
    <col min="25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792</v>
      </c>
      <c r="N1" s="34" t="s">
        <v>59</v>
      </c>
      <c r="O1" s="34" t="s">
        <v>62</v>
      </c>
      <c r="P1" s="35" t="s">
        <v>95</v>
      </c>
      <c r="Q1" s="35" t="s">
        <v>64</v>
      </c>
      <c r="R1" s="35" t="s">
        <v>96</v>
      </c>
      <c r="S1" s="35" t="s">
        <v>94</v>
      </c>
      <c r="T1" s="35" t="s">
        <v>66</v>
      </c>
      <c r="U1" s="36" t="s">
        <v>98</v>
      </c>
      <c r="V1" s="36" t="s">
        <v>67</v>
      </c>
      <c r="W1" s="36" t="s">
        <v>68</v>
      </c>
    </row>
    <row r="2" spans="1:23" x14ac:dyDescent="0.2">
      <c r="A2" s="53">
        <v>420</v>
      </c>
      <c r="B2" s="53">
        <v>420</v>
      </c>
      <c r="C2" s="53" t="s">
        <v>793</v>
      </c>
      <c r="D2" s="53">
        <v>511303661</v>
      </c>
      <c r="E2" s="40" t="s">
        <v>794</v>
      </c>
      <c r="F2" s="53" t="s">
        <v>795</v>
      </c>
      <c r="G2" s="53" t="s">
        <v>796</v>
      </c>
      <c r="H2" s="40" t="s">
        <v>153</v>
      </c>
      <c r="I2" s="53" t="s">
        <v>797</v>
      </c>
      <c r="J2" s="40" t="s">
        <v>73</v>
      </c>
      <c r="K2" s="40" t="s">
        <v>73</v>
      </c>
      <c r="L2" s="40" t="s">
        <v>103</v>
      </c>
      <c r="M2" s="53" t="s">
        <v>798</v>
      </c>
      <c r="N2" s="53" t="s">
        <v>74</v>
      </c>
      <c r="O2" s="40" t="s">
        <v>78</v>
      </c>
      <c r="P2" s="52">
        <v>12513</v>
      </c>
      <c r="Q2" s="56">
        <v>1</v>
      </c>
      <c r="R2" s="56">
        <v>4530</v>
      </c>
      <c r="S2" s="56">
        <v>0</v>
      </c>
      <c r="T2" s="56">
        <v>566.83889999999997</v>
      </c>
      <c r="U2" s="60">
        <v>2.3169999999999999E-4</v>
      </c>
      <c r="V2" s="60">
        <v>1.9820398017960195E-2</v>
      </c>
      <c r="W2" s="60">
        <v>4.3074000000000003E-3</v>
      </c>
    </row>
    <row r="3" spans="1:23" x14ac:dyDescent="0.2">
      <c r="A3" s="53">
        <v>420</v>
      </c>
      <c r="B3" s="53">
        <v>420</v>
      </c>
      <c r="C3" s="53" t="s">
        <v>799</v>
      </c>
      <c r="D3" s="53">
        <v>514884485</v>
      </c>
      <c r="E3" s="40" t="s">
        <v>794</v>
      </c>
      <c r="F3" s="53" t="s">
        <v>800</v>
      </c>
      <c r="G3" s="53" t="s">
        <v>801</v>
      </c>
      <c r="H3" s="40" t="s">
        <v>153</v>
      </c>
      <c r="I3" s="53" t="s">
        <v>802</v>
      </c>
      <c r="J3" s="40" t="s">
        <v>73</v>
      </c>
      <c r="K3" s="40" t="s">
        <v>351</v>
      </c>
      <c r="L3" s="40" t="s">
        <v>103</v>
      </c>
      <c r="M3" s="53" t="s">
        <v>803</v>
      </c>
      <c r="N3" s="53" t="s">
        <v>74</v>
      </c>
      <c r="O3" s="40" t="s">
        <v>78</v>
      </c>
      <c r="P3" s="52">
        <v>9617</v>
      </c>
      <c r="Q3" s="56">
        <v>1</v>
      </c>
      <c r="R3" s="56">
        <v>9600</v>
      </c>
      <c r="S3" s="56">
        <v>0</v>
      </c>
      <c r="T3" s="56">
        <v>923.23199999999997</v>
      </c>
      <c r="U3" s="60">
        <v>4.102E-4</v>
      </c>
      <c r="V3" s="60">
        <v>3.2282196771780319E-2</v>
      </c>
      <c r="W3" s="60">
        <v>7.0156000000000003E-3</v>
      </c>
    </row>
    <row r="4" spans="1:23" x14ac:dyDescent="0.2">
      <c r="A4" s="53">
        <v>420</v>
      </c>
      <c r="B4" s="53">
        <v>420</v>
      </c>
      <c r="C4" s="53" t="s">
        <v>799</v>
      </c>
      <c r="D4" s="53">
        <v>514884485</v>
      </c>
      <c r="E4" s="40" t="s">
        <v>794</v>
      </c>
      <c r="F4" s="53" t="s">
        <v>804</v>
      </c>
      <c r="G4" s="53" t="s">
        <v>805</v>
      </c>
      <c r="H4" s="40" t="s">
        <v>153</v>
      </c>
      <c r="I4" s="53" t="s">
        <v>802</v>
      </c>
      <c r="J4" s="40" t="s">
        <v>73</v>
      </c>
      <c r="K4" s="40" t="s">
        <v>351</v>
      </c>
      <c r="L4" s="40" t="s">
        <v>103</v>
      </c>
      <c r="M4" s="53" t="s">
        <v>806</v>
      </c>
      <c r="N4" s="53" t="s">
        <v>74</v>
      </c>
      <c r="O4" s="40" t="s">
        <v>78</v>
      </c>
      <c r="P4" s="52">
        <v>4910</v>
      </c>
      <c r="Q4" s="56">
        <v>1</v>
      </c>
      <c r="R4" s="56">
        <v>10530</v>
      </c>
      <c r="S4" s="56">
        <v>0</v>
      </c>
      <c r="T4" s="56">
        <v>517.02300000000002</v>
      </c>
      <c r="U4" s="60">
        <v>3.1930000000000001E-4</v>
      </c>
      <c r="V4" s="60">
        <v>1.807849819215018E-2</v>
      </c>
      <c r="W4" s="60">
        <v>3.9287999999999997E-3</v>
      </c>
    </row>
    <row r="5" spans="1:23" x14ac:dyDescent="0.2">
      <c r="A5" s="53">
        <v>420</v>
      </c>
      <c r="B5" s="53">
        <v>420</v>
      </c>
      <c r="C5" s="53" t="s">
        <v>793</v>
      </c>
      <c r="D5" s="53">
        <v>511303661</v>
      </c>
      <c r="E5" s="40" t="s">
        <v>794</v>
      </c>
      <c r="F5" s="53" t="s">
        <v>807</v>
      </c>
      <c r="G5" s="53" t="s">
        <v>808</v>
      </c>
      <c r="H5" s="40" t="s">
        <v>153</v>
      </c>
      <c r="I5" s="53" t="s">
        <v>802</v>
      </c>
      <c r="J5" s="40" t="s">
        <v>73</v>
      </c>
      <c r="K5" s="40" t="s">
        <v>809</v>
      </c>
      <c r="L5" s="40" t="s">
        <v>103</v>
      </c>
      <c r="M5" s="53" t="s">
        <v>810</v>
      </c>
      <c r="N5" s="53" t="s">
        <v>74</v>
      </c>
      <c r="O5" s="40" t="s">
        <v>78</v>
      </c>
      <c r="P5" s="52">
        <v>17313</v>
      </c>
      <c r="Q5" s="56">
        <v>1</v>
      </c>
      <c r="R5" s="56">
        <v>4320</v>
      </c>
      <c r="S5" s="56">
        <v>0</v>
      </c>
      <c r="T5" s="56">
        <v>747.92160000000001</v>
      </c>
      <c r="U5" s="60">
        <v>1.06009E-2</v>
      </c>
      <c r="V5" s="60">
        <v>2.6152197384780262E-2</v>
      </c>
      <c r="W5" s="60">
        <v>5.6833999999999999E-3</v>
      </c>
    </row>
    <row r="6" spans="1:23" x14ac:dyDescent="0.2">
      <c r="A6" s="53">
        <v>420</v>
      </c>
      <c r="B6" s="53">
        <v>420</v>
      </c>
      <c r="C6" s="53" t="s">
        <v>811</v>
      </c>
      <c r="D6" s="53" t="s">
        <v>812</v>
      </c>
      <c r="E6" s="40" t="s">
        <v>704</v>
      </c>
      <c r="F6" s="53" t="s">
        <v>813</v>
      </c>
      <c r="G6" s="53" t="s">
        <v>814</v>
      </c>
      <c r="H6" s="40" t="s">
        <v>153</v>
      </c>
      <c r="I6" s="53" t="s">
        <v>802</v>
      </c>
      <c r="J6" s="40" t="s">
        <v>484</v>
      </c>
      <c r="K6" s="40" t="s">
        <v>351</v>
      </c>
      <c r="L6" s="40" t="s">
        <v>707</v>
      </c>
      <c r="M6" s="53" t="s">
        <v>815</v>
      </c>
      <c r="N6" s="53" t="s">
        <v>74</v>
      </c>
      <c r="O6" s="40" t="s">
        <v>81</v>
      </c>
      <c r="P6" s="52">
        <v>440</v>
      </c>
      <c r="Q6" s="56">
        <v>3.3719999999999999</v>
      </c>
      <c r="R6" s="56">
        <v>55164</v>
      </c>
      <c r="S6" s="56">
        <v>0.19689999999999999</v>
      </c>
      <c r="T6" s="56">
        <v>818.45722999999998</v>
      </c>
      <c r="U6" s="60">
        <v>5.9999999999999997E-7</v>
      </c>
      <c r="V6" s="60">
        <v>2.8618597138140286E-2</v>
      </c>
      <c r="W6" s="60">
        <v>6.2193999999999999E-3</v>
      </c>
    </row>
    <row r="7" spans="1:23" x14ac:dyDescent="0.2">
      <c r="A7" s="53">
        <v>420</v>
      </c>
      <c r="B7" s="53">
        <v>420</v>
      </c>
      <c r="C7" s="53" t="s">
        <v>816</v>
      </c>
      <c r="D7" s="53" t="s">
        <v>817</v>
      </c>
      <c r="E7" s="40" t="s">
        <v>704</v>
      </c>
      <c r="F7" s="53" t="s">
        <v>818</v>
      </c>
      <c r="G7" s="53" t="s">
        <v>819</v>
      </c>
      <c r="H7" s="40" t="s">
        <v>153</v>
      </c>
      <c r="I7" s="53" t="s">
        <v>802</v>
      </c>
      <c r="J7" s="40" t="s">
        <v>484</v>
      </c>
      <c r="K7" s="40" t="s">
        <v>351</v>
      </c>
      <c r="L7" s="40" t="s">
        <v>712</v>
      </c>
      <c r="M7" s="53" t="s">
        <v>815</v>
      </c>
      <c r="N7" s="53" t="s">
        <v>74</v>
      </c>
      <c r="O7" s="40" t="s">
        <v>81</v>
      </c>
      <c r="P7" s="52">
        <v>885</v>
      </c>
      <c r="Q7" s="56">
        <v>3.3719999999999999</v>
      </c>
      <c r="R7" s="56">
        <v>13479</v>
      </c>
      <c r="S7" s="56">
        <v>0</v>
      </c>
      <c r="T7" s="56">
        <v>402.24301000000003</v>
      </c>
      <c r="U7" s="60">
        <v>3.3000000000000002E-6</v>
      </c>
      <c r="V7" s="60">
        <v>1.4065098593490141E-2</v>
      </c>
      <c r="W7" s="60">
        <v>3.0566E-3</v>
      </c>
    </row>
    <row r="8" spans="1:23" x14ac:dyDescent="0.2">
      <c r="A8" s="53">
        <v>420</v>
      </c>
      <c r="B8" s="53">
        <v>420</v>
      </c>
      <c r="C8" s="53" t="s">
        <v>820</v>
      </c>
      <c r="D8" s="53" t="s">
        <v>821</v>
      </c>
      <c r="E8" s="40" t="s">
        <v>704</v>
      </c>
      <c r="F8" s="53" t="s">
        <v>822</v>
      </c>
      <c r="G8" s="53" t="s">
        <v>823</v>
      </c>
      <c r="H8" s="40" t="s">
        <v>153</v>
      </c>
      <c r="I8" s="53" t="s">
        <v>802</v>
      </c>
      <c r="J8" s="40" t="s">
        <v>484</v>
      </c>
      <c r="K8" s="40" t="s">
        <v>351</v>
      </c>
      <c r="L8" s="40" t="s">
        <v>701</v>
      </c>
      <c r="M8" s="53" t="s">
        <v>815</v>
      </c>
      <c r="N8" s="53" t="s">
        <v>74</v>
      </c>
      <c r="O8" s="40" t="s">
        <v>81</v>
      </c>
      <c r="P8" s="52">
        <v>420</v>
      </c>
      <c r="Q8" s="56">
        <v>3.3719999999999999</v>
      </c>
      <c r="R8" s="56">
        <v>9317</v>
      </c>
      <c r="S8" s="56">
        <v>0</v>
      </c>
      <c r="T8" s="56">
        <v>131.95107999999999</v>
      </c>
      <c r="U8" s="60">
        <v>1.6500000000000001E-5</v>
      </c>
      <c r="V8" s="60">
        <v>4.6138995386100458E-3</v>
      </c>
      <c r="W8" s="60">
        <v>1.0027E-3</v>
      </c>
    </row>
    <row r="9" spans="1:23" x14ac:dyDescent="0.2">
      <c r="A9" s="53">
        <v>420</v>
      </c>
      <c r="B9" s="53">
        <v>420</v>
      </c>
      <c r="C9" s="53" t="s">
        <v>811</v>
      </c>
      <c r="D9" s="53" t="s">
        <v>824</v>
      </c>
      <c r="E9" s="40" t="s">
        <v>704</v>
      </c>
      <c r="F9" s="53" t="s">
        <v>825</v>
      </c>
      <c r="G9" s="53" t="s">
        <v>826</v>
      </c>
      <c r="H9" s="40" t="s">
        <v>153</v>
      </c>
      <c r="I9" s="53" t="s">
        <v>802</v>
      </c>
      <c r="J9" s="40" t="s">
        <v>484</v>
      </c>
      <c r="K9" s="40" t="s">
        <v>351</v>
      </c>
      <c r="L9" s="40" t="s">
        <v>827</v>
      </c>
      <c r="M9" s="53" t="s">
        <v>815</v>
      </c>
      <c r="N9" s="53" t="s">
        <v>74</v>
      </c>
      <c r="O9" s="40" t="s">
        <v>81</v>
      </c>
      <c r="P9" s="52">
        <v>270</v>
      </c>
      <c r="Q9" s="56">
        <v>3.3719999999999999</v>
      </c>
      <c r="R9" s="56">
        <v>122758</v>
      </c>
      <c r="S9" s="56">
        <v>0</v>
      </c>
      <c r="T9" s="56">
        <v>1117.6379300000001</v>
      </c>
      <c r="U9" s="60">
        <v>1.03E-5</v>
      </c>
      <c r="V9" s="60">
        <v>3.9079996092000385E-2</v>
      </c>
      <c r="W9" s="60">
        <v>8.4928999999999994E-3</v>
      </c>
    </row>
    <row r="10" spans="1:23" x14ac:dyDescent="0.2">
      <c r="A10" s="53">
        <v>420</v>
      </c>
      <c r="B10" s="53">
        <v>420</v>
      </c>
      <c r="C10" s="53" t="s">
        <v>816</v>
      </c>
      <c r="D10" s="53" t="s">
        <v>828</v>
      </c>
      <c r="E10" s="40" t="s">
        <v>704</v>
      </c>
      <c r="F10" s="53" t="s">
        <v>829</v>
      </c>
      <c r="G10" s="53" t="s">
        <v>830</v>
      </c>
      <c r="H10" s="40" t="s">
        <v>153</v>
      </c>
      <c r="I10" s="53" t="s">
        <v>802</v>
      </c>
      <c r="J10" s="40" t="s">
        <v>484</v>
      </c>
      <c r="K10" s="40" t="s">
        <v>351</v>
      </c>
      <c r="L10" s="40" t="s">
        <v>712</v>
      </c>
      <c r="M10" s="53" t="s">
        <v>815</v>
      </c>
      <c r="N10" s="53" t="s">
        <v>74</v>
      </c>
      <c r="O10" s="40" t="s">
        <v>81</v>
      </c>
      <c r="P10" s="52">
        <v>1797</v>
      </c>
      <c r="Q10" s="56">
        <v>3.3719999999999999</v>
      </c>
      <c r="R10" s="56">
        <v>8166</v>
      </c>
      <c r="S10" s="56">
        <v>0</v>
      </c>
      <c r="T10" s="56">
        <v>494.81745999999998</v>
      </c>
      <c r="U10" s="60">
        <v>7.9000000000000006E-6</v>
      </c>
      <c r="V10" s="60">
        <v>1.7302098269790171E-2</v>
      </c>
      <c r="W10" s="60">
        <v>3.7601000000000002E-3</v>
      </c>
    </row>
    <row r="11" spans="1:23" x14ac:dyDescent="0.2">
      <c r="A11" s="53">
        <v>420</v>
      </c>
      <c r="B11" s="53">
        <v>420</v>
      </c>
      <c r="C11" s="53" t="s">
        <v>831</v>
      </c>
      <c r="D11" s="53" t="s">
        <v>832</v>
      </c>
      <c r="E11" s="40" t="s">
        <v>704</v>
      </c>
      <c r="F11" s="53" t="s">
        <v>833</v>
      </c>
      <c r="G11" s="53" t="s">
        <v>834</v>
      </c>
      <c r="H11" s="40" t="s">
        <v>153</v>
      </c>
      <c r="I11" s="53" t="s">
        <v>802</v>
      </c>
      <c r="J11" s="40" t="s">
        <v>484</v>
      </c>
      <c r="K11" s="40" t="s">
        <v>351</v>
      </c>
      <c r="L11" s="40" t="s">
        <v>712</v>
      </c>
      <c r="M11" s="53" t="s">
        <v>815</v>
      </c>
      <c r="N11" s="53" t="s">
        <v>74</v>
      </c>
      <c r="O11" s="40" t="s">
        <v>81</v>
      </c>
      <c r="P11" s="52">
        <v>3775</v>
      </c>
      <c r="Q11" s="56">
        <v>3.3719999999999999</v>
      </c>
      <c r="R11" s="56">
        <v>56803</v>
      </c>
      <c r="S11" s="56">
        <v>5.0312000000000001</v>
      </c>
      <c r="T11" s="56">
        <v>7230.6242700000003</v>
      </c>
      <c r="U11" s="60">
        <v>3.1999999999999999E-6</v>
      </c>
      <c r="V11" s="60">
        <v>0.25283007471699254</v>
      </c>
      <c r="W11" s="60">
        <v>5.4945000000000001E-2</v>
      </c>
    </row>
    <row r="12" spans="1:23" x14ac:dyDescent="0.2">
      <c r="A12" s="53">
        <v>420</v>
      </c>
      <c r="B12" s="53">
        <v>420</v>
      </c>
      <c r="C12" s="53" t="s">
        <v>835</v>
      </c>
      <c r="D12" s="53" t="s">
        <v>836</v>
      </c>
      <c r="E12" s="40" t="s">
        <v>704</v>
      </c>
      <c r="F12" s="53" t="s">
        <v>837</v>
      </c>
      <c r="G12" s="53" t="s">
        <v>838</v>
      </c>
      <c r="H12" s="40" t="s">
        <v>153</v>
      </c>
      <c r="I12" s="53" t="s">
        <v>802</v>
      </c>
      <c r="J12" s="40" t="s">
        <v>484</v>
      </c>
      <c r="K12" s="40" t="s">
        <v>839</v>
      </c>
      <c r="L12" s="40" t="s">
        <v>701</v>
      </c>
      <c r="M12" s="53" t="s">
        <v>815</v>
      </c>
      <c r="N12" s="53" t="s">
        <v>74</v>
      </c>
      <c r="O12" s="40" t="s">
        <v>77</v>
      </c>
      <c r="P12" s="52">
        <v>350</v>
      </c>
      <c r="Q12" s="56">
        <v>3.9552</v>
      </c>
      <c r="R12" s="56">
        <v>13509.6</v>
      </c>
      <c r="S12" s="56">
        <v>0</v>
      </c>
      <c r="T12" s="56">
        <v>187.01608999999999</v>
      </c>
      <c r="U12" s="60">
        <v>7.1600000000000006E-5</v>
      </c>
      <c r="V12" s="60">
        <v>6.5392993460700643E-3</v>
      </c>
      <c r="W12" s="60">
        <v>1.4211E-3</v>
      </c>
    </row>
    <row r="13" spans="1:23" x14ac:dyDescent="0.2">
      <c r="A13" s="53">
        <v>420</v>
      </c>
      <c r="B13" s="53">
        <v>420</v>
      </c>
      <c r="C13" s="53" t="s">
        <v>816</v>
      </c>
      <c r="D13" s="53" t="s">
        <v>840</v>
      </c>
      <c r="E13" s="40" t="s">
        <v>704</v>
      </c>
      <c r="F13" s="53" t="s">
        <v>841</v>
      </c>
      <c r="G13" s="53" t="s">
        <v>842</v>
      </c>
      <c r="H13" s="40" t="s">
        <v>153</v>
      </c>
      <c r="I13" s="53" t="s">
        <v>802</v>
      </c>
      <c r="J13" s="40" t="s">
        <v>484</v>
      </c>
      <c r="K13" s="40" t="s">
        <v>351</v>
      </c>
      <c r="L13" s="40" t="s">
        <v>712</v>
      </c>
      <c r="M13" s="53" t="s">
        <v>815</v>
      </c>
      <c r="N13" s="53" t="s">
        <v>74</v>
      </c>
      <c r="O13" s="40" t="s">
        <v>81</v>
      </c>
      <c r="P13" s="52">
        <v>1284</v>
      </c>
      <c r="Q13" s="56">
        <v>3.3719999999999999</v>
      </c>
      <c r="R13" s="56">
        <v>8481</v>
      </c>
      <c r="S13" s="56">
        <v>0</v>
      </c>
      <c r="T13" s="56">
        <v>367.19743999999997</v>
      </c>
      <c r="U13" s="60">
        <v>3.5999999999999998E-6</v>
      </c>
      <c r="V13" s="60">
        <v>1.2839598716040127E-2</v>
      </c>
      <c r="W13" s="60">
        <v>2.7902999999999999E-3</v>
      </c>
    </row>
    <row r="14" spans="1:23" x14ac:dyDescent="0.2">
      <c r="A14" s="53">
        <v>420</v>
      </c>
      <c r="B14" s="53">
        <v>420</v>
      </c>
      <c r="C14" s="53" t="s">
        <v>820</v>
      </c>
      <c r="D14" s="53" t="s">
        <v>843</v>
      </c>
      <c r="E14" s="40" t="s">
        <v>704</v>
      </c>
      <c r="F14" s="53" t="s">
        <v>844</v>
      </c>
      <c r="G14" s="53" t="s">
        <v>845</v>
      </c>
      <c r="H14" s="40" t="s">
        <v>153</v>
      </c>
      <c r="I14" s="53" t="s">
        <v>802</v>
      </c>
      <c r="J14" s="40" t="s">
        <v>484</v>
      </c>
      <c r="K14" s="40" t="s">
        <v>846</v>
      </c>
      <c r="L14" s="40" t="s">
        <v>712</v>
      </c>
      <c r="M14" s="53" t="s">
        <v>815</v>
      </c>
      <c r="N14" s="53" t="s">
        <v>74</v>
      </c>
      <c r="O14" s="40" t="s">
        <v>81</v>
      </c>
      <c r="P14" s="52">
        <v>9000</v>
      </c>
      <c r="Q14" s="56">
        <v>3.3719999999999999</v>
      </c>
      <c r="R14" s="56">
        <v>3676</v>
      </c>
      <c r="S14" s="56">
        <v>0</v>
      </c>
      <c r="T14" s="56">
        <v>1115.59248</v>
      </c>
      <c r="U14" s="60">
        <v>4.2700000000000001E-5</v>
      </c>
      <c r="V14" s="60">
        <v>3.9008396099160389E-2</v>
      </c>
      <c r="W14" s="60">
        <v>8.4773000000000001E-3</v>
      </c>
    </row>
    <row r="15" spans="1:23" x14ac:dyDescent="0.2">
      <c r="A15" s="53">
        <v>420</v>
      </c>
      <c r="B15" s="53">
        <v>420</v>
      </c>
      <c r="C15" s="53" t="s">
        <v>820</v>
      </c>
      <c r="D15" s="53" t="s">
        <v>847</v>
      </c>
      <c r="E15" s="40" t="s">
        <v>704</v>
      </c>
      <c r="F15" s="53" t="s">
        <v>848</v>
      </c>
      <c r="G15" s="53" t="s">
        <v>849</v>
      </c>
      <c r="H15" s="40" t="s">
        <v>153</v>
      </c>
      <c r="I15" s="53" t="s">
        <v>802</v>
      </c>
      <c r="J15" s="40" t="s">
        <v>484</v>
      </c>
      <c r="K15" s="40" t="s">
        <v>181</v>
      </c>
      <c r="L15" s="40" t="s">
        <v>827</v>
      </c>
      <c r="M15" s="53" t="s">
        <v>815</v>
      </c>
      <c r="N15" s="53" t="s">
        <v>74</v>
      </c>
      <c r="O15" s="40" t="s">
        <v>79</v>
      </c>
      <c r="P15" s="52">
        <v>20500</v>
      </c>
      <c r="Q15" s="56">
        <v>4.6235999999999997</v>
      </c>
      <c r="R15" s="56">
        <v>854.3</v>
      </c>
      <c r="S15" s="56">
        <v>0</v>
      </c>
      <c r="T15" s="56">
        <v>809.73800000000006</v>
      </c>
      <c r="U15" s="60">
        <v>1.38E-5</v>
      </c>
      <c r="V15" s="60">
        <v>2.8313797168620283E-2</v>
      </c>
      <c r="W15" s="60">
        <v>6.1530999999999999E-3</v>
      </c>
    </row>
    <row r="16" spans="1:23" x14ac:dyDescent="0.2">
      <c r="A16" s="53">
        <v>420</v>
      </c>
      <c r="B16" s="53">
        <v>420</v>
      </c>
      <c r="C16" s="53" t="s">
        <v>850</v>
      </c>
      <c r="D16" s="53" t="s">
        <v>851</v>
      </c>
      <c r="E16" s="40" t="s">
        <v>704</v>
      </c>
      <c r="F16" s="53" t="s">
        <v>852</v>
      </c>
      <c r="G16" s="53" t="s">
        <v>853</v>
      </c>
      <c r="H16" s="40" t="s">
        <v>153</v>
      </c>
      <c r="I16" s="53" t="s">
        <v>802</v>
      </c>
      <c r="J16" s="40" t="s">
        <v>484</v>
      </c>
      <c r="K16" s="40" t="s">
        <v>351</v>
      </c>
      <c r="L16" s="40" t="s">
        <v>707</v>
      </c>
      <c r="M16" s="53" t="s">
        <v>815</v>
      </c>
      <c r="N16" s="53" t="s">
        <v>74</v>
      </c>
      <c r="O16" s="40" t="s">
        <v>81</v>
      </c>
      <c r="P16" s="52">
        <v>176</v>
      </c>
      <c r="Q16" s="56">
        <v>3.3719999999999999</v>
      </c>
      <c r="R16" s="56">
        <v>27888</v>
      </c>
      <c r="S16" s="56">
        <v>0</v>
      </c>
      <c r="T16" s="56">
        <v>165.50747000000001</v>
      </c>
      <c r="U16" s="60">
        <v>1.9E-6</v>
      </c>
      <c r="V16" s="60">
        <v>5.7871994212800575E-3</v>
      </c>
      <c r="W16" s="60">
        <v>1.2577000000000001E-3</v>
      </c>
    </row>
    <row r="17" spans="1:23" x14ac:dyDescent="0.2">
      <c r="A17" s="53">
        <v>420</v>
      </c>
      <c r="B17" s="53">
        <v>420</v>
      </c>
      <c r="C17" s="53" t="s">
        <v>854</v>
      </c>
      <c r="D17" s="53" t="s">
        <v>855</v>
      </c>
      <c r="E17" s="40" t="s">
        <v>704</v>
      </c>
      <c r="F17" s="53" t="s">
        <v>856</v>
      </c>
      <c r="G17" s="53" t="s">
        <v>857</v>
      </c>
      <c r="H17" s="40" t="s">
        <v>153</v>
      </c>
      <c r="I17" s="53" t="s">
        <v>802</v>
      </c>
      <c r="J17" s="40" t="s">
        <v>484</v>
      </c>
      <c r="K17" s="40" t="s">
        <v>351</v>
      </c>
      <c r="L17" s="40" t="s">
        <v>701</v>
      </c>
      <c r="M17" s="53" t="s">
        <v>815</v>
      </c>
      <c r="N17" s="53" t="s">
        <v>74</v>
      </c>
      <c r="O17" s="40" t="s">
        <v>81</v>
      </c>
      <c r="P17" s="52">
        <v>1703</v>
      </c>
      <c r="Q17" s="56">
        <v>3.3719999999999999</v>
      </c>
      <c r="R17" s="56">
        <v>4358</v>
      </c>
      <c r="S17" s="56">
        <v>0.14169999999999999</v>
      </c>
      <c r="T17" s="56">
        <v>250.25883999999999</v>
      </c>
      <c r="U17" s="60">
        <v>8.3000000000000002E-6</v>
      </c>
      <c r="V17" s="60">
        <v>8.7506991249300878E-3</v>
      </c>
      <c r="W17" s="60">
        <v>1.9017000000000001E-3</v>
      </c>
    </row>
    <row r="18" spans="1:23" x14ac:dyDescent="0.2">
      <c r="A18" s="53">
        <v>420</v>
      </c>
      <c r="B18" s="53">
        <v>420</v>
      </c>
      <c r="C18" s="53" t="s">
        <v>820</v>
      </c>
      <c r="D18" s="53" t="s">
        <v>858</v>
      </c>
      <c r="E18" s="40" t="s">
        <v>704</v>
      </c>
      <c r="F18" s="53" t="s">
        <v>859</v>
      </c>
      <c r="G18" s="53" t="s">
        <v>860</v>
      </c>
      <c r="H18" s="40" t="s">
        <v>153</v>
      </c>
      <c r="I18" s="53" t="s">
        <v>802</v>
      </c>
      <c r="J18" s="40" t="s">
        <v>484</v>
      </c>
      <c r="K18" s="40" t="s">
        <v>351</v>
      </c>
      <c r="L18" s="40" t="s">
        <v>712</v>
      </c>
      <c r="M18" s="53" t="s">
        <v>815</v>
      </c>
      <c r="N18" s="53" t="s">
        <v>74</v>
      </c>
      <c r="O18" s="40" t="s">
        <v>81</v>
      </c>
      <c r="P18" s="52">
        <v>3441</v>
      </c>
      <c r="Q18" s="56">
        <v>3.3719999999999999</v>
      </c>
      <c r="R18" s="56">
        <v>62090</v>
      </c>
      <c r="S18" s="56">
        <v>0</v>
      </c>
      <c r="T18" s="56">
        <v>7204.3349799999996</v>
      </c>
      <c r="U18" s="60">
        <v>3.3000000000000002E-6</v>
      </c>
      <c r="V18" s="60">
        <v>0.25191077480892249</v>
      </c>
      <c r="W18" s="60">
        <v>5.4745200000000001E-2</v>
      </c>
    </row>
    <row r="19" spans="1:23" x14ac:dyDescent="0.2">
      <c r="A19" s="53">
        <v>420</v>
      </c>
      <c r="B19" s="53">
        <v>420</v>
      </c>
      <c r="C19" s="53" t="s">
        <v>820</v>
      </c>
      <c r="D19" s="53" t="s">
        <v>861</v>
      </c>
      <c r="E19" s="40" t="s">
        <v>704</v>
      </c>
      <c r="F19" s="53" t="s">
        <v>862</v>
      </c>
      <c r="G19" s="53" t="s">
        <v>863</v>
      </c>
      <c r="H19" s="40" t="s">
        <v>153</v>
      </c>
      <c r="I19" s="53" t="s">
        <v>802</v>
      </c>
      <c r="J19" s="40" t="s">
        <v>484</v>
      </c>
      <c r="K19" s="40" t="s">
        <v>839</v>
      </c>
      <c r="L19" s="40" t="s">
        <v>701</v>
      </c>
      <c r="M19" s="53" t="s">
        <v>815</v>
      </c>
      <c r="N19" s="53" t="s">
        <v>74</v>
      </c>
      <c r="O19" s="40" t="s">
        <v>77</v>
      </c>
      <c r="P19" s="52">
        <v>1335</v>
      </c>
      <c r="Q19" s="56">
        <v>3.9552</v>
      </c>
      <c r="R19" s="56">
        <v>10232</v>
      </c>
      <c r="S19" s="56">
        <v>0</v>
      </c>
      <c r="T19" s="56">
        <v>540.26923999999997</v>
      </c>
      <c r="U19" s="60">
        <v>3.8410000000000001E-4</v>
      </c>
      <c r="V19" s="60">
        <v>1.8891398110860186E-2</v>
      </c>
      <c r="W19" s="60">
        <v>4.1054999999999998E-3</v>
      </c>
    </row>
    <row r="20" spans="1:23" x14ac:dyDescent="0.2">
      <c r="A20" s="38">
        <v>420</v>
      </c>
      <c r="B20" s="38">
        <v>420</v>
      </c>
      <c r="C20" s="38" t="s">
        <v>811</v>
      </c>
      <c r="D20" s="53" t="s">
        <v>2122</v>
      </c>
      <c r="E20" s="40" t="s">
        <v>704</v>
      </c>
      <c r="F20" s="38" t="s">
        <v>864</v>
      </c>
      <c r="G20" s="38" t="s">
        <v>865</v>
      </c>
      <c r="H20" s="40" t="s">
        <v>153</v>
      </c>
      <c r="I20" s="53" t="s">
        <v>802</v>
      </c>
      <c r="J20" s="40" t="s">
        <v>484</v>
      </c>
      <c r="K20" s="40" t="s">
        <v>351</v>
      </c>
      <c r="L20" s="40" t="s">
        <v>712</v>
      </c>
      <c r="M20" s="53" t="s">
        <v>815</v>
      </c>
      <c r="N20" s="53" t="s">
        <v>74</v>
      </c>
      <c r="O20" s="38" t="s">
        <v>81</v>
      </c>
      <c r="P20" s="52">
        <v>584</v>
      </c>
      <c r="Q20" s="41">
        <v>3.3719999999999999</v>
      </c>
      <c r="R20" s="41">
        <v>14169</v>
      </c>
      <c r="S20" s="41">
        <v>0</v>
      </c>
      <c r="T20" s="41">
        <v>279.02274</v>
      </c>
      <c r="U20" s="46">
        <v>0</v>
      </c>
      <c r="V20" s="46">
        <v>9.7564990243500967E-3</v>
      </c>
      <c r="W20" s="46">
        <v>2.1202999999999999E-3</v>
      </c>
    </row>
    <row r="21" spans="1:23" x14ac:dyDescent="0.2">
      <c r="A21" s="38">
        <v>420</v>
      </c>
      <c r="B21" s="38">
        <v>420</v>
      </c>
      <c r="C21" s="38" t="s">
        <v>811</v>
      </c>
      <c r="D21" s="38" t="s">
        <v>866</v>
      </c>
      <c r="E21" s="45" t="s">
        <v>704</v>
      </c>
      <c r="F21" s="38" t="s">
        <v>867</v>
      </c>
      <c r="G21" s="38" t="s">
        <v>868</v>
      </c>
      <c r="H21" s="45" t="s">
        <v>153</v>
      </c>
      <c r="I21" s="38" t="s">
        <v>802</v>
      </c>
      <c r="J21" s="38" t="s">
        <v>484</v>
      </c>
      <c r="K21" s="38" t="s">
        <v>351</v>
      </c>
      <c r="L21" s="45" t="s">
        <v>712</v>
      </c>
      <c r="M21" s="39" t="s">
        <v>815</v>
      </c>
      <c r="N21" s="38" t="s">
        <v>74</v>
      </c>
      <c r="O21" s="38" t="s">
        <v>81</v>
      </c>
      <c r="P21" s="49">
        <v>1700</v>
      </c>
      <c r="Q21" s="41">
        <v>3.3719999999999999</v>
      </c>
      <c r="R21" s="41">
        <v>5353</v>
      </c>
      <c r="S21" s="41">
        <v>0</v>
      </c>
      <c r="T21" s="41">
        <v>306.85536999999999</v>
      </c>
      <c r="U21" s="46">
        <v>1.2999999999999999E-4</v>
      </c>
      <c r="V21" s="46">
        <v>1.0729698927030107E-2</v>
      </c>
      <c r="W21" s="46">
        <v>2.3318000000000002E-3</v>
      </c>
    </row>
    <row r="22" spans="1:23" x14ac:dyDescent="0.2">
      <c r="A22" s="38">
        <v>420</v>
      </c>
      <c r="B22" s="38">
        <v>420</v>
      </c>
      <c r="C22" s="38" t="s">
        <v>869</v>
      </c>
      <c r="D22" s="38" t="s">
        <v>870</v>
      </c>
      <c r="E22" s="45" t="s">
        <v>704</v>
      </c>
      <c r="F22" s="38" t="s">
        <v>871</v>
      </c>
      <c r="G22" s="38" t="s">
        <v>872</v>
      </c>
      <c r="H22" s="38" t="s">
        <v>153</v>
      </c>
      <c r="I22" s="38" t="s">
        <v>802</v>
      </c>
      <c r="J22" s="38" t="s">
        <v>484</v>
      </c>
      <c r="K22" s="38" t="s">
        <v>351</v>
      </c>
      <c r="L22" s="45" t="s">
        <v>707</v>
      </c>
      <c r="M22" s="39" t="s">
        <v>815</v>
      </c>
      <c r="N22" s="38" t="s">
        <v>74</v>
      </c>
      <c r="O22" s="38" t="s">
        <v>81</v>
      </c>
      <c r="P22" s="49">
        <v>500</v>
      </c>
      <c r="Q22" s="41">
        <v>3.3719999999999999</v>
      </c>
      <c r="R22" s="41">
        <v>13902</v>
      </c>
      <c r="S22" s="41">
        <v>0.31480000000000002</v>
      </c>
      <c r="T22" s="41">
        <v>234.38772</v>
      </c>
      <c r="U22" s="46">
        <v>2.8099999999999999E-5</v>
      </c>
      <c r="V22" s="46">
        <v>8.1956991804300813E-3</v>
      </c>
      <c r="W22" s="46">
        <v>1.7811000000000001E-3</v>
      </c>
    </row>
    <row r="23" spans="1:23" x14ac:dyDescent="0.2">
      <c r="A23" s="38">
        <v>420</v>
      </c>
      <c r="B23" s="38">
        <v>420</v>
      </c>
      <c r="C23" s="38" t="s">
        <v>816</v>
      </c>
      <c r="D23" s="38" t="s">
        <v>873</v>
      </c>
      <c r="E23" s="45" t="s">
        <v>704</v>
      </c>
      <c r="F23" s="38" t="s">
        <v>874</v>
      </c>
      <c r="G23" s="38" t="s">
        <v>875</v>
      </c>
      <c r="H23" s="38" t="s">
        <v>153</v>
      </c>
      <c r="I23" s="38" t="s">
        <v>802</v>
      </c>
      <c r="J23" s="38" t="s">
        <v>484</v>
      </c>
      <c r="K23" s="38" t="s">
        <v>351</v>
      </c>
      <c r="L23" s="38" t="s">
        <v>712</v>
      </c>
      <c r="M23" s="39" t="s">
        <v>815</v>
      </c>
      <c r="N23" s="38" t="s">
        <v>74</v>
      </c>
      <c r="O23" s="38" t="s">
        <v>81</v>
      </c>
      <c r="P23" s="49">
        <v>796</v>
      </c>
      <c r="Q23" s="41">
        <v>3.3719999999999999</v>
      </c>
      <c r="R23" s="41">
        <v>14493</v>
      </c>
      <c r="S23" s="41">
        <v>0</v>
      </c>
      <c r="T23" s="41">
        <v>389.00835000000001</v>
      </c>
      <c r="U23" s="46">
        <v>2.0809999999999999E-4</v>
      </c>
      <c r="V23" s="46">
        <v>1.3602298639770135E-2</v>
      </c>
      <c r="W23" s="46">
        <v>2.9559999999999999E-3</v>
      </c>
    </row>
    <row r="24" spans="1:23" x14ac:dyDescent="0.2">
      <c r="A24" s="38">
        <v>420</v>
      </c>
      <c r="B24" s="38">
        <v>420</v>
      </c>
      <c r="C24" s="38" t="s">
        <v>876</v>
      </c>
      <c r="D24" s="38" t="s">
        <v>877</v>
      </c>
      <c r="E24" s="45" t="s">
        <v>704</v>
      </c>
      <c r="F24" s="38" t="s">
        <v>876</v>
      </c>
      <c r="G24" s="38" t="s">
        <v>878</v>
      </c>
      <c r="H24" s="38" t="s">
        <v>153</v>
      </c>
      <c r="I24" s="38" t="s">
        <v>802</v>
      </c>
      <c r="J24" s="38" t="s">
        <v>484</v>
      </c>
      <c r="K24" s="38" t="s">
        <v>351</v>
      </c>
      <c r="L24" s="38" t="s">
        <v>827</v>
      </c>
      <c r="M24" s="39" t="s">
        <v>815</v>
      </c>
      <c r="N24" s="38" t="s">
        <v>74</v>
      </c>
      <c r="O24" s="38" t="s">
        <v>81</v>
      </c>
      <c r="P24" s="49">
        <v>2821</v>
      </c>
      <c r="Q24" s="41">
        <v>3.3719999999999999</v>
      </c>
      <c r="R24" s="41">
        <v>5655</v>
      </c>
      <c r="S24" s="41">
        <v>0</v>
      </c>
      <c r="T24" s="41">
        <v>537.92688999999996</v>
      </c>
      <c r="U24" s="46">
        <v>3.0700000000000001E-5</v>
      </c>
      <c r="V24" s="46">
        <v>1.8809498119050187E-2</v>
      </c>
      <c r="W24" s="46">
        <v>4.0876999999999997E-3</v>
      </c>
    </row>
    <row r="25" spans="1:23" x14ac:dyDescent="0.2">
      <c r="A25" s="38">
        <v>420</v>
      </c>
      <c r="B25" s="38">
        <v>420</v>
      </c>
      <c r="C25" s="38" t="s">
        <v>816</v>
      </c>
      <c r="D25" s="38" t="s">
        <v>879</v>
      </c>
      <c r="E25" s="45" t="s">
        <v>704</v>
      </c>
      <c r="F25" s="38" t="s">
        <v>880</v>
      </c>
      <c r="G25" s="38" t="s">
        <v>881</v>
      </c>
      <c r="H25" s="38" t="s">
        <v>153</v>
      </c>
      <c r="I25" s="38" t="s">
        <v>882</v>
      </c>
      <c r="J25" s="38" t="s">
        <v>484</v>
      </c>
      <c r="K25" s="38" t="s">
        <v>351</v>
      </c>
      <c r="L25" s="38" t="s">
        <v>827</v>
      </c>
      <c r="M25" s="38" t="s">
        <v>883</v>
      </c>
      <c r="N25" s="38" t="s">
        <v>74</v>
      </c>
      <c r="O25" s="38" t="s">
        <v>81</v>
      </c>
      <c r="P25" s="49">
        <v>49319</v>
      </c>
      <c r="Q25" s="41">
        <v>3.3719999999999999</v>
      </c>
      <c r="R25" s="41">
        <v>1125.9000000000001</v>
      </c>
      <c r="S25" s="41">
        <v>0</v>
      </c>
      <c r="T25" s="41">
        <v>1872.41299</v>
      </c>
      <c r="U25" s="46">
        <v>2.8086000000000001E-3</v>
      </c>
      <c r="V25" s="46">
        <v>6.5471793452820642E-2</v>
      </c>
      <c r="W25" s="46">
        <v>1.4228299999999999E-2</v>
      </c>
    </row>
    <row r="26" spans="1:23" x14ac:dyDescent="0.2">
      <c r="A26" s="38">
        <v>420</v>
      </c>
      <c r="B26" s="38">
        <v>420</v>
      </c>
      <c r="C26" s="38" t="s">
        <v>884</v>
      </c>
      <c r="D26" s="38" t="s">
        <v>885</v>
      </c>
      <c r="E26" s="45" t="s">
        <v>704</v>
      </c>
      <c r="F26" s="38" t="s">
        <v>886</v>
      </c>
      <c r="G26" s="38" t="s">
        <v>887</v>
      </c>
      <c r="H26" s="38" t="s">
        <v>153</v>
      </c>
      <c r="I26" s="38" t="s">
        <v>802</v>
      </c>
      <c r="J26" s="38" t="s">
        <v>484</v>
      </c>
      <c r="K26" s="38" t="s">
        <v>351</v>
      </c>
      <c r="L26" s="38" t="s">
        <v>701</v>
      </c>
      <c r="M26" s="38" t="s">
        <v>815</v>
      </c>
      <c r="N26" s="38" t="s">
        <v>74</v>
      </c>
      <c r="O26" s="38" t="s">
        <v>77</v>
      </c>
      <c r="P26" s="49">
        <v>3602</v>
      </c>
      <c r="Q26" s="41">
        <v>3.9552</v>
      </c>
      <c r="R26" s="41">
        <v>9746</v>
      </c>
      <c r="S26" s="41">
        <v>0</v>
      </c>
      <c r="T26" s="41">
        <v>1388.47659</v>
      </c>
      <c r="U26" s="46">
        <v>7.4599999999999997E-5</v>
      </c>
      <c r="V26" s="46">
        <v>4.855029514497048E-2</v>
      </c>
      <c r="W26" s="46">
        <v>1.05509E-2</v>
      </c>
    </row>
    <row r="27" spans="1:23" x14ac:dyDescent="0.2">
      <c r="A27" s="38">
        <v>420</v>
      </c>
      <c r="B27" s="38">
        <v>1471</v>
      </c>
      <c r="C27" s="38" t="s">
        <v>888</v>
      </c>
      <c r="D27" s="38">
        <v>510938608</v>
      </c>
      <c r="E27" s="45" t="s">
        <v>794</v>
      </c>
      <c r="F27" s="38" t="s">
        <v>889</v>
      </c>
      <c r="G27" s="38" t="s">
        <v>890</v>
      </c>
      <c r="H27" s="38" t="s">
        <v>153</v>
      </c>
      <c r="I27" s="38" t="s">
        <v>891</v>
      </c>
      <c r="J27" s="38" t="s">
        <v>73</v>
      </c>
      <c r="K27" s="38" t="s">
        <v>73</v>
      </c>
      <c r="L27" s="38" t="s">
        <v>103</v>
      </c>
      <c r="M27" s="38" t="s">
        <v>892</v>
      </c>
      <c r="N27" s="38" t="s">
        <v>74</v>
      </c>
      <c r="O27" s="38" t="s">
        <v>78</v>
      </c>
      <c r="P27" s="49">
        <v>384</v>
      </c>
      <c r="Q27" s="41">
        <v>1</v>
      </c>
      <c r="R27" s="41">
        <v>4144.0200000000004</v>
      </c>
      <c r="S27" s="41">
        <v>0</v>
      </c>
      <c r="T27" s="41">
        <v>15.913029999999999</v>
      </c>
      <c r="U27" s="46">
        <v>1.2300000000000001E-5</v>
      </c>
      <c r="V27" s="46">
        <v>0.51044049999999996</v>
      </c>
      <c r="W27" s="46">
        <v>1.50244E-2</v>
      </c>
    </row>
    <row r="28" spans="1:23" x14ac:dyDescent="0.2">
      <c r="A28" s="38">
        <v>420</v>
      </c>
      <c r="B28" s="38">
        <v>1471</v>
      </c>
      <c r="C28" s="38" t="s">
        <v>816</v>
      </c>
      <c r="D28" s="38" t="s">
        <v>879</v>
      </c>
      <c r="E28" s="45" t="s">
        <v>704</v>
      </c>
      <c r="F28" s="38" t="s">
        <v>880</v>
      </c>
      <c r="G28" s="38" t="s">
        <v>881</v>
      </c>
      <c r="H28" s="38" t="s">
        <v>153</v>
      </c>
      <c r="I28" s="38" t="s">
        <v>882</v>
      </c>
      <c r="J28" s="38" t="s">
        <v>484</v>
      </c>
      <c r="K28" s="38" t="s">
        <v>351</v>
      </c>
      <c r="L28" s="38" t="s">
        <v>827</v>
      </c>
      <c r="M28" s="38" t="s">
        <v>883</v>
      </c>
      <c r="N28" s="38" t="s">
        <v>74</v>
      </c>
      <c r="O28" s="38" t="s">
        <v>81</v>
      </c>
      <c r="P28" s="49">
        <v>402</v>
      </c>
      <c r="Q28" s="41">
        <v>3.3719999999999999</v>
      </c>
      <c r="R28" s="41">
        <v>1125.9000000000001</v>
      </c>
      <c r="S28" s="41">
        <v>0</v>
      </c>
      <c r="T28" s="41">
        <v>15.26206</v>
      </c>
      <c r="U28" s="46">
        <v>2.2799999999999999E-5</v>
      </c>
      <c r="V28" s="46">
        <v>0.48955949999999998</v>
      </c>
      <c r="W28" s="46">
        <v>1.44098E-2</v>
      </c>
    </row>
  </sheetData>
  <sheetProtection formatColumns="0"/>
  <dataValidations count="8">
    <dataValidation type="list" allowBlank="1" showInputMessage="1" showErrorMessage="1" sqref="L2:L20" xr:uid="{86013745-67AE-407F-BE9D-1CB482230AD9}">
      <formula1>Stock_Exchange</formula1>
    </dataValidation>
    <dataValidation type="list" allowBlank="1" showInputMessage="1" showErrorMessage="1" sqref="K2" xr:uid="{8F423B19-11E0-4F9D-A45E-A448E95595FD}">
      <formula1>Country_list_funds</formula1>
    </dataValidation>
    <dataValidation type="list" allowBlank="1" showInputMessage="1" showErrorMessage="1" sqref="H2:H20" xr:uid="{C7E3BCE1-0946-4795-A362-C1F4B9F64C25}">
      <formula1>Security_ID_Number_Type</formula1>
    </dataValidation>
    <dataValidation type="list" allowBlank="1" showInputMessage="1" showErrorMessage="1" sqref="E2:E20" xr:uid="{721B3ED6-AEA4-4B16-985C-C6DFCE36E19E}">
      <formula1>Issuer_Type_TFunds</formula1>
    </dataValidation>
    <dataValidation type="list" allowBlank="1" showInputMessage="1" showErrorMessage="1" sqref="M2:M20" xr:uid="{B43E348F-AD9F-43EE-8C71-734965DDE42C}">
      <formula1>Fund_type</formula1>
    </dataValidation>
    <dataValidation type="list" allowBlank="1" showInputMessage="1" showErrorMessage="1" sqref="K3:K20" xr:uid="{BA8A00FB-6AB0-428D-945E-E22AD86A6974}">
      <formula1>Country_list</formula1>
    </dataValidation>
    <dataValidation type="list" allowBlank="1" showInputMessage="1" showErrorMessage="1" sqref="N2:N20" xr:uid="{9534D8B1-9A16-4B43-A3AD-17B0944FF65B}">
      <formula1>Holding_interest</formula1>
    </dataValidation>
    <dataValidation type="list" allowBlank="1" showInputMessage="1" showErrorMessage="1" sqref="J2:J20" xr:uid="{9AA59786-CCED-4AEE-82F1-F7C30C2CFAE1}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93B9-8A5C-4227-A55F-23EA9A2A1600}">
  <sheetPr codeName="Sheet10"/>
  <dimension ref="A1:W1048574"/>
  <sheetViews>
    <sheetView rightToLeft="1" topLeftCell="F1" workbookViewId="0">
      <selection activeCell="G11" sqref="G11"/>
    </sheetView>
  </sheetViews>
  <sheetFormatPr defaultColWidth="9" defaultRowHeight="14.25" x14ac:dyDescent="0.2"/>
  <cols>
    <col min="1" max="2" width="11.625" style="45" customWidth="1"/>
    <col min="3" max="3" width="37.25" style="45" bestFit="1" customWidth="1"/>
    <col min="4" max="4" width="24.875" style="45" bestFit="1" customWidth="1"/>
    <col min="5" max="5" width="11.625" style="45" customWidth="1"/>
    <col min="6" max="6" width="31.375" style="45" bestFit="1" customWidth="1"/>
    <col min="7" max="7" width="14.375" style="45" bestFit="1" customWidth="1"/>
    <col min="8" max="12" width="11.625" style="45" customWidth="1"/>
    <col min="13" max="13" width="9" style="38"/>
    <col min="14" max="14" width="22.5" style="45" bestFit="1" customWidth="1"/>
    <col min="15" max="16" width="11.625" style="45" customWidth="1"/>
    <col min="17" max="20" width="11.625" style="49" customWidth="1"/>
    <col min="21" max="23" width="11.625" style="51" customWidth="1"/>
    <col min="24" max="24" width="11.625" style="45" customWidth="1"/>
    <col min="25" max="16384" width="9" style="45"/>
  </cols>
  <sheetData>
    <row r="1" spans="1:23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89</v>
      </c>
      <c r="N1" s="34" t="s">
        <v>792</v>
      </c>
      <c r="O1" s="34" t="s">
        <v>59</v>
      </c>
      <c r="P1" s="34" t="s">
        <v>62</v>
      </c>
      <c r="Q1" s="35" t="s">
        <v>95</v>
      </c>
      <c r="R1" s="35" t="s">
        <v>64</v>
      </c>
      <c r="S1" s="35" t="s">
        <v>96</v>
      </c>
      <c r="T1" s="35" t="s">
        <v>66</v>
      </c>
      <c r="U1" s="36" t="s">
        <v>98</v>
      </c>
      <c r="V1" s="36" t="s">
        <v>67</v>
      </c>
      <c r="W1" s="36" t="s">
        <v>68</v>
      </c>
    </row>
    <row r="2" spans="1:23" x14ac:dyDescent="0.2">
      <c r="A2" s="40">
        <v>420</v>
      </c>
      <c r="B2" s="40">
        <v>420</v>
      </c>
      <c r="C2" s="40" t="s">
        <v>893</v>
      </c>
      <c r="D2" s="40" t="s">
        <v>894</v>
      </c>
      <c r="E2" s="40" t="s">
        <v>704</v>
      </c>
      <c r="F2" s="40" t="s">
        <v>895</v>
      </c>
      <c r="G2" s="40" t="s">
        <v>896</v>
      </c>
      <c r="H2" s="40" t="s">
        <v>153</v>
      </c>
      <c r="I2" s="40" t="s">
        <v>571</v>
      </c>
      <c r="J2" s="40" t="s">
        <v>484</v>
      </c>
      <c r="K2" s="40" t="s">
        <v>846</v>
      </c>
      <c r="L2" s="39" t="s">
        <v>155</v>
      </c>
      <c r="M2" s="40" t="s">
        <v>701</v>
      </c>
      <c r="N2" s="53" t="s">
        <v>815</v>
      </c>
      <c r="O2" s="53" t="s">
        <v>74</v>
      </c>
      <c r="P2" s="40" t="s">
        <v>81</v>
      </c>
      <c r="Q2" s="52">
        <v>1523</v>
      </c>
      <c r="R2" s="52">
        <v>3.3719999999999999</v>
      </c>
      <c r="S2" s="52">
        <v>11155.47</v>
      </c>
      <c r="T2" s="52">
        <v>572.8954</v>
      </c>
      <c r="U2" s="55">
        <v>1.7962E-3</v>
      </c>
      <c r="V2" s="55">
        <v>9.6930709693070966E-2</v>
      </c>
      <c r="W2" s="55">
        <v>4.3534000000000003E-3</v>
      </c>
    </row>
    <row r="3" spans="1:23" x14ac:dyDescent="0.2">
      <c r="A3" s="40">
        <v>420</v>
      </c>
      <c r="B3" s="40">
        <v>420</v>
      </c>
      <c r="C3" s="40" t="s">
        <v>897</v>
      </c>
      <c r="D3" s="40" t="s">
        <v>898</v>
      </c>
      <c r="E3" s="40" t="s">
        <v>704</v>
      </c>
      <c r="F3" s="40" t="s">
        <v>899</v>
      </c>
      <c r="G3" s="40" t="s">
        <v>900</v>
      </c>
      <c r="H3" s="40" t="s">
        <v>153</v>
      </c>
      <c r="I3" s="40" t="s">
        <v>571</v>
      </c>
      <c r="J3" s="40" t="s">
        <v>484</v>
      </c>
      <c r="K3" s="40" t="s">
        <v>839</v>
      </c>
      <c r="L3" s="39" t="s">
        <v>155</v>
      </c>
      <c r="M3" s="40" t="s">
        <v>701</v>
      </c>
      <c r="N3" s="53" t="s">
        <v>815</v>
      </c>
      <c r="O3" s="53" t="s">
        <v>74</v>
      </c>
      <c r="P3" s="40" t="s">
        <v>77</v>
      </c>
      <c r="Q3" s="52">
        <v>667.81</v>
      </c>
      <c r="R3" s="52">
        <v>3.9552</v>
      </c>
      <c r="S3" s="52">
        <v>23297</v>
      </c>
      <c r="T3" s="52">
        <v>615.34880999999996</v>
      </c>
      <c r="U3" s="55">
        <v>8.3989999999999998E-4</v>
      </c>
      <c r="V3" s="55">
        <v>0.10411361041136105</v>
      </c>
      <c r="W3" s="55">
        <v>4.6759999999999996E-3</v>
      </c>
    </row>
    <row r="4" spans="1:23" x14ac:dyDescent="0.2">
      <c r="A4" s="40">
        <v>420</v>
      </c>
      <c r="B4" s="40">
        <v>420</v>
      </c>
      <c r="C4" s="40" t="s">
        <v>901</v>
      </c>
      <c r="D4" s="40" t="s">
        <v>902</v>
      </c>
      <c r="E4" s="40" t="s">
        <v>704</v>
      </c>
      <c r="F4" s="40" t="s">
        <v>903</v>
      </c>
      <c r="G4" s="40" t="s">
        <v>904</v>
      </c>
      <c r="H4" s="40" t="s">
        <v>153</v>
      </c>
      <c r="I4" s="40" t="s">
        <v>571</v>
      </c>
      <c r="J4" s="40" t="s">
        <v>484</v>
      </c>
      <c r="K4" s="40" t="s">
        <v>905</v>
      </c>
      <c r="L4" s="39" t="s">
        <v>155</v>
      </c>
      <c r="M4" s="40" t="s">
        <v>701</v>
      </c>
      <c r="N4" s="53" t="s">
        <v>815</v>
      </c>
      <c r="O4" s="53" t="s">
        <v>74</v>
      </c>
      <c r="P4" s="40" t="s">
        <v>81</v>
      </c>
      <c r="Q4" s="52">
        <v>13267.15</v>
      </c>
      <c r="R4" s="52">
        <v>3.3719999999999999</v>
      </c>
      <c r="S4" s="52">
        <v>3480.09</v>
      </c>
      <c r="T4" s="52">
        <v>1556.88194</v>
      </c>
      <c r="U4" s="55">
        <v>9.2369999999999996E-4</v>
      </c>
      <c r="V4" s="55">
        <v>0.26341582634158262</v>
      </c>
      <c r="W4" s="55">
        <v>1.18306E-2</v>
      </c>
    </row>
    <row r="5" spans="1:23" x14ac:dyDescent="0.2">
      <c r="A5" s="40">
        <v>420</v>
      </c>
      <c r="B5" s="40">
        <v>420</v>
      </c>
      <c r="C5" s="40" t="s">
        <v>906</v>
      </c>
      <c r="D5" s="40" t="s">
        <v>907</v>
      </c>
      <c r="E5" s="40" t="s">
        <v>704</v>
      </c>
      <c r="F5" s="40" t="s">
        <v>908</v>
      </c>
      <c r="G5" s="40" t="s">
        <v>909</v>
      </c>
      <c r="H5" s="40" t="s">
        <v>153</v>
      </c>
      <c r="I5" s="40" t="s">
        <v>910</v>
      </c>
      <c r="J5" s="40" t="s">
        <v>484</v>
      </c>
      <c r="K5" s="40" t="s">
        <v>351</v>
      </c>
      <c r="L5" s="39" t="s">
        <v>155</v>
      </c>
      <c r="M5" s="40" t="s">
        <v>712</v>
      </c>
      <c r="N5" s="53" t="s">
        <v>883</v>
      </c>
      <c r="O5" s="53" t="s">
        <v>74</v>
      </c>
      <c r="P5" s="40" t="s">
        <v>81</v>
      </c>
      <c r="Q5" s="52">
        <v>285</v>
      </c>
      <c r="R5" s="52">
        <v>3.3719999999999999</v>
      </c>
      <c r="S5" s="52">
        <v>174440.98499999999</v>
      </c>
      <c r="T5" s="52">
        <v>1676.41275</v>
      </c>
      <c r="U5" s="55">
        <v>0</v>
      </c>
      <c r="V5" s="55">
        <v>0.28363982836398283</v>
      </c>
      <c r="W5" s="55">
        <v>1.2738899999999999E-2</v>
      </c>
    </row>
    <row r="6" spans="1:23" x14ac:dyDescent="0.2">
      <c r="A6" s="40">
        <v>420</v>
      </c>
      <c r="B6" s="40">
        <v>420</v>
      </c>
      <c r="C6" s="40" t="s">
        <v>911</v>
      </c>
      <c r="D6" s="40" t="s">
        <v>912</v>
      </c>
      <c r="E6" s="40" t="s">
        <v>704</v>
      </c>
      <c r="F6" s="40" t="s">
        <v>913</v>
      </c>
      <c r="G6" s="40" t="s">
        <v>914</v>
      </c>
      <c r="H6" s="40" t="s">
        <v>153</v>
      </c>
      <c r="I6" s="40" t="s">
        <v>571</v>
      </c>
      <c r="J6" s="40" t="s">
        <v>484</v>
      </c>
      <c r="K6" s="40" t="s">
        <v>181</v>
      </c>
      <c r="L6" s="39" t="s">
        <v>155</v>
      </c>
      <c r="M6" s="40" t="s">
        <v>827</v>
      </c>
      <c r="N6" s="53" t="s">
        <v>815</v>
      </c>
      <c r="O6" s="53" t="s">
        <v>74</v>
      </c>
      <c r="P6" s="40" t="s">
        <v>79</v>
      </c>
      <c r="Q6" s="52">
        <v>8052</v>
      </c>
      <c r="R6" s="52">
        <v>4.6235999999999997</v>
      </c>
      <c r="S6" s="52">
        <v>1240.43</v>
      </c>
      <c r="T6" s="52">
        <v>461.80250000000001</v>
      </c>
      <c r="U6" s="55">
        <v>4.3600000000000003E-5</v>
      </c>
      <c r="V6" s="55">
        <v>7.813440781344079E-2</v>
      </c>
      <c r="W6" s="55">
        <v>3.5092000000000001E-3</v>
      </c>
    </row>
    <row r="7" spans="1:23" x14ac:dyDescent="0.2">
      <c r="A7" s="40">
        <v>420</v>
      </c>
      <c r="B7" s="40">
        <v>420</v>
      </c>
      <c r="C7" s="40" t="s">
        <v>915</v>
      </c>
      <c r="D7" s="40" t="s">
        <v>916</v>
      </c>
      <c r="E7" s="40" t="s">
        <v>704</v>
      </c>
      <c r="F7" s="40" t="s">
        <v>917</v>
      </c>
      <c r="G7" s="40" t="s">
        <v>918</v>
      </c>
      <c r="H7" s="40" t="s">
        <v>153</v>
      </c>
      <c r="I7" s="40" t="s">
        <v>571</v>
      </c>
      <c r="J7" s="40" t="s">
        <v>484</v>
      </c>
      <c r="K7" s="40" t="s">
        <v>351</v>
      </c>
      <c r="L7" s="39" t="s">
        <v>155</v>
      </c>
      <c r="M7" s="40" t="s">
        <v>701</v>
      </c>
      <c r="N7" s="53" t="s">
        <v>815</v>
      </c>
      <c r="O7" s="53" t="s">
        <v>74</v>
      </c>
      <c r="P7" s="40" t="s">
        <v>81</v>
      </c>
      <c r="Q7" s="52">
        <v>1375</v>
      </c>
      <c r="R7" s="52">
        <v>3.3719999999999999</v>
      </c>
      <c r="S7" s="52">
        <v>22150.69</v>
      </c>
      <c r="T7" s="52">
        <v>1027.01674</v>
      </c>
      <c r="U7" s="55">
        <v>3.0604E-3</v>
      </c>
      <c r="V7" s="55">
        <v>0.17376561737656174</v>
      </c>
      <c r="W7" s="55">
        <v>7.8041999999999999E-3</v>
      </c>
    </row>
    <row r="8" spans="1:23" x14ac:dyDescent="0.2">
      <c r="A8" s="40">
        <v>420</v>
      </c>
      <c r="B8" s="40">
        <v>1471</v>
      </c>
      <c r="C8" s="40"/>
      <c r="D8" s="40"/>
      <c r="E8" s="40"/>
      <c r="F8" s="40"/>
      <c r="G8" s="40"/>
      <c r="H8" s="40"/>
      <c r="I8" s="40"/>
      <c r="J8" s="40"/>
      <c r="K8" s="40"/>
      <c r="L8" s="39"/>
      <c r="M8" s="40"/>
      <c r="N8" s="53"/>
      <c r="O8" s="53"/>
      <c r="P8" s="40"/>
      <c r="Q8" s="52"/>
      <c r="R8" s="52"/>
      <c r="S8" s="52"/>
      <c r="T8" s="52"/>
      <c r="U8" s="55"/>
      <c r="V8" s="55" t="s">
        <v>147</v>
      </c>
      <c r="W8" s="55"/>
    </row>
    <row r="9" spans="1:23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39"/>
      <c r="M9" s="40"/>
      <c r="N9" s="53"/>
      <c r="O9" s="53"/>
      <c r="P9" s="40"/>
      <c r="Q9" s="52"/>
      <c r="R9" s="52"/>
      <c r="S9" s="52"/>
      <c r="T9" s="52"/>
      <c r="U9" s="55"/>
      <c r="V9" s="55"/>
      <c r="W9" s="55"/>
    </row>
    <row r="10" spans="1:23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39"/>
      <c r="M10" s="40"/>
      <c r="N10" s="53"/>
      <c r="O10" s="53"/>
      <c r="P10" s="40"/>
      <c r="Q10" s="52"/>
      <c r="R10" s="52"/>
      <c r="S10" s="52"/>
      <c r="T10" s="52"/>
      <c r="U10" s="55"/>
      <c r="V10" s="55"/>
      <c r="W10" s="55"/>
    </row>
    <row r="11" spans="1:23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39"/>
      <c r="M11" s="40"/>
      <c r="N11" s="53"/>
      <c r="O11" s="53"/>
      <c r="P11" s="40"/>
      <c r="Q11" s="52"/>
      <c r="R11" s="52"/>
      <c r="S11" s="52"/>
      <c r="T11" s="52"/>
      <c r="U11" s="55"/>
      <c r="V11" s="55"/>
      <c r="W11" s="55"/>
    </row>
    <row r="12" spans="1:23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3"/>
      <c r="O12" s="53"/>
      <c r="P12" s="40"/>
      <c r="Q12" s="52"/>
      <c r="R12" s="52"/>
      <c r="S12" s="52"/>
      <c r="T12" s="52"/>
      <c r="U12" s="55"/>
      <c r="V12" s="55"/>
      <c r="W12" s="55"/>
    </row>
    <row r="13" spans="1:23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3"/>
      <c r="O13" s="53"/>
      <c r="P13" s="40"/>
      <c r="Q13" s="52"/>
      <c r="R13" s="52"/>
      <c r="S13" s="52"/>
      <c r="T13" s="52"/>
      <c r="U13" s="55"/>
      <c r="V13" s="55"/>
      <c r="W13" s="55"/>
    </row>
    <row r="14" spans="1:23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3"/>
      <c r="O14" s="53"/>
      <c r="P14" s="40"/>
      <c r="Q14" s="52"/>
      <c r="R14" s="52"/>
      <c r="S14" s="52"/>
      <c r="T14" s="52"/>
      <c r="U14" s="55"/>
      <c r="V14" s="55"/>
      <c r="W14" s="55"/>
    </row>
    <row r="15" spans="1:23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3"/>
      <c r="O15" s="53"/>
      <c r="P15" s="40"/>
      <c r="Q15" s="52"/>
      <c r="R15" s="52"/>
      <c r="S15" s="52"/>
      <c r="T15" s="52"/>
      <c r="U15" s="55"/>
      <c r="V15" s="55"/>
      <c r="W15" s="55"/>
    </row>
    <row r="16" spans="1:23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3"/>
      <c r="O16" s="53"/>
      <c r="P16" s="40"/>
      <c r="Q16" s="52"/>
      <c r="R16" s="52"/>
      <c r="S16" s="52"/>
      <c r="T16" s="52"/>
      <c r="U16" s="55"/>
      <c r="V16" s="55"/>
      <c r="W16" s="55"/>
    </row>
    <row r="17" spans="1:23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3"/>
      <c r="O17" s="53"/>
      <c r="P17" s="40"/>
      <c r="Q17" s="52"/>
      <c r="R17" s="52"/>
      <c r="S17" s="52"/>
      <c r="T17" s="52"/>
      <c r="U17" s="55"/>
      <c r="V17" s="55"/>
      <c r="W17" s="55"/>
    </row>
    <row r="18" spans="1:23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3"/>
      <c r="O18" s="53"/>
      <c r="P18" s="40"/>
      <c r="Q18" s="52"/>
      <c r="R18" s="52"/>
      <c r="S18" s="52"/>
      <c r="T18" s="52"/>
      <c r="U18" s="55"/>
      <c r="V18" s="55"/>
      <c r="W18" s="55"/>
    </row>
    <row r="19" spans="1:23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3"/>
      <c r="O19" s="53"/>
      <c r="P19" s="40"/>
      <c r="Q19" s="52"/>
      <c r="R19" s="52"/>
      <c r="S19" s="52"/>
      <c r="T19" s="52"/>
      <c r="U19" s="55"/>
      <c r="V19" s="55"/>
      <c r="W19" s="55"/>
    </row>
    <row r="20" spans="1:23" x14ac:dyDescent="0.2">
      <c r="E20" s="40"/>
      <c r="H20" s="40"/>
      <c r="I20" s="40"/>
      <c r="J20" s="40"/>
      <c r="K20" s="40"/>
      <c r="L20" s="39"/>
      <c r="M20" s="40"/>
      <c r="N20" s="53"/>
      <c r="O20" s="53"/>
    </row>
    <row r="21" spans="1:23" x14ac:dyDescent="0.2">
      <c r="L21" s="39"/>
      <c r="M21" s="45"/>
    </row>
    <row r="22" spans="1:23" x14ac:dyDescent="0.2">
      <c r="H22" s="38"/>
      <c r="L22" s="39"/>
      <c r="M22" s="45"/>
    </row>
    <row r="23" spans="1:23" x14ac:dyDescent="0.2">
      <c r="H23" s="38"/>
      <c r="L23" s="39"/>
    </row>
    <row r="24" spans="1:23" x14ac:dyDescent="0.2">
      <c r="H24" s="38"/>
      <c r="L24" s="39"/>
    </row>
    <row r="25" spans="1:23" x14ac:dyDescent="0.2">
      <c r="H25" s="38"/>
      <c r="L25" s="39"/>
    </row>
    <row r="26" spans="1:23" x14ac:dyDescent="0.2">
      <c r="H26" s="38"/>
    </row>
    <row r="27" spans="1:23" x14ac:dyDescent="0.2">
      <c r="H27" s="38"/>
    </row>
    <row r="28" spans="1:23" x14ac:dyDescent="0.2">
      <c r="H28" s="38"/>
    </row>
    <row r="1048574" spans="14:14" x14ac:dyDescent="0.2">
      <c r="N1048574" s="63"/>
    </row>
  </sheetData>
  <sheetProtection formatColumns="0"/>
  <dataValidations count="8">
    <dataValidation type="list" allowBlank="1" showInputMessage="1" showErrorMessage="1" sqref="M2:M20" xr:uid="{AAB90087-AE2E-4AD5-B837-1DD2808E6E31}">
      <formula1>Stock_Exchange</formula1>
    </dataValidation>
    <dataValidation type="list" allowBlank="1" showInputMessage="1" showErrorMessage="1" sqref="K2:K20" xr:uid="{0EB2B5C5-5A39-4E53-9C39-FB7EAA68E9CD}">
      <formula1>Country_list_funds</formula1>
    </dataValidation>
    <dataValidation type="list" allowBlank="1" showInputMessage="1" showErrorMessage="1" sqref="L2:L20" xr:uid="{5F25A968-87CB-43F1-8D45-443E8C7CEFBB}">
      <formula1>tradeable_status_funds</formula1>
    </dataValidation>
    <dataValidation type="list" allowBlank="1" showInputMessage="1" showErrorMessage="1" sqref="H2:H20" xr:uid="{81E29B80-4853-463C-A8DB-83DD20B478A5}">
      <formula1>Security_ID_Number_Type</formula1>
    </dataValidation>
    <dataValidation type="list" allowBlank="1" showInputMessage="1" showErrorMessage="1" sqref="E2:E20" xr:uid="{35715A3B-8512-48CE-9742-0A56995E12BB}">
      <formula1>Issuer_Type_TFunds</formula1>
    </dataValidation>
    <dataValidation type="list" allowBlank="1" showInputMessage="1" showErrorMessage="1" sqref="N2:N20" xr:uid="{874F4C20-66DD-4142-BDDC-62475B083C84}">
      <formula1>Fund_type</formula1>
    </dataValidation>
    <dataValidation type="list" allowBlank="1" showInputMessage="1" showErrorMessage="1" sqref="O2:O20" xr:uid="{4135381B-EF75-49C3-91C4-673DDBE1D1D9}">
      <formula1>Holding_interest</formula1>
    </dataValidation>
    <dataValidation type="list" allowBlank="1" showInputMessage="1" showErrorMessage="1" sqref="J2:J20" xr:uid="{3D29B9B1-F0DD-4B6C-BE0C-1F695D21DB9B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5A1C-97B0-4D21-AE9C-14013180AA25}">
  <sheetPr codeName="Sheet11"/>
  <dimension ref="A1:Y22"/>
  <sheetViews>
    <sheetView rightToLeft="1" topLeftCell="F1" workbookViewId="0">
      <selection activeCell="O3" sqref="O3"/>
    </sheetView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11.625" style="38" customWidth="1"/>
    <col min="7" max="7" width="12.25" style="38" bestFit="1" customWidth="1"/>
    <col min="8" max="11" width="11.625" style="38" customWidth="1"/>
    <col min="12" max="12" width="9" style="38"/>
    <col min="13" max="13" width="11.625" style="38" customWidth="1"/>
    <col min="14" max="14" width="14.125" style="38" bestFit="1" customWidth="1"/>
    <col min="15" max="15" width="11.625" style="61" customWidth="1"/>
    <col min="16" max="17" width="11.625" style="38" customWidth="1"/>
    <col min="18" max="23" width="11.625" style="41" customWidth="1"/>
    <col min="24" max="25" width="11.625" style="46" customWidth="1"/>
    <col min="26" max="27" width="11.625" style="38" customWidth="1"/>
    <col min="28" max="16384" width="9" style="38"/>
  </cols>
  <sheetData>
    <row r="1" spans="1:25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58</v>
      </c>
      <c r="J1" s="34" t="s">
        <v>88</v>
      </c>
      <c r="K1" s="34" t="s">
        <v>148</v>
      </c>
      <c r="L1" s="34" t="s">
        <v>89</v>
      </c>
      <c r="M1" s="34" t="s">
        <v>919</v>
      </c>
      <c r="N1" s="34" t="s">
        <v>141</v>
      </c>
      <c r="O1" s="47" t="s">
        <v>920</v>
      </c>
      <c r="P1" s="34" t="s">
        <v>59</v>
      </c>
      <c r="Q1" s="34" t="s">
        <v>62</v>
      </c>
      <c r="R1" s="35" t="s">
        <v>921</v>
      </c>
      <c r="S1" s="35" t="s">
        <v>922</v>
      </c>
      <c r="T1" s="35" t="s">
        <v>95</v>
      </c>
      <c r="U1" s="35" t="s">
        <v>64</v>
      </c>
      <c r="V1" s="35" t="s">
        <v>96</v>
      </c>
      <c r="W1" s="35" t="s">
        <v>66</v>
      </c>
      <c r="X1" s="36" t="s">
        <v>67</v>
      </c>
      <c r="Y1" s="36" t="s">
        <v>68</v>
      </c>
    </row>
    <row r="2" spans="1:25" x14ac:dyDescent="0.2">
      <c r="A2" s="53">
        <v>420</v>
      </c>
      <c r="B2" s="53">
        <v>420</v>
      </c>
      <c r="C2" s="53" t="s">
        <v>369</v>
      </c>
      <c r="D2" s="53">
        <v>513623314</v>
      </c>
      <c r="E2" s="40" t="s">
        <v>150</v>
      </c>
      <c r="F2" s="53" t="s">
        <v>923</v>
      </c>
      <c r="G2" s="53" t="s">
        <v>924</v>
      </c>
      <c r="H2" s="40" t="s">
        <v>153</v>
      </c>
      <c r="I2" s="40" t="s">
        <v>73</v>
      </c>
      <c r="J2" s="40" t="s">
        <v>73</v>
      </c>
      <c r="K2" s="53" t="s">
        <v>155</v>
      </c>
      <c r="L2" s="40" t="s">
        <v>103</v>
      </c>
      <c r="M2" s="53">
        <v>1097260</v>
      </c>
      <c r="N2" s="53" t="s">
        <v>173</v>
      </c>
      <c r="O2" s="59" t="s">
        <v>925</v>
      </c>
      <c r="P2" s="53" t="s">
        <v>74</v>
      </c>
      <c r="Q2" s="40" t="s">
        <v>78</v>
      </c>
      <c r="R2" s="52">
        <v>580</v>
      </c>
      <c r="S2" s="52">
        <v>1</v>
      </c>
      <c r="T2" s="56">
        <v>408</v>
      </c>
      <c r="U2" s="56">
        <v>1</v>
      </c>
      <c r="V2" s="56">
        <v>9800</v>
      </c>
      <c r="W2" s="56">
        <v>39.984000000000002</v>
      </c>
      <c r="X2" s="60">
        <v>0.72238480000000005</v>
      </c>
      <c r="Y2" s="60">
        <v>3.0380000000000001E-4</v>
      </c>
    </row>
    <row r="3" spans="1:25" x14ac:dyDescent="0.2">
      <c r="A3" s="53">
        <v>420</v>
      </c>
      <c r="B3" s="53">
        <v>420</v>
      </c>
      <c r="C3" s="53" t="s">
        <v>476</v>
      </c>
      <c r="D3" s="53">
        <v>513639013</v>
      </c>
      <c r="E3" s="40" t="s">
        <v>150</v>
      </c>
      <c r="F3" s="53" t="s">
        <v>926</v>
      </c>
      <c r="G3" s="53" t="s">
        <v>927</v>
      </c>
      <c r="H3" s="40" t="s">
        <v>153</v>
      </c>
      <c r="I3" s="40" t="s">
        <v>73</v>
      </c>
      <c r="J3" s="40" t="s">
        <v>73</v>
      </c>
      <c r="K3" s="53" t="s">
        <v>155</v>
      </c>
      <c r="L3" s="40" t="s">
        <v>103</v>
      </c>
      <c r="M3" s="53">
        <v>1175116</v>
      </c>
      <c r="N3" s="53" t="s">
        <v>479</v>
      </c>
      <c r="O3" s="59">
        <v>46477</v>
      </c>
      <c r="P3" s="53" t="s">
        <v>74</v>
      </c>
      <c r="Q3" s="40" t="s">
        <v>78</v>
      </c>
      <c r="R3" s="52">
        <v>177.8</v>
      </c>
      <c r="S3" s="52">
        <v>1</v>
      </c>
      <c r="T3" s="56">
        <v>591</v>
      </c>
      <c r="U3" s="56">
        <v>1</v>
      </c>
      <c r="V3" s="56">
        <v>2600</v>
      </c>
      <c r="W3" s="56">
        <v>15.366</v>
      </c>
      <c r="X3" s="60">
        <v>0.27761520000000001</v>
      </c>
      <c r="Y3" s="60">
        <v>1.1680000000000001E-4</v>
      </c>
    </row>
    <row r="4" spans="1:25" x14ac:dyDescent="0.2">
      <c r="A4" s="53">
        <v>420</v>
      </c>
      <c r="B4" s="53">
        <v>1471</v>
      </c>
      <c r="C4" s="53"/>
      <c r="D4" s="53"/>
      <c r="E4" s="40"/>
      <c r="F4" s="53"/>
      <c r="G4" s="53"/>
      <c r="H4" s="40"/>
      <c r="I4" s="40"/>
      <c r="J4" s="40"/>
      <c r="K4" s="53"/>
      <c r="L4" s="40"/>
      <c r="M4" s="53"/>
      <c r="N4" s="53"/>
      <c r="O4" s="59" t="s">
        <v>147</v>
      </c>
      <c r="P4" s="53"/>
      <c r="Q4" s="40"/>
      <c r="R4" s="52"/>
      <c r="S4" s="52"/>
      <c r="T4" s="56"/>
      <c r="U4" s="56"/>
      <c r="V4" s="56"/>
      <c r="W4" s="56"/>
      <c r="X4" s="60" t="s">
        <v>147</v>
      </c>
      <c r="Y4" s="60"/>
    </row>
    <row r="5" spans="1:25" x14ac:dyDescent="0.2">
      <c r="A5" s="53"/>
      <c r="B5" s="53"/>
      <c r="C5" s="53"/>
      <c r="D5" s="53"/>
      <c r="E5" s="40"/>
      <c r="F5" s="53"/>
      <c r="G5" s="53"/>
      <c r="H5" s="40"/>
      <c r="I5" s="40"/>
      <c r="J5" s="40"/>
      <c r="K5" s="53"/>
      <c r="L5" s="40"/>
      <c r="M5" s="53"/>
      <c r="N5" s="53"/>
      <c r="O5" s="59"/>
      <c r="P5" s="53"/>
      <c r="Q5" s="40"/>
      <c r="R5" s="52"/>
      <c r="S5" s="52"/>
      <c r="T5" s="56"/>
      <c r="U5" s="56"/>
      <c r="V5" s="56"/>
      <c r="W5" s="56"/>
      <c r="X5" s="60"/>
      <c r="Y5" s="60"/>
    </row>
    <row r="6" spans="1:25" x14ac:dyDescent="0.2">
      <c r="A6" s="53"/>
      <c r="B6" s="53"/>
      <c r="C6" s="53"/>
      <c r="D6" s="53"/>
      <c r="E6" s="40"/>
      <c r="F6" s="53"/>
      <c r="G6" s="53"/>
      <c r="H6" s="40"/>
      <c r="I6" s="40"/>
      <c r="J6" s="40"/>
      <c r="K6" s="53"/>
      <c r="L6" s="40"/>
      <c r="M6" s="53"/>
      <c r="N6" s="53"/>
      <c r="O6" s="59"/>
      <c r="P6" s="53"/>
      <c r="Q6" s="40"/>
      <c r="R6" s="52"/>
      <c r="S6" s="52"/>
      <c r="T6" s="56"/>
      <c r="U6" s="56"/>
      <c r="V6" s="56"/>
      <c r="W6" s="56"/>
      <c r="X6" s="60"/>
      <c r="Y6" s="60"/>
    </row>
    <row r="7" spans="1:25" x14ac:dyDescent="0.2">
      <c r="A7" s="53"/>
      <c r="B7" s="53"/>
      <c r="C7" s="53"/>
      <c r="D7" s="53"/>
      <c r="E7" s="40"/>
      <c r="F7" s="53"/>
      <c r="G7" s="53"/>
      <c r="H7" s="40"/>
      <c r="I7" s="40"/>
      <c r="J7" s="40"/>
      <c r="K7" s="53"/>
      <c r="L7" s="40"/>
      <c r="M7" s="53"/>
      <c r="N7" s="53"/>
      <c r="O7" s="59"/>
      <c r="P7" s="53"/>
      <c r="Q7" s="40"/>
      <c r="R7" s="52"/>
      <c r="S7" s="52"/>
      <c r="T7" s="56"/>
      <c r="U7" s="56"/>
      <c r="V7" s="56"/>
      <c r="W7" s="56"/>
      <c r="X7" s="60"/>
      <c r="Y7" s="60"/>
    </row>
    <row r="8" spans="1:25" x14ac:dyDescent="0.2">
      <c r="A8" s="53"/>
      <c r="B8" s="53"/>
      <c r="C8" s="53"/>
      <c r="D8" s="53"/>
      <c r="E8" s="40"/>
      <c r="F8" s="53"/>
      <c r="G8" s="53"/>
      <c r="H8" s="40"/>
      <c r="I8" s="40"/>
      <c r="J8" s="40"/>
      <c r="K8" s="53"/>
      <c r="L8" s="40"/>
      <c r="M8" s="53"/>
      <c r="N8" s="53"/>
      <c r="O8" s="59"/>
      <c r="P8" s="53"/>
      <c r="Q8" s="40"/>
      <c r="R8" s="52"/>
      <c r="S8" s="52"/>
      <c r="T8" s="56"/>
      <c r="U8" s="56"/>
      <c r="V8" s="56"/>
      <c r="W8" s="56"/>
      <c r="X8" s="60"/>
      <c r="Y8" s="60"/>
    </row>
    <row r="9" spans="1:25" x14ac:dyDescent="0.2">
      <c r="A9" s="53"/>
      <c r="B9" s="53"/>
      <c r="C9" s="53"/>
      <c r="D9" s="53"/>
      <c r="E9" s="40"/>
      <c r="F9" s="53"/>
      <c r="G9" s="53"/>
      <c r="H9" s="40"/>
      <c r="I9" s="40"/>
      <c r="J9" s="40"/>
      <c r="K9" s="53"/>
      <c r="L9" s="40"/>
      <c r="M9" s="53"/>
      <c r="N9" s="53"/>
      <c r="O9" s="59"/>
      <c r="P9" s="53"/>
      <c r="Q9" s="40"/>
      <c r="R9" s="52"/>
      <c r="S9" s="52"/>
      <c r="T9" s="56"/>
      <c r="U9" s="56"/>
      <c r="V9" s="56"/>
      <c r="W9" s="56"/>
      <c r="X9" s="60"/>
      <c r="Y9" s="60"/>
    </row>
    <row r="10" spans="1:25" x14ac:dyDescent="0.2">
      <c r="A10" s="53"/>
      <c r="B10" s="53"/>
      <c r="C10" s="53"/>
      <c r="D10" s="53"/>
      <c r="E10" s="40"/>
      <c r="F10" s="53"/>
      <c r="G10" s="53"/>
      <c r="H10" s="40"/>
      <c r="I10" s="40"/>
      <c r="J10" s="40"/>
      <c r="K10" s="53"/>
      <c r="L10" s="40"/>
      <c r="M10" s="53"/>
      <c r="N10" s="53"/>
      <c r="O10" s="59"/>
      <c r="P10" s="53"/>
      <c r="Q10" s="40"/>
      <c r="R10" s="52"/>
      <c r="S10" s="52"/>
      <c r="T10" s="56"/>
      <c r="U10" s="56"/>
      <c r="V10" s="56"/>
      <c r="W10" s="56"/>
      <c r="X10" s="60"/>
      <c r="Y10" s="60"/>
    </row>
    <row r="11" spans="1:25" x14ac:dyDescent="0.2">
      <c r="A11" s="53"/>
      <c r="B11" s="53"/>
      <c r="C11" s="53"/>
      <c r="D11" s="53"/>
      <c r="E11" s="40"/>
      <c r="F11" s="53"/>
      <c r="G11" s="53"/>
      <c r="H11" s="40"/>
      <c r="I11" s="40"/>
      <c r="J11" s="40"/>
      <c r="K11" s="53"/>
      <c r="L11" s="40"/>
      <c r="M11" s="53"/>
      <c r="N11" s="53"/>
      <c r="O11" s="59"/>
      <c r="P11" s="53"/>
      <c r="Q11" s="40"/>
      <c r="R11" s="52"/>
      <c r="S11" s="52"/>
      <c r="T11" s="56"/>
      <c r="U11" s="56"/>
      <c r="V11" s="56"/>
      <c r="W11" s="56"/>
      <c r="X11" s="60"/>
      <c r="Y11" s="60"/>
    </row>
    <row r="12" spans="1:25" x14ac:dyDescent="0.2">
      <c r="A12" s="53"/>
      <c r="B12" s="53"/>
      <c r="C12" s="53"/>
      <c r="D12" s="53"/>
      <c r="E12" s="40"/>
      <c r="F12" s="53"/>
      <c r="G12" s="53"/>
      <c r="H12" s="40"/>
      <c r="I12" s="40"/>
      <c r="J12" s="40"/>
      <c r="K12" s="53"/>
      <c r="L12" s="40"/>
      <c r="M12" s="53"/>
      <c r="N12" s="53"/>
      <c r="O12" s="59"/>
      <c r="P12" s="53"/>
      <c r="Q12" s="40"/>
      <c r="R12" s="52"/>
      <c r="S12" s="52"/>
      <c r="T12" s="56"/>
      <c r="U12" s="56"/>
      <c r="V12" s="56"/>
      <c r="W12" s="56"/>
      <c r="X12" s="60"/>
      <c r="Y12" s="60"/>
    </row>
    <row r="13" spans="1:25" x14ac:dyDescent="0.2">
      <c r="A13" s="53"/>
      <c r="B13" s="53"/>
      <c r="C13" s="53"/>
      <c r="D13" s="53"/>
      <c r="E13" s="40"/>
      <c r="F13" s="53"/>
      <c r="G13" s="53"/>
      <c r="H13" s="40"/>
      <c r="I13" s="40"/>
      <c r="J13" s="40"/>
      <c r="K13" s="53"/>
      <c r="L13" s="40"/>
      <c r="M13" s="53"/>
      <c r="N13" s="53"/>
      <c r="O13" s="59"/>
      <c r="P13" s="53"/>
      <c r="Q13" s="40"/>
      <c r="R13" s="52"/>
      <c r="S13" s="52"/>
      <c r="T13" s="56"/>
      <c r="U13" s="56"/>
      <c r="V13" s="56"/>
      <c r="W13" s="56"/>
      <c r="X13" s="60"/>
      <c r="Y13" s="60"/>
    </row>
    <row r="14" spans="1:25" x14ac:dyDescent="0.2">
      <c r="A14" s="53"/>
      <c r="B14" s="53"/>
      <c r="C14" s="53"/>
      <c r="D14" s="53"/>
      <c r="E14" s="40"/>
      <c r="F14" s="53"/>
      <c r="G14" s="53"/>
      <c r="H14" s="40"/>
      <c r="I14" s="40"/>
      <c r="J14" s="40"/>
      <c r="K14" s="53"/>
      <c r="L14" s="40"/>
      <c r="M14" s="53"/>
      <c r="N14" s="53"/>
      <c r="O14" s="59"/>
      <c r="P14" s="53"/>
      <c r="Q14" s="40"/>
      <c r="R14" s="52"/>
      <c r="S14" s="52"/>
      <c r="T14" s="56"/>
      <c r="U14" s="56"/>
      <c r="V14" s="56"/>
      <c r="W14" s="56"/>
      <c r="X14" s="60"/>
      <c r="Y14" s="60"/>
    </row>
    <row r="15" spans="1:25" x14ac:dyDescent="0.2">
      <c r="A15" s="53"/>
      <c r="B15" s="53"/>
      <c r="C15" s="53"/>
      <c r="D15" s="53"/>
      <c r="E15" s="40"/>
      <c r="F15" s="53"/>
      <c r="G15" s="53"/>
      <c r="H15" s="40"/>
      <c r="I15" s="40"/>
      <c r="J15" s="40"/>
      <c r="K15" s="53"/>
      <c r="L15" s="40"/>
      <c r="M15" s="53"/>
      <c r="N15" s="53"/>
      <c r="O15" s="59"/>
      <c r="P15" s="53"/>
      <c r="Q15" s="40"/>
      <c r="R15" s="52"/>
      <c r="S15" s="52"/>
      <c r="T15" s="56"/>
      <c r="U15" s="56"/>
      <c r="V15" s="56"/>
      <c r="W15" s="56"/>
      <c r="X15" s="60"/>
      <c r="Y15" s="60"/>
    </row>
    <row r="16" spans="1:25" x14ac:dyDescent="0.2">
      <c r="A16" s="53"/>
      <c r="B16" s="53"/>
      <c r="C16" s="53"/>
      <c r="D16" s="53"/>
      <c r="E16" s="40"/>
      <c r="F16" s="53"/>
      <c r="G16" s="53"/>
      <c r="H16" s="40"/>
      <c r="I16" s="40"/>
      <c r="J16" s="40"/>
      <c r="K16" s="53"/>
      <c r="L16" s="40"/>
      <c r="M16" s="53"/>
      <c r="N16" s="53"/>
      <c r="O16" s="59"/>
      <c r="P16" s="53"/>
      <c r="Q16" s="40"/>
      <c r="R16" s="52"/>
      <c r="S16" s="52"/>
      <c r="T16" s="56"/>
      <c r="U16" s="56"/>
      <c r="V16" s="56"/>
      <c r="W16" s="56"/>
      <c r="X16" s="60"/>
      <c r="Y16" s="60"/>
    </row>
    <row r="17" spans="1:25" x14ac:dyDescent="0.2">
      <c r="A17" s="53"/>
      <c r="B17" s="53"/>
      <c r="C17" s="53"/>
      <c r="D17" s="53"/>
      <c r="E17" s="40"/>
      <c r="F17" s="53"/>
      <c r="G17" s="53"/>
      <c r="H17" s="40"/>
      <c r="I17" s="40"/>
      <c r="J17" s="40"/>
      <c r="K17" s="53"/>
      <c r="L17" s="40"/>
      <c r="M17" s="53"/>
      <c r="N17" s="53"/>
      <c r="O17" s="59"/>
      <c r="P17" s="53"/>
      <c r="Q17" s="40"/>
      <c r="R17" s="52"/>
      <c r="S17" s="52"/>
      <c r="T17" s="56"/>
      <c r="U17" s="56"/>
      <c r="V17" s="56"/>
      <c r="W17" s="56"/>
      <c r="X17" s="60"/>
      <c r="Y17" s="60"/>
    </row>
    <row r="18" spans="1:25" x14ac:dyDescent="0.2">
      <c r="A18" s="53"/>
      <c r="B18" s="53"/>
      <c r="C18" s="53"/>
      <c r="D18" s="53"/>
      <c r="E18" s="40"/>
      <c r="F18" s="53"/>
      <c r="G18" s="53"/>
      <c r="H18" s="40"/>
      <c r="I18" s="40"/>
      <c r="J18" s="40"/>
      <c r="K18" s="53"/>
      <c r="L18" s="40"/>
      <c r="M18" s="53"/>
      <c r="N18" s="53"/>
      <c r="O18" s="59"/>
      <c r="P18" s="53"/>
      <c r="Q18" s="40"/>
      <c r="R18" s="52"/>
      <c r="S18" s="52"/>
      <c r="T18" s="56"/>
      <c r="U18" s="56"/>
      <c r="V18" s="56"/>
      <c r="W18" s="56"/>
      <c r="X18" s="60"/>
      <c r="Y18" s="60"/>
    </row>
    <row r="19" spans="1:25" x14ac:dyDescent="0.2">
      <c r="A19" s="53"/>
      <c r="B19" s="53"/>
      <c r="C19" s="53"/>
      <c r="D19" s="53"/>
      <c r="E19" s="40"/>
      <c r="F19" s="53"/>
      <c r="G19" s="53"/>
      <c r="H19" s="40"/>
      <c r="I19" s="40"/>
      <c r="J19" s="40"/>
      <c r="K19" s="53"/>
      <c r="L19" s="40"/>
      <c r="M19" s="53"/>
      <c r="N19" s="53"/>
      <c r="O19" s="59"/>
      <c r="P19" s="53"/>
      <c r="Q19" s="40"/>
      <c r="R19" s="52"/>
      <c r="S19" s="52"/>
      <c r="T19" s="56"/>
      <c r="U19" s="56"/>
      <c r="V19" s="56"/>
      <c r="W19" s="56"/>
      <c r="X19" s="60"/>
      <c r="Y19" s="60"/>
    </row>
    <row r="20" spans="1:25" x14ac:dyDescent="0.2">
      <c r="E20" s="40"/>
      <c r="H20" s="40"/>
      <c r="I20" s="40"/>
      <c r="J20" s="40"/>
      <c r="K20" s="53"/>
      <c r="L20" s="40"/>
      <c r="N20" s="53"/>
      <c r="P20" s="53"/>
    </row>
    <row r="21" spans="1:25" s="39" customFormat="1" x14ac:dyDescent="0.2">
      <c r="H21" s="45"/>
      <c r="L21" s="45"/>
      <c r="O21" s="48"/>
      <c r="R21" s="42"/>
      <c r="S21" s="42"/>
      <c r="T21" s="42"/>
      <c r="U21" s="42"/>
      <c r="V21" s="42"/>
      <c r="W21" s="42"/>
      <c r="X21" s="43"/>
      <c r="Y21" s="43"/>
    </row>
    <row r="22" spans="1:25" x14ac:dyDescent="0.2">
      <c r="L22" s="45"/>
    </row>
  </sheetData>
  <dataValidations count="8">
    <dataValidation type="list" allowBlank="1" showInputMessage="1" showErrorMessage="1" sqref="L2:L20" xr:uid="{0A86D674-AF2F-46FD-8C24-F7B7B3155A17}">
      <formula1>Stock_Exchange</formula1>
    </dataValidation>
    <dataValidation type="list" allowBlank="1" showInputMessage="1" showErrorMessage="1" sqref="K2:K20" xr:uid="{20C6C595-14E0-4B23-AD6F-80D6CE2073AF}">
      <formula1>tradeable_status_warrants</formula1>
    </dataValidation>
    <dataValidation type="list" allowBlank="1" showInputMessage="1" showErrorMessage="1" sqref="H2:H20" xr:uid="{EC3D8825-8BBC-4F37-A3EE-FD34D52BCF46}">
      <formula1>Security_ID_Number_Type</formula1>
    </dataValidation>
    <dataValidation type="list" allowBlank="1" showInputMessage="1" showErrorMessage="1" sqref="E2:E20" xr:uid="{680D9A8D-A86F-4424-8C4E-8F604EC21469}">
      <formula1>Issuer_Type_TFunds</formula1>
    </dataValidation>
    <dataValidation type="list" allowBlank="1" showInputMessage="1" showErrorMessage="1" sqref="J2:J20" xr:uid="{84944623-80E3-4487-8BAD-CC50817000A7}">
      <formula1>Country_list</formula1>
    </dataValidation>
    <dataValidation type="list" allowBlank="1" showInputMessage="1" showErrorMessage="1" sqref="P2:P20" xr:uid="{0F68B960-13E6-4323-8EFB-ACC78DF0989A}">
      <formula1>Holding_interest</formula1>
    </dataValidation>
    <dataValidation type="list" allowBlank="1" showInputMessage="1" showErrorMessage="1" sqref="N2:N20" xr:uid="{744EB3EF-5C7D-4803-B7C4-CB61FA20CDFE}">
      <formula1>Industry_sectors</formula1>
    </dataValidation>
    <dataValidation type="list" allowBlank="1" showInputMessage="1" showErrorMessage="1" sqref="I2:I20" xr:uid="{A275CA5A-C3EE-4653-89DC-98F775F33073}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F1F6-8A03-4BEE-91A1-9784FF13C125}">
  <sheetPr codeName="Sheet12"/>
  <dimension ref="A1:X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1" width="11.625" style="38" customWidth="1"/>
    <col min="12" max="12" width="9" style="38"/>
    <col min="13" max="14" width="11.625" style="38" customWidth="1"/>
    <col min="15" max="15" width="11.625" style="61" customWidth="1"/>
    <col min="16" max="17" width="11.625" style="38" customWidth="1"/>
    <col min="18" max="22" width="11.625" style="41" customWidth="1"/>
    <col min="23" max="24" width="11.625" style="46" customWidth="1"/>
    <col min="25" max="25" width="11.625" style="38" customWidth="1"/>
    <col min="26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89</v>
      </c>
      <c r="M1" s="34" t="s">
        <v>141</v>
      </c>
      <c r="N1" s="34" t="s">
        <v>928</v>
      </c>
      <c r="O1" s="47" t="s">
        <v>920</v>
      </c>
      <c r="P1" s="34" t="s">
        <v>59</v>
      </c>
      <c r="Q1" s="34" t="s">
        <v>62</v>
      </c>
      <c r="R1" s="35" t="s">
        <v>921</v>
      </c>
      <c r="S1" s="35" t="s">
        <v>95</v>
      </c>
      <c r="T1" s="35" t="s">
        <v>64</v>
      </c>
      <c r="U1" s="35" t="s">
        <v>96</v>
      </c>
      <c r="V1" s="35" t="s">
        <v>66</v>
      </c>
      <c r="W1" s="36" t="s">
        <v>67</v>
      </c>
      <c r="X1" s="36" t="s">
        <v>68</v>
      </c>
    </row>
    <row r="2" spans="1:24" x14ac:dyDescent="0.2">
      <c r="A2" s="53">
        <v>420</v>
      </c>
      <c r="B2" s="53">
        <v>420</v>
      </c>
      <c r="C2" s="53"/>
      <c r="D2" s="53"/>
      <c r="E2" s="40"/>
      <c r="F2" s="53"/>
      <c r="G2" s="53"/>
      <c r="H2" s="40"/>
      <c r="I2" s="53"/>
      <c r="J2" s="40"/>
      <c r="K2" s="40"/>
      <c r="L2" s="40"/>
      <c r="M2" s="53"/>
      <c r="N2" s="53"/>
      <c r="O2" s="59" t="s">
        <v>147</v>
      </c>
      <c r="P2" s="53"/>
      <c r="Q2" s="40"/>
      <c r="R2" s="52"/>
      <c r="S2" s="56"/>
      <c r="T2" s="56"/>
      <c r="U2" s="56"/>
      <c r="V2" s="56"/>
      <c r="W2" s="60" t="s">
        <v>147</v>
      </c>
      <c r="X2" s="60"/>
    </row>
    <row r="3" spans="1:24" x14ac:dyDescent="0.2">
      <c r="A3" s="53">
        <v>420</v>
      </c>
      <c r="B3" s="53">
        <v>1471</v>
      </c>
      <c r="C3" s="53"/>
      <c r="D3" s="53"/>
      <c r="E3" s="40"/>
      <c r="F3" s="53"/>
      <c r="G3" s="53"/>
      <c r="H3" s="40"/>
      <c r="I3" s="53"/>
      <c r="J3" s="40"/>
      <c r="K3" s="40"/>
      <c r="L3" s="40"/>
      <c r="M3" s="53"/>
      <c r="N3" s="53"/>
      <c r="O3" s="59" t="s">
        <v>147</v>
      </c>
      <c r="P3" s="53"/>
      <c r="Q3" s="40"/>
      <c r="R3" s="52"/>
      <c r="S3" s="56"/>
      <c r="T3" s="56"/>
      <c r="U3" s="56"/>
      <c r="V3" s="56"/>
      <c r="W3" s="60" t="s">
        <v>147</v>
      </c>
      <c r="X3" s="60"/>
    </row>
    <row r="4" spans="1:24" x14ac:dyDescent="0.2">
      <c r="A4" s="53"/>
      <c r="B4" s="53"/>
      <c r="C4" s="53"/>
      <c r="D4" s="53"/>
      <c r="E4" s="40"/>
      <c r="F4" s="53"/>
      <c r="G4" s="53"/>
      <c r="H4" s="40"/>
      <c r="I4" s="53"/>
      <c r="J4" s="40"/>
      <c r="K4" s="40"/>
      <c r="L4" s="40"/>
      <c r="M4" s="53"/>
      <c r="N4" s="53"/>
      <c r="O4" s="59"/>
      <c r="P4" s="53"/>
      <c r="Q4" s="40"/>
      <c r="R4" s="52"/>
      <c r="S4" s="56"/>
      <c r="T4" s="56"/>
      <c r="U4" s="56"/>
      <c r="V4" s="56"/>
      <c r="W4" s="60"/>
      <c r="X4" s="60"/>
    </row>
    <row r="5" spans="1:24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40"/>
      <c r="M5" s="53"/>
      <c r="N5" s="53"/>
      <c r="O5" s="59"/>
      <c r="P5" s="53"/>
      <c r="Q5" s="40"/>
      <c r="R5" s="52"/>
      <c r="S5" s="56"/>
      <c r="T5" s="56"/>
      <c r="U5" s="56"/>
      <c r="V5" s="56"/>
      <c r="W5" s="60"/>
      <c r="X5" s="60"/>
    </row>
    <row r="6" spans="1:24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40"/>
      <c r="M6" s="53"/>
      <c r="N6" s="53"/>
      <c r="O6" s="59"/>
      <c r="P6" s="53"/>
      <c r="Q6" s="40"/>
      <c r="R6" s="52"/>
      <c r="S6" s="56"/>
      <c r="T6" s="56"/>
      <c r="U6" s="56"/>
      <c r="V6" s="56"/>
      <c r="W6" s="60"/>
      <c r="X6" s="60"/>
    </row>
    <row r="7" spans="1:24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40"/>
      <c r="M7" s="53"/>
      <c r="N7" s="53"/>
      <c r="O7" s="59"/>
      <c r="P7" s="53"/>
      <c r="Q7" s="40"/>
      <c r="R7" s="52"/>
      <c r="S7" s="56"/>
      <c r="T7" s="56"/>
      <c r="U7" s="56"/>
      <c r="V7" s="56"/>
      <c r="W7" s="60"/>
      <c r="X7" s="60"/>
    </row>
    <row r="8" spans="1:24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40"/>
      <c r="M8" s="53"/>
      <c r="N8" s="53"/>
      <c r="O8" s="59"/>
      <c r="P8" s="53"/>
      <c r="Q8" s="40"/>
      <c r="R8" s="52"/>
      <c r="S8" s="56"/>
      <c r="T8" s="56"/>
      <c r="U8" s="56"/>
      <c r="V8" s="56"/>
      <c r="W8" s="60"/>
      <c r="X8" s="60"/>
    </row>
    <row r="9" spans="1:24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40"/>
      <c r="M9" s="53"/>
      <c r="N9" s="53"/>
      <c r="O9" s="59"/>
      <c r="P9" s="53"/>
      <c r="Q9" s="40"/>
      <c r="R9" s="52"/>
      <c r="S9" s="56"/>
      <c r="T9" s="56"/>
      <c r="U9" s="56"/>
      <c r="V9" s="56"/>
      <c r="W9" s="60"/>
      <c r="X9" s="60"/>
    </row>
    <row r="10" spans="1:24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40"/>
      <c r="M10" s="53"/>
      <c r="N10" s="53"/>
      <c r="O10" s="59"/>
      <c r="P10" s="53"/>
      <c r="Q10" s="40"/>
      <c r="R10" s="52"/>
      <c r="S10" s="56"/>
      <c r="T10" s="56"/>
      <c r="U10" s="56"/>
      <c r="V10" s="56"/>
      <c r="W10" s="60"/>
      <c r="X10" s="60"/>
    </row>
    <row r="11" spans="1:24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40"/>
      <c r="M11" s="53"/>
      <c r="N11" s="53"/>
      <c r="O11" s="59"/>
      <c r="P11" s="53"/>
      <c r="Q11" s="40"/>
      <c r="R11" s="52"/>
      <c r="S11" s="56"/>
      <c r="T11" s="56"/>
      <c r="U11" s="56"/>
      <c r="V11" s="56"/>
      <c r="W11" s="60"/>
      <c r="X11" s="60"/>
    </row>
    <row r="12" spans="1:24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40"/>
      <c r="M12" s="53"/>
      <c r="N12" s="53"/>
      <c r="O12" s="59"/>
      <c r="P12" s="53"/>
      <c r="Q12" s="40"/>
      <c r="R12" s="52"/>
      <c r="S12" s="56"/>
      <c r="T12" s="56"/>
      <c r="U12" s="56"/>
      <c r="V12" s="56"/>
      <c r="W12" s="60"/>
      <c r="X12" s="60"/>
    </row>
    <row r="13" spans="1:24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40"/>
      <c r="M13" s="53"/>
      <c r="N13" s="53"/>
      <c r="O13" s="59"/>
      <c r="P13" s="53"/>
      <c r="Q13" s="40"/>
      <c r="R13" s="52"/>
      <c r="S13" s="56"/>
      <c r="T13" s="56"/>
      <c r="U13" s="56"/>
      <c r="V13" s="56"/>
      <c r="W13" s="60"/>
      <c r="X13" s="60"/>
    </row>
    <row r="14" spans="1:24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40"/>
      <c r="M14" s="53"/>
      <c r="N14" s="53"/>
      <c r="O14" s="59"/>
      <c r="P14" s="53"/>
      <c r="Q14" s="40"/>
      <c r="R14" s="52"/>
      <c r="S14" s="56"/>
      <c r="T14" s="56"/>
      <c r="U14" s="56"/>
      <c r="V14" s="56"/>
      <c r="W14" s="60"/>
      <c r="X14" s="60"/>
    </row>
    <row r="15" spans="1:24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40"/>
      <c r="M15" s="53"/>
      <c r="N15" s="53"/>
      <c r="O15" s="59"/>
      <c r="P15" s="53"/>
      <c r="Q15" s="40"/>
      <c r="R15" s="52"/>
      <c r="S15" s="56"/>
      <c r="T15" s="56"/>
      <c r="U15" s="56"/>
      <c r="V15" s="56"/>
      <c r="W15" s="60"/>
      <c r="X15" s="60"/>
    </row>
    <row r="16" spans="1:24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40"/>
      <c r="M16" s="53"/>
      <c r="N16" s="53"/>
      <c r="O16" s="59"/>
      <c r="P16" s="53"/>
      <c r="Q16" s="40"/>
      <c r="R16" s="52"/>
      <c r="S16" s="56"/>
      <c r="T16" s="56"/>
      <c r="U16" s="56"/>
      <c r="V16" s="56"/>
      <c r="W16" s="60"/>
      <c r="X16" s="60"/>
    </row>
    <row r="17" spans="1:24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40"/>
      <c r="M17" s="53"/>
      <c r="N17" s="53"/>
      <c r="O17" s="59"/>
      <c r="P17" s="53"/>
      <c r="Q17" s="40"/>
      <c r="R17" s="52"/>
      <c r="S17" s="56"/>
      <c r="T17" s="56"/>
      <c r="U17" s="56"/>
      <c r="V17" s="56"/>
      <c r="W17" s="60"/>
      <c r="X17" s="60"/>
    </row>
    <row r="18" spans="1:24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40"/>
      <c r="M18" s="53"/>
      <c r="N18" s="53"/>
      <c r="O18" s="59"/>
      <c r="P18" s="53"/>
      <c r="Q18" s="40"/>
      <c r="R18" s="52"/>
      <c r="S18" s="56"/>
      <c r="T18" s="56"/>
      <c r="U18" s="56"/>
      <c r="V18" s="56"/>
      <c r="W18" s="60"/>
      <c r="X18" s="60"/>
    </row>
    <row r="19" spans="1:24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40"/>
      <c r="M19" s="53"/>
      <c r="N19" s="53"/>
      <c r="O19" s="59"/>
      <c r="P19" s="53"/>
      <c r="Q19" s="40"/>
      <c r="R19" s="52"/>
      <c r="S19" s="56"/>
      <c r="T19" s="56"/>
      <c r="U19" s="56"/>
      <c r="V19" s="56"/>
      <c r="W19" s="60"/>
      <c r="X19" s="60"/>
    </row>
    <row r="20" spans="1:24" x14ac:dyDescent="0.2">
      <c r="E20" s="40"/>
      <c r="H20" s="40"/>
      <c r="I20" s="53"/>
      <c r="J20" s="40"/>
      <c r="K20" s="40"/>
      <c r="L20" s="40"/>
      <c r="M20" s="53"/>
      <c r="P20" s="53"/>
    </row>
    <row r="21" spans="1:24" x14ac:dyDescent="0.2">
      <c r="E21" s="39"/>
      <c r="H21" s="45"/>
      <c r="L21" s="45"/>
    </row>
    <row r="22" spans="1:24" x14ac:dyDescent="0.2">
      <c r="L22" s="45"/>
    </row>
  </sheetData>
  <sheetProtection formatColumns="0"/>
  <dataValidations count="8">
    <dataValidation type="list" allowBlank="1" showInputMessage="1" showErrorMessage="1" sqref="L2:L20" xr:uid="{E64C95FC-F3F4-425E-94F5-DB0E415B9AC6}">
      <formula1>Stock_Exchange</formula1>
    </dataValidation>
    <dataValidation type="list" allowBlank="1" showInputMessage="1" showErrorMessage="1" sqref="M2:M20" xr:uid="{11405185-646D-49A6-B38B-C37AFA42A0C4}">
      <formula1>Industry_Sector</formula1>
    </dataValidation>
    <dataValidation type="list" allowBlank="1" showInputMessage="1" showErrorMessage="1" sqref="H2:H20" xr:uid="{DB890897-41CF-4F7F-ACC6-D2CFAB94503C}">
      <formula1>Security_ID_Number_Type</formula1>
    </dataValidation>
    <dataValidation type="list" allowBlank="1" showInputMessage="1" showErrorMessage="1" sqref="E2:E20" xr:uid="{3475CA99-1F9F-401F-9CF4-749B4ED2E1FF}">
      <formula1>Issuer_Type_TFunds</formula1>
    </dataValidation>
    <dataValidation type="list" allowBlank="1" showInputMessage="1" showErrorMessage="1" sqref="K2:K20" xr:uid="{7CC62E8A-F50D-4B9F-9A5A-AEBF69C45EEC}">
      <formula1>Country_list</formula1>
    </dataValidation>
    <dataValidation type="list" allowBlank="1" showInputMessage="1" showErrorMessage="1" sqref="N2:N19" xr:uid="{13DB4DCB-4517-4C72-9097-E82C5386D7EC}">
      <formula1>Underlying_Asset</formula1>
    </dataValidation>
    <dataValidation type="list" allowBlank="1" showInputMessage="1" showErrorMessage="1" sqref="P2:P20" xr:uid="{B4507518-7D28-4318-8759-A991A5413CF4}">
      <formula1>Holding_interest</formula1>
    </dataValidation>
    <dataValidation type="list" allowBlank="1" showInputMessage="1" showErrorMessage="1" sqref="J2:J20" xr:uid="{1A6138BC-9004-4FA9-A236-7A89CB71FB61}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8ACA-AD64-4983-A062-E213AE5972EA}">
  <sheetPr codeName="Sheet13"/>
  <dimension ref="A1:T22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24.375" style="38" bestFit="1" customWidth="1"/>
    <col min="7" max="10" width="11.625" style="38" customWidth="1"/>
    <col min="11" max="11" width="9" style="38"/>
    <col min="12" max="12" width="18.125" style="38" bestFit="1" customWidth="1"/>
    <col min="13" max="14" width="11.625" style="38" customWidth="1"/>
    <col min="15" max="16" width="11.625" style="41" customWidth="1"/>
    <col min="17" max="17" width="12.375" style="41" bestFit="1" customWidth="1"/>
    <col min="18" max="18" width="11.625" style="41" customWidth="1"/>
    <col min="19" max="20" width="11.625" style="46" customWidth="1"/>
    <col min="21" max="16384" width="9" style="38"/>
  </cols>
  <sheetData>
    <row r="1" spans="1:20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58</v>
      </c>
      <c r="J1" s="34" t="s">
        <v>88</v>
      </c>
      <c r="K1" s="34" t="s">
        <v>89</v>
      </c>
      <c r="L1" s="34" t="s">
        <v>928</v>
      </c>
      <c r="M1" s="34" t="s">
        <v>59</v>
      </c>
      <c r="N1" s="34" t="s">
        <v>62</v>
      </c>
      <c r="O1" s="35" t="s">
        <v>95</v>
      </c>
      <c r="P1" s="35" t="s">
        <v>64</v>
      </c>
      <c r="Q1" s="35" t="s">
        <v>96</v>
      </c>
      <c r="R1" s="35" t="s">
        <v>66</v>
      </c>
      <c r="S1" s="36" t="s">
        <v>67</v>
      </c>
      <c r="T1" s="36" t="s">
        <v>68</v>
      </c>
    </row>
    <row r="2" spans="1:20" x14ac:dyDescent="0.2">
      <c r="A2" s="53">
        <v>420</v>
      </c>
      <c r="B2" s="53">
        <v>420</v>
      </c>
      <c r="C2" s="38" t="s">
        <v>929</v>
      </c>
      <c r="D2" s="38">
        <v>99079</v>
      </c>
      <c r="E2" s="40" t="s">
        <v>138</v>
      </c>
      <c r="F2" s="53" t="s">
        <v>930</v>
      </c>
      <c r="G2" s="53" t="s">
        <v>931</v>
      </c>
      <c r="H2" s="40" t="s">
        <v>932</v>
      </c>
      <c r="I2" s="40" t="s">
        <v>484</v>
      </c>
      <c r="J2" s="40" t="s">
        <v>351</v>
      </c>
      <c r="K2" s="40" t="s">
        <v>701</v>
      </c>
      <c r="L2" s="53" t="s">
        <v>933</v>
      </c>
      <c r="M2" s="53" t="s">
        <v>74</v>
      </c>
      <c r="N2" s="40" t="s">
        <v>81</v>
      </c>
      <c r="O2" s="56">
        <v>3</v>
      </c>
      <c r="P2" s="56">
        <v>3.3719999999999999</v>
      </c>
      <c r="Q2" s="56">
        <v>1821000</v>
      </c>
      <c r="R2" s="56">
        <v>184.21235999999999</v>
      </c>
      <c r="S2" s="60">
        <v>1</v>
      </c>
      <c r="T2" s="60">
        <v>1.3998000000000001E-3</v>
      </c>
    </row>
    <row r="3" spans="1:20" x14ac:dyDescent="0.2">
      <c r="A3" s="53">
        <v>420</v>
      </c>
      <c r="B3" s="53">
        <v>1471</v>
      </c>
      <c r="E3" s="40"/>
      <c r="F3" s="53"/>
      <c r="G3" s="53"/>
      <c r="H3" s="40"/>
      <c r="I3" s="40"/>
      <c r="J3" s="40"/>
      <c r="K3" s="40"/>
      <c r="L3" s="53"/>
      <c r="M3" s="53"/>
      <c r="N3" s="40"/>
      <c r="O3" s="56"/>
      <c r="P3" s="56"/>
      <c r="Q3" s="56"/>
      <c r="R3" s="56"/>
      <c r="S3" s="60" t="s">
        <v>147</v>
      </c>
      <c r="T3" s="60"/>
    </row>
    <row r="4" spans="1:20" x14ac:dyDescent="0.2">
      <c r="A4" s="53"/>
      <c r="B4" s="53"/>
      <c r="E4" s="40"/>
      <c r="F4" s="53"/>
      <c r="G4" s="53"/>
      <c r="H4" s="40"/>
      <c r="I4" s="40"/>
      <c r="J4" s="40"/>
      <c r="K4" s="40"/>
      <c r="L4" s="53"/>
      <c r="M4" s="53"/>
      <c r="N4" s="40"/>
      <c r="O4" s="56"/>
      <c r="P4" s="56"/>
      <c r="Q4" s="56"/>
      <c r="R4" s="56"/>
      <c r="S4" s="60"/>
      <c r="T4" s="60"/>
    </row>
    <row r="5" spans="1:20" x14ac:dyDescent="0.2">
      <c r="A5" s="53"/>
      <c r="B5" s="53"/>
      <c r="E5" s="40"/>
      <c r="F5" s="53"/>
      <c r="G5" s="53"/>
      <c r="H5" s="40"/>
      <c r="I5" s="40"/>
      <c r="J5" s="40"/>
      <c r="K5" s="40"/>
      <c r="L5" s="53"/>
      <c r="M5" s="53"/>
      <c r="N5" s="40"/>
      <c r="O5" s="56"/>
      <c r="P5" s="56"/>
      <c r="Q5" s="56"/>
      <c r="R5" s="56"/>
      <c r="S5" s="60"/>
      <c r="T5" s="60"/>
    </row>
    <row r="6" spans="1:20" x14ac:dyDescent="0.2">
      <c r="A6" s="53"/>
      <c r="B6" s="53"/>
      <c r="E6" s="40"/>
      <c r="F6" s="53"/>
      <c r="G6" s="53"/>
      <c r="H6" s="40"/>
      <c r="I6" s="40"/>
      <c r="J6" s="40"/>
      <c r="K6" s="40"/>
      <c r="L6" s="53"/>
      <c r="M6" s="53"/>
      <c r="N6" s="40"/>
      <c r="O6" s="56"/>
      <c r="P6" s="56"/>
      <c r="Q6" s="56"/>
      <c r="R6" s="56"/>
      <c r="S6" s="60"/>
      <c r="T6" s="60"/>
    </row>
    <row r="7" spans="1:20" x14ac:dyDescent="0.2">
      <c r="A7" s="53"/>
      <c r="B7" s="53"/>
      <c r="E7" s="40"/>
      <c r="F7" s="53"/>
      <c r="G7" s="53"/>
      <c r="H7" s="40"/>
      <c r="I7" s="40"/>
      <c r="J7" s="40"/>
      <c r="K7" s="40"/>
      <c r="L7" s="53"/>
      <c r="M7" s="53"/>
      <c r="N7" s="40"/>
      <c r="O7" s="56"/>
      <c r="P7" s="56"/>
      <c r="Q7" s="56"/>
      <c r="R7" s="56"/>
      <c r="S7" s="60"/>
      <c r="T7" s="60"/>
    </row>
    <row r="8" spans="1:20" x14ac:dyDescent="0.2">
      <c r="A8" s="53"/>
      <c r="B8" s="53"/>
      <c r="E8" s="40"/>
      <c r="F8" s="53"/>
      <c r="G8" s="53"/>
      <c r="H8" s="40"/>
      <c r="I8" s="40"/>
      <c r="J8" s="40"/>
      <c r="K8" s="40"/>
      <c r="L8" s="53"/>
      <c r="M8" s="53"/>
      <c r="N8" s="40"/>
      <c r="O8" s="56"/>
      <c r="P8" s="56"/>
      <c r="Q8" s="56"/>
      <c r="R8" s="56"/>
      <c r="S8" s="60"/>
      <c r="T8" s="60"/>
    </row>
    <row r="9" spans="1:20" x14ac:dyDescent="0.2">
      <c r="A9" s="53"/>
      <c r="B9" s="53"/>
      <c r="E9" s="40"/>
      <c r="F9" s="53"/>
      <c r="G9" s="53"/>
      <c r="H9" s="40"/>
      <c r="I9" s="40"/>
      <c r="J9" s="40"/>
      <c r="K9" s="40"/>
      <c r="L9" s="53"/>
      <c r="M9" s="53"/>
      <c r="N9" s="40"/>
      <c r="O9" s="56"/>
      <c r="P9" s="56"/>
      <c r="Q9" s="56"/>
      <c r="R9" s="56"/>
      <c r="S9" s="60"/>
      <c r="T9" s="60"/>
    </row>
    <row r="10" spans="1:20" x14ac:dyDescent="0.2">
      <c r="A10" s="53"/>
      <c r="B10" s="53"/>
      <c r="E10" s="40"/>
      <c r="F10" s="53"/>
      <c r="G10" s="53"/>
      <c r="H10" s="40"/>
      <c r="I10" s="40"/>
      <c r="J10" s="40"/>
      <c r="K10" s="40"/>
      <c r="L10" s="53"/>
      <c r="M10" s="53"/>
      <c r="N10" s="40"/>
      <c r="O10" s="56"/>
      <c r="P10" s="56"/>
      <c r="Q10" s="56"/>
      <c r="R10" s="56"/>
      <c r="S10" s="60"/>
      <c r="T10" s="60"/>
    </row>
    <row r="11" spans="1:20" x14ac:dyDescent="0.2">
      <c r="A11" s="53"/>
      <c r="B11" s="53"/>
      <c r="E11" s="40"/>
      <c r="F11" s="53"/>
      <c r="G11" s="53"/>
      <c r="H11" s="40"/>
      <c r="I11" s="40"/>
      <c r="J11" s="40"/>
      <c r="K11" s="40"/>
      <c r="L11" s="53"/>
      <c r="M11" s="53"/>
      <c r="N11" s="40"/>
      <c r="O11" s="56"/>
      <c r="P11" s="56"/>
      <c r="Q11" s="56"/>
      <c r="R11" s="56"/>
      <c r="S11" s="60"/>
      <c r="T11" s="60"/>
    </row>
    <row r="12" spans="1:20" x14ac:dyDescent="0.2">
      <c r="A12" s="53"/>
      <c r="B12" s="53"/>
      <c r="E12" s="40"/>
      <c r="F12" s="53"/>
      <c r="G12" s="53"/>
      <c r="H12" s="40"/>
      <c r="I12" s="40"/>
      <c r="J12" s="40"/>
      <c r="K12" s="40"/>
      <c r="L12" s="53"/>
      <c r="M12" s="53"/>
      <c r="N12" s="40"/>
      <c r="O12" s="56"/>
      <c r="P12" s="56"/>
      <c r="Q12" s="56"/>
      <c r="R12" s="56"/>
      <c r="S12" s="60"/>
      <c r="T12" s="60"/>
    </row>
    <row r="13" spans="1:20" x14ac:dyDescent="0.2">
      <c r="A13" s="53"/>
      <c r="B13" s="53"/>
      <c r="E13" s="40"/>
      <c r="F13" s="53"/>
      <c r="G13" s="53"/>
      <c r="H13" s="40"/>
      <c r="I13" s="40"/>
      <c r="J13" s="40"/>
      <c r="K13" s="40"/>
      <c r="L13" s="53"/>
      <c r="M13" s="53"/>
      <c r="N13" s="40"/>
      <c r="O13" s="56"/>
      <c r="P13" s="56"/>
      <c r="Q13" s="56"/>
      <c r="R13" s="56"/>
      <c r="S13" s="60"/>
      <c r="T13" s="60"/>
    </row>
    <row r="14" spans="1:20" x14ac:dyDescent="0.2">
      <c r="A14" s="53"/>
      <c r="B14" s="53"/>
      <c r="E14" s="40"/>
      <c r="F14" s="53"/>
      <c r="G14" s="53"/>
      <c r="H14" s="40"/>
      <c r="I14" s="40"/>
      <c r="J14" s="40"/>
      <c r="K14" s="40"/>
      <c r="L14" s="53"/>
      <c r="M14" s="53"/>
      <c r="N14" s="40"/>
      <c r="O14" s="56"/>
      <c r="P14" s="56"/>
      <c r="Q14" s="56"/>
      <c r="R14" s="56"/>
      <c r="S14" s="60"/>
      <c r="T14" s="60"/>
    </row>
    <row r="15" spans="1:20" x14ac:dyDescent="0.2">
      <c r="A15" s="53"/>
      <c r="B15" s="53"/>
      <c r="E15" s="40"/>
      <c r="F15" s="53"/>
      <c r="G15" s="53"/>
      <c r="H15" s="40"/>
      <c r="I15" s="40"/>
      <c r="J15" s="40"/>
      <c r="K15" s="40"/>
      <c r="L15" s="53"/>
      <c r="M15" s="53"/>
      <c r="N15" s="40"/>
      <c r="O15" s="56"/>
      <c r="P15" s="56"/>
      <c r="Q15" s="56"/>
      <c r="R15" s="56"/>
      <c r="S15" s="60"/>
      <c r="T15" s="60"/>
    </row>
    <row r="16" spans="1:20" x14ac:dyDescent="0.2">
      <c r="A16" s="53"/>
      <c r="B16" s="53"/>
      <c r="E16" s="40"/>
      <c r="F16" s="53"/>
      <c r="G16" s="53"/>
      <c r="H16" s="40"/>
      <c r="I16" s="40"/>
      <c r="J16" s="40"/>
      <c r="K16" s="40"/>
      <c r="L16" s="53"/>
      <c r="M16" s="53"/>
      <c r="N16" s="40"/>
      <c r="O16" s="56"/>
      <c r="P16" s="56"/>
      <c r="Q16" s="56"/>
      <c r="R16" s="56"/>
      <c r="S16" s="60"/>
      <c r="T16" s="60"/>
    </row>
    <row r="17" spans="1:20" x14ac:dyDescent="0.2">
      <c r="A17" s="53"/>
      <c r="B17" s="53"/>
      <c r="E17" s="40"/>
      <c r="F17" s="53"/>
      <c r="G17" s="53"/>
      <c r="H17" s="40"/>
      <c r="I17" s="40"/>
      <c r="J17" s="40"/>
      <c r="K17" s="40"/>
      <c r="L17" s="53"/>
      <c r="M17" s="53"/>
      <c r="N17" s="40"/>
      <c r="O17" s="56"/>
      <c r="P17" s="56"/>
      <c r="Q17" s="56"/>
      <c r="R17" s="56"/>
      <c r="S17" s="60"/>
      <c r="T17" s="60"/>
    </row>
    <row r="18" spans="1:20" x14ac:dyDescent="0.2">
      <c r="A18" s="53"/>
      <c r="B18" s="53"/>
      <c r="E18" s="40"/>
      <c r="F18" s="53"/>
      <c r="G18" s="53"/>
      <c r="H18" s="40"/>
      <c r="I18" s="40"/>
      <c r="J18" s="40"/>
      <c r="K18" s="40"/>
      <c r="L18" s="53"/>
      <c r="M18" s="53"/>
      <c r="N18" s="40"/>
      <c r="O18" s="56"/>
      <c r="P18" s="56"/>
      <c r="Q18" s="56"/>
      <c r="R18" s="56"/>
      <c r="S18" s="60"/>
      <c r="T18" s="60"/>
    </row>
    <row r="19" spans="1:20" x14ac:dyDescent="0.2">
      <c r="A19" s="53"/>
      <c r="B19" s="53"/>
      <c r="E19" s="40"/>
      <c r="F19" s="53"/>
      <c r="G19" s="53"/>
      <c r="H19" s="40"/>
      <c r="I19" s="40"/>
      <c r="J19" s="40"/>
      <c r="K19" s="40"/>
      <c r="L19" s="53"/>
      <c r="M19" s="53"/>
      <c r="N19" s="40"/>
      <c r="O19" s="56"/>
      <c r="P19" s="56"/>
      <c r="Q19" s="56"/>
      <c r="R19" s="56"/>
      <c r="S19" s="60"/>
      <c r="T19" s="60"/>
    </row>
    <row r="20" spans="1:20" x14ac:dyDescent="0.2">
      <c r="E20" s="40"/>
      <c r="H20" s="40"/>
      <c r="J20" s="40"/>
      <c r="K20" s="40"/>
      <c r="L20" s="53"/>
      <c r="M20" s="53"/>
    </row>
    <row r="21" spans="1:20" x14ac:dyDescent="0.2">
      <c r="E21" s="39"/>
      <c r="H21" s="45"/>
      <c r="K21" s="45"/>
    </row>
    <row r="22" spans="1:20" x14ac:dyDescent="0.2">
      <c r="K22" s="45"/>
    </row>
  </sheetData>
  <sheetProtection formatColumns="0"/>
  <dataValidations count="7">
    <dataValidation type="list" allowBlank="1" showInputMessage="1" showErrorMessage="1" sqref="K2:K20" xr:uid="{B3629C6B-69C7-4E4F-8C42-597C716ACA74}">
      <formula1>Stock_Exchange</formula1>
    </dataValidation>
    <dataValidation type="list" allowBlank="1" showInputMessage="1" showErrorMessage="1" sqref="H2:H20" xr:uid="{5D60E21E-1821-437A-8DFB-37B5426A6729}">
      <formula1>Security_ID_Number_Type</formula1>
    </dataValidation>
    <dataValidation type="list" allowBlank="1" showInputMessage="1" showErrorMessage="1" sqref="E2:E20" xr:uid="{4E464742-7B92-475F-936A-CD36659A63A9}">
      <formula1>Issuer_Type_TFunds</formula1>
    </dataValidation>
    <dataValidation type="list" allowBlank="1" showInputMessage="1" showErrorMessage="1" sqref="J2:J20" xr:uid="{ABBE07C8-9CAB-4437-91A5-A8260F16C8E8}">
      <formula1>Country_list</formula1>
    </dataValidation>
    <dataValidation type="list" allowBlank="1" showInputMessage="1" showErrorMessage="1" sqref="L2:L20" xr:uid="{80AE1E2E-426A-461F-8C84-C56F915B06FE}">
      <formula1>Underlying_Asset</formula1>
    </dataValidation>
    <dataValidation type="list" allowBlank="1" showInputMessage="1" showErrorMessage="1" sqref="M2:M20" xr:uid="{8AF3CE52-FA2A-408E-8AAB-6CDF6FA23832}">
      <formula1>Holding_interest</formula1>
    </dataValidation>
    <dataValidation type="list" allowBlank="1" showInputMessage="1" showErrorMessage="1" sqref="I2:I19" xr:uid="{8EB0C223-33D7-4556-9360-6168F8819639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DD42-1CC5-4A69-A449-C84D78FC7C44}">
  <sheetPr codeName="Sheet14"/>
  <dimension ref="A1:AB22"/>
  <sheetViews>
    <sheetView rightToLeft="1" topLeftCell="J1" workbookViewId="0">
      <selection activeCell="AC8" sqref="AC8"/>
    </sheetView>
  </sheetViews>
  <sheetFormatPr defaultColWidth="9" defaultRowHeight="14.25" x14ac:dyDescent="0.2"/>
  <cols>
    <col min="1" max="2" width="11.625" style="38" customWidth="1"/>
    <col min="3" max="3" width="14.375" style="38" bestFit="1" customWidth="1"/>
    <col min="4" max="4" width="11.625" style="38" customWidth="1"/>
    <col min="5" max="5" width="11.625" style="45" customWidth="1"/>
    <col min="6" max="6" width="13.25" style="38" bestFit="1" customWidth="1"/>
    <col min="7" max="8" width="11.625" style="38" customWidth="1"/>
    <col min="9" max="9" width="12.125" style="38" bestFit="1" customWidth="1"/>
    <col min="10" max="12" width="11.625" style="38" customWidth="1"/>
    <col min="13" max="13" width="9" style="38"/>
    <col min="14" max="15" width="11.625" style="38" customWidth="1"/>
    <col min="16" max="16" width="11.625" style="41" customWidth="1"/>
    <col min="17" max="18" width="11.625" style="46" customWidth="1"/>
    <col min="19" max="22" width="11.625" style="38" customWidth="1"/>
    <col min="23" max="26" width="11.625" style="41" customWidth="1"/>
    <col min="27" max="28" width="11.625" style="46" customWidth="1"/>
    <col min="29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89</v>
      </c>
      <c r="N1" s="34" t="s">
        <v>928</v>
      </c>
      <c r="O1" s="34" t="s">
        <v>59</v>
      </c>
      <c r="P1" s="35" t="s">
        <v>91</v>
      </c>
      <c r="Q1" s="36" t="s">
        <v>65</v>
      </c>
      <c r="R1" s="36" t="s">
        <v>93</v>
      </c>
      <c r="S1" s="34" t="s">
        <v>90</v>
      </c>
      <c r="T1" s="34" t="s">
        <v>61</v>
      </c>
      <c r="U1" s="34" t="s">
        <v>142</v>
      </c>
      <c r="V1" s="34" t="s">
        <v>62</v>
      </c>
      <c r="W1" s="35" t="s">
        <v>95</v>
      </c>
      <c r="X1" s="35" t="s">
        <v>64</v>
      </c>
      <c r="Y1" s="35" t="s">
        <v>96</v>
      </c>
      <c r="Z1" s="35" t="s">
        <v>66</v>
      </c>
      <c r="AA1" s="36" t="s">
        <v>67</v>
      </c>
      <c r="AB1" s="36" t="s">
        <v>68</v>
      </c>
    </row>
    <row r="2" spans="1:28" x14ac:dyDescent="0.2">
      <c r="A2" s="53">
        <v>420</v>
      </c>
      <c r="B2" s="53">
        <v>420</v>
      </c>
      <c r="C2" s="53" t="s">
        <v>934</v>
      </c>
      <c r="D2" s="53">
        <v>515666881</v>
      </c>
      <c r="E2" s="40" t="s">
        <v>150</v>
      </c>
      <c r="F2" s="53" t="s">
        <v>935</v>
      </c>
      <c r="G2" s="53" t="s">
        <v>936</v>
      </c>
      <c r="H2" s="40" t="s">
        <v>153</v>
      </c>
      <c r="I2" s="53" t="s">
        <v>937</v>
      </c>
      <c r="J2" s="40" t="s">
        <v>73</v>
      </c>
      <c r="K2" s="40" t="s">
        <v>73</v>
      </c>
      <c r="L2" s="53" t="s">
        <v>155</v>
      </c>
      <c r="M2" s="40" t="s">
        <v>103</v>
      </c>
      <c r="N2" s="53" t="s">
        <v>938</v>
      </c>
      <c r="O2" s="53" t="s">
        <v>74</v>
      </c>
      <c r="P2" s="56">
        <v>3.04</v>
      </c>
      <c r="Q2" s="60">
        <v>5.0000000000000001E-4</v>
      </c>
      <c r="R2" s="60">
        <v>2.5899999999999999E-2</v>
      </c>
      <c r="S2" s="53" t="s">
        <v>75</v>
      </c>
      <c r="T2" s="53" t="s">
        <v>76</v>
      </c>
      <c r="U2" s="53" t="s">
        <v>158</v>
      </c>
      <c r="V2" s="40" t="s">
        <v>78</v>
      </c>
      <c r="W2" s="56">
        <v>416666.71</v>
      </c>
      <c r="X2" s="56">
        <v>1</v>
      </c>
      <c r="Y2" s="56">
        <v>107.74</v>
      </c>
      <c r="Z2" s="56">
        <v>448.91671000000002</v>
      </c>
      <c r="AA2" s="60">
        <v>1</v>
      </c>
      <c r="AB2" s="60">
        <v>3.4112999999999999E-3</v>
      </c>
    </row>
    <row r="3" spans="1:28" x14ac:dyDescent="0.2">
      <c r="A3" s="53">
        <v>420</v>
      </c>
      <c r="B3" s="53">
        <v>1471</v>
      </c>
      <c r="C3" s="53" t="s">
        <v>934</v>
      </c>
      <c r="D3" s="53">
        <v>515666881</v>
      </c>
      <c r="E3" s="40" t="s">
        <v>150</v>
      </c>
      <c r="F3" s="53" t="s">
        <v>939</v>
      </c>
      <c r="G3" s="53" t="s">
        <v>940</v>
      </c>
      <c r="H3" s="40" t="s">
        <v>153</v>
      </c>
      <c r="I3" s="53" t="s">
        <v>937</v>
      </c>
      <c r="J3" s="40" t="s">
        <v>73</v>
      </c>
      <c r="K3" s="40" t="s">
        <v>73</v>
      </c>
      <c r="L3" s="53" t="s">
        <v>155</v>
      </c>
      <c r="M3" s="40" t="s">
        <v>103</v>
      </c>
      <c r="N3" s="53" t="s">
        <v>938</v>
      </c>
      <c r="O3" s="53" t="s">
        <v>74</v>
      </c>
      <c r="P3" s="56">
        <v>0.77</v>
      </c>
      <c r="Q3" s="60">
        <v>6.2199999999999998E-2</v>
      </c>
      <c r="R3" s="60">
        <v>5.0099999999999999E-2</v>
      </c>
      <c r="S3" s="53" t="s">
        <v>75</v>
      </c>
      <c r="T3" s="53" t="s">
        <v>76</v>
      </c>
      <c r="U3" s="53" t="s">
        <v>158</v>
      </c>
      <c r="V3" s="40" t="s">
        <v>78</v>
      </c>
      <c r="W3" s="56">
        <v>2422</v>
      </c>
      <c r="X3" s="56">
        <v>1</v>
      </c>
      <c r="Y3" s="56">
        <v>98.67</v>
      </c>
      <c r="Z3" s="56">
        <v>2.38978</v>
      </c>
      <c r="AA3" s="60">
        <v>1</v>
      </c>
      <c r="AB3" s="60">
        <v>2.2563000000000001E-3</v>
      </c>
    </row>
    <row r="4" spans="1:28" x14ac:dyDescent="0.2">
      <c r="A4" s="53"/>
      <c r="B4" s="53"/>
      <c r="C4" s="53"/>
      <c r="D4" s="53"/>
      <c r="E4" s="40"/>
      <c r="F4" s="53"/>
      <c r="G4" s="53"/>
      <c r="H4" s="40"/>
      <c r="I4" s="53"/>
      <c r="J4" s="40"/>
      <c r="K4" s="40"/>
      <c r="L4" s="53"/>
      <c r="M4" s="40"/>
      <c r="N4" s="53"/>
      <c r="O4" s="53"/>
      <c r="P4" s="56"/>
      <c r="Q4" s="60"/>
      <c r="R4" s="60"/>
      <c r="S4" s="53"/>
      <c r="T4" s="53"/>
      <c r="U4" s="53"/>
      <c r="V4" s="40"/>
      <c r="W4" s="56"/>
      <c r="X4" s="56"/>
      <c r="Y4" s="56"/>
      <c r="Z4" s="56"/>
      <c r="AA4" s="60"/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40"/>
      <c r="N5" s="53"/>
      <c r="O5" s="53"/>
      <c r="P5" s="56"/>
      <c r="Q5" s="60"/>
      <c r="R5" s="60"/>
      <c r="S5" s="53"/>
      <c r="T5" s="53"/>
      <c r="U5" s="53"/>
      <c r="V5" s="40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40"/>
      <c r="N6" s="53"/>
      <c r="O6" s="53"/>
      <c r="P6" s="56"/>
      <c r="Q6" s="60"/>
      <c r="R6" s="60"/>
      <c r="S6" s="53"/>
      <c r="T6" s="53"/>
      <c r="U6" s="53"/>
      <c r="V6" s="40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40"/>
      <c r="N7" s="53"/>
      <c r="O7" s="53"/>
      <c r="P7" s="56"/>
      <c r="Q7" s="60"/>
      <c r="R7" s="60"/>
      <c r="S7" s="53"/>
      <c r="T7" s="53"/>
      <c r="U7" s="53"/>
      <c r="V7" s="40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40"/>
      <c r="N8" s="53"/>
      <c r="O8" s="53"/>
      <c r="P8" s="56"/>
      <c r="Q8" s="60"/>
      <c r="R8" s="60"/>
      <c r="S8" s="53"/>
      <c r="T8" s="53"/>
      <c r="U8" s="53"/>
      <c r="V8" s="40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40"/>
      <c r="N9" s="53"/>
      <c r="O9" s="53"/>
      <c r="P9" s="56"/>
      <c r="Q9" s="60"/>
      <c r="R9" s="60"/>
      <c r="S9" s="53"/>
      <c r="T9" s="53"/>
      <c r="U9" s="53"/>
      <c r="V9" s="40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40"/>
      <c r="N10" s="53"/>
      <c r="O10" s="53"/>
      <c r="P10" s="56"/>
      <c r="Q10" s="60"/>
      <c r="R10" s="60"/>
      <c r="S10" s="53"/>
      <c r="T10" s="53"/>
      <c r="U10" s="53"/>
      <c r="V10" s="40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40"/>
      <c r="N11" s="53"/>
      <c r="O11" s="53"/>
      <c r="P11" s="56"/>
      <c r="Q11" s="60"/>
      <c r="R11" s="60"/>
      <c r="S11" s="53"/>
      <c r="T11" s="53"/>
      <c r="U11" s="53"/>
      <c r="V11" s="40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40"/>
      <c r="N12" s="53"/>
      <c r="O12" s="53"/>
      <c r="P12" s="56"/>
      <c r="Q12" s="60"/>
      <c r="R12" s="60"/>
      <c r="S12" s="53"/>
      <c r="T12" s="53"/>
      <c r="U12" s="53"/>
      <c r="V12" s="40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40"/>
      <c r="N13" s="53"/>
      <c r="O13" s="53"/>
      <c r="P13" s="56"/>
      <c r="Q13" s="60"/>
      <c r="R13" s="60"/>
      <c r="S13" s="53"/>
      <c r="T13" s="53"/>
      <c r="U13" s="53"/>
      <c r="V13" s="40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40"/>
      <c r="N14" s="53"/>
      <c r="O14" s="53"/>
      <c r="P14" s="56"/>
      <c r="Q14" s="60"/>
      <c r="R14" s="60"/>
      <c r="S14" s="53"/>
      <c r="T14" s="53"/>
      <c r="U14" s="53"/>
      <c r="V14" s="40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40"/>
      <c r="N15" s="53"/>
      <c r="O15" s="53"/>
      <c r="P15" s="56"/>
      <c r="Q15" s="60"/>
      <c r="R15" s="60"/>
      <c r="S15" s="53"/>
      <c r="T15" s="53"/>
      <c r="U15" s="53"/>
      <c r="V15" s="40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40"/>
      <c r="N16" s="53"/>
      <c r="O16" s="53"/>
      <c r="P16" s="56"/>
      <c r="Q16" s="60"/>
      <c r="R16" s="60"/>
      <c r="S16" s="53"/>
      <c r="T16" s="53"/>
      <c r="U16" s="53"/>
      <c r="V16" s="40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40"/>
      <c r="N17" s="53"/>
      <c r="O17" s="53"/>
      <c r="P17" s="56"/>
      <c r="Q17" s="60"/>
      <c r="R17" s="60"/>
      <c r="S17" s="53"/>
      <c r="T17" s="53"/>
      <c r="U17" s="53"/>
      <c r="V17" s="40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40"/>
      <c r="N18" s="53"/>
      <c r="O18" s="53"/>
      <c r="P18" s="56"/>
      <c r="Q18" s="60"/>
      <c r="R18" s="60"/>
      <c r="S18" s="53"/>
      <c r="T18" s="53"/>
      <c r="U18" s="53"/>
      <c r="V18" s="40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40"/>
      <c r="N19" s="53"/>
      <c r="O19" s="53"/>
      <c r="P19" s="56"/>
      <c r="Q19" s="60"/>
      <c r="R19" s="60"/>
      <c r="S19" s="53"/>
      <c r="T19" s="53"/>
      <c r="U19" s="53"/>
      <c r="V19" s="40"/>
      <c r="W19" s="56"/>
      <c r="X19" s="56"/>
      <c r="Y19" s="56"/>
      <c r="Z19" s="56"/>
      <c r="AA19" s="60"/>
      <c r="AB19" s="60"/>
    </row>
    <row r="20" spans="1:28" x14ac:dyDescent="0.2">
      <c r="E20" s="40"/>
      <c r="H20" s="40"/>
      <c r="I20" s="53"/>
      <c r="J20" s="40"/>
      <c r="K20" s="40"/>
      <c r="L20" s="53"/>
      <c r="M20" s="40"/>
      <c r="N20" s="53"/>
      <c r="O20" s="53"/>
      <c r="T20" s="53"/>
      <c r="U20" s="53"/>
    </row>
    <row r="21" spans="1:28" x14ac:dyDescent="0.2">
      <c r="E21" s="39"/>
      <c r="H21" s="45"/>
      <c r="M21" s="45"/>
      <c r="N21" s="53"/>
    </row>
    <row r="22" spans="1:28" x14ac:dyDescent="0.2">
      <c r="M22" s="45"/>
    </row>
  </sheetData>
  <sheetProtection formatColumns="0"/>
  <dataValidations count="10">
    <dataValidation type="list" allowBlank="1" showInputMessage="1" showErrorMessage="1" sqref="M2:M20" xr:uid="{D05F9DEA-AD43-4BD5-AF17-10A256FF9932}">
      <formula1>Stock_Exchange</formula1>
    </dataValidation>
    <dataValidation type="list" allowBlank="1" showInputMessage="1" showErrorMessage="1" sqref="L2:L20" xr:uid="{C4DF0F0F-FCE4-46DE-917B-EE81B3812CB4}">
      <formula1>Tradeable_Status</formula1>
    </dataValidation>
    <dataValidation type="list" allowBlank="1" showInputMessage="1" showErrorMessage="1" sqref="H2:H20" xr:uid="{AF7D75C5-E4BD-4C36-8EA0-FA668C35E20F}">
      <formula1>Security_ID_Number_Type</formula1>
    </dataValidation>
    <dataValidation type="list" allowBlank="1" showInputMessage="1" showErrorMessage="1" sqref="N2:N21" xr:uid="{D7C8216A-2870-41D6-A0BF-CA224DC439FA}">
      <formula1>Underlying_Asset_Structured</formula1>
    </dataValidation>
    <dataValidation type="list" allowBlank="1" showInputMessage="1" showErrorMessage="1" sqref="E2:E20" xr:uid="{47CDC1CB-969F-4453-BA2A-F692647E512D}">
      <formula1>Issuer_Type_TFunds</formula1>
    </dataValidation>
    <dataValidation type="list" allowBlank="1" showInputMessage="1" showErrorMessage="1" sqref="K2:K20" xr:uid="{1330A873-75F9-4224-84B0-2B565BDC2D0E}">
      <formula1>Country_list</formula1>
    </dataValidation>
    <dataValidation type="list" allowBlank="1" showInputMessage="1" showErrorMessage="1" sqref="T2:T20" xr:uid="{03A6756B-9733-49B3-A91D-FC62286C24D3}">
      <formula1>Rating_Agency</formula1>
    </dataValidation>
    <dataValidation type="list" allowBlank="1" showInputMessage="1" showErrorMessage="1" sqref="U2:U20" xr:uid="{B9B7F333-8674-42C6-B3FF-8113E8D8B430}">
      <formula1>What_is_rated</formula1>
    </dataValidation>
    <dataValidation type="list" allowBlank="1" showInputMessage="1" showErrorMessage="1" sqref="O2:O20" xr:uid="{3428C631-F091-4935-8920-9A9EB3724F0D}">
      <formula1>Holding_interest</formula1>
    </dataValidation>
    <dataValidation type="list" allowBlank="1" showInputMessage="1" showErrorMessage="1" sqref="J2:J20" xr:uid="{DF79F508-AB98-43F6-BF40-DE7C639E7606}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7C13-BC03-4475-B257-2A6673F50FE1}">
  <sheetPr codeName="Sheet15"/>
  <dimension ref="A1:AA21"/>
  <sheetViews>
    <sheetView rightToLeft="1" workbookViewId="0"/>
  </sheetViews>
  <sheetFormatPr defaultRowHeight="14.25" x14ac:dyDescent="0.2"/>
  <cols>
    <col min="1" max="8" width="11.625" style="39" customWidth="1"/>
    <col min="9" max="9" width="11.625" style="38" customWidth="1"/>
    <col min="10" max="10" width="11.625" style="48" customWidth="1"/>
    <col min="11" max="13" width="11.625" style="39" customWidth="1"/>
    <col min="14" max="14" width="11.625" style="42" customWidth="1"/>
    <col min="15" max="15" width="11.625" style="48" customWidth="1"/>
    <col min="16" max="17" width="11.625" style="43" customWidth="1"/>
    <col min="18" max="21" width="11.625" style="42" customWidth="1"/>
    <col min="22" max="23" width="11.625" style="39" customWidth="1"/>
    <col min="24" max="24" width="11.625" style="46" customWidth="1"/>
    <col min="25" max="25" width="11.625" style="43" customWidth="1"/>
    <col min="26" max="16384" width="9" style="39"/>
  </cols>
  <sheetData>
    <row r="1" spans="1:27" ht="66.75" customHeight="1" x14ac:dyDescent="0.2">
      <c r="A1" s="34" t="s">
        <v>52</v>
      </c>
      <c r="B1" s="34" t="s">
        <v>53</v>
      </c>
      <c r="C1" s="34" t="s">
        <v>85</v>
      </c>
      <c r="D1" s="34" t="s">
        <v>86</v>
      </c>
      <c r="E1" s="34" t="s">
        <v>87</v>
      </c>
      <c r="F1" s="34" t="s">
        <v>140</v>
      </c>
      <c r="G1" s="34" t="s">
        <v>57</v>
      </c>
      <c r="H1" s="34" t="s">
        <v>58</v>
      </c>
      <c r="I1" s="34" t="s">
        <v>88</v>
      </c>
      <c r="J1" s="47" t="s">
        <v>941</v>
      </c>
      <c r="K1" s="34" t="s">
        <v>90</v>
      </c>
      <c r="L1" s="34" t="s">
        <v>61</v>
      </c>
      <c r="M1" s="34" t="s">
        <v>62</v>
      </c>
      <c r="N1" s="35" t="s">
        <v>91</v>
      </c>
      <c r="O1" s="47" t="s">
        <v>92</v>
      </c>
      <c r="P1" s="36" t="s">
        <v>65</v>
      </c>
      <c r="Q1" s="36" t="s">
        <v>93</v>
      </c>
      <c r="R1" s="35" t="s">
        <v>95</v>
      </c>
      <c r="S1" s="35" t="s">
        <v>64</v>
      </c>
      <c r="T1" s="35" t="s">
        <v>96</v>
      </c>
      <c r="U1" s="35" t="s">
        <v>66</v>
      </c>
      <c r="V1" s="34" t="s">
        <v>97</v>
      </c>
      <c r="W1" s="34" t="s">
        <v>20</v>
      </c>
      <c r="X1" s="36" t="s">
        <v>67</v>
      </c>
      <c r="Y1" s="36" t="s">
        <v>68</v>
      </c>
    </row>
    <row r="2" spans="1:27" x14ac:dyDescent="0.2">
      <c r="A2" s="53">
        <v>420</v>
      </c>
      <c r="B2" s="53">
        <v>420</v>
      </c>
      <c r="C2" s="53"/>
      <c r="D2" s="53"/>
      <c r="E2" s="53"/>
      <c r="F2" s="53"/>
      <c r="G2" s="53"/>
      <c r="H2" s="40"/>
      <c r="I2" s="40"/>
      <c r="J2" s="59" t="s">
        <v>147</v>
      </c>
      <c r="K2" s="53"/>
      <c r="L2" s="53"/>
      <c r="M2" s="40"/>
      <c r="N2" s="56"/>
      <c r="O2" s="59" t="s">
        <v>147</v>
      </c>
      <c r="P2" s="60"/>
      <c r="Q2" s="60"/>
      <c r="R2" s="56"/>
      <c r="S2" s="56"/>
      <c r="T2" s="56"/>
      <c r="U2" s="56"/>
      <c r="V2" s="53"/>
      <c r="W2" s="40"/>
      <c r="X2" s="60" t="s">
        <v>147</v>
      </c>
      <c r="Y2" s="60"/>
    </row>
    <row r="3" spans="1:27" x14ac:dyDescent="0.2">
      <c r="A3" s="53">
        <v>420</v>
      </c>
      <c r="B3" s="53">
        <v>1471</v>
      </c>
      <c r="C3" s="53"/>
      <c r="D3" s="53"/>
      <c r="E3" s="53"/>
      <c r="F3" s="53"/>
      <c r="G3" s="53"/>
      <c r="H3" s="40"/>
      <c r="I3" s="40"/>
      <c r="J3" s="59" t="s">
        <v>147</v>
      </c>
      <c r="K3" s="53"/>
      <c r="L3" s="53"/>
      <c r="M3" s="40"/>
      <c r="N3" s="56"/>
      <c r="O3" s="59" t="s">
        <v>147</v>
      </c>
      <c r="P3" s="60"/>
      <c r="Q3" s="60"/>
      <c r="R3" s="56"/>
      <c r="S3" s="56"/>
      <c r="T3" s="56"/>
      <c r="U3" s="56"/>
      <c r="V3" s="53"/>
      <c r="W3" s="40"/>
      <c r="X3" s="60" t="s">
        <v>147</v>
      </c>
      <c r="Y3" s="60"/>
    </row>
    <row r="4" spans="1:27" x14ac:dyDescent="0.2">
      <c r="A4" s="53"/>
      <c r="B4" s="53"/>
      <c r="C4" s="53"/>
      <c r="D4" s="53"/>
      <c r="E4" s="53"/>
      <c r="F4" s="53"/>
      <c r="G4" s="53"/>
      <c r="H4" s="40"/>
      <c r="I4" s="40"/>
      <c r="J4" s="59"/>
      <c r="K4" s="53"/>
      <c r="L4" s="53"/>
      <c r="M4" s="40"/>
      <c r="N4" s="56"/>
      <c r="O4" s="59"/>
      <c r="P4" s="60"/>
      <c r="Q4" s="60"/>
      <c r="R4" s="56"/>
      <c r="S4" s="56"/>
      <c r="T4" s="56"/>
      <c r="U4" s="56"/>
      <c r="V4" s="53"/>
      <c r="W4" s="40"/>
      <c r="X4" s="60"/>
      <c r="Y4" s="60"/>
    </row>
    <row r="5" spans="1:27" x14ac:dyDescent="0.2">
      <c r="A5" s="53"/>
      <c r="B5" s="53"/>
      <c r="C5" s="53"/>
      <c r="D5" s="53"/>
      <c r="E5" s="53"/>
      <c r="F5" s="53"/>
      <c r="G5" s="53"/>
      <c r="H5" s="40"/>
      <c r="I5" s="40"/>
      <c r="J5" s="59"/>
      <c r="K5" s="40"/>
      <c r="L5" s="53"/>
      <c r="N5" s="56"/>
      <c r="O5" s="59"/>
      <c r="P5" s="55"/>
      <c r="Q5" s="55"/>
      <c r="R5" s="56"/>
      <c r="T5" s="56"/>
      <c r="U5" s="56"/>
      <c r="V5" s="53"/>
      <c r="W5" s="53"/>
      <c r="X5" s="60"/>
      <c r="Y5" s="60"/>
      <c r="Z5" s="53"/>
      <c r="AA5" s="53"/>
    </row>
    <row r="6" spans="1:27" x14ac:dyDescent="0.2">
      <c r="A6" s="53"/>
      <c r="B6" s="53"/>
      <c r="C6" s="53"/>
      <c r="D6" s="53"/>
      <c r="E6" s="53"/>
      <c r="F6" s="53"/>
      <c r="G6" s="53"/>
      <c r="H6" s="40"/>
      <c r="I6" s="40"/>
      <c r="J6" s="59"/>
      <c r="K6" s="53"/>
      <c r="L6" s="53"/>
      <c r="M6" s="40"/>
      <c r="N6" s="56"/>
      <c r="O6" s="59"/>
      <c r="P6" s="60"/>
      <c r="Q6" s="60"/>
      <c r="R6" s="56"/>
      <c r="S6" s="56"/>
      <c r="T6" s="56"/>
      <c r="U6" s="56"/>
      <c r="V6" s="53"/>
      <c r="W6" s="40"/>
      <c r="X6" s="60"/>
      <c r="Y6" s="60"/>
    </row>
    <row r="7" spans="1:27" x14ac:dyDescent="0.2">
      <c r="A7" s="53"/>
      <c r="B7" s="53"/>
      <c r="C7" s="53"/>
      <c r="D7" s="53"/>
      <c r="E7" s="53"/>
      <c r="F7" s="53"/>
      <c r="G7" s="53"/>
      <c r="H7" s="40"/>
      <c r="I7" s="40"/>
      <c r="J7" s="59"/>
      <c r="K7" s="53"/>
      <c r="L7" s="53"/>
      <c r="M7" s="40"/>
      <c r="N7" s="56"/>
      <c r="O7" s="59"/>
      <c r="P7" s="60"/>
      <c r="Q7" s="60"/>
      <c r="R7" s="56"/>
      <c r="S7" s="56"/>
      <c r="T7" s="56"/>
      <c r="U7" s="56"/>
      <c r="V7" s="53"/>
      <c r="W7" s="40"/>
      <c r="X7" s="60"/>
      <c r="Y7" s="60"/>
    </row>
    <row r="8" spans="1:27" x14ac:dyDescent="0.2">
      <c r="A8" s="53"/>
      <c r="B8" s="53"/>
      <c r="C8" s="53"/>
      <c r="D8" s="53"/>
      <c r="E8" s="53"/>
      <c r="F8" s="53"/>
      <c r="G8" s="53"/>
      <c r="H8" s="40"/>
      <c r="I8" s="40"/>
      <c r="J8" s="59"/>
      <c r="K8" s="53"/>
      <c r="L8" s="53"/>
      <c r="M8" s="40"/>
      <c r="N8" s="56"/>
      <c r="O8" s="59"/>
      <c r="P8" s="60"/>
      <c r="Q8" s="60"/>
      <c r="R8" s="56"/>
      <c r="S8" s="56"/>
      <c r="T8" s="56"/>
      <c r="U8" s="56"/>
      <c r="V8" s="53"/>
      <c r="W8" s="40"/>
      <c r="X8" s="60"/>
      <c r="Y8" s="60"/>
    </row>
    <row r="9" spans="1:27" x14ac:dyDescent="0.2">
      <c r="A9" s="53"/>
      <c r="B9" s="53"/>
      <c r="C9" s="53"/>
      <c r="D9" s="53"/>
      <c r="E9" s="53"/>
      <c r="F9" s="53"/>
      <c r="G9" s="53"/>
      <c r="H9" s="40"/>
      <c r="I9" s="40"/>
      <c r="J9" s="59"/>
      <c r="K9" s="53"/>
      <c r="L9" s="53"/>
      <c r="M9" s="40"/>
      <c r="N9" s="56"/>
      <c r="O9" s="59"/>
      <c r="P9" s="60"/>
      <c r="Q9" s="60"/>
      <c r="R9" s="56"/>
      <c r="S9" s="56"/>
      <c r="T9" s="56"/>
      <c r="U9" s="56"/>
      <c r="V9" s="53"/>
      <c r="W9" s="40"/>
      <c r="X9" s="60"/>
      <c r="Y9" s="60"/>
    </row>
    <row r="10" spans="1:27" x14ac:dyDescent="0.2">
      <c r="A10" s="53"/>
      <c r="B10" s="53"/>
      <c r="C10" s="53"/>
      <c r="D10" s="53"/>
      <c r="E10" s="53"/>
      <c r="F10" s="53"/>
      <c r="G10" s="53"/>
      <c r="H10" s="40"/>
      <c r="I10" s="40"/>
      <c r="J10" s="59"/>
      <c r="K10" s="53"/>
      <c r="L10" s="53"/>
      <c r="M10" s="40"/>
      <c r="N10" s="56"/>
      <c r="O10" s="59"/>
      <c r="P10" s="60"/>
      <c r="Q10" s="60"/>
      <c r="R10" s="56"/>
      <c r="S10" s="56"/>
      <c r="T10" s="56"/>
      <c r="U10" s="56"/>
      <c r="V10" s="53"/>
      <c r="W10" s="40"/>
      <c r="X10" s="60"/>
      <c r="Y10" s="60"/>
    </row>
    <row r="11" spans="1:27" x14ac:dyDescent="0.2">
      <c r="A11" s="53"/>
      <c r="B11" s="53"/>
      <c r="C11" s="53"/>
      <c r="D11" s="53"/>
      <c r="E11" s="53"/>
      <c r="F11" s="53"/>
      <c r="G11" s="53"/>
      <c r="H11" s="40"/>
      <c r="I11" s="40"/>
      <c r="J11" s="59"/>
      <c r="K11" s="53"/>
      <c r="L11" s="53"/>
      <c r="M11" s="40"/>
      <c r="N11" s="56"/>
      <c r="O11" s="59"/>
      <c r="P11" s="60"/>
      <c r="Q11" s="60"/>
      <c r="R11" s="56"/>
      <c r="S11" s="56"/>
      <c r="T11" s="56"/>
      <c r="U11" s="56"/>
      <c r="V11" s="53"/>
      <c r="W11" s="40"/>
      <c r="X11" s="60"/>
      <c r="Y11" s="60"/>
    </row>
    <row r="12" spans="1:27" x14ac:dyDescent="0.2">
      <c r="A12" s="53"/>
      <c r="B12" s="53"/>
      <c r="C12" s="53"/>
      <c r="D12" s="53"/>
      <c r="E12" s="53"/>
      <c r="F12" s="53"/>
      <c r="G12" s="53"/>
      <c r="H12" s="40"/>
      <c r="I12" s="40"/>
      <c r="J12" s="59"/>
      <c r="K12" s="53"/>
      <c r="L12" s="53"/>
      <c r="M12" s="40"/>
      <c r="N12" s="56"/>
      <c r="O12" s="59"/>
      <c r="P12" s="60"/>
      <c r="Q12" s="60"/>
      <c r="R12" s="56"/>
      <c r="S12" s="56"/>
      <c r="T12" s="56"/>
      <c r="U12" s="56"/>
      <c r="V12" s="53"/>
      <c r="W12" s="40"/>
      <c r="X12" s="60"/>
      <c r="Y12" s="60"/>
    </row>
    <row r="13" spans="1:27" x14ac:dyDescent="0.2">
      <c r="A13" s="53"/>
      <c r="B13" s="53"/>
      <c r="C13" s="53"/>
      <c r="D13" s="53"/>
      <c r="E13" s="53"/>
      <c r="F13" s="53"/>
      <c r="G13" s="53"/>
      <c r="H13" s="40"/>
      <c r="I13" s="40"/>
      <c r="J13" s="59"/>
      <c r="K13" s="53"/>
      <c r="L13" s="53"/>
      <c r="M13" s="40"/>
      <c r="N13" s="56"/>
      <c r="O13" s="59"/>
      <c r="P13" s="60"/>
      <c r="Q13" s="60"/>
      <c r="R13" s="56"/>
      <c r="S13" s="56"/>
      <c r="T13" s="56"/>
      <c r="U13" s="56"/>
      <c r="V13" s="53"/>
      <c r="W13" s="40"/>
      <c r="X13" s="60"/>
      <c r="Y13" s="60"/>
    </row>
    <row r="14" spans="1:27" x14ac:dyDescent="0.2">
      <c r="A14" s="53"/>
      <c r="B14" s="53"/>
      <c r="C14" s="53"/>
      <c r="D14" s="53"/>
      <c r="E14" s="53"/>
      <c r="F14" s="53"/>
      <c r="G14" s="53"/>
      <c r="H14" s="40"/>
      <c r="I14" s="40"/>
      <c r="J14" s="59"/>
      <c r="K14" s="53"/>
      <c r="L14" s="53"/>
      <c r="M14" s="40"/>
      <c r="N14" s="56"/>
      <c r="O14" s="59"/>
      <c r="P14" s="60"/>
      <c r="Q14" s="60"/>
      <c r="R14" s="56"/>
      <c r="S14" s="56"/>
      <c r="T14" s="56"/>
      <c r="U14" s="56"/>
      <c r="V14" s="53"/>
      <c r="W14" s="40"/>
      <c r="X14" s="60"/>
      <c r="Y14" s="60"/>
    </row>
    <row r="15" spans="1:27" x14ac:dyDescent="0.2">
      <c r="A15" s="53"/>
      <c r="B15" s="53"/>
      <c r="C15" s="53"/>
      <c r="D15" s="53"/>
      <c r="E15" s="53"/>
      <c r="F15" s="53"/>
      <c r="G15" s="53"/>
      <c r="H15" s="40"/>
      <c r="I15" s="40"/>
      <c r="J15" s="59"/>
      <c r="K15" s="53"/>
      <c r="L15" s="53"/>
      <c r="M15" s="40"/>
      <c r="N15" s="56"/>
      <c r="O15" s="59"/>
      <c r="P15" s="60"/>
      <c r="Q15" s="60"/>
      <c r="R15" s="56"/>
      <c r="S15" s="56"/>
      <c r="T15" s="56"/>
      <c r="U15" s="56"/>
      <c r="V15" s="53"/>
      <c r="W15" s="40"/>
      <c r="X15" s="60"/>
      <c r="Y15" s="60"/>
    </row>
    <row r="16" spans="1:27" x14ac:dyDescent="0.2">
      <c r="A16" s="53"/>
      <c r="B16" s="53"/>
      <c r="C16" s="53"/>
      <c r="D16" s="53"/>
      <c r="E16" s="53"/>
      <c r="F16" s="53"/>
      <c r="G16" s="53"/>
      <c r="H16" s="40"/>
      <c r="I16" s="40"/>
      <c r="J16" s="59"/>
      <c r="K16" s="53"/>
      <c r="L16" s="53"/>
      <c r="M16" s="40"/>
      <c r="N16" s="56"/>
      <c r="O16" s="59"/>
      <c r="P16" s="60"/>
      <c r="Q16" s="60"/>
      <c r="R16" s="56"/>
      <c r="S16" s="56"/>
      <c r="T16" s="56"/>
      <c r="U16" s="56"/>
      <c r="V16" s="53"/>
      <c r="W16" s="40"/>
      <c r="X16" s="60"/>
      <c r="Y16" s="60"/>
    </row>
    <row r="17" spans="1:25" x14ac:dyDescent="0.2">
      <c r="A17" s="53"/>
      <c r="B17" s="53"/>
      <c r="C17" s="53"/>
      <c r="D17" s="53"/>
      <c r="E17" s="53"/>
      <c r="F17" s="53"/>
      <c r="G17" s="53"/>
      <c r="H17" s="40"/>
      <c r="I17" s="40"/>
      <c r="J17" s="59"/>
      <c r="K17" s="53"/>
      <c r="L17" s="53"/>
      <c r="M17" s="40"/>
      <c r="N17" s="56"/>
      <c r="O17" s="59"/>
      <c r="P17" s="60"/>
      <c r="Q17" s="60"/>
      <c r="R17" s="56"/>
      <c r="S17" s="56"/>
      <c r="T17" s="56"/>
      <c r="U17" s="56"/>
      <c r="V17" s="53"/>
      <c r="W17" s="40"/>
      <c r="X17" s="60"/>
      <c r="Y17" s="60"/>
    </row>
    <row r="18" spans="1:25" x14ac:dyDescent="0.2">
      <c r="A18" s="53"/>
      <c r="B18" s="53"/>
      <c r="C18" s="53"/>
      <c r="D18" s="53"/>
      <c r="E18" s="53"/>
      <c r="F18" s="53"/>
      <c r="G18" s="53"/>
      <c r="H18" s="40"/>
      <c r="I18" s="40"/>
      <c r="J18" s="59"/>
      <c r="K18" s="53"/>
      <c r="L18" s="53"/>
      <c r="M18" s="40"/>
      <c r="N18" s="56"/>
      <c r="O18" s="59"/>
      <c r="P18" s="60"/>
      <c r="Q18" s="60"/>
      <c r="R18" s="56"/>
      <c r="S18" s="56"/>
      <c r="T18" s="56"/>
      <c r="U18" s="56"/>
      <c r="V18" s="53"/>
      <c r="W18" s="40"/>
      <c r="X18" s="60"/>
      <c r="Y18" s="60"/>
    </row>
    <row r="19" spans="1:25" x14ac:dyDescent="0.2">
      <c r="A19" s="53"/>
      <c r="B19" s="53"/>
      <c r="C19" s="53"/>
      <c r="D19" s="53"/>
      <c r="E19" s="53"/>
      <c r="F19" s="53"/>
      <c r="G19" s="53"/>
      <c r="H19" s="40"/>
      <c r="I19" s="40"/>
      <c r="J19" s="59"/>
      <c r="K19" s="53"/>
      <c r="L19" s="53"/>
      <c r="M19" s="40"/>
      <c r="N19" s="56"/>
      <c r="O19" s="59"/>
      <c r="P19" s="60"/>
      <c r="Q19" s="60"/>
      <c r="R19" s="56"/>
      <c r="S19" s="56"/>
      <c r="T19" s="56"/>
      <c r="U19" s="56"/>
      <c r="V19" s="53"/>
      <c r="W19" s="40"/>
      <c r="X19" s="60"/>
      <c r="Y19" s="60"/>
    </row>
    <row r="20" spans="1:25" x14ac:dyDescent="0.2">
      <c r="F20" s="53"/>
      <c r="G20" s="53"/>
      <c r="H20" s="40"/>
      <c r="I20" s="40"/>
      <c r="L20" s="53"/>
      <c r="W20" s="40"/>
    </row>
    <row r="21" spans="1:25" x14ac:dyDescent="0.2">
      <c r="I21" s="39"/>
      <c r="X21" s="43"/>
    </row>
  </sheetData>
  <sheetProtection formatColumns="0"/>
  <dataValidations count="9">
    <dataValidation type="list" allowBlank="1" showInputMessage="1" showErrorMessage="1" sqref="F2:F20" xr:uid="{24B0749D-2049-4135-936D-78D6B440594B}">
      <formula1>Type_of_Security_ID_Fund</formula1>
    </dataValidation>
    <dataValidation type="list" allowBlank="1" showInputMessage="1" showErrorMessage="1" sqref="I2:I20" xr:uid="{66968665-F736-41A9-98C8-D2DC40CDFFD2}">
      <formula1>Country_list</formula1>
    </dataValidation>
    <dataValidation type="list" allowBlank="1" showInputMessage="1" showErrorMessage="1" sqref="J5" xr:uid="{D7FC7452-A1C5-4A13-B9F7-B45E1DA4A94A}">
      <formula1>$C$742:$C$748</formula1>
    </dataValidation>
    <dataValidation type="list" allowBlank="1" showInputMessage="1" showErrorMessage="1" sqref="Q5" xr:uid="{415A6714-D87E-4CDD-813F-EF2C9DE424DE}">
      <formula1>Currency_Abbreviation</formula1>
    </dataValidation>
    <dataValidation type="list" allowBlank="1" showInputMessage="1" showErrorMessage="1" sqref="P5" xr:uid="{D5E2758D-3DBA-4692-84B0-367AABCC67E4}">
      <formula1>Currency</formula1>
    </dataValidation>
    <dataValidation type="list" allowBlank="1" showInputMessage="1" showErrorMessage="1" sqref="O5 L2:L20" xr:uid="{F1D04E8B-9088-4E05-B117-080189BD9231}">
      <formula1>Rating_Agency</formula1>
    </dataValidation>
    <dataValidation type="list" allowBlank="1" showInputMessage="1" showErrorMessage="1" sqref="H2:H20 K5" xr:uid="{E3D4FE72-6976-4A09-986F-86A7978AAFE4}">
      <formula1>israel_abroad</formula1>
    </dataValidation>
    <dataValidation type="list" allowBlank="1" showInputMessage="1" showErrorMessage="1" sqref="Y5" xr:uid="{BDF7F3A1-197B-43E6-903B-41E648A9C674}">
      <formula1>Info_Provider</formula1>
    </dataValidation>
    <dataValidation type="list" allowBlank="1" showInputMessage="1" showErrorMessage="1" sqref="W6:W20 W2:W4" xr:uid="{BA711790-A577-437D-9B3F-81D41781BD3E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F2D0-0F74-463C-9BE9-B2B2F0D64231}">
  <sheetPr codeName="Sheet16"/>
  <dimension ref="A1:R27"/>
  <sheetViews>
    <sheetView rightToLeft="1" workbookViewId="0"/>
  </sheetViews>
  <sheetFormatPr defaultColWidth="9" defaultRowHeight="14.25" x14ac:dyDescent="0.2"/>
  <cols>
    <col min="1" max="5" width="11.625" style="38" customWidth="1"/>
    <col min="6" max="6" width="11.625" style="61" customWidth="1"/>
    <col min="7" max="7" width="11.625" style="41" customWidth="1"/>
    <col min="8" max="8" width="11.625" style="39" customWidth="1"/>
    <col min="9" max="9" width="11.625" style="61" customWidth="1"/>
    <col min="10" max="11" width="11.625" style="46" customWidth="1"/>
    <col min="12" max="14" width="11.625" style="41" customWidth="1"/>
    <col min="15" max="15" width="11.625" style="38" customWidth="1"/>
    <col min="16" max="16" width="11.625" style="39" customWidth="1"/>
    <col min="17" max="18" width="11.625" style="46" customWidth="1"/>
    <col min="19" max="19" width="11.625" style="38" customWidth="1"/>
    <col min="20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86</v>
      </c>
      <c r="E1" s="34" t="s">
        <v>87</v>
      </c>
      <c r="F1" s="47" t="s">
        <v>941</v>
      </c>
      <c r="G1" s="35" t="s">
        <v>91</v>
      </c>
      <c r="H1" s="34" t="s">
        <v>942</v>
      </c>
      <c r="I1" s="47" t="s">
        <v>92</v>
      </c>
      <c r="J1" s="36" t="s">
        <v>65</v>
      </c>
      <c r="K1" s="36" t="s">
        <v>93</v>
      </c>
      <c r="L1" s="35" t="s">
        <v>95</v>
      </c>
      <c r="M1" s="35" t="s">
        <v>96</v>
      </c>
      <c r="N1" s="35" t="s">
        <v>66</v>
      </c>
      <c r="O1" s="34" t="s">
        <v>97</v>
      </c>
      <c r="P1" s="34" t="s">
        <v>20</v>
      </c>
      <c r="Q1" s="36" t="s">
        <v>67</v>
      </c>
      <c r="R1" s="36" t="s">
        <v>68</v>
      </c>
    </row>
    <row r="2" spans="1:18" x14ac:dyDescent="0.2">
      <c r="A2" s="53">
        <v>420</v>
      </c>
      <c r="B2" s="53">
        <v>420</v>
      </c>
      <c r="C2" s="53"/>
      <c r="D2" s="53"/>
      <c r="E2" s="53"/>
      <c r="F2" s="59"/>
      <c r="G2" s="56"/>
      <c r="H2" s="53"/>
      <c r="I2" s="59"/>
      <c r="J2" s="60"/>
      <c r="K2" s="60"/>
      <c r="L2" s="56"/>
      <c r="M2" s="56"/>
      <c r="N2" s="56"/>
      <c r="O2" s="53"/>
      <c r="P2" s="40"/>
      <c r="Q2" s="60" t="s">
        <v>147</v>
      </c>
      <c r="R2" s="60"/>
    </row>
    <row r="3" spans="1:18" x14ac:dyDescent="0.2">
      <c r="A3" s="53">
        <v>420</v>
      </c>
      <c r="B3" s="53">
        <v>1471</v>
      </c>
      <c r="C3" s="53"/>
      <c r="D3" s="53"/>
      <c r="E3" s="53"/>
      <c r="F3" s="59"/>
      <c r="G3" s="56"/>
      <c r="H3" s="53"/>
      <c r="I3" s="59"/>
      <c r="J3" s="60"/>
      <c r="K3" s="60"/>
      <c r="L3" s="56"/>
      <c r="M3" s="56"/>
      <c r="N3" s="56"/>
      <c r="O3" s="53"/>
      <c r="P3" s="40"/>
      <c r="Q3" s="60" t="s">
        <v>147</v>
      </c>
      <c r="R3" s="60"/>
    </row>
    <row r="4" spans="1:18" x14ac:dyDescent="0.2">
      <c r="A4" s="53"/>
      <c r="B4" s="53"/>
      <c r="C4" s="53"/>
      <c r="D4" s="53"/>
      <c r="E4" s="53"/>
      <c r="F4" s="59"/>
      <c r="G4" s="56"/>
      <c r="H4" s="53"/>
      <c r="I4" s="59"/>
      <c r="J4" s="60"/>
      <c r="K4" s="60"/>
      <c r="L4" s="56"/>
      <c r="M4" s="56"/>
      <c r="N4" s="56"/>
      <c r="O4" s="53"/>
      <c r="P4" s="40"/>
      <c r="Q4" s="60"/>
      <c r="R4" s="60"/>
    </row>
    <row r="5" spans="1:18" x14ac:dyDescent="0.2">
      <c r="A5" s="53"/>
      <c r="B5" s="53"/>
      <c r="C5" s="53"/>
      <c r="D5" s="53"/>
      <c r="E5" s="53"/>
      <c r="F5" s="59"/>
      <c r="G5" s="56"/>
      <c r="H5" s="53"/>
      <c r="I5" s="59"/>
      <c r="J5" s="60"/>
      <c r="K5" s="60"/>
      <c r="L5" s="56"/>
      <c r="M5" s="56"/>
      <c r="N5" s="56"/>
      <c r="O5" s="53"/>
      <c r="P5" s="53"/>
      <c r="Q5" s="60"/>
      <c r="R5" s="60"/>
    </row>
    <row r="6" spans="1:18" x14ac:dyDescent="0.2">
      <c r="A6" s="53"/>
      <c r="B6" s="53"/>
      <c r="C6" s="53"/>
      <c r="D6" s="53"/>
      <c r="E6" s="53"/>
      <c r="F6" s="59"/>
      <c r="G6" s="56"/>
      <c r="H6" s="53"/>
      <c r="I6" s="59"/>
      <c r="J6" s="60"/>
      <c r="K6" s="60"/>
      <c r="L6" s="56"/>
      <c r="M6" s="56"/>
      <c r="N6" s="56"/>
      <c r="O6" s="53"/>
      <c r="P6" s="40"/>
      <c r="Q6" s="60"/>
      <c r="R6" s="60"/>
    </row>
    <row r="7" spans="1:18" x14ac:dyDescent="0.2">
      <c r="A7" s="53"/>
      <c r="B7" s="53"/>
      <c r="C7" s="53"/>
      <c r="D7" s="53"/>
      <c r="E7" s="53"/>
      <c r="F7" s="59"/>
      <c r="G7" s="56"/>
      <c r="H7" s="53"/>
      <c r="I7" s="59"/>
      <c r="J7" s="60"/>
      <c r="K7" s="60"/>
      <c r="L7" s="56"/>
      <c r="M7" s="56"/>
      <c r="N7" s="56"/>
      <c r="O7" s="53"/>
      <c r="P7" s="40"/>
      <c r="Q7" s="60"/>
      <c r="R7" s="60"/>
    </row>
    <row r="8" spans="1:18" x14ac:dyDescent="0.2">
      <c r="A8" s="53"/>
      <c r="B8" s="53"/>
      <c r="C8" s="53"/>
      <c r="D8" s="53"/>
      <c r="E8" s="53"/>
      <c r="F8" s="59"/>
      <c r="G8" s="56"/>
      <c r="H8" s="53"/>
      <c r="I8" s="59"/>
      <c r="J8" s="60"/>
      <c r="K8" s="60"/>
      <c r="L8" s="56"/>
      <c r="M8" s="56"/>
      <c r="N8" s="56"/>
      <c r="O8" s="53"/>
      <c r="P8" s="40"/>
      <c r="Q8" s="60"/>
      <c r="R8" s="60"/>
    </row>
    <row r="9" spans="1:18" x14ac:dyDescent="0.2">
      <c r="A9" s="53"/>
      <c r="B9" s="53"/>
      <c r="C9" s="53"/>
      <c r="D9" s="53"/>
      <c r="E9" s="53"/>
      <c r="F9" s="59"/>
      <c r="G9" s="56"/>
      <c r="H9" s="53"/>
      <c r="I9" s="59"/>
      <c r="J9" s="60"/>
      <c r="K9" s="60"/>
      <c r="L9" s="56"/>
      <c r="M9" s="56"/>
      <c r="N9" s="56"/>
      <c r="O9" s="53"/>
      <c r="P9" s="40"/>
      <c r="Q9" s="60"/>
      <c r="R9" s="60"/>
    </row>
    <row r="10" spans="1:18" x14ac:dyDescent="0.2">
      <c r="A10" s="53"/>
      <c r="B10" s="53"/>
      <c r="C10" s="53"/>
      <c r="D10" s="53"/>
      <c r="E10" s="53"/>
      <c r="F10" s="59"/>
      <c r="G10" s="56"/>
      <c r="H10" s="53"/>
      <c r="I10" s="59"/>
      <c r="J10" s="60"/>
      <c r="K10" s="60"/>
      <c r="L10" s="56"/>
      <c r="M10" s="56"/>
      <c r="N10" s="56"/>
      <c r="O10" s="53"/>
      <c r="P10" s="40"/>
      <c r="Q10" s="60"/>
      <c r="R10" s="60"/>
    </row>
    <row r="11" spans="1:18" x14ac:dyDescent="0.2">
      <c r="A11" s="53"/>
      <c r="B11" s="53"/>
      <c r="C11" s="53"/>
      <c r="D11" s="53"/>
      <c r="E11" s="53"/>
      <c r="F11" s="59"/>
      <c r="G11" s="56"/>
      <c r="H11" s="53"/>
      <c r="I11" s="59"/>
      <c r="J11" s="60"/>
      <c r="K11" s="60"/>
      <c r="L11" s="56"/>
      <c r="M11" s="56"/>
      <c r="N11" s="56"/>
      <c r="O11" s="53"/>
      <c r="P11" s="40"/>
      <c r="Q11" s="60"/>
      <c r="R11" s="60"/>
    </row>
    <row r="12" spans="1:18" x14ac:dyDescent="0.2">
      <c r="A12" s="53"/>
      <c r="B12" s="53"/>
      <c r="C12" s="53"/>
      <c r="D12" s="53"/>
      <c r="E12" s="53"/>
      <c r="F12" s="59"/>
      <c r="G12" s="56"/>
      <c r="H12" s="53"/>
      <c r="I12" s="59"/>
      <c r="J12" s="60"/>
      <c r="K12" s="60"/>
      <c r="L12" s="56"/>
      <c r="M12" s="56"/>
      <c r="N12" s="56"/>
      <c r="O12" s="53"/>
      <c r="P12" s="40"/>
      <c r="Q12" s="60"/>
      <c r="R12" s="60"/>
    </row>
    <row r="13" spans="1:18" x14ac:dyDescent="0.2">
      <c r="A13" s="53"/>
      <c r="B13" s="53"/>
      <c r="C13" s="53"/>
      <c r="D13" s="53"/>
      <c r="E13" s="53"/>
      <c r="F13" s="59"/>
      <c r="G13" s="56"/>
      <c r="H13" s="53"/>
      <c r="I13" s="59"/>
      <c r="J13" s="60"/>
      <c r="K13" s="60"/>
      <c r="L13" s="56"/>
      <c r="M13" s="56"/>
      <c r="N13" s="56"/>
      <c r="O13" s="53"/>
      <c r="P13" s="40"/>
      <c r="Q13" s="60"/>
      <c r="R13" s="60"/>
    </row>
    <row r="14" spans="1:18" x14ac:dyDescent="0.2">
      <c r="A14" s="53"/>
      <c r="B14" s="53"/>
      <c r="C14" s="53"/>
      <c r="D14" s="53"/>
      <c r="E14" s="53"/>
      <c r="F14" s="59"/>
      <c r="G14" s="56"/>
      <c r="H14" s="53"/>
      <c r="I14" s="59"/>
      <c r="J14" s="60"/>
      <c r="K14" s="60"/>
      <c r="L14" s="56"/>
      <c r="M14" s="56"/>
      <c r="N14" s="56"/>
      <c r="O14" s="53"/>
      <c r="P14" s="40"/>
      <c r="Q14" s="60"/>
      <c r="R14" s="60"/>
    </row>
    <row r="15" spans="1:18" x14ac:dyDescent="0.2">
      <c r="A15" s="53"/>
      <c r="B15" s="53"/>
      <c r="C15" s="53"/>
      <c r="D15" s="53"/>
      <c r="E15" s="53"/>
      <c r="F15" s="59"/>
      <c r="G15" s="56"/>
      <c r="H15" s="53"/>
      <c r="I15" s="59"/>
      <c r="J15" s="60"/>
      <c r="K15" s="60"/>
      <c r="L15" s="56"/>
      <c r="M15" s="56"/>
      <c r="N15" s="56"/>
      <c r="O15" s="53"/>
      <c r="P15" s="40"/>
      <c r="Q15" s="60"/>
      <c r="R15" s="60"/>
    </row>
    <row r="16" spans="1:18" x14ac:dyDescent="0.2">
      <c r="A16" s="53"/>
      <c r="B16" s="53"/>
      <c r="C16" s="53"/>
      <c r="D16" s="53"/>
      <c r="E16" s="53"/>
      <c r="F16" s="59"/>
      <c r="G16" s="56"/>
      <c r="H16" s="53"/>
      <c r="I16" s="59"/>
      <c r="J16" s="60"/>
      <c r="K16" s="60"/>
      <c r="L16" s="56"/>
      <c r="M16" s="56"/>
      <c r="N16" s="56"/>
      <c r="O16" s="53"/>
      <c r="P16" s="40"/>
      <c r="Q16" s="60"/>
      <c r="R16" s="60"/>
    </row>
    <row r="17" spans="1:18" x14ac:dyDescent="0.2">
      <c r="A17" s="53"/>
      <c r="B17" s="53"/>
      <c r="C17" s="53"/>
      <c r="D17" s="53"/>
      <c r="E17" s="53"/>
      <c r="F17" s="59"/>
      <c r="G17" s="56"/>
      <c r="H17" s="53"/>
      <c r="I17" s="59"/>
      <c r="J17" s="60"/>
      <c r="K17" s="60"/>
      <c r="L17" s="56"/>
      <c r="M17" s="56"/>
      <c r="N17" s="56"/>
      <c r="O17" s="53"/>
      <c r="P17" s="40"/>
      <c r="Q17" s="60"/>
      <c r="R17" s="60"/>
    </row>
    <row r="18" spans="1:18" x14ac:dyDescent="0.2">
      <c r="A18" s="53"/>
      <c r="B18" s="53"/>
      <c r="C18" s="53"/>
      <c r="D18" s="53"/>
      <c r="E18" s="53"/>
      <c r="F18" s="59"/>
      <c r="G18" s="56"/>
      <c r="H18" s="53"/>
      <c r="I18" s="59"/>
      <c r="J18" s="60"/>
      <c r="K18" s="60"/>
      <c r="L18" s="56"/>
      <c r="M18" s="56"/>
      <c r="N18" s="56"/>
      <c r="O18" s="53"/>
      <c r="P18" s="40"/>
      <c r="Q18" s="60"/>
      <c r="R18" s="60"/>
    </row>
    <row r="19" spans="1:18" x14ac:dyDescent="0.2">
      <c r="A19" s="53"/>
      <c r="B19" s="53"/>
      <c r="C19" s="53"/>
      <c r="D19" s="53"/>
      <c r="E19" s="53"/>
      <c r="F19" s="59"/>
      <c r="G19" s="56"/>
      <c r="H19" s="53"/>
      <c r="I19" s="59"/>
      <c r="J19" s="60"/>
      <c r="K19" s="60"/>
      <c r="L19" s="56"/>
      <c r="M19" s="56"/>
      <c r="N19" s="56"/>
      <c r="O19" s="53"/>
      <c r="P19" s="40"/>
      <c r="Q19" s="60"/>
      <c r="R19" s="60"/>
    </row>
    <row r="20" spans="1:18" x14ac:dyDescent="0.2">
      <c r="C20" s="53"/>
      <c r="H20" s="53"/>
      <c r="P20" s="40"/>
    </row>
    <row r="21" spans="1:18" x14ac:dyDescent="0.2">
      <c r="C21" s="39"/>
      <c r="H21" s="38"/>
    </row>
    <row r="22" spans="1:18" x14ac:dyDescent="0.2">
      <c r="C22" s="39"/>
      <c r="H22" s="38"/>
    </row>
    <row r="23" spans="1:18" x14ac:dyDescent="0.2">
      <c r="C23" s="39"/>
      <c r="H23" s="38"/>
    </row>
    <row r="24" spans="1:18" x14ac:dyDescent="0.2">
      <c r="C24" s="39"/>
      <c r="H24" s="38"/>
    </row>
    <row r="25" spans="1:18" x14ac:dyDescent="0.2">
      <c r="C25" s="39"/>
    </row>
    <row r="26" spans="1:18" x14ac:dyDescent="0.2">
      <c r="C26" s="39"/>
    </row>
    <row r="27" spans="1:18" x14ac:dyDescent="0.2">
      <c r="C27" s="39"/>
    </row>
  </sheetData>
  <sheetProtection formatColumns="0"/>
  <dataValidations count="2">
    <dataValidation type="list" allowBlank="1" showInputMessage="1" showErrorMessage="1" sqref="H2:H20" xr:uid="{CF1F38BF-BFD4-48EF-BC6F-3C2D52AAE243}">
      <formula1>Linked_Type</formula1>
    </dataValidation>
    <dataValidation type="list" allowBlank="1" showInputMessage="1" showErrorMessage="1" sqref="P6:P20 P2:P4" xr:uid="{BC334F0F-3DD6-4EE7-9DDA-143A16312F0E}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3C5E-8206-4358-BCFB-831A51C81991}">
  <sheetPr codeName="Sheet2"/>
  <dimension ref="A1:G27"/>
  <sheetViews>
    <sheetView rightToLeft="1" workbookViewId="0"/>
  </sheetViews>
  <sheetFormatPr defaultColWidth="9" defaultRowHeight="14.25" x14ac:dyDescent="0.2"/>
  <cols>
    <col min="1" max="3" width="11.625" style="38" customWidth="1"/>
    <col min="4" max="6" width="11.625" style="39" customWidth="1"/>
    <col min="7" max="7" width="11.625" style="46" customWidth="1"/>
    <col min="8" max="8" width="11.625" style="38" customWidth="1"/>
    <col min="9" max="16384" width="9" style="38"/>
  </cols>
  <sheetData>
    <row r="1" spans="1:7" ht="66.75" customHeight="1" x14ac:dyDescent="0.2">
      <c r="A1" s="34" t="s">
        <v>943</v>
      </c>
      <c r="B1" s="34" t="s">
        <v>53</v>
      </c>
      <c r="C1" s="34" t="s">
        <v>57</v>
      </c>
      <c r="D1" s="34" t="s">
        <v>944</v>
      </c>
      <c r="E1" s="34" t="s">
        <v>945</v>
      </c>
      <c r="F1" s="34" t="s">
        <v>946</v>
      </c>
      <c r="G1" s="36" t="s">
        <v>68</v>
      </c>
    </row>
    <row r="2" spans="1:7" x14ac:dyDescent="0.2">
      <c r="A2" s="53">
        <v>420</v>
      </c>
      <c r="B2" s="53">
        <v>420</v>
      </c>
      <c r="C2" s="53"/>
      <c r="D2" s="64"/>
      <c r="G2" s="60"/>
    </row>
    <row r="3" spans="1:7" x14ac:dyDescent="0.2">
      <c r="A3" s="53">
        <v>420</v>
      </c>
      <c r="B3" s="53">
        <v>1471</v>
      </c>
      <c r="C3" s="53"/>
      <c r="G3" s="60"/>
    </row>
    <row r="4" spans="1:7" x14ac:dyDescent="0.2">
      <c r="A4" s="53"/>
      <c r="B4" s="53"/>
      <c r="C4" s="53"/>
      <c r="G4" s="60"/>
    </row>
    <row r="5" spans="1:7" x14ac:dyDescent="0.2">
      <c r="A5" s="53"/>
      <c r="B5" s="53"/>
      <c r="C5" s="53"/>
      <c r="G5" s="60"/>
    </row>
    <row r="6" spans="1:7" x14ac:dyDescent="0.2">
      <c r="A6" s="53"/>
      <c r="B6" s="53"/>
      <c r="C6" s="53"/>
      <c r="G6" s="60"/>
    </row>
    <row r="7" spans="1:7" x14ac:dyDescent="0.2">
      <c r="A7" s="53"/>
      <c r="B7" s="53"/>
      <c r="C7" s="53"/>
      <c r="G7" s="60"/>
    </row>
    <row r="8" spans="1:7" x14ac:dyDescent="0.2">
      <c r="A8" s="53"/>
      <c r="B8" s="53"/>
      <c r="C8" s="53"/>
      <c r="G8" s="60"/>
    </row>
    <row r="9" spans="1:7" x14ac:dyDescent="0.2">
      <c r="A9" s="53"/>
      <c r="B9" s="53"/>
      <c r="C9" s="53"/>
      <c r="G9" s="60"/>
    </row>
    <row r="10" spans="1:7" x14ac:dyDescent="0.2">
      <c r="A10" s="53"/>
      <c r="B10" s="53"/>
      <c r="C10" s="53"/>
      <c r="G10" s="60"/>
    </row>
    <row r="11" spans="1:7" x14ac:dyDescent="0.2">
      <c r="A11" s="53"/>
      <c r="B11" s="53"/>
      <c r="C11" s="53"/>
      <c r="G11" s="60"/>
    </row>
    <row r="12" spans="1:7" x14ac:dyDescent="0.2">
      <c r="A12" s="53"/>
      <c r="B12" s="53"/>
      <c r="C12" s="53"/>
      <c r="G12" s="60"/>
    </row>
    <row r="13" spans="1:7" x14ac:dyDescent="0.2">
      <c r="A13" s="53"/>
      <c r="B13" s="53"/>
      <c r="C13" s="53"/>
      <c r="G13" s="60"/>
    </row>
    <row r="14" spans="1:7" x14ac:dyDescent="0.2">
      <c r="A14" s="53"/>
      <c r="B14" s="53"/>
      <c r="C14" s="53"/>
      <c r="G14" s="60"/>
    </row>
    <row r="15" spans="1:7" x14ac:dyDescent="0.2">
      <c r="A15" s="53"/>
      <c r="B15" s="53"/>
      <c r="C15" s="53"/>
      <c r="G15" s="60"/>
    </row>
    <row r="16" spans="1:7" x14ac:dyDescent="0.2">
      <c r="A16" s="53"/>
      <c r="B16" s="53"/>
      <c r="C16" s="53"/>
      <c r="G16" s="60"/>
    </row>
    <row r="17" spans="1:7" x14ac:dyDescent="0.2">
      <c r="A17" s="53"/>
      <c r="B17" s="53"/>
      <c r="C17" s="53"/>
      <c r="G17" s="60"/>
    </row>
    <row r="18" spans="1:7" x14ac:dyDescent="0.2">
      <c r="A18" s="53"/>
      <c r="B18" s="53"/>
      <c r="C18" s="53"/>
      <c r="G18" s="60"/>
    </row>
    <row r="19" spans="1:7" x14ac:dyDescent="0.2">
      <c r="A19" s="53"/>
      <c r="B19" s="53"/>
      <c r="C19" s="53"/>
      <c r="G19" s="60"/>
    </row>
    <row r="20" spans="1:7" x14ac:dyDescent="0.2">
      <c r="C20" s="53"/>
    </row>
    <row r="21" spans="1:7" x14ac:dyDescent="0.2">
      <c r="C21" s="39"/>
    </row>
    <row r="22" spans="1:7" x14ac:dyDescent="0.2">
      <c r="C22" s="39"/>
    </row>
    <row r="23" spans="1:7" x14ac:dyDescent="0.2">
      <c r="C23" s="39"/>
    </row>
    <row r="24" spans="1:7" x14ac:dyDescent="0.2">
      <c r="C24" s="39"/>
    </row>
    <row r="25" spans="1:7" x14ac:dyDescent="0.2">
      <c r="C25" s="39"/>
    </row>
    <row r="26" spans="1:7" x14ac:dyDescent="0.2">
      <c r="C26" s="39"/>
    </row>
    <row r="27" spans="1:7" x14ac:dyDescent="0.2">
      <c r="C27" s="39"/>
    </row>
  </sheetData>
  <sheetProtection formatColumns="0"/>
  <dataValidations count="1">
    <dataValidation type="list" allowBlank="1" showInputMessage="1" showErrorMessage="1" sqref="C2:C20" xr:uid="{B40F0618-6433-4BD9-BC3D-5718F295EC48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386E-34D5-4247-AA3D-52D139F1E27F}">
  <sheetPr codeName="Sheet17"/>
  <dimension ref="A1:AN24"/>
  <sheetViews>
    <sheetView rightToLeft="1" topLeftCell="AF1" workbookViewId="0"/>
  </sheetViews>
  <sheetFormatPr defaultRowHeight="14.25" x14ac:dyDescent="0.2"/>
  <cols>
    <col min="1" max="4" width="11.625" style="39" customWidth="1"/>
    <col min="5" max="5" width="11.625" style="45" customWidth="1"/>
    <col min="6" max="11" width="11.625" style="39" customWidth="1"/>
    <col min="12" max="12" width="11.625" style="38" customWidth="1"/>
    <col min="13" max="13" width="11.625" style="39" customWidth="1"/>
    <col min="14" max="14" width="11.625" style="48" customWidth="1"/>
    <col min="15" max="18" width="11.625" style="39" customWidth="1"/>
    <col min="19" max="19" width="11.625" style="42" customWidth="1"/>
    <col min="20" max="21" width="11.625" style="39" customWidth="1"/>
    <col min="22" max="22" width="11.625" style="48" customWidth="1"/>
    <col min="23" max="24" width="11.625" style="43" customWidth="1"/>
    <col min="25" max="26" width="9" style="45"/>
    <col min="27" max="29" width="11.625" style="39" customWidth="1"/>
    <col min="30" max="31" width="11.625" style="48" customWidth="1"/>
    <col min="32" max="35" width="11.625" style="42" customWidth="1"/>
    <col min="36" max="38" width="11.625" style="39" customWidth="1"/>
    <col min="39" max="40" width="11.625" style="43" customWidth="1"/>
    <col min="41" max="16384" width="9" style="39"/>
  </cols>
  <sheetData>
    <row r="1" spans="1:40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/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141</v>
      </c>
      <c r="M1" s="34" t="s">
        <v>59</v>
      </c>
      <c r="N1" s="47" t="s">
        <v>941</v>
      </c>
      <c r="O1" s="34" t="s">
        <v>90</v>
      </c>
      <c r="P1" s="34" t="s">
        <v>61</v>
      </c>
      <c r="Q1" s="34" t="s">
        <v>142</v>
      </c>
      <c r="R1" s="34" t="s">
        <v>62</v>
      </c>
      <c r="S1" s="35" t="s">
        <v>91</v>
      </c>
      <c r="T1" s="34" t="s">
        <v>942</v>
      </c>
      <c r="U1" s="34" t="s">
        <v>143</v>
      </c>
      <c r="V1" s="47" t="s">
        <v>92</v>
      </c>
      <c r="W1" s="36" t="s">
        <v>65</v>
      </c>
      <c r="X1" s="36" t="s">
        <v>93</v>
      </c>
      <c r="Y1" s="34" t="s">
        <v>144</v>
      </c>
      <c r="Z1" s="34" t="s">
        <v>145</v>
      </c>
      <c r="AA1" s="34" t="s">
        <v>947</v>
      </c>
      <c r="AB1" s="34" t="s">
        <v>948</v>
      </c>
      <c r="AC1" s="34" t="s">
        <v>949</v>
      </c>
      <c r="AD1" s="47" t="s">
        <v>950</v>
      </c>
      <c r="AE1" s="47" t="s">
        <v>951</v>
      </c>
      <c r="AF1" s="35" t="s">
        <v>95</v>
      </c>
      <c r="AG1" s="35" t="s">
        <v>64</v>
      </c>
      <c r="AH1" s="35" t="s">
        <v>96</v>
      </c>
      <c r="AI1" s="35" t="s">
        <v>66</v>
      </c>
      <c r="AJ1" s="34" t="s">
        <v>97</v>
      </c>
      <c r="AK1" s="34" t="s">
        <v>146</v>
      </c>
      <c r="AL1" s="34" t="s">
        <v>20</v>
      </c>
      <c r="AM1" s="36" t="s">
        <v>67</v>
      </c>
      <c r="AN1" s="36" t="s">
        <v>68</v>
      </c>
    </row>
    <row r="2" spans="1:40" x14ac:dyDescent="0.2">
      <c r="A2" s="53">
        <v>420</v>
      </c>
      <c r="B2" s="53">
        <v>420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53"/>
      <c r="N2" s="59"/>
      <c r="O2" s="53"/>
      <c r="P2" s="53"/>
      <c r="Q2" s="53"/>
      <c r="R2" s="40"/>
      <c r="S2" s="56"/>
      <c r="T2" s="53"/>
      <c r="U2" s="53"/>
      <c r="V2" s="59"/>
      <c r="W2" s="60"/>
      <c r="X2" s="60"/>
      <c r="Y2" s="40"/>
      <c r="Z2" s="53"/>
      <c r="AA2" s="53"/>
      <c r="AB2" s="53"/>
      <c r="AC2" s="53"/>
      <c r="AD2" s="59"/>
      <c r="AE2" s="59"/>
      <c r="AF2" s="56"/>
      <c r="AG2" s="56"/>
      <c r="AH2" s="56"/>
      <c r="AI2" s="56"/>
      <c r="AK2" s="53"/>
      <c r="AL2" s="53"/>
      <c r="AM2" s="43" t="s">
        <v>147</v>
      </c>
    </row>
    <row r="3" spans="1:40" x14ac:dyDescent="0.2">
      <c r="A3" s="53">
        <v>420</v>
      </c>
      <c r="B3" s="53">
        <v>1471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53"/>
      <c r="N3" s="59"/>
      <c r="O3" s="53"/>
      <c r="P3" s="53"/>
      <c r="Q3" s="53"/>
      <c r="R3" s="40"/>
      <c r="S3" s="56"/>
      <c r="T3" s="53"/>
      <c r="U3" s="53"/>
      <c r="V3" s="59"/>
      <c r="W3" s="60"/>
      <c r="X3" s="60"/>
      <c r="Y3" s="40"/>
      <c r="Z3" s="40"/>
      <c r="AA3" s="53"/>
      <c r="AB3" s="53"/>
      <c r="AF3" s="56"/>
      <c r="AG3" s="56"/>
      <c r="AH3" s="56"/>
      <c r="AI3" s="56"/>
      <c r="AK3" s="53"/>
      <c r="AL3" s="53"/>
      <c r="AM3" s="43" t="s">
        <v>147</v>
      </c>
    </row>
    <row r="4" spans="1:40" x14ac:dyDescent="0.2">
      <c r="A4" s="53"/>
      <c r="B4" s="53"/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53"/>
      <c r="U4" s="53"/>
      <c r="V4" s="59"/>
      <c r="W4" s="60"/>
      <c r="X4" s="60"/>
      <c r="Y4" s="40"/>
      <c r="Z4" s="40"/>
      <c r="AA4" s="53"/>
      <c r="AB4" s="53"/>
      <c r="AD4" s="59"/>
      <c r="AE4" s="59"/>
      <c r="AF4" s="56"/>
      <c r="AG4" s="56"/>
      <c r="AH4" s="56"/>
      <c r="AI4" s="56"/>
      <c r="AK4" s="53"/>
      <c r="AL4" s="53"/>
    </row>
    <row r="5" spans="1:40" x14ac:dyDescent="0.2">
      <c r="A5" s="53"/>
      <c r="B5" s="53"/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53"/>
      <c r="U5" s="53"/>
      <c r="V5" s="59"/>
      <c r="W5" s="60"/>
      <c r="X5" s="60"/>
      <c r="Y5" s="40"/>
      <c r="Z5" s="40"/>
      <c r="AA5" s="53"/>
      <c r="AB5" s="53"/>
      <c r="AD5" s="59"/>
      <c r="AE5" s="59"/>
      <c r="AF5" s="56"/>
      <c r="AG5" s="56"/>
      <c r="AH5" s="56"/>
      <c r="AI5" s="56"/>
      <c r="AK5" s="53"/>
      <c r="AL5" s="53"/>
    </row>
    <row r="6" spans="1:40" x14ac:dyDescent="0.2">
      <c r="A6" s="53"/>
      <c r="B6" s="53"/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53"/>
      <c r="U6" s="53"/>
      <c r="V6" s="59"/>
      <c r="W6" s="60"/>
      <c r="X6" s="60"/>
      <c r="Y6" s="40"/>
      <c r="Z6" s="40"/>
      <c r="AA6" s="53"/>
      <c r="AB6" s="53"/>
      <c r="AD6" s="59"/>
      <c r="AE6" s="59"/>
      <c r="AF6" s="56"/>
      <c r="AG6" s="56"/>
      <c r="AH6" s="56"/>
      <c r="AI6" s="56"/>
      <c r="AK6" s="53"/>
      <c r="AL6" s="53"/>
    </row>
    <row r="7" spans="1:40" x14ac:dyDescent="0.2">
      <c r="A7" s="53"/>
      <c r="B7" s="53"/>
      <c r="C7" s="53"/>
      <c r="D7" s="53"/>
      <c r="E7" s="40"/>
      <c r="F7" s="53"/>
      <c r="G7" s="53"/>
      <c r="H7" s="40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53"/>
      <c r="U7" s="53"/>
      <c r="V7" s="59"/>
      <c r="W7" s="60"/>
      <c r="X7" s="60"/>
      <c r="Y7" s="40"/>
      <c r="Z7" s="40"/>
      <c r="AA7" s="53"/>
      <c r="AB7" s="53"/>
      <c r="AD7" s="59"/>
      <c r="AE7" s="59"/>
      <c r="AF7" s="56"/>
      <c r="AG7" s="56"/>
      <c r="AH7" s="56"/>
      <c r="AI7" s="56"/>
      <c r="AK7" s="53"/>
      <c r="AL7" s="53"/>
    </row>
    <row r="8" spans="1:40" x14ac:dyDescent="0.2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53"/>
      <c r="U8" s="53"/>
      <c r="V8" s="59"/>
      <c r="W8" s="60"/>
      <c r="X8" s="60"/>
      <c r="Y8" s="40"/>
      <c r="Z8" s="40"/>
      <c r="AA8" s="53"/>
      <c r="AB8" s="53"/>
      <c r="AD8" s="59"/>
      <c r="AE8" s="59"/>
      <c r="AF8" s="56"/>
      <c r="AG8" s="56"/>
      <c r="AH8" s="56"/>
      <c r="AI8" s="56"/>
      <c r="AK8" s="53"/>
      <c r="AL8" s="53"/>
    </row>
    <row r="9" spans="1:40" x14ac:dyDescent="0.2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53"/>
      <c r="U9" s="53"/>
      <c r="V9" s="59"/>
      <c r="W9" s="60"/>
      <c r="X9" s="60"/>
      <c r="Y9" s="40"/>
      <c r="Z9" s="40"/>
      <c r="AA9" s="53"/>
      <c r="AB9" s="53"/>
      <c r="AD9" s="59"/>
      <c r="AE9" s="59"/>
      <c r="AF9" s="56"/>
      <c r="AG9" s="56"/>
      <c r="AH9" s="56"/>
      <c r="AL9" s="53"/>
    </row>
    <row r="10" spans="1:40" x14ac:dyDescent="0.2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53"/>
      <c r="U10" s="53"/>
      <c r="V10" s="59"/>
      <c r="W10" s="60"/>
      <c r="X10" s="60"/>
      <c r="Y10" s="40"/>
      <c r="Z10" s="40"/>
      <c r="AA10" s="53"/>
      <c r="AB10" s="53"/>
      <c r="AD10" s="59"/>
      <c r="AE10" s="59"/>
      <c r="AF10" s="56"/>
      <c r="AG10" s="56"/>
      <c r="AH10" s="56"/>
      <c r="AL10" s="53"/>
    </row>
    <row r="11" spans="1:40" x14ac:dyDescent="0.2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53"/>
      <c r="U11" s="53"/>
      <c r="V11" s="59"/>
      <c r="W11" s="60"/>
      <c r="X11" s="60"/>
      <c r="Y11" s="40"/>
      <c r="Z11" s="40"/>
      <c r="AA11" s="53"/>
      <c r="AB11" s="53"/>
      <c r="AD11" s="59"/>
      <c r="AE11" s="59"/>
      <c r="AF11" s="56"/>
      <c r="AG11" s="56"/>
      <c r="AH11" s="56"/>
      <c r="AI11" s="56"/>
      <c r="AK11" s="53"/>
      <c r="AL11" s="53"/>
    </row>
    <row r="12" spans="1:40" x14ac:dyDescent="0.2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53"/>
      <c r="U12" s="53"/>
      <c r="V12" s="59"/>
      <c r="W12" s="60"/>
      <c r="X12" s="60"/>
      <c r="Y12" s="40"/>
      <c r="Z12" s="40"/>
      <c r="AA12" s="53"/>
      <c r="AB12" s="53"/>
      <c r="AD12" s="59"/>
      <c r="AE12" s="59"/>
      <c r="AF12" s="56"/>
      <c r="AG12" s="56"/>
      <c r="AH12" s="56"/>
      <c r="AI12" s="56"/>
      <c r="AK12" s="53"/>
      <c r="AL12" s="53"/>
    </row>
    <row r="13" spans="1:40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53"/>
      <c r="U13" s="53"/>
      <c r="V13" s="59"/>
      <c r="W13" s="60"/>
      <c r="X13" s="60"/>
      <c r="Y13" s="40"/>
      <c r="Z13" s="40"/>
      <c r="AA13" s="53"/>
      <c r="AB13" s="53"/>
      <c r="AD13" s="59"/>
      <c r="AE13" s="59"/>
      <c r="AF13" s="56"/>
      <c r="AG13" s="56"/>
      <c r="AH13" s="56"/>
      <c r="AI13" s="56"/>
      <c r="AK13" s="53"/>
      <c r="AL13" s="53"/>
    </row>
    <row r="14" spans="1:40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53"/>
      <c r="U14" s="53"/>
      <c r="V14" s="59"/>
      <c r="W14" s="60"/>
      <c r="X14" s="60"/>
      <c r="Y14" s="40"/>
      <c r="Z14" s="40"/>
      <c r="AA14" s="53"/>
      <c r="AB14" s="53"/>
      <c r="AD14" s="59"/>
      <c r="AE14" s="59"/>
      <c r="AF14" s="56"/>
      <c r="AG14" s="56"/>
      <c r="AH14" s="56"/>
      <c r="AI14" s="56"/>
      <c r="AK14" s="53"/>
      <c r="AL14" s="53"/>
    </row>
    <row r="15" spans="1:40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53"/>
      <c r="U15" s="53"/>
      <c r="V15" s="59"/>
      <c r="W15" s="60"/>
      <c r="X15" s="60"/>
      <c r="Y15" s="40"/>
      <c r="Z15" s="40"/>
      <c r="AA15" s="53"/>
      <c r="AB15" s="53"/>
      <c r="AD15" s="59"/>
      <c r="AE15" s="59"/>
      <c r="AF15" s="56"/>
      <c r="AG15" s="56"/>
      <c r="AH15" s="56"/>
      <c r="AI15" s="56"/>
      <c r="AK15" s="53"/>
      <c r="AL15" s="53"/>
    </row>
    <row r="16" spans="1:40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53"/>
      <c r="U16" s="53"/>
      <c r="V16" s="59"/>
      <c r="W16" s="60"/>
      <c r="X16" s="60"/>
      <c r="Y16" s="40"/>
      <c r="Z16" s="40"/>
      <c r="AA16" s="53"/>
      <c r="AB16" s="53"/>
      <c r="AD16" s="59"/>
      <c r="AE16" s="59"/>
      <c r="AF16" s="56"/>
      <c r="AG16" s="56"/>
      <c r="AH16" s="56"/>
      <c r="AI16" s="56"/>
      <c r="AK16" s="53"/>
      <c r="AL16" s="53"/>
    </row>
    <row r="17" spans="1:38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53"/>
      <c r="U17" s="53"/>
      <c r="V17" s="59"/>
      <c r="W17" s="60"/>
      <c r="X17" s="60"/>
      <c r="Y17" s="40"/>
      <c r="Z17" s="40"/>
      <c r="AA17" s="53"/>
      <c r="AB17" s="53"/>
      <c r="AD17" s="59"/>
      <c r="AE17" s="59"/>
      <c r="AF17" s="56"/>
      <c r="AG17" s="56"/>
      <c r="AH17" s="56"/>
      <c r="AI17" s="56"/>
      <c r="AK17" s="53"/>
      <c r="AL17" s="53"/>
    </row>
    <row r="18" spans="1:38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53"/>
      <c r="U18" s="53"/>
      <c r="V18" s="59"/>
      <c r="W18" s="60"/>
      <c r="X18" s="60"/>
      <c r="Y18" s="40"/>
      <c r="Z18" s="40"/>
      <c r="AA18" s="53"/>
      <c r="AB18" s="53"/>
      <c r="AD18" s="59"/>
      <c r="AE18" s="59"/>
      <c r="AF18" s="56"/>
      <c r="AG18" s="56"/>
      <c r="AH18" s="56"/>
      <c r="AI18" s="56"/>
      <c r="AK18" s="53"/>
      <c r="AL18" s="53"/>
    </row>
    <row r="19" spans="1:38" x14ac:dyDescent="0.2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53"/>
      <c r="U19" s="53"/>
      <c r="V19" s="59"/>
      <c r="W19" s="60"/>
      <c r="X19" s="60"/>
      <c r="Y19" s="40"/>
      <c r="Z19" s="40"/>
      <c r="AA19" s="53"/>
      <c r="AB19" s="53"/>
      <c r="AD19" s="59"/>
      <c r="AE19" s="59"/>
      <c r="AF19" s="56"/>
      <c r="AG19" s="56"/>
      <c r="AH19" s="56"/>
      <c r="AI19" s="56"/>
      <c r="AK19" s="53"/>
      <c r="AL19" s="53"/>
    </row>
    <row r="20" spans="1:38" x14ac:dyDescent="0.2">
      <c r="E20" s="40"/>
      <c r="H20" s="40"/>
      <c r="I20" s="53"/>
      <c r="J20" s="40"/>
      <c r="K20" s="40"/>
      <c r="L20" s="53"/>
      <c r="M20" s="53"/>
      <c r="P20" s="53"/>
      <c r="Q20" s="53"/>
      <c r="T20" s="53"/>
      <c r="U20" s="53"/>
      <c r="Y20" s="40"/>
      <c r="Z20" s="40"/>
      <c r="AA20" s="53"/>
      <c r="AB20" s="53"/>
      <c r="AL20" s="53"/>
    </row>
    <row r="21" spans="1:38" x14ac:dyDescent="0.2">
      <c r="E21" s="39"/>
      <c r="L21" s="39"/>
      <c r="Z21" s="39"/>
      <c r="AL21" s="38"/>
    </row>
    <row r="22" spans="1:38" x14ac:dyDescent="0.2">
      <c r="T22" s="38"/>
      <c r="U22" s="38"/>
      <c r="AL22" s="38"/>
    </row>
    <row r="23" spans="1:38" x14ac:dyDescent="0.2">
      <c r="T23" s="38"/>
      <c r="U23" s="38"/>
    </row>
    <row r="24" spans="1:38" x14ac:dyDescent="0.2">
      <c r="T24" s="38"/>
      <c r="U24" s="38"/>
    </row>
  </sheetData>
  <sheetProtection formatColumns="0"/>
  <dataValidations count="16">
    <dataValidation type="list" allowBlank="1" showInputMessage="1" showErrorMessage="1" sqref="L2:L20" xr:uid="{ACF52ECE-2230-4DE1-9BDB-C11FA72D7609}">
      <formula1>Industry_Sector</formula1>
    </dataValidation>
    <dataValidation type="list" allowBlank="1" showInputMessage="1" showErrorMessage="1" sqref="AL2:AL20" xr:uid="{DD0276BD-EBDC-4BB2-9A48-632FAF5CCC6A}">
      <formula1>In_the_books</formula1>
    </dataValidation>
    <dataValidation type="list" allowBlank="1" showInputMessage="1" showErrorMessage="1" sqref="Y2:Y20" xr:uid="{FCADB137-BF32-41B5-8B55-46259A33D7BE}">
      <formula1>Subordination_Risk</formula1>
    </dataValidation>
    <dataValidation type="list" allowBlank="1" showInputMessage="1" showErrorMessage="1" sqref="E2" xr:uid="{2223CB8C-320B-4212-BB1D-D04A9C8AEFDC}">
      <formula1>Issuer_Number_Type_3</formula1>
    </dataValidation>
    <dataValidation type="list" allowBlank="1" showInputMessage="1" showErrorMessage="1" sqref="H2:H20" xr:uid="{A21A85A5-B8FF-4A07-A494-38C0E5302212}">
      <formula1>Type_of_Security_ID_Fund</formula1>
    </dataValidation>
    <dataValidation type="list" allowBlank="1" showInputMessage="1" showErrorMessage="1" sqref="E3:E20" xr:uid="{51F181E6-88A3-492A-A71C-06F87F08A4B5}">
      <formula1>Issuer_Number_Type_2</formula1>
    </dataValidation>
    <dataValidation type="list" allowBlank="1" showInputMessage="1" showErrorMessage="1" sqref="Z2:Z20" xr:uid="{46896F06-1107-4490-9305-C497386D017E}">
      <formula1>Yes_No_Bad_Debt</formula1>
    </dataValidation>
    <dataValidation type="list" allowBlank="1" showInputMessage="1" showErrorMessage="1" sqref="T2:T20" xr:uid="{904CD35C-93C1-41C2-A09D-CF8A72B60ABA}">
      <formula1>Linked_Type</formula1>
    </dataValidation>
    <dataValidation type="list" allowBlank="1" showInputMessage="1" showErrorMessage="1" sqref="U2:U20" xr:uid="{41603223-9D7D-4AAE-9415-DAE7C1A4B44D}">
      <formula1>Underlying_Interest_Rates</formula1>
    </dataValidation>
    <dataValidation type="list" allowBlank="1" showInputMessage="1" showErrorMessage="1" sqref="AB2:AB20" xr:uid="{70984F5F-9588-4C4C-995E-65EC622793D6}">
      <formula1>Dependence_Independence</formula1>
    </dataValidation>
    <dataValidation type="list" allowBlank="1" showInputMessage="1" showErrorMessage="1" sqref="AF3 AA2:AA20" xr:uid="{E655D2FE-9E44-45BB-84B1-335B0FEC9549}">
      <formula1>Valuation</formula1>
    </dataValidation>
    <dataValidation type="list" allowBlank="1" showInputMessage="1" showErrorMessage="1" sqref="K2:K20" xr:uid="{5B67EB92-DB2B-4D05-847C-BADCA6CB02EE}">
      <formula1>Country_list</formula1>
    </dataValidation>
    <dataValidation type="list" allowBlank="1" showInputMessage="1" showErrorMessage="1" sqref="M2:M20" xr:uid="{88710AE2-617B-4478-B549-FB2E60BDD559}">
      <formula1>Holding_interest</formula1>
    </dataValidation>
    <dataValidation type="list" allowBlank="1" showInputMessage="1" showErrorMessage="1" sqref="P2:P20" xr:uid="{BA988F1C-2216-47F0-8361-683F0F5DC876}">
      <formula1>Rating_Agency</formula1>
    </dataValidation>
    <dataValidation type="list" allowBlank="1" showInputMessage="1" showErrorMessage="1" sqref="Q2:Q20" xr:uid="{384CE46E-E2F5-4E6D-917A-7DDD838AB927}">
      <formula1>What_is_rated</formula1>
    </dataValidation>
    <dataValidation type="list" allowBlank="1" showInputMessage="1" showErrorMessage="1" sqref="J2:J20" xr:uid="{8DD38F0A-99FF-41E9-87FB-DC7FB0A3BEF0}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5E30-61D5-436E-9C17-239BD619F370}">
  <sheetPr codeName="Sheet18"/>
  <dimension ref="A1:AL25"/>
  <sheetViews>
    <sheetView rightToLeft="1" workbookViewId="0">
      <selection activeCell="G26" sqref="G26"/>
    </sheetView>
  </sheetViews>
  <sheetFormatPr defaultColWidth="9" defaultRowHeight="14.25" x14ac:dyDescent="0.2"/>
  <cols>
    <col min="1" max="2" width="11.625" style="38" customWidth="1"/>
    <col min="3" max="3" width="23.375" style="38" bestFit="1" customWidth="1"/>
    <col min="4" max="4" width="11.625" style="38" customWidth="1"/>
    <col min="5" max="5" width="11.625" style="45" customWidth="1"/>
    <col min="6" max="6" width="25" style="38" bestFit="1" customWidth="1"/>
    <col min="7" max="7" width="15.25" style="38" customWidth="1"/>
    <col min="8" max="8" width="11.625" style="38" customWidth="1"/>
    <col min="9" max="9" width="22.75" style="38" bestFit="1" customWidth="1"/>
    <col min="10" max="11" width="11.625" style="38" customWidth="1"/>
    <col min="12" max="12" width="11.625" style="45" customWidth="1"/>
    <col min="13" max="13" width="14.125" style="38" bestFit="1" customWidth="1"/>
    <col min="14" max="14" width="11.625" style="38" customWidth="1"/>
    <col min="15" max="15" width="11.625" style="61" customWidth="1"/>
    <col min="16" max="19" width="11.625" style="38" customWidth="1"/>
    <col min="20" max="20" width="11.625" style="41" customWidth="1"/>
    <col min="21" max="21" width="11.625" style="61" customWidth="1"/>
    <col min="22" max="23" width="11.625" style="46" customWidth="1"/>
    <col min="24" max="24" width="9" style="45"/>
    <col min="25" max="25" width="11.625" style="45" customWidth="1"/>
    <col min="26" max="27" width="11.625" style="38" customWidth="1"/>
    <col min="28" max="29" width="11.625" style="61" customWidth="1"/>
    <col min="30" max="33" width="11.625" style="41" customWidth="1"/>
    <col min="34" max="36" width="11.625" style="38" customWidth="1"/>
    <col min="37" max="38" width="11.625" style="46" customWidth="1"/>
    <col min="39" max="16384" width="9" style="38"/>
  </cols>
  <sheetData>
    <row r="1" spans="1:38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141</v>
      </c>
      <c r="N1" s="34" t="s">
        <v>59</v>
      </c>
      <c r="O1" s="47" t="s">
        <v>941</v>
      </c>
      <c r="P1" s="34" t="s">
        <v>90</v>
      </c>
      <c r="Q1" s="34" t="s">
        <v>61</v>
      </c>
      <c r="R1" s="34" t="s">
        <v>142</v>
      </c>
      <c r="S1" s="34" t="s">
        <v>62</v>
      </c>
      <c r="T1" s="35" t="s">
        <v>91</v>
      </c>
      <c r="U1" s="47" t="s">
        <v>92</v>
      </c>
      <c r="V1" s="36" t="s">
        <v>93</v>
      </c>
      <c r="W1" s="36" t="s">
        <v>65</v>
      </c>
      <c r="X1" s="34" t="s">
        <v>144</v>
      </c>
      <c r="Y1" s="34" t="s">
        <v>145</v>
      </c>
      <c r="Z1" s="34" t="s">
        <v>947</v>
      </c>
      <c r="AA1" s="34" t="s">
        <v>948</v>
      </c>
      <c r="AB1" s="47" t="s">
        <v>950</v>
      </c>
      <c r="AC1" s="47" t="s">
        <v>951</v>
      </c>
      <c r="AD1" s="35" t="s">
        <v>95</v>
      </c>
      <c r="AE1" s="35" t="s">
        <v>64</v>
      </c>
      <c r="AF1" s="35" t="s">
        <v>96</v>
      </c>
      <c r="AG1" s="35" t="s">
        <v>66</v>
      </c>
      <c r="AH1" s="34" t="s">
        <v>97</v>
      </c>
      <c r="AI1" s="34" t="s">
        <v>146</v>
      </c>
      <c r="AJ1" s="34" t="s">
        <v>20</v>
      </c>
      <c r="AK1" s="36" t="s">
        <v>67</v>
      </c>
      <c r="AL1" s="36" t="s">
        <v>68</v>
      </c>
    </row>
    <row r="2" spans="1:38" x14ac:dyDescent="0.2">
      <c r="A2" s="39">
        <v>420</v>
      </c>
      <c r="B2" s="53">
        <v>420</v>
      </c>
      <c r="C2" s="53" t="s">
        <v>952</v>
      </c>
      <c r="D2" s="53">
        <v>513436394</v>
      </c>
      <c r="E2" s="40" t="s">
        <v>150</v>
      </c>
      <c r="F2" s="53" t="s">
        <v>953</v>
      </c>
      <c r="G2" s="53" t="s">
        <v>954</v>
      </c>
      <c r="H2" s="53" t="s">
        <v>153</v>
      </c>
      <c r="I2" s="53" t="s">
        <v>202</v>
      </c>
      <c r="J2" s="40" t="s">
        <v>73</v>
      </c>
      <c r="K2" s="40" t="s">
        <v>73</v>
      </c>
      <c r="L2" s="53" t="s">
        <v>955</v>
      </c>
      <c r="M2" s="53" t="s">
        <v>676</v>
      </c>
      <c r="N2" s="53" t="s">
        <v>74</v>
      </c>
      <c r="O2" s="59" t="s">
        <v>956</v>
      </c>
      <c r="P2" s="53" t="s">
        <v>212</v>
      </c>
      <c r="Q2" s="53" t="s">
        <v>84</v>
      </c>
      <c r="R2" s="53" t="s">
        <v>158</v>
      </c>
      <c r="S2" s="40" t="s">
        <v>78</v>
      </c>
      <c r="T2" s="56">
        <v>0.83</v>
      </c>
      <c r="U2" s="59" t="s">
        <v>957</v>
      </c>
      <c r="V2" s="60">
        <v>2.8899999999999999E-2</v>
      </c>
      <c r="W2" s="43">
        <v>5.6000000000000001E-2</v>
      </c>
      <c r="X2" s="40" t="s">
        <v>160</v>
      </c>
      <c r="Y2" s="40" t="s">
        <v>74</v>
      </c>
      <c r="Z2" s="53" t="s">
        <v>958</v>
      </c>
      <c r="AA2" s="53" t="s">
        <v>959</v>
      </c>
      <c r="AB2" s="61" t="s">
        <v>960</v>
      </c>
      <c r="AC2" s="59" t="s">
        <v>960</v>
      </c>
      <c r="AD2" s="56">
        <v>49789.1</v>
      </c>
      <c r="AE2" s="56">
        <v>1</v>
      </c>
      <c r="AF2" s="56">
        <v>144.6</v>
      </c>
      <c r="AG2" s="56">
        <v>71.99503</v>
      </c>
      <c r="AH2" s="53"/>
      <c r="AI2" s="53"/>
      <c r="AJ2" s="53" t="s">
        <v>18</v>
      </c>
      <c r="AK2" s="46">
        <v>0.38284976171502383</v>
      </c>
      <c r="AL2" s="46">
        <v>5.4850000000000005E-4</v>
      </c>
    </row>
    <row r="3" spans="1:38" x14ac:dyDescent="0.2">
      <c r="A3" s="53">
        <v>420</v>
      </c>
      <c r="B3" s="53">
        <v>420</v>
      </c>
      <c r="C3" s="53" t="s">
        <v>961</v>
      </c>
      <c r="D3" s="53">
        <v>510687403</v>
      </c>
      <c r="E3" s="40" t="s">
        <v>150</v>
      </c>
      <c r="F3" s="53" t="s">
        <v>962</v>
      </c>
      <c r="G3" s="53" t="s">
        <v>963</v>
      </c>
      <c r="H3" s="53" t="s">
        <v>153</v>
      </c>
      <c r="I3" s="53" t="s">
        <v>154</v>
      </c>
      <c r="J3" s="40" t="s">
        <v>73</v>
      </c>
      <c r="K3" s="40" t="s">
        <v>73</v>
      </c>
      <c r="L3" s="53" t="s">
        <v>955</v>
      </c>
      <c r="M3" s="53" t="s">
        <v>173</v>
      </c>
      <c r="N3" s="53" t="s">
        <v>74</v>
      </c>
      <c r="O3" s="59" t="s">
        <v>964</v>
      </c>
      <c r="P3" s="53" t="s">
        <v>218</v>
      </c>
      <c r="Q3" s="53" t="s">
        <v>84</v>
      </c>
      <c r="R3" s="53" t="s">
        <v>158</v>
      </c>
      <c r="S3" s="40" t="s">
        <v>78</v>
      </c>
      <c r="T3" s="56">
        <v>1.46</v>
      </c>
      <c r="U3" s="59" t="s">
        <v>509</v>
      </c>
      <c r="V3" s="60">
        <v>4.6300000000000001E-2</v>
      </c>
      <c r="W3" s="43">
        <v>3.1E-2</v>
      </c>
      <c r="X3" s="40" t="s">
        <v>160</v>
      </c>
      <c r="Y3" s="40" t="s">
        <v>74</v>
      </c>
      <c r="Z3" s="53" t="s">
        <v>958</v>
      </c>
      <c r="AA3" s="53" t="s">
        <v>959</v>
      </c>
      <c r="AB3" s="61" t="s">
        <v>960</v>
      </c>
      <c r="AC3" s="59" t="s">
        <v>960</v>
      </c>
      <c r="AD3" s="56">
        <v>104860.05</v>
      </c>
      <c r="AE3" s="56">
        <v>1</v>
      </c>
      <c r="AF3" s="56">
        <v>97.91</v>
      </c>
      <c r="AG3" s="56">
        <v>102.66847</v>
      </c>
      <c r="AH3" s="53"/>
      <c r="AI3" s="53"/>
      <c r="AJ3" s="53" t="s">
        <v>18</v>
      </c>
      <c r="AK3" s="46">
        <v>0.54596274540372536</v>
      </c>
      <c r="AL3" s="46">
        <v>7.8209999999999998E-4</v>
      </c>
    </row>
    <row r="4" spans="1:38" x14ac:dyDescent="0.2">
      <c r="A4" s="53">
        <v>420</v>
      </c>
      <c r="B4" s="53">
        <v>420</v>
      </c>
      <c r="C4" s="53" t="s">
        <v>965</v>
      </c>
      <c r="D4" s="53">
        <v>513102384</v>
      </c>
      <c r="E4" s="40" t="s">
        <v>150</v>
      </c>
      <c r="F4" s="53" t="s">
        <v>966</v>
      </c>
      <c r="G4" s="53" t="s">
        <v>967</v>
      </c>
      <c r="H4" s="53" t="s">
        <v>153</v>
      </c>
      <c r="I4" s="53" t="s">
        <v>202</v>
      </c>
      <c r="J4" s="40" t="s">
        <v>73</v>
      </c>
      <c r="K4" s="40" t="s">
        <v>73</v>
      </c>
      <c r="L4" s="53" t="s">
        <v>955</v>
      </c>
      <c r="M4" s="53" t="s">
        <v>686</v>
      </c>
      <c r="N4" s="53" t="s">
        <v>74</v>
      </c>
      <c r="O4" s="61" t="s">
        <v>968</v>
      </c>
      <c r="P4" s="59" t="s">
        <v>427</v>
      </c>
      <c r="Q4" s="53" t="s">
        <v>76</v>
      </c>
      <c r="R4" s="53" t="s">
        <v>158</v>
      </c>
      <c r="S4" s="53" t="s">
        <v>78</v>
      </c>
      <c r="T4" s="56">
        <v>0.19</v>
      </c>
      <c r="U4" s="59" t="s">
        <v>969</v>
      </c>
      <c r="V4" s="60">
        <v>2.9499999999999998E-2</v>
      </c>
      <c r="W4" s="43">
        <v>0</v>
      </c>
      <c r="X4" s="40" t="s">
        <v>160</v>
      </c>
      <c r="Y4" s="40" t="s">
        <v>74</v>
      </c>
      <c r="Z4" s="53" t="s">
        <v>958</v>
      </c>
      <c r="AA4" s="53" t="s">
        <v>959</v>
      </c>
      <c r="AB4" s="61" t="s">
        <v>960</v>
      </c>
      <c r="AC4" s="61" t="s">
        <v>960</v>
      </c>
      <c r="AD4" s="41">
        <v>9044.85</v>
      </c>
      <c r="AE4" s="56">
        <v>1</v>
      </c>
      <c r="AF4" s="56">
        <v>147.99</v>
      </c>
      <c r="AG4" s="56">
        <v>13.38547</v>
      </c>
      <c r="AH4" s="53"/>
      <c r="AI4" s="53"/>
      <c r="AJ4" s="53" t="s">
        <v>18</v>
      </c>
      <c r="AK4" s="46">
        <v>7.1180292881970711E-2</v>
      </c>
      <c r="AL4" s="46">
        <v>1.02E-4</v>
      </c>
    </row>
    <row r="5" spans="1:38" x14ac:dyDescent="0.2">
      <c r="A5" s="53">
        <v>420</v>
      </c>
      <c r="B5" s="53">
        <v>420</v>
      </c>
      <c r="C5" s="53" t="s">
        <v>970</v>
      </c>
      <c r="D5" s="53">
        <v>520041690</v>
      </c>
      <c r="E5" s="40" t="s">
        <v>150</v>
      </c>
      <c r="F5" s="53" t="s">
        <v>971</v>
      </c>
      <c r="G5" s="53" t="s">
        <v>972</v>
      </c>
      <c r="H5" s="53" t="s">
        <v>153</v>
      </c>
      <c r="I5" s="53" t="s">
        <v>202</v>
      </c>
      <c r="J5" s="40" t="s">
        <v>73</v>
      </c>
      <c r="K5" s="40" t="s">
        <v>73</v>
      </c>
      <c r="L5" s="53" t="s">
        <v>973</v>
      </c>
      <c r="M5" s="53" t="s">
        <v>279</v>
      </c>
      <c r="N5" s="53" t="s">
        <v>74</v>
      </c>
      <c r="O5" s="59" t="s">
        <v>974</v>
      </c>
      <c r="P5" s="53" t="s">
        <v>474</v>
      </c>
      <c r="Q5" s="53" t="s">
        <v>474</v>
      </c>
      <c r="R5" s="53" t="s">
        <v>474</v>
      </c>
      <c r="S5" s="40" t="s">
        <v>78</v>
      </c>
      <c r="T5" s="56" t="s">
        <v>975</v>
      </c>
      <c r="U5" s="59">
        <v>45838</v>
      </c>
      <c r="V5" s="60">
        <v>0.16900000000000001</v>
      </c>
      <c r="W5" s="43">
        <v>5.6000000000000001E-2</v>
      </c>
      <c r="X5" s="40" t="s">
        <v>976</v>
      </c>
      <c r="Y5" s="40" t="s">
        <v>977</v>
      </c>
      <c r="Z5" s="53" t="s">
        <v>701</v>
      </c>
      <c r="AA5" s="53" t="s">
        <v>978</v>
      </c>
      <c r="AB5" s="61" t="s">
        <v>979</v>
      </c>
      <c r="AC5" s="59" t="s">
        <v>979</v>
      </c>
      <c r="AD5" s="56">
        <v>266403.06</v>
      </c>
      <c r="AE5" s="56">
        <v>1</v>
      </c>
      <c r="AF5" s="56">
        <v>0</v>
      </c>
      <c r="AG5" s="42">
        <v>0</v>
      </c>
      <c r="AH5" s="39"/>
      <c r="AI5" s="39"/>
      <c r="AJ5" s="53" t="s">
        <v>18</v>
      </c>
      <c r="AK5" s="46">
        <v>0</v>
      </c>
      <c r="AL5" s="46">
        <v>0</v>
      </c>
    </row>
    <row r="6" spans="1:38" x14ac:dyDescent="0.2">
      <c r="A6" s="53">
        <v>420</v>
      </c>
      <c r="B6" s="53">
        <v>420</v>
      </c>
      <c r="C6" s="53" t="s">
        <v>980</v>
      </c>
      <c r="D6" s="53">
        <v>520022492</v>
      </c>
      <c r="E6" s="40" t="s">
        <v>150</v>
      </c>
      <c r="F6" s="53" t="s">
        <v>981</v>
      </c>
      <c r="G6" s="53" t="s">
        <v>982</v>
      </c>
      <c r="H6" s="53" t="s">
        <v>153</v>
      </c>
      <c r="I6" s="53" t="s">
        <v>202</v>
      </c>
      <c r="J6" s="40" t="s">
        <v>73</v>
      </c>
      <c r="K6" s="40" t="s">
        <v>73</v>
      </c>
      <c r="L6" s="53" t="s">
        <v>973</v>
      </c>
      <c r="M6" s="53" t="s">
        <v>529</v>
      </c>
      <c r="N6" s="53" t="s">
        <v>74</v>
      </c>
      <c r="O6" s="59" t="s">
        <v>983</v>
      </c>
      <c r="P6" s="53" t="s">
        <v>474</v>
      </c>
      <c r="Q6" s="53" t="s">
        <v>474</v>
      </c>
      <c r="R6" s="53" t="s">
        <v>474</v>
      </c>
      <c r="S6" s="40" t="s">
        <v>78</v>
      </c>
      <c r="T6" s="56">
        <v>0</v>
      </c>
      <c r="U6" s="59">
        <v>47879</v>
      </c>
      <c r="V6" s="60">
        <v>0</v>
      </c>
      <c r="W6" s="43">
        <v>0</v>
      </c>
      <c r="X6" s="40" t="s">
        <v>976</v>
      </c>
      <c r="Y6" s="40" t="s">
        <v>977</v>
      </c>
      <c r="Z6" s="53" t="s">
        <v>701</v>
      </c>
      <c r="AA6" s="53" t="s">
        <v>978</v>
      </c>
      <c r="AB6" s="61" t="s">
        <v>979</v>
      </c>
      <c r="AC6" s="59" t="s">
        <v>979</v>
      </c>
      <c r="AD6" s="56">
        <v>2194.25</v>
      </c>
      <c r="AE6" s="56">
        <v>1</v>
      </c>
      <c r="AF6" s="56">
        <v>0</v>
      </c>
      <c r="AG6" s="42">
        <v>0</v>
      </c>
      <c r="AH6" s="39"/>
      <c r="AI6" s="39"/>
      <c r="AJ6" s="53" t="s">
        <v>18</v>
      </c>
      <c r="AK6" s="46">
        <v>0</v>
      </c>
      <c r="AL6" s="46">
        <v>0</v>
      </c>
    </row>
    <row r="7" spans="1:38" x14ac:dyDescent="0.2">
      <c r="A7" s="53">
        <v>420</v>
      </c>
      <c r="B7" s="53">
        <v>420</v>
      </c>
      <c r="C7" s="53" t="s">
        <v>980</v>
      </c>
      <c r="D7" s="53">
        <v>520022492</v>
      </c>
      <c r="E7" s="40" t="s">
        <v>150</v>
      </c>
      <c r="F7" s="53" t="s">
        <v>984</v>
      </c>
      <c r="G7" s="53" t="s">
        <v>985</v>
      </c>
      <c r="H7" s="53" t="s">
        <v>153</v>
      </c>
      <c r="I7" s="53" t="s">
        <v>202</v>
      </c>
      <c r="J7" s="40" t="s">
        <v>73</v>
      </c>
      <c r="K7" s="40" t="s">
        <v>73</v>
      </c>
      <c r="L7" s="53" t="s">
        <v>973</v>
      </c>
      <c r="M7" s="53" t="s">
        <v>529</v>
      </c>
      <c r="N7" s="53" t="s">
        <v>74</v>
      </c>
      <c r="O7" s="59" t="s">
        <v>983</v>
      </c>
      <c r="P7" s="59" t="s">
        <v>474</v>
      </c>
      <c r="Q7" s="53" t="s">
        <v>474</v>
      </c>
      <c r="R7" s="53" t="s">
        <v>474</v>
      </c>
      <c r="S7" s="40" t="s">
        <v>78</v>
      </c>
      <c r="T7" s="56">
        <v>0</v>
      </c>
      <c r="U7" s="59">
        <v>47879</v>
      </c>
      <c r="V7" s="60">
        <v>0.03</v>
      </c>
      <c r="W7" s="43">
        <v>0.03</v>
      </c>
      <c r="X7" s="40" t="s">
        <v>976</v>
      </c>
      <c r="Y7" s="40" t="s">
        <v>977</v>
      </c>
      <c r="Z7" s="53" t="s">
        <v>701</v>
      </c>
      <c r="AA7" s="53" t="s">
        <v>978</v>
      </c>
      <c r="AB7" s="61" t="s">
        <v>979</v>
      </c>
      <c r="AC7" s="59" t="s">
        <v>979</v>
      </c>
      <c r="AD7" s="56">
        <v>1603.75</v>
      </c>
      <c r="AE7" s="56">
        <v>1</v>
      </c>
      <c r="AF7" s="56">
        <v>0</v>
      </c>
      <c r="AG7" s="56">
        <v>0</v>
      </c>
      <c r="AH7" s="53"/>
      <c r="AI7" s="53"/>
      <c r="AJ7" s="53" t="s">
        <v>18</v>
      </c>
      <c r="AK7" s="46">
        <v>0</v>
      </c>
      <c r="AL7" s="46">
        <v>0</v>
      </c>
    </row>
    <row r="8" spans="1:38" x14ac:dyDescent="0.2">
      <c r="A8" s="53">
        <v>420</v>
      </c>
      <c r="B8" s="53">
        <v>420</v>
      </c>
      <c r="C8" s="53" t="s">
        <v>986</v>
      </c>
      <c r="D8" s="53">
        <v>513406835</v>
      </c>
      <c r="E8" s="40" t="s">
        <v>150</v>
      </c>
      <c r="F8" s="53" t="s">
        <v>987</v>
      </c>
      <c r="G8" s="53">
        <v>800078388</v>
      </c>
      <c r="H8" s="53" t="s">
        <v>105</v>
      </c>
      <c r="I8" s="53" t="s">
        <v>202</v>
      </c>
      <c r="J8" s="40" t="s">
        <v>73</v>
      </c>
      <c r="K8" s="40" t="s">
        <v>73</v>
      </c>
      <c r="L8" s="53" t="s">
        <v>973</v>
      </c>
      <c r="M8" s="53" t="s">
        <v>686</v>
      </c>
      <c r="N8" s="53" t="s">
        <v>74</v>
      </c>
      <c r="O8" s="59" t="s">
        <v>988</v>
      </c>
      <c r="P8" s="59" t="s">
        <v>989</v>
      </c>
      <c r="Q8" s="53" t="s">
        <v>76</v>
      </c>
      <c r="R8" s="53" t="s">
        <v>158</v>
      </c>
      <c r="S8" s="40" t="s">
        <v>78</v>
      </c>
      <c r="T8" s="56">
        <v>0</v>
      </c>
      <c r="U8" s="59" t="s">
        <v>147</v>
      </c>
      <c r="V8" s="60">
        <v>0</v>
      </c>
      <c r="W8" s="43">
        <v>0</v>
      </c>
      <c r="X8" s="40" t="s">
        <v>976</v>
      </c>
      <c r="Y8" s="40" t="s">
        <v>977</v>
      </c>
      <c r="Z8" s="53" t="s">
        <v>701</v>
      </c>
      <c r="AA8" s="53" t="s">
        <v>978</v>
      </c>
      <c r="AB8" s="61" t="s">
        <v>979</v>
      </c>
      <c r="AC8" s="59" t="s">
        <v>979</v>
      </c>
      <c r="AD8" s="56">
        <v>19979.84</v>
      </c>
      <c r="AE8" s="56">
        <v>1</v>
      </c>
      <c r="AF8" s="56">
        <v>0</v>
      </c>
      <c r="AG8" s="56">
        <v>0</v>
      </c>
      <c r="AH8" s="53"/>
      <c r="AI8" s="53"/>
      <c r="AJ8" s="53" t="s">
        <v>18</v>
      </c>
      <c r="AK8" s="46">
        <v>0</v>
      </c>
      <c r="AL8" s="46">
        <v>0</v>
      </c>
    </row>
    <row r="9" spans="1:38" x14ac:dyDescent="0.2">
      <c r="A9" s="53">
        <v>420</v>
      </c>
      <c r="B9" s="53">
        <v>420</v>
      </c>
      <c r="C9" s="53" t="s">
        <v>990</v>
      </c>
      <c r="D9" s="53">
        <v>1841580</v>
      </c>
      <c r="E9" s="40" t="s">
        <v>150</v>
      </c>
      <c r="F9" s="53" t="s">
        <v>991</v>
      </c>
      <c r="G9" s="53">
        <v>800082380</v>
      </c>
      <c r="H9" s="53" t="s">
        <v>105</v>
      </c>
      <c r="I9" s="53" t="s">
        <v>154</v>
      </c>
      <c r="J9" s="40" t="s">
        <v>73</v>
      </c>
      <c r="K9" s="40" t="s">
        <v>351</v>
      </c>
      <c r="L9" s="53" t="s">
        <v>955</v>
      </c>
      <c r="M9" s="53" t="s">
        <v>182</v>
      </c>
      <c r="N9" s="53" t="s">
        <v>74</v>
      </c>
      <c r="O9" s="59" t="s">
        <v>992</v>
      </c>
      <c r="P9" s="53" t="s">
        <v>474</v>
      </c>
      <c r="Q9" s="53" t="s">
        <v>474</v>
      </c>
      <c r="R9" s="53" t="s">
        <v>474</v>
      </c>
      <c r="S9" s="40" t="s">
        <v>78</v>
      </c>
      <c r="T9" s="56">
        <v>0</v>
      </c>
      <c r="U9" s="59" t="s">
        <v>993</v>
      </c>
      <c r="V9" s="60">
        <v>0</v>
      </c>
      <c r="W9" s="43">
        <v>0</v>
      </c>
      <c r="X9" s="40" t="s">
        <v>976</v>
      </c>
      <c r="Y9" s="40" t="s">
        <v>977</v>
      </c>
      <c r="Z9" s="53" t="s">
        <v>701</v>
      </c>
      <c r="AA9" s="53" t="s">
        <v>978</v>
      </c>
      <c r="AB9" s="61" t="s">
        <v>979</v>
      </c>
      <c r="AC9" s="59" t="s">
        <v>979</v>
      </c>
      <c r="AD9" s="56">
        <v>13550.8</v>
      </c>
      <c r="AE9" s="56">
        <v>1</v>
      </c>
      <c r="AF9" s="56">
        <v>0.01</v>
      </c>
      <c r="AG9" s="56">
        <v>1.3500000000000001E-3</v>
      </c>
      <c r="AH9" s="53"/>
      <c r="AI9" s="53"/>
      <c r="AJ9" s="53" t="s">
        <v>18</v>
      </c>
      <c r="AK9" s="46">
        <v>7.1999992800000716E-6</v>
      </c>
      <c r="AL9" s="46">
        <v>0</v>
      </c>
    </row>
    <row r="10" spans="1:38" x14ac:dyDescent="0.2">
      <c r="A10" s="53">
        <v>420</v>
      </c>
      <c r="B10" s="53">
        <v>1471</v>
      </c>
      <c r="C10" s="53" t="s">
        <v>990</v>
      </c>
      <c r="D10" s="53">
        <v>1841580</v>
      </c>
      <c r="E10" s="40" t="s">
        <v>150</v>
      </c>
      <c r="F10" s="53" t="s">
        <v>991</v>
      </c>
      <c r="G10" s="53">
        <v>800082380</v>
      </c>
      <c r="H10" s="53" t="s">
        <v>105</v>
      </c>
      <c r="I10" s="53" t="s">
        <v>154</v>
      </c>
      <c r="J10" s="40" t="s">
        <v>73</v>
      </c>
      <c r="K10" s="40" t="s">
        <v>351</v>
      </c>
      <c r="L10" s="53" t="s">
        <v>955</v>
      </c>
      <c r="M10" s="53" t="s">
        <v>182</v>
      </c>
      <c r="N10" s="53" t="s">
        <v>74</v>
      </c>
      <c r="O10" s="59" t="s">
        <v>992</v>
      </c>
      <c r="P10" s="53" t="s">
        <v>474</v>
      </c>
      <c r="Q10" s="53" t="s">
        <v>474</v>
      </c>
      <c r="R10" s="53" t="s">
        <v>474</v>
      </c>
      <c r="S10" s="40" t="s">
        <v>78</v>
      </c>
      <c r="T10" s="56">
        <v>0</v>
      </c>
      <c r="U10" s="59" t="s">
        <v>993</v>
      </c>
      <c r="V10" s="60">
        <v>0</v>
      </c>
      <c r="W10" s="43">
        <v>0</v>
      </c>
      <c r="X10" s="40" t="s">
        <v>976</v>
      </c>
      <c r="Y10" s="40" t="s">
        <v>977</v>
      </c>
      <c r="Z10" s="53" t="s">
        <v>701</v>
      </c>
      <c r="AA10" s="53" t="s">
        <v>978</v>
      </c>
      <c r="AB10" s="61" t="s">
        <v>979</v>
      </c>
      <c r="AC10" s="59" t="s">
        <v>979</v>
      </c>
      <c r="AD10" s="56">
        <v>435.3</v>
      </c>
      <c r="AE10" s="56">
        <v>1</v>
      </c>
      <c r="AF10" s="56">
        <v>0.01</v>
      </c>
      <c r="AG10" s="56">
        <v>4.0000000000000003E-5</v>
      </c>
      <c r="AH10" s="53"/>
      <c r="AI10" s="53"/>
      <c r="AJ10" s="53" t="s">
        <v>18</v>
      </c>
      <c r="AK10" s="46">
        <v>1</v>
      </c>
      <c r="AL10" s="46">
        <v>0</v>
      </c>
    </row>
    <row r="11" spans="1:38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3"/>
      <c r="O11" s="59"/>
      <c r="P11" s="53"/>
      <c r="Q11" s="53"/>
      <c r="R11" s="53"/>
      <c r="S11" s="40"/>
      <c r="T11" s="56"/>
      <c r="U11" s="59"/>
      <c r="V11" s="60"/>
      <c r="W11" s="43"/>
      <c r="X11" s="40"/>
      <c r="Y11" s="40"/>
      <c r="Z11" s="53"/>
      <c r="AA11" s="53"/>
      <c r="AC11" s="59"/>
      <c r="AD11" s="56"/>
      <c r="AE11" s="56"/>
      <c r="AF11" s="56"/>
      <c r="AG11" s="56"/>
      <c r="AH11" s="53"/>
      <c r="AI11" s="53"/>
      <c r="AJ11" s="53"/>
    </row>
    <row r="12" spans="1:38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3"/>
      <c r="O12" s="59"/>
      <c r="P12" s="53"/>
      <c r="Q12" s="53"/>
      <c r="R12" s="53"/>
      <c r="S12" s="40"/>
      <c r="T12" s="56"/>
      <c r="U12" s="59"/>
      <c r="V12" s="60"/>
      <c r="W12" s="43"/>
      <c r="X12" s="40"/>
      <c r="Y12" s="40"/>
      <c r="Z12" s="53"/>
      <c r="AA12" s="53"/>
      <c r="AC12" s="59"/>
      <c r="AD12" s="56"/>
      <c r="AE12" s="56"/>
      <c r="AF12" s="56"/>
      <c r="AG12" s="56"/>
      <c r="AH12" s="53"/>
      <c r="AI12" s="53"/>
      <c r="AJ12" s="53"/>
    </row>
    <row r="13" spans="1:38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3"/>
      <c r="O13" s="59"/>
      <c r="P13" s="53"/>
      <c r="Q13" s="53"/>
      <c r="R13" s="53"/>
      <c r="S13" s="40"/>
      <c r="T13" s="56"/>
      <c r="U13" s="59"/>
      <c r="V13" s="60"/>
      <c r="W13" s="43"/>
      <c r="X13" s="40"/>
      <c r="Y13" s="40"/>
      <c r="Z13" s="53"/>
      <c r="AA13" s="53"/>
      <c r="AC13" s="59"/>
      <c r="AD13" s="56"/>
      <c r="AE13" s="56"/>
      <c r="AF13" s="56"/>
      <c r="AG13" s="56"/>
      <c r="AH13" s="53"/>
      <c r="AI13" s="53"/>
      <c r="AJ13" s="53"/>
    </row>
    <row r="14" spans="1:38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3"/>
      <c r="O14" s="59"/>
      <c r="P14" s="53"/>
      <c r="Q14" s="53"/>
      <c r="R14" s="53"/>
      <c r="S14" s="40"/>
      <c r="T14" s="56"/>
      <c r="U14" s="59"/>
      <c r="V14" s="60"/>
      <c r="W14" s="43"/>
      <c r="X14" s="40"/>
      <c r="Y14" s="40"/>
      <c r="Z14" s="53"/>
      <c r="AA14" s="53"/>
      <c r="AC14" s="59"/>
      <c r="AD14" s="56"/>
      <c r="AE14" s="56"/>
      <c r="AF14" s="56"/>
      <c r="AG14" s="56"/>
      <c r="AH14" s="53"/>
      <c r="AI14" s="53"/>
      <c r="AJ14" s="53"/>
    </row>
    <row r="15" spans="1:38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3"/>
      <c r="O15" s="59"/>
      <c r="P15" s="53"/>
      <c r="Q15" s="53"/>
      <c r="R15" s="53"/>
      <c r="S15" s="40"/>
      <c r="T15" s="56"/>
      <c r="U15" s="59"/>
      <c r="V15" s="60"/>
      <c r="W15" s="43"/>
      <c r="X15" s="40"/>
      <c r="Y15" s="40"/>
      <c r="Z15" s="53"/>
      <c r="AA15" s="53"/>
      <c r="AC15" s="59"/>
      <c r="AD15" s="56"/>
      <c r="AE15" s="56"/>
      <c r="AF15" s="56"/>
      <c r="AG15" s="56"/>
      <c r="AH15" s="53"/>
      <c r="AI15" s="53"/>
      <c r="AJ15" s="53"/>
    </row>
    <row r="16" spans="1:38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3"/>
      <c r="O16" s="59"/>
      <c r="P16" s="59"/>
      <c r="Q16" s="53"/>
      <c r="R16" s="53"/>
      <c r="S16" s="40"/>
      <c r="T16" s="56"/>
      <c r="U16" s="59"/>
      <c r="V16" s="60"/>
      <c r="W16" s="43"/>
      <c r="X16" s="40"/>
      <c r="Y16" s="40"/>
      <c r="Z16" s="53"/>
      <c r="AA16" s="53"/>
      <c r="AC16" s="59"/>
      <c r="AD16" s="56"/>
      <c r="AE16" s="56"/>
      <c r="AF16" s="56"/>
      <c r="AG16" s="56"/>
      <c r="AH16" s="53"/>
      <c r="AI16" s="53"/>
      <c r="AJ16" s="53"/>
    </row>
    <row r="17" spans="1:38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3"/>
      <c r="O17" s="59"/>
      <c r="P17" s="53"/>
      <c r="Q17" s="53"/>
      <c r="R17" s="53"/>
      <c r="S17" s="40"/>
      <c r="T17" s="56"/>
      <c r="U17" s="59"/>
      <c r="V17" s="60"/>
      <c r="W17" s="43"/>
      <c r="X17" s="40"/>
      <c r="Y17" s="40"/>
      <c r="Z17" s="53"/>
      <c r="AA17" s="53"/>
      <c r="AC17" s="59"/>
      <c r="AD17" s="56"/>
      <c r="AE17" s="56"/>
      <c r="AF17" s="56"/>
      <c r="AG17" s="56"/>
      <c r="AH17" s="53"/>
      <c r="AI17" s="53"/>
      <c r="AJ17" s="53"/>
    </row>
    <row r="18" spans="1:38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3"/>
      <c r="O18" s="59"/>
      <c r="P18" s="53"/>
      <c r="Q18" s="53"/>
      <c r="R18" s="53"/>
      <c r="S18" s="40"/>
      <c r="T18" s="56"/>
      <c r="U18" s="59"/>
      <c r="V18" s="60"/>
      <c r="W18" s="43"/>
      <c r="X18" s="40"/>
      <c r="Y18" s="40"/>
      <c r="Z18" s="53"/>
      <c r="AA18" s="53"/>
      <c r="AC18" s="59"/>
      <c r="AD18" s="56"/>
      <c r="AE18" s="56"/>
      <c r="AF18" s="56"/>
      <c r="AG18" s="56"/>
      <c r="AH18" s="53"/>
      <c r="AI18" s="53"/>
      <c r="AJ18" s="53"/>
    </row>
    <row r="19" spans="1:38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3"/>
      <c r="O19" s="59"/>
      <c r="P19" s="59"/>
      <c r="Q19" s="53"/>
      <c r="R19" s="53"/>
      <c r="S19" s="40"/>
      <c r="T19" s="56"/>
      <c r="U19" s="59"/>
      <c r="V19" s="60"/>
      <c r="W19" s="43"/>
      <c r="X19" s="40"/>
      <c r="Y19" s="40"/>
      <c r="Z19" s="53"/>
      <c r="AA19" s="53"/>
      <c r="AC19" s="59"/>
      <c r="AD19" s="56"/>
      <c r="AE19" s="56"/>
      <c r="AF19" s="56"/>
      <c r="AG19" s="56"/>
      <c r="AH19" s="53"/>
      <c r="AI19" s="53"/>
      <c r="AJ19" s="53"/>
    </row>
    <row r="20" spans="1:38" x14ac:dyDescent="0.2">
      <c r="E20" s="40"/>
      <c r="H20" s="53"/>
      <c r="I20" s="53"/>
      <c r="J20" s="40"/>
      <c r="K20" s="40"/>
      <c r="L20" s="53"/>
      <c r="M20" s="53"/>
      <c r="N20" s="53"/>
      <c r="P20" s="61"/>
      <c r="Q20" s="53"/>
      <c r="R20" s="53"/>
      <c r="W20" s="43"/>
      <c r="X20" s="40"/>
      <c r="Y20" s="40"/>
      <c r="AA20" s="53"/>
      <c r="AJ20" s="53"/>
    </row>
    <row r="21" spans="1:38" s="39" customFormat="1" x14ac:dyDescent="0.2">
      <c r="L21" s="38"/>
      <c r="O21" s="48"/>
      <c r="P21" s="48"/>
      <c r="T21" s="42"/>
      <c r="U21" s="48"/>
      <c r="V21" s="43"/>
      <c r="W21" s="43"/>
      <c r="X21" s="45"/>
      <c r="AB21" s="48"/>
      <c r="AC21" s="48"/>
      <c r="AD21" s="42"/>
      <c r="AE21" s="42"/>
      <c r="AF21" s="42"/>
      <c r="AG21" s="42"/>
      <c r="AK21" s="43"/>
      <c r="AL21" s="43"/>
    </row>
    <row r="22" spans="1:38" x14ac:dyDescent="0.2">
      <c r="L22" s="38"/>
    </row>
    <row r="23" spans="1:38" x14ac:dyDescent="0.2">
      <c r="L23" s="38"/>
    </row>
    <row r="24" spans="1:38" x14ac:dyDescent="0.2">
      <c r="L24" s="38"/>
    </row>
    <row r="25" spans="1:38" x14ac:dyDescent="0.2">
      <c r="L25" s="38"/>
    </row>
  </sheetData>
  <sheetProtection formatColumns="0"/>
  <dataValidations count="16">
    <dataValidation type="list" allowBlank="1" showInputMessage="1" showErrorMessage="1" sqref="L2:L20" xr:uid="{A3CD31DA-9BCE-4AAD-9F77-6B6CE43F2728}">
      <formula1>tradeable_status_bonds</formula1>
    </dataValidation>
    <dataValidation type="list" allowBlank="1" showInputMessage="1" showErrorMessage="1" sqref="M2:M20" xr:uid="{061AB579-B95A-418D-A0FE-9963E80AE1A3}">
      <formula1>Industry_Sector</formula1>
    </dataValidation>
    <dataValidation type="list" allowBlank="1" showInputMessage="1" showErrorMessage="1" sqref="AJ2:AJ20" xr:uid="{DA136B77-A29A-4368-9AE2-361EEE09AC37}">
      <formula1>In_the_books</formula1>
    </dataValidation>
    <dataValidation type="list" allowBlank="1" showInputMessage="1" showErrorMessage="1" sqref="E2" xr:uid="{B0087DB7-BEC5-41D0-A8D2-AA04CCB4426A}">
      <formula1>Issuer_Number_Type_3</formula1>
    </dataValidation>
    <dataValidation type="list" allowBlank="1" showInputMessage="1" showErrorMessage="1" sqref="H2:H20" xr:uid="{FA84670E-D9B3-4C26-A1F4-6C33F950179D}">
      <formula1>Type_of_Security_ID_Fund</formula1>
    </dataValidation>
    <dataValidation type="list" allowBlank="1" showInputMessage="1" showErrorMessage="1" sqref="Y2:Y20" xr:uid="{EA8AC0FF-CD4C-4DC4-AD22-8D5A4639E602}">
      <formula1>Yes_No_Bad_Debt</formula1>
    </dataValidation>
    <dataValidation type="list" allowBlank="1" showInputMessage="1" showErrorMessage="1" sqref="AE4" xr:uid="{734B6065-97F0-455E-812A-D3122C2D20E8}">
      <formula1>Info_Provider</formula1>
    </dataValidation>
    <dataValidation type="list" allowBlank="1" showInputMessage="1" showErrorMessage="1" sqref="AA2:AA20" xr:uid="{2B4213B2-A988-4929-8108-9D45F79DBB0F}">
      <formula1>Dependence_Independence</formula1>
    </dataValidation>
    <dataValidation type="list" allowBlank="1" showInputMessage="1" showErrorMessage="1" sqref="Z2:Z19" xr:uid="{3379D6DB-9565-4FE0-A27D-9F70DBBCD681}">
      <formula1>Valuation</formula1>
    </dataValidation>
    <dataValidation type="list" allowBlank="1" showInputMessage="1" showErrorMessage="1" sqref="V4 X2:X20" xr:uid="{DC31ADE8-536F-40AE-9983-464A8666414F}">
      <formula1>Subordination_Risk</formula1>
    </dataValidation>
    <dataValidation type="list" allowBlank="1" showInputMessage="1" showErrorMessage="1" sqref="P4 R2:R20" xr:uid="{4971F5FD-1208-4D65-9272-DC0E86941059}">
      <formula1>What_is_rated</formula1>
    </dataValidation>
    <dataValidation type="list" allowBlank="1" showInputMessage="1" showErrorMessage="1" sqref="Q2:Q20" xr:uid="{D9C68889-2DE6-42A8-B8CE-B6E6142E54AB}">
      <formula1>Rating_Agency</formula1>
    </dataValidation>
    <dataValidation type="list" allowBlank="1" showInputMessage="1" showErrorMessage="1" sqref="E3:E20" xr:uid="{8ACFBBB5-7778-4C81-8D41-977129CB4F7F}">
      <formula1>Issuer_Number_Type_2</formula1>
    </dataValidation>
    <dataValidation type="list" allowBlank="1" showInputMessage="1" showErrorMessage="1" sqref="K2:K20" xr:uid="{87BE2958-940B-4474-86D1-8830876EF8A2}">
      <formula1>Country_list</formula1>
    </dataValidation>
    <dataValidation type="list" allowBlank="1" showInputMessage="1" showErrorMessage="1" sqref="N2:N20" xr:uid="{3923D502-F478-4643-8225-489A9D74C643}">
      <formula1>Holding_interest</formula1>
    </dataValidation>
    <dataValidation type="list" allowBlank="1" showInputMessage="1" showErrorMessage="1" sqref="J2:J20" xr:uid="{7942A847-5F1E-4529-9021-107FDB489AA3}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C1BE-0EE7-4165-8D86-0B2C5C32310A}">
  <sheetPr codeName="Sheet19"/>
  <dimension ref="A1:Z21"/>
  <sheetViews>
    <sheetView rightToLeft="1" workbookViewId="0"/>
  </sheetViews>
  <sheetFormatPr defaultColWidth="9" defaultRowHeight="14.25" x14ac:dyDescent="0.2"/>
  <cols>
    <col min="1" max="2" width="11.625" style="38" customWidth="1"/>
    <col min="3" max="3" width="15" style="38" bestFit="1" customWidth="1"/>
    <col min="4" max="4" width="11.625" style="38" customWidth="1"/>
    <col min="5" max="5" width="11.625" style="45" customWidth="1"/>
    <col min="6" max="6" width="20.875" style="38" bestFit="1" customWidth="1"/>
    <col min="7" max="7" width="13.75" style="38" bestFit="1" customWidth="1"/>
    <col min="8" max="8" width="11.625" style="38" customWidth="1"/>
    <col min="9" max="9" width="12.75" style="38" bestFit="1" customWidth="1"/>
    <col min="10" max="11" width="11.625" style="38" customWidth="1"/>
    <col min="12" max="12" width="11.625" style="45" customWidth="1"/>
    <col min="13" max="14" width="11.625" style="38" customWidth="1"/>
    <col min="15" max="15" width="11.625" style="61" customWidth="1"/>
    <col min="16" max="18" width="11.625" style="38" customWidth="1"/>
    <col min="19" max="20" width="11.625" style="61" customWidth="1"/>
    <col min="21" max="24" width="11.625" style="41" customWidth="1"/>
    <col min="25" max="26" width="11.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148</v>
      </c>
      <c r="M1" s="34" t="s">
        <v>141</v>
      </c>
      <c r="N1" s="34" t="s">
        <v>59</v>
      </c>
      <c r="O1" s="47" t="s">
        <v>941</v>
      </c>
      <c r="P1" s="34" t="s">
        <v>62</v>
      </c>
      <c r="Q1" s="34" t="s">
        <v>947</v>
      </c>
      <c r="R1" s="34" t="s">
        <v>948</v>
      </c>
      <c r="S1" s="47" t="s">
        <v>950</v>
      </c>
      <c r="T1" s="47" t="s">
        <v>951</v>
      </c>
      <c r="U1" s="35" t="s">
        <v>95</v>
      </c>
      <c r="V1" s="35" t="s">
        <v>64</v>
      </c>
      <c r="W1" s="35" t="s">
        <v>96</v>
      </c>
      <c r="X1" s="35" t="s">
        <v>66</v>
      </c>
      <c r="Y1" s="36" t="s">
        <v>67</v>
      </c>
      <c r="Z1" s="36" t="s">
        <v>68</v>
      </c>
    </row>
    <row r="2" spans="1:26" x14ac:dyDescent="0.2">
      <c r="A2" s="53">
        <v>420</v>
      </c>
      <c r="B2" s="53">
        <v>420</v>
      </c>
      <c r="C2" s="53" t="s">
        <v>994</v>
      </c>
      <c r="D2" s="53">
        <v>520041690</v>
      </c>
      <c r="E2" s="40" t="s">
        <v>150</v>
      </c>
      <c r="F2" s="53" t="s">
        <v>995</v>
      </c>
      <c r="G2" s="53">
        <v>800074304</v>
      </c>
      <c r="H2" s="40" t="s">
        <v>105</v>
      </c>
      <c r="I2" s="53" t="s">
        <v>996</v>
      </c>
      <c r="J2" s="40" t="s">
        <v>73</v>
      </c>
      <c r="K2" s="40" t="s">
        <v>73</v>
      </c>
      <c r="L2" s="53" t="s">
        <v>955</v>
      </c>
      <c r="M2" s="53" t="s">
        <v>279</v>
      </c>
      <c r="N2" s="53" t="s">
        <v>74</v>
      </c>
      <c r="O2" s="59" t="s">
        <v>997</v>
      </c>
      <c r="P2" s="40" t="s">
        <v>78</v>
      </c>
      <c r="Q2" s="53" t="s">
        <v>998</v>
      </c>
      <c r="R2" s="53" t="s">
        <v>978</v>
      </c>
      <c r="S2" s="59">
        <v>45657</v>
      </c>
      <c r="T2" s="59">
        <v>45657</v>
      </c>
      <c r="U2" s="56">
        <v>21543.14</v>
      </c>
      <c r="V2" s="56">
        <v>1</v>
      </c>
      <c r="W2" s="56">
        <v>0</v>
      </c>
      <c r="X2" s="56">
        <v>0</v>
      </c>
      <c r="Y2" s="60">
        <v>0</v>
      </c>
      <c r="Z2" s="60">
        <v>0</v>
      </c>
    </row>
    <row r="3" spans="1:26" x14ac:dyDescent="0.2">
      <c r="A3" s="53">
        <v>420</v>
      </c>
      <c r="B3" s="53">
        <v>420</v>
      </c>
      <c r="C3" s="53" t="s">
        <v>999</v>
      </c>
      <c r="D3" s="53">
        <v>514707736</v>
      </c>
      <c r="E3" s="40" t="s">
        <v>150</v>
      </c>
      <c r="F3" s="53" t="s">
        <v>1000</v>
      </c>
      <c r="G3" s="53">
        <v>800078297</v>
      </c>
      <c r="H3" s="40" t="s">
        <v>105</v>
      </c>
      <c r="I3" s="53" t="s">
        <v>996</v>
      </c>
      <c r="J3" s="40" t="s">
        <v>73</v>
      </c>
      <c r="K3" s="40" t="s">
        <v>73</v>
      </c>
      <c r="L3" s="53" t="s">
        <v>955</v>
      </c>
      <c r="M3" s="53" t="s">
        <v>1001</v>
      </c>
      <c r="N3" s="53" t="s">
        <v>74</v>
      </c>
      <c r="O3" s="59" t="s">
        <v>1002</v>
      </c>
      <c r="P3" s="40" t="s">
        <v>78</v>
      </c>
      <c r="Q3" s="53" t="s">
        <v>1003</v>
      </c>
      <c r="R3" s="53" t="s">
        <v>959</v>
      </c>
      <c r="S3" s="59" t="s">
        <v>960</v>
      </c>
      <c r="T3" s="59" t="s">
        <v>960</v>
      </c>
      <c r="U3" s="56">
        <v>12995</v>
      </c>
      <c r="V3" s="56">
        <v>1</v>
      </c>
      <c r="W3" s="56">
        <v>30.8</v>
      </c>
      <c r="X3" s="56">
        <v>4.0024600000000001</v>
      </c>
      <c r="Y3" s="60">
        <v>2.7654499999999999E-2</v>
      </c>
      <c r="Z3" s="60">
        <v>3.0499999999999999E-5</v>
      </c>
    </row>
    <row r="4" spans="1:26" x14ac:dyDescent="0.2">
      <c r="A4" s="53">
        <v>420</v>
      </c>
      <c r="B4" s="53">
        <v>420</v>
      </c>
      <c r="C4" s="53" t="s">
        <v>1004</v>
      </c>
      <c r="D4" s="53">
        <v>96120</v>
      </c>
      <c r="E4" s="40" t="s">
        <v>138</v>
      </c>
      <c r="F4" s="53" t="s">
        <v>1005</v>
      </c>
      <c r="G4" s="53">
        <v>800078305</v>
      </c>
      <c r="H4" s="40" t="s">
        <v>105</v>
      </c>
      <c r="I4" s="53" t="s">
        <v>996</v>
      </c>
      <c r="J4" s="40" t="s">
        <v>73</v>
      </c>
      <c r="K4" s="40" t="s">
        <v>73</v>
      </c>
      <c r="L4" s="53" t="s">
        <v>955</v>
      </c>
      <c r="M4" s="53" t="s">
        <v>1006</v>
      </c>
      <c r="N4" s="53" t="s">
        <v>74</v>
      </c>
      <c r="O4" s="61" t="s">
        <v>997</v>
      </c>
      <c r="P4" s="40" t="s">
        <v>78</v>
      </c>
      <c r="Q4" s="53" t="s">
        <v>1003</v>
      </c>
      <c r="R4" s="53" t="s">
        <v>959</v>
      </c>
      <c r="S4" s="59" t="s">
        <v>1007</v>
      </c>
      <c r="T4" s="59" t="s">
        <v>1007</v>
      </c>
      <c r="U4" s="56">
        <v>2472</v>
      </c>
      <c r="V4" s="56">
        <v>1</v>
      </c>
      <c r="W4" s="56">
        <v>3258.0097000000001</v>
      </c>
      <c r="X4" s="56">
        <v>80.537989999999994</v>
      </c>
      <c r="Y4" s="60">
        <v>0.55646799999999996</v>
      </c>
      <c r="Z4" s="60">
        <v>6.135E-4</v>
      </c>
    </row>
    <row r="5" spans="1:26" x14ac:dyDescent="0.2">
      <c r="A5" s="53">
        <v>420</v>
      </c>
      <c r="B5" s="53">
        <v>420</v>
      </c>
      <c r="C5" s="53" t="s">
        <v>1008</v>
      </c>
      <c r="D5" s="53">
        <v>520039652</v>
      </c>
      <c r="E5" s="40" t="s">
        <v>150</v>
      </c>
      <c r="F5" s="53" t="s">
        <v>1009</v>
      </c>
      <c r="G5" s="53" t="s">
        <v>1010</v>
      </c>
      <c r="H5" s="40" t="s">
        <v>153</v>
      </c>
      <c r="I5" s="53" t="s">
        <v>996</v>
      </c>
      <c r="J5" s="40" t="s">
        <v>73</v>
      </c>
      <c r="K5" s="40" t="s">
        <v>73</v>
      </c>
      <c r="L5" s="53" t="s">
        <v>955</v>
      </c>
      <c r="M5" s="53" t="s">
        <v>701</v>
      </c>
      <c r="N5" s="53" t="s">
        <v>74</v>
      </c>
      <c r="O5" s="59" t="s">
        <v>997</v>
      </c>
      <c r="P5" s="40" t="s">
        <v>78</v>
      </c>
      <c r="Q5" s="53" t="s">
        <v>998</v>
      </c>
      <c r="R5" s="53" t="s">
        <v>978</v>
      </c>
      <c r="S5" s="59">
        <v>45657</v>
      </c>
      <c r="T5" s="59">
        <v>45657</v>
      </c>
      <c r="U5" s="56">
        <v>130</v>
      </c>
      <c r="V5" s="56">
        <v>1</v>
      </c>
      <c r="W5" s="56">
        <v>0</v>
      </c>
      <c r="X5" s="56">
        <v>0</v>
      </c>
      <c r="Y5" s="60">
        <v>0</v>
      </c>
      <c r="Z5" s="60">
        <v>0</v>
      </c>
    </row>
    <row r="6" spans="1:26" x14ac:dyDescent="0.2">
      <c r="A6" s="53">
        <v>420</v>
      </c>
      <c r="B6" s="53">
        <v>420</v>
      </c>
      <c r="C6" s="53" t="s">
        <v>1011</v>
      </c>
      <c r="D6" s="53">
        <v>520037300</v>
      </c>
      <c r="E6" s="40" t="s">
        <v>150</v>
      </c>
      <c r="F6" s="53" t="s">
        <v>1012</v>
      </c>
      <c r="G6" s="53" t="s">
        <v>1013</v>
      </c>
      <c r="H6" s="40" t="s">
        <v>153</v>
      </c>
      <c r="I6" s="53" t="s">
        <v>996</v>
      </c>
      <c r="J6" s="40" t="s">
        <v>73</v>
      </c>
      <c r="K6" s="40" t="s">
        <v>73</v>
      </c>
      <c r="L6" s="53" t="s">
        <v>955</v>
      </c>
      <c r="M6" s="53" t="s">
        <v>1014</v>
      </c>
      <c r="N6" s="53" t="s">
        <v>74</v>
      </c>
      <c r="O6" s="59" t="s">
        <v>997</v>
      </c>
      <c r="P6" s="40" t="s">
        <v>78</v>
      </c>
      <c r="Q6" s="53" t="s">
        <v>998</v>
      </c>
      <c r="R6" s="53" t="s">
        <v>978</v>
      </c>
      <c r="S6" s="59">
        <v>45657</v>
      </c>
      <c r="T6" s="59">
        <v>45657</v>
      </c>
      <c r="U6" s="56">
        <v>439</v>
      </c>
      <c r="V6" s="56">
        <v>1</v>
      </c>
      <c r="W6" s="56">
        <v>0</v>
      </c>
      <c r="X6" s="56">
        <v>0</v>
      </c>
      <c r="Y6" s="60">
        <v>0</v>
      </c>
      <c r="Z6" s="60">
        <v>0</v>
      </c>
    </row>
    <row r="7" spans="1:26" x14ac:dyDescent="0.2">
      <c r="A7" s="53">
        <v>420</v>
      </c>
      <c r="B7" s="53">
        <v>420</v>
      </c>
      <c r="C7" s="53" t="s">
        <v>1015</v>
      </c>
      <c r="D7" s="53">
        <v>997601</v>
      </c>
      <c r="E7" s="40" t="s">
        <v>138</v>
      </c>
      <c r="F7" s="53" t="s">
        <v>1016</v>
      </c>
      <c r="G7" s="53">
        <v>800081176</v>
      </c>
      <c r="H7" s="40" t="s">
        <v>105</v>
      </c>
      <c r="I7" s="53" t="s">
        <v>996</v>
      </c>
      <c r="J7" s="40" t="s">
        <v>484</v>
      </c>
      <c r="K7" s="40" t="s">
        <v>351</v>
      </c>
      <c r="L7" s="53" t="s">
        <v>955</v>
      </c>
      <c r="M7" s="53" t="s">
        <v>713</v>
      </c>
      <c r="N7" s="53" t="s">
        <v>74</v>
      </c>
      <c r="O7" s="59" t="s">
        <v>1017</v>
      </c>
      <c r="P7" s="40" t="s">
        <v>81</v>
      </c>
      <c r="Q7" s="53" t="s">
        <v>1003</v>
      </c>
      <c r="R7" s="53" t="s">
        <v>959</v>
      </c>
      <c r="S7" s="59" t="s">
        <v>960</v>
      </c>
      <c r="T7" s="59" t="s">
        <v>960</v>
      </c>
      <c r="U7" s="56">
        <v>2986</v>
      </c>
      <c r="V7" s="56">
        <v>3.3719999999999999</v>
      </c>
      <c r="W7" s="56">
        <v>510</v>
      </c>
      <c r="X7" s="56">
        <v>51.350830000000002</v>
      </c>
      <c r="Y7" s="60">
        <v>0.35480270000000003</v>
      </c>
      <c r="Z7" s="60">
        <v>3.9120000000000002E-4</v>
      </c>
    </row>
    <row r="8" spans="1:26" x14ac:dyDescent="0.2">
      <c r="A8" s="53">
        <v>420</v>
      </c>
      <c r="B8" s="53">
        <v>420</v>
      </c>
      <c r="C8" s="53" t="s">
        <v>789</v>
      </c>
      <c r="D8" s="53">
        <v>997495</v>
      </c>
      <c r="E8" s="40" t="s">
        <v>138</v>
      </c>
      <c r="F8" s="53" t="s">
        <v>1018</v>
      </c>
      <c r="G8" s="53">
        <v>471278113</v>
      </c>
      <c r="H8" s="40" t="s">
        <v>105</v>
      </c>
      <c r="I8" s="53" t="s">
        <v>996</v>
      </c>
      <c r="J8" s="40" t="s">
        <v>484</v>
      </c>
      <c r="K8" s="40" t="s">
        <v>351</v>
      </c>
      <c r="L8" s="53" t="s">
        <v>955</v>
      </c>
      <c r="M8" s="53" t="s">
        <v>713</v>
      </c>
      <c r="N8" s="53" t="s">
        <v>74</v>
      </c>
      <c r="O8" s="59">
        <v>44196</v>
      </c>
      <c r="P8" s="40" t="s">
        <v>81</v>
      </c>
      <c r="Q8" s="53" t="s">
        <v>998</v>
      </c>
      <c r="R8" s="53" t="s">
        <v>978</v>
      </c>
      <c r="S8" s="59">
        <v>45657</v>
      </c>
      <c r="T8" s="59">
        <v>45657</v>
      </c>
      <c r="U8" s="56">
        <v>27</v>
      </c>
      <c r="V8" s="56">
        <v>3.3719999999999999</v>
      </c>
      <c r="W8" s="56">
        <v>1</v>
      </c>
      <c r="X8" s="56">
        <v>9.1E-4</v>
      </c>
      <c r="Y8" s="60">
        <v>6.2999999999999998E-6</v>
      </c>
      <c r="Z8" s="60">
        <v>0</v>
      </c>
    </row>
    <row r="9" spans="1:26" x14ac:dyDescent="0.2">
      <c r="A9" s="53">
        <v>420</v>
      </c>
      <c r="B9" s="53">
        <v>420</v>
      </c>
      <c r="C9" s="53" t="s">
        <v>789</v>
      </c>
      <c r="D9" s="53">
        <v>997495</v>
      </c>
      <c r="E9" s="40" t="s">
        <v>138</v>
      </c>
      <c r="F9" s="53" t="s">
        <v>1019</v>
      </c>
      <c r="G9" s="53">
        <v>800078412</v>
      </c>
      <c r="H9" s="40" t="s">
        <v>105</v>
      </c>
      <c r="I9" s="53" t="s">
        <v>996</v>
      </c>
      <c r="J9" s="40" t="s">
        <v>484</v>
      </c>
      <c r="K9" s="40" t="s">
        <v>701</v>
      </c>
      <c r="L9" s="53" t="s">
        <v>955</v>
      </c>
      <c r="M9" s="53" t="s">
        <v>713</v>
      </c>
      <c r="N9" s="53" t="s">
        <v>74</v>
      </c>
      <c r="O9" s="59" t="s">
        <v>997</v>
      </c>
      <c r="P9" s="40" t="s">
        <v>81</v>
      </c>
      <c r="Q9" s="53" t="s">
        <v>998</v>
      </c>
      <c r="R9" s="53" t="s">
        <v>978</v>
      </c>
      <c r="S9" s="59">
        <v>45657</v>
      </c>
      <c r="T9" s="59">
        <v>45657</v>
      </c>
      <c r="U9" s="56">
        <v>18000</v>
      </c>
      <c r="V9" s="56">
        <v>3.3719999999999999</v>
      </c>
      <c r="W9" s="56">
        <v>0</v>
      </c>
      <c r="X9" s="56">
        <v>0</v>
      </c>
      <c r="Y9" s="60">
        <v>0</v>
      </c>
      <c r="Z9" s="60">
        <v>0</v>
      </c>
    </row>
    <row r="10" spans="1:26" x14ac:dyDescent="0.2">
      <c r="A10" s="53">
        <v>420</v>
      </c>
      <c r="B10" s="53">
        <v>420</v>
      </c>
      <c r="C10" s="53" t="s">
        <v>789</v>
      </c>
      <c r="D10" s="53">
        <v>997495</v>
      </c>
      <c r="E10" s="40" t="s">
        <v>138</v>
      </c>
      <c r="F10" s="53" t="s">
        <v>1020</v>
      </c>
      <c r="G10" s="53">
        <v>800078420</v>
      </c>
      <c r="H10" s="40" t="s">
        <v>105</v>
      </c>
      <c r="I10" s="53" t="s">
        <v>996</v>
      </c>
      <c r="J10" s="40" t="s">
        <v>484</v>
      </c>
      <c r="K10" s="40" t="s">
        <v>701</v>
      </c>
      <c r="L10" s="53" t="s">
        <v>955</v>
      </c>
      <c r="M10" s="53" t="s">
        <v>713</v>
      </c>
      <c r="N10" s="53" t="s">
        <v>74</v>
      </c>
      <c r="O10" s="59" t="s">
        <v>997</v>
      </c>
      <c r="P10" s="40" t="s">
        <v>81</v>
      </c>
      <c r="Q10" s="53" t="s">
        <v>998</v>
      </c>
      <c r="R10" s="53" t="s">
        <v>978</v>
      </c>
      <c r="S10" s="59">
        <v>45657</v>
      </c>
      <c r="T10" s="59">
        <v>45657</v>
      </c>
      <c r="U10" s="56">
        <v>18</v>
      </c>
      <c r="V10" s="56">
        <v>3.3719999999999999</v>
      </c>
      <c r="W10" s="56">
        <v>0</v>
      </c>
      <c r="X10" s="56">
        <v>0</v>
      </c>
      <c r="Y10" s="60">
        <v>0</v>
      </c>
      <c r="Z10" s="60">
        <v>0</v>
      </c>
    </row>
    <row r="11" spans="1:26" x14ac:dyDescent="0.2">
      <c r="A11" s="53">
        <v>420</v>
      </c>
      <c r="B11" s="53">
        <v>420</v>
      </c>
      <c r="C11" s="53" t="s">
        <v>1021</v>
      </c>
      <c r="D11" s="53">
        <v>997637</v>
      </c>
      <c r="E11" s="40" t="s">
        <v>138</v>
      </c>
      <c r="F11" s="53" t="s">
        <v>1021</v>
      </c>
      <c r="G11" s="53" t="s">
        <v>1022</v>
      </c>
      <c r="H11" s="40" t="s">
        <v>153</v>
      </c>
      <c r="I11" s="53" t="s">
        <v>996</v>
      </c>
      <c r="J11" s="40" t="s">
        <v>484</v>
      </c>
      <c r="K11" s="40" t="s">
        <v>351</v>
      </c>
      <c r="L11" s="53" t="s">
        <v>955</v>
      </c>
      <c r="M11" s="53" t="s">
        <v>713</v>
      </c>
      <c r="N11" s="53" t="s">
        <v>74</v>
      </c>
      <c r="O11" s="59" t="s">
        <v>1023</v>
      </c>
      <c r="P11" s="40" t="s">
        <v>81</v>
      </c>
      <c r="Q11" s="53" t="s">
        <v>1003</v>
      </c>
      <c r="R11" s="53" t="s">
        <v>959</v>
      </c>
      <c r="S11" s="59" t="s">
        <v>960</v>
      </c>
      <c r="T11" s="59" t="s">
        <v>960</v>
      </c>
      <c r="U11" s="56">
        <v>1579</v>
      </c>
      <c r="V11" s="56">
        <v>3.3719999999999999</v>
      </c>
      <c r="W11" s="56">
        <v>166</v>
      </c>
      <c r="X11" s="56">
        <v>8.8384800000000006</v>
      </c>
      <c r="Y11" s="60">
        <v>6.1068499999999998E-2</v>
      </c>
      <c r="Z11" s="60">
        <v>6.7299999999999996E-5</v>
      </c>
    </row>
    <row r="12" spans="1:26" x14ac:dyDescent="0.2">
      <c r="A12" s="53">
        <v>420</v>
      </c>
      <c r="B12" s="53">
        <v>1471</v>
      </c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3"/>
      <c r="O12" s="59" t="s">
        <v>147</v>
      </c>
      <c r="P12" s="40"/>
      <c r="Q12" s="53"/>
      <c r="R12" s="53"/>
      <c r="S12" s="59" t="s">
        <v>147</v>
      </c>
      <c r="T12" s="59" t="s">
        <v>147</v>
      </c>
      <c r="U12" s="56"/>
      <c r="V12" s="56"/>
      <c r="W12" s="56"/>
      <c r="X12" s="56"/>
      <c r="Y12" s="60" t="s">
        <v>147</v>
      </c>
      <c r="Z12" s="60"/>
    </row>
    <row r="13" spans="1:26" x14ac:dyDescent="0.2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3"/>
      <c r="O13" s="59"/>
      <c r="P13" s="40"/>
      <c r="Q13" s="53"/>
      <c r="R13" s="53"/>
      <c r="S13" s="59"/>
      <c r="T13" s="59"/>
      <c r="U13" s="56"/>
      <c r="V13" s="56"/>
      <c r="W13" s="56"/>
      <c r="X13" s="56"/>
      <c r="Y13" s="60"/>
      <c r="Z13" s="60"/>
    </row>
    <row r="14" spans="1:26" x14ac:dyDescent="0.2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3"/>
      <c r="O14" s="59"/>
      <c r="P14" s="40"/>
      <c r="Q14" s="53"/>
      <c r="R14" s="53"/>
      <c r="S14" s="59"/>
      <c r="T14" s="59"/>
      <c r="U14" s="56"/>
      <c r="V14" s="56"/>
      <c r="W14" s="56"/>
      <c r="X14" s="56"/>
      <c r="Y14" s="60"/>
      <c r="Z14" s="60"/>
    </row>
    <row r="15" spans="1:26" x14ac:dyDescent="0.2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3"/>
      <c r="O15" s="59"/>
      <c r="P15" s="40"/>
      <c r="Q15" s="53"/>
      <c r="R15" s="53"/>
      <c r="S15" s="59"/>
      <c r="T15" s="59"/>
      <c r="U15" s="56"/>
      <c r="V15" s="56"/>
      <c r="W15" s="56"/>
      <c r="X15" s="56"/>
      <c r="Y15" s="60"/>
      <c r="Z15" s="60"/>
    </row>
    <row r="16" spans="1:26" x14ac:dyDescent="0.2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3"/>
      <c r="O16" s="59"/>
      <c r="P16" s="40"/>
      <c r="Q16" s="53"/>
      <c r="R16" s="53"/>
      <c r="S16" s="59"/>
      <c r="T16" s="59"/>
      <c r="U16" s="56"/>
      <c r="V16" s="56"/>
      <c r="W16" s="56"/>
      <c r="X16" s="56"/>
      <c r="Y16" s="60"/>
      <c r="Z16" s="60"/>
    </row>
    <row r="17" spans="1:26" x14ac:dyDescent="0.2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3"/>
      <c r="O17" s="59"/>
      <c r="P17" s="40"/>
      <c r="Q17" s="53"/>
      <c r="R17" s="53"/>
      <c r="S17" s="59"/>
      <c r="T17" s="59"/>
      <c r="U17" s="56"/>
      <c r="V17" s="56"/>
      <c r="W17" s="56"/>
      <c r="X17" s="56"/>
      <c r="Y17" s="60"/>
      <c r="Z17" s="60"/>
    </row>
    <row r="18" spans="1:26" x14ac:dyDescent="0.2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3"/>
      <c r="O18" s="59"/>
      <c r="P18" s="40"/>
      <c r="Q18" s="53"/>
      <c r="R18" s="53"/>
      <c r="S18" s="59"/>
      <c r="T18" s="59"/>
      <c r="U18" s="56"/>
      <c r="V18" s="56"/>
      <c r="W18" s="56"/>
      <c r="X18" s="56"/>
      <c r="Y18" s="60"/>
      <c r="Z18" s="60"/>
    </row>
    <row r="19" spans="1:26" x14ac:dyDescent="0.2">
      <c r="A19" s="45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3"/>
      <c r="O19" s="59"/>
      <c r="P19" s="40"/>
      <c r="Q19" s="53"/>
      <c r="R19" s="53"/>
      <c r="S19" s="59"/>
      <c r="T19" s="59"/>
      <c r="U19" s="56"/>
      <c r="V19" s="56"/>
      <c r="W19" s="56"/>
      <c r="X19" s="56"/>
      <c r="Y19" s="60"/>
      <c r="Z19" s="60"/>
    </row>
    <row r="20" spans="1:26" x14ac:dyDescent="0.2">
      <c r="E20" s="40"/>
      <c r="H20" s="45"/>
      <c r="I20" s="53"/>
      <c r="J20" s="40"/>
      <c r="K20" s="40"/>
      <c r="L20" s="53"/>
      <c r="M20" s="53"/>
      <c r="N20" s="53"/>
      <c r="R20" s="53"/>
    </row>
    <row r="21" spans="1:26" s="39" customFormat="1" x14ac:dyDescent="0.2">
      <c r="O21" s="48"/>
      <c r="S21" s="48"/>
      <c r="T21" s="48"/>
      <c r="U21" s="42"/>
      <c r="V21" s="42"/>
      <c r="W21" s="42"/>
      <c r="X21" s="42"/>
      <c r="Y21" s="43"/>
      <c r="Z21" s="43"/>
    </row>
  </sheetData>
  <sheetProtection formatColumns="0"/>
  <dataValidations count="11">
    <dataValidation type="list" allowBlank="1" showInputMessage="1" showErrorMessage="1" sqref="L2:L20" xr:uid="{F2B95804-5A5E-4601-BA32-142C8402BBF2}">
      <formula1>tradeable_status_stock</formula1>
    </dataValidation>
    <dataValidation type="list" allowBlank="1" showInputMessage="1" showErrorMessage="1" sqref="M2:M20" xr:uid="{64788D1A-E925-4E79-B2FE-1374BBC07311}">
      <formula1>Industry_Sector</formula1>
    </dataValidation>
    <dataValidation type="list" allowBlank="1" showInputMessage="1" showErrorMessage="1" sqref="E2" xr:uid="{5F6BAFB1-BF0B-4091-9576-C5379E10FA75}">
      <formula1>Issuer_Number_Type_3</formula1>
    </dataValidation>
    <dataValidation type="list" allowBlank="1" showInputMessage="1" showErrorMessage="1" sqref="H3:H19" xr:uid="{A79DAA5C-1EDD-4C94-996B-5230EFA53AFC}">
      <formula1>Type_of_Security_ID_Traded</formula1>
    </dataValidation>
    <dataValidation type="list" allowBlank="1" showInputMessage="1" showErrorMessage="1" sqref="H2" xr:uid="{7F907F99-AED0-4B29-9D37-6A107A18A547}">
      <formula1>Type_of_Security_ID</formula1>
    </dataValidation>
    <dataValidation type="list" allowBlank="1" showInputMessage="1" showErrorMessage="1" sqref="E3:E20" xr:uid="{C404A32C-1491-4713-B50A-1A74D89908C0}">
      <formula1>Issuer_Number_Type_2</formula1>
    </dataValidation>
    <dataValidation type="list" allowBlank="1" showInputMessage="1" showErrorMessage="1" sqref="K2:K20" xr:uid="{609C0C52-5C54-4DA0-A58F-8290B38E82CE}">
      <formula1>Country_list</formula1>
    </dataValidation>
    <dataValidation type="list" allowBlank="1" showInputMessage="1" showErrorMessage="1" sqref="R2:R20" xr:uid="{9466AC10-D3F9-4558-AD5E-DCA4C0CA12F2}">
      <formula1>Dependence_Independence</formula1>
    </dataValidation>
    <dataValidation type="list" allowBlank="1" showInputMessage="1" showErrorMessage="1" sqref="Q2:Q19" xr:uid="{FCEB1902-A5C8-4226-9469-725E32905692}">
      <formula1>Valuation</formula1>
    </dataValidation>
    <dataValidation type="list" allowBlank="1" showInputMessage="1" showErrorMessage="1" sqref="N2:N20" xr:uid="{C6190AE8-6D73-4413-AEDC-D15477F22131}">
      <formula1>Holding_interest</formula1>
    </dataValidation>
    <dataValidation type="list" allowBlank="1" showInputMessage="1" showErrorMessage="1" sqref="J2:J20" xr:uid="{304973D7-4342-4F86-B0BE-CE4B9147B174}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3B29-498D-47FF-B951-F0670FF14A13}">
  <sheetPr codeName="Sheet20"/>
  <dimension ref="A1:Z1048574"/>
  <sheetViews>
    <sheetView rightToLeft="1" workbookViewId="0">
      <selection activeCell="D9" sqref="D9"/>
    </sheetView>
  </sheetViews>
  <sheetFormatPr defaultColWidth="9" defaultRowHeight="14.25" x14ac:dyDescent="0.2"/>
  <cols>
    <col min="1" max="2" width="11.625" style="38" customWidth="1"/>
    <col min="3" max="3" width="48.375" style="38" bestFit="1" customWidth="1"/>
    <col min="4" max="4" width="13.5" style="38" bestFit="1" customWidth="1"/>
    <col min="5" max="5" width="22.75" style="38" bestFit="1" customWidth="1"/>
    <col min="6" max="6" width="24.375" style="38" bestFit="1" customWidth="1"/>
    <col min="7" max="8" width="11.625" style="38" customWidth="1"/>
    <col min="9" max="9" width="19.125" style="38" bestFit="1" customWidth="1"/>
    <col min="10" max="10" width="21.375" style="38" bestFit="1" customWidth="1"/>
    <col min="11" max="15" width="11.625" style="38" customWidth="1"/>
    <col min="16" max="16" width="11.625" style="48" customWidth="1"/>
    <col min="17" max="17" width="11.625" style="38" customWidth="1"/>
    <col min="18" max="18" width="12.375" style="38" bestFit="1" customWidth="1"/>
    <col min="19" max="19" width="11.625" style="38" customWidth="1"/>
    <col min="20" max="20" width="11.625" style="61" customWidth="1"/>
    <col min="21" max="23" width="11.625" style="41" customWidth="1"/>
    <col min="24" max="26" width="11.625" style="46" customWidth="1"/>
    <col min="27" max="16384" width="9" style="38"/>
  </cols>
  <sheetData>
    <row r="1" spans="1:26" ht="66.75" customHeight="1" x14ac:dyDescent="0.2">
      <c r="A1" s="34" t="s">
        <v>52</v>
      </c>
      <c r="B1" s="34" t="s">
        <v>53</v>
      </c>
      <c r="C1" s="34" t="s">
        <v>1024</v>
      </c>
      <c r="D1" s="34" t="s">
        <v>1025</v>
      </c>
      <c r="E1" s="34" t="s">
        <v>1026</v>
      </c>
      <c r="F1" s="34" t="s">
        <v>1027</v>
      </c>
      <c r="G1" s="34" t="s">
        <v>1028</v>
      </c>
      <c r="H1" s="34" t="s">
        <v>1029</v>
      </c>
      <c r="I1" s="34" t="s">
        <v>57</v>
      </c>
      <c r="J1" s="34" t="s">
        <v>1030</v>
      </c>
      <c r="K1" s="34" t="s">
        <v>58</v>
      </c>
      <c r="L1" s="34" t="s">
        <v>1031</v>
      </c>
      <c r="M1" s="34" t="s">
        <v>1032</v>
      </c>
      <c r="N1" s="34" t="s">
        <v>88</v>
      </c>
      <c r="O1" s="34" t="s">
        <v>59</v>
      </c>
      <c r="P1" s="65" t="s">
        <v>941</v>
      </c>
      <c r="Q1" s="34" t="s">
        <v>62</v>
      </c>
      <c r="R1" s="34" t="s">
        <v>947</v>
      </c>
      <c r="S1" s="34" t="s">
        <v>948</v>
      </c>
      <c r="T1" s="47" t="s">
        <v>950</v>
      </c>
      <c r="U1" s="35" t="s">
        <v>64</v>
      </c>
      <c r="V1" s="35" t="s">
        <v>1033</v>
      </c>
      <c r="W1" s="35" t="s">
        <v>66</v>
      </c>
      <c r="X1" s="36" t="s">
        <v>1034</v>
      </c>
      <c r="Y1" s="36" t="s">
        <v>67</v>
      </c>
      <c r="Z1" s="36" t="s">
        <v>68</v>
      </c>
    </row>
    <row r="2" spans="1:26" x14ac:dyDescent="0.2">
      <c r="A2" s="53">
        <v>420</v>
      </c>
      <c r="B2" s="53">
        <v>420</v>
      </c>
      <c r="C2" s="53" t="s">
        <v>1035</v>
      </c>
      <c r="D2" s="53">
        <v>513834986</v>
      </c>
      <c r="E2" s="53" t="s">
        <v>150</v>
      </c>
      <c r="F2" s="53" t="s">
        <v>1036</v>
      </c>
      <c r="G2" s="53">
        <v>892136201</v>
      </c>
      <c r="H2" s="53" t="s">
        <v>105</v>
      </c>
      <c r="I2" s="38" t="s">
        <v>1037</v>
      </c>
      <c r="J2" s="53" t="s">
        <v>713</v>
      </c>
      <c r="K2" s="40" t="s">
        <v>73</v>
      </c>
      <c r="L2" s="53" t="s">
        <v>1038</v>
      </c>
      <c r="M2" s="53" t="s">
        <v>73</v>
      </c>
      <c r="N2" s="40" t="s">
        <v>73</v>
      </c>
      <c r="O2" s="53" t="s">
        <v>74</v>
      </c>
      <c r="P2" s="48" t="s">
        <v>1039</v>
      </c>
      <c r="Q2" s="40" t="s">
        <v>78</v>
      </c>
      <c r="R2" s="53" t="s">
        <v>1040</v>
      </c>
      <c r="S2" s="53" t="s">
        <v>959</v>
      </c>
      <c r="T2" s="59" t="s">
        <v>1041</v>
      </c>
      <c r="U2" s="56">
        <v>1</v>
      </c>
      <c r="V2" s="56">
        <v>1264.1786999999999</v>
      </c>
      <c r="W2" s="56">
        <v>1264.1787200000001</v>
      </c>
      <c r="X2" s="60">
        <v>1.3527000000000001E-3</v>
      </c>
      <c r="Y2" s="60">
        <v>9.1762300000000005E-2</v>
      </c>
      <c r="Z2" s="60">
        <v>9.6305000000000002E-3</v>
      </c>
    </row>
    <row r="3" spans="1:26" x14ac:dyDescent="0.2">
      <c r="A3" s="53">
        <v>420</v>
      </c>
      <c r="B3" s="53">
        <v>420</v>
      </c>
      <c r="C3" s="53" t="s">
        <v>1042</v>
      </c>
      <c r="D3" s="39">
        <v>540295888</v>
      </c>
      <c r="E3" s="53" t="s">
        <v>150</v>
      </c>
      <c r="F3" s="53" t="s">
        <v>1043</v>
      </c>
      <c r="G3" s="53">
        <v>800077414</v>
      </c>
      <c r="H3" s="53" t="s">
        <v>105</v>
      </c>
      <c r="I3" s="38" t="s">
        <v>1044</v>
      </c>
      <c r="J3" s="53" t="s">
        <v>1045</v>
      </c>
      <c r="K3" s="40" t="s">
        <v>73</v>
      </c>
      <c r="L3" s="53" t="s">
        <v>73</v>
      </c>
      <c r="M3" s="53" t="s">
        <v>73</v>
      </c>
      <c r="N3" s="40" t="s">
        <v>839</v>
      </c>
      <c r="O3" s="53" t="s">
        <v>74</v>
      </c>
      <c r="P3" s="48" t="s">
        <v>1046</v>
      </c>
      <c r="Q3" s="40" t="s">
        <v>77</v>
      </c>
      <c r="R3" s="53" t="s">
        <v>1040</v>
      </c>
      <c r="S3" s="53" t="s">
        <v>959</v>
      </c>
      <c r="T3" s="59" t="s">
        <v>1047</v>
      </c>
      <c r="U3" s="56">
        <v>3.9552</v>
      </c>
      <c r="V3" s="56">
        <v>115.398</v>
      </c>
      <c r="W3" s="56">
        <v>456.42219</v>
      </c>
      <c r="X3" s="60">
        <v>0</v>
      </c>
      <c r="Y3" s="60">
        <v>3.3130100000000003E-2</v>
      </c>
      <c r="Z3" s="60">
        <v>3.4770000000000001E-3</v>
      </c>
    </row>
    <row r="4" spans="1:26" x14ac:dyDescent="0.2">
      <c r="A4" s="53">
        <v>420</v>
      </c>
      <c r="B4" s="53">
        <v>420</v>
      </c>
      <c r="C4" s="53" t="s">
        <v>1048</v>
      </c>
      <c r="D4" s="39">
        <v>516354594</v>
      </c>
      <c r="E4" s="53" t="s">
        <v>150</v>
      </c>
      <c r="F4" s="53" t="s">
        <v>1049</v>
      </c>
      <c r="G4" s="53">
        <v>800082307</v>
      </c>
      <c r="H4" s="53" t="s">
        <v>105</v>
      </c>
      <c r="I4" s="38" t="s">
        <v>1050</v>
      </c>
      <c r="J4" s="53" t="s">
        <v>713</v>
      </c>
      <c r="K4" s="40" t="s">
        <v>73</v>
      </c>
      <c r="L4" s="53" t="s">
        <v>73</v>
      </c>
      <c r="M4" s="53" t="s">
        <v>73</v>
      </c>
      <c r="N4" s="40" t="s">
        <v>73</v>
      </c>
      <c r="O4" s="53" t="s">
        <v>74</v>
      </c>
      <c r="P4" s="48" t="s">
        <v>1051</v>
      </c>
      <c r="Q4" s="40" t="s">
        <v>78</v>
      </c>
      <c r="R4" s="53" t="s">
        <v>1040</v>
      </c>
      <c r="S4" s="53" t="s">
        <v>959</v>
      </c>
      <c r="T4" s="59" t="s">
        <v>1052</v>
      </c>
      <c r="U4" s="56">
        <v>1</v>
      </c>
      <c r="V4" s="56">
        <v>750.32770000000005</v>
      </c>
      <c r="W4" s="56">
        <v>750.32775000000004</v>
      </c>
      <c r="X4" s="60">
        <v>3.7499999999999999E-2</v>
      </c>
      <c r="Y4" s="60">
        <v>5.4463600000000001E-2</v>
      </c>
      <c r="Z4" s="60">
        <v>5.7159999999999997E-3</v>
      </c>
    </row>
    <row r="5" spans="1:26" x14ac:dyDescent="0.2">
      <c r="A5" s="53">
        <v>420</v>
      </c>
      <c r="B5" s="53">
        <v>420</v>
      </c>
      <c r="C5" s="53" t="s">
        <v>1053</v>
      </c>
      <c r="D5" s="39" t="s">
        <v>1054</v>
      </c>
      <c r="E5" s="53" t="s">
        <v>1055</v>
      </c>
      <c r="F5" s="53" t="s">
        <v>1056</v>
      </c>
      <c r="G5" s="53">
        <v>800080335</v>
      </c>
      <c r="H5" s="53" t="s">
        <v>105</v>
      </c>
      <c r="I5" s="38" t="s">
        <v>1057</v>
      </c>
      <c r="J5" s="53" t="s">
        <v>1058</v>
      </c>
      <c r="K5" s="40" t="s">
        <v>484</v>
      </c>
      <c r="L5" s="53" t="s">
        <v>1059</v>
      </c>
      <c r="M5" s="53" t="s">
        <v>1059</v>
      </c>
      <c r="N5" s="40" t="s">
        <v>1060</v>
      </c>
      <c r="O5" s="53" t="s">
        <v>74</v>
      </c>
      <c r="P5" s="48" t="s">
        <v>1061</v>
      </c>
      <c r="Q5" s="40" t="s">
        <v>77</v>
      </c>
      <c r="R5" s="53" t="s">
        <v>1040</v>
      </c>
      <c r="S5" s="53" t="s">
        <v>959</v>
      </c>
      <c r="T5" s="59" t="s">
        <v>1062</v>
      </c>
      <c r="U5" s="56">
        <v>3.9552</v>
      </c>
      <c r="V5" s="56">
        <v>54.9739</v>
      </c>
      <c r="W5" s="56">
        <v>217.43313000000001</v>
      </c>
      <c r="X5" s="60">
        <v>2.6449999999999998E-4</v>
      </c>
      <c r="Y5" s="60">
        <v>1.57827E-2</v>
      </c>
      <c r="Z5" s="60">
        <v>1.6563999999999999E-3</v>
      </c>
    </row>
    <row r="6" spans="1:26" x14ac:dyDescent="0.2">
      <c r="A6" s="53">
        <v>420</v>
      </c>
      <c r="B6" s="53">
        <v>420</v>
      </c>
      <c r="C6" s="53" t="s">
        <v>1063</v>
      </c>
      <c r="D6" s="39" t="s">
        <v>1064</v>
      </c>
      <c r="E6" s="53" t="s">
        <v>1055</v>
      </c>
      <c r="F6" s="53" t="s">
        <v>1065</v>
      </c>
      <c r="G6" s="53">
        <v>800077380</v>
      </c>
      <c r="H6" s="53" t="s">
        <v>105</v>
      </c>
      <c r="I6" s="38" t="s">
        <v>1050</v>
      </c>
      <c r="J6" s="53" t="s">
        <v>1066</v>
      </c>
      <c r="K6" s="40" t="s">
        <v>484</v>
      </c>
      <c r="L6" s="53" t="s">
        <v>351</v>
      </c>
      <c r="M6" s="53" t="s">
        <v>351</v>
      </c>
      <c r="N6" s="40" t="s">
        <v>351</v>
      </c>
      <c r="O6" s="53" t="s">
        <v>74</v>
      </c>
      <c r="P6" s="48" t="s">
        <v>1067</v>
      </c>
      <c r="Q6" s="40" t="s">
        <v>81</v>
      </c>
      <c r="R6" s="53" t="s">
        <v>1040</v>
      </c>
      <c r="S6" s="53" t="s">
        <v>959</v>
      </c>
      <c r="T6" s="59" t="s">
        <v>1068</v>
      </c>
      <c r="U6" s="56">
        <v>3.3719999999999999</v>
      </c>
      <c r="V6" s="56">
        <v>255.12090000000001</v>
      </c>
      <c r="W6" s="56">
        <v>860.26800000000003</v>
      </c>
      <c r="X6" s="60">
        <v>2.5500000000000002E-4</v>
      </c>
      <c r="Y6" s="60">
        <v>6.2443800000000001E-2</v>
      </c>
      <c r="Z6" s="60">
        <v>6.5535000000000003E-3</v>
      </c>
    </row>
    <row r="7" spans="1:26" x14ac:dyDescent="0.2">
      <c r="A7" s="53">
        <v>420</v>
      </c>
      <c r="B7" s="53">
        <v>420</v>
      </c>
      <c r="C7" s="53" t="s">
        <v>1069</v>
      </c>
      <c r="D7" s="39" t="s">
        <v>1070</v>
      </c>
      <c r="E7" s="53" t="s">
        <v>1055</v>
      </c>
      <c r="F7" s="53" t="s">
        <v>1071</v>
      </c>
      <c r="G7" s="53">
        <v>800078099</v>
      </c>
      <c r="H7" s="53" t="s">
        <v>105</v>
      </c>
      <c r="I7" s="38" t="s">
        <v>1050</v>
      </c>
      <c r="J7" s="53" t="s">
        <v>1066</v>
      </c>
      <c r="K7" s="40" t="s">
        <v>484</v>
      </c>
      <c r="L7" s="53" t="s">
        <v>351</v>
      </c>
      <c r="M7" s="53" t="s">
        <v>351</v>
      </c>
      <c r="N7" s="40" t="s">
        <v>351</v>
      </c>
      <c r="O7" s="53" t="s">
        <v>74</v>
      </c>
      <c r="P7" s="48" t="s">
        <v>1072</v>
      </c>
      <c r="Q7" s="40" t="s">
        <v>81</v>
      </c>
      <c r="R7" s="53" t="s">
        <v>1040</v>
      </c>
      <c r="S7" s="53" t="s">
        <v>959</v>
      </c>
      <c r="T7" s="59" t="s">
        <v>1047</v>
      </c>
      <c r="U7" s="56">
        <v>3.3719999999999999</v>
      </c>
      <c r="V7" s="56">
        <v>455.03149999999999</v>
      </c>
      <c r="W7" s="56">
        <v>1534.3662200000001</v>
      </c>
      <c r="X7" s="60">
        <v>0</v>
      </c>
      <c r="Y7" s="60">
        <v>0.11137420000000001</v>
      </c>
      <c r="Z7" s="60">
        <v>1.16887E-2</v>
      </c>
    </row>
    <row r="8" spans="1:26" x14ac:dyDescent="0.2">
      <c r="A8" s="53">
        <v>420</v>
      </c>
      <c r="B8" s="53">
        <v>420</v>
      </c>
      <c r="C8" s="53" t="s">
        <v>1073</v>
      </c>
      <c r="D8" s="39" t="s">
        <v>1074</v>
      </c>
      <c r="E8" s="53" t="s">
        <v>150</v>
      </c>
      <c r="F8" s="53" t="s">
        <v>1075</v>
      </c>
      <c r="G8" s="53">
        <v>800078552</v>
      </c>
      <c r="H8" s="53" t="s">
        <v>105</v>
      </c>
      <c r="I8" s="38" t="s">
        <v>1050</v>
      </c>
      <c r="J8" s="53" t="s">
        <v>1066</v>
      </c>
      <c r="K8" s="40" t="s">
        <v>484</v>
      </c>
      <c r="L8" s="53" t="s">
        <v>351</v>
      </c>
      <c r="M8" s="53" t="s">
        <v>351</v>
      </c>
      <c r="N8" s="40" t="s">
        <v>351</v>
      </c>
      <c r="O8" s="53" t="s">
        <v>74</v>
      </c>
      <c r="P8" s="48" t="s">
        <v>1017</v>
      </c>
      <c r="Q8" s="40" t="s">
        <v>81</v>
      </c>
      <c r="R8" s="53" t="s">
        <v>1040</v>
      </c>
      <c r="S8" s="53" t="s">
        <v>959</v>
      </c>
      <c r="T8" s="59" t="s">
        <v>1076</v>
      </c>
      <c r="U8" s="56">
        <v>3.3719999999999999</v>
      </c>
      <c r="V8" s="56">
        <v>100.8129</v>
      </c>
      <c r="W8" s="56">
        <v>339.94112000000001</v>
      </c>
      <c r="X8" s="60">
        <v>5.6700000000000003E-5</v>
      </c>
      <c r="Y8" s="60">
        <v>2.4675099999999998E-2</v>
      </c>
      <c r="Z8" s="60">
        <v>2.5896999999999999E-3</v>
      </c>
    </row>
    <row r="9" spans="1:26" x14ac:dyDescent="0.2">
      <c r="A9" s="53">
        <v>420</v>
      </c>
      <c r="B9" s="53">
        <v>420</v>
      </c>
      <c r="C9" s="53" t="s">
        <v>1077</v>
      </c>
      <c r="D9" s="39" t="s">
        <v>1078</v>
      </c>
      <c r="E9" s="53" t="s">
        <v>1055</v>
      </c>
      <c r="F9" s="53" t="s">
        <v>1079</v>
      </c>
      <c r="G9" s="53">
        <v>800076937</v>
      </c>
      <c r="H9" s="53" t="s">
        <v>105</v>
      </c>
      <c r="I9" s="38" t="s">
        <v>1080</v>
      </c>
      <c r="J9" s="53" t="s">
        <v>1081</v>
      </c>
      <c r="K9" s="40" t="s">
        <v>484</v>
      </c>
      <c r="L9" s="53" t="s">
        <v>1038</v>
      </c>
      <c r="M9" s="53" t="s">
        <v>351</v>
      </c>
      <c r="N9" s="40" t="s">
        <v>351</v>
      </c>
      <c r="O9" s="53" t="s">
        <v>74</v>
      </c>
      <c r="P9" s="48" t="s">
        <v>1082</v>
      </c>
      <c r="Q9" s="40" t="s">
        <v>81</v>
      </c>
      <c r="R9" s="53" t="s">
        <v>1040</v>
      </c>
      <c r="S9" s="53" t="s">
        <v>959</v>
      </c>
      <c r="T9" s="59" t="s">
        <v>1083</v>
      </c>
      <c r="U9" s="56">
        <v>3.3719999999999999</v>
      </c>
      <c r="V9" s="56">
        <v>303.79399999999998</v>
      </c>
      <c r="W9" s="56">
        <v>1024.39357</v>
      </c>
      <c r="X9" s="60">
        <v>3.4900000000000001E-5</v>
      </c>
      <c r="Y9" s="60">
        <v>7.4357099999999995E-2</v>
      </c>
      <c r="Z9" s="60">
        <v>7.8037999999999996E-3</v>
      </c>
    </row>
    <row r="10" spans="1:26" x14ac:dyDescent="0.2">
      <c r="A10" s="53">
        <v>420</v>
      </c>
      <c r="B10" s="53">
        <v>420</v>
      </c>
      <c r="C10" s="53" t="s">
        <v>1084</v>
      </c>
      <c r="D10" s="39">
        <v>819087032</v>
      </c>
      <c r="E10" s="53" t="s">
        <v>1055</v>
      </c>
      <c r="F10" s="53" t="s">
        <v>1085</v>
      </c>
      <c r="G10" s="53">
        <v>800072118</v>
      </c>
      <c r="H10" s="53" t="s">
        <v>105</v>
      </c>
      <c r="I10" s="38" t="s">
        <v>1050</v>
      </c>
      <c r="J10" s="53" t="s">
        <v>1066</v>
      </c>
      <c r="K10" s="40" t="s">
        <v>484</v>
      </c>
      <c r="L10" s="53" t="s">
        <v>351</v>
      </c>
      <c r="M10" s="53" t="s">
        <v>351</v>
      </c>
      <c r="N10" s="40" t="s">
        <v>351</v>
      </c>
      <c r="O10" s="53" t="s">
        <v>74</v>
      </c>
      <c r="P10" s="48" t="s">
        <v>1086</v>
      </c>
      <c r="Q10" s="40" t="s">
        <v>81</v>
      </c>
      <c r="R10" s="53" t="s">
        <v>1040</v>
      </c>
      <c r="S10" s="53" t="s">
        <v>959</v>
      </c>
      <c r="T10" s="59" t="s">
        <v>1076</v>
      </c>
      <c r="U10" s="56">
        <v>3.3719999999999999</v>
      </c>
      <c r="V10" s="56">
        <v>190.58090000000001</v>
      </c>
      <c r="W10" s="56">
        <v>642.63894000000005</v>
      </c>
      <c r="X10" s="60">
        <v>0</v>
      </c>
      <c r="Y10" s="60">
        <v>4.6646899999999998E-2</v>
      </c>
      <c r="Z10" s="60">
        <v>4.8956E-3</v>
      </c>
    </row>
    <row r="11" spans="1:26" x14ac:dyDescent="0.2">
      <c r="A11" s="53">
        <v>420</v>
      </c>
      <c r="B11" s="53">
        <v>420</v>
      </c>
      <c r="C11" s="53" t="s">
        <v>1087</v>
      </c>
      <c r="D11" s="39" t="s">
        <v>1088</v>
      </c>
      <c r="E11" s="53" t="s">
        <v>1055</v>
      </c>
      <c r="F11" s="53" t="s">
        <v>1089</v>
      </c>
      <c r="G11" s="53">
        <v>800078107</v>
      </c>
      <c r="H11" s="53" t="s">
        <v>105</v>
      </c>
      <c r="I11" s="38" t="s">
        <v>1050</v>
      </c>
      <c r="J11" s="53" t="s">
        <v>1066</v>
      </c>
      <c r="K11" s="40" t="s">
        <v>484</v>
      </c>
      <c r="L11" s="53" t="s">
        <v>351</v>
      </c>
      <c r="M11" s="53" t="s">
        <v>351</v>
      </c>
      <c r="N11" s="40" t="s">
        <v>351</v>
      </c>
      <c r="O11" s="53" t="s">
        <v>74</v>
      </c>
      <c r="P11" s="48" t="s">
        <v>1090</v>
      </c>
      <c r="Q11" s="40" t="s">
        <v>81</v>
      </c>
      <c r="R11" s="53" t="s">
        <v>1040</v>
      </c>
      <c r="S11" s="53" t="s">
        <v>959</v>
      </c>
      <c r="T11" s="59" t="s">
        <v>1047</v>
      </c>
      <c r="U11" s="56">
        <v>3.3719999999999999</v>
      </c>
      <c r="V11" s="56">
        <v>140.03540000000001</v>
      </c>
      <c r="W11" s="56">
        <v>472.19970000000001</v>
      </c>
      <c r="X11" s="60">
        <v>0</v>
      </c>
      <c r="Y11" s="60">
        <v>3.4275300000000002E-2</v>
      </c>
      <c r="Z11" s="60">
        <v>3.5972000000000001E-3</v>
      </c>
    </row>
    <row r="12" spans="1:26" x14ac:dyDescent="0.2">
      <c r="A12" s="53">
        <v>420</v>
      </c>
      <c r="B12" s="53">
        <v>420</v>
      </c>
      <c r="C12" s="53" t="s">
        <v>1091</v>
      </c>
      <c r="D12" s="39" t="s">
        <v>1092</v>
      </c>
      <c r="E12" s="53" t="s">
        <v>1055</v>
      </c>
      <c r="F12" s="53" t="s">
        <v>1093</v>
      </c>
      <c r="G12" s="53">
        <v>800078172</v>
      </c>
      <c r="H12" s="53" t="s">
        <v>105</v>
      </c>
      <c r="I12" s="38" t="s">
        <v>1080</v>
      </c>
      <c r="J12" s="53" t="s">
        <v>1094</v>
      </c>
      <c r="K12" s="40" t="s">
        <v>484</v>
      </c>
      <c r="L12" s="53" t="s">
        <v>1038</v>
      </c>
      <c r="M12" s="53" t="s">
        <v>351</v>
      </c>
      <c r="N12" s="40" t="s">
        <v>351</v>
      </c>
      <c r="O12" s="53" t="s">
        <v>74</v>
      </c>
      <c r="P12" s="48" t="s">
        <v>1095</v>
      </c>
      <c r="Q12" s="40" t="s">
        <v>81</v>
      </c>
      <c r="R12" s="53" t="s">
        <v>1040</v>
      </c>
      <c r="S12" s="53" t="s">
        <v>959</v>
      </c>
      <c r="T12" s="59" t="s">
        <v>1083</v>
      </c>
      <c r="U12" s="56">
        <v>3.3719999999999999</v>
      </c>
      <c r="V12" s="56">
        <v>419.54919999999998</v>
      </c>
      <c r="W12" s="56">
        <v>1414.7199800000001</v>
      </c>
      <c r="X12" s="60">
        <v>2.8659999999999997E-4</v>
      </c>
      <c r="Y12" s="60">
        <v>0.1026895</v>
      </c>
      <c r="Z12" s="60">
        <v>1.07773E-2</v>
      </c>
    </row>
    <row r="13" spans="1:26" x14ac:dyDescent="0.2">
      <c r="A13" s="53">
        <v>420</v>
      </c>
      <c r="B13" s="53">
        <v>420</v>
      </c>
      <c r="C13" s="53" t="s">
        <v>1096</v>
      </c>
      <c r="D13" s="39" t="s">
        <v>1097</v>
      </c>
      <c r="E13" s="53" t="s">
        <v>1055</v>
      </c>
      <c r="F13" s="53" t="s">
        <v>1098</v>
      </c>
      <c r="G13" s="53">
        <v>800075434</v>
      </c>
      <c r="H13" s="53" t="s">
        <v>105</v>
      </c>
      <c r="I13" s="38" t="s">
        <v>1050</v>
      </c>
      <c r="J13" s="53" t="s">
        <v>1066</v>
      </c>
      <c r="K13" s="40" t="s">
        <v>484</v>
      </c>
      <c r="L13" s="53" t="s">
        <v>351</v>
      </c>
      <c r="M13" s="53" t="s">
        <v>351</v>
      </c>
      <c r="N13" s="40" t="s">
        <v>351</v>
      </c>
      <c r="O13" s="53" t="s">
        <v>74</v>
      </c>
      <c r="P13" s="48" t="s">
        <v>1099</v>
      </c>
      <c r="Q13" s="40" t="s">
        <v>81</v>
      </c>
      <c r="R13" s="53" t="s">
        <v>1040</v>
      </c>
      <c r="S13" s="53" t="s">
        <v>959</v>
      </c>
      <c r="T13" s="59" t="s">
        <v>1100</v>
      </c>
      <c r="U13" s="56">
        <v>3.3719999999999999</v>
      </c>
      <c r="V13" s="56">
        <v>279.67720000000003</v>
      </c>
      <c r="W13" s="56">
        <v>943.07151999999996</v>
      </c>
      <c r="X13" s="60">
        <v>8.6600000000000002E-4</v>
      </c>
      <c r="Y13" s="60">
        <v>6.8454200000000007E-2</v>
      </c>
      <c r="Z13" s="60">
        <v>7.1843000000000002E-3</v>
      </c>
    </row>
    <row r="14" spans="1:26" x14ac:dyDescent="0.2">
      <c r="A14" s="53">
        <v>420</v>
      </c>
      <c r="B14" s="53">
        <v>420</v>
      </c>
      <c r="C14" s="53" t="s">
        <v>1101</v>
      </c>
      <c r="D14" s="39" t="s">
        <v>1102</v>
      </c>
      <c r="E14" s="53" t="s">
        <v>1055</v>
      </c>
      <c r="F14" s="53" t="s">
        <v>1103</v>
      </c>
      <c r="G14" s="53">
        <v>800078198</v>
      </c>
      <c r="H14" s="53" t="s">
        <v>105</v>
      </c>
      <c r="I14" s="38" t="s">
        <v>1104</v>
      </c>
      <c r="J14" s="53" t="s">
        <v>1105</v>
      </c>
      <c r="K14" s="40" t="s">
        <v>484</v>
      </c>
      <c r="L14" s="53" t="s">
        <v>1059</v>
      </c>
      <c r="M14" s="53" t="s">
        <v>181</v>
      </c>
      <c r="N14" s="40" t="s">
        <v>351</v>
      </c>
      <c r="O14" s="53" t="s">
        <v>74</v>
      </c>
      <c r="P14" s="48" t="s">
        <v>1106</v>
      </c>
      <c r="Q14" s="40" t="s">
        <v>81</v>
      </c>
      <c r="R14" s="53" t="s">
        <v>1040</v>
      </c>
      <c r="S14" s="53" t="s">
        <v>959</v>
      </c>
      <c r="T14" s="59" t="s">
        <v>1107</v>
      </c>
      <c r="U14" s="56">
        <v>3.3719999999999999</v>
      </c>
      <c r="V14" s="56">
        <v>299.32600000000002</v>
      </c>
      <c r="W14" s="56">
        <v>1009.32728</v>
      </c>
      <c r="X14" s="60">
        <v>4.8149999999999999E-4</v>
      </c>
      <c r="Y14" s="60">
        <v>7.3263499999999995E-2</v>
      </c>
      <c r="Z14" s="60">
        <v>7.6889999999999997E-3</v>
      </c>
    </row>
    <row r="15" spans="1:26" x14ac:dyDescent="0.2">
      <c r="A15" s="53">
        <v>420</v>
      </c>
      <c r="B15" s="53">
        <v>420</v>
      </c>
      <c r="C15" s="53" t="s">
        <v>1108</v>
      </c>
      <c r="D15" s="39">
        <v>515527968</v>
      </c>
      <c r="E15" s="53" t="s">
        <v>150</v>
      </c>
      <c r="F15" s="53" t="s">
        <v>1109</v>
      </c>
      <c r="G15" s="53">
        <v>800078164</v>
      </c>
      <c r="H15" s="53" t="s">
        <v>105</v>
      </c>
      <c r="I15" s="38" t="s">
        <v>1050</v>
      </c>
      <c r="J15" s="53" t="s">
        <v>1066</v>
      </c>
      <c r="K15" s="40" t="s">
        <v>484</v>
      </c>
      <c r="L15" s="53" t="s">
        <v>1038</v>
      </c>
      <c r="M15" s="53" t="s">
        <v>73</v>
      </c>
      <c r="N15" s="40" t="s">
        <v>839</v>
      </c>
      <c r="O15" s="53" t="s">
        <v>74</v>
      </c>
      <c r="P15" s="48" t="s">
        <v>1110</v>
      </c>
      <c r="Q15" s="40" t="s">
        <v>77</v>
      </c>
      <c r="R15" s="53" t="s">
        <v>1040</v>
      </c>
      <c r="S15" s="53" t="s">
        <v>959</v>
      </c>
      <c r="T15" s="59" t="s">
        <v>1062</v>
      </c>
      <c r="U15" s="56">
        <v>3.9552</v>
      </c>
      <c r="V15" s="56">
        <v>85.591999999999999</v>
      </c>
      <c r="W15" s="56">
        <v>338.53357</v>
      </c>
      <c r="X15" s="60">
        <v>7.2539999999999996E-4</v>
      </c>
      <c r="Y15" s="60">
        <v>2.4573000000000001E-2</v>
      </c>
      <c r="Z15" s="60">
        <v>2.5788999999999999E-3</v>
      </c>
    </row>
    <row r="16" spans="1:26" x14ac:dyDescent="0.2">
      <c r="A16" s="53">
        <v>420</v>
      </c>
      <c r="B16" s="53">
        <v>420</v>
      </c>
      <c r="C16" s="53" t="s">
        <v>1111</v>
      </c>
      <c r="D16" s="39">
        <v>513872440</v>
      </c>
      <c r="E16" s="53" t="s">
        <v>150</v>
      </c>
      <c r="F16" s="53" t="s">
        <v>1111</v>
      </c>
      <c r="G16" s="53">
        <v>800078545</v>
      </c>
      <c r="H16" s="53" t="s">
        <v>105</v>
      </c>
      <c r="I16" s="38" t="s">
        <v>1050</v>
      </c>
      <c r="J16" s="53" t="s">
        <v>1066</v>
      </c>
      <c r="K16" s="40" t="s">
        <v>484</v>
      </c>
      <c r="L16" s="53" t="s">
        <v>839</v>
      </c>
      <c r="M16" s="53" t="s">
        <v>73</v>
      </c>
      <c r="N16" s="40" t="s">
        <v>839</v>
      </c>
      <c r="O16" s="53" t="s">
        <v>74</v>
      </c>
      <c r="P16" s="48" t="s">
        <v>1112</v>
      </c>
      <c r="Q16" s="40" t="s">
        <v>77</v>
      </c>
      <c r="R16" s="53" t="s">
        <v>1040</v>
      </c>
      <c r="S16" s="53" t="s">
        <v>959</v>
      </c>
      <c r="T16" s="59" t="s">
        <v>1113</v>
      </c>
      <c r="U16" s="56">
        <v>3.9552</v>
      </c>
      <c r="V16" s="56">
        <v>8.6270000000000007</v>
      </c>
      <c r="W16" s="56">
        <v>34.121580000000002</v>
      </c>
      <c r="X16" s="60">
        <v>0</v>
      </c>
      <c r="Y16" s="60">
        <v>2.4767999999999999E-3</v>
      </c>
      <c r="Z16" s="60">
        <v>2.5989999999999997E-4</v>
      </c>
    </row>
    <row r="17" spans="1:26" x14ac:dyDescent="0.2">
      <c r="A17" s="53">
        <v>420</v>
      </c>
      <c r="B17" s="53">
        <v>420</v>
      </c>
      <c r="C17" s="53" t="s">
        <v>1114</v>
      </c>
      <c r="D17" s="39">
        <v>516471083</v>
      </c>
      <c r="E17" s="53" t="s">
        <v>150</v>
      </c>
      <c r="F17" s="53" t="s">
        <v>1115</v>
      </c>
      <c r="G17" s="53">
        <v>800082273</v>
      </c>
      <c r="H17" s="53" t="s">
        <v>105</v>
      </c>
      <c r="I17" s="38" t="s">
        <v>1050</v>
      </c>
      <c r="J17" s="53" t="s">
        <v>1066</v>
      </c>
      <c r="K17" s="40" t="s">
        <v>484</v>
      </c>
      <c r="L17" s="53" t="s">
        <v>73</v>
      </c>
      <c r="M17" s="53" t="s">
        <v>73</v>
      </c>
      <c r="N17" s="40" t="s">
        <v>1060</v>
      </c>
      <c r="O17" s="53" t="s">
        <v>74</v>
      </c>
      <c r="P17" s="48" t="s">
        <v>1116</v>
      </c>
      <c r="Q17" s="40" t="s">
        <v>77</v>
      </c>
      <c r="R17" s="53" t="s">
        <v>1040</v>
      </c>
      <c r="S17" s="53" t="s">
        <v>959</v>
      </c>
      <c r="T17" s="59" t="s">
        <v>1117</v>
      </c>
      <c r="U17" s="56">
        <v>3.9552</v>
      </c>
      <c r="V17" s="56">
        <v>88.985799999999998</v>
      </c>
      <c r="W17" s="56">
        <v>351.95701000000003</v>
      </c>
      <c r="X17" s="60">
        <v>6.9999999999999997E-7</v>
      </c>
      <c r="Y17" s="60">
        <v>2.5547299999999998E-2</v>
      </c>
      <c r="Z17" s="60">
        <v>2.6811999999999999E-3</v>
      </c>
    </row>
    <row r="18" spans="1:26" x14ac:dyDescent="0.2">
      <c r="A18" s="53">
        <v>420</v>
      </c>
      <c r="B18" s="53">
        <v>420</v>
      </c>
      <c r="C18" s="53" t="s">
        <v>1118</v>
      </c>
      <c r="D18" s="39" t="s">
        <v>1119</v>
      </c>
      <c r="E18" s="53" t="s">
        <v>1055</v>
      </c>
      <c r="F18" s="53" t="s">
        <v>1120</v>
      </c>
      <c r="G18" s="53">
        <v>800082026</v>
      </c>
      <c r="H18" s="53" t="s">
        <v>105</v>
      </c>
      <c r="I18" s="38" t="s">
        <v>1057</v>
      </c>
      <c r="J18" s="53" t="s">
        <v>1121</v>
      </c>
      <c r="K18" s="40" t="s">
        <v>484</v>
      </c>
      <c r="L18" s="53" t="s">
        <v>1059</v>
      </c>
      <c r="M18" s="53" t="s">
        <v>1059</v>
      </c>
      <c r="N18" s="40" t="s">
        <v>839</v>
      </c>
      <c r="O18" s="53" t="s">
        <v>74</v>
      </c>
      <c r="P18" s="48" t="s">
        <v>1122</v>
      </c>
      <c r="Q18" s="40" t="s">
        <v>77</v>
      </c>
      <c r="R18" s="53" t="s">
        <v>1040</v>
      </c>
      <c r="S18" s="53" t="s">
        <v>959</v>
      </c>
      <c r="T18" s="59" t="s">
        <v>1047</v>
      </c>
      <c r="U18" s="56">
        <v>3.9552</v>
      </c>
      <c r="V18" s="56">
        <v>139.02119999999999</v>
      </c>
      <c r="W18" s="56">
        <v>549.85695999999996</v>
      </c>
      <c r="X18" s="60">
        <v>1.6009999999999999E-4</v>
      </c>
      <c r="Y18" s="60">
        <v>3.9912200000000002E-2</v>
      </c>
      <c r="Z18" s="60">
        <v>4.1888000000000003E-3</v>
      </c>
    </row>
    <row r="19" spans="1:26" x14ac:dyDescent="0.2">
      <c r="A19" s="53">
        <v>420</v>
      </c>
      <c r="B19" s="53">
        <v>420</v>
      </c>
      <c r="C19" s="53" t="s">
        <v>1123</v>
      </c>
      <c r="D19" s="39">
        <v>516190006</v>
      </c>
      <c r="E19" s="53" t="s">
        <v>150</v>
      </c>
      <c r="F19" s="53" t="s">
        <v>1124</v>
      </c>
      <c r="G19" s="53">
        <v>800081697</v>
      </c>
      <c r="H19" s="53" t="s">
        <v>105</v>
      </c>
      <c r="I19" s="38" t="s">
        <v>1050</v>
      </c>
      <c r="J19" s="53" t="s">
        <v>1066</v>
      </c>
      <c r="K19" s="40" t="s">
        <v>484</v>
      </c>
      <c r="L19" s="53" t="s">
        <v>73</v>
      </c>
      <c r="M19" s="53" t="s">
        <v>73</v>
      </c>
      <c r="N19" s="40" t="s">
        <v>839</v>
      </c>
      <c r="O19" s="53" t="s">
        <v>74</v>
      </c>
      <c r="P19" s="48" t="s">
        <v>1125</v>
      </c>
      <c r="Q19" s="40" t="s">
        <v>77</v>
      </c>
      <c r="R19" s="53" t="s">
        <v>1040</v>
      </c>
      <c r="S19" s="53" t="s">
        <v>959</v>
      </c>
      <c r="T19" s="59" t="s">
        <v>1126</v>
      </c>
      <c r="U19" s="56">
        <v>3.9552</v>
      </c>
      <c r="V19" s="56">
        <v>88.406000000000006</v>
      </c>
      <c r="W19" s="56">
        <v>349.66343999999998</v>
      </c>
      <c r="X19" s="60">
        <v>5.8230000000000001E-4</v>
      </c>
      <c r="Y19" s="60">
        <v>2.5380799999999999E-2</v>
      </c>
      <c r="Z19" s="60">
        <v>2.6637000000000002E-3</v>
      </c>
    </row>
    <row r="20" spans="1:26" x14ac:dyDescent="0.2">
      <c r="A20" s="38">
        <v>420</v>
      </c>
      <c r="B20" s="38">
        <v>420</v>
      </c>
      <c r="C20" s="38" t="s">
        <v>1127</v>
      </c>
      <c r="D20" s="39" t="s">
        <v>1128</v>
      </c>
      <c r="E20" s="53" t="s">
        <v>1055</v>
      </c>
      <c r="F20" s="38" t="s">
        <v>1129</v>
      </c>
      <c r="G20" s="38">
        <v>800075749</v>
      </c>
      <c r="H20" s="53" t="s">
        <v>105</v>
      </c>
      <c r="I20" s="38" t="s">
        <v>1080</v>
      </c>
      <c r="J20" s="53" t="s">
        <v>1130</v>
      </c>
      <c r="K20" s="40" t="s">
        <v>484</v>
      </c>
      <c r="L20" s="53" t="s">
        <v>1038</v>
      </c>
      <c r="M20" s="53" t="s">
        <v>73</v>
      </c>
      <c r="N20" s="40" t="s">
        <v>351</v>
      </c>
      <c r="O20" s="53" t="s">
        <v>74</v>
      </c>
      <c r="P20" s="48" t="s">
        <v>1067</v>
      </c>
      <c r="Q20" s="38" t="s">
        <v>81</v>
      </c>
      <c r="R20" s="53" t="s">
        <v>1040</v>
      </c>
      <c r="S20" s="53" t="s">
        <v>959</v>
      </c>
      <c r="T20" s="61" t="s">
        <v>960</v>
      </c>
      <c r="U20" s="41">
        <v>3.3719999999999999</v>
      </c>
      <c r="V20" s="41">
        <v>362.7679</v>
      </c>
      <c r="W20" s="41">
        <v>1223.25362</v>
      </c>
      <c r="X20" s="46">
        <v>1.04872E-2</v>
      </c>
      <c r="Y20" s="46">
        <v>8.8791599999999998E-2</v>
      </c>
      <c r="Z20" s="46">
        <v>9.3186999999999992E-3</v>
      </c>
    </row>
    <row r="21" spans="1:26" x14ac:dyDescent="0.2">
      <c r="A21" s="38">
        <v>420</v>
      </c>
      <c r="B21" s="38">
        <v>1471</v>
      </c>
      <c r="D21" s="39"/>
      <c r="N21" s="39"/>
      <c r="P21" s="48" t="s">
        <v>147</v>
      </c>
      <c r="T21" s="61" t="s">
        <v>147</v>
      </c>
      <c r="Y21" s="46" t="s">
        <v>147</v>
      </c>
    </row>
    <row r="22" spans="1:26" x14ac:dyDescent="0.2">
      <c r="D22" s="39"/>
      <c r="N22" s="39"/>
    </row>
    <row r="23" spans="1:26" x14ac:dyDescent="0.2">
      <c r="D23" s="39"/>
      <c r="N23" s="39"/>
    </row>
    <row r="24" spans="1:26" x14ac:dyDescent="0.2">
      <c r="D24" s="39"/>
      <c r="N24" s="39"/>
    </row>
    <row r="25" spans="1:26" x14ac:dyDescent="0.2">
      <c r="D25" s="39"/>
      <c r="N25" s="39"/>
    </row>
    <row r="26" spans="1:26" x14ac:dyDescent="0.2">
      <c r="D26" s="39"/>
      <c r="N26" s="39"/>
    </row>
    <row r="27" spans="1:26" x14ac:dyDescent="0.2">
      <c r="D27" s="39"/>
      <c r="N27" s="39"/>
    </row>
    <row r="28" spans="1:26" x14ac:dyDescent="0.2">
      <c r="D28" s="39"/>
      <c r="N28" s="39"/>
    </row>
    <row r="29" spans="1:26" x14ac:dyDescent="0.2">
      <c r="D29" s="39"/>
      <c r="N29" s="39"/>
    </row>
    <row r="30" spans="1:26" x14ac:dyDescent="0.2">
      <c r="M30" s="39"/>
      <c r="N30" s="39"/>
    </row>
    <row r="31" spans="1:26" x14ac:dyDescent="0.2">
      <c r="N31" s="39"/>
    </row>
    <row r="32" spans="1:26" x14ac:dyDescent="0.2">
      <c r="N32" s="39"/>
    </row>
    <row r="33" spans="14:14" x14ac:dyDescent="0.2">
      <c r="N33" s="39"/>
    </row>
    <row r="34" spans="14:14" x14ac:dyDescent="0.2">
      <c r="N34" s="39"/>
    </row>
    <row r="35" spans="14:14" x14ac:dyDescent="0.2">
      <c r="N35" s="39"/>
    </row>
    <row r="36" spans="14:14" x14ac:dyDescent="0.2">
      <c r="N36" s="39"/>
    </row>
    <row r="37" spans="14:14" x14ac:dyDescent="0.2">
      <c r="N37" s="39"/>
    </row>
    <row r="38" spans="14:14" x14ac:dyDescent="0.2">
      <c r="N38" s="39"/>
    </row>
    <row r="39" spans="14:14" x14ac:dyDescent="0.2">
      <c r="N39" s="39"/>
    </row>
    <row r="40" spans="14:14" x14ac:dyDescent="0.2">
      <c r="N40" s="39"/>
    </row>
    <row r="41" spans="14:14" x14ac:dyDescent="0.2">
      <c r="N41" s="39"/>
    </row>
    <row r="42" spans="14:14" x14ac:dyDescent="0.2">
      <c r="N42" s="39"/>
    </row>
    <row r="43" spans="14:14" x14ac:dyDescent="0.2">
      <c r="N43" s="39"/>
    </row>
    <row r="44" spans="14:14" x14ac:dyDescent="0.2">
      <c r="N44" s="39"/>
    </row>
    <row r="45" spans="14:14" x14ac:dyDescent="0.2">
      <c r="N45" s="39"/>
    </row>
    <row r="46" spans="14:14" x14ac:dyDescent="0.2">
      <c r="N46" s="39"/>
    </row>
    <row r="47" spans="14:14" x14ac:dyDescent="0.2">
      <c r="N47" s="39"/>
    </row>
    <row r="48" spans="14:14" x14ac:dyDescent="0.2">
      <c r="N48" s="39"/>
    </row>
    <row r="49" spans="14:14" x14ac:dyDescent="0.2">
      <c r="N49" s="39"/>
    </row>
    <row r="50" spans="14:14" x14ac:dyDescent="0.2">
      <c r="N50" s="39"/>
    </row>
    <row r="51" spans="14:14" x14ac:dyDescent="0.2">
      <c r="N51" s="39"/>
    </row>
    <row r="52" spans="14:14" x14ac:dyDescent="0.2">
      <c r="N52" s="39"/>
    </row>
    <row r="53" spans="14:14" x14ac:dyDescent="0.2">
      <c r="N53" s="39"/>
    </row>
    <row r="54" spans="14:14" x14ac:dyDescent="0.2">
      <c r="N54" s="39"/>
    </row>
    <row r="55" spans="14:14" x14ac:dyDescent="0.2">
      <c r="N55" s="39"/>
    </row>
    <row r="56" spans="14:14" x14ac:dyDescent="0.2">
      <c r="N56" s="39"/>
    </row>
    <row r="57" spans="14:14" x14ac:dyDescent="0.2">
      <c r="N57" s="39"/>
    </row>
    <row r="58" spans="14:14" x14ac:dyDescent="0.2">
      <c r="N58" s="39"/>
    </row>
    <row r="59" spans="14:14" x14ac:dyDescent="0.2">
      <c r="N59" s="39"/>
    </row>
    <row r="60" spans="14:14" x14ac:dyDescent="0.2">
      <c r="N60" s="39"/>
    </row>
    <row r="61" spans="14:14" x14ac:dyDescent="0.2">
      <c r="N61" s="39"/>
    </row>
    <row r="62" spans="14:14" x14ac:dyDescent="0.2">
      <c r="N62" s="39"/>
    </row>
    <row r="63" spans="14:14" x14ac:dyDescent="0.2">
      <c r="N63" s="39"/>
    </row>
    <row r="64" spans="14:14" x14ac:dyDescent="0.2">
      <c r="N64" s="39"/>
    </row>
    <row r="65" spans="14:14" x14ac:dyDescent="0.2">
      <c r="N65" s="39"/>
    </row>
    <row r="66" spans="14:14" x14ac:dyDescent="0.2">
      <c r="N66" s="39"/>
    </row>
    <row r="67" spans="14:14" x14ac:dyDescent="0.2">
      <c r="N67" s="39"/>
    </row>
    <row r="68" spans="14:14" x14ac:dyDescent="0.2">
      <c r="N68" s="39"/>
    </row>
    <row r="69" spans="14:14" x14ac:dyDescent="0.2">
      <c r="N69" s="39"/>
    </row>
    <row r="70" spans="14:14" x14ac:dyDescent="0.2">
      <c r="N70" s="39"/>
    </row>
    <row r="71" spans="14:14" x14ac:dyDescent="0.2">
      <c r="N71" s="39"/>
    </row>
    <row r="72" spans="14:14" x14ac:dyDescent="0.2">
      <c r="N72" s="39"/>
    </row>
    <row r="73" spans="14:14" x14ac:dyDescent="0.2">
      <c r="N73" s="39"/>
    </row>
    <row r="74" spans="14:14" x14ac:dyDescent="0.2">
      <c r="N74" s="39"/>
    </row>
    <row r="75" spans="14:14" x14ac:dyDescent="0.2">
      <c r="N75" s="39"/>
    </row>
    <row r="76" spans="14:14" x14ac:dyDescent="0.2">
      <c r="N76" s="39"/>
    </row>
    <row r="77" spans="14:14" x14ac:dyDescent="0.2">
      <c r="N77" s="39"/>
    </row>
    <row r="78" spans="14:14" x14ac:dyDescent="0.2">
      <c r="N78" s="39"/>
    </row>
    <row r="79" spans="14:14" x14ac:dyDescent="0.2">
      <c r="N79" s="39"/>
    </row>
    <row r="80" spans="14:14" x14ac:dyDescent="0.2">
      <c r="N80" s="39"/>
    </row>
    <row r="81" spans="14:14" x14ac:dyDescent="0.2">
      <c r="N81" s="39"/>
    </row>
    <row r="82" spans="14:14" x14ac:dyDescent="0.2">
      <c r="N82" s="39"/>
    </row>
    <row r="83" spans="14:14" x14ac:dyDescent="0.2">
      <c r="N83" s="39"/>
    </row>
    <row r="84" spans="14:14" x14ac:dyDescent="0.2">
      <c r="N84" s="39"/>
    </row>
    <row r="85" spans="14:14" x14ac:dyDescent="0.2">
      <c r="N85" s="39"/>
    </row>
    <row r="86" spans="14:14" x14ac:dyDescent="0.2">
      <c r="N86" s="39"/>
    </row>
    <row r="87" spans="14:14" x14ac:dyDescent="0.2">
      <c r="N87" s="39"/>
    </row>
    <row r="88" spans="14:14" x14ac:dyDescent="0.2">
      <c r="N88" s="39"/>
    </row>
    <row r="89" spans="14:14" x14ac:dyDescent="0.2">
      <c r="N89" s="39"/>
    </row>
    <row r="90" spans="14:14" x14ac:dyDescent="0.2">
      <c r="N90" s="39"/>
    </row>
    <row r="91" spans="14:14" x14ac:dyDescent="0.2">
      <c r="N91" s="39"/>
    </row>
    <row r="92" spans="14:14" x14ac:dyDescent="0.2">
      <c r="N92" s="39"/>
    </row>
    <row r="93" spans="14:14" x14ac:dyDescent="0.2">
      <c r="N93" s="39"/>
    </row>
    <row r="94" spans="14:14" x14ac:dyDescent="0.2">
      <c r="N94" s="39"/>
    </row>
    <row r="95" spans="14:14" x14ac:dyDescent="0.2">
      <c r="N95" s="39"/>
    </row>
    <row r="96" spans="14:14" x14ac:dyDescent="0.2">
      <c r="N96" s="39"/>
    </row>
    <row r="97" spans="14:14" x14ac:dyDescent="0.2">
      <c r="N97" s="39"/>
    </row>
    <row r="98" spans="14:14" x14ac:dyDescent="0.2">
      <c r="N98" s="39"/>
    </row>
    <row r="99" spans="14:14" x14ac:dyDescent="0.2">
      <c r="N99" s="39"/>
    </row>
    <row r="100" spans="14:14" x14ac:dyDescent="0.2">
      <c r="N100" s="39"/>
    </row>
    <row r="101" spans="14:14" x14ac:dyDescent="0.2">
      <c r="N101" s="39"/>
    </row>
    <row r="102" spans="14:14" x14ac:dyDescent="0.2">
      <c r="N102" s="39"/>
    </row>
    <row r="103" spans="14:14" x14ac:dyDescent="0.2">
      <c r="N103" s="39"/>
    </row>
    <row r="104" spans="14:14" x14ac:dyDescent="0.2">
      <c r="N104" s="39"/>
    </row>
    <row r="1048574" spans="12:12" x14ac:dyDescent="0.2">
      <c r="L1048574" s="53"/>
    </row>
  </sheetData>
  <sheetProtection formatColumns="0"/>
  <dataValidations count="10">
    <dataValidation type="list" allowBlank="1" showInputMessage="1" showErrorMessage="1" sqref="N2:N20" xr:uid="{B1557909-AF03-40C9-8279-3D36E302240B}">
      <formula1>Country_list_funds</formula1>
    </dataValidation>
    <dataValidation type="list" allowBlank="1" showInputMessage="1" showErrorMessage="1" sqref="H2:H20" xr:uid="{B07DDBA6-04AB-434D-9992-F96369D5A428}">
      <formula1>Type_of_Security_ID_Fund</formula1>
    </dataValidation>
    <dataValidation type="list" allowBlank="1" showInputMessage="1" showErrorMessage="1" sqref="E2:E20" xr:uid="{1867C46A-BE43-4801-A997-97FF0D4136FC}">
      <formula1>Issuer_Number_Fund</formula1>
    </dataValidation>
    <dataValidation type="list" allowBlank="1" showInputMessage="1" showErrorMessage="1" sqref="L1048574:L1048576" xr:uid="{C5BA7B9A-F602-4CDB-858D-CDCD8ECBD496}">
      <formula1>Country</formula1>
    </dataValidation>
    <dataValidation type="list" allowBlank="1" showInputMessage="1" showErrorMessage="1" sqref="L2:M20" xr:uid="{E3EFCC93-F56B-47FD-9813-EF7924DC776B}">
      <formula1>Country_list</formula1>
    </dataValidation>
    <dataValidation type="list" allowBlank="1" showInputMessage="1" showErrorMessage="1" sqref="S2:S20" xr:uid="{C70F3922-6AF2-4F0D-8387-78C0EA91C0F8}">
      <formula1>Dependence_Independence</formula1>
    </dataValidation>
    <dataValidation type="list" allowBlank="1" showInputMessage="1" showErrorMessage="1" sqref="R2:R20" xr:uid="{CAD336A2-BF50-4C90-980C-91020F53F39C}">
      <formula1>Valuation</formula1>
    </dataValidation>
    <dataValidation type="list" allowBlank="1" showInputMessage="1" showErrorMessage="1" sqref="O2:O20" xr:uid="{847F7927-8BB7-4399-A008-1C871495344F}">
      <formula1>Holding_interest</formula1>
    </dataValidation>
    <dataValidation type="list" allowBlank="1" showInputMessage="1" showErrorMessage="1" sqref="K2:K20" xr:uid="{35B441CB-AA7F-4BF2-A5E3-DD102961916A}">
      <formula1>israel_abroad</formula1>
    </dataValidation>
    <dataValidation type="list" allowBlank="1" showInputMessage="1" showErrorMessage="1" sqref="J2:J20" xr:uid="{298CE132-3E27-4B2B-B177-4739168D8D4E}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CD4C-8B73-47DE-B7F2-C448EA4A7421}">
  <sheetPr codeName="Sheet21"/>
  <dimension ref="A1:AB24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15.625" style="38" bestFit="1" customWidth="1"/>
    <col min="7" max="10" width="11.625" style="38" customWidth="1"/>
    <col min="11" max="11" width="11.625" style="45" customWidth="1"/>
    <col min="12" max="13" width="11.625" style="38" customWidth="1"/>
    <col min="14" max="14" width="11.625" style="61" customWidth="1"/>
    <col min="15" max="15" width="11.625" style="38" customWidth="1"/>
    <col min="16" max="16" width="11.625" style="61" customWidth="1"/>
    <col min="17" max="19" width="11.625" style="38" customWidth="1"/>
    <col min="20" max="20" width="11.625" style="61" customWidth="1"/>
    <col min="21" max="26" width="11.625" style="41" customWidth="1"/>
    <col min="27" max="28" width="11.625" style="46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58</v>
      </c>
      <c r="J1" s="34" t="s">
        <v>88</v>
      </c>
      <c r="K1" s="34" t="s">
        <v>148</v>
      </c>
      <c r="L1" s="34" t="s">
        <v>919</v>
      </c>
      <c r="M1" s="34" t="s">
        <v>141</v>
      </c>
      <c r="N1" s="47" t="s">
        <v>920</v>
      </c>
      <c r="O1" s="34" t="s">
        <v>59</v>
      </c>
      <c r="P1" s="47" t="s">
        <v>941</v>
      </c>
      <c r="Q1" s="34" t="s">
        <v>62</v>
      </c>
      <c r="R1" s="34" t="s">
        <v>947</v>
      </c>
      <c r="S1" s="34" t="s">
        <v>948</v>
      </c>
      <c r="T1" s="47" t="s">
        <v>950</v>
      </c>
      <c r="U1" s="35" t="s">
        <v>921</v>
      </c>
      <c r="V1" s="35" t="s">
        <v>922</v>
      </c>
      <c r="W1" s="35" t="s">
        <v>95</v>
      </c>
      <c r="X1" s="35" t="s">
        <v>96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53">
        <v>420</v>
      </c>
      <c r="B2" s="53">
        <v>420</v>
      </c>
      <c r="C2" s="53" t="s">
        <v>1015</v>
      </c>
      <c r="D2" s="53">
        <v>997601</v>
      </c>
      <c r="E2" s="40" t="s">
        <v>138</v>
      </c>
      <c r="F2" s="53" t="s">
        <v>1131</v>
      </c>
      <c r="G2" s="53">
        <v>800081184</v>
      </c>
      <c r="H2" s="53" t="s">
        <v>105</v>
      </c>
      <c r="I2" s="40" t="s">
        <v>484</v>
      </c>
      <c r="J2" s="40" t="s">
        <v>351</v>
      </c>
      <c r="K2" s="53" t="s">
        <v>955</v>
      </c>
      <c r="L2" s="53">
        <v>800081176</v>
      </c>
      <c r="M2" s="53" t="s">
        <v>713</v>
      </c>
      <c r="N2" s="59" t="s">
        <v>1132</v>
      </c>
      <c r="O2" s="53" t="s">
        <v>74</v>
      </c>
      <c r="P2" s="59" t="s">
        <v>1067</v>
      </c>
      <c r="Q2" s="40" t="s">
        <v>81</v>
      </c>
      <c r="R2" s="53" t="s">
        <v>701</v>
      </c>
      <c r="S2" s="53" t="s">
        <v>959</v>
      </c>
      <c r="T2" s="59" t="s">
        <v>960</v>
      </c>
      <c r="U2" s="56">
        <v>10.116</v>
      </c>
      <c r="V2" s="56">
        <v>1</v>
      </c>
      <c r="W2" s="56">
        <v>2986</v>
      </c>
      <c r="X2" s="56">
        <v>8</v>
      </c>
      <c r="Y2" s="56">
        <v>3.3719999999999999</v>
      </c>
      <c r="Z2" s="56">
        <v>0.80549999999999999</v>
      </c>
      <c r="AA2" s="60">
        <v>1</v>
      </c>
      <c r="AB2" s="60">
        <v>6.1E-6</v>
      </c>
    </row>
    <row r="3" spans="1:28" x14ac:dyDescent="0.2">
      <c r="A3" s="53">
        <v>420</v>
      </c>
      <c r="B3" s="53">
        <v>1471</v>
      </c>
      <c r="C3" s="53"/>
      <c r="D3" s="53"/>
      <c r="E3" s="40"/>
      <c r="F3" s="53"/>
      <c r="G3" s="53"/>
      <c r="H3" s="53"/>
      <c r="I3" s="40"/>
      <c r="J3" s="40"/>
      <c r="K3" s="53"/>
      <c r="L3" s="53"/>
      <c r="M3" s="53"/>
      <c r="N3" s="59" t="s">
        <v>147</v>
      </c>
      <c r="O3" s="53"/>
      <c r="P3" s="59" t="s">
        <v>147</v>
      </c>
      <c r="Q3" s="40"/>
      <c r="R3" s="53"/>
      <c r="S3" s="53"/>
      <c r="T3" s="59" t="s">
        <v>147</v>
      </c>
      <c r="U3" s="56"/>
      <c r="V3" s="56"/>
      <c r="W3" s="56"/>
      <c r="X3" s="56"/>
      <c r="Y3" s="56"/>
      <c r="Z3" s="56"/>
      <c r="AA3" s="60" t="s">
        <v>147</v>
      </c>
      <c r="AB3" s="60"/>
    </row>
    <row r="4" spans="1:28" x14ac:dyDescent="0.2">
      <c r="A4" s="53"/>
      <c r="B4" s="53"/>
      <c r="C4" s="53"/>
      <c r="D4" s="53"/>
      <c r="E4" s="40"/>
      <c r="F4" s="53"/>
      <c r="G4" s="53"/>
      <c r="H4" s="53"/>
      <c r="I4" s="40"/>
      <c r="J4" s="40"/>
      <c r="K4" s="53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/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53"/>
      <c r="I5" s="40"/>
      <c r="J5" s="40"/>
      <c r="K5" s="53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53"/>
      <c r="I6" s="40"/>
      <c r="J6" s="40"/>
      <c r="K6" s="53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53"/>
      <c r="I7" s="40"/>
      <c r="J7" s="40"/>
      <c r="K7" s="53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53"/>
      <c r="I8" s="40"/>
      <c r="J8" s="40"/>
      <c r="K8" s="53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53"/>
      <c r="I9" s="40"/>
      <c r="J9" s="40"/>
      <c r="K9" s="53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53"/>
      <c r="I10" s="40"/>
      <c r="J10" s="40"/>
      <c r="K10" s="53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53"/>
      <c r="I11" s="40"/>
      <c r="J11" s="40"/>
      <c r="K11" s="53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53"/>
      <c r="I12" s="40"/>
      <c r="J12" s="40"/>
      <c r="K12" s="53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53"/>
      <c r="I13" s="40"/>
      <c r="J13" s="40"/>
      <c r="K13" s="53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53"/>
      <c r="I14" s="40"/>
      <c r="J14" s="40"/>
      <c r="K14" s="53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53"/>
      <c r="I15" s="40"/>
      <c r="J15" s="40"/>
      <c r="K15" s="53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53"/>
      <c r="I16" s="40"/>
      <c r="J16" s="40"/>
      <c r="K16" s="53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53"/>
      <c r="I17" s="40"/>
      <c r="J17" s="40"/>
      <c r="K17" s="53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53"/>
      <c r="I18" s="40"/>
      <c r="J18" s="40"/>
      <c r="K18" s="53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53"/>
      <c r="I19" s="40"/>
      <c r="J19" s="40"/>
      <c r="K19" s="53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x14ac:dyDescent="0.2">
      <c r="E20" s="40"/>
      <c r="H20" s="53"/>
      <c r="I20" s="40"/>
      <c r="J20" s="40"/>
      <c r="K20" s="53"/>
      <c r="M20" s="53"/>
      <c r="O20" s="53"/>
      <c r="S20" s="53"/>
    </row>
    <row r="21" spans="1:28" x14ac:dyDescent="0.2">
      <c r="E21" s="39"/>
      <c r="H21" s="39"/>
      <c r="K21" s="39"/>
    </row>
    <row r="24" spans="1:28" x14ac:dyDescent="0.2">
      <c r="K24" s="38"/>
    </row>
  </sheetData>
  <dataValidations count="10">
    <dataValidation type="list" allowBlank="1" showInputMessage="1" showErrorMessage="1" sqref="K2:K20" xr:uid="{5B53A598-BEA4-4124-93DD-9CBB227AC65E}">
      <formula1>tradeable_status_warrants_v2</formula1>
    </dataValidation>
    <dataValidation type="list" allowBlank="1" showInputMessage="1" showErrorMessage="1" sqref="M2:M20" xr:uid="{E7853E28-CB48-4DC8-8240-5935D8F24FF0}">
      <formula1>Industry_Sector</formula1>
    </dataValidation>
    <dataValidation type="list" allowBlank="1" showInputMessage="1" showErrorMessage="1" sqref="E3:E20" xr:uid="{DE560666-CA24-45B2-A2B6-0E0645078E31}">
      <formula1>Issuer_Number_Type_2</formula1>
    </dataValidation>
    <dataValidation type="list" allowBlank="1" showInputMessage="1" showErrorMessage="1" sqref="E2" xr:uid="{215943C4-5691-4604-B7DC-74E9C1A1E31F}">
      <formula1>Issuer_Number_Type_3</formula1>
    </dataValidation>
    <dataValidation type="list" allowBlank="1" showInputMessage="1" showErrorMessage="1" sqref="H2:H20" xr:uid="{786891E4-928F-43FA-A8CE-522580AD3871}">
      <formula1>Type_of_Security_ID</formula1>
    </dataValidation>
    <dataValidation type="list" allowBlank="1" showInputMessage="1" showErrorMessage="1" sqref="J2:J20" xr:uid="{E5C80EA1-2807-4FC1-930C-B21AE2C5E6BD}">
      <formula1>Country_list</formula1>
    </dataValidation>
    <dataValidation type="list" allowBlank="1" showInputMessage="1" showErrorMessage="1" sqref="S2:S20" xr:uid="{506F4EB1-39FC-4C34-9E40-1E54801D076E}">
      <formula1>Dependence_Independence</formula1>
    </dataValidation>
    <dataValidation type="list" allowBlank="1" showInputMessage="1" showErrorMessage="1" sqref="R2:R19" xr:uid="{91857F0F-5161-43D2-92B2-00C638E4C86A}">
      <formula1>Valuation</formula1>
    </dataValidation>
    <dataValidation type="list" allowBlank="1" showInputMessage="1" showErrorMessage="1" sqref="O2:O20" xr:uid="{FF17D381-22F7-424E-A200-4F91E8633DCD}">
      <formula1>Holding_interest</formula1>
    </dataValidation>
    <dataValidation type="list" allowBlank="1" showInputMessage="1" showErrorMessage="1" sqref="I2:I20" xr:uid="{58956E41-A3F2-45D3-8F30-A5827FE235C2}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5BA3-BB51-46F4-9B27-15EEE97EA752}">
  <sheetPr codeName="Sheet22"/>
  <dimension ref="A1:AB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3" width="11.625" style="38" customWidth="1"/>
    <col min="14" max="14" width="11.625" style="61" customWidth="1"/>
    <col min="15" max="15" width="11.625" style="38" customWidth="1"/>
    <col min="16" max="16" width="11.625" style="61" customWidth="1"/>
    <col min="17" max="19" width="11.625" style="38" customWidth="1"/>
    <col min="20" max="20" width="11.625" style="61" customWidth="1"/>
    <col min="21" max="26" width="11.625" style="41" customWidth="1"/>
    <col min="27" max="28" width="11.625" style="46" customWidth="1"/>
    <col min="29" max="29" width="11.625" style="38" customWidth="1"/>
    <col min="30" max="16384" width="9" style="38"/>
  </cols>
  <sheetData>
    <row r="1" spans="1:28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141</v>
      </c>
      <c r="M1" s="34" t="s">
        <v>928</v>
      </c>
      <c r="N1" s="47" t="s">
        <v>920</v>
      </c>
      <c r="O1" s="34" t="s">
        <v>59</v>
      </c>
      <c r="P1" s="47" t="s">
        <v>941</v>
      </c>
      <c r="Q1" s="34" t="s">
        <v>62</v>
      </c>
      <c r="R1" s="34" t="s">
        <v>947</v>
      </c>
      <c r="S1" s="34" t="s">
        <v>948</v>
      </c>
      <c r="T1" s="47" t="s">
        <v>950</v>
      </c>
      <c r="U1" s="35" t="s">
        <v>921</v>
      </c>
      <c r="V1" s="35" t="s">
        <v>922</v>
      </c>
      <c r="W1" s="35" t="s">
        <v>95</v>
      </c>
      <c r="X1" s="35" t="s">
        <v>96</v>
      </c>
      <c r="Y1" s="35" t="s">
        <v>64</v>
      </c>
      <c r="Z1" s="35" t="s">
        <v>1133</v>
      </c>
      <c r="AA1" s="36" t="s">
        <v>67</v>
      </c>
      <c r="AB1" s="36" t="s">
        <v>68</v>
      </c>
    </row>
    <row r="2" spans="1:28" x14ac:dyDescent="0.2">
      <c r="A2" s="53">
        <v>420</v>
      </c>
      <c r="B2" s="53">
        <v>420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 t="s">
        <v>147</v>
      </c>
      <c r="O2" s="53"/>
      <c r="P2" s="59" t="s">
        <v>147</v>
      </c>
      <c r="Q2" s="40"/>
      <c r="R2" s="53"/>
      <c r="S2" s="53"/>
      <c r="T2" s="59" t="s">
        <v>147</v>
      </c>
      <c r="U2" s="56"/>
      <c r="V2" s="56"/>
      <c r="W2" s="56"/>
      <c r="X2" s="56"/>
      <c r="Y2" s="56"/>
      <c r="Z2" s="56"/>
      <c r="AA2" s="60" t="s">
        <v>147</v>
      </c>
      <c r="AB2" s="60"/>
    </row>
    <row r="3" spans="1:28" x14ac:dyDescent="0.2">
      <c r="A3" s="53">
        <v>420</v>
      </c>
      <c r="B3" s="53">
        <v>1471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 t="s">
        <v>147</v>
      </c>
      <c r="O3" s="53"/>
      <c r="P3" s="59" t="s">
        <v>147</v>
      </c>
      <c r="Q3" s="40"/>
      <c r="R3" s="53"/>
      <c r="S3" s="53"/>
      <c r="T3" s="59" t="s">
        <v>147</v>
      </c>
      <c r="U3" s="56"/>
      <c r="V3" s="56"/>
      <c r="W3" s="56"/>
      <c r="X3" s="56"/>
      <c r="Y3" s="56"/>
      <c r="Z3" s="56"/>
      <c r="AA3" s="60" t="s">
        <v>147</v>
      </c>
      <c r="AB3" s="60"/>
    </row>
    <row r="4" spans="1:28" x14ac:dyDescent="0.2">
      <c r="A4" s="53"/>
      <c r="B4" s="53"/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/>
      <c r="AB4" s="60"/>
    </row>
    <row r="5" spans="1:28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/>
      <c r="AB5" s="60"/>
    </row>
    <row r="6" spans="1:28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/>
      <c r="AB6" s="60"/>
    </row>
    <row r="7" spans="1:28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 x14ac:dyDescent="0.2">
      <c r="E20" s="40"/>
      <c r="H20" s="53"/>
      <c r="I20" s="53"/>
      <c r="J20" s="40"/>
      <c r="K20" s="40"/>
      <c r="L20" s="53"/>
      <c r="M20" s="53"/>
      <c r="O20" s="53"/>
      <c r="R20" s="53"/>
      <c r="S20" s="53"/>
    </row>
    <row r="21" spans="1:28" x14ac:dyDescent="0.2">
      <c r="E21" s="39"/>
      <c r="H21" s="39"/>
    </row>
  </sheetData>
  <sheetProtection formatColumns="0"/>
  <dataValidations count="10">
    <dataValidation type="list" allowBlank="1" showInputMessage="1" showErrorMessage="1" sqref="L2:L20" xr:uid="{C5DA429F-935F-49DF-9F4F-F381DE776FBF}">
      <formula1>Industry_Sector</formula1>
    </dataValidation>
    <dataValidation type="list" allowBlank="1" showInputMessage="1" showErrorMessage="1" sqref="E2" xr:uid="{442565D7-B26C-40F2-8ED7-BDDAC81838C9}">
      <formula1>Issuer_Number_Type_3</formula1>
    </dataValidation>
    <dataValidation type="list" allowBlank="1" showInputMessage="1" showErrorMessage="1" sqref="E3:E20" xr:uid="{425DCA88-D51B-4D17-89D7-3A0119600358}">
      <formula1>Issuer_Number_Type_2</formula1>
    </dataValidation>
    <dataValidation type="list" allowBlank="1" showInputMessage="1" showErrorMessage="1" sqref="H2:H20" xr:uid="{EEC80CCB-9355-4CB6-9DA1-A46CDAB6E774}">
      <formula1>Type_of_Security_ID</formula1>
    </dataValidation>
    <dataValidation type="list" allowBlank="1" showInputMessage="1" showErrorMessage="1" sqref="K2:K20" xr:uid="{7EE55ADB-F9E9-4EAF-BB0C-E71756C90E4F}">
      <formula1>Country_list</formula1>
    </dataValidation>
    <dataValidation type="list" allowBlank="1" showInputMessage="1" showErrorMessage="1" sqref="S2:S20" xr:uid="{02F4694F-5017-4192-8B79-BCEA1C0DFA0B}">
      <formula1>Dependence_Independence</formula1>
    </dataValidation>
    <dataValidation type="list" allowBlank="1" showInputMessage="1" showErrorMessage="1" sqref="R2:R20" xr:uid="{48E095E7-4D8C-47D7-AF10-DE3C5DD6EAA6}">
      <formula1>Valuation</formula1>
    </dataValidation>
    <dataValidation type="list" allowBlank="1" showInputMessage="1" showErrorMessage="1" sqref="M2:M20" xr:uid="{EA8730CA-2950-4689-84AE-62298DF8815E}">
      <formula1>Underlying_Asset</formula1>
    </dataValidation>
    <dataValidation type="list" allowBlank="1" showInputMessage="1" showErrorMessage="1" sqref="O2:O20" xr:uid="{810C3E0E-8E48-4201-9D7B-149F4DE4ECCC}">
      <formula1>Holding_interest</formula1>
    </dataValidation>
    <dataValidation type="list" allowBlank="1" showInputMessage="1" showErrorMessage="1" sqref="J2:J20" xr:uid="{3B9D6C5C-097A-41AC-886F-69A3060BCBD1}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5E94-F99A-45FF-B817-F279E4E37892}">
  <sheetPr codeName="Sheet23"/>
  <dimension ref="A1:AO34"/>
  <sheetViews>
    <sheetView rightToLeft="1" workbookViewId="0"/>
  </sheetViews>
  <sheetFormatPr defaultColWidth="9" defaultRowHeight="14.25" x14ac:dyDescent="0.2"/>
  <cols>
    <col min="1" max="2" width="11.625" style="38" customWidth="1"/>
    <col min="3" max="3" width="16" style="38" bestFit="1" customWidth="1"/>
    <col min="4" max="5" width="11.625" style="38" customWidth="1"/>
    <col min="6" max="6" width="11.625" style="41" customWidth="1"/>
    <col min="7" max="7" width="15.125" style="41" bestFit="1" customWidth="1"/>
    <col min="8" max="8" width="11.625" style="41" customWidth="1"/>
    <col min="9" max="10" width="11.625" style="46" customWidth="1"/>
    <col min="11" max="12" width="11.625" style="38" customWidth="1"/>
    <col min="13" max="13" width="11.625" style="41" customWidth="1"/>
    <col min="14" max="14" width="15.125" style="41" bestFit="1" customWidth="1"/>
    <col min="15" max="15" width="11.625" style="41" customWidth="1"/>
    <col min="16" max="17" width="11.625" style="46" customWidth="1"/>
    <col min="18" max="18" width="11.625" style="41" customWidth="1"/>
    <col min="19" max="25" width="11.625" style="38" customWidth="1"/>
    <col min="26" max="27" width="11.625" style="61" customWidth="1"/>
    <col min="28" max="33" width="11.625" style="38" customWidth="1"/>
    <col min="34" max="34" width="11.625" style="43" customWidth="1"/>
    <col min="35" max="36" width="11.625" style="41" customWidth="1"/>
    <col min="37" max="37" width="11.625" style="38" customWidth="1"/>
    <col min="38" max="38" width="11.625" style="46" customWidth="1"/>
    <col min="39" max="39" width="11.625" style="38" customWidth="1"/>
    <col min="40" max="41" width="11.625" style="46" customWidth="1"/>
    <col min="42" max="16384" width="9" style="38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1134</v>
      </c>
      <c r="E1" s="34" t="s">
        <v>1135</v>
      </c>
      <c r="F1" s="35" t="s">
        <v>64</v>
      </c>
      <c r="G1" s="35" t="s">
        <v>1136</v>
      </c>
      <c r="H1" s="35" t="s">
        <v>1137</v>
      </c>
      <c r="I1" s="36" t="s">
        <v>1138</v>
      </c>
      <c r="J1" s="36" t="s">
        <v>1139</v>
      </c>
      <c r="K1" s="34" t="s">
        <v>1140</v>
      </c>
      <c r="L1" s="34" t="s">
        <v>1141</v>
      </c>
      <c r="M1" s="35" t="s">
        <v>64</v>
      </c>
      <c r="N1" s="35" t="s">
        <v>1142</v>
      </c>
      <c r="O1" s="35" t="s">
        <v>1143</v>
      </c>
      <c r="P1" s="36" t="s">
        <v>1144</v>
      </c>
      <c r="Q1" s="36" t="s">
        <v>1145</v>
      </c>
      <c r="R1" s="35" t="s">
        <v>1146</v>
      </c>
      <c r="S1" s="34" t="s">
        <v>58</v>
      </c>
      <c r="T1" s="34" t="s">
        <v>88</v>
      </c>
      <c r="U1" s="34" t="s">
        <v>1147</v>
      </c>
      <c r="V1" s="34" t="s">
        <v>1148</v>
      </c>
      <c r="W1" s="34" t="s">
        <v>1149</v>
      </c>
      <c r="X1" s="34" t="s">
        <v>932</v>
      </c>
      <c r="Y1" s="34" t="s">
        <v>59</v>
      </c>
      <c r="Z1" s="47" t="s">
        <v>1150</v>
      </c>
      <c r="AA1" s="47" t="s">
        <v>1151</v>
      </c>
      <c r="AB1" s="34" t="s">
        <v>1152</v>
      </c>
      <c r="AC1" s="34" t="s">
        <v>1153</v>
      </c>
      <c r="AD1" s="34" t="s">
        <v>1154</v>
      </c>
      <c r="AE1" s="34" t="s">
        <v>1155</v>
      </c>
      <c r="AF1" s="34" t="s">
        <v>143</v>
      </c>
      <c r="AG1" s="34" t="s">
        <v>1156</v>
      </c>
      <c r="AH1" s="36" t="s">
        <v>1157</v>
      </c>
      <c r="AI1" s="35" t="s">
        <v>1158</v>
      </c>
      <c r="AJ1" s="35" t="s">
        <v>1159</v>
      </c>
      <c r="AK1" s="34" t="s">
        <v>1160</v>
      </c>
      <c r="AL1" s="36" t="s">
        <v>1161</v>
      </c>
      <c r="AM1" s="34" t="s">
        <v>1162</v>
      </c>
      <c r="AN1" s="36" t="s">
        <v>67</v>
      </c>
      <c r="AO1" s="36" t="s">
        <v>68</v>
      </c>
    </row>
    <row r="2" spans="1:41" x14ac:dyDescent="0.2">
      <c r="A2" s="38">
        <v>420</v>
      </c>
      <c r="B2" s="38">
        <v>420</v>
      </c>
      <c r="C2" s="38" t="s">
        <v>1163</v>
      </c>
      <c r="D2" s="39">
        <v>931250538</v>
      </c>
      <c r="E2" s="38" t="s">
        <v>81</v>
      </c>
      <c r="F2" s="41">
        <v>1</v>
      </c>
      <c r="G2" s="41">
        <v>-5839479</v>
      </c>
      <c r="H2" s="42">
        <v>-207.00953000000001</v>
      </c>
      <c r="I2" s="43">
        <v>-0.195938</v>
      </c>
      <c r="J2" s="43">
        <v>-1.5731E-3</v>
      </c>
      <c r="K2" s="39">
        <v>931250538</v>
      </c>
      <c r="L2" s="38" t="s">
        <v>78</v>
      </c>
      <c r="M2" s="42">
        <v>1</v>
      </c>
      <c r="N2" s="42">
        <v>20636718.789999999</v>
      </c>
      <c r="O2" s="42">
        <v>1178.78234</v>
      </c>
      <c r="P2" s="43">
        <v>8.9575000000000002E-3</v>
      </c>
      <c r="Q2" s="43">
        <v>1.1157371</v>
      </c>
      <c r="R2" s="41">
        <v>971.77281000000005</v>
      </c>
      <c r="S2" s="39" t="s">
        <v>73</v>
      </c>
      <c r="T2" s="40" t="s">
        <v>73</v>
      </c>
      <c r="U2" s="38" t="s">
        <v>1164</v>
      </c>
      <c r="V2" s="38" t="s">
        <v>701</v>
      </c>
      <c r="W2" s="38" t="s">
        <v>1165</v>
      </c>
      <c r="X2" s="38" t="s">
        <v>1166</v>
      </c>
      <c r="Y2" s="38" t="s">
        <v>74</v>
      </c>
      <c r="Z2" s="48" t="s">
        <v>1167</v>
      </c>
      <c r="AA2" s="61" t="s">
        <v>1168</v>
      </c>
      <c r="AB2" s="38" t="s">
        <v>1169</v>
      </c>
      <c r="AC2" s="38" t="s">
        <v>1170</v>
      </c>
      <c r="AD2" s="38" t="s">
        <v>74</v>
      </c>
      <c r="AE2" s="38" t="s">
        <v>1171</v>
      </c>
      <c r="AF2" s="38" t="s">
        <v>1169</v>
      </c>
      <c r="AG2" s="38" t="s">
        <v>1169</v>
      </c>
      <c r="AH2" s="46">
        <v>0</v>
      </c>
      <c r="AI2" s="41">
        <v>3.5449999999999999</v>
      </c>
      <c r="AJ2" s="41">
        <v>3.5339999999999998</v>
      </c>
      <c r="AK2" s="38" t="s">
        <v>74</v>
      </c>
      <c r="AL2" s="46" t="s">
        <v>975</v>
      </c>
      <c r="AM2" s="39" t="s">
        <v>1172</v>
      </c>
      <c r="AN2" s="60">
        <v>0.91979909999999998</v>
      </c>
      <c r="AO2" s="60">
        <v>7.3844000000000002E-3</v>
      </c>
    </row>
    <row r="3" spans="1:41" x14ac:dyDescent="0.2">
      <c r="A3" s="38">
        <v>420</v>
      </c>
      <c r="B3" s="38">
        <v>420</v>
      </c>
      <c r="C3" s="38" t="s">
        <v>1163</v>
      </c>
      <c r="D3" s="39">
        <v>931250575</v>
      </c>
      <c r="E3" s="38" t="s">
        <v>77</v>
      </c>
      <c r="F3" s="41">
        <v>1</v>
      </c>
      <c r="G3" s="41">
        <v>-924129</v>
      </c>
      <c r="H3" s="42">
        <v>-36.349690000000002</v>
      </c>
      <c r="I3" s="43">
        <v>-3.4405600000000001E-2</v>
      </c>
      <c r="J3" s="43">
        <v>-2.7619999999999999E-4</v>
      </c>
      <c r="K3" s="39">
        <v>931250575</v>
      </c>
      <c r="L3" s="38" t="s">
        <v>78</v>
      </c>
      <c r="M3" s="42">
        <v>1</v>
      </c>
      <c r="N3" s="42">
        <v>3666481.81</v>
      </c>
      <c r="O3" s="42">
        <v>23.493950000000002</v>
      </c>
      <c r="P3" s="43">
        <v>1.785E-4</v>
      </c>
      <c r="Q3" s="43">
        <v>2.2237400000000001E-2</v>
      </c>
      <c r="R3" s="41">
        <v>-12.855740000000001</v>
      </c>
      <c r="S3" s="39" t="s">
        <v>73</v>
      </c>
      <c r="T3" s="40" t="s">
        <v>73</v>
      </c>
      <c r="U3" s="38" t="s">
        <v>1164</v>
      </c>
      <c r="V3" s="38" t="s">
        <v>701</v>
      </c>
      <c r="W3" s="38" t="s">
        <v>1165</v>
      </c>
      <c r="X3" s="38" t="s">
        <v>1173</v>
      </c>
      <c r="Y3" s="38" t="s">
        <v>74</v>
      </c>
      <c r="Z3" s="48" t="s">
        <v>1167</v>
      </c>
      <c r="AA3" s="61" t="s">
        <v>1168</v>
      </c>
      <c r="AB3" s="38" t="s">
        <v>1169</v>
      </c>
      <c r="AC3" s="38" t="s">
        <v>1170</v>
      </c>
      <c r="AD3" s="38" t="s">
        <v>74</v>
      </c>
      <c r="AE3" s="38" t="s">
        <v>1171</v>
      </c>
      <c r="AF3" s="38" t="s">
        <v>1169</v>
      </c>
      <c r="AG3" s="38" t="s">
        <v>1169</v>
      </c>
      <c r="AH3" s="43">
        <v>0</v>
      </c>
      <c r="AI3" s="41">
        <v>3.9333999999999998</v>
      </c>
      <c r="AJ3" s="41">
        <v>3.9674999999999998</v>
      </c>
      <c r="AK3" s="38" t="s">
        <v>74</v>
      </c>
      <c r="AL3" s="46" t="s">
        <v>975</v>
      </c>
      <c r="AM3" s="39" t="s">
        <v>1172</v>
      </c>
      <c r="AN3" s="60">
        <v>-1.2168200000000001E-2</v>
      </c>
      <c r="AO3" s="60">
        <v>-9.7700000000000003E-5</v>
      </c>
    </row>
    <row r="4" spans="1:41" x14ac:dyDescent="0.2">
      <c r="A4" s="38">
        <v>420</v>
      </c>
      <c r="B4" s="38">
        <v>420</v>
      </c>
      <c r="C4" s="38" t="s">
        <v>1163</v>
      </c>
      <c r="D4" s="39">
        <v>931505114</v>
      </c>
      <c r="E4" s="38" t="s">
        <v>81</v>
      </c>
      <c r="F4" s="41">
        <v>1</v>
      </c>
      <c r="G4" s="41">
        <v>-540000</v>
      </c>
      <c r="H4" s="42">
        <v>-19.2834</v>
      </c>
      <c r="I4" s="43">
        <v>-1.82521E-2</v>
      </c>
      <c r="J4" s="43">
        <v>-1.4650000000000001E-4</v>
      </c>
      <c r="K4" s="39">
        <v>931505114</v>
      </c>
      <c r="L4" s="38" t="s">
        <v>78</v>
      </c>
      <c r="M4" s="42">
        <v>1</v>
      </c>
      <c r="N4" s="42">
        <v>1916190</v>
      </c>
      <c r="O4" s="42">
        <v>116.87182</v>
      </c>
      <c r="P4" s="43">
        <v>8.8809999999999996E-4</v>
      </c>
      <c r="Q4" s="43">
        <v>0.1106211</v>
      </c>
      <c r="R4" s="41">
        <v>97.588419999999999</v>
      </c>
      <c r="S4" s="39" t="s">
        <v>73</v>
      </c>
      <c r="T4" s="40" t="s">
        <v>73</v>
      </c>
      <c r="U4" s="38" t="s">
        <v>1164</v>
      </c>
      <c r="V4" s="38" t="s">
        <v>701</v>
      </c>
      <c r="W4" s="38" t="s">
        <v>1165</v>
      </c>
      <c r="X4" s="38" t="s">
        <v>1166</v>
      </c>
      <c r="Y4" s="38" t="s">
        <v>74</v>
      </c>
      <c r="Z4" s="48" t="s">
        <v>1174</v>
      </c>
      <c r="AA4" s="61" t="s">
        <v>1168</v>
      </c>
      <c r="AB4" s="38" t="s">
        <v>1169</v>
      </c>
      <c r="AC4" s="38" t="s">
        <v>1170</v>
      </c>
      <c r="AD4" s="38" t="s">
        <v>74</v>
      </c>
      <c r="AE4" s="38" t="s">
        <v>1171</v>
      </c>
      <c r="AF4" s="38" t="s">
        <v>1169</v>
      </c>
      <c r="AG4" s="38" t="s">
        <v>1169</v>
      </c>
      <c r="AH4" s="43">
        <v>0</v>
      </c>
      <c r="AI4" s="41">
        <v>3.5710000000000002</v>
      </c>
      <c r="AJ4" s="41">
        <v>3.5485000000000002</v>
      </c>
      <c r="AK4" s="38" t="s">
        <v>74</v>
      </c>
      <c r="AL4" s="46" t="s">
        <v>975</v>
      </c>
      <c r="AM4" s="39" t="s">
        <v>1172</v>
      </c>
      <c r="AN4" s="60">
        <v>9.2369099999999996E-2</v>
      </c>
      <c r="AO4" s="60">
        <v>7.4160000000000003E-4</v>
      </c>
    </row>
    <row r="5" spans="1:41" x14ac:dyDescent="0.2">
      <c r="A5" s="38">
        <v>420</v>
      </c>
      <c r="B5" s="38">
        <v>1471</v>
      </c>
      <c r="D5" s="39"/>
      <c r="H5" s="42"/>
      <c r="I5" s="43"/>
      <c r="J5" s="43"/>
      <c r="K5" s="39"/>
      <c r="M5" s="42"/>
      <c r="N5" s="42"/>
      <c r="O5" s="42"/>
      <c r="P5" s="43"/>
      <c r="Q5" s="43"/>
      <c r="S5" s="39"/>
      <c r="T5" s="40"/>
      <c r="Z5" s="48" t="s">
        <v>147</v>
      </c>
      <c r="AA5" s="61" t="s">
        <v>147</v>
      </c>
      <c r="AM5" s="39"/>
      <c r="AN5" s="60" t="s">
        <v>147</v>
      </c>
      <c r="AO5" s="60"/>
    </row>
    <row r="6" spans="1:41" x14ac:dyDescent="0.2">
      <c r="D6" s="39"/>
      <c r="H6" s="42"/>
      <c r="I6" s="43"/>
      <c r="J6" s="43"/>
      <c r="K6" s="39"/>
      <c r="M6" s="42"/>
      <c r="N6" s="42"/>
      <c r="O6" s="42"/>
      <c r="P6" s="43"/>
      <c r="Q6" s="43"/>
      <c r="S6" s="39"/>
      <c r="T6" s="40"/>
      <c r="Z6" s="48"/>
      <c r="AM6" s="39"/>
      <c r="AN6" s="60"/>
      <c r="AO6" s="60"/>
    </row>
    <row r="7" spans="1:41" x14ac:dyDescent="0.2">
      <c r="D7" s="39"/>
      <c r="H7" s="42"/>
      <c r="I7" s="43"/>
      <c r="J7" s="43"/>
      <c r="K7" s="39"/>
      <c r="M7" s="42"/>
      <c r="N7" s="42"/>
      <c r="O7" s="42"/>
      <c r="P7" s="43"/>
      <c r="Q7" s="43"/>
      <c r="S7" s="39"/>
      <c r="T7" s="40"/>
      <c r="Z7" s="48"/>
      <c r="AM7" s="39"/>
      <c r="AN7" s="60"/>
      <c r="AO7" s="60"/>
    </row>
    <row r="8" spans="1:41" x14ac:dyDescent="0.2">
      <c r="D8" s="39"/>
      <c r="H8" s="42"/>
      <c r="I8" s="43"/>
      <c r="J8" s="43"/>
      <c r="K8" s="39"/>
      <c r="M8" s="42"/>
      <c r="N8" s="42"/>
      <c r="O8" s="42"/>
      <c r="P8" s="43"/>
      <c r="Q8" s="43"/>
      <c r="S8" s="39"/>
      <c r="T8" s="40"/>
      <c r="Z8" s="48"/>
      <c r="AM8" s="39"/>
      <c r="AN8" s="60"/>
      <c r="AO8" s="60"/>
    </row>
    <row r="9" spans="1:41" x14ac:dyDescent="0.2">
      <c r="D9" s="39"/>
      <c r="H9" s="42"/>
      <c r="I9" s="43"/>
      <c r="J9" s="43"/>
      <c r="K9" s="39"/>
      <c r="M9" s="42"/>
      <c r="N9" s="42"/>
      <c r="O9" s="42"/>
      <c r="P9" s="43"/>
      <c r="Q9" s="43"/>
      <c r="S9" s="39"/>
      <c r="T9" s="40"/>
      <c r="Z9" s="48"/>
      <c r="AM9" s="39"/>
      <c r="AN9" s="60"/>
      <c r="AO9" s="60"/>
    </row>
    <row r="10" spans="1:41" x14ac:dyDescent="0.2">
      <c r="D10" s="39"/>
      <c r="H10" s="42"/>
      <c r="I10" s="43"/>
      <c r="J10" s="43"/>
      <c r="K10" s="39"/>
      <c r="M10" s="42"/>
      <c r="N10" s="42"/>
      <c r="O10" s="42"/>
      <c r="P10" s="43"/>
      <c r="Q10" s="43"/>
      <c r="S10" s="39"/>
      <c r="T10" s="40"/>
      <c r="Z10" s="48"/>
      <c r="AM10" s="39"/>
      <c r="AN10" s="60"/>
      <c r="AO10" s="60"/>
    </row>
    <row r="11" spans="1:41" x14ac:dyDescent="0.2">
      <c r="D11" s="39"/>
      <c r="H11" s="42"/>
      <c r="I11" s="43"/>
      <c r="J11" s="43"/>
      <c r="K11" s="39"/>
      <c r="M11" s="42"/>
      <c r="N11" s="42"/>
      <c r="O11" s="42"/>
      <c r="P11" s="43"/>
      <c r="Q11" s="43"/>
      <c r="S11" s="39"/>
      <c r="T11" s="40"/>
      <c r="Z11" s="48"/>
      <c r="AM11" s="39"/>
      <c r="AN11" s="60"/>
      <c r="AO11" s="60"/>
    </row>
    <row r="12" spans="1:41" x14ac:dyDescent="0.2">
      <c r="D12" s="39"/>
      <c r="H12" s="42"/>
      <c r="I12" s="43"/>
      <c r="J12" s="43"/>
      <c r="K12" s="39"/>
      <c r="M12" s="42"/>
      <c r="N12" s="42"/>
      <c r="O12" s="42"/>
      <c r="P12" s="43"/>
      <c r="Q12" s="43"/>
      <c r="S12" s="39"/>
      <c r="T12" s="40"/>
      <c r="Z12" s="48"/>
      <c r="AM12" s="39"/>
      <c r="AN12" s="60"/>
      <c r="AO12" s="60"/>
    </row>
    <row r="13" spans="1:41" x14ac:dyDescent="0.2">
      <c r="D13" s="39"/>
      <c r="H13" s="42"/>
      <c r="I13" s="43"/>
      <c r="J13" s="43"/>
      <c r="K13" s="39"/>
      <c r="M13" s="42"/>
      <c r="N13" s="42"/>
      <c r="O13" s="42"/>
      <c r="P13" s="43"/>
      <c r="Q13" s="43"/>
      <c r="S13" s="39"/>
      <c r="T13" s="40"/>
      <c r="Z13" s="48"/>
      <c r="AM13" s="39"/>
      <c r="AN13" s="60"/>
      <c r="AO13" s="60"/>
    </row>
    <row r="14" spans="1:41" x14ac:dyDescent="0.2">
      <c r="D14" s="39"/>
      <c r="H14" s="42"/>
      <c r="I14" s="43"/>
      <c r="J14" s="43"/>
      <c r="K14" s="39"/>
      <c r="M14" s="42"/>
      <c r="N14" s="42"/>
      <c r="O14" s="42"/>
      <c r="P14" s="43"/>
      <c r="Q14" s="43"/>
      <c r="S14" s="39"/>
      <c r="T14" s="40"/>
      <c r="Z14" s="48"/>
      <c r="AM14" s="39"/>
      <c r="AN14" s="60"/>
      <c r="AO14" s="60"/>
    </row>
    <row r="15" spans="1:41" x14ac:dyDescent="0.2">
      <c r="D15" s="39"/>
      <c r="H15" s="42"/>
      <c r="I15" s="43"/>
      <c r="J15" s="43"/>
      <c r="K15" s="39"/>
      <c r="M15" s="42"/>
      <c r="N15" s="42"/>
      <c r="O15" s="42"/>
      <c r="P15" s="43"/>
      <c r="Q15" s="43"/>
      <c r="S15" s="39"/>
      <c r="T15" s="40"/>
      <c r="Z15" s="48"/>
      <c r="AM15" s="39"/>
      <c r="AN15" s="60"/>
      <c r="AO15" s="60"/>
    </row>
    <row r="16" spans="1:41" x14ac:dyDescent="0.2">
      <c r="D16" s="39"/>
      <c r="H16" s="42"/>
      <c r="I16" s="43"/>
      <c r="J16" s="43"/>
      <c r="K16" s="39"/>
      <c r="M16" s="42"/>
      <c r="N16" s="42"/>
      <c r="O16" s="42"/>
      <c r="P16" s="43"/>
      <c r="Q16" s="43"/>
      <c r="S16" s="39"/>
      <c r="T16" s="40"/>
      <c r="Z16" s="48"/>
      <c r="AM16" s="39"/>
      <c r="AN16" s="60"/>
      <c r="AO16" s="60"/>
    </row>
    <row r="17" spans="4:41" x14ac:dyDescent="0.2">
      <c r="D17" s="39"/>
      <c r="H17" s="42"/>
      <c r="I17" s="43"/>
      <c r="J17" s="43"/>
      <c r="K17" s="39"/>
      <c r="M17" s="42"/>
      <c r="N17" s="42"/>
      <c r="O17" s="42"/>
      <c r="P17" s="43"/>
      <c r="Q17" s="43"/>
      <c r="S17" s="39"/>
      <c r="T17" s="40"/>
      <c r="Z17" s="48"/>
      <c r="AM17" s="39"/>
      <c r="AN17" s="60"/>
      <c r="AO17" s="60"/>
    </row>
    <row r="18" spans="4:41" x14ac:dyDescent="0.2">
      <c r="D18" s="39"/>
      <c r="H18" s="42"/>
      <c r="I18" s="43"/>
      <c r="J18" s="43"/>
      <c r="K18" s="39"/>
      <c r="M18" s="42"/>
      <c r="N18" s="42"/>
      <c r="O18" s="42"/>
      <c r="P18" s="43"/>
      <c r="Q18" s="43"/>
      <c r="S18" s="39"/>
      <c r="T18" s="40"/>
      <c r="Z18" s="48"/>
      <c r="AM18" s="39"/>
      <c r="AN18" s="60"/>
      <c r="AO18" s="60"/>
    </row>
    <row r="19" spans="4:41" x14ac:dyDescent="0.2">
      <c r="D19" s="39"/>
      <c r="H19" s="42"/>
      <c r="I19" s="43"/>
      <c r="J19" s="43"/>
      <c r="K19" s="39"/>
      <c r="M19" s="42"/>
      <c r="N19" s="42"/>
      <c r="O19" s="42"/>
      <c r="P19" s="43"/>
      <c r="Q19" s="43"/>
      <c r="S19" s="39"/>
      <c r="T19" s="40"/>
      <c r="Z19" s="48"/>
      <c r="AM19" s="39"/>
      <c r="AN19" s="60"/>
      <c r="AO19" s="60"/>
    </row>
    <row r="20" spans="4:41" x14ac:dyDescent="0.2">
      <c r="S20" s="39"/>
      <c r="T20" s="40"/>
    </row>
    <row r="21" spans="4:41" s="39" customFormat="1" x14ac:dyDescent="0.2">
      <c r="F21" s="42"/>
      <c r="G21" s="42"/>
      <c r="H21" s="42"/>
      <c r="I21" s="43"/>
      <c r="J21" s="43"/>
      <c r="M21" s="42"/>
      <c r="N21" s="42"/>
      <c r="O21" s="42"/>
      <c r="P21" s="43"/>
      <c r="Q21" s="43"/>
      <c r="R21" s="42"/>
      <c r="Z21" s="48"/>
      <c r="AA21" s="48"/>
      <c r="AH21" s="43"/>
      <c r="AI21" s="42"/>
      <c r="AJ21" s="42"/>
      <c r="AL21" s="43"/>
      <c r="AN21" s="43"/>
      <c r="AO21" s="43"/>
    </row>
    <row r="22" spans="4:41" x14ac:dyDescent="0.2">
      <c r="S22" s="39"/>
      <c r="T22" s="40"/>
    </row>
    <row r="23" spans="4:41" x14ac:dyDescent="0.2">
      <c r="S23" s="39"/>
      <c r="T23" s="40"/>
    </row>
    <row r="24" spans="4:41" x14ac:dyDescent="0.2">
      <c r="S24" s="39"/>
      <c r="T24" s="40"/>
    </row>
    <row r="25" spans="4:41" x14ac:dyDescent="0.2">
      <c r="S25" s="39"/>
      <c r="T25" s="40"/>
    </row>
    <row r="26" spans="4:41" x14ac:dyDescent="0.2">
      <c r="T26" s="40"/>
    </row>
    <row r="27" spans="4:41" x14ac:dyDescent="0.2">
      <c r="T27" s="40"/>
    </row>
    <row r="28" spans="4:41" x14ac:dyDescent="0.2">
      <c r="T28" s="40"/>
    </row>
    <row r="29" spans="4:41" x14ac:dyDescent="0.2">
      <c r="T29" s="40"/>
    </row>
    <row r="30" spans="4:41" x14ac:dyDescent="0.2">
      <c r="T30" s="40"/>
    </row>
    <row r="31" spans="4:41" x14ac:dyDescent="0.2">
      <c r="T31" s="40"/>
    </row>
    <row r="32" spans="4:41" x14ac:dyDescent="0.2">
      <c r="T32" s="40"/>
    </row>
    <row r="33" spans="20:20" x14ac:dyDescent="0.2">
      <c r="T33" s="40"/>
    </row>
    <row r="34" spans="20:20" x14ac:dyDescent="0.2">
      <c r="T34" s="40"/>
    </row>
  </sheetData>
  <dataValidations count="16">
    <dataValidation type="list" allowBlank="1" showInputMessage="1" showErrorMessage="1" sqref="C77:C1048576" xr:uid="{F8FC1D46-661A-4575-8AAB-1F1797BEB8AE}"/>
    <dataValidation type="list" allowBlank="1" showInputMessage="1" showErrorMessage="1" sqref="AE3:AE20 AE22:AE26" xr:uid="{4F4F246D-7D1D-4771-A2C4-F3D9C10FDBD7}">
      <formula1>$C$535:$C$536</formula1>
    </dataValidation>
    <dataValidation type="list" allowBlank="1" showInputMessage="1" showErrorMessage="1" sqref="C22:C76" xr:uid="{FECA8DFA-9B1D-4856-8747-73F1FBBD908E}">
      <formula1>$C$834:$C$841</formula1>
    </dataValidation>
    <dataValidation type="list" allowBlank="1" showInputMessage="1" showErrorMessage="1" sqref="AK2:AK20" xr:uid="{7570EE23-DCDA-43DE-9463-AA63A7EEFEE6}">
      <formula1>Penalty</formula1>
    </dataValidation>
    <dataValidation type="list" allowBlank="1" showInputMessage="1" showErrorMessage="1" sqref="AF2:AF20" xr:uid="{392A3983-DD90-4CEE-B2BF-13C6C449C1B8}">
      <formula1>Underlying_Interest_Rates</formula1>
    </dataValidation>
    <dataValidation type="list" allowBlank="1" showInputMessage="1" showErrorMessage="1" sqref="AF22:AF26" xr:uid="{7B361294-CB9D-4B61-8E6A-8B0DE76EB414}">
      <formula1>Underlying_Interest_Rates_Der</formula1>
    </dataValidation>
    <dataValidation allowBlank="1" showInputMessage="1" showErrorMessage="1" sqref="Z2:Z19 M2:N19 P2:R19 I2:K19 D2:D19" xr:uid="{449BE4BD-89C5-4C67-8775-B86755535153}"/>
    <dataValidation type="list" allowBlank="1" showInputMessage="1" showErrorMessage="1" sqref="W2:W20" xr:uid="{3338F7C6-4763-43CF-B4DF-0B5887486AF7}">
      <formula1>Additional_Factor</formula1>
    </dataValidation>
    <dataValidation type="list" allowBlank="1" showInputMessage="1" showErrorMessage="1" sqref="T2:T20 T22:T34" xr:uid="{8E889D04-37BE-41AC-8C41-4A9951F0485E}">
      <formula1>Country_list</formula1>
    </dataValidation>
    <dataValidation type="list" allowBlank="1" showInputMessage="1" showErrorMessage="1" sqref="V2:V20" xr:uid="{9DD06819-53D8-4919-B4D4-D944072846DA}">
      <formula1>Leading_factor</formula1>
    </dataValidation>
    <dataValidation type="list" allowBlank="1" showInputMessage="1" showErrorMessage="1" sqref="E23:E32" xr:uid="{7B358A4D-0E88-49A9-A723-993D4C936EF6}">
      <formula1>Currency_Abbreviation</formula1>
    </dataValidation>
    <dataValidation type="list" allowBlank="1" showInputMessage="1" showErrorMessage="1" sqref="AC2:AC20 AC22:AC61" xr:uid="{AACB728D-BBC6-414A-AA04-8597C560DB4E}">
      <formula1>Delivery</formula1>
    </dataValidation>
    <dataValidation type="list" allowBlank="1" showInputMessage="1" showErrorMessage="1" sqref="Y22:Y215 AD22:AD1048576 AD2:AD20 Y2:Y20 AL20 AL22:AL1048576" xr:uid="{E41161C2-D5E9-4CBE-998E-6D08D937EA71}">
      <formula1>Holding_interest</formula1>
    </dataValidation>
    <dataValidation type="list" allowBlank="1" showInputMessage="1" showErrorMessage="1" sqref="S2:S20 S22:S25" xr:uid="{6E34077C-BE5E-4121-A5DE-F9C3C06683A2}">
      <formula1>israel_abroad</formula1>
    </dataValidation>
    <dataValidation type="list" allowBlank="1" showInputMessage="1" showErrorMessage="1" sqref="AG22:AG1048576 AG2:AG20 AB2:AB20 AB22:AB1048576" xr:uid="{C2415E62-DC3D-4FEF-A524-22C8AA5D0825}">
      <formula1>Reset_frequency</formula1>
    </dataValidation>
    <dataValidation type="list" allowBlank="1" showInputMessage="1" showErrorMessage="1" sqref="U2:U20 U22:U38" xr:uid="{2104A8B6-2CFA-40E6-99FB-9174A03F1955}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41D1-7D7A-4FAE-9701-FEC114DA2992}">
  <sheetPr codeName="Sheet24"/>
  <dimension ref="A1:BA24"/>
  <sheetViews>
    <sheetView rightToLeft="1" workbookViewId="0"/>
  </sheetViews>
  <sheetFormatPr defaultColWidth="9" defaultRowHeight="14.25" x14ac:dyDescent="0.2"/>
  <cols>
    <col min="1" max="14" width="11.625" style="38" customWidth="1"/>
    <col min="15" max="15" width="11.625" style="61" customWidth="1"/>
    <col min="16" max="19" width="11.625" style="38" customWidth="1"/>
    <col min="20" max="20" width="11.625" style="41" customWidth="1"/>
    <col min="21" max="21" width="11.625" style="38" customWidth="1"/>
    <col min="22" max="22" width="11.625" style="46" customWidth="1"/>
    <col min="23" max="24" width="11.625" style="38" customWidth="1"/>
    <col min="25" max="26" width="11.625" style="46" customWidth="1"/>
    <col min="27" max="27" width="11.625" style="61" customWidth="1"/>
    <col min="28" max="28" width="9" style="45"/>
    <col min="29" max="29" width="11.625" style="38" customWidth="1"/>
    <col min="30" max="30" width="11.625" style="41" customWidth="1"/>
    <col min="31" max="31" width="11.625" style="46" customWidth="1"/>
    <col min="32" max="32" width="11.625" style="61" customWidth="1"/>
    <col min="33" max="39" width="11.625" style="38" customWidth="1"/>
    <col min="40" max="41" width="11.625" style="61" customWidth="1"/>
    <col min="42" max="42" width="11.625" style="46" customWidth="1"/>
    <col min="43" max="47" width="11.625" style="41" customWidth="1"/>
    <col min="48" max="49" width="11.625" style="38" customWidth="1"/>
    <col min="50" max="50" width="11.625" style="45" customWidth="1"/>
    <col min="51" max="51" width="11.625" style="38" customWidth="1"/>
    <col min="52" max="53" width="11.625" style="46" customWidth="1"/>
    <col min="54" max="16384" width="9" style="38"/>
  </cols>
  <sheetData>
    <row r="1" spans="1:53" ht="66.75" customHeight="1" x14ac:dyDescent="0.2">
      <c r="A1" s="34" t="s">
        <v>52</v>
      </c>
      <c r="B1" s="34" t="s">
        <v>53</v>
      </c>
      <c r="C1" s="34" t="s">
        <v>1175</v>
      </c>
      <c r="D1" s="34" t="s">
        <v>1176</v>
      </c>
      <c r="E1" s="34" t="s">
        <v>1177</v>
      </c>
      <c r="F1" s="34" t="s">
        <v>1178</v>
      </c>
      <c r="G1" s="34" t="s">
        <v>57</v>
      </c>
      <c r="H1" s="34" t="s">
        <v>1179</v>
      </c>
      <c r="I1" s="34" t="s">
        <v>58</v>
      </c>
      <c r="J1" s="34" t="s">
        <v>88</v>
      </c>
      <c r="K1" s="34" t="s">
        <v>141</v>
      </c>
      <c r="L1" s="34" t="s">
        <v>59</v>
      </c>
      <c r="M1" s="34" t="s">
        <v>1180</v>
      </c>
      <c r="N1" s="34" t="s">
        <v>1181</v>
      </c>
      <c r="O1" s="47" t="s">
        <v>1182</v>
      </c>
      <c r="P1" s="34" t="s">
        <v>90</v>
      </c>
      <c r="Q1" s="34" t="s">
        <v>61</v>
      </c>
      <c r="R1" s="34" t="s">
        <v>1183</v>
      </c>
      <c r="S1" s="34" t="s">
        <v>62</v>
      </c>
      <c r="T1" s="35" t="s">
        <v>91</v>
      </c>
      <c r="U1" s="34" t="s">
        <v>1184</v>
      </c>
      <c r="V1" s="36" t="s">
        <v>65</v>
      </c>
      <c r="W1" s="34" t="s">
        <v>942</v>
      </c>
      <c r="X1" s="34" t="s">
        <v>143</v>
      </c>
      <c r="Y1" s="36" t="s">
        <v>1185</v>
      </c>
      <c r="Z1" s="36" t="s">
        <v>93</v>
      </c>
      <c r="AA1" s="47" t="s">
        <v>92</v>
      </c>
      <c r="AB1" s="34" t="s">
        <v>144</v>
      </c>
      <c r="AC1" s="34" t="s">
        <v>1186</v>
      </c>
      <c r="AD1" s="35" t="s">
        <v>1187</v>
      </c>
      <c r="AE1" s="36" t="s">
        <v>1188</v>
      </c>
      <c r="AF1" s="47" t="s">
        <v>1189</v>
      </c>
      <c r="AG1" s="34" t="s">
        <v>1190</v>
      </c>
      <c r="AH1" s="34" t="s">
        <v>1191</v>
      </c>
      <c r="AI1" s="34" t="s">
        <v>1192</v>
      </c>
      <c r="AJ1" s="34" t="s">
        <v>1193</v>
      </c>
      <c r="AK1" s="34" t="s">
        <v>947</v>
      </c>
      <c r="AL1" s="34" t="s">
        <v>949</v>
      </c>
      <c r="AM1" s="34" t="s">
        <v>948</v>
      </c>
      <c r="AN1" s="47" t="s">
        <v>950</v>
      </c>
      <c r="AO1" s="47" t="s">
        <v>951</v>
      </c>
      <c r="AP1" s="36" t="s">
        <v>1194</v>
      </c>
      <c r="AQ1" s="35" t="s">
        <v>1195</v>
      </c>
      <c r="AR1" s="35" t="s">
        <v>1196</v>
      </c>
      <c r="AS1" s="35" t="s">
        <v>64</v>
      </c>
      <c r="AT1" s="35" t="s">
        <v>66</v>
      </c>
      <c r="AU1" s="35" t="s">
        <v>1197</v>
      </c>
      <c r="AV1" s="34" t="s">
        <v>97</v>
      </c>
      <c r="AW1" s="34" t="s">
        <v>146</v>
      </c>
      <c r="AX1" s="34" t="s">
        <v>145</v>
      </c>
      <c r="AY1" s="34" t="s">
        <v>20</v>
      </c>
      <c r="AZ1" s="36" t="s">
        <v>67</v>
      </c>
      <c r="BA1" s="36" t="s">
        <v>68</v>
      </c>
    </row>
    <row r="2" spans="1:53" x14ac:dyDescent="0.2">
      <c r="A2" s="39">
        <v>420</v>
      </c>
      <c r="B2" s="39">
        <v>420</v>
      </c>
      <c r="C2" s="53"/>
      <c r="D2" s="53"/>
      <c r="E2" s="53"/>
      <c r="F2" s="53"/>
      <c r="G2" s="53"/>
      <c r="I2" s="40"/>
      <c r="J2" s="40"/>
      <c r="K2" s="53"/>
      <c r="L2" s="53"/>
      <c r="M2" s="53"/>
      <c r="N2" s="53"/>
      <c r="O2" s="59" t="s">
        <v>147</v>
      </c>
      <c r="P2" s="53"/>
      <c r="Q2" s="53"/>
      <c r="R2" s="53"/>
      <c r="S2" s="40"/>
      <c r="T2" s="56"/>
      <c r="U2" s="53"/>
      <c r="V2" s="60"/>
      <c r="W2" s="53"/>
      <c r="X2" s="53"/>
      <c r="Y2" s="60"/>
      <c r="Z2" s="60"/>
      <c r="AA2" s="59" t="s">
        <v>147</v>
      </c>
      <c r="AB2" s="40"/>
      <c r="AC2" s="53"/>
      <c r="AD2" s="56"/>
      <c r="AE2" s="60"/>
      <c r="AF2" s="59" t="s">
        <v>147</v>
      </c>
      <c r="AG2" s="53"/>
      <c r="AH2" s="53"/>
      <c r="AK2" s="53"/>
      <c r="AL2" s="53"/>
      <c r="AM2" s="53"/>
      <c r="AN2" s="61" t="s">
        <v>147</v>
      </c>
      <c r="AO2" s="61" t="s">
        <v>147</v>
      </c>
      <c r="AQ2" s="42"/>
      <c r="AR2" s="56"/>
      <c r="AS2" s="56"/>
      <c r="AT2" s="56"/>
      <c r="AU2" s="56"/>
      <c r="AV2" s="53"/>
      <c r="AW2" s="53"/>
      <c r="AX2" s="40"/>
      <c r="AY2" s="53"/>
      <c r="AZ2" s="60" t="s">
        <v>147</v>
      </c>
      <c r="BA2" s="60"/>
    </row>
    <row r="3" spans="1:53" x14ac:dyDescent="0.2">
      <c r="A3" s="39">
        <v>420</v>
      </c>
      <c r="B3" s="39">
        <v>1471</v>
      </c>
      <c r="C3" s="53"/>
      <c r="D3" s="53"/>
      <c r="E3" s="53"/>
      <c r="F3" s="53"/>
      <c r="G3" s="53"/>
      <c r="I3" s="40"/>
      <c r="J3" s="40"/>
      <c r="K3" s="53"/>
      <c r="L3" s="53"/>
      <c r="M3" s="53"/>
      <c r="N3" s="53"/>
      <c r="O3" s="59" t="s">
        <v>147</v>
      </c>
      <c r="P3" s="53"/>
      <c r="Q3" s="53"/>
      <c r="R3" s="53"/>
      <c r="S3" s="40"/>
      <c r="T3" s="56"/>
      <c r="U3" s="53"/>
      <c r="V3" s="60"/>
      <c r="W3" s="53"/>
      <c r="X3" s="53"/>
      <c r="Y3" s="60"/>
      <c r="Z3" s="60"/>
      <c r="AA3" s="59" t="s">
        <v>147</v>
      </c>
      <c r="AB3" s="40"/>
      <c r="AC3" s="53"/>
      <c r="AD3" s="56"/>
      <c r="AE3" s="60"/>
      <c r="AF3" s="59" t="s">
        <v>147</v>
      </c>
      <c r="AG3" s="53"/>
      <c r="AH3" s="53"/>
      <c r="AK3" s="53"/>
      <c r="AL3" s="53"/>
      <c r="AM3" s="53"/>
      <c r="AN3" s="61" t="s">
        <v>147</v>
      </c>
      <c r="AO3" s="61" t="s">
        <v>147</v>
      </c>
      <c r="AQ3" s="42"/>
      <c r="AR3" s="56"/>
      <c r="AS3" s="56"/>
      <c r="AT3" s="56"/>
      <c r="AU3" s="56"/>
      <c r="AV3" s="53"/>
      <c r="AW3" s="53"/>
      <c r="AX3" s="40"/>
      <c r="AY3" s="53"/>
      <c r="AZ3" s="60" t="s">
        <v>147</v>
      </c>
      <c r="BA3" s="60"/>
    </row>
    <row r="4" spans="1:53" x14ac:dyDescent="0.2">
      <c r="A4" s="39"/>
      <c r="B4" s="39"/>
      <c r="C4" s="53"/>
      <c r="D4" s="53"/>
      <c r="E4" s="53"/>
      <c r="F4" s="53"/>
      <c r="G4" s="53"/>
      <c r="I4" s="40"/>
      <c r="J4" s="40"/>
      <c r="K4" s="53"/>
      <c r="L4" s="53"/>
      <c r="M4" s="53"/>
      <c r="N4" s="53"/>
      <c r="O4" s="59"/>
      <c r="P4" s="53"/>
      <c r="Q4" s="53"/>
      <c r="R4" s="53"/>
      <c r="S4" s="40"/>
      <c r="T4" s="56"/>
      <c r="U4" s="53"/>
      <c r="V4" s="60"/>
      <c r="W4" s="53"/>
      <c r="X4" s="53"/>
      <c r="Y4" s="60"/>
      <c r="Z4" s="60"/>
      <c r="AA4" s="59"/>
      <c r="AB4" s="40"/>
      <c r="AC4" s="53"/>
      <c r="AD4" s="56"/>
      <c r="AE4" s="60"/>
      <c r="AF4" s="59"/>
      <c r="AG4" s="53"/>
      <c r="AH4" s="53"/>
      <c r="AK4" s="53"/>
      <c r="AL4" s="53"/>
      <c r="AM4" s="53"/>
      <c r="AQ4" s="42"/>
      <c r="AR4" s="56"/>
      <c r="AS4" s="56"/>
      <c r="AT4" s="56"/>
      <c r="AU4" s="56"/>
      <c r="AV4" s="53"/>
      <c r="AW4" s="53"/>
      <c r="AX4" s="40"/>
      <c r="AY4" s="53"/>
      <c r="AZ4" s="60"/>
      <c r="BA4" s="60"/>
    </row>
    <row r="5" spans="1:53" x14ac:dyDescent="0.2">
      <c r="A5" s="39"/>
      <c r="B5" s="39"/>
      <c r="C5" s="53"/>
      <c r="D5" s="53"/>
      <c r="E5" s="53"/>
      <c r="F5" s="53"/>
      <c r="G5" s="53"/>
      <c r="I5" s="40"/>
      <c r="J5" s="40"/>
      <c r="K5" s="53"/>
      <c r="L5" s="53"/>
      <c r="M5" s="53"/>
      <c r="N5" s="53"/>
      <c r="O5" s="59"/>
      <c r="P5" s="53"/>
      <c r="Q5" s="53"/>
      <c r="R5" s="53"/>
      <c r="S5" s="40"/>
      <c r="T5" s="56"/>
      <c r="U5" s="53"/>
      <c r="V5" s="60"/>
      <c r="W5" s="53"/>
      <c r="X5" s="53"/>
      <c r="Y5" s="60"/>
      <c r="Z5" s="60"/>
      <c r="AA5" s="59"/>
      <c r="AB5" s="40"/>
      <c r="AC5" s="53"/>
      <c r="AD5" s="56"/>
      <c r="AE5" s="60"/>
      <c r="AF5" s="59"/>
      <c r="AG5" s="53"/>
      <c r="AH5" s="53"/>
      <c r="AK5" s="53"/>
      <c r="AL5" s="53"/>
      <c r="AM5" s="53"/>
      <c r="AQ5" s="42"/>
      <c r="AR5" s="56"/>
      <c r="AS5" s="56"/>
      <c r="AT5" s="56"/>
      <c r="AU5" s="56"/>
      <c r="AV5" s="53"/>
      <c r="AW5" s="53"/>
      <c r="AX5" s="40"/>
      <c r="AY5" s="53"/>
      <c r="AZ5" s="60"/>
      <c r="BA5" s="60"/>
    </row>
    <row r="6" spans="1:53" x14ac:dyDescent="0.2">
      <c r="A6" s="39"/>
      <c r="B6" s="39"/>
      <c r="C6" s="53"/>
      <c r="D6" s="53"/>
      <c r="E6" s="53"/>
      <c r="F6" s="53"/>
      <c r="G6" s="53"/>
      <c r="I6" s="40"/>
      <c r="J6" s="40"/>
      <c r="K6" s="53"/>
      <c r="L6" s="53"/>
      <c r="M6" s="53"/>
      <c r="N6" s="53"/>
      <c r="O6" s="59"/>
      <c r="P6" s="53"/>
      <c r="Q6" s="53"/>
      <c r="R6" s="53"/>
      <c r="S6" s="40"/>
      <c r="T6" s="56"/>
      <c r="U6" s="53"/>
      <c r="V6" s="60"/>
      <c r="W6" s="53"/>
      <c r="X6" s="53"/>
      <c r="Y6" s="60"/>
      <c r="Z6" s="60"/>
      <c r="AA6" s="59"/>
      <c r="AB6" s="40"/>
      <c r="AC6" s="53"/>
      <c r="AD6" s="56"/>
      <c r="AE6" s="60"/>
      <c r="AF6" s="59"/>
      <c r="AG6" s="53"/>
      <c r="AH6" s="53"/>
      <c r="AK6" s="53"/>
      <c r="AL6" s="53"/>
      <c r="AM6" s="53"/>
      <c r="AQ6" s="42"/>
      <c r="AR6" s="56"/>
      <c r="AS6" s="56"/>
      <c r="AT6" s="56"/>
      <c r="AU6" s="56"/>
      <c r="AV6" s="53"/>
      <c r="AW6" s="53"/>
      <c r="AX6" s="40"/>
      <c r="AY6" s="53"/>
      <c r="AZ6" s="60"/>
      <c r="BA6" s="60"/>
    </row>
    <row r="7" spans="1:53" x14ac:dyDescent="0.2">
      <c r="A7" s="39"/>
      <c r="B7" s="39"/>
      <c r="C7" s="53"/>
      <c r="D7" s="53"/>
      <c r="E7" s="53"/>
      <c r="F7" s="53"/>
      <c r="G7" s="53"/>
      <c r="I7" s="40"/>
      <c r="J7" s="40"/>
      <c r="K7" s="53"/>
      <c r="L7" s="53"/>
      <c r="M7" s="53"/>
      <c r="N7" s="53"/>
      <c r="O7" s="59"/>
      <c r="P7" s="53"/>
      <c r="Q7" s="53"/>
      <c r="R7" s="53"/>
      <c r="S7" s="40"/>
      <c r="T7" s="56"/>
      <c r="U7" s="53"/>
      <c r="V7" s="60"/>
      <c r="W7" s="53"/>
      <c r="X7" s="53"/>
      <c r="Y7" s="60"/>
      <c r="Z7" s="60"/>
      <c r="AA7" s="59"/>
      <c r="AB7" s="40"/>
      <c r="AC7" s="53"/>
      <c r="AD7" s="56"/>
      <c r="AE7" s="60"/>
      <c r="AF7" s="59"/>
      <c r="AG7" s="53"/>
      <c r="AH7" s="53"/>
      <c r="AK7" s="53"/>
      <c r="AL7" s="53"/>
      <c r="AM7" s="53"/>
      <c r="AQ7" s="42"/>
      <c r="AR7" s="56"/>
      <c r="AS7" s="56"/>
      <c r="AT7" s="56"/>
      <c r="AU7" s="56"/>
      <c r="AV7" s="53"/>
      <c r="AW7" s="53"/>
      <c r="AX7" s="40"/>
      <c r="AY7" s="53"/>
      <c r="AZ7" s="60"/>
      <c r="BA7" s="60"/>
    </row>
    <row r="8" spans="1:53" x14ac:dyDescent="0.2">
      <c r="A8" s="39"/>
      <c r="B8" s="39"/>
      <c r="C8" s="53"/>
      <c r="D8" s="53"/>
      <c r="E8" s="53"/>
      <c r="F8" s="53"/>
      <c r="G8" s="53"/>
      <c r="I8" s="40"/>
      <c r="J8" s="40"/>
      <c r="K8" s="53"/>
      <c r="L8" s="53"/>
      <c r="M8" s="53"/>
      <c r="N8" s="53"/>
      <c r="O8" s="59"/>
      <c r="P8" s="53"/>
      <c r="Q8" s="53"/>
      <c r="R8" s="53"/>
      <c r="S8" s="40"/>
      <c r="T8" s="56"/>
      <c r="U8" s="53"/>
      <c r="V8" s="60"/>
      <c r="W8" s="53"/>
      <c r="X8" s="53"/>
      <c r="Y8" s="60"/>
      <c r="Z8" s="60"/>
      <c r="AA8" s="59"/>
      <c r="AB8" s="40"/>
      <c r="AC8" s="53"/>
      <c r="AD8" s="56"/>
      <c r="AE8" s="60"/>
      <c r="AF8" s="59"/>
      <c r="AG8" s="53"/>
      <c r="AH8" s="53"/>
      <c r="AK8" s="53"/>
      <c r="AL8" s="53"/>
      <c r="AM8" s="53"/>
      <c r="AQ8" s="42"/>
      <c r="AR8" s="56"/>
      <c r="AS8" s="56"/>
      <c r="AT8" s="56"/>
      <c r="AU8" s="56"/>
      <c r="AV8" s="53"/>
      <c r="AW8" s="53"/>
      <c r="AX8" s="40"/>
      <c r="AY8" s="53"/>
      <c r="AZ8" s="60"/>
      <c r="BA8" s="60"/>
    </row>
    <row r="9" spans="1:53" x14ac:dyDescent="0.2">
      <c r="A9" s="39"/>
      <c r="B9" s="39"/>
      <c r="C9" s="53"/>
      <c r="D9" s="53"/>
      <c r="E9" s="53"/>
      <c r="F9" s="53"/>
      <c r="G9" s="53"/>
      <c r="I9" s="40"/>
      <c r="J9" s="40"/>
      <c r="K9" s="53"/>
      <c r="L9" s="53"/>
      <c r="M9" s="53"/>
      <c r="N9" s="53"/>
      <c r="O9" s="59"/>
      <c r="P9" s="53"/>
      <c r="Q9" s="53"/>
      <c r="R9" s="53"/>
      <c r="S9" s="40"/>
      <c r="T9" s="56"/>
      <c r="U9" s="53"/>
      <c r="V9" s="60"/>
      <c r="W9" s="53"/>
      <c r="X9" s="53"/>
      <c r="Y9" s="60"/>
      <c r="Z9" s="60"/>
      <c r="AA9" s="59"/>
      <c r="AB9" s="40"/>
      <c r="AC9" s="53"/>
      <c r="AD9" s="56"/>
      <c r="AE9" s="60"/>
      <c r="AF9" s="59"/>
      <c r="AG9" s="53"/>
      <c r="AH9" s="53"/>
      <c r="AK9" s="53"/>
      <c r="AL9" s="53"/>
      <c r="AM9" s="53"/>
      <c r="AQ9" s="42"/>
      <c r="AR9" s="56"/>
      <c r="AS9" s="56"/>
      <c r="AT9" s="56"/>
      <c r="AU9" s="56"/>
      <c r="AV9" s="53"/>
      <c r="AW9" s="53"/>
      <c r="AX9" s="40"/>
      <c r="AY9" s="53"/>
      <c r="AZ9" s="60"/>
      <c r="BA9" s="60"/>
    </row>
    <row r="10" spans="1:53" x14ac:dyDescent="0.2">
      <c r="A10" s="39"/>
      <c r="B10" s="39"/>
      <c r="C10" s="53"/>
      <c r="D10" s="53"/>
      <c r="E10" s="53"/>
      <c r="F10" s="53"/>
      <c r="G10" s="53"/>
      <c r="I10" s="40"/>
      <c r="J10" s="40"/>
      <c r="K10" s="53"/>
      <c r="L10" s="53"/>
      <c r="M10" s="53"/>
      <c r="N10" s="53"/>
      <c r="O10" s="59"/>
      <c r="P10" s="53"/>
      <c r="Q10" s="53"/>
      <c r="R10" s="53"/>
      <c r="S10" s="40"/>
      <c r="T10" s="56"/>
      <c r="U10" s="53"/>
      <c r="V10" s="60"/>
      <c r="W10" s="53"/>
      <c r="X10" s="53"/>
      <c r="Y10" s="60"/>
      <c r="Z10" s="60"/>
      <c r="AA10" s="59"/>
      <c r="AB10" s="40"/>
      <c r="AC10" s="53"/>
      <c r="AD10" s="56"/>
      <c r="AE10" s="60"/>
      <c r="AF10" s="59"/>
      <c r="AG10" s="53"/>
      <c r="AH10" s="53"/>
      <c r="AK10" s="53"/>
      <c r="AL10" s="53"/>
      <c r="AM10" s="53"/>
      <c r="AQ10" s="42"/>
      <c r="AR10" s="56"/>
      <c r="AS10" s="56"/>
      <c r="AT10" s="56"/>
      <c r="AU10" s="56"/>
      <c r="AV10" s="53"/>
      <c r="AW10" s="53"/>
      <c r="AX10" s="40"/>
      <c r="AY10" s="53"/>
      <c r="AZ10" s="60"/>
      <c r="BA10" s="60"/>
    </row>
    <row r="11" spans="1:53" x14ac:dyDescent="0.2">
      <c r="A11" s="39"/>
      <c r="B11" s="39"/>
      <c r="C11" s="53"/>
      <c r="D11" s="53"/>
      <c r="E11" s="53"/>
      <c r="F11" s="53"/>
      <c r="G11" s="53"/>
      <c r="I11" s="40"/>
      <c r="J11" s="40"/>
      <c r="K11" s="53"/>
      <c r="L11" s="53"/>
      <c r="M11" s="53"/>
      <c r="N11" s="53"/>
      <c r="O11" s="59"/>
      <c r="P11" s="53"/>
      <c r="Q11" s="53"/>
      <c r="R11" s="53"/>
      <c r="S11" s="40"/>
      <c r="T11" s="56"/>
      <c r="U11" s="53"/>
      <c r="V11" s="60"/>
      <c r="W11" s="53"/>
      <c r="X11" s="53"/>
      <c r="Y11" s="60"/>
      <c r="Z11" s="60"/>
      <c r="AA11" s="59"/>
      <c r="AB11" s="40"/>
      <c r="AC11" s="53"/>
      <c r="AD11" s="56"/>
      <c r="AE11" s="60"/>
      <c r="AF11" s="59"/>
      <c r="AG11" s="53"/>
      <c r="AH11" s="53"/>
      <c r="AK11" s="53"/>
      <c r="AL11" s="53"/>
      <c r="AM11" s="53"/>
      <c r="AQ11" s="42"/>
      <c r="AR11" s="56"/>
      <c r="AS11" s="56"/>
      <c r="AT11" s="56"/>
      <c r="AU11" s="56"/>
      <c r="AV11" s="53"/>
      <c r="AW11" s="53"/>
      <c r="AX11" s="40"/>
      <c r="AY11" s="53"/>
      <c r="AZ11" s="60"/>
      <c r="BA11" s="60"/>
    </row>
    <row r="12" spans="1:53" x14ac:dyDescent="0.2">
      <c r="A12" s="39"/>
      <c r="B12" s="39"/>
      <c r="C12" s="53"/>
      <c r="D12" s="53"/>
      <c r="E12" s="53"/>
      <c r="F12" s="53"/>
      <c r="G12" s="53"/>
      <c r="I12" s="40"/>
      <c r="J12" s="40"/>
      <c r="K12" s="53"/>
      <c r="L12" s="53"/>
      <c r="M12" s="53"/>
      <c r="N12" s="53"/>
      <c r="O12" s="59"/>
      <c r="P12" s="53"/>
      <c r="Q12" s="53"/>
      <c r="R12" s="53"/>
      <c r="S12" s="40"/>
      <c r="T12" s="56"/>
      <c r="U12" s="53"/>
      <c r="V12" s="60"/>
      <c r="W12" s="53"/>
      <c r="X12" s="53"/>
      <c r="Y12" s="60"/>
      <c r="Z12" s="60"/>
      <c r="AA12" s="59"/>
      <c r="AB12" s="40"/>
      <c r="AC12" s="53"/>
      <c r="AD12" s="56"/>
      <c r="AE12" s="60"/>
      <c r="AF12" s="59"/>
      <c r="AG12" s="53"/>
      <c r="AH12" s="53"/>
      <c r="AK12" s="53"/>
      <c r="AL12" s="53"/>
      <c r="AM12" s="53"/>
      <c r="AQ12" s="42"/>
      <c r="AR12" s="56"/>
      <c r="AS12" s="56"/>
      <c r="AT12" s="56"/>
      <c r="AU12" s="56"/>
      <c r="AV12" s="53"/>
      <c r="AW12" s="53"/>
      <c r="AX12" s="40"/>
      <c r="AY12" s="53"/>
      <c r="AZ12" s="60"/>
      <c r="BA12" s="60"/>
    </row>
    <row r="13" spans="1:53" x14ac:dyDescent="0.2">
      <c r="A13" s="39"/>
      <c r="B13" s="39"/>
      <c r="C13" s="53"/>
      <c r="D13" s="53"/>
      <c r="E13" s="53"/>
      <c r="F13" s="53"/>
      <c r="G13" s="53"/>
      <c r="I13" s="40"/>
      <c r="J13" s="40"/>
      <c r="K13" s="53"/>
      <c r="L13" s="53"/>
      <c r="M13" s="53"/>
      <c r="N13" s="53"/>
      <c r="O13" s="59"/>
      <c r="P13" s="53"/>
      <c r="Q13" s="53"/>
      <c r="R13" s="53"/>
      <c r="S13" s="40"/>
      <c r="T13" s="56"/>
      <c r="U13" s="53"/>
      <c r="V13" s="60"/>
      <c r="W13" s="53"/>
      <c r="X13" s="53"/>
      <c r="Y13" s="60"/>
      <c r="Z13" s="60"/>
      <c r="AA13" s="59"/>
      <c r="AB13" s="40"/>
      <c r="AC13" s="53"/>
      <c r="AD13" s="56"/>
      <c r="AE13" s="60"/>
      <c r="AF13" s="59"/>
      <c r="AG13" s="53"/>
      <c r="AH13" s="53"/>
      <c r="AK13" s="53"/>
      <c r="AL13" s="53"/>
      <c r="AM13" s="53"/>
      <c r="AQ13" s="42"/>
      <c r="AR13" s="56"/>
      <c r="AS13" s="56"/>
      <c r="AT13" s="56"/>
      <c r="AU13" s="56"/>
      <c r="AV13" s="53"/>
      <c r="AW13" s="53"/>
      <c r="AX13" s="40"/>
      <c r="AY13" s="53"/>
      <c r="AZ13" s="60"/>
      <c r="BA13" s="60"/>
    </row>
    <row r="14" spans="1:53" x14ac:dyDescent="0.2">
      <c r="A14" s="39"/>
      <c r="B14" s="39"/>
      <c r="C14" s="53"/>
      <c r="D14" s="53"/>
      <c r="E14" s="53"/>
      <c r="F14" s="53"/>
      <c r="G14" s="53"/>
      <c r="I14" s="40"/>
      <c r="J14" s="40"/>
      <c r="K14" s="53"/>
      <c r="L14" s="53"/>
      <c r="M14" s="53"/>
      <c r="N14" s="53"/>
      <c r="O14" s="59"/>
      <c r="P14" s="53"/>
      <c r="Q14" s="53"/>
      <c r="R14" s="53"/>
      <c r="S14" s="40"/>
      <c r="T14" s="56"/>
      <c r="U14" s="53"/>
      <c r="V14" s="60"/>
      <c r="W14" s="53"/>
      <c r="X14" s="53"/>
      <c r="Y14" s="60"/>
      <c r="Z14" s="60"/>
      <c r="AA14" s="59"/>
      <c r="AB14" s="40"/>
      <c r="AC14" s="53"/>
      <c r="AD14" s="56"/>
      <c r="AE14" s="60"/>
      <c r="AF14" s="59"/>
      <c r="AG14" s="53"/>
      <c r="AH14" s="53"/>
      <c r="AK14" s="53"/>
      <c r="AL14" s="53"/>
      <c r="AM14" s="53"/>
      <c r="AQ14" s="42"/>
      <c r="AR14" s="56"/>
      <c r="AS14" s="56"/>
      <c r="AT14" s="56"/>
      <c r="AU14" s="56"/>
      <c r="AV14" s="53"/>
      <c r="AW14" s="53"/>
      <c r="AX14" s="40"/>
      <c r="AY14" s="53"/>
      <c r="AZ14" s="60"/>
      <c r="BA14" s="60"/>
    </row>
    <row r="15" spans="1:53" x14ac:dyDescent="0.2">
      <c r="A15" s="39"/>
      <c r="B15" s="39"/>
      <c r="C15" s="53"/>
      <c r="D15" s="53"/>
      <c r="E15" s="53"/>
      <c r="F15" s="53"/>
      <c r="G15" s="53"/>
      <c r="I15" s="40"/>
      <c r="J15" s="40"/>
      <c r="K15" s="53"/>
      <c r="L15" s="53"/>
      <c r="M15" s="53"/>
      <c r="N15" s="53"/>
      <c r="O15" s="59"/>
      <c r="P15" s="53"/>
      <c r="Q15" s="53"/>
      <c r="R15" s="53"/>
      <c r="S15" s="40"/>
      <c r="T15" s="56"/>
      <c r="U15" s="53"/>
      <c r="V15" s="60"/>
      <c r="W15" s="53"/>
      <c r="X15" s="53"/>
      <c r="Y15" s="60"/>
      <c r="Z15" s="60"/>
      <c r="AA15" s="59"/>
      <c r="AB15" s="40"/>
      <c r="AC15" s="53"/>
      <c r="AD15" s="56"/>
      <c r="AE15" s="60"/>
      <c r="AF15" s="59"/>
      <c r="AG15" s="53"/>
      <c r="AH15" s="53"/>
      <c r="AK15" s="53"/>
      <c r="AL15" s="53"/>
      <c r="AM15" s="53"/>
      <c r="AQ15" s="42"/>
      <c r="AR15" s="56"/>
      <c r="AS15" s="56"/>
      <c r="AT15" s="56"/>
      <c r="AU15" s="56"/>
      <c r="AV15" s="53"/>
      <c r="AW15" s="53"/>
      <c r="AX15" s="40"/>
      <c r="AY15" s="53"/>
      <c r="AZ15" s="60"/>
      <c r="BA15" s="60"/>
    </row>
    <row r="16" spans="1:53" x14ac:dyDescent="0.2">
      <c r="A16" s="39"/>
      <c r="B16" s="39"/>
      <c r="C16" s="53"/>
      <c r="D16" s="53"/>
      <c r="E16" s="53"/>
      <c r="F16" s="53"/>
      <c r="G16" s="53"/>
      <c r="I16" s="40"/>
      <c r="J16" s="40"/>
      <c r="K16" s="53"/>
      <c r="L16" s="53"/>
      <c r="M16" s="53"/>
      <c r="N16" s="53"/>
      <c r="O16" s="59"/>
      <c r="P16" s="53"/>
      <c r="Q16" s="53"/>
      <c r="R16" s="53"/>
      <c r="S16" s="40"/>
      <c r="T16" s="56"/>
      <c r="U16" s="53"/>
      <c r="V16" s="60"/>
      <c r="W16" s="53"/>
      <c r="X16" s="53"/>
      <c r="Y16" s="60"/>
      <c r="Z16" s="60"/>
      <c r="AA16" s="59"/>
      <c r="AB16" s="40"/>
      <c r="AC16" s="53"/>
      <c r="AD16" s="56"/>
      <c r="AE16" s="60"/>
      <c r="AF16" s="59"/>
      <c r="AG16" s="53"/>
      <c r="AH16" s="53"/>
      <c r="AK16" s="53"/>
      <c r="AL16" s="53"/>
      <c r="AM16" s="53"/>
      <c r="AQ16" s="42"/>
      <c r="AR16" s="56"/>
      <c r="AS16" s="56"/>
      <c r="AT16" s="56"/>
      <c r="AU16" s="56"/>
      <c r="AV16" s="53"/>
      <c r="AW16" s="53"/>
      <c r="AX16" s="40"/>
      <c r="AY16" s="53"/>
      <c r="AZ16" s="60"/>
      <c r="BA16" s="60"/>
    </row>
    <row r="17" spans="1:53" x14ac:dyDescent="0.2">
      <c r="A17" s="39"/>
      <c r="B17" s="39"/>
      <c r="C17" s="53"/>
      <c r="D17" s="53"/>
      <c r="E17" s="53"/>
      <c r="F17" s="53"/>
      <c r="G17" s="53"/>
      <c r="I17" s="40"/>
      <c r="J17" s="40"/>
      <c r="K17" s="53"/>
      <c r="L17" s="53"/>
      <c r="M17" s="53"/>
      <c r="N17" s="53"/>
      <c r="O17" s="59"/>
      <c r="P17" s="53"/>
      <c r="Q17" s="53"/>
      <c r="R17" s="53"/>
      <c r="S17" s="40"/>
      <c r="T17" s="56"/>
      <c r="U17" s="53"/>
      <c r="V17" s="60"/>
      <c r="W17" s="53"/>
      <c r="X17" s="53"/>
      <c r="Y17" s="60"/>
      <c r="Z17" s="60"/>
      <c r="AA17" s="59"/>
      <c r="AB17" s="40"/>
      <c r="AC17" s="53"/>
      <c r="AD17" s="56"/>
      <c r="AE17" s="60"/>
      <c r="AF17" s="59"/>
      <c r="AG17" s="53"/>
      <c r="AH17" s="53"/>
      <c r="AK17" s="53"/>
      <c r="AL17" s="53"/>
      <c r="AM17" s="53"/>
      <c r="AQ17" s="42"/>
      <c r="AR17" s="56"/>
      <c r="AS17" s="56"/>
      <c r="AT17" s="56"/>
      <c r="AU17" s="56"/>
      <c r="AV17" s="53"/>
      <c r="AW17" s="53"/>
      <c r="AX17" s="40"/>
      <c r="AY17" s="53"/>
      <c r="AZ17" s="60"/>
      <c r="BA17" s="60"/>
    </row>
    <row r="18" spans="1:53" x14ac:dyDescent="0.2">
      <c r="A18" s="39"/>
      <c r="B18" s="39"/>
      <c r="C18" s="53"/>
      <c r="D18" s="53"/>
      <c r="E18" s="53"/>
      <c r="F18" s="53"/>
      <c r="G18" s="53"/>
      <c r="I18" s="40"/>
      <c r="J18" s="40"/>
      <c r="K18" s="53"/>
      <c r="L18" s="53"/>
      <c r="M18" s="53"/>
      <c r="N18" s="53"/>
      <c r="O18" s="59"/>
      <c r="P18" s="53"/>
      <c r="Q18" s="53"/>
      <c r="R18" s="53"/>
      <c r="S18" s="40"/>
      <c r="T18" s="56"/>
      <c r="U18" s="53"/>
      <c r="V18" s="60"/>
      <c r="W18" s="53"/>
      <c r="X18" s="53"/>
      <c r="Y18" s="60"/>
      <c r="Z18" s="60"/>
      <c r="AA18" s="59"/>
      <c r="AB18" s="40"/>
      <c r="AC18" s="53"/>
      <c r="AD18" s="56"/>
      <c r="AE18" s="60"/>
      <c r="AF18" s="59"/>
      <c r="AG18" s="53"/>
      <c r="AH18" s="53"/>
      <c r="AK18" s="53"/>
      <c r="AL18" s="53"/>
      <c r="AM18" s="53"/>
      <c r="AQ18" s="42"/>
      <c r="AR18" s="56"/>
      <c r="AS18" s="56"/>
      <c r="AT18" s="56"/>
      <c r="AU18" s="56"/>
      <c r="AV18" s="53"/>
      <c r="AW18" s="53"/>
      <c r="AX18" s="40"/>
      <c r="AY18" s="53"/>
      <c r="AZ18" s="60"/>
      <c r="BA18" s="60"/>
    </row>
    <row r="19" spans="1:53" x14ac:dyDescent="0.2">
      <c r="A19" s="39"/>
      <c r="B19" s="39"/>
      <c r="C19" s="53"/>
      <c r="D19" s="53"/>
      <c r="E19" s="53"/>
      <c r="F19" s="53"/>
      <c r="G19" s="53"/>
      <c r="I19" s="40"/>
      <c r="J19" s="40"/>
      <c r="K19" s="53"/>
      <c r="L19" s="53"/>
      <c r="M19" s="53"/>
      <c r="N19" s="53"/>
      <c r="O19" s="59"/>
      <c r="P19" s="53"/>
      <c r="Q19" s="53"/>
      <c r="R19" s="53"/>
      <c r="S19" s="40"/>
      <c r="T19" s="56"/>
      <c r="U19" s="53"/>
      <c r="V19" s="60"/>
      <c r="W19" s="53"/>
      <c r="X19" s="53"/>
      <c r="Y19" s="60"/>
      <c r="Z19" s="60"/>
      <c r="AA19" s="59"/>
      <c r="AB19" s="40"/>
      <c r="AC19" s="53"/>
      <c r="AD19" s="56"/>
      <c r="AE19" s="60"/>
      <c r="AF19" s="59"/>
      <c r="AG19" s="53"/>
      <c r="AH19" s="53"/>
      <c r="AK19" s="53"/>
      <c r="AL19" s="53"/>
      <c r="AM19" s="53"/>
      <c r="AQ19" s="42"/>
      <c r="AR19" s="56"/>
      <c r="AS19" s="56"/>
      <c r="AT19" s="56"/>
      <c r="AU19" s="56"/>
      <c r="AV19" s="53"/>
      <c r="AW19" s="53"/>
      <c r="AX19" s="40"/>
      <c r="AY19" s="53"/>
      <c r="AZ19" s="60"/>
      <c r="BA19" s="60"/>
    </row>
    <row r="20" spans="1:53" x14ac:dyDescent="0.2">
      <c r="A20" s="39"/>
      <c r="B20" s="39"/>
      <c r="D20" s="53"/>
      <c r="G20" s="53"/>
      <c r="I20" s="40"/>
      <c r="J20" s="40"/>
      <c r="K20" s="53"/>
      <c r="L20" s="53"/>
      <c r="M20" s="53"/>
      <c r="Q20" s="53"/>
      <c r="R20" s="53"/>
      <c r="S20" s="40"/>
      <c r="U20" s="53"/>
      <c r="W20" s="53"/>
      <c r="X20" s="53"/>
      <c r="AB20" s="40"/>
      <c r="AC20" s="53"/>
      <c r="AG20" s="53"/>
      <c r="AH20" s="53"/>
      <c r="AK20" s="53"/>
      <c r="AM20" s="53"/>
      <c r="AQ20" s="42"/>
      <c r="AX20" s="40"/>
      <c r="AY20" s="53"/>
    </row>
    <row r="21" spans="1:53" x14ac:dyDescent="0.2">
      <c r="D21" s="45"/>
      <c r="I21" s="39"/>
      <c r="S21" s="40"/>
      <c r="AQ21" s="42"/>
    </row>
    <row r="22" spans="1:53" x14ac:dyDescent="0.2">
      <c r="D22" s="45"/>
      <c r="S22" s="40"/>
      <c r="AQ22" s="42"/>
    </row>
    <row r="23" spans="1:53" x14ac:dyDescent="0.2">
      <c r="D23" s="45"/>
      <c r="AQ23" s="42"/>
    </row>
    <row r="24" spans="1:53" x14ac:dyDescent="0.2">
      <c r="AQ24" s="42"/>
    </row>
  </sheetData>
  <sheetProtection formatColumns="0"/>
  <dataValidations count="21">
    <dataValidation type="list" allowBlank="1" showInputMessage="1" showErrorMessage="1" sqref="R2:R20" xr:uid="{06883DC7-8BED-4F04-BE5D-8D094D3AD1B8}">
      <formula1>what_is_rated_loans</formula1>
    </dataValidation>
    <dataValidation type="list" allowBlank="1" showInputMessage="1" showErrorMessage="1" sqref="AY2:AY20" xr:uid="{C5C46D95-4638-405D-AE9B-1A78F5A9281B}">
      <formula1 xml:space="preserve"> In_the_books</formula1>
    </dataValidation>
    <dataValidation type="list" allowBlank="1" showInputMessage="1" showErrorMessage="1" sqref="I2:I20" xr:uid="{6161C15F-2510-4359-BC35-027EF177A8EA}">
      <formula1>israel_abroad</formula1>
    </dataValidation>
    <dataValidation type="list" allowBlank="1" showInputMessage="1" showErrorMessage="1" sqref="H2:H20" xr:uid="{2B4DC51B-C6C2-475E-B39D-8F408C0A612C}">
      <formula1>real_estate_loans</formula1>
    </dataValidation>
    <dataValidation type="list" allowBlank="1" showInputMessage="1" showErrorMessage="1" sqref="D2:D20" xr:uid="{371B8EF0-BD2E-4739-AE5C-CBE080C73070}">
      <formula1>issuer_number_loan</formula1>
    </dataValidation>
    <dataValidation type="list" allowBlank="1" showInputMessage="1" showErrorMessage="1" sqref="AJ2:AJ20" xr:uid="{6F3635C4-3A75-4EA3-BCB0-155DAA2C207D}">
      <formula1>Repayment_Rights</formula1>
    </dataValidation>
    <dataValidation type="list" allowBlank="1" showInputMessage="1" showErrorMessage="1" sqref="AG2:AG20" xr:uid="{84E270AB-3276-41EE-9D2F-F7EEDB80B6B9}">
      <formula1>Recourse_Nonrecourse</formula1>
    </dataValidation>
    <dataValidation type="list" allowBlank="1" showInputMessage="1" showErrorMessage="1" sqref="AX2:AX20" xr:uid="{7C98123A-E318-4BCE-96CF-55D90F175255}">
      <formula1>Yes_No_Bad_Debt</formula1>
    </dataValidation>
    <dataValidation type="list" allowBlank="1" showInputMessage="1" showErrorMessage="1" sqref="AB2:AB20" xr:uid="{B3374059-FDFB-44AC-8C18-A129492ED651}">
      <formula1>Subordination_Risk</formula1>
    </dataValidation>
    <dataValidation type="list" allowBlank="1" showInputMessage="1" showErrorMessage="1" sqref="X2:X20" xr:uid="{37B3229F-3B13-44EF-9E0C-68D5F97022B6}">
      <formula1>Underlying_Interest_Rates</formula1>
    </dataValidation>
    <dataValidation type="list" allowBlank="1" showInputMessage="1" showErrorMessage="1" sqref="AK2:AK20" xr:uid="{CEF7A3BA-D9C5-46B4-8637-E75D23D4114E}">
      <formula1>Valuation_Loans</formula1>
    </dataValidation>
    <dataValidation type="list" allowBlank="1" showInputMessage="1" showErrorMessage="1" sqref="U2:U20" xr:uid="{E899EF64-7F76-49A7-BA08-67D73FA02845}">
      <formula1>Type_of_Interest_Rate</formula1>
    </dataValidation>
    <dataValidation type="list" allowBlank="1" showInputMessage="1" showErrorMessage="1" sqref="AH2:AH20" xr:uid="{0B092375-303B-4854-A592-09EC7739322C}">
      <formula1>Amoritization</formula1>
    </dataValidation>
    <dataValidation type="list" allowBlank="1" showInputMessage="1" showErrorMessage="1" sqref="J2:J20" xr:uid="{98A72E6C-F6AA-41DA-A009-EA2F6003970B}">
      <formula1>Country_list</formula1>
    </dataValidation>
    <dataValidation type="list" allowBlank="1" showInputMessage="1" showErrorMessage="1" sqref="AM2:AM20" xr:uid="{E17F297D-0EF1-4109-A23A-FDE67680C152}">
      <formula1>Dependence_Independence</formula1>
    </dataValidation>
    <dataValidation type="list" allowBlank="1" showInputMessage="1" showErrorMessage="1" sqref="AC2:AC20" xr:uid="{252D96A3-366A-4654-A5F3-E41F83338E27}">
      <formula1>Type_of_Security</formula1>
    </dataValidation>
    <dataValidation type="list" allowBlank="1" showInputMessage="1" showErrorMessage="1" sqref="W2:W20" xr:uid="{FCB92AAF-1E78-4793-AAF0-469EB00247F2}">
      <formula1>Linked_Type</formula1>
    </dataValidation>
    <dataValidation type="list" allowBlank="1" showInputMessage="1" showErrorMessage="1" sqref="M2:M20" xr:uid="{3067C286-3C1C-41EC-B243-E609B45D919B}">
      <formula1>Consortium</formula1>
    </dataValidation>
    <dataValidation type="list" allowBlank="1" showInputMessage="1" showErrorMessage="1" sqref="Q2:Q20" xr:uid="{1497F526-9135-4A2E-8ACC-00DC644B6389}">
      <formula1>Rating_Agency</formula1>
    </dataValidation>
    <dataValidation type="list" allowBlank="1" showInputMessage="1" showErrorMessage="1" sqref="L2:L20" xr:uid="{D06ADB39-DD29-4998-9639-78A530C274B5}">
      <formula1>Holding_interest</formula1>
    </dataValidation>
    <dataValidation type="list" allowBlank="1" showInputMessage="1" showErrorMessage="1" sqref="K2:K20" xr:uid="{24E16F8C-90AC-4668-BC55-471CBE4C3308}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A613-0BED-46DA-989F-D640B92641C3}">
  <sheetPr codeName="Sheet25"/>
  <dimension ref="A1:AD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3" width="11.625" style="38" customWidth="1"/>
    <col min="14" max="14" width="11.625" style="61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1" customWidth="1"/>
    <col min="20" max="21" width="11.625" style="46" customWidth="1"/>
    <col min="22" max="23" width="11.625" style="38" customWidth="1"/>
    <col min="24" max="24" width="11.625" style="61" customWidth="1"/>
    <col min="25" max="28" width="11.625" style="41" customWidth="1"/>
    <col min="29" max="30" width="11.625" style="46" customWidth="1"/>
    <col min="31" max="16384" width="9" style="38"/>
  </cols>
  <sheetData>
    <row r="1" spans="1:30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59</v>
      </c>
      <c r="M1" s="34" t="s">
        <v>928</v>
      </c>
      <c r="N1" s="47" t="s">
        <v>941</v>
      </c>
      <c r="O1" s="34" t="s">
        <v>90</v>
      </c>
      <c r="P1" s="34" t="s">
        <v>61</v>
      </c>
      <c r="Q1" s="34" t="s">
        <v>142</v>
      </c>
      <c r="R1" s="34" t="s">
        <v>62</v>
      </c>
      <c r="S1" s="35" t="s">
        <v>91</v>
      </c>
      <c r="T1" s="36" t="s">
        <v>65</v>
      </c>
      <c r="U1" s="36" t="s">
        <v>93</v>
      </c>
      <c r="V1" s="34" t="s">
        <v>947</v>
      </c>
      <c r="W1" s="34" t="s">
        <v>948</v>
      </c>
      <c r="X1" s="47" t="s">
        <v>950</v>
      </c>
      <c r="Y1" s="35" t="s">
        <v>95</v>
      </c>
      <c r="Z1" s="35" t="s">
        <v>64</v>
      </c>
      <c r="AA1" s="35" t="s">
        <v>96</v>
      </c>
      <c r="AB1" s="35" t="s">
        <v>66</v>
      </c>
      <c r="AC1" s="36" t="s">
        <v>67</v>
      </c>
      <c r="AD1" s="36" t="s">
        <v>68</v>
      </c>
    </row>
    <row r="2" spans="1:30" x14ac:dyDescent="0.2">
      <c r="A2" s="53">
        <v>420</v>
      </c>
      <c r="B2" s="53">
        <v>420</v>
      </c>
      <c r="C2" s="53" t="s">
        <v>789</v>
      </c>
      <c r="D2" s="53">
        <v>997495</v>
      </c>
      <c r="E2" s="40" t="s">
        <v>138</v>
      </c>
      <c r="F2" s="53" t="s">
        <v>1198</v>
      </c>
      <c r="G2" s="53">
        <v>800078396</v>
      </c>
      <c r="H2" s="53" t="s">
        <v>105</v>
      </c>
      <c r="I2" s="53"/>
      <c r="J2" s="40" t="s">
        <v>484</v>
      </c>
      <c r="K2" s="40" t="s">
        <v>701</v>
      </c>
      <c r="L2" s="53" t="s">
        <v>74</v>
      </c>
      <c r="M2" s="53"/>
      <c r="N2" s="59" t="s">
        <v>147</v>
      </c>
      <c r="O2" s="53" t="s">
        <v>474</v>
      </c>
      <c r="P2" s="53" t="s">
        <v>474</v>
      </c>
      <c r="Q2" s="53" t="s">
        <v>474</v>
      </c>
      <c r="R2" s="40" t="s">
        <v>81</v>
      </c>
      <c r="S2" s="56">
        <v>0</v>
      </c>
      <c r="T2" s="60"/>
      <c r="U2" s="60">
        <v>0</v>
      </c>
      <c r="V2" s="53" t="s">
        <v>1040</v>
      </c>
      <c r="W2" s="53" t="s">
        <v>959</v>
      </c>
      <c r="X2" s="61" t="s">
        <v>1199</v>
      </c>
      <c r="Y2" s="56">
        <v>16</v>
      </c>
      <c r="Z2" s="56">
        <v>3.3719999999999999</v>
      </c>
      <c r="AA2" s="56">
        <v>100</v>
      </c>
      <c r="AB2" s="56">
        <v>5.3949999999999998E-2</v>
      </c>
      <c r="AC2" s="60">
        <v>1</v>
      </c>
      <c r="AD2" s="60">
        <v>3.9999999999999998E-7</v>
      </c>
    </row>
    <row r="3" spans="1:30" x14ac:dyDescent="0.2">
      <c r="A3" s="53">
        <v>420</v>
      </c>
      <c r="B3" s="53">
        <v>1471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 t="s">
        <v>147</v>
      </c>
      <c r="O3" s="53"/>
      <c r="P3" s="53"/>
      <c r="Q3" s="53"/>
      <c r="R3" s="40"/>
      <c r="S3" s="56"/>
      <c r="T3" s="60"/>
      <c r="U3" s="60"/>
      <c r="V3" s="53"/>
      <c r="W3" s="53"/>
      <c r="X3" s="61" t="s">
        <v>147</v>
      </c>
      <c r="Y3" s="56"/>
      <c r="Z3" s="56"/>
      <c r="AA3" s="56"/>
      <c r="AB3" s="56"/>
      <c r="AC3" s="60" t="s">
        <v>147</v>
      </c>
      <c r="AD3" s="60"/>
    </row>
    <row r="4" spans="1:30" x14ac:dyDescent="0.2">
      <c r="A4" s="53"/>
      <c r="B4" s="53"/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60"/>
      <c r="U4" s="60"/>
      <c r="V4" s="53"/>
      <c r="W4" s="53"/>
      <c r="Y4" s="56"/>
      <c r="Z4" s="56"/>
      <c r="AA4" s="56"/>
      <c r="AB4" s="56"/>
      <c r="AC4" s="60"/>
      <c r="AD4" s="60"/>
    </row>
    <row r="5" spans="1:30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60"/>
      <c r="U5" s="60"/>
      <c r="V5" s="53"/>
      <c r="W5" s="53"/>
      <c r="Y5" s="56"/>
      <c r="Z5" s="56"/>
      <c r="AA5" s="56"/>
      <c r="AB5" s="56"/>
      <c r="AC5" s="60"/>
      <c r="AD5" s="60"/>
    </row>
    <row r="6" spans="1:30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60"/>
      <c r="U6" s="60"/>
      <c r="V6" s="53"/>
      <c r="W6" s="53"/>
      <c r="Y6" s="56"/>
      <c r="Z6" s="56"/>
      <c r="AA6" s="56"/>
      <c r="AB6" s="56"/>
      <c r="AC6" s="60"/>
      <c r="AD6" s="60"/>
    </row>
    <row r="7" spans="1:30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60"/>
      <c r="U7" s="60"/>
      <c r="V7" s="53"/>
      <c r="W7" s="53"/>
      <c r="Y7" s="56"/>
      <c r="Z7" s="56"/>
      <c r="AA7" s="56"/>
      <c r="AB7" s="56"/>
      <c r="AC7" s="60"/>
      <c r="AD7" s="60"/>
    </row>
    <row r="8" spans="1:30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60"/>
      <c r="U8" s="60"/>
      <c r="V8" s="53"/>
      <c r="W8" s="53"/>
      <c r="Y8" s="56"/>
      <c r="Z8" s="56"/>
      <c r="AA8" s="56"/>
      <c r="AB8" s="56"/>
      <c r="AC8" s="60"/>
      <c r="AD8" s="60"/>
    </row>
    <row r="9" spans="1:30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60"/>
      <c r="U9" s="60"/>
      <c r="V9" s="53"/>
      <c r="W9" s="53"/>
      <c r="Y9" s="56"/>
      <c r="Z9" s="56"/>
      <c r="AA9" s="56"/>
      <c r="AB9" s="56"/>
      <c r="AC9" s="60"/>
      <c r="AD9" s="60"/>
    </row>
    <row r="10" spans="1:30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60"/>
      <c r="U10" s="60"/>
      <c r="V10" s="53"/>
      <c r="W10" s="53"/>
      <c r="Y10" s="56"/>
      <c r="Z10" s="56"/>
      <c r="AA10" s="56"/>
      <c r="AB10" s="56"/>
      <c r="AC10" s="60"/>
      <c r="AD10" s="60"/>
    </row>
    <row r="11" spans="1:30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60"/>
      <c r="U11" s="60"/>
      <c r="V11" s="53"/>
      <c r="W11" s="53"/>
      <c r="Y11" s="56"/>
      <c r="Z11" s="56"/>
      <c r="AA11" s="56"/>
      <c r="AB11" s="56"/>
      <c r="AC11" s="60"/>
      <c r="AD11" s="60"/>
    </row>
    <row r="12" spans="1:30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60"/>
      <c r="U12" s="60"/>
      <c r="V12" s="53"/>
      <c r="W12" s="53"/>
      <c r="Y12" s="56"/>
      <c r="Z12" s="56"/>
      <c r="AA12" s="56"/>
      <c r="AB12" s="56"/>
      <c r="AC12" s="60"/>
      <c r="AD12" s="60"/>
    </row>
    <row r="13" spans="1:30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60"/>
      <c r="U13" s="60"/>
      <c r="V13" s="53"/>
      <c r="W13" s="53"/>
      <c r="Y13" s="56"/>
      <c r="Z13" s="56"/>
      <c r="AA13" s="56"/>
      <c r="AB13" s="56"/>
      <c r="AC13" s="60"/>
      <c r="AD13" s="60"/>
    </row>
    <row r="14" spans="1:30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60"/>
      <c r="U14" s="60"/>
      <c r="V14" s="53"/>
      <c r="W14" s="53"/>
      <c r="Y14" s="56"/>
      <c r="Z14" s="56"/>
      <c r="AA14" s="56"/>
      <c r="AB14" s="56"/>
      <c r="AC14" s="60"/>
      <c r="AD14" s="60"/>
    </row>
    <row r="15" spans="1:30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60"/>
      <c r="U15" s="60"/>
      <c r="V15" s="53"/>
      <c r="W15" s="53"/>
      <c r="Y15" s="56"/>
      <c r="Z15" s="56"/>
      <c r="AA15" s="56"/>
      <c r="AB15" s="56"/>
      <c r="AC15" s="60"/>
      <c r="AD15" s="60"/>
    </row>
    <row r="16" spans="1:30" x14ac:dyDescent="0.2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60"/>
      <c r="U16" s="60"/>
      <c r="V16" s="53"/>
      <c r="W16" s="53"/>
      <c r="Y16" s="56"/>
      <c r="Z16" s="56"/>
      <c r="AA16" s="56"/>
      <c r="AB16" s="56"/>
      <c r="AC16" s="60"/>
      <c r="AD16" s="60"/>
    </row>
    <row r="17" spans="1:30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60"/>
      <c r="U17" s="60"/>
      <c r="V17" s="53"/>
      <c r="W17" s="53"/>
      <c r="Y17" s="56"/>
      <c r="Z17" s="56"/>
      <c r="AA17" s="56"/>
      <c r="AB17" s="56"/>
      <c r="AC17" s="60"/>
      <c r="AD17" s="60"/>
    </row>
    <row r="18" spans="1:30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60"/>
      <c r="U18" s="60"/>
      <c r="V18" s="53"/>
      <c r="W18" s="53"/>
      <c r="Y18" s="56"/>
      <c r="Z18" s="56"/>
      <c r="AA18" s="56"/>
      <c r="AB18" s="56"/>
      <c r="AC18" s="60"/>
      <c r="AD18" s="60"/>
    </row>
    <row r="19" spans="1:30" x14ac:dyDescent="0.2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60"/>
      <c r="U19" s="60"/>
      <c r="V19" s="53"/>
      <c r="W19" s="53"/>
      <c r="Y19" s="56"/>
      <c r="Z19" s="56"/>
      <c r="AA19" s="56"/>
      <c r="AB19" s="56"/>
      <c r="AC19" s="60"/>
      <c r="AD19" s="60"/>
    </row>
    <row r="20" spans="1:30" x14ac:dyDescent="0.2">
      <c r="E20" s="40"/>
      <c r="H20" s="53"/>
      <c r="I20" s="53"/>
      <c r="J20" s="40"/>
      <c r="K20" s="40"/>
      <c r="L20" s="53"/>
      <c r="M20" s="53"/>
      <c r="P20" s="53"/>
      <c r="Q20" s="53"/>
      <c r="V20" s="53"/>
      <c r="W20" s="53"/>
    </row>
    <row r="21" spans="1:30" s="39" customFormat="1" x14ac:dyDescent="0.2">
      <c r="N21" s="48"/>
      <c r="S21" s="42"/>
      <c r="T21" s="43"/>
      <c r="U21" s="43"/>
      <c r="X21" s="48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 xr:uid="{7B22E7F3-1D71-471C-BAAC-59284F3AE723}">
      <formula1>Underlying_Asset_Structured</formula1>
    </dataValidation>
    <dataValidation type="list" allowBlank="1" showInputMessage="1" showErrorMessage="1" sqref="E3:E20" xr:uid="{F1405CB1-842C-48BD-8733-B0716471D8C3}">
      <formula1>Issuer_Number_Type_2</formula1>
    </dataValidation>
    <dataValidation type="list" allowBlank="1" showInputMessage="1" showErrorMessage="1" sqref="E2" xr:uid="{DA97733F-AAA3-40C7-BC26-3855E4466CA2}">
      <formula1>Issuer_Number_Type_3</formula1>
    </dataValidation>
    <dataValidation type="list" allowBlank="1" showInputMessage="1" showErrorMessage="1" sqref="M3:M20" xr:uid="{3F713F53-908F-47B0-85D7-75D0ED0F59AC}">
      <formula1>Underlying_Asset</formula1>
    </dataValidation>
    <dataValidation type="list" allowBlank="1" showInputMessage="1" showErrorMessage="1" sqref="H2:H20" xr:uid="{B461246C-9CAC-4931-8B71-BA58FA9A43F5}">
      <formula1>Type_of_Security_ID_Fund</formula1>
    </dataValidation>
    <dataValidation type="list" allowBlank="1" showInputMessage="1" showErrorMessage="1" sqref="K2:K20" xr:uid="{91A25148-D58F-4C6D-A8E7-4353EA60ABEF}">
      <formula1>Country_list</formula1>
    </dataValidation>
    <dataValidation type="list" allowBlank="1" showInputMessage="1" showErrorMessage="1" sqref="W2:W20" xr:uid="{4BF95C35-3C22-41F9-B733-62594063C539}">
      <formula1>Dependence_Independence</formula1>
    </dataValidation>
    <dataValidation type="list" allowBlank="1" showInputMessage="1" showErrorMessage="1" sqref="V2:V20" xr:uid="{49DCD065-75F8-466A-BDE9-56E2AD6F1858}">
      <formula1>Valuation</formula1>
    </dataValidation>
    <dataValidation type="list" allowBlank="1" showInputMessage="1" showErrorMessage="1" sqref="Q2:Q20" xr:uid="{AF41C026-C50E-4C4D-9208-FF18C94FE0CC}">
      <formula1>What_is_rated</formula1>
    </dataValidation>
    <dataValidation type="list" allowBlank="1" showInputMessage="1" showErrorMessage="1" sqref="P2:P20" xr:uid="{0AFDF5F2-1D84-421C-BD18-C8445D2E1E6B}">
      <formula1>Rating_Agency</formula1>
    </dataValidation>
    <dataValidation type="list" allowBlank="1" showInputMessage="1" showErrorMessage="1" sqref="L2:L20" xr:uid="{B3064186-0C33-45A5-A711-30A18AFAEF0F}">
      <formula1>Holding_interest</formula1>
    </dataValidation>
    <dataValidation type="list" allowBlank="1" showInputMessage="1" showErrorMessage="1" sqref="J2:J20" xr:uid="{812A8E11-B442-4EB5-A924-37F0AAAC3840}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3B06-574C-4219-8934-362376083E7F}">
  <sheetPr codeName="Sheet26"/>
  <dimension ref="A1:V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6" width="11.625" style="38" customWidth="1"/>
    <col min="7" max="7" width="11.625" style="61" customWidth="1"/>
    <col min="8" max="13" width="11.625" style="38" customWidth="1"/>
    <col min="14" max="14" width="11.625" style="41" customWidth="1"/>
    <col min="15" max="16" width="11.625" style="46" customWidth="1"/>
    <col min="17" max="20" width="11.625" style="41" customWidth="1"/>
    <col min="21" max="22" width="11.625" style="46" customWidth="1"/>
    <col min="23" max="16384" width="9" style="38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7" t="s">
        <v>1200</v>
      </c>
      <c r="H1" s="34" t="s">
        <v>58</v>
      </c>
      <c r="I1" s="34" t="s">
        <v>88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91</v>
      </c>
      <c r="O1" s="36" t="s">
        <v>65</v>
      </c>
      <c r="P1" s="36" t="s">
        <v>93</v>
      </c>
      <c r="Q1" s="35" t="s">
        <v>63</v>
      </c>
      <c r="R1" s="35" t="s">
        <v>64</v>
      </c>
      <c r="S1" s="35" t="s">
        <v>1201</v>
      </c>
      <c r="T1" s="35" t="s">
        <v>66</v>
      </c>
      <c r="U1" s="36" t="s">
        <v>67</v>
      </c>
      <c r="V1" s="36" t="s">
        <v>68</v>
      </c>
    </row>
    <row r="2" spans="1:22" x14ac:dyDescent="0.2">
      <c r="A2" s="53">
        <v>420</v>
      </c>
      <c r="B2" s="53">
        <v>420</v>
      </c>
      <c r="C2" s="53"/>
      <c r="E2" s="40"/>
      <c r="F2" s="53"/>
      <c r="G2" s="59" t="s">
        <v>147</v>
      </c>
      <c r="H2" s="40"/>
      <c r="I2" s="40"/>
      <c r="J2" s="53"/>
      <c r="K2" s="53"/>
      <c r="M2" s="40"/>
      <c r="N2" s="56"/>
      <c r="O2" s="60"/>
      <c r="P2" s="60"/>
      <c r="Q2" s="42"/>
      <c r="R2" s="56"/>
      <c r="S2" s="56"/>
      <c r="T2" s="56"/>
      <c r="U2" s="60" t="s">
        <v>147</v>
      </c>
      <c r="V2" s="60"/>
    </row>
    <row r="3" spans="1:22" x14ac:dyDescent="0.2">
      <c r="A3" s="53">
        <v>420</v>
      </c>
      <c r="B3" s="53">
        <v>1471</v>
      </c>
      <c r="C3" s="53"/>
      <c r="E3" s="40"/>
      <c r="F3" s="53"/>
      <c r="G3" s="59" t="s">
        <v>147</v>
      </c>
      <c r="H3" s="40"/>
      <c r="I3" s="40"/>
      <c r="J3" s="53"/>
      <c r="K3" s="53"/>
      <c r="M3" s="40"/>
      <c r="N3" s="56"/>
      <c r="O3" s="60"/>
      <c r="P3" s="60"/>
      <c r="R3" s="56"/>
      <c r="S3" s="42"/>
      <c r="T3" s="56"/>
      <c r="U3" s="60" t="s">
        <v>147</v>
      </c>
      <c r="V3" s="60"/>
    </row>
    <row r="4" spans="1:22" x14ac:dyDescent="0.2">
      <c r="A4" s="53"/>
      <c r="B4" s="53"/>
      <c r="C4" s="53"/>
      <c r="E4" s="40"/>
      <c r="F4" s="53"/>
      <c r="G4" s="59"/>
      <c r="H4" s="40"/>
      <c r="I4" s="40"/>
      <c r="J4" s="53"/>
      <c r="K4" s="53"/>
      <c r="M4" s="40"/>
      <c r="N4" s="56"/>
      <c r="O4" s="60"/>
      <c r="P4" s="60"/>
      <c r="R4" s="56"/>
      <c r="S4" s="42"/>
      <c r="T4" s="56"/>
      <c r="U4" s="60"/>
      <c r="V4" s="60"/>
    </row>
    <row r="5" spans="1:22" x14ac:dyDescent="0.2">
      <c r="A5" s="53"/>
      <c r="B5" s="53"/>
      <c r="C5" s="53"/>
      <c r="E5" s="40"/>
      <c r="F5" s="53"/>
      <c r="G5" s="59"/>
      <c r="H5" s="40"/>
      <c r="I5" s="40"/>
      <c r="J5" s="53"/>
      <c r="K5" s="53"/>
      <c r="M5" s="40"/>
      <c r="N5" s="56"/>
      <c r="O5" s="60"/>
      <c r="P5" s="60"/>
      <c r="R5" s="56"/>
      <c r="S5" s="42"/>
      <c r="T5" s="56"/>
      <c r="U5" s="60"/>
      <c r="V5" s="60"/>
    </row>
    <row r="6" spans="1:22" x14ac:dyDescent="0.2">
      <c r="A6" s="53"/>
      <c r="B6" s="53"/>
      <c r="C6" s="53"/>
      <c r="E6" s="40"/>
      <c r="F6" s="53"/>
      <c r="G6" s="59"/>
      <c r="H6" s="40"/>
      <c r="I6" s="40"/>
      <c r="J6" s="53"/>
      <c r="K6" s="53"/>
      <c r="M6" s="40"/>
      <c r="N6" s="56"/>
      <c r="O6" s="60"/>
      <c r="P6" s="60"/>
      <c r="R6" s="56"/>
      <c r="S6" s="42"/>
      <c r="T6" s="56"/>
      <c r="U6" s="60"/>
      <c r="V6" s="60"/>
    </row>
    <row r="7" spans="1:22" x14ac:dyDescent="0.2">
      <c r="A7" s="53"/>
      <c r="B7" s="53"/>
      <c r="C7" s="53"/>
      <c r="E7" s="40"/>
      <c r="F7" s="53"/>
      <c r="G7" s="59"/>
      <c r="H7" s="40"/>
      <c r="I7" s="40"/>
      <c r="J7" s="53"/>
      <c r="K7" s="53"/>
      <c r="M7" s="40"/>
      <c r="N7" s="56"/>
      <c r="O7" s="60"/>
      <c r="P7" s="60"/>
      <c r="R7" s="56"/>
      <c r="S7" s="56"/>
      <c r="T7" s="56"/>
      <c r="U7" s="60"/>
      <c r="V7" s="60"/>
    </row>
    <row r="8" spans="1:22" x14ac:dyDescent="0.2">
      <c r="A8" s="53"/>
      <c r="B8" s="53"/>
      <c r="C8" s="53"/>
      <c r="E8" s="40"/>
      <c r="F8" s="53"/>
      <c r="G8" s="59"/>
      <c r="H8" s="40"/>
      <c r="I8" s="40"/>
      <c r="J8" s="53"/>
      <c r="K8" s="53"/>
      <c r="M8" s="40"/>
      <c r="N8" s="56"/>
      <c r="O8" s="60"/>
      <c r="P8" s="60"/>
      <c r="R8" s="56"/>
      <c r="S8" s="56"/>
      <c r="T8" s="56"/>
      <c r="U8" s="60"/>
      <c r="V8" s="60"/>
    </row>
    <row r="9" spans="1:22" x14ac:dyDescent="0.2">
      <c r="A9" s="53"/>
      <c r="B9" s="53"/>
      <c r="C9" s="53"/>
      <c r="E9" s="40"/>
      <c r="F9" s="53"/>
      <c r="G9" s="59"/>
      <c r="H9" s="40"/>
      <c r="I9" s="40"/>
      <c r="J9" s="53"/>
      <c r="K9" s="53"/>
      <c r="M9" s="40"/>
      <c r="N9" s="56"/>
      <c r="O9" s="60"/>
      <c r="P9" s="60"/>
      <c r="R9" s="56"/>
      <c r="S9" s="56"/>
      <c r="T9" s="56"/>
      <c r="U9" s="60"/>
      <c r="V9" s="60"/>
    </row>
    <row r="10" spans="1:22" x14ac:dyDescent="0.2">
      <c r="A10" s="53"/>
      <c r="B10" s="53"/>
      <c r="C10" s="53"/>
      <c r="E10" s="40"/>
      <c r="F10" s="53"/>
      <c r="G10" s="59"/>
      <c r="H10" s="40"/>
      <c r="I10" s="40"/>
      <c r="J10" s="53"/>
      <c r="K10" s="53"/>
      <c r="M10" s="40"/>
      <c r="N10" s="56"/>
      <c r="O10" s="60"/>
      <c r="P10" s="60"/>
      <c r="R10" s="56"/>
      <c r="S10" s="56"/>
      <c r="T10" s="56"/>
      <c r="U10" s="60"/>
      <c r="V10" s="60"/>
    </row>
    <row r="11" spans="1:22" x14ac:dyDescent="0.2">
      <c r="A11" s="53"/>
      <c r="B11" s="53"/>
      <c r="C11" s="53"/>
      <c r="E11" s="40"/>
      <c r="F11" s="53"/>
      <c r="G11" s="59"/>
      <c r="H11" s="40"/>
      <c r="I11" s="40"/>
      <c r="J11" s="53"/>
      <c r="K11" s="53"/>
      <c r="M11" s="40"/>
      <c r="N11" s="56"/>
      <c r="O11" s="60"/>
      <c r="P11" s="60"/>
      <c r="R11" s="56"/>
      <c r="S11" s="56"/>
      <c r="T11" s="56"/>
      <c r="U11" s="60"/>
      <c r="V11" s="60"/>
    </row>
    <row r="12" spans="1:22" x14ac:dyDescent="0.2">
      <c r="A12" s="53"/>
      <c r="B12" s="53"/>
      <c r="C12" s="53"/>
      <c r="E12" s="40"/>
      <c r="F12" s="53"/>
      <c r="G12" s="59"/>
      <c r="H12" s="40"/>
      <c r="I12" s="40"/>
      <c r="J12" s="53"/>
      <c r="K12" s="53"/>
      <c r="M12" s="40"/>
      <c r="N12" s="56"/>
      <c r="O12" s="60"/>
      <c r="P12" s="60"/>
      <c r="R12" s="56"/>
      <c r="S12" s="56"/>
      <c r="T12" s="56"/>
      <c r="U12" s="60"/>
      <c r="V12" s="60"/>
    </row>
    <row r="13" spans="1:22" x14ac:dyDescent="0.2">
      <c r="A13" s="53"/>
      <c r="B13" s="53"/>
      <c r="C13" s="53"/>
      <c r="E13" s="40"/>
      <c r="F13" s="53"/>
      <c r="G13" s="59"/>
      <c r="H13" s="40"/>
      <c r="I13" s="40"/>
      <c r="J13" s="53"/>
      <c r="K13" s="53"/>
      <c r="M13" s="40"/>
      <c r="N13" s="56"/>
      <c r="O13" s="60"/>
      <c r="P13" s="60"/>
      <c r="R13" s="56"/>
      <c r="S13" s="56"/>
      <c r="T13" s="56"/>
      <c r="U13" s="60"/>
      <c r="V13" s="60"/>
    </row>
    <row r="14" spans="1:22" x14ac:dyDescent="0.2">
      <c r="A14" s="53"/>
      <c r="B14" s="53"/>
      <c r="C14" s="53"/>
      <c r="E14" s="40"/>
      <c r="F14" s="53"/>
      <c r="G14" s="59"/>
      <c r="H14" s="40"/>
      <c r="I14" s="40"/>
      <c r="J14" s="53"/>
      <c r="K14" s="53"/>
      <c r="M14" s="40"/>
      <c r="N14" s="56"/>
      <c r="O14" s="60"/>
      <c r="P14" s="60"/>
      <c r="R14" s="56"/>
      <c r="S14" s="56"/>
      <c r="T14" s="56"/>
      <c r="U14" s="60"/>
      <c r="V14" s="60"/>
    </row>
    <row r="15" spans="1:22" x14ac:dyDescent="0.2">
      <c r="A15" s="53"/>
      <c r="B15" s="53"/>
      <c r="C15" s="53"/>
      <c r="E15" s="40"/>
      <c r="F15" s="53"/>
      <c r="G15" s="59"/>
      <c r="H15" s="40"/>
      <c r="I15" s="40"/>
      <c r="J15" s="53"/>
      <c r="K15" s="53"/>
      <c r="M15" s="40"/>
      <c r="N15" s="56"/>
      <c r="O15" s="60"/>
      <c r="P15" s="60"/>
      <c r="R15" s="56"/>
      <c r="S15" s="56"/>
      <c r="T15" s="56"/>
      <c r="U15" s="60"/>
      <c r="V15" s="60"/>
    </row>
    <row r="16" spans="1:22" x14ac:dyDescent="0.2">
      <c r="A16" s="53"/>
      <c r="B16" s="53"/>
      <c r="C16" s="53"/>
      <c r="E16" s="40"/>
      <c r="F16" s="53"/>
      <c r="G16" s="59"/>
      <c r="H16" s="40"/>
      <c r="I16" s="40"/>
      <c r="J16" s="53"/>
      <c r="K16" s="53"/>
      <c r="M16" s="40"/>
      <c r="N16" s="56"/>
      <c r="O16" s="60"/>
      <c r="P16" s="60"/>
      <c r="R16" s="56"/>
      <c r="S16" s="56"/>
      <c r="T16" s="56"/>
      <c r="U16" s="60"/>
      <c r="V16" s="60"/>
    </row>
    <row r="17" spans="1:22" x14ac:dyDescent="0.2">
      <c r="A17" s="53"/>
      <c r="B17" s="53"/>
      <c r="C17" s="53"/>
      <c r="E17" s="40"/>
      <c r="F17" s="53"/>
      <c r="G17" s="59"/>
      <c r="H17" s="40"/>
      <c r="I17" s="40"/>
      <c r="J17" s="53"/>
      <c r="K17" s="53"/>
      <c r="M17" s="40"/>
      <c r="N17" s="56"/>
      <c r="O17" s="60"/>
      <c r="P17" s="60"/>
      <c r="R17" s="56"/>
      <c r="S17" s="56"/>
      <c r="T17" s="56"/>
      <c r="U17" s="60"/>
      <c r="V17" s="60"/>
    </row>
    <row r="18" spans="1:22" x14ac:dyDescent="0.2">
      <c r="A18" s="53"/>
      <c r="B18" s="53"/>
      <c r="C18" s="53"/>
      <c r="E18" s="40"/>
      <c r="F18" s="53"/>
      <c r="G18" s="59"/>
      <c r="H18" s="40"/>
      <c r="I18" s="40"/>
      <c r="J18" s="53"/>
      <c r="K18" s="53"/>
      <c r="M18" s="40"/>
      <c r="N18" s="56"/>
      <c r="O18" s="60"/>
      <c r="P18" s="60"/>
      <c r="R18" s="56"/>
      <c r="S18" s="56"/>
      <c r="T18" s="56"/>
      <c r="U18" s="60"/>
      <c r="V18" s="60"/>
    </row>
    <row r="19" spans="1:22" x14ac:dyDescent="0.2">
      <c r="A19" s="53"/>
      <c r="B19" s="53"/>
      <c r="C19" s="53"/>
      <c r="E19" s="40"/>
      <c r="F19" s="53"/>
      <c r="G19" s="59"/>
      <c r="H19" s="40"/>
      <c r="I19" s="40"/>
      <c r="J19" s="53"/>
      <c r="K19" s="53"/>
      <c r="M19" s="40"/>
      <c r="N19" s="56"/>
      <c r="O19" s="60"/>
      <c r="P19" s="60"/>
      <c r="R19" s="56"/>
      <c r="S19" s="56"/>
      <c r="T19" s="56"/>
      <c r="U19" s="60"/>
      <c r="V19" s="60"/>
    </row>
    <row r="20" spans="1:22" x14ac:dyDescent="0.2">
      <c r="E20" s="40"/>
      <c r="F20" s="53"/>
      <c r="H20" s="40"/>
      <c r="I20" s="40"/>
      <c r="J20" s="53"/>
    </row>
    <row r="21" spans="1:22" x14ac:dyDescent="0.2">
      <c r="L21" s="39"/>
    </row>
  </sheetData>
  <sheetProtection formatColumns="0"/>
  <dataValidations count="5">
    <dataValidation type="list" allowBlank="1" showInputMessage="1" showErrorMessage="1" sqref="L2:L20" xr:uid="{E5EB6300-302A-4A2C-BD3E-14D12B5C2547}">
      <formula1>Rating_Agency</formula1>
    </dataValidation>
    <dataValidation type="list" allowBlank="1" showInputMessage="1" showErrorMessage="1" sqref="E2:E20" xr:uid="{0F732FEF-EB99-4E24-8174-61CE3D29881C}">
      <formula1>Issuer_Number_Banks</formula1>
    </dataValidation>
    <dataValidation type="list" allowBlank="1" showInputMessage="1" showErrorMessage="1" sqref="I2:I20" xr:uid="{ED4612A1-E071-45DA-A19A-95CE2301AFE9}">
      <formula1>Country_list</formula1>
    </dataValidation>
    <dataValidation type="list" allowBlank="1" showInputMessage="1" showErrorMessage="1" sqref="J2:J20" xr:uid="{14DEA6FB-06EF-4C37-AC51-CAF312D2E590}">
      <formula1>Holding_interest</formula1>
    </dataValidation>
    <dataValidation type="list" allowBlank="1" showInputMessage="1" showErrorMessage="1" sqref="H2:H20" xr:uid="{031F56E1-9B82-4358-8CC7-86800B064C2D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9C38-7134-4376-B838-85E2294CE49D}">
  <sheetPr codeName="Sheet27"/>
  <dimension ref="A1:X22"/>
  <sheetViews>
    <sheetView rightToLeft="1" workbookViewId="0"/>
  </sheetViews>
  <sheetFormatPr defaultColWidth="9" defaultRowHeight="14.25" x14ac:dyDescent="0.2"/>
  <cols>
    <col min="1" max="6" width="11.625" style="38" customWidth="1"/>
    <col min="7" max="7" width="11.625" style="61" customWidth="1"/>
    <col min="8" max="10" width="11.625" style="38" customWidth="1"/>
    <col min="11" max="11" width="11.625" style="46" customWidth="1"/>
    <col min="12" max="15" width="11.625" style="38" customWidth="1"/>
    <col min="16" max="16" width="11.625" style="61" customWidth="1"/>
    <col min="17" max="17" width="11.625" style="38" customWidth="1"/>
    <col min="18" max="19" width="11.625" style="41" customWidth="1"/>
    <col min="20" max="22" width="11.625" style="38" customWidth="1"/>
    <col min="23" max="24" width="11.625" style="46" customWidth="1"/>
    <col min="25" max="16384" width="9" style="38"/>
  </cols>
  <sheetData>
    <row r="1" spans="1:24" ht="66.75" customHeight="1" x14ac:dyDescent="0.2">
      <c r="A1" s="34" t="s">
        <v>52</v>
      </c>
      <c r="B1" s="34" t="s">
        <v>53</v>
      </c>
      <c r="C1" s="34" t="s">
        <v>1202</v>
      </c>
      <c r="D1" s="34" t="s">
        <v>57</v>
      </c>
      <c r="E1" s="34" t="s">
        <v>1203</v>
      </c>
      <c r="F1" s="34" t="s">
        <v>59</v>
      </c>
      <c r="G1" s="47" t="s">
        <v>941</v>
      </c>
      <c r="H1" s="34" t="s">
        <v>1204</v>
      </c>
      <c r="I1" s="34" t="s">
        <v>1205</v>
      </c>
      <c r="J1" s="34" t="s">
        <v>1206</v>
      </c>
      <c r="K1" s="36" t="s">
        <v>1207</v>
      </c>
      <c r="L1" s="34" t="s">
        <v>1208</v>
      </c>
      <c r="M1" s="34" t="s">
        <v>947</v>
      </c>
      <c r="N1" s="34" t="s">
        <v>949</v>
      </c>
      <c r="O1" s="34" t="s">
        <v>948</v>
      </c>
      <c r="P1" s="47" t="s">
        <v>950</v>
      </c>
      <c r="Q1" s="34" t="s">
        <v>62</v>
      </c>
      <c r="R1" s="35" t="s">
        <v>1197</v>
      </c>
      <c r="S1" s="35" t="s">
        <v>66</v>
      </c>
      <c r="T1" s="34" t="s">
        <v>97</v>
      </c>
      <c r="U1" s="34" t="s">
        <v>146</v>
      </c>
      <c r="V1" s="34" t="s">
        <v>20</v>
      </c>
      <c r="W1" s="36" t="s">
        <v>67</v>
      </c>
      <c r="X1" s="36" t="s">
        <v>68</v>
      </c>
    </row>
    <row r="2" spans="1:24" x14ac:dyDescent="0.2">
      <c r="A2" s="53">
        <v>420</v>
      </c>
      <c r="B2" s="53">
        <v>420</v>
      </c>
      <c r="C2" s="53"/>
      <c r="D2" s="53"/>
      <c r="E2" s="53"/>
      <c r="F2" s="53"/>
      <c r="G2" s="59" t="s">
        <v>147</v>
      </c>
      <c r="H2" s="53"/>
      <c r="I2" s="53"/>
      <c r="J2" s="53"/>
      <c r="K2" s="60"/>
      <c r="L2" s="53"/>
      <c r="M2" s="53"/>
      <c r="N2" s="53"/>
      <c r="O2" s="53"/>
      <c r="P2" s="59" t="s">
        <v>147</v>
      </c>
      <c r="Q2" s="40"/>
      <c r="R2" s="56"/>
      <c r="S2" s="56"/>
      <c r="T2" s="53"/>
      <c r="U2" s="53"/>
      <c r="V2" s="53"/>
      <c r="W2" s="60" t="s">
        <v>147</v>
      </c>
      <c r="X2" s="60"/>
    </row>
    <row r="3" spans="1:24" x14ac:dyDescent="0.2">
      <c r="A3" s="53">
        <v>420</v>
      </c>
      <c r="B3" s="53">
        <v>1471</v>
      </c>
      <c r="C3" s="53"/>
      <c r="D3" s="53"/>
      <c r="E3" s="53"/>
      <c r="F3" s="53"/>
      <c r="G3" s="59" t="s">
        <v>147</v>
      </c>
      <c r="H3" s="53"/>
      <c r="I3" s="53"/>
      <c r="J3" s="53"/>
      <c r="K3" s="60"/>
      <c r="L3" s="53"/>
      <c r="M3" s="53"/>
      <c r="N3" s="53"/>
      <c r="O3" s="53"/>
      <c r="P3" s="59" t="s">
        <v>147</v>
      </c>
      <c r="Q3" s="40"/>
      <c r="R3" s="56"/>
      <c r="S3" s="56"/>
      <c r="T3" s="53"/>
      <c r="U3" s="53"/>
      <c r="V3" s="53"/>
      <c r="W3" s="60" t="s">
        <v>147</v>
      </c>
      <c r="X3" s="60"/>
    </row>
    <row r="4" spans="1:24" x14ac:dyDescent="0.2">
      <c r="A4" s="53"/>
      <c r="B4" s="53"/>
      <c r="C4" s="53"/>
      <c r="D4" s="53"/>
      <c r="E4" s="53"/>
      <c r="F4" s="53"/>
      <c r="G4" s="59"/>
      <c r="H4" s="53"/>
      <c r="I4" s="53"/>
      <c r="J4" s="53"/>
      <c r="K4" s="60"/>
      <c r="L4" s="53"/>
      <c r="M4" s="53"/>
      <c r="N4" s="53"/>
      <c r="O4" s="53"/>
      <c r="P4" s="59"/>
      <c r="Q4" s="40"/>
      <c r="R4" s="56"/>
      <c r="S4" s="56"/>
      <c r="T4" s="53"/>
      <c r="U4" s="53"/>
      <c r="V4" s="53"/>
      <c r="W4" s="60"/>
      <c r="X4" s="60"/>
    </row>
    <row r="5" spans="1:24" x14ac:dyDescent="0.2">
      <c r="A5" s="53"/>
      <c r="B5" s="53"/>
      <c r="C5" s="53"/>
      <c r="D5" s="53"/>
      <c r="E5" s="53"/>
      <c r="F5" s="53"/>
      <c r="G5" s="59"/>
      <c r="H5" s="53"/>
      <c r="I5" s="53"/>
      <c r="J5" s="53"/>
      <c r="K5" s="60"/>
      <c r="L5" s="53"/>
      <c r="M5" s="53"/>
      <c r="N5" s="53"/>
      <c r="O5" s="53"/>
      <c r="P5" s="59"/>
      <c r="Q5" s="40"/>
      <c r="R5" s="56"/>
      <c r="S5" s="56"/>
      <c r="T5" s="53"/>
      <c r="U5" s="53"/>
      <c r="V5" s="53"/>
      <c r="W5" s="60"/>
      <c r="X5" s="60"/>
    </row>
    <row r="6" spans="1:24" x14ac:dyDescent="0.2">
      <c r="A6" s="53"/>
      <c r="B6" s="53"/>
      <c r="C6" s="53"/>
      <c r="D6" s="53"/>
      <c r="E6" s="53"/>
      <c r="F6" s="53"/>
      <c r="G6" s="59"/>
      <c r="H6" s="53"/>
      <c r="I6" s="53"/>
      <c r="J6" s="53"/>
      <c r="K6" s="60"/>
      <c r="L6" s="53"/>
      <c r="M6" s="53"/>
      <c r="N6" s="53"/>
      <c r="O6" s="53"/>
      <c r="P6" s="59"/>
      <c r="Q6" s="40"/>
      <c r="R6" s="56"/>
      <c r="S6" s="56"/>
      <c r="T6" s="53"/>
      <c r="U6" s="53"/>
      <c r="V6" s="53"/>
      <c r="W6" s="60"/>
      <c r="X6" s="60"/>
    </row>
    <row r="7" spans="1:24" x14ac:dyDescent="0.2">
      <c r="A7" s="53"/>
      <c r="B7" s="53"/>
      <c r="C7" s="53"/>
      <c r="D7" s="53"/>
      <c r="E7" s="53"/>
      <c r="F7" s="53"/>
      <c r="G7" s="59"/>
      <c r="H7" s="53"/>
      <c r="I7" s="53"/>
      <c r="J7" s="53"/>
      <c r="K7" s="60"/>
      <c r="L7" s="53"/>
      <c r="M7" s="53"/>
      <c r="N7" s="53"/>
      <c r="O7" s="53"/>
      <c r="P7" s="59"/>
      <c r="Q7" s="40"/>
      <c r="R7" s="56"/>
      <c r="S7" s="56"/>
      <c r="T7" s="53"/>
      <c r="U7" s="53"/>
      <c r="V7" s="53"/>
      <c r="W7" s="60"/>
      <c r="X7" s="60"/>
    </row>
    <row r="8" spans="1:24" x14ac:dyDescent="0.2">
      <c r="A8" s="53"/>
      <c r="B8" s="53"/>
      <c r="C8" s="53"/>
      <c r="D8" s="53"/>
      <c r="E8" s="53"/>
      <c r="F8" s="53"/>
      <c r="G8" s="59"/>
      <c r="H8" s="53"/>
      <c r="I8" s="53"/>
      <c r="J8" s="53"/>
      <c r="K8" s="60"/>
      <c r="L8" s="53"/>
      <c r="M8" s="53"/>
      <c r="N8" s="53"/>
      <c r="O8" s="53"/>
      <c r="P8" s="59"/>
      <c r="Q8" s="40"/>
      <c r="R8" s="56"/>
      <c r="S8" s="56"/>
      <c r="T8" s="53"/>
      <c r="U8" s="53"/>
      <c r="V8" s="53"/>
      <c r="W8" s="60"/>
      <c r="X8" s="60"/>
    </row>
    <row r="9" spans="1:24" x14ac:dyDescent="0.2">
      <c r="A9" s="53"/>
      <c r="B9" s="53"/>
      <c r="C9" s="53"/>
      <c r="D9" s="53"/>
      <c r="E9" s="53"/>
      <c r="F9" s="53"/>
      <c r="G9" s="59"/>
      <c r="H9" s="53"/>
      <c r="I9" s="53"/>
      <c r="J9" s="53"/>
      <c r="K9" s="60"/>
      <c r="L9" s="53"/>
      <c r="M9" s="53"/>
      <c r="N9" s="53"/>
      <c r="O9" s="53"/>
      <c r="P9" s="59"/>
      <c r="Q9" s="40"/>
      <c r="R9" s="56"/>
      <c r="S9" s="56"/>
      <c r="T9" s="53"/>
      <c r="U9" s="53"/>
      <c r="V9" s="53"/>
      <c r="W9" s="60"/>
      <c r="X9" s="60"/>
    </row>
    <row r="10" spans="1:24" x14ac:dyDescent="0.2">
      <c r="A10" s="53"/>
      <c r="B10" s="53"/>
      <c r="C10" s="53"/>
      <c r="D10" s="53"/>
      <c r="E10" s="53"/>
      <c r="F10" s="53"/>
      <c r="G10" s="59"/>
      <c r="H10" s="53"/>
      <c r="I10" s="53"/>
      <c r="J10" s="53"/>
      <c r="K10" s="60"/>
      <c r="L10" s="53"/>
      <c r="M10" s="53"/>
      <c r="N10" s="53"/>
      <c r="O10" s="53"/>
      <c r="P10" s="59"/>
      <c r="Q10" s="40"/>
      <c r="R10" s="56"/>
      <c r="S10" s="56"/>
      <c r="T10" s="53"/>
      <c r="U10" s="53"/>
      <c r="V10" s="53"/>
      <c r="W10" s="60"/>
      <c r="X10" s="60"/>
    </row>
    <row r="11" spans="1:24" x14ac:dyDescent="0.2">
      <c r="A11" s="53"/>
      <c r="B11" s="53"/>
      <c r="C11" s="53"/>
      <c r="D11" s="53"/>
      <c r="E11" s="53"/>
      <c r="F11" s="53"/>
      <c r="G11" s="59"/>
      <c r="H11" s="53"/>
      <c r="I11" s="53"/>
      <c r="J11" s="53"/>
      <c r="K11" s="60"/>
      <c r="L11" s="53"/>
      <c r="M11" s="53"/>
      <c r="N11" s="53"/>
      <c r="O11" s="53"/>
      <c r="P11" s="59"/>
      <c r="Q11" s="40"/>
      <c r="R11" s="56"/>
      <c r="S11" s="56"/>
      <c r="T11" s="53"/>
      <c r="U11" s="53"/>
      <c r="V11" s="53"/>
      <c r="W11" s="60"/>
      <c r="X11" s="60"/>
    </row>
    <row r="12" spans="1:24" x14ac:dyDescent="0.2">
      <c r="A12" s="53"/>
      <c r="B12" s="53"/>
      <c r="C12" s="53"/>
      <c r="D12" s="53"/>
      <c r="E12" s="53"/>
      <c r="F12" s="53"/>
      <c r="G12" s="59"/>
      <c r="H12" s="53"/>
      <c r="I12" s="53"/>
      <c r="J12" s="53"/>
      <c r="K12" s="60"/>
      <c r="L12" s="53"/>
      <c r="M12" s="53"/>
      <c r="N12" s="53"/>
      <c r="O12" s="53"/>
      <c r="P12" s="59"/>
      <c r="Q12" s="40"/>
      <c r="R12" s="56"/>
      <c r="S12" s="56"/>
      <c r="T12" s="53"/>
      <c r="U12" s="53"/>
      <c r="V12" s="53"/>
      <c r="W12" s="60"/>
      <c r="X12" s="60"/>
    </row>
    <row r="13" spans="1:24" x14ac:dyDescent="0.2">
      <c r="A13" s="53"/>
      <c r="B13" s="53"/>
      <c r="C13" s="53"/>
      <c r="D13" s="53"/>
      <c r="E13" s="53"/>
      <c r="F13" s="53"/>
      <c r="G13" s="59"/>
      <c r="H13" s="53"/>
      <c r="I13" s="53"/>
      <c r="J13" s="53"/>
      <c r="K13" s="60"/>
      <c r="L13" s="53"/>
      <c r="M13" s="53"/>
      <c r="N13" s="53"/>
      <c r="O13" s="53"/>
      <c r="P13" s="59"/>
      <c r="Q13" s="40"/>
      <c r="R13" s="56"/>
      <c r="S13" s="56"/>
      <c r="T13" s="53"/>
      <c r="U13" s="53"/>
      <c r="V13" s="53"/>
      <c r="W13" s="60"/>
      <c r="X13" s="60"/>
    </row>
    <row r="14" spans="1:24" x14ac:dyDescent="0.2">
      <c r="A14" s="53"/>
      <c r="B14" s="53"/>
      <c r="C14" s="53"/>
      <c r="D14" s="53"/>
      <c r="E14" s="53"/>
      <c r="F14" s="53"/>
      <c r="G14" s="59"/>
      <c r="H14" s="53"/>
      <c r="I14" s="53"/>
      <c r="J14" s="53"/>
      <c r="K14" s="60"/>
      <c r="L14" s="53"/>
      <c r="M14" s="53"/>
      <c r="N14" s="53"/>
      <c r="O14" s="53"/>
      <c r="P14" s="59"/>
      <c r="Q14" s="40"/>
      <c r="R14" s="56"/>
      <c r="S14" s="56"/>
      <c r="T14" s="53"/>
      <c r="U14" s="53"/>
      <c r="V14" s="53"/>
      <c r="W14" s="60"/>
      <c r="X14" s="60"/>
    </row>
    <row r="15" spans="1:24" x14ac:dyDescent="0.2">
      <c r="A15" s="53"/>
      <c r="B15" s="53"/>
      <c r="C15" s="53"/>
      <c r="D15" s="53"/>
      <c r="E15" s="53"/>
      <c r="F15" s="53"/>
      <c r="G15" s="59"/>
      <c r="H15" s="53"/>
      <c r="I15" s="53"/>
      <c r="J15" s="53"/>
      <c r="K15" s="60"/>
      <c r="L15" s="53"/>
      <c r="M15" s="53"/>
      <c r="N15" s="53"/>
      <c r="O15" s="53"/>
      <c r="P15" s="59"/>
      <c r="Q15" s="40"/>
      <c r="R15" s="56"/>
      <c r="S15" s="56"/>
      <c r="T15" s="53"/>
      <c r="U15" s="53"/>
      <c r="V15" s="53"/>
      <c r="W15" s="60"/>
      <c r="X15" s="60"/>
    </row>
    <row r="16" spans="1:24" x14ac:dyDescent="0.2">
      <c r="A16" s="53"/>
      <c r="B16" s="53"/>
      <c r="C16" s="53"/>
      <c r="D16" s="53"/>
      <c r="E16" s="53"/>
      <c r="F16" s="53"/>
      <c r="G16" s="59"/>
      <c r="H16" s="53"/>
      <c r="I16" s="53"/>
      <c r="J16" s="53"/>
      <c r="K16" s="60"/>
      <c r="L16" s="53"/>
      <c r="M16" s="53"/>
      <c r="N16" s="53"/>
      <c r="O16" s="53"/>
      <c r="P16" s="59"/>
      <c r="Q16" s="40"/>
      <c r="R16" s="56"/>
      <c r="S16" s="56"/>
      <c r="T16" s="53"/>
      <c r="U16" s="53"/>
      <c r="V16" s="53"/>
      <c r="W16" s="60"/>
      <c r="X16" s="60"/>
    </row>
    <row r="17" spans="1:24" x14ac:dyDescent="0.2">
      <c r="A17" s="53"/>
      <c r="B17" s="53"/>
      <c r="C17" s="53"/>
      <c r="D17" s="53"/>
      <c r="E17" s="53"/>
      <c r="F17" s="53"/>
      <c r="G17" s="59"/>
      <c r="H17" s="53"/>
      <c r="I17" s="53"/>
      <c r="J17" s="53"/>
      <c r="K17" s="60"/>
      <c r="L17" s="53"/>
      <c r="M17" s="53"/>
      <c r="N17" s="53"/>
      <c r="O17" s="53"/>
      <c r="P17" s="59"/>
      <c r="Q17" s="40"/>
      <c r="R17" s="56"/>
      <c r="S17" s="56"/>
      <c r="T17" s="53"/>
      <c r="U17" s="53"/>
      <c r="V17" s="53"/>
      <c r="W17" s="60"/>
      <c r="X17" s="60"/>
    </row>
    <row r="18" spans="1:24" x14ac:dyDescent="0.2">
      <c r="A18" s="53"/>
      <c r="B18" s="53"/>
      <c r="C18" s="53"/>
      <c r="D18" s="53"/>
      <c r="E18" s="53"/>
      <c r="F18" s="53"/>
      <c r="G18" s="59"/>
      <c r="H18" s="53"/>
      <c r="I18" s="53"/>
      <c r="J18" s="53"/>
      <c r="K18" s="60"/>
      <c r="L18" s="53"/>
      <c r="M18" s="53"/>
      <c r="N18" s="53"/>
      <c r="O18" s="53"/>
      <c r="P18" s="59"/>
      <c r="Q18" s="40"/>
      <c r="R18" s="56"/>
      <c r="S18" s="56"/>
      <c r="T18" s="53"/>
      <c r="U18" s="53"/>
      <c r="V18" s="53"/>
      <c r="W18" s="60"/>
      <c r="X18" s="60"/>
    </row>
    <row r="19" spans="1:24" x14ac:dyDescent="0.2">
      <c r="A19" s="53"/>
      <c r="B19" s="53"/>
      <c r="C19" s="53"/>
      <c r="D19" s="53"/>
      <c r="E19" s="53"/>
      <c r="F19" s="53"/>
      <c r="G19" s="59"/>
      <c r="H19" s="53"/>
      <c r="I19" s="53"/>
      <c r="J19" s="53"/>
      <c r="K19" s="60"/>
      <c r="L19" s="53"/>
      <c r="M19" s="53"/>
      <c r="N19" s="53"/>
      <c r="O19" s="53"/>
      <c r="P19" s="59"/>
      <c r="Q19" s="40"/>
      <c r="R19" s="56"/>
      <c r="S19" s="56"/>
      <c r="T19" s="53"/>
      <c r="U19" s="53"/>
      <c r="V19" s="53"/>
      <c r="W19" s="60"/>
      <c r="X19" s="60"/>
    </row>
    <row r="20" spans="1:24" x14ac:dyDescent="0.2">
      <c r="D20" s="53"/>
      <c r="E20" s="53"/>
      <c r="F20" s="53"/>
      <c r="H20" s="53"/>
      <c r="I20" s="53"/>
      <c r="L20" s="53"/>
      <c r="M20" s="53"/>
      <c r="O20" s="53"/>
      <c r="V20" s="53"/>
    </row>
    <row r="21" spans="1:24" x14ac:dyDescent="0.2">
      <c r="D21" s="53"/>
      <c r="E21" s="53"/>
    </row>
    <row r="22" spans="1:24" x14ac:dyDescent="0.2">
      <c r="D22" s="39"/>
    </row>
  </sheetData>
  <sheetProtection formatColumns="0"/>
  <dataValidations count="8">
    <dataValidation type="list" allowBlank="1" showInputMessage="1" showErrorMessage="1" sqref="H2:H20" xr:uid="{35A5DAAF-06A2-422C-8161-45698B0C5551}">
      <formula1>Real_Estate_Main_Use</formula1>
    </dataValidation>
    <dataValidation type="list" allowBlank="1" showInputMessage="1" showErrorMessage="1" sqref="M2:M20" xr:uid="{B98F11C8-AD54-469B-BB00-C3EA0F7E7B5D}">
      <formula1>Valuation_Realestate</formula1>
    </dataValidation>
    <dataValidation type="list" allowBlank="1" showInputMessage="1" showErrorMessage="1" sqref="I2:I20" xr:uid="{DFF1D120-502F-48E8-BFAA-9C40C5257156}">
      <formula1>real_estate_lifestage</formula1>
    </dataValidation>
    <dataValidation type="list" allowBlank="1" showInputMessage="1" showErrorMessage="1" sqref="E2:E21" xr:uid="{72FE6AC8-9590-40F6-91B4-362B5A8B205F}">
      <formula1>Country_list</formula1>
    </dataValidation>
    <dataValidation type="list" allowBlank="1" showInputMessage="1" showErrorMessage="1" sqref="O2:O20" xr:uid="{13281D58-6E7D-48F1-8AE6-CA298CF29A33}">
      <formula1>Dependence_Independence</formula1>
    </dataValidation>
    <dataValidation type="list" allowBlank="1" showInputMessage="1" showErrorMessage="1" sqref="L2:L20" xr:uid="{5921B62E-07C9-431B-B20A-CB77C52FC723}">
      <formula1>Valuation_Method</formula1>
    </dataValidation>
    <dataValidation type="list" allowBlank="1" showInputMessage="1" showErrorMessage="1" sqref="V2:V20" xr:uid="{A4DC4E3F-2B11-431D-A392-EFE43998201E}">
      <formula1>In_the_books</formula1>
    </dataValidation>
    <dataValidation type="list" allowBlank="1" showInputMessage="1" showErrorMessage="1" sqref="F2:F20" xr:uid="{A100DC9A-4E43-4C6D-A00C-062B764C519C}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0A60-630E-4B7C-8DB2-3DB1235A042D}">
  <sheetPr codeName="Sheet28"/>
  <dimension ref="A1:W21"/>
  <sheetViews>
    <sheetView rightToLeft="1" workbookViewId="0"/>
  </sheetViews>
  <sheetFormatPr defaultColWidth="9" defaultRowHeight="14.25" x14ac:dyDescent="0.2"/>
  <cols>
    <col min="1" max="4" width="11.625" style="38" customWidth="1"/>
    <col min="5" max="5" width="11.625" style="45" customWidth="1"/>
    <col min="6" max="16" width="11.625" style="38" customWidth="1"/>
    <col min="17" max="18" width="11.625" style="61" customWidth="1"/>
    <col min="19" max="19" width="11.625" style="46" customWidth="1"/>
    <col min="20" max="20" width="11.625" style="38" customWidth="1"/>
    <col min="21" max="21" width="11.625" style="41" customWidth="1"/>
    <col min="22" max="23" width="11.625" style="46" customWidth="1"/>
    <col min="24" max="16384" width="9" style="38"/>
  </cols>
  <sheetData>
    <row r="1" spans="1:23" ht="66.75" customHeight="1" x14ac:dyDescent="0.2">
      <c r="A1" s="34" t="s">
        <v>52</v>
      </c>
      <c r="B1" s="34" t="s">
        <v>53</v>
      </c>
      <c r="C1" s="34" t="s">
        <v>85</v>
      </c>
      <c r="D1" s="34" t="s">
        <v>138</v>
      </c>
      <c r="E1" s="34" t="s">
        <v>139</v>
      </c>
      <c r="F1" s="34" t="s">
        <v>86</v>
      </c>
      <c r="G1" s="34" t="s">
        <v>87</v>
      </c>
      <c r="H1" s="34" t="s">
        <v>140</v>
      </c>
      <c r="I1" s="34" t="s">
        <v>57</v>
      </c>
      <c r="J1" s="34" t="s">
        <v>58</v>
      </c>
      <c r="K1" s="34" t="s">
        <v>88</v>
      </c>
      <c r="L1" s="34" t="s">
        <v>141</v>
      </c>
      <c r="M1" s="34" t="s">
        <v>59</v>
      </c>
      <c r="N1" s="34" t="s">
        <v>62</v>
      </c>
      <c r="O1" s="34" t="s">
        <v>947</v>
      </c>
      <c r="P1" s="34" t="s">
        <v>948</v>
      </c>
      <c r="Q1" s="47" t="s">
        <v>950</v>
      </c>
      <c r="R1" s="47" t="s">
        <v>951</v>
      </c>
      <c r="S1" s="36" t="s">
        <v>1209</v>
      </c>
      <c r="T1" s="34" t="s">
        <v>1210</v>
      </c>
      <c r="U1" s="35" t="s">
        <v>66</v>
      </c>
      <c r="V1" s="36" t="s">
        <v>67</v>
      </c>
      <c r="W1" s="36" t="s">
        <v>68</v>
      </c>
    </row>
    <row r="2" spans="1:23" x14ac:dyDescent="0.2">
      <c r="A2" s="53">
        <v>420</v>
      </c>
      <c r="B2" s="53">
        <v>420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40"/>
      <c r="O2" s="53"/>
      <c r="P2" s="53"/>
      <c r="Q2" s="59"/>
      <c r="R2" s="59"/>
      <c r="S2" s="60"/>
      <c r="T2" s="53"/>
      <c r="U2" s="56"/>
      <c r="V2" s="60" t="s">
        <v>147</v>
      </c>
      <c r="W2" s="60"/>
    </row>
    <row r="3" spans="1:23" x14ac:dyDescent="0.2">
      <c r="A3" s="53">
        <v>420</v>
      </c>
      <c r="B3" s="53">
        <v>1471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40"/>
      <c r="O3" s="53"/>
      <c r="P3" s="53"/>
      <c r="Q3" s="59"/>
      <c r="R3" s="59"/>
      <c r="S3" s="60"/>
      <c r="T3" s="53"/>
      <c r="U3" s="56"/>
      <c r="V3" s="60" t="s">
        <v>147</v>
      </c>
      <c r="W3" s="60"/>
    </row>
    <row r="4" spans="1:23" x14ac:dyDescent="0.2">
      <c r="A4" s="53"/>
      <c r="B4" s="53"/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40"/>
      <c r="O4" s="53"/>
      <c r="P4" s="53"/>
      <c r="Q4" s="59"/>
      <c r="R4" s="59"/>
      <c r="S4" s="60"/>
      <c r="T4" s="53"/>
      <c r="U4" s="56"/>
      <c r="V4" s="60"/>
      <c r="W4" s="60"/>
    </row>
    <row r="5" spans="1:23" x14ac:dyDescent="0.2">
      <c r="A5" s="53"/>
      <c r="B5" s="53"/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40"/>
      <c r="O5" s="53"/>
      <c r="P5" s="53"/>
      <c r="Q5" s="59"/>
      <c r="R5" s="59"/>
      <c r="S5" s="60"/>
      <c r="T5" s="53"/>
      <c r="U5" s="56"/>
      <c r="V5" s="60"/>
      <c r="W5" s="60"/>
    </row>
    <row r="6" spans="1:23" x14ac:dyDescent="0.2">
      <c r="A6" s="53"/>
      <c r="B6" s="53"/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40"/>
      <c r="O6" s="53"/>
      <c r="P6" s="53"/>
      <c r="Q6" s="59"/>
      <c r="R6" s="59"/>
      <c r="S6" s="60"/>
      <c r="T6" s="53"/>
      <c r="U6" s="56"/>
      <c r="V6" s="60"/>
      <c r="W6" s="60"/>
    </row>
    <row r="7" spans="1:23" x14ac:dyDescent="0.2">
      <c r="A7" s="53"/>
      <c r="B7" s="53"/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40"/>
      <c r="O7" s="53"/>
      <c r="P7" s="53"/>
      <c r="Q7" s="59"/>
      <c r="R7" s="59"/>
      <c r="S7" s="60"/>
      <c r="T7" s="53"/>
      <c r="U7" s="56"/>
      <c r="V7" s="60"/>
      <c r="W7" s="60"/>
    </row>
    <row r="8" spans="1:23" x14ac:dyDescent="0.2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40"/>
      <c r="O8" s="53"/>
      <c r="P8" s="53"/>
      <c r="Q8" s="59"/>
      <c r="R8" s="59"/>
      <c r="S8" s="60"/>
      <c r="T8" s="53"/>
      <c r="U8" s="56"/>
      <c r="V8" s="60"/>
      <c r="W8" s="60"/>
    </row>
    <row r="9" spans="1:23" x14ac:dyDescent="0.2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40"/>
      <c r="O9" s="53"/>
      <c r="P9" s="53"/>
      <c r="Q9" s="59"/>
      <c r="R9" s="59"/>
      <c r="S9" s="60"/>
      <c r="T9" s="53"/>
      <c r="U9" s="56"/>
      <c r="V9" s="60"/>
      <c r="W9" s="60"/>
    </row>
    <row r="10" spans="1:23" x14ac:dyDescent="0.2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40"/>
      <c r="O10" s="53"/>
      <c r="P10" s="53"/>
      <c r="Q10" s="59"/>
      <c r="R10" s="59"/>
      <c r="S10" s="60"/>
      <c r="T10" s="53"/>
      <c r="U10" s="56"/>
      <c r="V10" s="60"/>
      <c r="W10" s="60"/>
    </row>
    <row r="11" spans="1:23" x14ac:dyDescent="0.2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40"/>
      <c r="O11" s="53"/>
      <c r="P11" s="53"/>
      <c r="Q11" s="59"/>
      <c r="R11" s="59"/>
      <c r="S11" s="60"/>
      <c r="T11" s="53"/>
      <c r="U11" s="56"/>
      <c r="V11" s="60"/>
      <c r="W11" s="60"/>
    </row>
    <row r="12" spans="1:23" x14ac:dyDescent="0.2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40"/>
      <c r="O12" s="53"/>
      <c r="P12" s="53"/>
      <c r="Q12" s="59"/>
      <c r="R12" s="59"/>
      <c r="S12" s="60"/>
      <c r="T12" s="53"/>
      <c r="U12" s="56"/>
      <c r="V12" s="60"/>
      <c r="W12" s="60"/>
    </row>
    <row r="13" spans="1:23" x14ac:dyDescent="0.2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40"/>
      <c r="O13" s="53"/>
      <c r="P13" s="53"/>
      <c r="Q13" s="59"/>
      <c r="R13" s="59"/>
      <c r="S13" s="60"/>
      <c r="T13" s="53"/>
      <c r="U13" s="56"/>
      <c r="V13" s="60"/>
      <c r="W13" s="60"/>
    </row>
    <row r="14" spans="1:23" x14ac:dyDescent="0.2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40"/>
      <c r="O14" s="53"/>
      <c r="P14" s="53"/>
      <c r="Q14" s="59"/>
      <c r="R14" s="59"/>
      <c r="S14" s="60"/>
      <c r="T14" s="53"/>
      <c r="U14" s="56"/>
      <c r="V14" s="60"/>
      <c r="W14" s="60"/>
    </row>
    <row r="15" spans="1:23" x14ac:dyDescent="0.2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40"/>
      <c r="O15" s="53"/>
      <c r="P15" s="53"/>
      <c r="Q15" s="59"/>
      <c r="R15" s="59"/>
      <c r="S15" s="60"/>
      <c r="T15" s="53"/>
      <c r="U15" s="56"/>
      <c r="V15" s="60"/>
      <c r="W15" s="60"/>
    </row>
    <row r="16" spans="1:23" ht="15" x14ac:dyDescent="0.2">
      <c r="A16" s="66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40"/>
      <c r="O16" s="53"/>
      <c r="P16" s="53"/>
      <c r="Q16" s="59"/>
      <c r="R16" s="59"/>
      <c r="S16" s="60"/>
      <c r="T16" s="53"/>
      <c r="U16" s="56"/>
      <c r="V16" s="60"/>
      <c r="W16" s="60"/>
    </row>
    <row r="17" spans="1:23" x14ac:dyDescent="0.2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40"/>
      <c r="O17" s="53"/>
      <c r="P17" s="53"/>
      <c r="Q17" s="59"/>
      <c r="R17" s="59"/>
      <c r="S17" s="60"/>
      <c r="T17" s="53"/>
      <c r="U17" s="56"/>
      <c r="V17" s="60"/>
      <c r="W17" s="60"/>
    </row>
    <row r="18" spans="1:23" x14ac:dyDescent="0.2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40"/>
      <c r="O18" s="53"/>
      <c r="P18" s="53"/>
      <c r="Q18" s="59"/>
      <c r="R18" s="59"/>
      <c r="S18" s="60"/>
      <c r="T18" s="53"/>
      <c r="U18" s="56"/>
      <c r="V18" s="60"/>
      <c r="W18" s="60"/>
    </row>
    <row r="19" spans="1:23" x14ac:dyDescent="0.2">
      <c r="A19" s="53"/>
      <c r="B19" s="53"/>
      <c r="C19" s="53"/>
      <c r="D19" s="53"/>
      <c r="E19" s="40"/>
      <c r="F19" s="53"/>
      <c r="G19" s="53"/>
      <c r="H19" s="53"/>
      <c r="J19" s="40"/>
      <c r="K19" s="40"/>
      <c r="L19" s="53"/>
      <c r="M19" s="53"/>
      <c r="N19" s="40"/>
      <c r="O19" s="53"/>
      <c r="P19" s="53"/>
      <c r="Q19" s="59"/>
      <c r="R19" s="59"/>
      <c r="S19" s="60"/>
      <c r="T19" s="53"/>
      <c r="U19" s="56"/>
      <c r="V19" s="60"/>
      <c r="W19" s="60"/>
    </row>
    <row r="20" spans="1:23" x14ac:dyDescent="0.2">
      <c r="E20" s="40"/>
      <c r="H20" s="53"/>
      <c r="I20" s="53"/>
      <c r="J20" s="40"/>
      <c r="K20" s="40"/>
      <c r="L20" s="53"/>
      <c r="M20" s="53"/>
      <c r="O20" s="53"/>
      <c r="P20" s="53"/>
    </row>
    <row r="21" spans="1:23" s="39" customFormat="1" x14ac:dyDescent="0.2">
      <c r="Q21" s="48"/>
      <c r="R21" s="48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 xr:uid="{8AE686E6-D188-4556-BC3C-B214356726E1}">
      <formula1>Industry_Sector</formula1>
    </dataValidation>
    <dataValidation type="list" allowBlank="1" showInputMessage="1" showErrorMessage="1" sqref="I20" xr:uid="{83E417D7-2CFE-4CA0-93E5-5E2A3A71C527}">
      <formula1>$C$862:$C$864</formula1>
    </dataValidation>
    <dataValidation type="list" allowBlank="1" showInputMessage="1" showErrorMessage="1" sqref="H2:H20" xr:uid="{0F52AFB7-9341-4E2E-A16F-84D56A3E1BA8}">
      <formula1>Type_of_Security_ID_Fund</formula1>
    </dataValidation>
    <dataValidation type="list" allowBlank="1" showInputMessage="1" showErrorMessage="1" sqref="E2" xr:uid="{C4FD2850-A55D-4772-9687-D690A01EB485}">
      <formula1>Issuer_Number_Type_3</formula1>
    </dataValidation>
    <dataValidation type="list" allowBlank="1" showInputMessage="1" showErrorMessage="1" sqref="E3:E20" xr:uid="{CEE99D27-650F-4A44-A77B-1BA52B9A4964}">
      <formula1>Issuer_Number_Type_2</formula1>
    </dataValidation>
    <dataValidation type="list" allowBlank="1" showInputMessage="1" showErrorMessage="1" sqref="K2:K20" xr:uid="{48A27E7B-A04C-4171-817B-60169E65F2EC}">
      <formula1>Country_list</formula1>
    </dataValidation>
    <dataValidation type="list" allowBlank="1" showInputMessage="1" showErrorMessage="1" sqref="P2:P20" xr:uid="{5806A095-0549-4692-B130-442F6C24A27F}">
      <formula1>Dependence_Independence</formula1>
    </dataValidation>
    <dataValidation type="list" allowBlank="1" showInputMessage="1" showErrorMessage="1" sqref="O2:O20" xr:uid="{F2028C0F-9A96-46B0-A403-B85B5494551F}">
      <formula1>Valuation</formula1>
    </dataValidation>
    <dataValidation type="list" allowBlank="1" showInputMessage="1" showErrorMessage="1" sqref="M2:M20" xr:uid="{2FC44A87-BA4B-46BC-ADDA-64ADAD937CAA}">
      <formula1>Holding_interest</formula1>
    </dataValidation>
    <dataValidation type="list" allowBlank="1" showInputMessage="1" showErrorMessage="1" sqref="J2:J20" xr:uid="{2B073D74-BE0C-433D-B48E-BB7AA4864CAC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D3E3-FDB4-4D16-B167-612B3AA6C42B}">
  <sheetPr codeName="Sheet29"/>
  <dimension ref="A1:R20"/>
  <sheetViews>
    <sheetView rightToLeft="1" workbookViewId="0"/>
  </sheetViews>
  <sheetFormatPr defaultColWidth="9" defaultRowHeight="14.25" x14ac:dyDescent="0.2"/>
  <cols>
    <col min="1" max="8" width="11.625" style="38" customWidth="1"/>
    <col min="9" max="9" width="11.625" style="61" customWidth="1"/>
    <col min="10" max="10" width="11.625" style="38" customWidth="1"/>
    <col min="11" max="11" width="11.625" style="61" customWidth="1"/>
    <col min="12" max="14" width="11.625" style="41" customWidth="1"/>
    <col min="15" max="16" width="11.625" style="38" customWidth="1"/>
    <col min="17" max="18" width="11.625" style="46" customWidth="1"/>
    <col min="19" max="16384" width="9" style="38"/>
  </cols>
  <sheetData>
    <row r="1" spans="1:18" ht="66.75" customHeight="1" x14ac:dyDescent="0.2">
      <c r="A1" s="34" t="s">
        <v>52</v>
      </c>
      <c r="B1" s="34" t="s">
        <v>53</v>
      </c>
      <c r="C1" s="34" t="s">
        <v>1211</v>
      </c>
      <c r="D1" s="34" t="s">
        <v>1212</v>
      </c>
      <c r="E1" s="34" t="s">
        <v>57</v>
      </c>
      <c r="F1" s="34" t="s">
        <v>58</v>
      </c>
      <c r="G1" s="34" t="s">
        <v>88</v>
      </c>
      <c r="H1" s="34" t="s">
        <v>59</v>
      </c>
      <c r="I1" s="47" t="s">
        <v>1213</v>
      </c>
      <c r="J1" s="34" t="s">
        <v>62</v>
      </c>
      <c r="K1" s="47" t="s">
        <v>950</v>
      </c>
      <c r="L1" s="35" t="s">
        <v>63</v>
      </c>
      <c r="M1" s="35" t="s">
        <v>64</v>
      </c>
      <c r="N1" s="35" t="s">
        <v>66</v>
      </c>
      <c r="O1" s="34" t="s">
        <v>97</v>
      </c>
      <c r="P1" s="34" t="s">
        <v>20</v>
      </c>
      <c r="Q1" s="36" t="s">
        <v>67</v>
      </c>
      <c r="R1" s="36" t="s">
        <v>68</v>
      </c>
    </row>
    <row r="2" spans="1:18" x14ac:dyDescent="0.2">
      <c r="A2" s="53">
        <v>420</v>
      </c>
      <c r="B2" s="53">
        <v>420</v>
      </c>
      <c r="C2" s="53"/>
      <c r="D2" s="53"/>
      <c r="E2" s="53"/>
      <c r="F2" s="40"/>
      <c r="G2" s="40"/>
      <c r="H2" s="53"/>
      <c r="I2" s="59"/>
      <c r="J2" s="40"/>
      <c r="K2" s="59"/>
      <c r="L2" s="42"/>
      <c r="M2" s="56"/>
      <c r="N2" s="56"/>
      <c r="O2" s="53"/>
      <c r="P2" s="40"/>
      <c r="Q2" s="60" t="s">
        <v>147</v>
      </c>
      <c r="R2" s="60"/>
    </row>
    <row r="3" spans="1:18" x14ac:dyDescent="0.2">
      <c r="A3" s="53">
        <v>420</v>
      </c>
      <c r="B3" s="53">
        <v>1471</v>
      </c>
      <c r="C3" s="53"/>
      <c r="D3" s="53"/>
      <c r="E3" s="53"/>
      <c r="F3" s="40"/>
      <c r="G3" s="40"/>
      <c r="H3" s="53"/>
      <c r="I3" s="59"/>
      <c r="J3" s="40"/>
      <c r="K3" s="59"/>
      <c r="M3" s="56"/>
      <c r="N3" s="56"/>
      <c r="O3" s="53"/>
      <c r="P3" s="40"/>
      <c r="Q3" s="60" t="s">
        <v>147</v>
      </c>
      <c r="R3" s="60"/>
    </row>
    <row r="4" spans="1:18" x14ac:dyDescent="0.2">
      <c r="A4" s="53"/>
      <c r="B4" s="53"/>
      <c r="C4" s="53"/>
      <c r="D4" s="53"/>
      <c r="E4" s="53"/>
      <c r="F4" s="40"/>
      <c r="G4" s="40"/>
      <c r="H4" s="53"/>
      <c r="I4" s="59"/>
      <c r="J4" s="40"/>
      <c r="K4" s="59"/>
      <c r="M4" s="56"/>
      <c r="N4" s="56"/>
      <c r="O4" s="53"/>
      <c r="P4" s="40"/>
      <c r="Q4" s="60"/>
      <c r="R4" s="60"/>
    </row>
    <row r="5" spans="1:18" x14ac:dyDescent="0.2">
      <c r="A5" s="53"/>
      <c r="B5" s="53"/>
      <c r="C5" s="53"/>
      <c r="D5" s="53"/>
      <c r="E5" s="53"/>
      <c r="F5" s="40"/>
      <c r="G5" s="40"/>
      <c r="H5" s="53"/>
      <c r="I5" s="59"/>
      <c r="J5" s="40"/>
      <c r="K5" s="59"/>
      <c r="M5" s="56"/>
      <c r="N5" s="56"/>
      <c r="O5" s="53"/>
      <c r="P5" s="40"/>
      <c r="Q5" s="60"/>
      <c r="R5" s="60"/>
    </row>
    <row r="6" spans="1:18" x14ac:dyDescent="0.2">
      <c r="A6" s="53"/>
      <c r="B6" s="53"/>
      <c r="C6" s="53"/>
      <c r="D6" s="53"/>
      <c r="E6" s="53"/>
      <c r="F6" s="40"/>
      <c r="G6" s="40"/>
      <c r="H6" s="53"/>
      <c r="I6" s="59"/>
      <c r="J6" s="40"/>
      <c r="K6" s="59"/>
      <c r="M6" s="56"/>
      <c r="N6" s="56"/>
      <c r="O6" s="53"/>
      <c r="P6" s="40"/>
      <c r="Q6" s="60"/>
      <c r="R6" s="60"/>
    </row>
    <row r="7" spans="1:18" x14ac:dyDescent="0.2">
      <c r="A7" s="53"/>
      <c r="B7" s="53"/>
      <c r="C7" s="53"/>
      <c r="D7" s="53"/>
      <c r="E7" s="53"/>
      <c r="F7" s="40"/>
      <c r="G7" s="40"/>
      <c r="H7" s="53"/>
      <c r="I7" s="59"/>
      <c r="J7" s="40"/>
      <c r="K7" s="59"/>
      <c r="M7" s="56"/>
      <c r="N7" s="56"/>
      <c r="O7" s="53"/>
      <c r="P7" s="40"/>
      <c r="Q7" s="60"/>
      <c r="R7" s="60"/>
    </row>
    <row r="8" spans="1:18" x14ac:dyDescent="0.2">
      <c r="A8" s="53"/>
      <c r="B8" s="53"/>
      <c r="C8" s="53"/>
      <c r="D8" s="53"/>
      <c r="E8" s="53"/>
      <c r="F8" s="40"/>
      <c r="G8" s="40"/>
      <c r="H8" s="53"/>
      <c r="I8" s="59"/>
      <c r="J8" s="40"/>
      <c r="K8" s="59"/>
      <c r="M8" s="56"/>
      <c r="N8" s="56"/>
      <c r="O8" s="53"/>
      <c r="P8" s="40"/>
      <c r="Q8" s="60"/>
      <c r="R8" s="60"/>
    </row>
    <row r="9" spans="1:18" x14ac:dyDescent="0.2">
      <c r="A9" s="53"/>
      <c r="B9" s="53"/>
      <c r="C9" s="53"/>
      <c r="D9" s="53"/>
      <c r="E9" s="53"/>
      <c r="F9" s="40"/>
      <c r="G9" s="40"/>
      <c r="H9" s="53"/>
      <c r="I9" s="59"/>
      <c r="J9" s="40"/>
      <c r="K9" s="59"/>
      <c r="M9" s="56"/>
      <c r="N9" s="56"/>
      <c r="O9" s="53"/>
      <c r="P9" s="40"/>
      <c r="Q9" s="60"/>
      <c r="R9" s="60"/>
    </row>
    <row r="10" spans="1:18" x14ac:dyDescent="0.2">
      <c r="A10" s="53"/>
      <c r="B10" s="53"/>
      <c r="C10" s="53"/>
      <c r="D10" s="53"/>
      <c r="E10" s="53"/>
      <c r="F10" s="40"/>
      <c r="G10" s="40"/>
      <c r="H10" s="53"/>
      <c r="I10" s="59"/>
      <c r="J10" s="40"/>
      <c r="K10" s="59"/>
      <c r="M10" s="56"/>
      <c r="N10" s="56"/>
      <c r="O10" s="53"/>
      <c r="P10" s="40"/>
      <c r="Q10" s="60"/>
      <c r="R10" s="60"/>
    </row>
    <row r="11" spans="1:18" x14ac:dyDescent="0.2">
      <c r="A11" s="53"/>
      <c r="B11" s="53"/>
      <c r="C11" s="53"/>
      <c r="D11" s="53"/>
      <c r="E11" s="53"/>
      <c r="F11" s="40"/>
      <c r="G11" s="40"/>
      <c r="H11" s="53"/>
      <c r="I11" s="59"/>
      <c r="J11" s="40"/>
      <c r="K11" s="59"/>
      <c r="M11" s="56"/>
      <c r="N11" s="56"/>
      <c r="O11" s="53"/>
      <c r="P11" s="40"/>
      <c r="Q11" s="60"/>
      <c r="R11" s="60"/>
    </row>
    <row r="12" spans="1:18" x14ac:dyDescent="0.2">
      <c r="A12" s="53"/>
      <c r="B12" s="53"/>
      <c r="C12" s="53"/>
      <c r="D12" s="53"/>
      <c r="E12" s="53"/>
      <c r="F12" s="40"/>
      <c r="G12" s="40"/>
      <c r="H12" s="53"/>
      <c r="I12" s="59"/>
      <c r="J12" s="40"/>
      <c r="K12" s="59"/>
      <c r="M12" s="56"/>
      <c r="N12" s="56"/>
      <c r="O12" s="53"/>
      <c r="P12" s="40"/>
      <c r="Q12" s="60"/>
      <c r="R12" s="60"/>
    </row>
    <row r="13" spans="1:18" x14ac:dyDescent="0.2">
      <c r="A13" s="53"/>
      <c r="B13" s="53"/>
      <c r="C13" s="53"/>
      <c r="D13" s="53"/>
      <c r="E13" s="53"/>
      <c r="F13" s="40"/>
      <c r="G13" s="40"/>
      <c r="H13" s="53"/>
      <c r="I13" s="59"/>
      <c r="J13" s="40"/>
      <c r="K13" s="59"/>
      <c r="M13" s="56"/>
      <c r="N13" s="56"/>
      <c r="O13" s="53"/>
      <c r="P13" s="40"/>
      <c r="Q13" s="60"/>
      <c r="R13" s="60"/>
    </row>
    <row r="14" spans="1:18" x14ac:dyDescent="0.2">
      <c r="A14" s="53"/>
      <c r="B14" s="53"/>
      <c r="C14" s="53"/>
      <c r="D14" s="53"/>
      <c r="E14" s="53"/>
      <c r="F14" s="40"/>
      <c r="G14" s="40"/>
      <c r="H14" s="53"/>
      <c r="I14" s="59"/>
      <c r="J14" s="40"/>
      <c r="K14" s="59"/>
      <c r="M14" s="56"/>
      <c r="N14" s="56"/>
      <c r="O14" s="53"/>
      <c r="P14" s="40"/>
      <c r="Q14" s="60"/>
      <c r="R14" s="60"/>
    </row>
    <row r="15" spans="1:18" x14ac:dyDescent="0.2">
      <c r="A15" s="53"/>
      <c r="B15" s="53"/>
      <c r="C15" s="53"/>
      <c r="D15" s="53"/>
      <c r="E15" s="53"/>
      <c r="F15" s="40"/>
      <c r="G15" s="40"/>
      <c r="H15" s="53"/>
      <c r="I15" s="59"/>
      <c r="J15" s="40"/>
      <c r="K15" s="59"/>
      <c r="M15" s="56"/>
      <c r="N15" s="56"/>
      <c r="O15" s="53"/>
      <c r="P15" s="40"/>
      <c r="Q15" s="60"/>
      <c r="R15" s="60"/>
    </row>
    <row r="16" spans="1:18" x14ac:dyDescent="0.2">
      <c r="A16" s="53"/>
      <c r="B16" s="53"/>
      <c r="C16" s="53"/>
      <c r="D16" s="53"/>
      <c r="E16" s="53"/>
      <c r="F16" s="40"/>
      <c r="G16" s="40"/>
      <c r="H16" s="53"/>
      <c r="I16" s="59"/>
      <c r="J16" s="40"/>
      <c r="K16" s="59"/>
      <c r="M16" s="56"/>
      <c r="N16" s="56"/>
      <c r="O16" s="53"/>
      <c r="P16" s="40"/>
      <c r="Q16" s="60"/>
      <c r="R16" s="60"/>
    </row>
    <row r="17" spans="1:18" x14ac:dyDescent="0.2">
      <c r="A17" s="53"/>
      <c r="B17" s="53"/>
      <c r="C17" s="53"/>
      <c r="D17" s="53"/>
      <c r="E17" s="53"/>
      <c r="F17" s="40"/>
      <c r="G17" s="40"/>
      <c r="H17" s="53"/>
      <c r="I17" s="59"/>
      <c r="J17" s="40"/>
      <c r="K17" s="59"/>
      <c r="M17" s="56"/>
      <c r="N17" s="56"/>
      <c r="O17" s="53"/>
      <c r="P17" s="40"/>
      <c r="Q17" s="60"/>
      <c r="R17" s="60"/>
    </row>
    <row r="18" spans="1:18" x14ac:dyDescent="0.2">
      <c r="A18" s="53"/>
      <c r="B18" s="53"/>
      <c r="C18" s="53"/>
      <c r="D18" s="53"/>
      <c r="E18" s="53"/>
      <c r="F18" s="40"/>
      <c r="G18" s="40"/>
      <c r="H18" s="53"/>
      <c r="I18" s="59"/>
      <c r="J18" s="40"/>
      <c r="K18" s="59"/>
      <c r="M18" s="56"/>
      <c r="N18" s="56"/>
      <c r="O18" s="53"/>
      <c r="P18" s="40"/>
      <c r="Q18" s="60"/>
      <c r="R18" s="60"/>
    </row>
    <row r="19" spans="1:18" x14ac:dyDescent="0.2">
      <c r="A19" s="53"/>
      <c r="B19" s="53"/>
      <c r="C19" s="53"/>
      <c r="D19" s="53"/>
      <c r="E19" s="53"/>
      <c r="F19" s="40"/>
      <c r="G19" s="40"/>
      <c r="H19" s="53"/>
      <c r="I19" s="59"/>
      <c r="J19" s="40"/>
      <c r="K19" s="59"/>
      <c r="M19" s="56"/>
      <c r="N19" s="56"/>
      <c r="O19" s="53"/>
      <c r="P19" s="40"/>
      <c r="Q19" s="60"/>
      <c r="R19" s="60"/>
    </row>
    <row r="20" spans="1:18" x14ac:dyDescent="0.2">
      <c r="E20" s="53"/>
      <c r="F20" s="40"/>
      <c r="G20" s="40"/>
      <c r="H20" s="53"/>
      <c r="P20" s="40"/>
    </row>
  </sheetData>
  <sheetProtection formatColumns="0"/>
  <dataValidations count="5">
    <dataValidation type="list" allowBlank="1" showInputMessage="1" showErrorMessage="1" sqref="E2:E20" xr:uid="{E23EC8A3-8AFB-4C71-8A6E-AE3414CD3D09}">
      <formula1>other_investments</formula1>
    </dataValidation>
    <dataValidation type="list" allowBlank="1" showInputMessage="1" showErrorMessage="1" sqref="G2:G20" xr:uid="{6C0FDFB6-DB7A-4FFA-9333-DD5591F2975E}">
      <formula1>Country_list</formula1>
    </dataValidation>
    <dataValidation type="list" allowBlank="1" showInputMessage="1" showErrorMessage="1" sqref="P2:P20" xr:uid="{5A19FC2A-7DA7-402B-AAC2-039D2BD589E5}">
      <formula1>In_the_books</formula1>
    </dataValidation>
    <dataValidation type="list" allowBlank="1" showInputMessage="1" showErrorMessage="1" sqref="H2:H20" xr:uid="{0D3F1401-AC4C-4788-AF3F-89B6AE0C52EB}">
      <formula1>Holding_interest</formula1>
    </dataValidation>
    <dataValidation type="list" allowBlank="1" showInputMessage="1" showErrorMessage="1" sqref="F2:F20" xr:uid="{152462FE-E5D1-4F39-8328-9F884E8879A0}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6D2-73F0-4C59-8E53-642415346B7B}">
  <sheetPr codeName="Sheet30"/>
  <dimension ref="A1:T22"/>
  <sheetViews>
    <sheetView rightToLeft="1" workbookViewId="0"/>
  </sheetViews>
  <sheetFormatPr defaultColWidth="11.625" defaultRowHeight="14.1" customHeight="1" x14ac:dyDescent="0.2"/>
  <cols>
    <col min="1" max="6" width="11.625" style="38" customWidth="1"/>
    <col min="7" max="7" width="11.625" style="61" customWidth="1"/>
    <col min="8" max="14" width="11.625" style="38" customWidth="1"/>
    <col min="15" max="15" width="11.625" style="41" customWidth="1"/>
    <col min="16" max="16" width="11.625" style="46" customWidth="1"/>
    <col min="17" max="19" width="11.625" style="38" customWidth="1"/>
    <col min="20" max="20" width="11.625" style="46"/>
    <col min="21" max="16384" width="11.625" style="38"/>
  </cols>
  <sheetData>
    <row r="1" spans="1:20" ht="66.75" customHeight="1" x14ac:dyDescent="0.2">
      <c r="A1" s="34" t="s">
        <v>52</v>
      </c>
      <c r="B1" s="34" t="s">
        <v>53</v>
      </c>
      <c r="C1" s="34" t="s">
        <v>1175</v>
      </c>
      <c r="D1" s="34" t="s">
        <v>1176</v>
      </c>
      <c r="E1" s="34" t="s">
        <v>1177</v>
      </c>
      <c r="F1" s="34" t="s">
        <v>1178</v>
      </c>
      <c r="G1" s="47" t="s">
        <v>1214</v>
      </c>
      <c r="H1" s="34" t="s">
        <v>58</v>
      </c>
      <c r="I1" s="34" t="s">
        <v>88</v>
      </c>
      <c r="J1" s="34" t="s">
        <v>59</v>
      </c>
      <c r="K1" s="34" t="s">
        <v>90</v>
      </c>
      <c r="L1" s="34" t="s">
        <v>61</v>
      </c>
      <c r="M1" s="34" t="s">
        <v>1183</v>
      </c>
      <c r="N1" s="34" t="s">
        <v>62</v>
      </c>
      <c r="O1" s="35" t="s">
        <v>64</v>
      </c>
      <c r="P1" s="36" t="s">
        <v>65</v>
      </c>
      <c r="Q1" s="34" t="s">
        <v>1184</v>
      </c>
      <c r="R1" s="34" t="s">
        <v>1215</v>
      </c>
      <c r="S1" s="34" t="s">
        <v>1216</v>
      </c>
      <c r="T1" s="36" t="s">
        <v>1217</v>
      </c>
    </row>
    <row r="2" spans="1:20" ht="14.1" customHeight="1" x14ac:dyDescent="0.2">
      <c r="A2" s="38">
        <v>420</v>
      </c>
      <c r="B2" s="38">
        <v>420</v>
      </c>
      <c r="D2" s="53"/>
      <c r="G2" s="54"/>
      <c r="H2" s="40"/>
      <c r="I2" s="40"/>
      <c r="J2" s="53"/>
      <c r="K2" s="53"/>
      <c r="L2" s="53"/>
      <c r="M2" s="53"/>
      <c r="P2" s="43"/>
      <c r="Q2" s="53"/>
      <c r="R2" s="40"/>
      <c r="S2" s="40"/>
      <c r="T2" s="55"/>
    </row>
    <row r="3" spans="1:20" ht="14.1" customHeight="1" x14ac:dyDescent="0.2">
      <c r="A3" s="38">
        <v>420</v>
      </c>
      <c r="B3" s="38">
        <v>1471</v>
      </c>
      <c r="D3" s="53"/>
      <c r="G3" s="48"/>
      <c r="H3" s="40"/>
      <c r="I3" s="40"/>
      <c r="J3" s="53"/>
      <c r="K3" s="53"/>
      <c r="L3" s="53"/>
      <c r="M3" s="53"/>
      <c r="Q3" s="53"/>
    </row>
    <row r="4" spans="1:20" ht="14.1" customHeight="1" x14ac:dyDescent="0.2">
      <c r="D4" s="53"/>
      <c r="G4" s="48"/>
      <c r="H4" s="40"/>
      <c r="I4" s="40"/>
      <c r="J4" s="53"/>
      <c r="K4" s="53"/>
      <c r="L4" s="53"/>
      <c r="M4" s="53"/>
      <c r="Q4" s="53"/>
    </row>
    <row r="5" spans="1:20" ht="14.1" customHeight="1" x14ac:dyDescent="0.2">
      <c r="D5" s="53"/>
      <c r="G5" s="48"/>
      <c r="H5" s="40"/>
      <c r="I5" s="40"/>
      <c r="J5" s="53"/>
      <c r="K5" s="53"/>
      <c r="L5" s="53"/>
      <c r="M5" s="53"/>
      <c r="Q5" s="53"/>
    </row>
    <row r="6" spans="1:20" ht="14.1" customHeight="1" x14ac:dyDescent="0.2">
      <c r="D6" s="53"/>
      <c r="G6" s="48"/>
      <c r="H6" s="40"/>
      <c r="I6" s="40"/>
      <c r="J6" s="53"/>
      <c r="K6" s="53"/>
      <c r="L6" s="53"/>
      <c r="M6" s="53"/>
      <c r="Q6" s="53"/>
    </row>
    <row r="7" spans="1:20" ht="14.1" customHeight="1" x14ac:dyDescent="0.2">
      <c r="D7" s="53"/>
      <c r="G7" s="48"/>
      <c r="H7" s="40"/>
      <c r="I7" s="40"/>
      <c r="J7" s="53"/>
      <c r="K7" s="53"/>
      <c r="L7" s="53"/>
      <c r="M7" s="53"/>
      <c r="Q7" s="53"/>
    </row>
    <row r="8" spans="1:20" ht="14.1" customHeight="1" x14ac:dyDescent="0.2">
      <c r="D8" s="53"/>
      <c r="G8" s="48"/>
      <c r="H8" s="40"/>
      <c r="I8" s="40"/>
      <c r="J8" s="53"/>
      <c r="K8" s="53"/>
      <c r="L8" s="53"/>
      <c r="M8" s="53"/>
      <c r="Q8" s="53"/>
    </row>
    <row r="9" spans="1:20" ht="14.1" customHeight="1" x14ac:dyDescent="0.2">
      <c r="D9" s="53"/>
      <c r="G9" s="48"/>
      <c r="H9" s="40"/>
      <c r="I9" s="40"/>
      <c r="J9" s="53"/>
      <c r="K9" s="53"/>
      <c r="L9" s="53"/>
      <c r="M9" s="53"/>
      <c r="Q9" s="53"/>
    </row>
    <row r="10" spans="1:20" ht="13.5" customHeight="1" x14ac:dyDescent="0.2">
      <c r="D10" s="53"/>
      <c r="G10" s="48"/>
      <c r="H10" s="40"/>
      <c r="I10" s="40"/>
      <c r="J10" s="53"/>
      <c r="K10" s="53"/>
      <c r="L10" s="53"/>
      <c r="M10" s="53"/>
      <c r="Q10" s="53"/>
    </row>
    <row r="11" spans="1:20" ht="13.5" customHeight="1" x14ac:dyDescent="0.2">
      <c r="D11" s="53"/>
      <c r="G11" s="48"/>
      <c r="H11" s="40"/>
      <c r="I11" s="40"/>
      <c r="J11" s="53"/>
      <c r="K11" s="53"/>
      <c r="L11" s="53"/>
      <c r="M11" s="53"/>
      <c r="Q11" s="53"/>
    </row>
    <row r="12" spans="1:20" ht="14.1" customHeight="1" x14ac:dyDescent="0.2">
      <c r="D12" s="53"/>
      <c r="G12" s="48"/>
      <c r="H12" s="40"/>
      <c r="I12" s="40"/>
      <c r="J12" s="53"/>
      <c r="K12" s="53"/>
      <c r="L12" s="53"/>
      <c r="M12" s="53"/>
      <c r="Q12" s="53"/>
    </row>
    <row r="13" spans="1:20" ht="14.1" customHeight="1" x14ac:dyDescent="0.2">
      <c r="D13" s="53"/>
      <c r="G13" s="48"/>
      <c r="H13" s="40"/>
      <c r="I13" s="40"/>
      <c r="J13" s="53"/>
      <c r="K13" s="53"/>
      <c r="L13" s="53"/>
      <c r="M13" s="53"/>
      <c r="Q13" s="53"/>
    </row>
    <row r="14" spans="1:20" ht="14.1" customHeight="1" x14ac:dyDescent="0.2">
      <c r="D14" s="53"/>
      <c r="G14" s="48"/>
      <c r="H14" s="40"/>
      <c r="I14" s="40"/>
      <c r="J14" s="53"/>
      <c r="K14" s="53"/>
      <c r="L14" s="53"/>
      <c r="M14" s="53"/>
      <c r="Q14" s="53"/>
    </row>
    <row r="15" spans="1:20" ht="14.1" customHeight="1" x14ac:dyDescent="0.2">
      <c r="D15" s="53"/>
      <c r="G15" s="48"/>
      <c r="H15" s="40"/>
      <c r="I15" s="40"/>
      <c r="J15" s="53"/>
      <c r="K15" s="53"/>
      <c r="L15" s="53"/>
      <c r="M15" s="53"/>
      <c r="Q15" s="53"/>
    </row>
    <row r="16" spans="1:20" ht="14.1" customHeight="1" x14ac:dyDescent="0.2">
      <c r="D16" s="53"/>
      <c r="G16" s="48"/>
      <c r="H16" s="40"/>
      <c r="I16" s="40"/>
      <c r="J16" s="53"/>
      <c r="K16" s="53"/>
      <c r="L16" s="53"/>
      <c r="M16" s="53"/>
      <c r="Q16" s="53"/>
    </row>
    <row r="17" spans="4:17" ht="14.1" customHeight="1" x14ac:dyDescent="0.2">
      <c r="D17" s="53"/>
      <c r="G17" s="48"/>
      <c r="H17" s="40"/>
      <c r="I17" s="40"/>
      <c r="J17" s="53"/>
      <c r="K17" s="53"/>
      <c r="L17" s="53"/>
      <c r="M17" s="53"/>
      <c r="Q17" s="53"/>
    </row>
    <row r="18" spans="4:17" ht="14.1" customHeight="1" x14ac:dyDescent="0.2">
      <c r="D18" s="53"/>
      <c r="G18" s="48"/>
      <c r="H18" s="40"/>
      <c r="I18" s="40"/>
      <c r="J18" s="53"/>
      <c r="K18" s="53"/>
      <c r="L18" s="53"/>
      <c r="M18" s="53"/>
      <c r="Q18" s="53"/>
    </row>
    <row r="19" spans="4:17" ht="14.1" customHeight="1" x14ac:dyDescent="0.2">
      <c r="D19" s="53"/>
      <c r="G19" s="48"/>
      <c r="H19" s="40"/>
      <c r="I19" s="40"/>
      <c r="J19" s="53"/>
      <c r="K19" s="53"/>
      <c r="L19" s="53"/>
      <c r="M19" s="53"/>
      <c r="Q19" s="53"/>
    </row>
    <row r="20" spans="4:17" ht="14.1" customHeight="1" x14ac:dyDescent="0.2">
      <c r="D20" s="53"/>
      <c r="G20" s="48"/>
      <c r="H20" s="40"/>
      <c r="I20" s="40"/>
      <c r="J20" s="53"/>
      <c r="L20" s="53"/>
      <c r="M20" s="53"/>
      <c r="Q20" s="53"/>
    </row>
    <row r="21" spans="4:17" ht="14.1" customHeight="1" x14ac:dyDescent="0.2">
      <c r="D21" s="45"/>
      <c r="J21" s="39"/>
    </row>
    <row r="22" spans="4:17" ht="14.1" customHeight="1" x14ac:dyDescent="0.2">
      <c r="D22" s="45"/>
    </row>
  </sheetData>
  <sheetProtection formatColumns="0"/>
  <dataConsolidate/>
  <dataValidations count="8">
    <dataValidation type="list" allowBlank="1" showInputMessage="1" showErrorMessage="1" sqref="M2:M20" xr:uid="{D24D06AC-31B4-4E6F-B4FB-74EB11472E27}">
      <formula1>what_is_rated_loans</formula1>
    </dataValidation>
    <dataValidation type="list" allowBlank="1" showInputMessage="1" showErrorMessage="1" sqref="J2:J20" xr:uid="{6B5DA542-E955-4E4B-BB16-3CFCFC7D8579}">
      <formula1>Holding_interest</formula1>
    </dataValidation>
    <dataValidation type="list" allowBlank="1" showInputMessage="1" showErrorMessage="1" sqref="Q2:Q20" xr:uid="{1EEC9210-CBED-4781-9453-382D37ECC8BC}">
      <formula1>Type_of_Interest_Rate</formula1>
    </dataValidation>
    <dataValidation type="list" allowBlank="1" showInputMessage="1" showErrorMessage="1" sqref="L2:L20" xr:uid="{958874BB-78DB-4C7B-92B8-A09EFB1BC09E}">
      <formula1>Rating_Agency</formula1>
    </dataValidation>
    <dataValidation type="list" allowBlank="1" showInputMessage="1" showErrorMessage="1" sqref="D2:D20" xr:uid="{CFF2B00B-0629-4B3E-87CD-6F6DDFC6D005}">
      <formula1>issuer_number_loan</formula1>
    </dataValidation>
    <dataValidation type="list" allowBlank="1" showInputMessage="1" showErrorMessage="1" sqref="C8" xr:uid="{8AB2D333-9C62-4385-A00B-C20C7A4547D9}">
      <formula1>#REF!</formula1>
    </dataValidation>
    <dataValidation type="list" allowBlank="1" showInputMessage="1" showErrorMessage="1" sqref="I2:I20" xr:uid="{939A9A2A-D82D-4599-B5DF-F784F32A778C}">
      <formula1>Country_list</formula1>
    </dataValidation>
    <dataValidation type="list" allowBlank="1" showInputMessage="1" showErrorMessage="1" sqref="H2:H20" xr:uid="{88F43BB0-3D39-4648-BED2-AE404AE715A3}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EDC7-8EE4-4291-84F5-82A836DF4705}">
  <sheetPr codeName="Sheet34"/>
  <dimension ref="A1:V25"/>
  <sheetViews>
    <sheetView rightToLeft="1" workbookViewId="0">
      <selection activeCell="D17" sqref="D17"/>
    </sheetView>
  </sheetViews>
  <sheetFormatPr defaultColWidth="11.625" defaultRowHeight="14.1" customHeight="1" x14ac:dyDescent="0.2"/>
  <cols>
    <col min="1" max="2" width="11.625" style="38" customWidth="1"/>
    <col min="3" max="3" width="14.75" style="38" bestFit="1" customWidth="1"/>
    <col min="4" max="4" width="48.375" style="38" customWidth="1"/>
    <col min="5" max="5" width="13.5" style="38" bestFit="1" customWidth="1"/>
    <col min="6" max="6" width="22.75" style="38" bestFit="1" customWidth="1"/>
    <col min="7" max="7" width="24.375" style="38" bestFit="1" customWidth="1"/>
    <col min="8" max="8" width="11.625" style="38" customWidth="1"/>
    <col min="9" max="9" width="12.625" style="38" customWidth="1"/>
    <col min="10" max="10" width="11.625" style="38" customWidth="1"/>
    <col min="11" max="11" width="11.625" style="61" customWidth="1"/>
    <col min="12" max="13" width="11.625" style="41" customWidth="1"/>
    <col min="14" max="14" width="12" style="41" bestFit="1" customWidth="1"/>
    <col min="15" max="15" width="11.625" style="41" customWidth="1"/>
    <col min="16" max="16" width="11.625" style="46" customWidth="1"/>
    <col min="17" max="17" width="11.625" style="61" customWidth="1"/>
    <col min="18" max="22" width="11.625" style="38" customWidth="1"/>
    <col min="23" max="16384" width="11.625" style="38"/>
  </cols>
  <sheetData>
    <row r="1" spans="1:22" ht="66.75" customHeight="1" x14ac:dyDescent="0.2">
      <c r="A1" s="34" t="s">
        <v>52</v>
      </c>
      <c r="B1" s="34" t="s">
        <v>53</v>
      </c>
      <c r="C1" s="34" t="s">
        <v>57</v>
      </c>
      <c r="D1" s="34" t="s">
        <v>1024</v>
      </c>
      <c r="E1" s="34" t="s">
        <v>1025</v>
      </c>
      <c r="F1" s="34" t="s">
        <v>1026</v>
      </c>
      <c r="G1" s="34" t="s">
        <v>1027</v>
      </c>
      <c r="H1" s="34" t="s">
        <v>1028</v>
      </c>
      <c r="I1" s="34" t="s">
        <v>1029</v>
      </c>
      <c r="J1" s="34" t="s">
        <v>62</v>
      </c>
      <c r="K1" s="47" t="s">
        <v>1218</v>
      </c>
      <c r="L1" s="35" t="s">
        <v>1219</v>
      </c>
      <c r="M1" s="35" t="s">
        <v>1220</v>
      </c>
      <c r="N1" s="35" t="s">
        <v>1221</v>
      </c>
      <c r="O1" s="35" t="s">
        <v>1222</v>
      </c>
      <c r="P1" s="36" t="s">
        <v>1223</v>
      </c>
      <c r="Q1" s="47" t="s">
        <v>1224</v>
      </c>
    </row>
    <row r="2" spans="1:22" ht="14.1" customHeight="1" x14ac:dyDescent="0.2">
      <c r="A2" s="38">
        <v>420</v>
      </c>
      <c r="B2" s="38">
        <v>420</v>
      </c>
      <c r="C2" s="38" t="s">
        <v>1225</v>
      </c>
      <c r="D2" s="38" t="s">
        <v>1111</v>
      </c>
      <c r="E2" s="38">
        <v>513872440</v>
      </c>
      <c r="F2" s="53" t="s">
        <v>150</v>
      </c>
      <c r="G2" s="38" t="s">
        <v>2120</v>
      </c>
      <c r="H2" s="38">
        <v>800078545</v>
      </c>
      <c r="I2" s="53" t="s">
        <v>105</v>
      </c>
      <c r="J2" s="39" t="s">
        <v>77</v>
      </c>
      <c r="K2" s="59">
        <v>42005</v>
      </c>
      <c r="L2" s="42">
        <v>80</v>
      </c>
      <c r="M2" s="42">
        <v>377.96800000000002</v>
      </c>
      <c r="N2" s="42">
        <v>7.2</v>
      </c>
      <c r="O2" s="42">
        <v>28.477439999999998</v>
      </c>
      <c r="P2" s="60">
        <v>0.09</v>
      </c>
      <c r="Q2" s="48">
        <v>44196</v>
      </c>
      <c r="V2" s="40"/>
    </row>
    <row r="3" spans="1:22" ht="14.1" customHeight="1" x14ac:dyDescent="0.2">
      <c r="A3" s="38">
        <v>420</v>
      </c>
      <c r="B3" s="38">
        <v>420</v>
      </c>
      <c r="C3" s="38" t="s">
        <v>1225</v>
      </c>
      <c r="D3" s="38" t="s">
        <v>2121</v>
      </c>
      <c r="E3" s="38">
        <v>515527968</v>
      </c>
      <c r="F3" s="53" t="s">
        <v>150</v>
      </c>
      <c r="G3" s="38" t="s">
        <v>1109</v>
      </c>
      <c r="H3" s="39">
        <v>800078164</v>
      </c>
      <c r="I3" s="53" t="s">
        <v>105</v>
      </c>
      <c r="J3" s="39" t="s">
        <v>77</v>
      </c>
      <c r="K3" s="59" t="s">
        <v>1110</v>
      </c>
      <c r="L3" s="42">
        <v>140</v>
      </c>
      <c r="M3" s="42">
        <v>587.27200000000005</v>
      </c>
      <c r="N3" s="42">
        <v>2.16</v>
      </c>
      <c r="O3" s="42">
        <v>8.5432319999999997</v>
      </c>
      <c r="P3" s="60">
        <v>1.542857142857143E-2</v>
      </c>
      <c r="Q3" s="48">
        <v>45869</v>
      </c>
      <c r="V3" s="40"/>
    </row>
    <row r="4" spans="1:22" ht="13.5" customHeight="1" x14ac:dyDescent="0.2">
      <c r="A4" s="38">
        <v>420</v>
      </c>
      <c r="B4" s="38">
        <v>420</v>
      </c>
      <c r="C4" s="38" t="s">
        <v>1225</v>
      </c>
      <c r="D4" s="38" t="s">
        <v>1123</v>
      </c>
      <c r="E4" s="38">
        <v>516190006</v>
      </c>
      <c r="F4" s="53" t="s">
        <v>150</v>
      </c>
      <c r="G4" s="38" t="s">
        <v>1124</v>
      </c>
      <c r="H4" s="39">
        <v>800081697</v>
      </c>
      <c r="I4" s="53" t="s">
        <v>105</v>
      </c>
      <c r="J4" s="39" t="s">
        <v>77</v>
      </c>
      <c r="K4" s="59" t="s">
        <v>1125</v>
      </c>
      <c r="L4" s="42">
        <v>140</v>
      </c>
      <c r="M4" s="42">
        <v>543.64800000000002</v>
      </c>
      <c r="N4" s="42">
        <v>23.539000000000001</v>
      </c>
      <c r="O4" s="42">
        <v>93.101452800000004</v>
      </c>
      <c r="P4" s="60">
        <v>0.1681357142857143</v>
      </c>
      <c r="Q4" s="48">
        <v>48029</v>
      </c>
      <c r="V4" s="40"/>
    </row>
    <row r="5" spans="1:22" ht="13.5" customHeight="1" x14ac:dyDescent="0.2">
      <c r="A5" s="38">
        <v>420</v>
      </c>
      <c r="B5" s="38">
        <v>420</v>
      </c>
      <c r="C5" s="38" t="s">
        <v>1225</v>
      </c>
      <c r="D5" s="38" t="s">
        <v>1042</v>
      </c>
      <c r="E5" s="38">
        <v>540295888</v>
      </c>
      <c r="F5" s="53" t="s">
        <v>150</v>
      </c>
      <c r="G5" s="38" t="s">
        <v>1043</v>
      </c>
      <c r="H5" s="39">
        <v>800077414</v>
      </c>
      <c r="I5" s="53" t="s">
        <v>105</v>
      </c>
      <c r="J5" s="39" t="s">
        <v>77</v>
      </c>
      <c r="K5" s="59">
        <v>44837</v>
      </c>
      <c r="L5" s="42">
        <v>150</v>
      </c>
      <c r="M5" s="42">
        <v>541.86</v>
      </c>
      <c r="N5" s="42">
        <v>53.591000000000001</v>
      </c>
      <c r="O5" s="42">
        <v>211.96312320000001</v>
      </c>
      <c r="P5" s="60">
        <v>0.35727333333333333</v>
      </c>
      <c r="Q5" s="48">
        <v>47664</v>
      </c>
      <c r="V5" s="40"/>
    </row>
    <row r="6" spans="1:22" ht="14.1" customHeight="1" x14ac:dyDescent="0.2">
      <c r="A6" s="38">
        <v>420</v>
      </c>
      <c r="B6" s="38">
        <v>420</v>
      </c>
      <c r="C6" s="38" t="s">
        <v>1225</v>
      </c>
      <c r="D6" s="38" t="s">
        <v>1053</v>
      </c>
      <c r="E6" s="38" t="s">
        <v>1054</v>
      </c>
      <c r="F6" s="53" t="s">
        <v>1055</v>
      </c>
      <c r="G6" s="38" t="s">
        <v>1056</v>
      </c>
      <c r="H6" s="39">
        <v>800080335</v>
      </c>
      <c r="I6" s="53" t="s">
        <v>105</v>
      </c>
      <c r="J6" s="39" t="s">
        <v>77</v>
      </c>
      <c r="K6" s="59">
        <v>44411</v>
      </c>
      <c r="L6" s="42">
        <v>150</v>
      </c>
      <c r="M6" s="42">
        <v>593.625</v>
      </c>
      <c r="N6" s="42">
        <v>10.849989999999991</v>
      </c>
      <c r="O6" s="42">
        <v>42.913880447999965</v>
      </c>
      <c r="P6" s="60">
        <v>7.2333266666666604E-2</v>
      </c>
      <c r="Q6" s="48">
        <v>46573</v>
      </c>
      <c r="V6" s="40"/>
    </row>
    <row r="7" spans="1:22" ht="14.1" customHeight="1" x14ac:dyDescent="0.2">
      <c r="A7" s="38">
        <v>420</v>
      </c>
      <c r="B7" s="38">
        <v>420</v>
      </c>
      <c r="C7" s="38" t="s">
        <v>1225</v>
      </c>
      <c r="D7" s="38" t="s">
        <v>1073</v>
      </c>
      <c r="E7" s="38" t="s">
        <v>1074</v>
      </c>
      <c r="F7" s="53" t="s">
        <v>1055</v>
      </c>
      <c r="G7" s="38" t="s">
        <v>1075</v>
      </c>
      <c r="H7" s="39">
        <v>800078552</v>
      </c>
      <c r="I7" s="53" t="s">
        <v>105</v>
      </c>
      <c r="J7" s="39" t="s">
        <v>81</v>
      </c>
      <c r="K7" s="59">
        <v>44314</v>
      </c>
      <c r="L7" s="42">
        <v>155</v>
      </c>
      <c r="M7" s="42">
        <v>503.90499999999997</v>
      </c>
      <c r="N7" s="42">
        <v>36.968929999999993</v>
      </c>
      <c r="O7" s="42">
        <v>124.65923195999997</v>
      </c>
      <c r="P7" s="60">
        <v>0.23850922580645156</v>
      </c>
      <c r="Q7" s="48">
        <v>46142</v>
      </c>
      <c r="V7" s="40"/>
    </row>
    <row r="8" spans="1:22" ht="14.1" customHeight="1" x14ac:dyDescent="0.2">
      <c r="A8" s="38">
        <v>420</v>
      </c>
      <c r="B8" s="38">
        <v>420</v>
      </c>
      <c r="C8" s="38" t="s">
        <v>1225</v>
      </c>
      <c r="D8" s="38" t="s">
        <v>1118</v>
      </c>
      <c r="E8" s="38" t="s">
        <v>1119</v>
      </c>
      <c r="F8" s="53" t="s">
        <v>1055</v>
      </c>
      <c r="G8" s="38" t="s">
        <v>1120</v>
      </c>
      <c r="H8" s="39">
        <v>800082026</v>
      </c>
      <c r="I8" s="53" t="s">
        <v>105</v>
      </c>
      <c r="J8" s="39" t="s">
        <v>77</v>
      </c>
      <c r="K8" s="59" t="s">
        <v>1122</v>
      </c>
      <c r="L8" s="42">
        <v>180</v>
      </c>
      <c r="M8" s="42">
        <v>682.70399999999995</v>
      </c>
      <c r="N8" s="42">
        <v>47.796790000000009</v>
      </c>
      <c r="O8" s="42">
        <v>189.04586380800004</v>
      </c>
      <c r="P8" s="60">
        <v>0.26553772222222227</v>
      </c>
      <c r="Q8" s="48">
        <v>47269</v>
      </c>
      <c r="V8" s="40"/>
    </row>
    <row r="9" spans="1:22" ht="14.1" customHeight="1" x14ac:dyDescent="0.2">
      <c r="A9" s="38">
        <v>420</v>
      </c>
      <c r="B9" s="38">
        <v>420</v>
      </c>
      <c r="C9" s="38" t="s">
        <v>1225</v>
      </c>
      <c r="D9" s="38" t="s">
        <v>1129</v>
      </c>
      <c r="E9" s="38" t="s">
        <v>1128</v>
      </c>
      <c r="F9" s="53" t="s">
        <v>1055</v>
      </c>
      <c r="G9" s="38" t="s">
        <v>1129</v>
      </c>
      <c r="H9" s="39">
        <v>800075749</v>
      </c>
      <c r="I9" s="53" t="s">
        <v>105</v>
      </c>
      <c r="J9" s="39" t="s">
        <v>81</v>
      </c>
      <c r="K9" s="59">
        <v>44315</v>
      </c>
      <c r="L9" s="42">
        <v>230</v>
      </c>
      <c r="M9" s="42">
        <v>746.58</v>
      </c>
      <c r="N9" s="42">
        <v>7.1459999999999999</v>
      </c>
      <c r="O9" s="42">
        <v>24.096311999999998</v>
      </c>
      <c r="P9" s="60">
        <v>3.1069565217391303E-2</v>
      </c>
      <c r="Q9" s="48">
        <v>48060</v>
      </c>
      <c r="V9" s="40"/>
    </row>
    <row r="10" spans="1:22" ht="14.1" customHeight="1" x14ac:dyDescent="0.2">
      <c r="A10" s="38">
        <v>420</v>
      </c>
      <c r="B10" s="38">
        <v>420</v>
      </c>
      <c r="C10" s="38" t="s">
        <v>1225</v>
      </c>
      <c r="D10" s="38" t="s">
        <v>1077</v>
      </c>
      <c r="E10" s="38" t="s">
        <v>1078</v>
      </c>
      <c r="F10" s="53" t="s">
        <v>1055</v>
      </c>
      <c r="G10" s="38" t="s">
        <v>1079</v>
      </c>
      <c r="H10" s="39">
        <v>800076937</v>
      </c>
      <c r="I10" s="53" t="s">
        <v>105</v>
      </c>
      <c r="J10" s="39" t="s">
        <v>81</v>
      </c>
      <c r="K10" s="59">
        <v>43898</v>
      </c>
      <c r="L10" s="42">
        <v>350</v>
      </c>
      <c r="M10" s="42">
        <v>1220.0999999999999</v>
      </c>
      <c r="N10" s="42">
        <v>66.5</v>
      </c>
      <c r="O10" s="42">
        <v>224.238</v>
      </c>
      <c r="P10" s="60">
        <v>0.19</v>
      </c>
      <c r="Q10" s="48">
        <v>47483</v>
      </c>
      <c r="V10" s="40"/>
    </row>
    <row r="11" spans="1:22" ht="14.1" customHeight="1" x14ac:dyDescent="0.2">
      <c r="A11" s="38">
        <v>420</v>
      </c>
      <c r="B11" s="38">
        <v>420</v>
      </c>
      <c r="C11" s="38" t="s">
        <v>1225</v>
      </c>
      <c r="D11" s="38" t="s">
        <v>1101</v>
      </c>
      <c r="E11" s="38" t="s">
        <v>1102</v>
      </c>
      <c r="F11" s="53" t="s">
        <v>1055</v>
      </c>
      <c r="G11" s="38" t="s">
        <v>1103</v>
      </c>
      <c r="H11" s="39">
        <v>800078198</v>
      </c>
      <c r="I11" s="53" t="s">
        <v>105</v>
      </c>
      <c r="J11" s="39" t="s">
        <v>81</v>
      </c>
      <c r="K11" s="59">
        <v>44684</v>
      </c>
      <c r="L11" s="42">
        <v>420</v>
      </c>
      <c r="M11" s="42">
        <v>1414.98</v>
      </c>
      <c r="N11" s="42">
        <v>66.989999999999995</v>
      </c>
      <c r="O11" s="42">
        <v>225.89027999999999</v>
      </c>
      <c r="P11" s="46">
        <v>0.15949999999999998</v>
      </c>
      <c r="Q11" s="48">
        <v>46096</v>
      </c>
    </row>
    <row r="12" spans="1:22" ht="14.1" customHeight="1" x14ac:dyDescent="0.2">
      <c r="A12" s="38">
        <v>420</v>
      </c>
      <c r="B12" s="38">
        <v>420</v>
      </c>
      <c r="C12" s="38" t="s">
        <v>1225</v>
      </c>
      <c r="D12" s="38" t="s">
        <v>1091</v>
      </c>
      <c r="E12" s="38" t="s">
        <v>1092</v>
      </c>
      <c r="F12" s="53" t="s">
        <v>1055</v>
      </c>
      <c r="G12" s="38" t="s">
        <v>1093</v>
      </c>
      <c r="H12" s="39">
        <v>800078172</v>
      </c>
      <c r="I12" s="53" t="s">
        <v>105</v>
      </c>
      <c r="J12" s="38" t="s">
        <v>81</v>
      </c>
      <c r="K12" s="59">
        <v>44297</v>
      </c>
      <c r="L12" s="42">
        <v>500</v>
      </c>
      <c r="M12" s="42">
        <v>1642</v>
      </c>
      <c r="N12" s="42">
        <v>106.967</v>
      </c>
      <c r="O12" s="42">
        <v>360.692724</v>
      </c>
      <c r="P12" s="46">
        <v>0.21393399999999999</v>
      </c>
      <c r="Q12" s="48">
        <v>47238</v>
      </c>
    </row>
    <row r="13" spans="1:22" ht="14.1" customHeight="1" x14ac:dyDescent="0.2">
      <c r="A13" s="38">
        <v>420</v>
      </c>
      <c r="B13" s="38">
        <v>1471</v>
      </c>
      <c r="F13" s="53"/>
      <c r="H13" s="39"/>
      <c r="I13" s="53"/>
      <c r="K13" s="61" t="s">
        <v>147</v>
      </c>
      <c r="L13" s="42"/>
      <c r="M13" s="42"/>
      <c r="N13" s="42"/>
      <c r="O13" s="42"/>
      <c r="Q13" s="48" t="s">
        <v>147</v>
      </c>
    </row>
    <row r="14" spans="1:22" ht="14.1" customHeight="1" x14ac:dyDescent="0.2">
      <c r="H14" s="39"/>
      <c r="L14" s="42"/>
      <c r="M14" s="42"/>
      <c r="N14" s="42"/>
      <c r="O14" s="42"/>
      <c r="Q14" s="48"/>
    </row>
    <row r="15" spans="1:22" ht="14.1" customHeight="1" x14ac:dyDescent="0.2">
      <c r="H15" s="39"/>
      <c r="L15" s="42"/>
      <c r="M15" s="42"/>
      <c r="N15" s="42"/>
      <c r="O15" s="42"/>
      <c r="Q15" s="48"/>
    </row>
    <row r="16" spans="1:22" ht="14.1" customHeight="1" x14ac:dyDescent="0.2">
      <c r="H16" s="39"/>
      <c r="L16" s="42"/>
      <c r="M16" s="42"/>
      <c r="N16" s="42"/>
      <c r="O16" s="42"/>
      <c r="Q16" s="48"/>
    </row>
    <row r="17" spans="8:17" ht="14.1" customHeight="1" x14ac:dyDescent="0.2">
      <c r="H17" s="39"/>
      <c r="L17" s="42"/>
      <c r="M17" s="42"/>
      <c r="N17" s="42"/>
      <c r="O17" s="42"/>
      <c r="Q17" s="48"/>
    </row>
    <row r="18" spans="8:17" ht="14.1" customHeight="1" x14ac:dyDescent="0.2">
      <c r="H18" s="39"/>
      <c r="N18" s="42"/>
      <c r="O18" s="42"/>
      <c r="Q18" s="48"/>
    </row>
    <row r="19" spans="8:17" ht="14.1" customHeight="1" x14ac:dyDescent="0.2">
      <c r="H19" s="39"/>
      <c r="Q19" s="48"/>
    </row>
    <row r="20" spans="8:17" ht="14.1" customHeight="1" x14ac:dyDescent="0.2">
      <c r="H20" s="39"/>
      <c r="Q20" s="48"/>
    </row>
    <row r="21" spans="8:17" ht="14.1" customHeight="1" x14ac:dyDescent="0.2">
      <c r="H21" s="39"/>
      <c r="Q21" s="48"/>
    </row>
    <row r="22" spans="8:17" ht="14.1" customHeight="1" x14ac:dyDescent="0.2">
      <c r="H22" s="39"/>
      <c r="Q22" s="48"/>
    </row>
    <row r="23" spans="8:17" ht="14.1" customHeight="1" x14ac:dyDescent="0.2">
      <c r="H23" s="39"/>
      <c r="Q23" s="48"/>
    </row>
    <row r="24" spans="8:17" ht="14.1" customHeight="1" x14ac:dyDescent="0.2">
      <c r="H24" s="39"/>
      <c r="Q24" s="48"/>
    </row>
    <row r="25" spans="8:17" ht="14.1" customHeight="1" x14ac:dyDescent="0.2">
      <c r="H25" s="39"/>
    </row>
  </sheetData>
  <sheetProtection formatColumns="0"/>
  <dataConsolidate/>
  <dataValidations count="2">
    <dataValidation type="list" allowBlank="1" showInputMessage="1" showErrorMessage="1" sqref="I2:I13" xr:uid="{374EEC5F-25B4-416E-A2F0-2D0E0FBE6085}">
      <formula1>Type_of_Security_ID_Fund</formula1>
    </dataValidation>
    <dataValidation type="list" allowBlank="1" showInputMessage="1" showErrorMessage="1" sqref="F2:F13" xr:uid="{A3008B05-8A90-4A8D-A405-425236C8206F}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C150-6672-484F-8583-764B8780085D}">
  <sheetPr codeName="Sheet36"/>
  <dimension ref="A1:F1315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9.375" style="39" customWidth="1"/>
    <col min="2" max="2" width="30.375" style="39" customWidth="1"/>
    <col min="3" max="3" width="90.875" style="39" customWidth="1"/>
    <col min="4" max="4" width="68.875" style="39" customWidth="1"/>
    <col min="5" max="5" width="17.375" style="39" customWidth="1"/>
    <col min="6" max="6" width="59.625" style="39" customWidth="1"/>
    <col min="7" max="7" width="63.375" style="39" customWidth="1"/>
    <col min="8" max="8" width="38.75" style="39" customWidth="1"/>
    <col min="9" max="9" width="9" style="39" customWidth="1"/>
    <col min="10" max="16384" width="9" style="39"/>
  </cols>
  <sheetData>
    <row r="1" spans="1:5" ht="45" x14ac:dyDescent="0.2">
      <c r="A1" s="67" t="s">
        <v>1226</v>
      </c>
      <c r="B1" s="67" t="s">
        <v>1227</v>
      </c>
      <c r="C1" s="67" t="s">
        <v>1228</v>
      </c>
      <c r="D1" s="67" t="s">
        <v>1229</v>
      </c>
    </row>
    <row r="2" spans="1:5" x14ac:dyDescent="0.2">
      <c r="A2" s="68"/>
      <c r="B2" s="68" t="s">
        <v>1230</v>
      </c>
      <c r="C2" s="69" t="s">
        <v>73</v>
      </c>
      <c r="D2" s="69"/>
    </row>
    <row r="3" spans="1:5" x14ac:dyDescent="0.2">
      <c r="A3" s="70"/>
      <c r="B3" s="70"/>
      <c r="C3" s="69" t="s">
        <v>484</v>
      </c>
      <c r="D3" s="69"/>
    </row>
    <row r="4" spans="1:5" ht="42.75" x14ac:dyDescent="0.2">
      <c r="A4" s="71"/>
      <c r="B4" s="72" t="s">
        <v>1231</v>
      </c>
      <c r="C4" s="73" t="s">
        <v>73</v>
      </c>
      <c r="D4" s="73"/>
    </row>
    <row r="5" spans="1:5" x14ac:dyDescent="0.2">
      <c r="A5" s="74"/>
      <c r="B5" s="75"/>
      <c r="C5" s="73" t="s">
        <v>1232</v>
      </c>
      <c r="D5" s="73"/>
    </row>
    <row r="6" spans="1:5" x14ac:dyDescent="0.2">
      <c r="A6" s="74"/>
      <c r="B6" s="75"/>
      <c r="C6" s="73" t="s">
        <v>1233</v>
      </c>
      <c r="D6" s="73"/>
    </row>
    <row r="7" spans="1:5" x14ac:dyDescent="0.2">
      <c r="A7" s="74"/>
      <c r="B7" s="75"/>
      <c r="C7" s="73" t="s">
        <v>1234</v>
      </c>
      <c r="D7" s="73"/>
    </row>
    <row r="8" spans="1:5" x14ac:dyDescent="0.2">
      <c r="A8" s="74"/>
      <c r="B8" s="75"/>
      <c r="C8" s="73" t="s">
        <v>1235</v>
      </c>
      <c r="D8" s="73"/>
    </row>
    <row r="9" spans="1:5" x14ac:dyDescent="0.2">
      <c r="A9" s="74"/>
      <c r="B9" s="75"/>
      <c r="C9" s="73" t="s">
        <v>1236</v>
      </c>
      <c r="D9" s="73"/>
    </row>
    <row r="10" spans="1:5" x14ac:dyDescent="0.2">
      <c r="A10" s="74"/>
      <c r="B10" s="75"/>
      <c r="C10" s="73" t="s">
        <v>1237</v>
      </c>
      <c r="D10" s="73"/>
    </row>
    <row r="11" spans="1:5" x14ac:dyDescent="0.2">
      <c r="A11" s="74"/>
      <c r="B11" s="75"/>
      <c r="C11" s="73" t="s">
        <v>1238</v>
      </c>
      <c r="D11" s="73"/>
      <c r="E11" s="39" t="s">
        <v>1239</v>
      </c>
    </row>
    <row r="12" spans="1:5" x14ac:dyDescent="0.2">
      <c r="A12" s="74"/>
      <c r="B12" s="75"/>
      <c r="C12" s="73" t="s">
        <v>1240</v>
      </c>
      <c r="D12" s="73"/>
      <c r="E12" s="39" t="s">
        <v>1239</v>
      </c>
    </row>
    <row r="13" spans="1:5" x14ac:dyDescent="0.2">
      <c r="A13" s="74"/>
      <c r="B13" s="75"/>
      <c r="C13" s="73" t="s">
        <v>1241</v>
      </c>
      <c r="D13" s="73"/>
    </row>
    <row r="14" spans="1:5" x14ac:dyDescent="0.2">
      <c r="A14" s="74"/>
      <c r="B14" s="75"/>
      <c r="C14" s="73" t="s">
        <v>1038</v>
      </c>
      <c r="D14" s="73"/>
    </row>
    <row r="15" spans="1:5" x14ac:dyDescent="0.2">
      <c r="A15" s="74"/>
      <c r="B15" s="75"/>
      <c r="C15" s="73" t="s">
        <v>1242</v>
      </c>
      <c r="D15" s="73"/>
    </row>
    <row r="16" spans="1:5" x14ac:dyDescent="0.2">
      <c r="A16" s="74"/>
      <c r="B16" s="75"/>
      <c r="C16" s="73" t="s">
        <v>1243</v>
      </c>
      <c r="D16" s="73"/>
    </row>
    <row r="17" spans="1:4" x14ac:dyDescent="0.2">
      <c r="A17" s="74"/>
      <c r="B17" s="75"/>
      <c r="C17" s="73" t="s">
        <v>1244</v>
      </c>
      <c r="D17" s="73"/>
    </row>
    <row r="18" spans="1:4" x14ac:dyDescent="0.2">
      <c r="A18" s="74"/>
      <c r="B18" s="75"/>
      <c r="C18" s="73" t="s">
        <v>1245</v>
      </c>
      <c r="D18" s="73"/>
    </row>
    <row r="19" spans="1:4" x14ac:dyDescent="0.2">
      <c r="A19" s="74"/>
      <c r="B19" s="75"/>
      <c r="C19" s="73" t="s">
        <v>1246</v>
      </c>
      <c r="D19" s="73"/>
    </row>
    <row r="20" spans="1:4" x14ac:dyDescent="0.2">
      <c r="A20" s="74"/>
      <c r="B20" s="75"/>
      <c r="C20" s="73" t="s">
        <v>1247</v>
      </c>
      <c r="D20" s="73"/>
    </row>
    <row r="21" spans="1:4" x14ac:dyDescent="0.2">
      <c r="A21" s="74"/>
      <c r="B21" s="75"/>
      <c r="C21" s="73" t="s">
        <v>351</v>
      </c>
      <c r="D21" s="73"/>
    </row>
    <row r="22" spans="1:4" x14ac:dyDescent="0.2">
      <c r="A22" s="74"/>
      <c r="B22" s="75"/>
      <c r="C22" s="73" t="s">
        <v>1248</v>
      </c>
      <c r="D22" s="73"/>
    </row>
    <row r="23" spans="1:4" x14ac:dyDescent="0.2">
      <c r="A23" s="74"/>
      <c r="B23" s="75"/>
      <c r="C23" s="73" t="s">
        <v>1249</v>
      </c>
      <c r="D23" s="73"/>
    </row>
    <row r="24" spans="1:4" x14ac:dyDescent="0.2">
      <c r="A24" s="74"/>
      <c r="B24" s="75"/>
      <c r="C24" s="73" t="s">
        <v>1250</v>
      </c>
      <c r="D24" s="73"/>
    </row>
    <row r="25" spans="1:4" x14ac:dyDescent="0.2">
      <c r="A25" s="74"/>
      <c r="B25" s="75"/>
      <c r="C25" s="73" t="s">
        <v>1251</v>
      </c>
      <c r="D25" s="73"/>
    </row>
    <row r="26" spans="1:4" x14ac:dyDescent="0.2">
      <c r="A26" s="74"/>
      <c r="B26" s="75"/>
      <c r="C26" s="73" t="s">
        <v>1252</v>
      </c>
      <c r="D26" s="73"/>
    </row>
    <row r="27" spans="1:4" x14ac:dyDescent="0.2">
      <c r="A27" s="74"/>
      <c r="B27" s="75"/>
      <c r="C27" s="73" t="s">
        <v>1253</v>
      </c>
      <c r="D27" s="73"/>
    </row>
    <row r="28" spans="1:4" x14ac:dyDescent="0.2">
      <c r="A28" s="74"/>
      <c r="B28" s="75"/>
      <c r="C28" s="73" t="s">
        <v>1254</v>
      </c>
      <c r="D28" s="73"/>
    </row>
    <row r="29" spans="1:4" x14ac:dyDescent="0.2">
      <c r="A29" s="74"/>
      <c r="B29" s="75"/>
      <c r="C29" s="73" t="s">
        <v>1255</v>
      </c>
      <c r="D29" s="73"/>
    </row>
    <row r="30" spans="1:4" x14ac:dyDescent="0.2">
      <c r="A30" s="74"/>
      <c r="B30" s="75"/>
      <c r="C30" s="73" t="s">
        <v>181</v>
      </c>
      <c r="D30" s="73"/>
    </row>
    <row r="31" spans="1:4" x14ac:dyDescent="0.2">
      <c r="A31" s="74"/>
      <c r="B31" s="75"/>
      <c r="C31" s="73" t="s">
        <v>1256</v>
      </c>
      <c r="D31" s="73"/>
    </row>
    <row r="32" spans="1:4" x14ac:dyDescent="0.2">
      <c r="A32" s="74"/>
      <c r="B32" s="75"/>
      <c r="C32" s="73" t="s">
        <v>1257</v>
      </c>
      <c r="D32" s="73"/>
    </row>
    <row r="33" spans="1:5" x14ac:dyDescent="0.2">
      <c r="A33" s="74"/>
      <c r="B33" s="75"/>
      <c r="C33" s="73" t="s">
        <v>1258</v>
      </c>
      <c r="D33" s="73"/>
    </row>
    <row r="34" spans="1:5" x14ac:dyDescent="0.2">
      <c r="A34" s="74"/>
      <c r="B34" s="75"/>
      <c r="C34" s="73" t="s">
        <v>1259</v>
      </c>
      <c r="D34" s="73"/>
    </row>
    <row r="35" spans="1:5" x14ac:dyDescent="0.2">
      <c r="A35" s="74"/>
      <c r="B35" s="75"/>
      <c r="C35" s="73" t="s">
        <v>1060</v>
      </c>
      <c r="D35" s="73"/>
    </row>
    <row r="36" spans="1:5" x14ac:dyDescent="0.2">
      <c r="A36" s="74"/>
      <c r="B36" s="75"/>
      <c r="C36" s="73" t="s">
        <v>1260</v>
      </c>
      <c r="D36" s="73"/>
      <c r="E36" s="39" t="s">
        <v>1239</v>
      </c>
    </row>
    <row r="37" spans="1:5" x14ac:dyDescent="0.2">
      <c r="A37" s="74"/>
      <c r="B37" s="75"/>
      <c r="C37" s="38" t="s">
        <v>1261</v>
      </c>
      <c r="D37" s="73"/>
      <c r="E37" s="39" t="s">
        <v>1239</v>
      </c>
    </row>
    <row r="38" spans="1:5" x14ac:dyDescent="0.2">
      <c r="A38" s="74"/>
      <c r="B38" s="75"/>
      <c r="C38" s="73" t="s">
        <v>1262</v>
      </c>
      <c r="D38" s="73"/>
    </row>
    <row r="39" spans="1:5" x14ac:dyDescent="0.2">
      <c r="A39" s="74"/>
      <c r="B39" s="75"/>
      <c r="C39" s="73" t="s">
        <v>1263</v>
      </c>
      <c r="D39" s="73"/>
    </row>
    <row r="40" spans="1:5" x14ac:dyDescent="0.2">
      <c r="A40" s="74"/>
      <c r="B40" s="75"/>
      <c r="C40" s="73" t="s">
        <v>1264</v>
      </c>
      <c r="D40" s="73"/>
      <c r="E40" s="39" t="s">
        <v>1239</v>
      </c>
    </row>
    <row r="41" spans="1:5" x14ac:dyDescent="0.2">
      <c r="A41" s="74"/>
      <c r="B41" s="75"/>
      <c r="C41" s="73" t="s">
        <v>905</v>
      </c>
      <c r="D41" s="73"/>
    </row>
    <row r="42" spans="1:5" x14ac:dyDescent="0.2">
      <c r="A42" s="74"/>
      <c r="B42" s="75"/>
      <c r="C42" s="73" t="s">
        <v>1265</v>
      </c>
      <c r="D42" s="73"/>
    </row>
    <row r="43" spans="1:5" x14ac:dyDescent="0.2">
      <c r="A43" s="74"/>
      <c r="B43" s="75"/>
      <c r="C43" s="73" t="s">
        <v>1266</v>
      </c>
      <c r="D43" s="73"/>
    </row>
    <row r="44" spans="1:5" x14ac:dyDescent="0.2">
      <c r="A44" s="74"/>
      <c r="B44" s="75"/>
      <c r="C44" s="73" t="s">
        <v>1267</v>
      </c>
      <c r="D44" s="73"/>
    </row>
    <row r="45" spans="1:5" x14ac:dyDescent="0.2">
      <c r="A45" s="74"/>
      <c r="B45" s="75"/>
      <c r="C45" s="73" t="s">
        <v>1268</v>
      </c>
      <c r="D45" s="73"/>
    </row>
    <row r="46" spans="1:5" x14ac:dyDescent="0.2">
      <c r="A46" s="74"/>
      <c r="B46" s="75"/>
      <c r="C46" s="73" t="s">
        <v>1269</v>
      </c>
      <c r="D46" s="73"/>
      <c r="E46" s="39" t="s">
        <v>1239</v>
      </c>
    </row>
    <row r="47" spans="1:5" x14ac:dyDescent="0.2">
      <c r="A47" s="74"/>
      <c r="B47" s="75"/>
      <c r="C47" s="73" t="s">
        <v>1270</v>
      </c>
      <c r="D47" s="73"/>
    </row>
    <row r="48" spans="1:5" x14ac:dyDescent="0.2">
      <c r="A48" s="74"/>
      <c r="B48" s="75"/>
      <c r="C48" s="73" t="s">
        <v>809</v>
      </c>
      <c r="D48" s="73"/>
    </row>
    <row r="49" spans="1:5" x14ac:dyDescent="0.2">
      <c r="A49" s="74"/>
      <c r="B49" s="75"/>
      <c r="C49" s="73" t="s">
        <v>1271</v>
      </c>
      <c r="D49" s="73"/>
    </row>
    <row r="50" spans="1:5" x14ac:dyDescent="0.2">
      <c r="A50" s="74"/>
      <c r="B50" s="75"/>
      <c r="C50" s="73" t="s">
        <v>1059</v>
      </c>
      <c r="D50" s="73"/>
    </row>
    <row r="51" spans="1:5" x14ac:dyDescent="0.2">
      <c r="A51" s="74"/>
      <c r="B51" s="75"/>
      <c r="C51" s="73" t="s">
        <v>1272</v>
      </c>
      <c r="D51" s="73"/>
    </row>
    <row r="52" spans="1:5" x14ac:dyDescent="0.2">
      <c r="A52" s="74"/>
      <c r="B52" s="75"/>
      <c r="C52" s="73" t="s">
        <v>1273</v>
      </c>
      <c r="D52" s="73"/>
    </row>
    <row r="53" spans="1:5" x14ac:dyDescent="0.2">
      <c r="A53" s="74"/>
      <c r="B53" s="75"/>
      <c r="C53" s="73" t="s">
        <v>1274</v>
      </c>
      <c r="D53" s="73"/>
    </row>
    <row r="54" spans="1:5" x14ac:dyDescent="0.2">
      <c r="A54" s="74"/>
      <c r="B54" s="75"/>
      <c r="C54" s="73" t="s">
        <v>1275</v>
      </c>
      <c r="D54" s="73"/>
    </row>
    <row r="55" spans="1:5" x14ac:dyDescent="0.2">
      <c r="A55" s="74"/>
      <c r="B55" s="75"/>
      <c r="C55" s="73" t="s">
        <v>1276</v>
      </c>
      <c r="D55" s="73"/>
    </row>
    <row r="56" spans="1:5" x14ac:dyDescent="0.2">
      <c r="A56" s="74"/>
      <c r="B56" s="75"/>
      <c r="C56" s="73" t="s">
        <v>1277</v>
      </c>
      <c r="D56" s="73"/>
    </row>
    <row r="57" spans="1:5" x14ac:dyDescent="0.2">
      <c r="A57" s="74"/>
      <c r="B57" s="75"/>
      <c r="C57" s="73" t="s">
        <v>1278</v>
      </c>
      <c r="D57" s="73"/>
    </row>
    <row r="58" spans="1:5" x14ac:dyDescent="0.2">
      <c r="A58" s="74"/>
      <c r="B58" s="75"/>
      <c r="C58" s="73" t="s">
        <v>1279</v>
      </c>
      <c r="D58" s="73"/>
    </row>
    <row r="59" spans="1:5" x14ac:dyDescent="0.2">
      <c r="A59" s="74"/>
      <c r="B59" s="75"/>
      <c r="C59" s="73" t="s">
        <v>1280</v>
      </c>
      <c r="D59" s="73"/>
    </row>
    <row r="60" spans="1:5" x14ac:dyDescent="0.2">
      <c r="A60" s="74"/>
      <c r="B60" s="75"/>
      <c r="C60" s="73" t="s">
        <v>1281</v>
      </c>
      <c r="D60" s="73"/>
    </row>
    <row r="61" spans="1:5" x14ac:dyDescent="0.2">
      <c r="A61" s="74"/>
      <c r="B61" s="75"/>
      <c r="C61" s="73" t="s">
        <v>1282</v>
      </c>
      <c r="D61" s="73"/>
    </row>
    <row r="62" spans="1:5" x14ac:dyDescent="0.2">
      <c r="A62" s="74"/>
      <c r="B62" s="75"/>
      <c r="C62" s="73" t="s">
        <v>1283</v>
      </c>
      <c r="D62" s="73"/>
    </row>
    <row r="63" spans="1:5" x14ac:dyDescent="0.2">
      <c r="A63" s="74"/>
      <c r="B63" s="75"/>
      <c r="C63" s="73" t="s">
        <v>1284</v>
      </c>
      <c r="D63" s="73"/>
      <c r="E63" s="39" t="s">
        <v>1239</v>
      </c>
    </row>
    <row r="64" spans="1:5" x14ac:dyDescent="0.2">
      <c r="A64" s="74"/>
      <c r="B64" s="75"/>
      <c r="C64" s="73" t="s">
        <v>1285</v>
      </c>
      <c r="D64" s="73"/>
    </row>
    <row r="65" spans="1:4" x14ac:dyDescent="0.2">
      <c r="A65" s="74"/>
      <c r="B65" s="75"/>
      <c r="C65" s="73" t="s">
        <v>846</v>
      </c>
      <c r="D65" s="73"/>
    </row>
    <row r="66" spans="1:4" x14ac:dyDescent="0.2">
      <c r="A66" s="74"/>
      <c r="B66" s="75"/>
      <c r="C66" s="73" t="s">
        <v>1286</v>
      </c>
      <c r="D66" s="73"/>
    </row>
    <row r="67" spans="1:4" x14ac:dyDescent="0.2">
      <c r="A67" s="74"/>
      <c r="B67" s="75"/>
      <c r="C67" s="73" t="s">
        <v>1287</v>
      </c>
      <c r="D67" s="73"/>
    </row>
    <row r="68" spans="1:4" x14ac:dyDescent="0.2">
      <c r="A68" s="74"/>
      <c r="B68" s="75"/>
      <c r="C68" s="73" t="s">
        <v>1288</v>
      </c>
      <c r="D68" s="73"/>
    </row>
    <row r="69" spans="1:4" x14ac:dyDescent="0.2">
      <c r="A69" s="74"/>
      <c r="B69" s="75"/>
      <c r="C69" s="73" t="s">
        <v>1289</v>
      </c>
      <c r="D69" s="73"/>
    </row>
    <row r="70" spans="1:4" x14ac:dyDescent="0.2">
      <c r="A70" s="74"/>
      <c r="B70" s="75"/>
      <c r="C70" s="73" t="s">
        <v>1290</v>
      </c>
      <c r="D70" s="73"/>
    </row>
    <row r="71" spans="1:4" x14ac:dyDescent="0.2">
      <c r="A71" s="74"/>
      <c r="B71" s="75"/>
      <c r="C71" s="73" t="s">
        <v>1291</v>
      </c>
      <c r="D71" s="73"/>
    </row>
    <row r="72" spans="1:4" x14ac:dyDescent="0.2">
      <c r="A72" s="74"/>
      <c r="B72" s="75"/>
      <c r="C72" s="73" t="s">
        <v>1292</v>
      </c>
      <c r="D72" s="73"/>
    </row>
    <row r="73" spans="1:4" x14ac:dyDescent="0.2">
      <c r="A73" s="74"/>
      <c r="B73" s="75"/>
      <c r="C73" s="73" t="s">
        <v>1293</v>
      </c>
      <c r="D73" s="73"/>
    </row>
    <row r="74" spans="1:4" x14ac:dyDescent="0.2">
      <c r="A74" s="74"/>
      <c r="B74" s="75"/>
      <c r="C74" s="73" t="s">
        <v>1294</v>
      </c>
      <c r="D74" s="73"/>
    </row>
    <row r="75" spans="1:4" x14ac:dyDescent="0.2">
      <c r="A75" s="74"/>
      <c r="B75" s="75"/>
      <c r="C75" s="73" t="s">
        <v>1295</v>
      </c>
      <c r="D75" s="73"/>
    </row>
    <row r="76" spans="1:4" x14ac:dyDescent="0.2">
      <c r="A76" s="74"/>
      <c r="B76" s="75"/>
      <c r="C76" s="73" t="s">
        <v>1296</v>
      </c>
      <c r="D76" s="73"/>
    </row>
    <row r="77" spans="1:4" x14ac:dyDescent="0.2">
      <c r="A77" s="74"/>
      <c r="B77" s="75"/>
      <c r="C77" s="73" t="s">
        <v>1297</v>
      </c>
      <c r="D77" s="73"/>
    </row>
    <row r="78" spans="1:4" x14ac:dyDescent="0.2">
      <c r="A78" s="74"/>
      <c r="B78" s="75"/>
      <c r="C78" s="73" t="s">
        <v>1298</v>
      </c>
      <c r="D78" s="73"/>
    </row>
    <row r="79" spans="1:4" x14ac:dyDescent="0.2">
      <c r="A79" s="74"/>
      <c r="B79" s="75"/>
      <c r="C79" s="73" t="s">
        <v>1299</v>
      </c>
      <c r="D79" s="73"/>
    </row>
    <row r="80" spans="1:4" x14ac:dyDescent="0.2">
      <c r="A80" s="74"/>
      <c r="B80" s="75"/>
      <c r="C80" s="73" t="s">
        <v>1300</v>
      </c>
      <c r="D80" s="73"/>
    </row>
    <row r="81" spans="1:5" x14ac:dyDescent="0.2">
      <c r="A81" s="74"/>
      <c r="B81" s="75"/>
      <c r="C81" s="73" t="s">
        <v>1301</v>
      </c>
      <c r="D81" s="73"/>
    </row>
    <row r="82" spans="1:5" x14ac:dyDescent="0.2">
      <c r="A82" s="74"/>
      <c r="B82" s="75"/>
      <c r="C82" s="73" t="s">
        <v>1302</v>
      </c>
      <c r="D82" s="73"/>
    </row>
    <row r="83" spans="1:5" x14ac:dyDescent="0.2">
      <c r="A83" s="74"/>
      <c r="B83" s="75"/>
      <c r="C83" s="73" t="s">
        <v>1303</v>
      </c>
      <c r="D83" s="73"/>
    </row>
    <row r="84" spans="1:5" x14ac:dyDescent="0.2">
      <c r="A84" s="74"/>
      <c r="B84" s="75"/>
      <c r="C84" s="73" t="s">
        <v>1304</v>
      </c>
      <c r="D84" s="73"/>
    </row>
    <row r="85" spans="1:5" x14ac:dyDescent="0.2">
      <c r="A85" s="74"/>
      <c r="B85" s="75"/>
      <c r="C85" s="73" t="s">
        <v>1305</v>
      </c>
      <c r="D85" s="73"/>
    </row>
    <row r="86" spans="1:5" x14ac:dyDescent="0.2">
      <c r="A86" s="74"/>
      <c r="B86" s="75"/>
      <c r="C86" s="73" t="s">
        <v>1306</v>
      </c>
      <c r="D86" s="73"/>
    </row>
    <row r="87" spans="1:5" x14ac:dyDescent="0.2">
      <c r="A87" s="74"/>
      <c r="B87" s="75"/>
      <c r="C87" s="73" t="s">
        <v>1307</v>
      </c>
      <c r="D87" s="73"/>
    </row>
    <row r="88" spans="1:5" x14ac:dyDescent="0.2">
      <c r="A88" s="74"/>
      <c r="B88" s="75"/>
      <c r="C88" s="73" t="s">
        <v>1308</v>
      </c>
      <c r="D88" s="73"/>
    </row>
    <row r="89" spans="1:5" x14ac:dyDescent="0.2">
      <c r="A89" s="74"/>
      <c r="B89" s="75"/>
      <c r="C89" s="73" t="s">
        <v>1309</v>
      </c>
      <c r="D89" s="73"/>
    </row>
    <row r="90" spans="1:5" x14ac:dyDescent="0.2">
      <c r="A90" s="74"/>
      <c r="B90" s="75"/>
      <c r="C90" s="73" t="s">
        <v>839</v>
      </c>
      <c r="D90" s="73"/>
    </row>
    <row r="91" spans="1:5" x14ac:dyDescent="0.2">
      <c r="A91" s="74"/>
      <c r="B91" s="75"/>
      <c r="C91" s="73" t="s">
        <v>1310</v>
      </c>
      <c r="D91" s="73"/>
    </row>
    <row r="92" spans="1:5" x14ac:dyDescent="0.2">
      <c r="A92" s="74"/>
      <c r="B92" s="75"/>
      <c r="C92" s="73" t="s">
        <v>1311</v>
      </c>
      <c r="D92" s="73"/>
    </row>
    <row r="93" spans="1:5" x14ac:dyDescent="0.2">
      <c r="A93" s="74"/>
      <c r="B93" s="75"/>
      <c r="C93" s="73" t="s">
        <v>1312</v>
      </c>
      <c r="D93" s="73"/>
    </row>
    <row r="94" spans="1:5" x14ac:dyDescent="0.2">
      <c r="A94" s="74"/>
      <c r="B94" s="75"/>
      <c r="C94" s="73" t="s">
        <v>1313</v>
      </c>
      <c r="D94" s="73" t="s">
        <v>1314</v>
      </c>
      <c r="E94" s="39" t="s">
        <v>1239</v>
      </c>
    </row>
    <row r="95" spans="1:5" x14ac:dyDescent="0.2">
      <c r="A95" s="74"/>
      <c r="B95" s="75"/>
      <c r="C95" s="73" t="s">
        <v>1315</v>
      </c>
      <c r="D95" s="73" t="s">
        <v>1316</v>
      </c>
      <c r="E95" s="39" t="s">
        <v>1239</v>
      </c>
    </row>
    <row r="96" spans="1:5" x14ac:dyDescent="0.2">
      <c r="A96" s="74"/>
      <c r="B96" s="75"/>
      <c r="C96" s="73" t="s">
        <v>1317</v>
      </c>
      <c r="D96" s="73" t="s">
        <v>1316</v>
      </c>
      <c r="E96" s="39" t="s">
        <v>1239</v>
      </c>
    </row>
    <row r="97" spans="1:5" x14ac:dyDescent="0.2">
      <c r="A97" s="74"/>
      <c r="B97" s="75"/>
      <c r="C97" s="73" t="s">
        <v>1318</v>
      </c>
      <c r="D97" s="73" t="s">
        <v>1316</v>
      </c>
      <c r="E97" s="39" t="s">
        <v>1239</v>
      </c>
    </row>
    <row r="98" spans="1:5" x14ac:dyDescent="0.2">
      <c r="A98" s="74"/>
      <c r="B98" s="75"/>
      <c r="C98" s="73" t="s">
        <v>1319</v>
      </c>
      <c r="D98" s="73" t="s">
        <v>1316</v>
      </c>
      <c r="E98" s="39" t="s">
        <v>1239</v>
      </c>
    </row>
    <row r="99" spans="1:5" x14ac:dyDescent="0.2">
      <c r="A99" s="74"/>
      <c r="B99" s="75"/>
      <c r="C99" s="73" t="s">
        <v>1320</v>
      </c>
      <c r="D99" s="73" t="s">
        <v>1316</v>
      </c>
      <c r="E99" s="39" t="s">
        <v>1239</v>
      </c>
    </row>
    <row r="100" spans="1:5" x14ac:dyDescent="0.2">
      <c r="A100" s="74"/>
      <c r="B100" s="75"/>
      <c r="C100" s="73" t="s">
        <v>1321</v>
      </c>
      <c r="D100" s="73" t="s">
        <v>1316</v>
      </c>
      <c r="E100" s="39" t="s">
        <v>1239</v>
      </c>
    </row>
    <row r="101" spans="1:5" x14ac:dyDescent="0.2">
      <c r="A101" s="74"/>
      <c r="B101" s="75"/>
      <c r="C101" s="73" t="s">
        <v>1322</v>
      </c>
      <c r="D101" s="73" t="s">
        <v>1316</v>
      </c>
      <c r="E101" s="39" t="s">
        <v>1239</v>
      </c>
    </row>
    <row r="102" spans="1:5" x14ac:dyDescent="0.2">
      <c r="A102" s="74"/>
      <c r="B102" s="75"/>
      <c r="C102" s="73" t="s">
        <v>1323</v>
      </c>
      <c r="D102" s="73" t="s">
        <v>1316</v>
      </c>
      <c r="E102" s="39" t="s">
        <v>1239</v>
      </c>
    </row>
    <row r="103" spans="1:5" x14ac:dyDescent="0.2">
      <c r="A103" s="74"/>
      <c r="B103" s="75"/>
      <c r="C103" s="73" t="s">
        <v>1324</v>
      </c>
      <c r="D103" s="73" t="s">
        <v>1316</v>
      </c>
      <c r="E103" s="39" t="s">
        <v>1239</v>
      </c>
    </row>
    <row r="104" spans="1:5" x14ac:dyDescent="0.2">
      <c r="A104" s="76"/>
      <c r="B104" s="76" t="s">
        <v>139</v>
      </c>
      <c r="C104" s="69" t="s">
        <v>150</v>
      </c>
      <c r="D104" s="69"/>
    </row>
    <row r="105" spans="1:5" x14ac:dyDescent="0.2">
      <c r="A105" s="77"/>
      <c r="B105" s="77"/>
      <c r="C105" s="69" t="s">
        <v>138</v>
      </c>
      <c r="D105" s="69"/>
    </row>
    <row r="106" spans="1:5" x14ac:dyDescent="0.2">
      <c r="A106" s="77"/>
      <c r="B106" s="77"/>
      <c r="C106" s="69" t="s">
        <v>1325</v>
      </c>
      <c r="D106" s="69"/>
    </row>
    <row r="107" spans="1:5" x14ac:dyDescent="0.2">
      <c r="A107" s="77"/>
      <c r="B107" s="77"/>
      <c r="C107" s="69" t="s">
        <v>1055</v>
      </c>
      <c r="D107" s="69"/>
    </row>
    <row r="108" spans="1:5" x14ac:dyDescent="0.2">
      <c r="A108" s="77"/>
      <c r="B108" s="77"/>
      <c r="C108" s="69" t="s">
        <v>105</v>
      </c>
      <c r="D108" s="69"/>
    </row>
    <row r="109" spans="1:5" x14ac:dyDescent="0.2">
      <c r="A109" s="77"/>
      <c r="B109" s="77"/>
      <c r="C109" s="69" t="s">
        <v>704</v>
      </c>
      <c r="D109" s="69"/>
    </row>
    <row r="110" spans="1:5" x14ac:dyDescent="0.2">
      <c r="A110" s="78"/>
      <c r="B110" s="78"/>
      <c r="C110" s="69" t="s">
        <v>701</v>
      </c>
      <c r="D110" s="69"/>
    </row>
    <row r="111" spans="1:5" x14ac:dyDescent="0.2">
      <c r="A111" s="74"/>
      <c r="B111" s="79" t="s">
        <v>56</v>
      </c>
      <c r="C111" s="73" t="s">
        <v>150</v>
      </c>
      <c r="D111" s="73"/>
    </row>
    <row r="112" spans="1:5" x14ac:dyDescent="0.2">
      <c r="A112" s="74"/>
      <c r="B112" s="80"/>
      <c r="C112" s="73" t="s">
        <v>71</v>
      </c>
      <c r="D112" s="73"/>
    </row>
    <row r="113" spans="1:4" x14ac:dyDescent="0.2">
      <c r="A113" s="74"/>
      <c r="B113" s="81"/>
      <c r="C113" s="73" t="s">
        <v>1326</v>
      </c>
      <c r="D113" s="73"/>
    </row>
    <row r="114" spans="1:4" x14ac:dyDescent="0.2">
      <c r="A114" s="82"/>
      <c r="B114" s="82" t="s">
        <v>1327</v>
      </c>
      <c r="C114" s="69" t="s">
        <v>150</v>
      </c>
      <c r="D114" s="69"/>
    </row>
    <row r="115" spans="1:4" x14ac:dyDescent="0.2">
      <c r="A115" s="82"/>
      <c r="B115" s="82"/>
      <c r="C115" s="69" t="s">
        <v>1325</v>
      </c>
      <c r="D115" s="69"/>
    </row>
    <row r="116" spans="1:4" x14ac:dyDescent="0.2">
      <c r="A116" s="82"/>
      <c r="B116" s="82"/>
      <c r="C116" s="69" t="s">
        <v>1055</v>
      </c>
      <c r="D116" s="69"/>
    </row>
    <row r="117" spans="1:4" x14ac:dyDescent="0.2">
      <c r="A117" s="82"/>
      <c r="B117" s="82"/>
      <c r="C117" s="69" t="s">
        <v>704</v>
      </c>
      <c r="D117" s="69"/>
    </row>
    <row r="118" spans="1:4" x14ac:dyDescent="0.2">
      <c r="A118" s="71"/>
      <c r="B118" s="83" t="s">
        <v>1176</v>
      </c>
      <c r="C118" s="73" t="s">
        <v>150</v>
      </c>
      <c r="D118" s="73"/>
    </row>
    <row r="119" spans="1:4" x14ac:dyDescent="0.2">
      <c r="A119" s="38"/>
      <c r="B119" s="84"/>
      <c r="C119" s="73" t="s">
        <v>1328</v>
      </c>
      <c r="D119" s="73"/>
    </row>
    <row r="120" spans="1:4" x14ac:dyDescent="0.2">
      <c r="A120" s="38"/>
      <c r="B120" s="84"/>
      <c r="C120" s="73" t="s">
        <v>1055</v>
      </c>
      <c r="D120" s="73"/>
    </row>
    <row r="121" spans="1:4" x14ac:dyDescent="0.2">
      <c r="A121" s="38"/>
      <c r="B121" s="84"/>
      <c r="C121" s="73" t="s">
        <v>105</v>
      </c>
      <c r="D121" s="73"/>
    </row>
    <row r="122" spans="1:4" x14ac:dyDescent="0.2">
      <c r="A122" s="38"/>
      <c r="B122" s="84"/>
      <c r="C122" s="73" t="s">
        <v>1325</v>
      </c>
      <c r="D122" s="73"/>
    </row>
    <row r="123" spans="1:4" x14ac:dyDescent="0.2">
      <c r="A123" s="38"/>
      <c r="B123" s="84"/>
      <c r="C123" s="73" t="s">
        <v>1329</v>
      </c>
      <c r="D123" s="73"/>
    </row>
    <row r="124" spans="1:4" x14ac:dyDescent="0.2">
      <c r="A124" s="38"/>
      <c r="B124" s="84"/>
      <c r="C124" s="73" t="s">
        <v>1330</v>
      </c>
      <c r="D124" s="73"/>
    </row>
    <row r="125" spans="1:4" x14ac:dyDescent="0.2">
      <c r="A125" s="38"/>
      <c r="B125" s="84"/>
      <c r="C125" s="73" t="s">
        <v>704</v>
      </c>
      <c r="D125" s="73"/>
    </row>
    <row r="126" spans="1:4" x14ac:dyDescent="0.2">
      <c r="A126" s="74"/>
      <c r="B126" s="85"/>
      <c r="C126" s="73" t="s">
        <v>701</v>
      </c>
      <c r="D126" s="73"/>
    </row>
    <row r="127" spans="1:4" x14ac:dyDescent="0.2">
      <c r="A127" s="76"/>
      <c r="B127" s="76" t="s">
        <v>140</v>
      </c>
      <c r="C127" s="69" t="s">
        <v>153</v>
      </c>
      <c r="D127" s="69"/>
    </row>
    <row r="128" spans="1:4" x14ac:dyDescent="0.2">
      <c r="A128" s="77"/>
      <c r="B128" s="77"/>
      <c r="C128" s="69" t="s">
        <v>1331</v>
      </c>
      <c r="D128" s="69"/>
    </row>
    <row r="129" spans="1:5" x14ac:dyDescent="0.2">
      <c r="A129" s="77"/>
      <c r="B129" s="77"/>
      <c r="C129" s="69" t="s">
        <v>1332</v>
      </c>
      <c r="D129" s="69"/>
    </row>
    <row r="130" spans="1:5" x14ac:dyDescent="0.2">
      <c r="A130" s="77"/>
      <c r="B130" s="77"/>
      <c r="C130" s="69" t="s">
        <v>932</v>
      </c>
      <c r="D130" s="69"/>
    </row>
    <row r="131" spans="1:5" x14ac:dyDescent="0.2">
      <c r="A131" s="77"/>
      <c r="B131" s="77"/>
      <c r="C131" s="69" t="s">
        <v>105</v>
      </c>
      <c r="D131" s="69"/>
    </row>
    <row r="132" spans="1:5" x14ac:dyDescent="0.2">
      <c r="A132" s="74"/>
      <c r="B132" s="80" t="s">
        <v>1333</v>
      </c>
      <c r="C132" s="73" t="s">
        <v>153</v>
      </c>
      <c r="D132" s="73"/>
    </row>
    <row r="133" spans="1:5" x14ac:dyDescent="0.2">
      <c r="A133" s="74"/>
      <c r="B133" s="80"/>
      <c r="C133" s="73" t="s">
        <v>105</v>
      </c>
      <c r="D133" s="73"/>
    </row>
    <row r="134" spans="1:5" x14ac:dyDescent="0.2">
      <c r="A134" s="86"/>
      <c r="B134" s="81"/>
      <c r="C134" s="73" t="s">
        <v>701</v>
      </c>
      <c r="D134" s="73"/>
    </row>
    <row r="135" spans="1:5" x14ac:dyDescent="0.2">
      <c r="A135" s="76"/>
      <c r="B135" s="76" t="s">
        <v>148</v>
      </c>
      <c r="C135" s="69" t="s">
        <v>155</v>
      </c>
      <c r="D135" s="69"/>
    </row>
    <row r="136" spans="1:5" x14ac:dyDescent="0.2">
      <c r="A136" s="77"/>
      <c r="B136" s="77"/>
      <c r="C136" s="69" t="s">
        <v>955</v>
      </c>
      <c r="D136" s="69"/>
      <c r="E136" s="39" t="s">
        <v>1239</v>
      </c>
    </row>
    <row r="137" spans="1:5" x14ac:dyDescent="0.2">
      <c r="A137" s="77"/>
      <c r="B137" s="77"/>
      <c r="C137" s="69" t="s">
        <v>1334</v>
      </c>
      <c r="D137" s="69" t="s">
        <v>1335</v>
      </c>
    </row>
    <row r="138" spans="1:5" x14ac:dyDescent="0.2">
      <c r="A138" s="77"/>
      <c r="B138" s="77"/>
      <c r="C138" s="69" t="s">
        <v>1336</v>
      </c>
      <c r="D138" s="69" t="s">
        <v>1337</v>
      </c>
    </row>
    <row r="139" spans="1:5" x14ac:dyDescent="0.2">
      <c r="A139" s="77"/>
      <c r="B139" s="77"/>
      <c r="C139" s="69" t="s">
        <v>1338</v>
      </c>
      <c r="D139" s="69"/>
    </row>
    <row r="140" spans="1:5" x14ac:dyDescent="0.2">
      <c r="A140" s="77"/>
      <c r="B140" s="77"/>
      <c r="C140" s="69" t="s">
        <v>1339</v>
      </c>
      <c r="D140" s="69"/>
    </row>
    <row r="141" spans="1:5" x14ac:dyDescent="0.2">
      <c r="A141" s="77"/>
      <c r="B141" s="77"/>
      <c r="C141" s="69" t="s">
        <v>1340</v>
      </c>
      <c r="D141" s="69"/>
    </row>
    <row r="142" spans="1:5" x14ac:dyDescent="0.2">
      <c r="A142" s="77"/>
      <c r="B142" s="77"/>
      <c r="C142" s="69" t="s">
        <v>1341</v>
      </c>
      <c r="D142" s="69"/>
    </row>
    <row r="143" spans="1:5" x14ac:dyDescent="0.2">
      <c r="A143" s="77"/>
      <c r="B143" s="77"/>
      <c r="C143" s="69" t="s">
        <v>1342</v>
      </c>
      <c r="D143" s="69"/>
    </row>
    <row r="144" spans="1:5" x14ac:dyDescent="0.2">
      <c r="A144" s="77"/>
      <c r="B144" s="77"/>
      <c r="C144" s="69" t="s">
        <v>1343</v>
      </c>
      <c r="D144" s="69"/>
    </row>
    <row r="145" spans="1:4" x14ac:dyDescent="0.2">
      <c r="A145" s="77"/>
      <c r="B145" s="77"/>
      <c r="C145" s="69" t="s">
        <v>701</v>
      </c>
      <c r="D145" s="69"/>
    </row>
    <row r="146" spans="1:4" x14ac:dyDescent="0.2">
      <c r="A146" s="71"/>
      <c r="B146" s="79" t="s">
        <v>1344</v>
      </c>
      <c r="C146" s="73" t="s">
        <v>977</v>
      </c>
      <c r="D146" s="73"/>
    </row>
    <row r="147" spans="1:4" x14ac:dyDescent="0.2">
      <c r="A147" s="86"/>
      <c r="B147" s="81"/>
      <c r="C147" s="73" t="s">
        <v>74</v>
      </c>
      <c r="D147" s="73"/>
    </row>
    <row r="148" spans="1:4" x14ac:dyDescent="0.2">
      <c r="A148" s="87"/>
      <c r="B148" s="87" t="s">
        <v>89</v>
      </c>
      <c r="C148" s="69" t="s">
        <v>103</v>
      </c>
      <c r="D148" s="69" t="s">
        <v>1345</v>
      </c>
    </row>
    <row r="149" spans="1:4" x14ac:dyDescent="0.2">
      <c r="A149" s="82"/>
      <c r="B149" s="82"/>
      <c r="C149" s="69" t="s">
        <v>1346</v>
      </c>
      <c r="D149" s="69" t="s">
        <v>1347</v>
      </c>
    </row>
    <row r="150" spans="1:4" x14ac:dyDescent="0.2">
      <c r="A150" s="82"/>
      <c r="B150" s="82"/>
      <c r="C150" s="69" t="s">
        <v>712</v>
      </c>
      <c r="D150" s="69" t="s">
        <v>1348</v>
      </c>
    </row>
    <row r="151" spans="1:4" x14ac:dyDescent="0.2">
      <c r="A151" s="82"/>
      <c r="B151" s="82"/>
      <c r="C151" s="69" t="s">
        <v>707</v>
      </c>
      <c r="D151" s="69" t="s">
        <v>1349</v>
      </c>
    </row>
    <row r="152" spans="1:4" x14ac:dyDescent="0.2">
      <c r="A152" s="82"/>
      <c r="B152" s="82"/>
      <c r="C152" s="69" t="s">
        <v>1350</v>
      </c>
      <c r="D152" s="69" t="s">
        <v>1351</v>
      </c>
    </row>
    <row r="153" spans="1:4" x14ac:dyDescent="0.2">
      <c r="A153" s="82"/>
      <c r="B153" s="82"/>
      <c r="C153" s="69" t="s">
        <v>1352</v>
      </c>
      <c r="D153" s="69" t="s">
        <v>1353</v>
      </c>
    </row>
    <row r="154" spans="1:4" x14ac:dyDescent="0.2">
      <c r="A154" s="82"/>
      <c r="B154" s="82"/>
      <c r="C154" s="69" t="s">
        <v>1354</v>
      </c>
      <c r="D154" s="69" t="s">
        <v>1355</v>
      </c>
    </row>
    <row r="155" spans="1:4" x14ac:dyDescent="0.2">
      <c r="A155" s="82"/>
      <c r="B155" s="82"/>
      <c r="C155" s="69" t="s">
        <v>1356</v>
      </c>
      <c r="D155" s="69" t="s">
        <v>1357</v>
      </c>
    </row>
    <row r="156" spans="1:4" x14ac:dyDescent="0.2">
      <c r="A156" s="82"/>
      <c r="B156" s="82"/>
      <c r="C156" s="69" t="s">
        <v>1358</v>
      </c>
      <c r="D156" s="69" t="s">
        <v>1359</v>
      </c>
    </row>
    <row r="157" spans="1:4" x14ac:dyDescent="0.2">
      <c r="A157" s="82"/>
      <c r="B157" s="82"/>
      <c r="C157" s="69" t="s">
        <v>1360</v>
      </c>
      <c r="D157" s="69" t="s">
        <v>1361</v>
      </c>
    </row>
    <row r="158" spans="1:4" x14ac:dyDescent="0.2">
      <c r="A158" s="82"/>
      <c r="B158" s="82"/>
      <c r="C158" s="69" t="s">
        <v>1362</v>
      </c>
      <c r="D158" s="69" t="s">
        <v>1363</v>
      </c>
    </row>
    <row r="159" spans="1:4" x14ac:dyDescent="0.2">
      <c r="A159" s="82"/>
      <c r="B159" s="82"/>
      <c r="C159" s="69" t="s">
        <v>1364</v>
      </c>
      <c r="D159" s="69" t="s">
        <v>1365</v>
      </c>
    </row>
    <row r="160" spans="1:4" x14ac:dyDescent="0.2">
      <c r="A160" s="82"/>
      <c r="B160" s="82"/>
      <c r="C160" s="69" t="s">
        <v>1366</v>
      </c>
      <c r="D160" s="69" t="s">
        <v>1367</v>
      </c>
    </row>
    <row r="161" spans="1:4" x14ac:dyDescent="0.2">
      <c r="A161" s="82"/>
      <c r="B161" s="82"/>
      <c r="C161" s="69" t="s">
        <v>1368</v>
      </c>
      <c r="D161" s="69" t="s">
        <v>1369</v>
      </c>
    </row>
    <row r="162" spans="1:4" x14ac:dyDescent="0.2">
      <c r="A162" s="82"/>
      <c r="B162" s="82"/>
      <c r="C162" s="69" t="s">
        <v>1370</v>
      </c>
      <c r="D162" s="69" t="s">
        <v>1371</v>
      </c>
    </row>
    <row r="163" spans="1:4" x14ac:dyDescent="0.2">
      <c r="A163" s="82"/>
      <c r="B163" s="82"/>
      <c r="C163" s="69" t="s">
        <v>1372</v>
      </c>
      <c r="D163" s="69" t="s">
        <v>1373</v>
      </c>
    </row>
    <row r="164" spans="1:4" x14ac:dyDescent="0.2">
      <c r="A164" s="82"/>
      <c r="B164" s="82"/>
      <c r="C164" s="69" t="s">
        <v>1374</v>
      </c>
      <c r="D164" s="69" t="s">
        <v>1375</v>
      </c>
    </row>
    <row r="165" spans="1:4" x14ac:dyDescent="0.2">
      <c r="A165" s="82"/>
      <c r="B165" s="82"/>
      <c r="C165" s="69" t="s">
        <v>1376</v>
      </c>
      <c r="D165" s="69" t="s">
        <v>1377</v>
      </c>
    </row>
    <row r="166" spans="1:4" x14ac:dyDescent="0.2">
      <c r="A166" s="82"/>
      <c r="B166" s="82"/>
      <c r="C166" s="69" t="s">
        <v>1378</v>
      </c>
      <c r="D166" s="69" t="s">
        <v>1379</v>
      </c>
    </row>
    <row r="167" spans="1:4" x14ac:dyDescent="0.2">
      <c r="A167" s="82"/>
      <c r="B167" s="82"/>
      <c r="C167" s="69" t="s">
        <v>1380</v>
      </c>
      <c r="D167" s="69" t="s">
        <v>1381</v>
      </c>
    </row>
    <row r="168" spans="1:4" x14ac:dyDescent="0.2">
      <c r="A168" s="82"/>
      <c r="B168" s="82"/>
      <c r="C168" s="69" t="s">
        <v>827</v>
      </c>
      <c r="D168" s="69" t="s">
        <v>1382</v>
      </c>
    </row>
    <row r="169" spans="1:4" x14ac:dyDescent="0.2">
      <c r="A169" s="82"/>
      <c r="B169" s="82"/>
      <c r="C169" s="69" t="s">
        <v>1383</v>
      </c>
      <c r="D169" s="69" t="s">
        <v>1384</v>
      </c>
    </row>
    <row r="170" spans="1:4" x14ac:dyDescent="0.2">
      <c r="A170" s="82"/>
      <c r="B170" s="82"/>
      <c r="C170" s="69" t="s">
        <v>1385</v>
      </c>
      <c r="D170" s="69" t="s">
        <v>1386</v>
      </c>
    </row>
    <row r="171" spans="1:4" x14ac:dyDescent="0.2">
      <c r="A171" s="82"/>
      <c r="B171" s="82"/>
      <c r="C171" s="69" t="s">
        <v>1387</v>
      </c>
      <c r="D171" s="69" t="s">
        <v>1388</v>
      </c>
    </row>
    <row r="172" spans="1:4" x14ac:dyDescent="0.2">
      <c r="A172" s="82"/>
      <c r="B172" s="82"/>
      <c r="C172" s="69" t="s">
        <v>1389</v>
      </c>
      <c r="D172" s="69" t="s">
        <v>1390</v>
      </c>
    </row>
    <row r="173" spans="1:4" x14ac:dyDescent="0.2">
      <c r="A173" s="82"/>
      <c r="B173" s="82"/>
      <c r="C173" s="69" t="s">
        <v>1391</v>
      </c>
      <c r="D173" s="69" t="s">
        <v>1392</v>
      </c>
    </row>
    <row r="174" spans="1:4" x14ac:dyDescent="0.2">
      <c r="A174" s="82"/>
      <c r="B174" s="82"/>
      <c r="C174" s="69" t="s">
        <v>1393</v>
      </c>
      <c r="D174" s="69" t="s">
        <v>1394</v>
      </c>
    </row>
    <row r="175" spans="1:4" x14ac:dyDescent="0.2">
      <c r="A175" s="82"/>
      <c r="B175" s="82"/>
      <c r="C175" s="69" t="s">
        <v>1395</v>
      </c>
      <c r="D175" s="69" t="s">
        <v>1396</v>
      </c>
    </row>
    <row r="176" spans="1:4" x14ac:dyDescent="0.2">
      <c r="A176" s="82"/>
      <c r="B176" s="82"/>
      <c r="C176" s="69" t="s">
        <v>1397</v>
      </c>
      <c r="D176" s="69" t="s">
        <v>1398</v>
      </c>
    </row>
    <row r="177" spans="1:5" x14ac:dyDescent="0.2">
      <c r="A177" s="82"/>
      <c r="B177" s="82"/>
      <c r="C177" s="69" t="s">
        <v>1399</v>
      </c>
      <c r="D177" s="69" t="s">
        <v>1400</v>
      </c>
    </row>
    <row r="178" spans="1:5" x14ac:dyDescent="0.2">
      <c r="A178" s="82"/>
      <c r="B178" s="82"/>
      <c r="C178" s="69" t="s">
        <v>1401</v>
      </c>
      <c r="D178" s="69" t="s">
        <v>1402</v>
      </c>
    </row>
    <row r="179" spans="1:5" x14ac:dyDescent="0.2">
      <c r="A179" s="82"/>
      <c r="B179" s="82"/>
      <c r="C179" s="69" t="s">
        <v>1403</v>
      </c>
      <c r="D179" s="69" t="s">
        <v>1404</v>
      </c>
    </row>
    <row r="180" spans="1:5" x14ac:dyDescent="0.2">
      <c r="A180" s="82"/>
      <c r="B180" s="82"/>
      <c r="C180" s="69" t="s">
        <v>1405</v>
      </c>
      <c r="D180" s="69" t="s">
        <v>1406</v>
      </c>
      <c r="E180" s="39" t="s">
        <v>1239</v>
      </c>
    </row>
    <row r="181" spans="1:5" x14ac:dyDescent="0.2">
      <c r="A181" s="82"/>
      <c r="B181" s="82"/>
      <c r="C181" s="69" t="s">
        <v>701</v>
      </c>
      <c r="D181" s="69" t="s">
        <v>701</v>
      </c>
    </row>
    <row r="182" spans="1:5" x14ac:dyDescent="0.2">
      <c r="A182" s="71"/>
      <c r="B182" s="79" t="s">
        <v>1407</v>
      </c>
      <c r="C182" s="88" t="s">
        <v>158</v>
      </c>
      <c r="D182" s="88"/>
    </row>
    <row r="183" spans="1:5" x14ac:dyDescent="0.2">
      <c r="A183" s="74"/>
      <c r="B183" s="80"/>
      <c r="C183" s="88" t="s">
        <v>1408</v>
      </c>
      <c r="D183" s="88"/>
    </row>
    <row r="184" spans="1:5" x14ac:dyDescent="0.2">
      <c r="A184" s="74"/>
      <c r="B184" s="80"/>
      <c r="C184" s="88" t="s">
        <v>1409</v>
      </c>
      <c r="D184" s="88"/>
    </row>
    <row r="185" spans="1:5" x14ac:dyDescent="0.2">
      <c r="A185" s="86"/>
      <c r="B185" s="81"/>
      <c r="C185" s="88" t="s">
        <v>474</v>
      </c>
      <c r="D185" s="88"/>
    </row>
    <row r="186" spans="1:5" x14ac:dyDescent="0.2">
      <c r="A186" s="76"/>
      <c r="B186" s="76" t="s">
        <v>144</v>
      </c>
      <c r="C186" s="89" t="s">
        <v>976</v>
      </c>
      <c r="D186" s="89"/>
    </row>
    <row r="187" spans="1:5" x14ac:dyDescent="0.2">
      <c r="A187" s="77"/>
      <c r="B187" s="77"/>
      <c r="C187" s="89" t="s">
        <v>160</v>
      </c>
      <c r="D187" s="89"/>
    </row>
    <row r="188" spans="1:5" x14ac:dyDescent="0.2">
      <c r="A188" s="71"/>
      <c r="B188" s="79" t="s">
        <v>61</v>
      </c>
      <c r="C188" s="88" t="s">
        <v>1410</v>
      </c>
      <c r="D188" s="88" t="s">
        <v>1411</v>
      </c>
    </row>
    <row r="189" spans="1:5" x14ac:dyDescent="0.2">
      <c r="A189" s="74"/>
      <c r="B189" s="80"/>
      <c r="C189" s="88" t="s">
        <v>84</v>
      </c>
      <c r="D189" s="88" t="s">
        <v>1412</v>
      </c>
    </row>
    <row r="190" spans="1:5" x14ac:dyDescent="0.2">
      <c r="A190" s="74"/>
      <c r="B190" s="80"/>
      <c r="C190" s="88" t="s">
        <v>105</v>
      </c>
      <c r="D190" s="88" t="s">
        <v>105</v>
      </c>
    </row>
    <row r="191" spans="1:5" x14ac:dyDescent="0.2">
      <c r="A191" s="74"/>
      <c r="B191" s="80"/>
      <c r="C191" s="88" t="s">
        <v>1413</v>
      </c>
      <c r="D191" s="88" t="s">
        <v>1414</v>
      </c>
    </row>
    <row r="192" spans="1:5" x14ac:dyDescent="0.2">
      <c r="A192" s="74"/>
      <c r="B192" s="80"/>
      <c r="C192" s="88" t="s">
        <v>1415</v>
      </c>
      <c r="D192" s="88" t="s">
        <v>1416</v>
      </c>
    </row>
    <row r="193" spans="1:4" x14ac:dyDescent="0.2">
      <c r="A193" s="74"/>
      <c r="B193" s="80"/>
      <c r="C193" s="88" t="s">
        <v>1417</v>
      </c>
      <c r="D193" s="88" t="s">
        <v>1418</v>
      </c>
    </row>
    <row r="194" spans="1:4" x14ac:dyDescent="0.2">
      <c r="A194" s="74"/>
      <c r="B194" s="80"/>
      <c r="C194" s="88" t="s">
        <v>1419</v>
      </c>
      <c r="D194" s="88" t="s">
        <v>1420</v>
      </c>
    </row>
    <row r="195" spans="1:4" x14ac:dyDescent="0.2">
      <c r="A195" s="74"/>
      <c r="B195" s="80"/>
      <c r="C195" s="88" t="s">
        <v>1421</v>
      </c>
      <c r="D195" s="88" t="s">
        <v>1422</v>
      </c>
    </row>
    <row r="196" spans="1:4" x14ac:dyDescent="0.2">
      <c r="A196" s="74"/>
      <c r="B196" s="80"/>
      <c r="C196" s="88" t="s">
        <v>1423</v>
      </c>
      <c r="D196" s="88" t="s">
        <v>1424</v>
      </c>
    </row>
    <row r="197" spans="1:4" x14ac:dyDescent="0.2">
      <c r="A197" s="74"/>
      <c r="B197" s="80"/>
      <c r="C197" s="88" t="s">
        <v>1425</v>
      </c>
      <c r="D197" s="88" t="s">
        <v>1426</v>
      </c>
    </row>
    <row r="198" spans="1:4" x14ac:dyDescent="0.2">
      <c r="A198" s="74"/>
      <c r="B198" s="80"/>
      <c r="C198" s="88" t="s">
        <v>1427</v>
      </c>
      <c r="D198" s="88" t="s">
        <v>1428</v>
      </c>
    </row>
    <row r="199" spans="1:4" x14ac:dyDescent="0.2">
      <c r="A199" s="74"/>
      <c r="B199" s="80"/>
      <c r="C199" s="88" t="s">
        <v>1429</v>
      </c>
      <c r="D199" s="88" t="s">
        <v>1430</v>
      </c>
    </row>
    <row r="200" spans="1:4" x14ac:dyDescent="0.2">
      <c r="A200" s="74"/>
      <c r="B200" s="80"/>
      <c r="C200" s="88" t="s">
        <v>701</v>
      </c>
      <c r="D200" s="88" t="s">
        <v>701</v>
      </c>
    </row>
    <row r="201" spans="1:4" x14ac:dyDescent="0.2">
      <c r="A201" s="86"/>
      <c r="B201" s="81"/>
      <c r="C201" s="88" t="s">
        <v>474</v>
      </c>
      <c r="D201" s="88" t="s">
        <v>1431</v>
      </c>
    </row>
    <row r="202" spans="1:4" x14ac:dyDescent="0.2">
      <c r="A202" s="87"/>
      <c r="B202" s="87" t="s">
        <v>141</v>
      </c>
      <c r="C202" s="69" t="s">
        <v>1432</v>
      </c>
      <c r="D202" s="69"/>
    </row>
    <row r="203" spans="1:4" x14ac:dyDescent="0.2">
      <c r="A203" s="82"/>
      <c r="B203" s="82"/>
      <c r="C203" s="69" t="s">
        <v>637</v>
      </c>
      <c r="D203" s="69"/>
    </row>
    <row r="204" spans="1:4" x14ac:dyDescent="0.2">
      <c r="A204" s="82"/>
      <c r="B204" s="82"/>
      <c r="C204" s="69" t="s">
        <v>1433</v>
      </c>
      <c r="D204" s="69"/>
    </row>
    <row r="205" spans="1:4" x14ac:dyDescent="0.2">
      <c r="A205" s="82"/>
      <c r="B205" s="82"/>
      <c r="C205" s="69" t="s">
        <v>1434</v>
      </c>
      <c r="D205" s="69"/>
    </row>
    <row r="206" spans="1:4" x14ac:dyDescent="0.2">
      <c r="A206" s="82"/>
      <c r="B206" s="82"/>
      <c r="C206" s="69" t="s">
        <v>203</v>
      </c>
      <c r="D206" s="69"/>
    </row>
    <row r="207" spans="1:4" x14ac:dyDescent="0.2">
      <c r="A207" s="82"/>
      <c r="B207" s="82"/>
      <c r="C207" s="69" t="s">
        <v>164</v>
      </c>
      <c r="D207" s="69"/>
    </row>
    <row r="208" spans="1:4" x14ac:dyDescent="0.2">
      <c r="A208" s="82"/>
      <c r="B208" s="82"/>
      <c r="C208" s="69" t="s">
        <v>1435</v>
      </c>
      <c r="D208" s="69"/>
    </row>
    <row r="209" spans="1:5" x14ac:dyDescent="0.2">
      <c r="A209" s="82"/>
      <c r="B209" s="82"/>
      <c r="C209" s="69" t="s">
        <v>207</v>
      </c>
      <c r="D209" s="69"/>
    </row>
    <row r="210" spans="1:5" x14ac:dyDescent="0.2">
      <c r="A210" s="82"/>
      <c r="B210" s="82"/>
      <c r="C210" s="69" t="s">
        <v>1436</v>
      </c>
      <c r="D210" s="69"/>
    </row>
    <row r="211" spans="1:5" x14ac:dyDescent="0.2">
      <c r="A211" s="82"/>
      <c r="B211" s="82"/>
      <c r="C211" s="69" t="s">
        <v>217</v>
      </c>
      <c r="D211" s="69"/>
    </row>
    <row r="212" spans="1:5" x14ac:dyDescent="0.2">
      <c r="A212" s="82"/>
      <c r="B212" s="82"/>
      <c r="C212" s="69" t="s">
        <v>618</v>
      </c>
      <c r="D212" s="69"/>
    </row>
    <row r="213" spans="1:5" x14ac:dyDescent="0.2">
      <c r="A213" s="82"/>
      <c r="B213" s="82"/>
      <c r="C213" s="69" t="s">
        <v>193</v>
      </c>
      <c r="D213" s="69"/>
    </row>
    <row r="214" spans="1:5" x14ac:dyDescent="0.2">
      <c r="A214" s="82"/>
      <c r="B214" s="82"/>
      <c r="C214" s="69" t="s">
        <v>223</v>
      </c>
      <c r="D214" s="69"/>
    </row>
    <row r="215" spans="1:5" x14ac:dyDescent="0.2">
      <c r="A215" s="82"/>
      <c r="B215" s="82"/>
      <c r="C215" s="69" t="s">
        <v>1437</v>
      </c>
      <c r="D215" s="69"/>
    </row>
    <row r="216" spans="1:5" x14ac:dyDescent="0.2">
      <c r="A216" s="82"/>
      <c r="B216" s="82"/>
      <c r="C216" s="69" t="s">
        <v>1438</v>
      </c>
      <c r="D216" s="69"/>
    </row>
    <row r="217" spans="1:5" x14ac:dyDescent="0.2">
      <c r="A217" s="82"/>
      <c r="B217" s="82"/>
      <c r="C217" s="69" t="s">
        <v>279</v>
      </c>
      <c r="D217" s="69"/>
    </row>
    <row r="218" spans="1:5" x14ac:dyDescent="0.2">
      <c r="A218" s="82"/>
      <c r="B218" s="82"/>
      <c r="C218" s="69" t="s">
        <v>1439</v>
      </c>
      <c r="D218" s="69" t="s">
        <v>1440</v>
      </c>
      <c r="E218" s="39" t="s">
        <v>1239</v>
      </c>
    </row>
    <row r="219" spans="1:5" x14ac:dyDescent="0.2">
      <c r="A219" s="82"/>
      <c r="B219" s="82"/>
      <c r="C219" s="69" t="s">
        <v>253</v>
      </c>
      <c r="D219" s="69"/>
    </row>
    <row r="220" spans="1:5" x14ac:dyDescent="0.2">
      <c r="A220" s="82"/>
      <c r="B220" s="82"/>
      <c r="C220" s="69" t="s">
        <v>645</v>
      </c>
      <c r="D220" s="69"/>
    </row>
    <row r="221" spans="1:5" x14ac:dyDescent="0.2">
      <c r="A221" s="82"/>
      <c r="B221" s="82"/>
      <c r="C221" s="69" t="s">
        <v>1441</v>
      </c>
      <c r="D221" s="69"/>
    </row>
    <row r="222" spans="1:5" x14ac:dyDescent="0.2">
      <c r="A222" s="82"/>
      <c r="B222" s="82"/>
      <c r="C222" s="69" t="s">
        <v>1442</v>
      </c>
      <c r="D222" s="69"/>
    </row>
    <row r="223" spans="1:5" x14ac:dyDescent="0.2">
      <c r="A223" s="82"/>
      <c r="B223" s="82"/>
      <c r="C223" s="69" t="s">
        <v>641</v>
      </c>
      <c r="D223" s="69"/>
    </row>
    <row r="224" spans="1:5" x14ac:dyDescent="0.2">
      <c r="A224" s="82"/>
      <c r="B224" s="82"/>
      <c r="C224" s="69" t="s">
        <v>610</v>
      </c>
      <c r="D224" s="69"/>
    </row>
    <row r="225" spans="1:4" x14ac:dyDescent="0.2">
      <c r="A225" s="82"/>
      <c r="B225" s="82"/>
      <c r="C225" s="69" t="s">
        <v>1001</v>
      </c>
      <c r="D225" s="69"/>
    </row>
    <row r="226" spans="1:4" x14ac:dyDescent="0.2">
      <c r="A226" s="82"/>
      <c r="B226" s="82"/>
      <c r="C226" s="69" t="s">
        <v>679</v>
      </c>
      <c r="D226" s="69"/>
    </row>
    <row r="227" spans="1:4" x14ac:dyDescent="0.2">
      <c r="A227" s="82"/>
      <c r="B227" s="82"/>
      <c r="C227" s="69" t="s">
        <v>1443</v>
      </c>
      <c r="D227" s="69"/>
    </row>
    <row r="228" spans="1:4" x14ac:dyDescent="0.2">
      <c r="A228" s="82"/>
      <c r="B228" s="82"/>
      <c r="C228" s="69" t="s">
        <v>529</v>
      </c>
      <c r="D228" s="69"/>
    </row>
    <row r="229" spans="1:4" x14ac:dyDescent="0.2">
      <c r="A229" s="82"/>
      <c r="B229" s="82"/>
      <c r="C229" s="69" t="s">
        <v>173</v>
      </c>
      <c r="D229" s="69"/>
    </row>
    <row r="230" spans="1:4" x14ac:dyDescent="0.2">
      <c r="A230" s="82"/>
      <c r="B230" s="82"/>
      <c r="C230" s="69" t="s">
        <v>182</v>
      </c>
      <c r="D230" s="69"/>
    </row>
    <row r="231" spans="1:4" x14ac:dyDescent="0.2">
      <c r="A231" s="82"/>
      <c r="B231" s="82"/>
      <c r="C231" s="69" t="s">
        <v>1444</v>
      </c>
      <c r="D231" s="69"/>
    </row>
    <row r="232" spans="1:4" x14ac:dyDescent="0.2">
      <c r="A232" s="82"/>
      <c r="B232" s="82"/>
      <c r="C232" s="69" t="s">
        <v>593</v>
      </c>
      <c r="D232" s="69"/>
    </row>
    <row r="233" spans="1:4" x14ac:dyDescent="0.2">
      <c r="A233" s="82"/>
      <c r="B233" s="82"/>
      <c r="C233" s="69" t="s">
        <v>1445</v>
      </c>
      <c r="D233" s="69"/>
    </row>
    <row r="234" spans="1:4" x14ac:dyDescent="0.2">
      <c r="A234" s="82"/>
      <c r="B234" s="82"/>
      <c r="C234" s="69" t="s">
        <v>1446</v>
      </c>
      <c r="D234" s="69"/>
    </row>
    <row r="235" spans="1:4" x14ac:dyDescent="0.2">
      <c r="A235" s="82"/>
      <c r="B235" s="82"/>
      <c r="C235" s="69" t="s">
        <v>1447</v>
      </c>
      <c r="D235" s="69"/>
    </row>
    <row r="236" spans="1:4" x14ac:dyDescent="0.2">
      <c r="A236" s="82"/>
      <c r="B236" s="82"/>
      <c r="C236" s="69" t="s">
        <v>1448</v>
      </c>
      <c r="D236" s="69"/>
    </row>
    <row r="237" spans="1:4" x14ac:dyDescent="0.2">
      <c r="A237" s="82"/>
      <c r="B237" s="82"/>
      <c r="C237" s="69" t="s">
        <v>1449</v>
      </c>
      <c r="D237" s="69"/>
    </row>
    <row r="238" spans="1:4" x14ac:dyDescent="0.2">
      <c r="A238" s="82"/>
      <c r="B238" s="82"/>
      <c r="C238" s="69" t="s">
        <v>27</v>
      </c>
      <c r="D238" s="69"/>
    </row>
    <row r="239" spans="1:4" x14ac:dyDescent="0.2">
      <c r="A239" s="82"/>
      <c r="B239" s="82"/>
      <c r="C239" s="69" t="s">
        <v>691</v>
      </c>
      <c r="D239" s="69"/>
    </row>
    <row r="240" spans="1:4" x14ac:dyDescent="0.2">
      <c r="A240" s="82"/>
      <c r="B240" s="82"/>
      <c r="C240" s="69" t="s">
        <v>1450</v>
      </c>
      <c r="D240" s="69"/>
    </row>
    <row r="241" spans="1:4" x14ac:dyDescent="0.2">
      <c r="A241" s="82"/>
      <c r="B241" s="82"/>
      <c r="C241" s="69" t="s">
        <v>156</v>
      </c>
      <c r="D241" s="69"/>
    </row>
    <row r="242" spans="1:4" x14ac:dyDescent="0.2">
      <c r="A242" s="82"/>
      <c r="B242" s="82"/>
      <c r="C242" s="69" t="s">
        <v>1451</v>
      </c>
      <c r="D242" s="69"/>
    </row>
    <row r="243" spans="1:4" x14ac:dyDescent="0.2">
      <c r="A243" s="82"/>
      <c r="B243" s="82"/>
      <c r="C243" s="69" t="s">
        <v>1452</v>
      </c>
      <c r="D243" s="69"/>
    </row>
    <row r="244" spans="1:4" x14ac:dyDescent="0.2">
      <c r="A244" s="82"/>
      <c r="B244" s="82"/>
      <c r="C244" s="69" t="s">
        <v>1453</v>
      </c>
      <c r="D244" s="69"/>
    </row>
    <row r="245" spans="1:4" x14ac:dyDescent="0.2">
      <c r="A245" s="82"/>
      <c r="B245" s="82"/>
      <c r="C245" s="69" t="s">
        <v>1454</v>
      </c>
      <c r="D245" s="69"/>
    </row>
    <row r="246" spans="1:4" x14ac:dyDescent="0.2">
      <c r="A246" s="82"/>
      <c r="B246" s="82"/>
      <c r="C246" s="69" t="s">
        <v>479</v>
      </c>
      <c r="D246" s="69"/>
    </row>
    <row r="247" spans="1:4" x14ac:dyDescent="0.2">
      <c r="A247" s="82"/>
      <c r="B247" s="82"/>
      <c r="C247" s="69" t="s">
        <v>1455</v>
      </c>
      <c r="D247" s="69"/>
    </row>
    <row r="248" spans="1:4" x14ac:dyDescent="0.2">
      <c r="A248" s="82"/>
      <c r="B248" s="82"/>
      <c r="C248" s="69" t="s">
        <v>1456</v>
      </c>
      <c r="D248" s="69"/>
    </row>
    <row r="249" spans="1:4" x14ac:dyDescent="0.2">
      <c r="A249" s="82"/>
      <c r="B249" s="82"/>
      <c r="C249" s="69" t="s">
        <v>1457</v>
      </c>
      <c r="D249" s="69"/>
    </row>
    <row r="250" spans="1:4" x14ac:dyDescent="0.2">
      <c r="A250" s="82"/>
      <c r="B250" s="82"/>
      <c r="C250" s="69" t="s">
        <v>301</v>
      </c>
      <c r="D250" s="69"/>
    </row>
    <row r="251" spans="1:4" x14ac:dyDescent="0.2">
      <c r="A251" s="82"/>
      <c r="B251" s="82"/>
      <c r="C251" s="69" t="s">
        <v>1006</v>
      </c>
      <c r="D251" s="69"/>
    </row>
    <row r="252" spans="1:4" x14ac:dyDescent="0.2">
      <c r="A252" s="82"/>
      <c r="B252" s="82"/>
      <c r="C252" s="69" t="s">
        <v>701</v>
      </c>
      <c r="D252" s="69"/>
    </row>
    <row r="253" spans="1:4" x14ac:dyDescent="0.2">
      <c r="A253" s="82"/>
      <c r="B253" s="82"/>
      <c r="C253" s="69" t="s">
        <v>788</v>
      </c>
      <c r="D253" s="69"/>
    </row>
    <row r="254" spans="1:4" x14ac:dyDescent="0.2">
      <c r="A254" s="82"/>
      <c r="B254" s="82"/>
      <c r="C254" s="69" t="s">
        <v>1458</v>
      </c>
      <c r="D254" s="69"/>
    </row>
    <row r="255" spans="1:4" x14ac:dyDescent="0.2">
      <c r="A255" s="82"/>
      <c r="B255" s="82"/>
      <c r="C255" s="69" t="s">
        <v>1459</v>
      </c>
      <c r="D255" s="69"/>
    </row>
    <row r="256" spans="1:4" x14ac:dyDescent="0.2">
      <c r="A256" s="82"/>
      <c r="B256" s="82"/>
      <c r="C256" s="69" t="s">
        <v>1460</v>
      </c>
      <c r="D256" s="69"/>
    </row>
    <row r="257" spans="1:5" x14ac:dyDescent="0.2">
      <c r="A257" s="82"/>
      <c r="B257" s="82"/>
      <c r="C257" s="69" t="s">
        <v>1461</v>
      </c>
      <c r="D257" s="69"/>
    </row>
    <row r="258" spans="1:5" x14ac:dyDescent="0.2">
      <c r="A258" s="82"/>
      <c r="B258" s="82"/>
      <c r="C258" s="69" t="s">
        <v>1462</v>
      </c>
      <c r="D258" s="69"/>
    </row>
    <row r="259" spans="1:5" x14ac:dyDescent="0.2">
      <c r="A259" s="82"/>
      <c r="B259" s="82"/>
      <c r="C259" s="69" t="s">
        <v>1463</v>
      </c>
      <c r="D259" s="69"/>
    </row>
    <row r="260" spans="1:5" x14ac:dyDescent="0.2">
      <c r="A260" s="82"/>
      <c r="B260" s="82"/>
      <c r="C260" s="69" t="s">
        <v>1464</v>
      </c>
      <c r="D260" s="69"/>
    </row>
    <row r="261" spans="1:5" x14ac:dyDescent="0.2">
      <c r="A261" s="82"/>
      <c r="B261" s="82"/>
      <c r="C261" s="69" t="s">
        <v>1465</v>
      </c>
      <c r="D261" s="69"/>
    </row>
    <row r="262" spans="1:5" x14ac:dyDescent="0.2">
      <c r="A262" s="82"/>
      <c r="B262" s="82"/>
      <c r="C262" s="69" t="s">
        <v>1466</v>
      </c>
      <c r="D262" s="69"/>
    </row>
    <row r="263" spans="1:5" x14ac:dyDescent="0.2">
      <c r="A263" s="82"/>
      <c r="B263" s="82"/>
      <c r="C263" s="69" t="s">
        <v>1467</v>
      </c>
      <c r="D263" s="69"/>
    </row>
    <row r="264" spans="1:5" x14ac:dyDescent="0.2">
      <c r="A264" s="82"/>
      <c r="B264" s="82"/>
      <c r="C264" s="69" t="s">
        <v>1468</v>
      </c>
      <c r="D264" s="69"/>
    </row>
    <row r="265" spans="1:5" x14ac:dyDescent="0.2">
      <c r="A265" s="82"/>
      <c r="B265" s="82"/>
      <c r="C265" s="69" t="s">
        <v>1469</v>
      </c>
      <c r="D265" s="69"/>
    </row>
    <row r="266" spans="1:5" x14ac:dyDescent="0.2">
      <c r="A266" s="82"/>
      <c r="B266" s="82"/>
      <c r="C266" s="69" t="s">
        <v>1470</v>
      </c>
      <c r="D266" s="69"/>
    </row>
    <row r="267" spans="1:5" x14ac:dyDescent="0.2">
      <c r="A267" s="82"/>
      <c r="B267" s="82"/>
      <c r="C267" s="69" t="s">
        <v>1471</v>
      </c>
      <c r="D267" s="69"/>
    </row>
    <row r="268" spans="1:5" x14ac:dyDescent="0.2">
      <c r="A268" s="82"/>
      <c r="B268" s="82"/>
      <c r="C268" s="69" t="s">
        <v>1472</v>
      </c>
      <c r="D268" s="69"/>
    </row>
    <row r="269" spans="1:5" x14ac:dyDescent="0.2">
      <c r="A269" s="82"/>
      <c r="B269" s="82"/>
      <c r="C269" s="69" t="s">
        <v>1473</v>
      </c>
      <c r="D269" s="69"/>
    </row>
    <row r="270" spans="1:5" x14ac:dyDescent="0.2">
      <c r="A270" s="82"/>
      <c r="B270" s="82"/>
      <c r="C270" s="69" t="s">
        <v>1474</v>
      </c>
      <c r="D270" s="69" t="s">
        <v>1475</v>
      </c>
      <c r="E270" s="39" t="s">
        <v>1239</v>
      </c>
    </row>
    <row r="271" spans="1:5" x14ac:dyDescent="0.2">
      <c r="A271" s="82"/>
      <c r="B271" s="82"/>
      <c r="C271" s="69" t="s">
        <v>1476</v>
      </c>
      <c r="D271" s="69" t="s">
        <v>1477</v>
      </c>
      <c r="E271" s="39" t="s">
        <v>1239</v>
      </c>
    </row>
    <row r="272" spans="1:5" x14ac:dyDescent="0.2">
      <c r="A272" s="82"/>
      <c r="B272" s="82"/>
      <c r="C272" s="69" t="s">
        <v>1478</v>
      </c>
      <c r="D272" s="69" t="s">
        <v>1479</v>
      </c>
      <c r="E272" s="39" t="s">
        <v>1239</v>
      </c>
    </row>
    <row r="273" spans="1:5" x14ac:dyDescent="0.2">
      <c r="A273" s="82"/>
      <c r="B273" s="82"/>
      <c r="C273" s="69" t="s">
        <v>1480</v>
      </c>
      <c r="D273" s="69"/>
    </row>
    <row r="274" spans="1:5" x14ac:dyDescent="0.2">
      <c r="A274" s="82"/>
      <c r="B274" s="82"/>
      <c r="C274" s="69" t="s">
        <v>1481</v>
      </c>
      <c r="D274" s="69" t="s">
        <v>1482</v>
      </c>
      <c r="E274" s="39" t="s">
        <v>1239</v>
      </c>
    </row>
    <row r="275" spans="1:5" x14ac:dyDescent="0.2">
      <c r="A275" s="82"/>
      <c r="B275" s="82"/>
      <c r="C275" s="69" t="s">
        <v>1483</v>
      </c>
      <c r="D275" s="69"/>
    </row>
    <row r="276" spans="1:5" x14ac:dyDescent="0.2">
      <c r="A276" s="82"/>
      <c r="B276" s="82"/>
      <c r="C276" s="69" t="s">
        <v>1484</v>
      </c>
      <c r="D276" s="69"/>
    </row>
    <row r="277" spans="1:5" x14ac:dyDescent="0.2">
      <c r="A277" s="82"/>
      <c r="B277" s="82"/>
      <c r="C277" s="69" t="s">
        <v>1485</v>
      </c>
      <c r="D277" s="69"/>
    </row>
    <row r="278" spans="1:5" x14ac:dyDescent="0.2">
      <c r="A278" s="82"/>
      <c r="B278" s="82"/>
      <c r="C278" s="69" t="s">
        <v>1486</v>
      </c>
      <c r="D278" s="69"/>
    </row>
    <row r="279" spans="1:5" x14ac:dyDescent="0.2">
      <c r="A279" s="82"/>
      <c r="B279" s="82"/>
      <c r="C279" s="69" t="s">
        <v>1487</v>
      </c>
      <c r="D279" s="69"/>
    </row>
    <row r="280" spans="1:5" x14ac:dyDescent="0.2">
      <c r="A280" s="82"/>
      <c r="B280" s="82"/>
      <c r="C280" s="69" t="s">
        <v>1488</v>
      </c>
      <c r="D280" s="69"/>
    </row>
    <row r="281" spans="1:5" x14ac:dyDescent="0.2">
      <c r="A281" s="82"/>
      <c r="B281" s="82"/>
      <c r="C281" s="69" t="s">
        <v>1489</v>
      </c>
      <c r="D281" s="69"/>
    </row>
    <row r="282" spans="1:5" x14ac:dyDescent="0.2">
      <c r="A282" s="82"/>
      <c r="B282" s="82"/>
      <c r="C282" s="69" t="s">
        <v>1490</v>
      </c>
      <c r="D282" s="69" t="s">
        <v>1491</v>
      </c>
      <c r="E282" s="39" t="s">
        <v>1239</v>
      </c>
    </row>
    <row r="283" spans="1:5" x14ac:dyDescent="0.2">
      <c r="A283" s="82"/>
      <c r="B283" s="82"/>
      <c r="C283" s="69" t="s">
        <v>1492</v>
      </c>
      <c r="D283" s="69"/>
    </row>
    <row r="284" spans="1:5" x14ac:dyDescent="0.2">
      <c r="A284" s="82"/>
      <c r="B284" s="82"/>
      <c r="C284" s="69" t="s">
        <v>1493</v>
      </c>
      <c r="D284" s="69" t="s">
        <v>1494</v>
      </c>
      <c r="E284" s="39" t="s">
        <v>1239</v>
      </c>
    </row>
    <row r="285" spans="1:5" x14ac:dyDescent="0.2">
      <c r="A285" s="82"/>
      <c r="B285" s="82"/>
      <c r="C285" s="69" t="s">
        <v>1495</v>
      </c>
      <c r="D285" s="69"/>
    </row>
    <row r="286" spans="1:5" x14ac:dyDescent="0.2">
      <c r="A286" s="82"/>
      <c r="B286" s="82"/>
      <c r="C286" s="69" t="s">
        <v>1496</v>
      </c>
      <c r="D286" s="69"/>
    </row>
    <row r="287" spans="1:5" x14ac:dyDescent="0.2">
      <c r="A287" s="82"/>
      <c r="B287" s="82"/>
      <c r="C287" s="69" t="s">
        <v>1497</v>
      </c>
      <c r="D287" s="69"/>
    </row>
    <row r="288" spans="1:5" x14ac:dyDescent="0.2">
      <c r="A288" s="82"/>
      <c r="B288" s="82"/>
      <c r="C288" s="69" t="s">
        <v>1498</v>
      </c>
      <c r="D288" s="69"/>
    </row>
    <row r="289" spans="1:5" x14ac:dyDescent="0.2">
      <c r="A289" s="82"/>
      <c r="B289" s="82"/>
      <c r="C289" s="69" t="s">
        <v>1499</v>
      </c>
      <c r="D289" s="69" t="s">
        <v>1500</v>
      </c>
      <c r="E289" s="39" t="s">
        <v>1239</v>
      </c>
    </row>
    <row r="290" spans="1:5" x14ac:dyDescent="0.2">
      <c r="A290" s="82"/>
      <c r="B290" s="82"/>
      <c r="C290" s="69" t="s">
        <v>1501</v>
      </c>
      <c r="D290" s="69"/>
    </row>
    <row r="291" spans="1:5" x14ac:dyDescent="0.2">
      <c r="A291" s="82"/>
      <c r="B291" s="82"/>
      <c r="C291" s="69" t="s">
        <v>1502</v>
      </c>
      <c r="D291" s="69"/>
    </row>
    <row r="292" spans="1:5" x14ac:dyDescent="0.2">
      <c r="A292" s="82"/>
      <c r="B292" s="82"/>
      <c r="C292" s="69" t="s">
        <v>1503</v>
      </c>
      <c r="D292" s="69"/>
    </row>
    <row r="293" spans="1:5" x14ac:dyDescent="0.2">
      <c r="A293" s="82"/>
      <c r="B293" s="82"/>
      <c r="C293" s="69" t="s">
        <v>1504</v>
      </c>
      <c r="D293" s="69"/>
    </row>
    <row r="294" spans="1:5" x14ac:dyDescent="0.2">
      <c r="A294" s="82"/>
      <c r="B294" s="82"/>
      <c r="C294" s="69" t="s">
        <v>752</v>
      </c>
      <c r="D294" s="69"/>
    </row>
    <row r="295" spans="1:5" x14ac:dyDescent="0.2">
      <c r="A295" s="82"/>
      <c r="B295" s="82"/>
      <c r="C295" s="69" t="s">
        <v>1505</v>
      </c>
      <c r="D295" s="69"/>
    </row>
    <row r="296" spans="1:5" x14ac:dyDescent="0.2">
      <c r="A296" s="82"/>
      <c r="B296" s="82"/>
      <c r="C296" s="69" t="s">
        <v>1506</v>
      </c>
      <c r="D296" s="69"/>
    </row>
    <row r="297" spans="1:5" x14ac:dyDescent="0.2">
      <c r="A297" s="82"/>
      <c r="B297" s="82"/>
      <c r="C297" s="69" t="s">
        <v>727</v>
      </c>
      <c r="D297" s="69" t="s">
        <v>1507</v>
      </c>
      <c r="E297" s="39" t="s">
        <v>1239</v>
      </c>
    </row>
    <row r="298" spans="1:5" x14ac:dyDescent="0.2">
      <c r="A298" s="82"/>
      <c r="B298" s="82"/>
      <c r="C298" s="69" t="s">
        <v>1508</v>
      </c>
      <c r="D298" s="69"/>
    </row>
    <row r="299" spans="1:5" x14ac:dyDescent="0.2">
      <c r="A299" s="82"/>
      <c r="B299" s="82"/>
      <c r="C299" s="69" t="s">
        <v>1509</v>
      </c>
      <c r="D299" s="69"/>
    </row>
    <row r="300" spans="1:5" x14ac:dyDescent="0.2">
      <c r="A300" s="82"/>
      <c r="B300" s="82"/>
      <c r="C300" s="69" t="s">
        <v>1510</v>
      </c>
      <c r="D300" s="69"/>
      <c r="E300" s="39" t="s">
        <v>1239</v>
      </c>
    </row>
    <row r="301" spans="1:5" x14ac:dyDescent="0.2">
      <c r="A301" s="82"/>
      <c r="B301" s="82"/>
      <c r="C301" s="69" t="s">
        <v>1511</v>
      </c>
      <c r="D301" s="69"/>
    </row>
    <row r="302" spans="1:5" x14ac:dyDescent="0.2">
      <c r="A302" s="82"/>
      <c r="B302" s="82"/>
      <c r="C302" s="69" t="s">
        <v>1512</v>
      </c>
      <c r="D302" s="69"/>
    </row>
    <row r="303" spans="1:5" x14ac:dyDescent="0.2">
      <c r="A303" s="82"/>
      <c r="B303" s="82"/>
      <c r="C303" s="69" t="s">
        <v>708</v>
      </c>
      <c r="D303" s="69"/>
    </row>
    <row r="304" spans="1:5" x14ac:dyDescent="0.2">
      <c r="A304" s="82"/>
      <c r="B304" s="82"/>
      <c r="C304" s="69" t="s">
        <v>1513</v>
      </c>
      <c r="D304" s="69"/>
    </row>
    <row r="305" spans="1:5" x14ac:dyDescent="0.2">
      <c r="A305" s="82"/>
      <c r="B305" s="82"/>
      <c r="C305" s="69" t="s">
        <v>1514</v>
      </c>
      <c r="D305" s="69"/>
    </row>
    <row r="306" spans="1:5" x14ac:dyDescent="0.2">
      <c r="A306" s="82"/>
      <c r="B306" s="82"/>
      <c r="C306" s="69" t="s">
        <v>1515</v>
      </c>
      <c r="D306" s="69"/>
    </row>
    <row r="307" spans="1:5" x14ac:dyDescent="0.2">
      <c r="A307" s="82"/>
      <c r="B307" s="82"/>
      <c r="C307" s="69" t="s">
        <v>719</v>
      </c>
      <c r="D307" s="69"/>
    </row>
    <row r="308" spans="1:5" x14ac:dyDescent="0.2">
      <c r="A308" s="82"/>
      <c r="B308" s="82"/>
      <c r="C308" s="69" t="s">
        <v>1516</v>
      </c>
      <c r="D308" s="69"/>
    </row>
    <row r="309" spans="1:5" x14ac:dyDescent="0.2">
      <c r="A309" s="82"/>
      <c r="B309" s="82"/>
      <c r="C309" s="69" t="s">
        <v>736</v>
      </c>
      <c r="D309" s="69"/>
    </row>
    <row r="310" spans="1:5" x14ac:dyDescent="0.2">
      <c r="A310" s="82"/>
      <c r="B310" s="82"/>
      <c r="C310" s="69" t="s">
        <v>1517</v>
      </c>
      <c r="D310" s="69"/>
      <c r="E310" s="39" t="s">
        <v>1239</v>
      </c>
    </row>
    <row r="311" spans="1:5" x14ac:dyDescent="0.2">
      <c r="A311" s="82"/>
      <c r="B311" s="82"/>
      <c r="C311" s="69" t="s">
        <v>1518</v>
      </c>
      <c r="D311" s="69"/>
      <c r="E311" s="39" t="s">
        <v>1239</v>
      </c>
    </row>
    <row r="312" spans="1:5" x14ac:dyDescent="0.2">
      <c r="A312" s="82"/>
      <c r="B312" s="82"/>
      <c r="C312" s="69" t="s">
        <v>1519</v>
      </c>
      <c r="D312" s="69"/>
      <c r="E312" s="39" t="s">
        <v>1239</v>
      </c>
    </row>
    <row r="313" spans="1:5" x14ac:dyDescent="0.2">
      <c r="A313" s="82"/>
      <c r="B313" s="82"/>
      <c r="C313" s="69" t="s">
        <v>1520</v>
      </c>
      <c r="D313" s="69"/>
    </row>
    <row r="314" spans="1:5" x14ac:dyDescent="0.2">
      <c r="A314" s="82"/>
      <c r="B314" s="82"/>
      <c r="C314" s="69" t="s">
        <v>1521</v>
      </c>
      <c r="D314" s="69"/>
    </row>
    <row r="315" spans="1:5" x14ac:dyDescent="0.2">
      <c r="A315" s="82"/>
      <c r="B315" s="82"/>
      <c r="C315" s="69" t="s">
        <v>1522</v>
      </c>
      <c r="D315" s="69"/>
    </row>
    <row r="316" spans="1:5" x14ac:dyDescent="0.2">
      <c r="A316" s="82"/>
      <c r="B316" s="82"/>
      <c r="C316" s="69" t="s">
        <v>1523</v>
      </c>
      <c r="D316" s="69"/>
    </row>
    <row r="317" spans="1:5" x14ac:dyDescent="0.2">
      <c r="A317" s="82"/>
      <c r="B317" s="82"/>
      <c r="C317" s="69" t="s">
        <v>1524</v>
      </c>
      <c r="D317" s="69"/>
    </row>
    <row r="318" spans="1:5" x14ac:dyDescent="0.2">
      <c r="A318" s="82"/>
      <c r="B318" s="82"/>
      <c r="C318" s="69" t="s">
        <v>1525</v>
      </c>
      <c r="D318" s="90" t="s">
        <v>1526</v>
      </c>
      <c r="E318" s="39" t="s">
        <v>1239</v>
      </c>
    </row>
    <row r="319" spans="1:5" x14ac:dyDescent="0.2">
      <c r="A319" s="82"/>
      <c r="B319" s="82"/>
      <c r="C319" s="69" t="s">
        <v>1527</v>
      </c>
      <c r="D319" s="69"/>
    </row>
    <row r="320" spans="1:5" x14ac:dyDescent="0.2">
      <c r="A320" s="82"/>
      <c r="B320" s="82"/>
      <c r="C320" s="69" t="s">
        <v>1528</v>
      </c>
      <c r="D320" s="69"/>
    </row>
    <row r="321" spans="1:5" x14ac:dyDescent="0.2">
      <c r="A321" s="82"/>
      <c r="B321" s="82"/>
      <c r="C321" s="69" t="s">
        <v>1529</v>
      </c>
      <c r="D321" s="69"/>
    </row>
    <row r="322" spans="1:5" x14ac:dyDescent="0.2">
      <c r="A322" s="82"/>
      <c r="B322" s="82"/>
      <c r="C322" s="69" t="s">
        <v>1530</v>
      </c>
      <c r="D322" s="69"/>
    </row>
    <row r="323" spans="1:5" x14ac:dyDescent="0.2">
      <c r="A323" s="82"/>
      <c r="B323" s="82"/>
      <c r="C323" s="69" t="s">
        <v>1531</v>
      </c>
      <c r="D323" s="69"/>
    </row>
    <row r="324" spans="1:5" x14ac:dyDescent="0.2">
      <c r="A324" s="82"/>
      <c r="B324" s="82"/>
      <c r="C324" s="69" t="s">
        <v>1532</v>
      </c>
      <c r="D324" s="69"/>
    </row>
    <row r="325" spans="1:5" x14ac:dyDescent="0.2">
      <c r="A325" s="82"/>
      <c r="B325" s="82"/>
      <c r="C325" s="69" t="s">
        <v>1533</v>
      </c>
      <c r="D325" s="69"/>
    </row>
    <row r="326" spans="1:5" x14ac:dyDescent="0.2">
      <c r="A326" s="82"/>
      <c r="B326" s="82"/>
      <c r="C326" s="69" t="s">
        <v>1534</v>
      </c>
      <c r="D326" s="69"/>
    </row>
    <row r="327" spans="1:5" x14ac:dyDescent="0.2">
      <c r="A327" s="82"/>
      <c r="B327" s="82"/>
      <c r="C327" s="69" t="s">
        <v>713</v>
      </c>
      <c r="D327" s="69"/>
    </row>
    <row r="328" spans="1:5" x14ac:dyDescent="0.2">
      <c r="A328" s="71"/>
      <c r="B328" s="71" t="s">
        <v>792</v>
      </c>
      <c r="C328" s="88" t="s">
        <v>1535</v>
      </c>
      <c r="D328" s="88"/>
      <c r="E328" s="39" t="s">
        <v>1239</v>
      </c>
    </row>
    <row r="329" spans="1:5" x14ac:dyDescent="0.2">
      <c r="A329" s="74"/>
      <c r="B329" s="74"/>
      <c r="C329" s="88" t="s">
        <v>1536</v>
      </c>
      <c r="D329" s="88"/>
      <c r="E329" s="39" t="s">
        <v>1239</v>
      </c>
    </row>
    <row r="330" spans="1:5" x14ac:dyDescent="0.2">
      <c r="A330" s="74"/>
      <c r="B330" s="74"/>
      <c r="C330" s="88" t="s">
        <v>1537</v>
      </c>
      <c r="D330" s="88"/>
      <c r="E330" s="39" t="s">
        <v>1239</v>
      </c>
    </row>
    <row r="331" spans="1:5" x14ac:dyDescent="0.2">
      <c r="A331" s="74"/>
      <c r="B331" s="74"/>
      <c r="C331" s="88" t="s">
        <v>1538</v>
      </c>
      <c r="D331" s="88"/>
      <c r="E331" s="39" t="s">
        <v>1239</v>
      </c>
    </row>
    <row r="332" spans="1:5" x14ac:dyDescent="0.2">
      <c r="A332" s="74"/>
      <c r="B332" s="74"/>
      <c r="C332" s="88" t="s">
        <v>1539</v>
      </c>
      <c r="D332" s="88"/>
      <c r="E332" s="39" t="s">
        <v>1239</v>
      </c>
    </row>
    <row r="333" spans="1:5" x14ac:dyDescent="0.2">
      <c r="A333" s="74"/>
      <c r="B333" s="74"/>
      <c r="C333" s="88" t="s">
        <v>1540</v>
      </c>
      <c r="D333" s="88"/>
      <c r="E333" s="39" t="s">
        <v>1239</v>
      </c>
    </row>
    <row r="334" spans="1:5" x14ac:dyDescent="0.2">
      <c r="A334" s="74"/>
      <c r="B334" s="74"/>
      <c r="C334" s="88" t="s">
        <v>1541</v>
      </c>
      <c r="D334" s="88"/>
      <c r="E334" s="39" t="s">
        <v>1239</v>
      </c>
    </row>
    <row r="335" spans="1:5" x14ac:dyDescent="0.2">
      <c r="A335" s="74"/>
      <c r="B335" s="74"/>
      <c r="C335" s="88" t="s">
        <v>1542</v>
      </c>
      <c r="D335" s="88"/>
      <c r="E335" s="39" t="s">
        <v>1239</v>
      </c>
    </row>
    <row r="336" spans="1:5" x14ac:dyDescent="0.2">
      <c r="A336" s="74"/>
      <c r="B336" s="74"/>
      <c r="C336" s="88" t="s">
        <v>1543</v>
      </c>
      <c r="D336" s="88"/>
      <c r="E336" s="39" t="s">
        <v>1239</v>
      </c>
    </row>
    <row r="337" spans="1:5" x14ac:dyDescent="0.2">
      <c r="A337" s="74"/>
      <c r="B337" s="74"/>
      <c r="C337" s="88" t="s">
        <v>1544</v>
      </c>
      <c r="D337" s="88"/>
      <c r="E337" s="39" t="s">
        <v>1239</v>
      </c>
    </row>
    <row r="338" spans="1:5" x14ac:dyDescent="0.2">
      <c r="A338" s="74"/>
      <c r="B338" s="74"/>
      <c r="C338" s="88" t="s">
        <v>1545</v>
      </c>
      <c r="D338" s="88"/>
      <c r="E338" s="39" t="s">
        <v>1239</v>
      </c>
    </row>
    <row r="339" spans="1:5" x14ac:dyDescent="0.2">
      <c r="A339" s="74"/>
      <c r="B339" s="74"/>
      <c r="C339" s="88" t="s">
        <v>1546</v>
      </c>
      <c r="D339" s="88"/>
      <c r="E339" s="39" t="s">
        <v>1239</v>
      </c>
    </row>
    <row r="340" spans="1:5" x14ac:dyDescent="0.2">
      <c r="A340" s="74"/>
      <c r="B340" s="74"/>
      <c r="C340" s="88" t="s">
        <v>1547</v>
      </c>
      <c r="D340" s="88"/>
      <c r="E340" s="39" t="s">
        <v>1239</v>
      </c>
    </row>
    <row r="341" spans="1:5" x14ac:dyDescent="0.2">
      <c r="A341" s="74"/>
      <c r="B341" s="74"/>
      <c r="C341" s="88" t="s">
        <v>1548</v>
      </c>
      <c r="D341" s="88"/>
      <c r="E341" s="39" t="s">
        <v>1239</v>
      </c>
    </row>
    <row r="342" spans="1:5" x14ac:dyDescent="0.2">
      <c r="A342" s="74"/>
      <c r="B342" s="74"/>
      <c r="C342" s="88" t="s">
        <v>1549</v>
      </c>
      <c r="D342" s="88"/>
      <c r="E342" s="39" t="s">
        <v>1239</v>
      </c>
    </row>
    <row r="343" spans="1:5" x14ac:dyDescent="0.2">
      <c r="A343" s="74"/>
      <c r="B343" s="74"/>
      <c r="C343" s="88" t="s">
        <v>1550</v>
      </c>
      <c r="D343" s="88"/>
      <c r="E343" s="39" t="s">
        <v>1239</v>
      </c>
    </row>
    <row r="344" spans="1:5" x14ac:dyDescent="0.2">
      <c r="A344" s="74"/>
      <c r="B344" s="74"/>
      <c r="C344" s="88" t="s">
        <v>1551</v>
      </c>
      <c r="D344" s="88"/>
      <c r="E344" s="39" t="s">
        <v>1239</v>
      </c>
    </row>
    <row r="345" spans="1:5" x14ac:dyDescent="0.2">
      <c r="A345" s="74"/>
      <c r="B345" s="74"/>
      <c r="C345" s="88" t="s">
        <v>1552</v>
      </c>
      <c r="D345" s="88"/>
      <c r="E345" s="39" t="s">
        <v>1239</v>
      </c>
    </row>
    <row r="346" spans="1:5" x14ac:dyDescent="0.2">
      <c r="A346" s="74"/>
      <c r="B346" s="74"/>
      <c r="C346" s="88" t="s">
        <v>1553</v>
      </c>
      <c r="D346" s="88"/>
      <c r="E346" s="39" t="s">
        <v>1239</v>
      </c>
    </row>
    <row r="347" spans="1:5" x14ac:dyDescent="0.2">
      <c r="A347" s="74"/>
      <c r="B347" s="74"/>
      <c r="C347" s="88" t="s">
        <v>1554</v>
      </c>
      <c r="D347" s="88"/>
      <c r="E347" s="39" t="s">
        <v>1239</v>
      </c>
    </row>
    <row r="348" spans="1:5" x14ac:dyDescent="0.2">
      <c r="A348" s="74"/>
      <c r="B348" s="74"/>
      <c r="C348" s="88" t="s">
        <v>1555</v>
      </c>
      <c r="D348" s="88"/>
      <c r="E348" s="39" t="s">
        <v>1239</v>
      </c>
    </row>
    <row r="349" spans="1:5" x14ac:dyDescent="0.2">
      <c r="A349" s="74"/>
      <c r="B349" s="74"/>
      <c r="C349" s="88" t="s">
        <v>1556</v>
      </c>
      <c r="D349" s="88"/>
      <c r="E349" s="39" t="s">
        <v>1239</v>
      </c>
    </row>
    <row r="350" spans="1:5" x14ac:dyDescent="0.2">
      <c r="A350" s="74"/>
      <c r="B350" s="74"/>
      <c r="C350" s="88" t="s">
        <v>1557</v>
      </c>
      <c r="D350" s="88"/>
      <c r="E350" s="39" t="s">
        <v>1239</v>
      </c>
    </row>
    <row r="351" spans="1:5" x14ac:dyDescent="0.2">
      <c r="A351" s="74"/>
      <c r="B351" s="74"/>
      <c r="C351" s="88" t="s">
        <v>1558</v>
      </c>
      <c r="D351" s="88"/>
      <c r="E351" s="39" t="s">
        <v>1239</v>
      </c>
    </row>
    <row r="352" spans="1:5" x14ac:dyDescent="0.2">
      <c r="A352" s="74"/>
      <c r="B352" s="74"/>
      <c r="C352" s="88" t="s">
        <v>1559</v>
      </c>
      <c r="D352" s="88"/>
      <c r="E352" s="39" t="s">
        <v>1239</v>
      </c>
    </row>
    <row r="353" spans="1:5" x14ac:dyDescent="0.2">
      <c r="A353" s="74"/>
      <c r="B353" s="74"/>
      <c r="C353" s="88" t="s">
        <v>1560</v>
      </c>
      <c r="D353" s="88"/>
      <c r="E353" s="39" t="s">
        <v>1239</v>
      </c>
    </row>
    <row r="354" spans="1:5" x14ac:dyDescent="0.2">
      <c r="A354" s="74"/>
      <c r="B354" s="74"/>
      <c r="C354" s="88" t="s">
        <v>1561</v>
      </c>
      <c r="D354" s="88"/>
      <c r="E354" s="39" t="s">
        <v>1239</v>
      </c>
    </row>
    <row r="355" spans="1:5" x14ac:dyDescent="0.2">
      <c r="A355" s="74"/>
      <c r="B355" s="74"/>
      <c r="C355" s="88" t="s">
        <v>1562</v>
      </c>
      <c r="D355" s="88"/>
      <c r="E355" s="39" t="s">
        <v>1239</v>
      </c>
    </row>
    <row r="356" spans="1:5" x14ac:dyDescent="0.2">
      <c r="A356" s="74"/>
      <c r="B356" s="74"/>
      <c r="C356" s="88" t="s">
        <v>1563</v>
      </c>
      <c r="D356" s="88"/>
      <c r="E356" s="39" t="s">
        <v>1239</v>
      </c>
    </row>
    <row r="357" spans="1:5" x14ac:dyDescent="0.2">
      <c r="A357" s="74"/>
      <c r="B357" s="74"/>
      <c r="C357" s="88" t="s">
        <v>1564</v>
      </c>
      <c r="D357" s="88"/>
      <c r="E357" s="39" t="s">
        <v>1239</v>
      </c>
    </row>
    <row r="358" spans="1:5" x14ac:dyDescent="0.2">
      <c r="A358" s="74"/>
      <c r="B358" s="74"/>
      <c r="C358" s="88" t="s">
        <v>810</v>
      </c>
      <c r="D358" s="88"/>
      <c r="E358" s="39" t="s">
        <v>1239</v>
      </c>
    </row>
    <row r="359" spans="1:5" x14ac:dyDescent="0.2">
      <c r="A359" s="74"/>
      <c r="B359" s="74"/>
      <c r="C359" s="88" t="s">
        <v>1565</v>
      </c>
      <c r="D359" s="88"/>
      <c r="E359" s="39" t="s">
        <v>1239</v>
      </c>
    </row>
    <row r="360" spans="1:5" x14ac:dyDescent="0.2">
      <c r="A360" s="74"/>
      <c r="B360" s="74"/>
      <c r="C360" s="88" t="s">
        <v>1566</v>
      </c>
      <c r="D360" s="88"/>
      <c r="E360" s="39" t="s">
        <v>1239</v>
      </c>
    </row>
    <row r="361" spans="1:5" x14ac:dyDescent="0.2">
      <c r="A361" s="74"/>
      <c r="B361" s="74"/>
      <c r="C361" s="88" t="s">
        <v>1567</v>
      </c>
      <c r="D361" s="88"/>
      <c r="E361" s="39" t="s">
        <v>1239</v>
      </c>
    </row>
    <row r="362" spans="1:5" x14ac:dyDescent="0.2">
      <c r="A362" s="74"/>
      <c r="B362" s="74"/>
      <c r="C362" s="88" t="s">
        <v>1568</v>
      </c>
      <c r="D362" s="88"/>
      <c r="E362" s="39" t="s">
        <v>1239</v>
      </c>
    </row>
    <row r="363" spans="1:5" x14ac:dyDescent="0.2">
      <c r="A363" s="74"/>
      <c r="B363" s="74"/>
      <c r="C363" s="88" t="s">
        <v>1569</v>
      </c>
      <c r="D363" s="88"/>
      <c r="E363" s="39" t="s">
        <v>1239</v>
      </c>
    </row>
    <row r="364" spans="1:5" x14ac:dyDescent="0.2">
      <c r="A364" s="74"/>
      <c r="B364" s="74"/>
      <c r="C364" s="88" t="s">
        <v>1570</v>
      </c>
      <c r="D364" s="88"/>
      <c r="E364" s="39" t="s">
        <v>1239</v>
      </c>
    </row>
    <row r="365" spans="1:5" x14ac:dyDescent="0.2">
      <c r="A365" s="74"/>
      <c r="B365" s="74"/>
      <c r="C365" s="88" t="s">
        <v>1571</v>
      </c>
      <c r="D365" s="88"/>
      <c r="E365" s="39" t="s">
        <v>1239</v>
      </c>
    </row>
    <row r="366" spans="1:5" x14ac:dyDescent="0.2">
      <c r="A366" s="74"/>
      <c r="B366" s="74"/>
      <c r="C366" s="88" t="s">
        <v>1572</v>
      </c>
      <c r="D366" s="88"/>
      <c r="E366" s="39" t="s">
        <v>1239</v>
      </c>
    </row>
    <row r="367" spans="1:5" x14ac:dyDescent="0.2">
      <c r="A367" s="74"/>
      <c r="B367" s="74"/>
      <c r="C367" s="88" t="s">
        <v>1573</v>
      </c>
      <c r="D367" s="88"/>
      <c r="E367" s="39" t="s">
        <v>1239</v>
      </c>
    </row>
    <row r="368" spans="1:5" x14ac:dyDescent="0.2">
      <c r="A368" s="74"/>
      <c r="B368" s="74"/>
      <c r="C368" s="88" t="s">
        <v>1574</v>
      </c>
      <c r="D368" s="88"/>
      <c r="E368" s="39" t="s">
        <v>1239</v>
      </c>
    </row>
    <row r="369" spans="1:5" x14ac:dyDescent="0.2">
      <c r="A369" s="74"/>
      <c r="B369" s="74"/>
      <c r="C369" s="88" t="s">
        <v>1575</v>
      </c>
      <c r="D369" s="88"/>
      <c r="E369" s="39" t="s">
        <v>1239</v>
      </c>
    </row>
    <row r="370" spans="1:5" x14ac:dyDescent="0.2">
      <c r="A370" s="74"/>
      <c r="B370" s="74"/>
      <c r="C370" s="88" t="s">
        <v>1576</v>
      </c>
      <c r="D370" s="88"/>
      <c r="E370" s="39" t="s">
        <v>1239</v>
      </c>
    </row>
    <row r="371" spans="1:5" x14ac:dyDescent="0.2">
      <c r="A371" s="74"/>
      <c r="B371" s="74"/>
      <c r="C371" s="88" t="s">
        <v>1577</v>
      </c>
      <c r="D371" s="88"/>
      <c r="E371" s="39" t="s">
        <v>1239</v>
      </c>
    </row>
    <row r="372" spans="1:5" x14ac:dyDescent="0.2">
      <c r="A372" s="74"/>
      <c r="B372" s="74"/>
      <c r="C372" s="88" t="s">
        <v>1578</v>
      </c>
      <c r="D372" s="88"/>
      <c r="E372" s="39" t="s">
        <v>1239</v>
      </c>
    </row>
    <row r="373" spans="1:5" x14ac:dyDescent="0.2">
      <c r="A373" s="74"/>
      <c r="B373" s="74"/>
      <c r="C373" s="88" t="s">
        <v>1579</v>
      </c>
      <c r="D373" s="88"/>
      <c r="E373" s="39" t="s">
        <v>1239</v>
      </c>
    </row>
    <row r="374" spans="1:5" x14ac:dyDescent="0.2">
      <c r="A374" s="74"/>
      <c r="B374" s="74"/>
      <c r="C374" s="88" t="s">
        <v>1580</v>
      </c>
      <c r="D374" s="88"/>
      <c r="E374" s="39" t="s">
        <v>1239</v>
      </c>
    </row>
    <row r="375" spans="1:5" x14ac:dyDescent="0.2">
      <c r="A375" s="74"/>
      <c r="B375" s="74"/>
      <c r="C375" s="88" t="s">
        <v>1581</v>
      </c>
      <c r="D375" s="88"/>
      <c r="E375" s="39" t="s">
        <v>1239</v>
      </c>
    </row>
    <row r="376" spans="1:5" x14ac:dyDescent="0.2">
      <c r="A376" s="74"/>
      <c r="B376" s="74"/>
      <c r="C376" s="88" t="s">
        <v>1582</v>
      </c>
      <c r="D376" s="88"/>
      <c r="E376" s="39" t="s">
        <v>1239</v>
      </c>
    </row>
    <row r="377" spans="1:5" x14ac:dyDescent="0.2">
      <c r="A377" s="74"/>
      <c r="B377" s="74"/>
      <c r="C377" s="88" t="s">
        <v>1583</v>
      </c>
      <c r="D377" s="88"/>
      <c r="E377" s="39" t="s">
        <v>1239</v>
      </c>
    </row>
    <row r="378" spans="1:5" x14ac:dyDescent="0.2">
      <c r="A378" s="74"/>
      <c r="B378" s="74"/>
      <c r="C378" s="88" t="s">
        <v>1584</v>
      </c>
      <c r="D378" s="88"/>
      <c r="E378" s="39" t="s">
        <v>1239</v>
      </c>
    </row>
    <row r="379" spans="1:5" x14ac:dyDescent="0.2">
      <c r="A379" s="74"/>
      <c r="B379" s="74"/>
      <c r="C379" s="88" t="s">
        <v>1585</v>
      </c>
      <c r="D379" s="88"/>
      <c r="E379" s="39" t="s">
        <v>1239</v>
      </c>
    </row>
    <row r="380" spans="1:5" x14ac:dyDescent="0.2">
      <c r="A380" s="74"/>
      <c r="B380" s="74"/>
      <c r="C380" s="88" t="s">
        <v>1586</v>
      </c>
      <c r="D380" s="88"/>
      <c r="E380" s="39" t="s">
        <v>1239</v>
      </c>
    </row>
    <row r="381" spans="1:5" x14ac:dyDescent="0.2">
      <c r="A381" s="74"/>
      <c r="B381" s="74"/>
      <c r="C381" s="88" t="s">
        <v>1587</v>
      </c>
      <c r="D381" s="88"/>
      <c r="E381" s="39" t="s">
        <v>1239</v>
      </c>
    </row>
    <row r="382" spans="1:5" x14ac:dyDescent="0.2">
      <c r="A382" s="74"/>
      <c r="B382" s="74"/>
      <c r="C382" s="88" t="s">
        <v>1588</v>
      </c>
      <c r="D382" s="88"/>
      <c r="E382" s="39" t="s">
        <v>1239</v>
      </c>
    </row>
    <row r="383" spans="1:5" x14ac:dyDescent="0.2">
      <c r="A383" s="74"/>
      <c r="B383" s="74"/>
      <c r="C383" s="88" t="s">
        <v>1589</v>
      </c>
      <c r="D383" s="88"/>
      <c r="E383" s="39" t="s">
        <v>1239</v>
      </c>
    </row>
    <row r="384" spans="1:5" x14ac:dyDescent="0.2">
      <c r="A384" s="74"/>
      <c r="B384" s="74"/>
      <c r="C384" s="88" t="s">
        <v>1590</v>
      </c>
      <c r="D384" s="88"/>
      <c r="E384" s="39" t="s">
        <v>1239</v>
      </c>
    </row>
    <row r="385" spans="1:5" x14ac:dyDescent="0.2">
      <c r="A385" s="74"/>
      <c r="B385" s="74"/>
      <c r="C385" s="88" t="s">
        <v>1591</v>
      </c>
      <c r="D385" s="88"/>
      <c r="E385" s="39" t="s">
        <v>1239</v>
      </c>
    </row>
    <row r="386" spans="1:5" x14ac:dyDescent="0.2">
      <c r="A386" s="74"/>
      <c r="B386" s="74"/>
      <c r="C386" s="88" t="s">
        <v>1592</v>
      </c>
      <c r="D386" s="88"/>
      <c r="E386" s="39" t="s">
        <v>1239</v>
      </c>
    </row>
    <row r="387" spans="1:5" x14ac:dyDescent="0.2">
      <c r="A387" s="74"/>
      <c r="B387" s="74"/>
      <c r="C387" s="88" t="s">
        <v>1593</v>
      </c>
      <c r="D387" s="88"/>
      <c r="E387" s="39" t="s">
        <v>1239</v>
      </c>
    </row>
    <row r="388" spans="1:5" x14ac:dyDescent="0.2">
      <c r="A388" s="74"/>
      <c r="B388" s="74"/>
      <c r="C388" s="88" t="s">
        <v>1594</v>
      </c>
      <c r="D388" s="88"/>
      <c r="E388" s="39" t="s">
        <v>1239</v>
      </c>
    </row>
    <row r="389" spans="1:5" x14ac:dyDescent="0.2">
      <c r="A389" s="74"/>
      <c r="B389" s="74"/>
      <c r="C389" s="88" t="s">
        <v>1595</v>
      </c>
      <c r="D389" s="88"/>
      <c r="E389" s="39" t="s">
        <v>1239</v>
      </c>
    </row>
    <row r="390" spans="1:5" x14ac:dyDescent="0.2">
      <c r="A390" s="74"/>
      <c r="B390" s="74"/>
      <c r="C390" s="88" t="s">
        <v>892</v>
      </c>
      <c r="D390" s="88"/>
      <c r="E390" s="39" t="s">
        <v>1239</v>
      </c>
    </row>
    <row r="391" spans="1:5" x14ac:dyDescent="0.2">
      <c r="A391" s="74"/>
      <c r="B391" s="74"/>
      <c r="C391" s="88" t="s">
        <v>1596</v>
      </c>
      <c r="D391" s="88"/>
      <c r="E391" s="39" t="s">
        <v>1239</v>
      </c>
    </row>
    <row r="392" spans="1:5" x14ac:dyDescent="0.2">
      <c r="A392" s="74"/>
      <c r="B392" s="74"/>
      <c r="C392" s="88" t="s">
        <v>1597</v>
      </c>
      <c r="D392" s="88"/>
      <c r="E392" s="39" t="s">
        <v>1239</v>
      </c>
    </row>
    <row r="393" spans="1:5" x14ac:dyDescent="0.2">
      <c r="A393" s="74"/>
      <c r="B393" s="74"/>
      <c r="C393" s="88" t="s">
        <v>1598</v>
      </c>
      <c r="D393" s="88"/>
      <c r="E393" s="39" t="s">
        <v>1239</v>
      </c>
    </row>
    <row r="394" spans="1:5" x14ac:dyDescent="0.2">
      <c r="A394" s="74"/>
      <c r="B394" s="74"/>
      <c r="C394" s="88" t="s">
        <v>1599</v>
      </c>
      <c r="D394" s="88"/>
      <c r="E394" s="39" t="s">
        <v>1239</v>
      </c>
    </row>
    <row r="395" spans="1:5" x14ac:dyDescent="0.2">
      <c r="A395" s="74"/>
      <c r="B395" s="74"/>
      <c r="C395" s="88" t="s">
        <v>1600</v>
      </c>
      <c r="D395" s="88"/>
      <c r="E395" s="39" t="s">
        <v>1239</v>
      </c>
    </row>
    <row r="396" spans="1:5" x14ac:dyDescent="0.2">
      <c r="A396" s="74"/>
      <c r="B396" s="74"/>
      <c r="C396" s="88" t="s">
        <v>1601</v>
      </c>
      <c r="D396" s="88"/>
      <c r="E396" s="39" t="s">
        <v>1239</v>
      </c>
    </row>
    <row r="397" spans="1:5" x14ac:dyDescent="0.2">
      <c r="A397" s="74"/>
      <c r="B397" s="74"/>
      <c r="C397" s="88" t="s">
        <v>1602</v>
      </c>
      <c r="D397" s="88"/>
      <c r="E397" s="39" t="s">
        <v>1239</v>
      </c>
    </row>
    <row r="398" spans="1:5" x14ac:dyDescent="0.2">
      <c r="A398" s="74"/>
      <c r="B398" s="74"/>
      <c r="C398" s="88" t="s">
        <v>1603</v>
      </c>
      <c r="D398" s="88"/>
      <c r="E398" s="39" t="s">
        <v>1239</v>
      </c>
    </row>
    <row r="399" spans="1:5" x14ac:dyDescent="0.2">
      <c r="A399" s="74"/>
      <c r="B399" s="74"/>
      <c r="C399" s="88" t="s">
        <v>1604</v>
      </c>
      <c r="D399" s="88"/>
      <c r="E399" s="39" t="s">
        <v>1239</v>
      </c>
    </row>
    <row r="400" spans="1:5" x14ac:dyDescent="0.2">
      <c r="A400" s="74"/>
      <c r="B400" s="74"/>
      <c r="C400" s="88" t="s">
        <v>1605</v>
      </c>
      <c r="D400" s="88"/>
      <c r="E400" s="39" t="s">
        <v>1239</v>
      </c>
    </row>
    <row r="401" spans="1:5" x14ac:dyDescent="0.2">
      <c r="A401" s="74"/>
      <c r="B401" s="74"/>
      <c r="C401" s="88" t="s">
        <v>1606</v>
      </c>
      <c r="D401" s="88"/>
      <c r="E401" s="39" t="s">
        <v>1239</v>
      </c>
    </row>
    <row r="402" spans="1:5" x14ac:dyDescent="0.2">
      <c r="A402" s="74"/>
      <c r="B402" s="74"/>
      <c r="C402" s="88" t="s">
        <v>1607</v>
      </c>
      <c r="D402" s="88"/>
      <c r="E402" s="39" t="s">
        <v>1239</v>
      </c>
    </row>
    <row r="403" spans="1:5" x14ac:dyDescent="0.2">
      <c r="A403" s="74"/>
      <c r="B403" s="74"/>
      <c r="C403" s="88" t="s">
        <v>1608</v>
      </c>
      <c r="D403" s="88"/>
      <c r="E403" s="39" t="s">
        <v>1239</v>
      </c>
    </row>
    <row r="404" spans="1:5" x14ac:dyDescent="0.2">
      <c r="A404" s="74"/>
      <c r="B404" s="74"/>
      <c r="C404" s="88" t="s">
        <v>1609</v>
      </c>
      <c r="D404" s="88"/>
      <c r="E404" s="39" t="s">
        <v>1239</v>
      </c>
    </row>
    <row r="405" spans="1:5" x14ac:dyDescent="0.2">
      <c r="A405" s="74"/>
      <c r="B405" s="74"/>
      <c r="C405" s="88" t="s">
        <v>1610</v>
      </c>
      <c r="D405" s="88"/>
      <c r="E405" s="39" t="s">
        <v>1239</v>
      </c>
    </row>
    <row r="406" spans="1:5" x14ac:dyDescent="0.2">
      <c r="A406" s="74"/>
      <c r="B406" s="74"/>
      <c r="C406" s="88" t="s">
        <v>1611</v>
      </c>
      <c r="D406" s="88"/>
      <c r="E406" s="39" t="s">
        <v>1239</v>
      </c>
    </row>
    <row r="407" spans="1:5" x14ac:dyDescent="0.2">
      <c r="A407" s="74"/>
      <c r="B407" s="74"/>
      <c r="C407" s="88" t="s">
        <v>1612</v>
      </c>
      <c r="D407" s="88"/>
      <c r="E407" s="39" t="s">
        <v>1239</v>
      </c>
    </row>
    <row r="408" spans="1:5" x14ac:dyDescent="0.2">
      <c r="A408" s="74"/>
      <c r="B408" s="74"/>
      <c r="C408" s="88" t="s">
        <v>1613</v>
      </c>
      <c r="D408" s="88"/>
      <c r="E408" s="39" t="s">
        <v>1239</v>
      </c>
    </row>
    <row r="409" spans="1:5" x14ac:dyDescent="0.2">
      <c r="A409" s="74"/>
      <c r="B409" s="74"/>
      <c r="C409" s="88" t="s">
        <v>1614</v>
      </c>
      <c r="D409" s="88"/>
      <c r="E409" s="39" t="s">
        <v>1239</v>
      </c>
    </row>
    <row r="410" spans="1:5" x14ac:dyDescent="0.2">
      <c r="A410" s="74"/>
      <c r="B410" s="74"/>
      <c r="C410" s="88" t="s">
        <v>1615</v>
      </c>
      <c r="D410" s="88"/>
      <c r="E410" s="39" t="s">
        <v>1239</v>
      </c>
    </row>
    <row r="411" spans="1:5" x14ac:dyDescent="0.2">
      <c r="A411" s="74"/>
      <c r="B411" s="74"/>
      <c r="C411" s="88" t="s">
        <v>1616</v>
      </c>
      <c r="D411" s="88"/>
      <c r="E411" s="39" t="s">
        <v>1239</v>
      </c>
    </row>
    <row r="412" spans="1:5" x14ac:dyDescent="0.2">
      <c r="A412" s="74"/>
      <c r="B412" s="74"/>
      <c r="C412" s="88" t="s">
        <v>1617</v>
      </c>
      <c r="D412" s="88"/>
      <c r="E412" s="39" t="s">
        <v>1239</v>
      </c>
    </row>
    <row r="413" spans="1:5" x14ac:dyDescent="0.2">
      <c r="A413" s="74"/>
      <c r="B413" s="74"/>
      <c r="C413" s="88" t="s">
        <v>1618</v>
      </c>
      <c r="D413" s="88"/>
      <c r="E413" s="39" t="s">
        <v>1239</v>
      </c>
    </row>
    <row r="414" spans="1:5" x14ac:dyDescent="0.2">
      <c r="A414" s="74"/>
      <c r="B414" s="74"/>
      <c r="C414" s="88" t="s">
        <v>1619</v>
      </c>
      <c r="D414" s="88"/>
      <c r="E414" s="39" t="s">
        <v>1239</v>
      </c>
    </row>
    <row r="415" spans="1:5" x14ac:dyDescent="0.2">
      <c r="A415" s="74"/>
      <c r="B415" s="74"/>
      <c r="C415" s="88" t="s">
        <v>1620</v>
      </c>
      <c r="D415" s="88"/>
      <c r="E415" s="39" t="s">
        <v>1239</v>
      </c>
    </row>
    <row r="416" spans="1:5" x14ac:dyDescent="0.2">
      <c r="A416" s="74"/>
      <c r="B416" s="74"/>
      <c r="C416" s="88" t="s">
        <v>1621</v>
      </c>
      <c r="D416" s="88"/>
      <c r="E416" s="39" t="s">
        <v>1239</v>
      </c>
    </row>
    <row r="417" spans="1:5" x14ac:dyDescent="0.2">
      <c r="A417" s="74"/>
      <c r="B417" s="74"/>
      <c r="C417" s="88" t="s">
        <v>1622</v>
      </c>
      <c r="D417" s="88"/>
      <c r="E417" s="39" t="s">
        <v>1239</v>
      </c>
    </row>
    <row r="418" spans="1:5" x14ac:dyDescent="0.2">
      <c r="A418" s="74"/>
      <c r="B418" s="74"/>
      <c r="C418" s="88" t="s">
        <v>1623</v>
      </c>
      <c r="D418" s="88"/>
      <c r="E418" s="39" t="s">
        <v>1239</v>
      </c>
    </row>
    <row r="419" spans="1:5" x14ac:dyDescent="0.2">
      <c r="A419" s="74"/>
      <c r="B419" s="74"/>
      <c r="C419" s="88" t="s">
        <v>1624</v>
      </c>
      <c r="D419" s="88"/>
      <c r="E419" s="39" t="s">
        <v>1239</v>
      </c>
    </row>
    <row r="420" spans="1:5" x14ac:dyDescent="0.2">
      <c r="A420" s="74"/>
      <c r="B420" s="74"/>
      <c r="C420" s="88" t="s">
        <v>1625</v>
      </c>
      <c r="D420" s="88"/>
      <c r="E420" s="39" t="s">
        <v>1239</v>
      </c>
    </row>
    <row r="421" spans="1:5" x14ac:dyDescent="0.2">
      <c r="A421" s="74"/>
      <c r="B421" s="74"/>
      <c r="C421" s="88" t="s">
        <v>1626</v>
      </c>
      <c r="D421" s="88"/>
      <c r="E421" s="39" t="s">
        <v>1239</v>
      </c>
    </row>
    <row r="422" spans="1:5" x14ac:dyDescent="0.2">
      <c r="A422" s="74"/>
      <c r="B422" s="74"/>
      <c r="C422" s="88" t="s">
        <v>1627</v>
      </c>
      <c r="D422" s="88"/>
      <c r="E422" s="39" t="s">
        <v>1239</v>
      </c>
    </row>
    <row r="423" spans="1:5" x14ac:dyDescent="0.2">
      <c r="A423" s="74"/>
      <c r="B423" s="74"/>
      <c r="C423" s="88" t="s">
        <v>1628</v>
      </c>
      <c r="D423" s="88"/>
      <c r="E423" s="39" t="s">
        <v>1239</v>
      </c>
    </row>
    <row r="424" spans="1:5" x14ac:dyDescent="0.2">
      <c r="A424" s="74"/>
      <c r="B424" s="74"/>
      <c r="C424" s="88" t="s">
        <v>1629</v>
      </c>
      <c r="D424" s="88"/>
      <c r="E424" s="39" t="s">
        <v>1239</v>
      </c>
    </row>
    <row r="425" spans="1:5" x14ac:dyDescent="0.2">
      <c r="A425" s="74"/>
      <c r="B425" s="74"/>
      <c r="C425" s="88" t="s">
        <v>1630</v>
      </c>
      <c r="D425" s="88"/>
      <c r="E425" s="39" t="s">
        <v>1239</v>
      </c>
    </row>
    <row r="426" spans="1:5" x14ac:dyDescent="0.2">
      <c r="A426" s="74"/>
      <c r="B426" s="74"/>
      <c r="C426" s="88" t="s">
        <v>1631</v>
      </c>
      <c r="D426" s="88"/>
      <c r="E426" s="39" t="s">
        <v>1239</v>
      </c>
    </row>
    <row r="427" spans="1:5" x14ac:dyDescent="0.2">
      <c r="A427" s="74"/>
      <c r="B427" s="74"/>
      <c r="C427" s="88" t="s">
        <v>1632</v>
      </c>
      <c r="D427" s="88"/>
      <c r="E427" s="39" t="s">
        <v>1239</v>
      </c>
    </row>
    <row r="428" spans="1:5" x14ac:dyDescent="0.2">
      <c r="A428" s="74"/>
      <c r="B428" s="74"/>
      <c r="C428" s="88" t="s">
        <v>1633</v>
      </c>
      <c r="D428" s="88"/>
      <c r="E428" s="39" t="s">
        <v>1239</v>
      </c>
    </row>
    <row r="429" spans="1:5" x14ac:dyDescent="0.2">
      <c r="A429" s="74"/>
      <c r="B429" s="74"/>
      <c r="C429" s="88" t="s">
        <v>1634</v>
      </c>
      <c r="D429" s="88"/>
      <c r="E429" s="39" t="s">
        <v>1239</v>
      </c>
    </row>
    <row r="430" spans="1:5" x14ac:dyDescent="0.2">
      <c r="A430" s="74"/>
      <c r="B430" s="74"/>
      <c r="C430" s="88" t="s">
        <v>1635</v>
      </c>
      <c r="D430" s="88"/>
      <c r="E430" s="39" t="s">
        <v>1239</v>
      </c>
    </row>
    <row r="431" spans="1:5" x14ac:dyDescent="0.2">
      <c r="A431" s="74"/>
      <c r="B431" s="74"/>
      <c r="C431" s="88" t="s">
        <v>1636</v>
      </c>
      <c r="D431" s="88"/>
      <c r="E431" s="39" t="s">
        <v>1239</v>
      </c>
    </row>
    <row r="432" spans="1:5" x14ac:dyDescent="0.2">
      <c r="A432" s="74"/>
      <c r="B432" s="74"/>
      <c r="C432" s="88" t="s">
        <v>1637</v>
      </c>
      <c r="D432" s="88"/>
      <c r="E432" s="39" t="s">
        <v>1239</v>
      </c>
    </row>
    <row r="433" spans="1:5" x14ac:dyDescent="0.2">
      <c r="A433" s="74"/>
      <c r="B433" s="74"/>
      <c r="C433" s="88" t="s">
        <v>1638</v>
      </c>
      <c r="D433" s="88"/>
      <c r="E433" s="39" t="s">
        <v>1239</v>
      </c>
    </row>
    <row r="434" spans="1:5" x14ac:dyDescent="0.2">
      <c r="A434" s="74"/>
      <c r="B434" s="74"/>
      <c r="C434" s="88" t="s">
        <v>1639</v>
      </c>
      <c r="D434" s="88"/>
      <c r="E434" s="39" t="s">
        <v>1239</v>
      </c>
    </row>
    <row r="435" spans="1:5" x14ac:dyDescent="0.2">
      <c r="A435" s="74"/>
      <c r="B435" s="74"/>
      <c r="C435" s="88" t="s">
        <v>1640</v>
      </c>
      <c r="D435" s="88"/>
      <c r="E435" s="39" t="s">
        <v>1239</v>
      </c>
    </row>
    <row r="436" spans="1:5" x14ac:dyDescent="0.2">
      <c r="A436" s="74"/>
      <c r="B436" s="74"/>
      <c r="C436" s="88" t="s">
        <v>1641</v>
      </c>
      <c r="D436" s="88"/>
      <c r="E436" s="39" t="s">
        <v>1239</v>
      </c>
    </row>
    <row r="437" spans="1:5" x14ac:dyDescent="0.2">
      <c r="A437" s="74"/>
      <c r="B437" s="74"/>
      <c r="C437" s="88" t="s">
        <v>1642</v>
      </c>
      <c r="D437" s="88"/>
      <c r="E437" s="39" t="s">
        <v>1239</v>
      </c>
    </row>
    <row r="438" spans="1:5" x14ac:dyDescent="0.2">
      <c r="A438" s="74"/>
      <c r="B438" s="74"/>
      <c r="C438" s="88" t="s">
        <v>1643</v>
      </c>
      <c r="D438" s="88"/>
      <c r="E438" s="39" t="s">
        <v>1239</v>
      </c>
    </row>
    <row r="439" spans="1:5" x14ac:dyDescent="0.2">
      <c r="A439" s="74"/>
      <c r="B439" s="74"/>
      <c r="C439" s="88" t="s">
        <v>1644</v>
      </c>
      <c r="D439" s="88"/>
      <c r="E439" s="39" t="s">
        <v>1239</v>
      </c>
    </row>
    <row r="440" spans="1:5" x14ac:dyDescent="0.2">
      <c r="A440" s="74"/>
      <c r="B440" s="74"/>
      <c r="C440" s="88" t="s">
        <v>1645</v>
      </c>
      <c r="D440" s="88"/>
      <c r="E440" s="39" t="s">
        <v>1239</v>
      </c>
    </row>
    <row r="441" spans="1:5" x14ac:dyDescent="0.2">
      <c r="A441" s="74"/>
      <c r="B441" s="74"/>
      <c r="C441" s="88" t="s">
        <v>1646</v>
      </c>
      <c r="D441" s="88"/>
      <c r="E441" s="39" t="s">
        <v>1239</v>
      </c>
    </row>
    <row r="442" spans="1:5" x14ac:dyDescent="0.2">
      <c r="A442" s="74"/>
      <c r="B442" s="74"/>
      <c r="C442" s="88" t="s">
        <v>1647</v>
      </c>
      <c r="D442" s="88"/>
      <c r="E442" s="39" t="s">
        <v>1239</v>
      </c>
    </row>
    <row r="443" spans="1:5" x14ac:dyDescent="0.2">
      <c r="A443" s="74"/>
      <c r="B443" s="74"/>
      <c r="C443" s="88" t="s">
        <v>1648</v>
      </c>
      <c r="D443" s="88"/>
      <c r="E443" s="39" t="s">
        <v>1239</v>
      </c>
    </row>
    <row r="444" spans="1:5" x14ac:dyDescent="0.2">
      <c r="A444" s="74"/>
      <c r="B444" s="74"/>
      <c r="C444" s="88" t="s">
        <v>1649</v>
      </c>
      <c r="D444" s="88"/>
      <c r="E444" s="39" t="s">
        <v>1239</v>
      </c>
    </row>
    <row r="445" spans="1:5" x14ac:dyDescent="0.2">
      <c r="A445" s="74"/>
      <c r="B445" s="74"/>
      <c r="C445" s="88" t="s">
        <v>1650</v>
      </c>
      <c r="D445" s="88"/>
      <c r="E445" s="39" t="s">
        <v>1239</v>
      </c>
    </row>
    <row r="446" spans="1:5" x14ac:dyDescent="0.2">
      <c r="A446" s="74"/>
      <c r="B446" s="74"/>
      <c r="C446" s="88" t="s">
        <v>1651</v>
      </c>
      <c r="D446" s="88"/>
      <c r="E446" s="39" t="s">
        <v>1239</v>
      </c>
    </row>
    <row r="447" spans="1:5" x14ac:dyDescent="0.2">
      <c r="A447" s="74"/>
      <c r="B447" s="74"/>
      <c r="C447" s="88" t="s">
        <v>1652</v>
      </c>
      <c r="D447" s="88"/>
      <c r="E447" s="39" t="s">
        <v>1239</v>
      </c>
    </row>
    <row r="448" spans="1:5" x14ac:dyDescent="0.2">
      <c r="A448" s="74"/>
      <c r="B448" s="74"/>
      <c r="C448" s="88" t="s">
        <v>1653</v>
      </c>
      <c r="D448" s="88"/>
      <c r="E448" s="39" t="s">
        <v>1239</v>
      </c>
    </row>
    <row r="449" spans="1:5" x14ac:dyDescent="0.2">
      <c r="A449" s="74"/>
      <c r="B449" s="74"/>
      <c r="C449" s="88" t="s">
        <v>1654</v>
      </c>
      <c r="D449" s="88"/>
      <c r="E449" s="39" t="s">
        <v>1239</v>
      </c>
    </row>
    <row r="450" spans="1:5" x14ac:dyDescent="0.2">
      <c r="A450" s="74"/>
      <c r="B450" s="74"/>
      <c r="C450" s="88" t="s">
        <v>1655</v>
      </c>
      <c r="D450" s="88"/>
      <c r="E450" s="39" t="s">
        <v>1239</v>
      </c>
    </row>
    <row r="451" spans="1:5" x14ac:dyDescent="0.2">
      <c r="A451" s="74"/>
      <c r="B451" s="74"/>
      <c r="C451" s="88" t="s">
        <v>1656</v>
      </c>
      <c r="D451" s="88"/>
      <c r="E451" s="39" t="s">
        <v>1239</v>
      </c>
    </row>
    <row r="452" spans="1:5" x14ac:dyDescent="0.2">
      <c r="A452" s="74"/>
      <c r="B452" s="74"/>
      <c r="C452" s="88" t="s">
        <v>1657</v>
      </c>
      <c r="D452" s="88"/>
      <c r="E452" s="39" t="s">
        <v>1239</v>
      </c>
    </row>
    <row r="453" spans="1:5" x14ac:dyDescent="0.2">
      <c r="A453" s="74"/>
      <c r="B453" s="74"/>
      <c r="C453" s="88" t="s">
        <v>1658</v>
      </c>
      <c r="D453" s="88"/>
      <c r="E453" s="39" t="s">
        <v>1239</v>
      </c>
    </row>
    <row r="454" spans="1:5" x14ac:dyDescent="0.2">
      <c r="A454" s="74"/>
      <c r="B454" s="74"/>
      <c r="C454" s="88" t="s">
        <v>1659</v>
      </c>
      <c r="D454" s="88"/>
      <c r="E454" s="39" t="s">
        <v>1239</v>
      </c>
    </row>
    <row r="455" spans="1:5" x14ac:dyDescent="0.2">
      <c r="A455" s="74"/>
      <c r="B455" s="74"/>
      <c r="C455" s="88" t="s">
        <v>1660</v>
      </c>
      <c r="D455" s="88"/>
      <c r="E455" s="39" t="s">
        <v>1239</v>
      </c>
    </row>
    <row r="456" spans="1:5" x14ac:dyDescent="0.2">
      <c r="A456" s="74"/>
      <c r="B456" s="74"/>
      <c r="C456" s="88" t="s">
        <v>1661</v>
      </c>
      <c r="D456" s="88"/>
      <c r="E456" s="39" t="s">
        <v>1239</v>
      </c>
    </row>
    <row r="457" spans="1:5" x14ac:dyDescent="0.2">
      <c r="A457" s="74"/>
      <c r="B457" s="74"/>
      <c r="C457" s="88" t="s">
        <v>1662</v>
      </c>
      <c r="D457" s="88"/>
      <c r="E457" s="39" t="s">
        <v>1239</v>
      </c>
    </row>
    <row r="458" spans="1:5" x14ac:dyDescent="0.2">
      <c r="A458" s="74"/>
      <c r="B458" s="74"/>
      <c r="C458" s="88" t="s">
        <v>1663</v>
      </c>
      <c r="D458" s="88"/>
      <c r="E458" s="39" t="s">
        <v>1239</v>
      </c>
    </row>
    <row r="459" spans="1:5" x14ac:dyDescent="0.2">
      <c r="A459" s="74"/>
      <c r="B459" s="74"/>
      <c r="C459" s="88" t="s">
        <v>1664</v>
      </c>
      <c r="D459" s="88"/>
      <c r="E459" s="39" t="s">
        <v>1239</v>
      </c>
    </row>
    <row r="460" spans="1:5" x14ac:dyDescent="0.2">
      <c r="A460" s="74"/>
      <c r="B460" s="74"/>
      <c r="C460" s="88" t="s">
        <v>1665</v>
      </c>
      <c r="D460" s="88"/>
      <c r="E460" s="39" t="s">
        <v>1239</v>
      </c>
    </row>
    <row r="461" spans="1:5" x14ac:dyDescent="0.2">
      <c r="A461" s="74"/>
      <c r="B461" s="74"/>
      <c r="C461" s="88" t="s">
        <v>1666</v>
      </c>
      <c r="D461" s="88"/>
      <c r="E461" s="39" t="s">
        <v>1239</v>
      </c>
    </row>
    <row r="462" spans="1:5" x14ac:dyDescent="0.2">
      <c r="A462" s="74"/>
      <c r="B462" s="74"/>
      <c r="C462" s="88" t="s">
        <v>1667</v>
      </c>
      <c r="D462" s="88"/>
      <c r="E462" s="39" t="s">
        <v>1239</v>
      </c>
    </row>
    <row r="463" spans="1:5" x14ac:dyDescent="0.2">
      <c r="A463" s="74"/>
      <c r="B463" s="74"/>
      <c r="C463" s="88" t="s">
        <v>1668</v>
      </c>
      <c r="D463" s="88"/>
      <c r="E463" s="39" t="s">
        <v>1239</v>
      </c>
    </row>
    <row r="464" spans="1:5" x14ac:dyDescent="0.2">
      <c r="A464" s="74"/>
      <c r="B464" s="74"/>
      <c r="C464" s="88" t="s">
        <v>1669</v>
      </c>
      <c r="D464" s="88"/>
      <c r="E464" s="39" t="s">
        <v>1239</v>
      </c>
    </row>
    <row r="465" spans="1:5" x14ac:dyDescent="0.2">
      <c r="A465" s="74"/>
      <c r="B465" s="74"/>
      <c r="C465" s="88" t="s">
        <v>1670</v>
      </c>
      <c r="D465" s="88"/>
      <c r="E465" s="39" t="s">
        <v>1239</v>
      </c>
    </row>
    <row r="466" spans="1:5" x14ac:dyDescent="0.2">
      <c r="A466" s="74"/>
      <c r="B466" s="74"/>
      <c r="C466" s="88" t="s">
        <v>1671</v>
      </c>
      <c r="D466" s="88"/>
      <c r="E466" s="39" t="s">
        <v>1239</v>
      </c>
    </row>
    <row r="467" spans="1:5" x14ac:dyDescent="0.2">
      <c r="A467" s="74"/>
      <c r="B467" s="74"/>
      <c r="C467" s="88" t="s">
        <v>1672</v>
      </c>
      <c r="D467" s="88"/>
      <c r="E467" s="39" t="s">
        <v>1239</v>
      </c>
    </row>
    <row r="468" spans="1:5" x14ac:dyDescent="0.2">
      <c r="A468" s="74"/>
      <c r="B468" s="74"/>
      <c r="C468" s="88" t="s">
        <v>1673</v>
      </c>
      <c r="D468" s="88"/>
      <c r="E468" s="39" t="s">
        <v>1239</v>
      </c>
    </row>
    <row r="469" spans="1:5" x14ac:dyDescent="0.2">
      <c r="A469" s="74"/>
      <c r="B469" s="74"/>
      <c r="C469" s="88" t="s">
        <v>1674</v>
      </c>
      <c r="D469" s="88"/>
      <c r="E469" s="39" t="s">
        <v>1239</v>
      </c>
    </row>
    <row r="470" spans="1:5" x14ac:dyDescent="0.2">
      <c r="A470" s="74"/>
      <c r="B470" s="74"/>
      <c r="C470" s="88" t="s">
        <v>1675</v>
      </c>
      <c r="D470" s="88"/>
      <c r="E470" s="39" t="s">
        <v>1239</v>
      </c>
    </row>
    <row r="471" spans="1:5" x14ac:dyDescent="0.2">
      <c r="A471" s="74"/>
      <c r="B471" s="74"/>
      <c r="C471" s="88" t="s">
        <v>1676</v>
      </c>
      <c r="D471" s="88"/>
      <c r="E471" s="39" t="s">
        <v>1239</v>
      </c>
    </row>
    <row r="472" spans="1:5" x14ac:dyDescent="0.2">
      <c r="A472" s="74"/>
      <c r="B472" s="74"/>
      <c r="C472" s="88" t="s">
        <v>1677</v>
      </c>
      <c r="D472" s="88"/>
      <c r="E472" s="39" t="s">
        <v>1239</v>
      </c>
    </row>
    <row r="473" spans="1:5" x14ac:dyDescent="0.2">
      <c r="A473" s="74"/>
      <c r="B473" s="74"/>
      <c r="C473" s="88" t="s">
        <v>1678</v>
      </c>
      <c r="D473" s="88"/>
      <c r="E473" s="39" t="s">
        <v>1239</v>
      </c>
    </row>
    <row r="474" spans="1:5" x14ac:dyDescent="0.2">
      <c r="A474" s="74"/>
      <c r="B474" s="74"/>
      <c r="C474" s="88" t="s">
        <v>1679</v>
      </c>
      <c r="D474" s="88"/>
      <c r="E474" s="39" t="s">
        <v>1239</v>
      </c>
    </row>
    <row r="475" spans="1:5" x14ac:dyDescent="0.2">
      <c r="A475" s="74"/>
      <c r="B475" s="74"/>
      <c r="C475" s="88" t="s">
        <v>1680</v>
      </c>
      <c r="D475" s="88"/>
      <c r="E475" s="39" t="s">
        <v>1239</v>
      </c>
    </row>
    <row r="476" spans="1:5" x14ac:dyDescent="0.2">
      <c r="A476" s="74"/>
      <c r="B476" s="74"/>
      <c r="C476" s="88" t="s">
        <v>1681</v>
      </c>
      <c r="D476" s="88"/>
      <c r="E476" s="39" t="s">
        <v>1239</v>
      </c>
    </row>
    <row r="477" spans="1:5" x14ac:dyDescent="0.2">
      <c r="A477" s="74"/>
      <c r="B477" s="74"/>
      <c r="C477" s="88" t="s">
        <v>1682</v>
      </c>
      <c r="D477" s="88"/>
      <c r="E477" s="39" t="s">
        <v>1239</v>
      </c>
    </row>
    <row r="478" spans="1:5" x14ac:dyDescent="0.2">
      <c r="A478" s="74"/>
      <c r="B478" s="74"/>
      <c r="C478" s="88" t="s">
        <v>1683</v>
      </c>
      <c r="D478" s="88"/>
      <c r="E478" s="39" t="s">
        <v>1239</v>
      </c>
    </row>
    <row r="479" spans="1:5" x14ac:dyDescent="0.2">
      <c r="A479" s="74"/>
      <c r="B479" s="74"/>
      <c r="C479" s="88" t="s">
        <v>1684</v>
      </c>
      <c r="D479" s="88"/>
      <c r="E479" s="39" t="s">
        <v>1239</v>
      </c>
    </row>
    <row r="480" spans="1:5" x14ac:dyDescent="0.2">
      <c r="A480" s="74"/>
      <c r="B480" s="74"/>
      <c r="C480" s="88" t="s">
        <v>1685</v>
      </c>
      <c r="D480" s="88"/>
      <c r="E480" s="39" t="s">
        <v>1239</v>
      </c>
    </row>
    <row r="481" spans="1:5" x14ac:dyDescent="0.2">
      <c r="A481" s="74"/>
      <c r="B481" s="74"/>
      <c r="C481" s="88" t="s">
        <v>1686</v>
      </c>
      <c r="D481" s="88"/>
      <c r="E481" s="39" t="s">
        <v>1239</v>
      </c>
    </row>
    <row r="482" spans="1:5" x14ac:dyDescent="0.2">
      <c r="A482" s="74"/>
      <c r="B482" s="74"/>
      <c r="C482" s="88" t="s">
        <v>1687</v>
      </c>
      <c r="D482" s="88"/>
      <c r="E482" s="39" t="s">
        <v>1239</v>
      </c>
    </row>
    <row r="483" spans="1:5" x14ac:dyDescent="0.2">
      <c r="A483" s="74"/>
      <c r="B483" s="74"/>
      <c r="C483" s="88" t="s">
        <v>1688</v>
      </c>
      <c r="D483" s="88"/>
      <c r="E483" s="39" t="s">
        <v>1239</v>
      </c>
    </row>
    <row r="484" spans="1:5" x14ac:dyDescent="0.2">
      <c r="A484" s="74"/>
      <c r="B484" s="74"/>
      <c r="C484" s="88" t="s">
        <v>1689</v>
      </c>
      <c r="D484" s="88"/>
      <c r="E484" s="39" t="s">
        <v>1239</v>
      </c>
    </row>
    <row r="485" spans="1:5" x14ac:dyDescent="0.2">
      <c r="A485" s="74"/>
      <c r="B485" s="74"/>
      <c r="C485" s="88" t="s">
        <v>1690</v>
      </c>
      <c r="D485" s="88"/>
      <c r="E485" s="39" t="s">
        <v>1239</v>
      </c>
    </row>
    <row r="486" spans="1:5" x14ac:dyDescent="0.2">
      <c r="A486" s="74"/>
      <c r="B486" s="74"/>
      <c r="C486" s="88" t="s">
        <v>1691</v>
      </c>
      <c r="D486" s="88"/>
      <c r="E486" s="39" t="s">
        <v>1239</v>
      </c>
    </row>
    <row r="487" spans="1:5" x14ac:dyDescent="0.2">
      <c r="A487" s="74"/>
      <c r="B487" s="74"/>
      <c r="C487" s="88" t="s">
        <v>1692</v>
      </c>
      <c r="D487" s="88"/>
      <c r="E487" s="39" t="s">
        <v>1239</v>
      </c>
    </row>
    <row r="488" spans="1:5" x14ac:dyDescent="0.2">
      <c r="A488" s="74"/>
      <c r="B488" s="74"/>
      <c r="C488" s="88" t="s">
        <v>1693</v>
      </c>
      <c r="D488" s="88"/>
      <c r="E488" s="39" t="s">
        <v>1239</v>
      </c>
    </row>
    <row r="489" spans="1:5" x14ac:dyDescent="0.2">
      <c r="A489" s="74"/>
      <c r="B489" s="74"/>
      <c r="C489" s="88" t="s">
        <v>701</v>
      </c>
      <c r="D489" s="88"/>
    </row>
    <row r="490" spans="1:5" x14ac:dyDescent="0.2">
      <c r="A490" s="74"/>
      <c r="B490" s="74"/>
      <c r="C490" s="88" t="s">
        <v>1694</v>
      </c>
      <c r="D490" s="88"/>
    </row>
    <row r="491" spans="1:5" x14ac:dyDescent="0.2">
      <c r="A491" s="74"/>
      <c r="B491" s="74"/>
      <c r="C491" s="88" t="s">
        <v>883</v>
      </c>
      <c r="D491" s="88"/>
    </row>
    <row r="492" spans="1:5" x14ac:dyDescent="0.2">
      <c r="A492" s="74"/>
      <c r="B492" s="74"/>
      <c r="C492" s="88" t="s">
        <v>1695</v>
      </c>
      <c r="D492" s="88"/>
    </row>
    <row r="493" spans="1:5" x14ac:dyDescent="0.2">
      <c r="A493" s="74"/>
      <c r="B493" s="74"/>
      <c r="C493" s="88" t="s">
        <v>1696</v>
      </c>
      <c r="D493" s="88"/>
    </row>
    <row r="494" spans="1:5" x14ac:dyDescent="0.2">
      <c r="A494" s="74"/>
      <c r="B494" s="74"/>
      <c r="C494" s="88" t="s">
        <v>815</v>
      </c>
      <c r="D494" s="88"/>
    </row>
    <row r="495" spans="1:5" x14ac:dyDescent="0.2">
      <c r="A495" s="74"/>
      <c r="B495" s="74"/>
      <c r="C495" s="88" t="s">
        <v>1697</v>
      </c>
      <c r="D495" s="88"/>
    </row>
    <row r="496" spans="1:5" x14ac:dyDescent="0.2">
      <c r="A496" s="74"/>
      <c r="B496" s="74"/>
      <c r="C496" s="88" t="s">
        <v>1698</v>
      </c>
      <c r="D496" s="88"/>
    </row>
    <row r="497" spans="1:4" x14ac:dyDescent="0.2">
      <c r="A497" s="74"/>
      <c r="B497" s="74"/>
      <c r="C497" s="88" t="s">
        <v>1699</v>
      </c>
      <c r="D497" s="88"/>
    </row>
    <row r="498" spans="1:4" x14ac:dyDescent="0.2">
      <c r="A498" s="86"/>
      <c r="B498" s="86"/>
      <c r="C498" s="88" t="s">
        <v>713</v>
      </c>
      <c r="D498" s="88"/>
    </row>
    <row r="499" spans="1:4" x14ac:dyDescent="0.2">
      <c r="A499" s="87"/>
      <c r="B499" s="82" t="s">
        <v>1700</v>
      </c>
      <c r="C499" s="89" t="s">
        <v>203</v>
      </c>
      <c r="D499" s="89"/>
    </row>
    <row r="500" spans="1:4" x14ac:dyDescent="0.2">
      <c r="A500" s="82"/>
      <c r="B500" s="82"/>
      <c r="C500" s="89" t="s">
        <v>1701</v>
      </c>
      <c r="D500" s="89"/>
    </row>
    <row r="501" spans="1:4" x14ac:dyDescent="0.2">
      <c r="A501" s="82"/>
      <c r="B501" s="82"/>
      <c r="C501" s="89" t="s">
        <v>1702</v>
      </c>
      <c r="D501" s="89"/>
    </row>
    <row r="502" spans="1:4" x14ac:dyDescent="0.2">
      <c r="A502" s="82"/>
      <c r="B502" s="82"/>
      <c r="C502" s="89" t="s">
        <v>1703</v>
      </c>
      <c r="D502" s="89"/>
    </row>
    <row r="503" spans="1:4" x14ac:dyDescent="0.2">
      <c r="A503" s="82"/>
      <c r="B503" s="82"/>
      <c r="C503" s="89" t="s">
        <v>1704</v>
      </c>
      <c r="D503" s="89"/>
    </row>
    <row r="504" spans="1:4" x14ac:dyDescent="0.2">
      <c r="A504" s="82"/>
      <c r="B504" s="82"/>
      <c r="C504" s="89" t="s">
        <v>1705</v>
      </c>
      <c r="D504" s="89"/>
    </row>
    <row r="505" spans="1:4" x14ac:dyDescent="0.2">
      <c r="A505" s="82"/>
      <c r="B505" s="82"/>
      <c r="C505" s="89" t="s">
        <v>1706</v>
      </c>
      <c r="D505" s="89"/>
    </row>
    <row r="506" spans="1:4" x14ac:dyDescent="0.2">
      <c r="A506" s="82"/>
      <c r="B506" s="82"/>
      <c r="C506" s="89" t="s">
        <v>1164</v>
      </c>
      <c r="D506" s="89"/>
    </row>
    <row r="507" spans="1:4" x14ac:dyDescent="0.2">
      <c r="A507" s="82"/>
      <c r="B507" s="82"/>
      <c r="C507" s="89" t="s">
        <v>933</v>
      </c>
      <c r="D507" s="89"/>
    </row>
    <row r="508" spans="1:4" x14ac:dyDescent="0.2">
      <c r="A508" s="82"/>
      <c r="B508" s="82"/>
      <c r="C508" s="89" t="s">
        <v>1707</v>
      </c>
      <c r="D508" s="89"/>
    </row>
    <row r="509" spans="1:4" x14ac:dyDescent="0.2">
      <c r="A509" s="82"/>
      <c r="B509" s="82"/>
      <c r="C509" s="89" t="s">
        <v>1708</v>
      </c>
      <c r="D509" s="89"/>
    </row>
    <row r="510" spans="1:4" x14ac:dyDescent="0.2">
      <c r="A510" s="82"/>
      <c r="B510" s="82"/>
      <c r="C510" s="89" t="s">
        <v>1709</v>
      </c>
      <c r="D510" s="89"/>
    </row>
    <row r="511" spans="1:4" x14ac:dyDescent="0.2">
      <c r="A511" s="82"/>
      <c r="B511" s="82"/>
      <c r="C511" s="89" t="s">
        <v>1710</v>
      </c>
      <c r="D511" s="89"/>
    </row>
    <row r="512" spans="1:4" x14ac:dyDescent="0.2">
      <c r="A512" s="82"/>
      <c r="B512" s="82"/>
      <c r="C512" s="89" t="s">
        <v>1006</v>
      </c>
      <c r="D512" s="89"/>
    </row>
    <row r="513" spans="1:4" x14ac:dyDescent="0.2">
      <c r="A513" s="82"/>
      <c r="B513" s="82"/>
      <c r="C513" s="89" t="s">
        <v>701</v>
      </c>
      <c r="D513" s="89"/>
    </row>
    <row r="514" spans="1:4" x14ac:dyDescent="0.2">
      <c r="A514" s="74"/>
      <c r="B514" s="79" t="s">
        <v>1711</v>
      </c>
      <c r="C514" s="88" t="s">
        <v>977</v>
      </c>
      <c r="D514" s="88"/>
    </row>
    <row r="515" spans="1:4" x14ac:dyDescent="0.2">
      <c r="A515" s="86"/>
      <c r="B515" s="81"/>
      <c r="C515" s="88" t="s">
        <v>74</v>
      </c>
      <c r="D515" s="88"/>
    </row>
    <row r="516" spans="1:4" x14ac:dyDescent="0.2">
      <c r="A516" s="82"/>
      <c r="B516" s="82" t="s">
        <v>942</v>
      </c>
      <c r="C516" s="89" t="s">
        <v>1712</v>
      </c>
      <c r="D516" s="89"/>
    </row>
    <row r="517" spans="1:4" x14ac:dyDescent="0.2">
      <c r="A517" s="82"/>
      <c r="B517" s="82"/>
      <c r="C517" s="89" t="s">
        <v>202</v>
      </c>
      <c r="D517" s="89"/>
    </row>
    <row r="518" spans="1:4" x14ac:dyDescent="0.2">
      <c r="A518" s="82"/>
      <c r="B518" s="82"/>
      <c r="C518" s="89" t="s">
        <v>483</v>
      </c>
      <c r="D518" s="89"/>
    </row>
    <row r="519" spans="1:4" x14ac:dyDescent="0.2">
      <c r="A519" s="82"/>
      <c r="B519" s="82"/>
      <c r="C519" s="89" t="s">
        <v>1713</v>
      </c>
      <c r="D519" s="89"/>
    </row>
    <row r="520" spans="1:4" x14ac:dyDescent="0.2">
      <c r="A520" s="79"/>
      <c r="B520" s="79" t="s">
        <v>1186</v>
      </c>
      <c r="C520" s="88" t="s">
        <v>1714</v>
      </c>
      <c r="D520" s="88"/>
    </row>
    <row r="521" spans="1:4" x14ac:dyDescent="0.2">
      <c r="A521" s="80"/>
      <c r="B521" s="80"/>
      <c r="C521" s="88" t="s">
        <v>1715</v>
      </c>
      <c r="D521" s="88"/>
    </row>
    <row r="522" spans="1:4" x14ac:dyDescent="0.2">
      <c r="A522" s="80"/>
      <c r="B522" s="80"/>
      <c r="C522" s="88" t="s">
        <v>1716</v>
      </c>
      <c r="D522" s="88"/>
    </row>
    <row r="523" spans="1:4" x14ac:dyDescent="0.2">
      <c r="A523" s="80"/>
      <c r="B523" s="80"/>
      <c r="C523" s="88" t="s">
        <v>1717</v>
      </c>
      <c r="D523" s="88"/>
    </row>
    <row r="524" spans="1:4" x14ac:dyDescent="0.2">
      <c r="A524" s="80"/>
      <c r="B524" s="80"/>
      <c r="C524" s="88" t="s">
        <v>1718</v>
      </c>
      <c r="D524" s="88"/>
    </row>
    <row r="525" spans="1:4" x14ac:dyDescent="0.2">
      <c r="A525" s="80"/>
      <c r="B525" s="80"/>
      <c r="C525" s="88" t="s">
        <v>1719</v>
      </c>
      <c r="D525" s="88"/>
    </row>
    <row r="526" spans="1:4" x14ac:dyDescent="0.2">
      <c r="A526" s="80"/>
      <c r="B526" s="80"/>
      <c r="C526" s="88" t="s">
        <v>1720</v>
      </c>
      <c r="D526" s="88"/>
    </row>
    <row r="527" spans="1:4" x14ac:dyDescent="0.2">
      <c r="A527" s="80"/>
      <c r="B527" s="80"/>
      <c r="C527" s="88" t="s">
        <v>1721</v>
      </c>
      <c r="D527" s="88"/>
    </row>
    <row r="528" spans="1:4" x14ac:dyDescent="0.2">
      <c r="A528" s="80"/>
      <c r="B528" s="80"/>
      <c r="C528" s="88" t="s">
        <v>996</v>
      </c>
      <c r="D528" s="88"/>
    </row>
    <row r="529" spans="1:4" x14ac:dyDescent="0.2">
      <c r="A529" s="80"/>
      <c r="B529" s="80"/>
      <c r="C529" s="88" t="s">
        <v>1707</v>
      </c>
      <c r="D529" s="88"/>
    </row>
    <row r="530" spans="1:4" x14ac:dyDescent="0.2">
      <c r="A530" s="38"/>
      <c r="B530" s="80"/>
      <c r="C530" s="88" t="s">
        <v>1722</v>
      </c>
      <c r="D530" s="88"/>
    </row>
    <row r="531" spans="1:4" ht="15" x14ac:dyDescent="0.2">
      <c r="A531" s="80"/>
      <c r="B531" s="80"/>
      <c r="C531" s="88" t="s">
        <v>1723</v>
      </c>
      <c r="D531" s="88" t="s">
        <v>1724</v>
      </c>
    </row>
    <row r="532" spans="1:4" ht="15" x14ac:dyDescent="0.2">
      <c r="A532" s="80"/>
      <c r="B532" s="80"/>
      <c r="C532" s="88" t="s">
        <v>1725</v>
      </c>
      <c r="D532" s="88" t="s">
        <v>1724</v>
      </c>
    </row>
    <row r="533" spans="1:4" ht="15" x14ac:dyDescent="0.2">
      <c r="A533" s="80"/>
      <c r="B533" s="80"/>
      <c r="C533" s="88" t="s">
        <v>1726</v>
      </c>
      <c r="D533" s="88" t="s">
        <v>1724</v>
      </c>
    </row>
    <row r="534" spans="1:4" x14ac:dyDescent="0.2">
      <c r="A534" s="80"/>
      <c r="B534" s="80"/>
      <c r="C534" s="88" t="s">
        <v>1727</v>
      </c>
      <c r="D534" s="88"/>
    </row>
    <row r="535" spans="1:4" x14ac:dyDescent="0.2">
      <c r="A535" s="80"/>
      <c r="B535" s="80"/>
      <c r="C535" s="88" t="s">
        <v>1728</v>
      </c>
      <c r="D535" s="88"/>
    </row>
    <row r="536" spans="1:4" x14ac:dyDescent="0.2">
      <c r="A536" s="80"/>
      <c r="B536" s="80"/>
      <c r="C536" s="88" t="s">
        <v>39</v>
      </c>
      <c r="D536" s="88"/>
    </row>
    <row r="537" spans="1:4" x14ac:dyDescent="0.2">
      <c r="A537" s="80"/>
      <c r="B537" s="80"/>
      <c r="C537" s="88" t="s">
        <v>1729</v>
      </c>
      <c r="D537" s="88"/>
    </row>
    <row r="538" spans="1:4" x14ac:dyDescent="0.2">
      <c r="A538" s="80"/>
      <c r="B538" s="80"/>
      <c r="C538" s="88" t="s">
        <v>1730</v>
      </c>
      <c r="D538" s="88"/>
    </row>
    <row r="539" spans="1:4" x14ac:dyDescent="0.2">
      <c r="A539" s="80"/>
      <c r="B539" s="80"/>
      <c r="C539" s="88" t="s">
        <v>1731</v>
      </c>
      <c r="D539" s="88"/>
    </row>
    <row r="540" spans="1:4" x14ac:dyDescent="0.2">
      <c r="A540" s="80"/>
      <c r="B540" s="80"/>
      <c r="C540" s="88" t="s">
        <v>1732</v>
      </c>
      <c r="D540" s="88"/>
    </row>
    <row r="541" spans="1:4" x14ac:dyDescent="0.2">
      <c r="A541" s="80"/>
      <c r="B541" s="80"/>
      <c r="C541" s="88" t="s">
        <v>1733</v>
      </c>
      <c r="D541" s="88"/>
    </row>
    <row r="542" spans="1:4" x14ac:dyDescent="0.2">
      <c r="A542" s="80"/>
      <c r="B542" s="80"/>
      <c r="C542" s="88" t="s">
        <v>1006</v>
      </c>
      <c r="D542" s="88"/>
    </row>
    <row r="543" spans="1:4" x14ac:dyDescent="0.2">
      <c r="A543" s="80"/>
      <c r="B543" s="80"/>
      <c r="C543" s="88" t="s">
        <v>701</v>
      </c>
      <c r="D543" s="79"/>
    </row>
    <row r="544" spans="1:4" x14ac:dyDescent="0.2">
      <c r="A544" s="76"/>
      <c r="B544" s="76" t="s">
        <v>1190</v>
      </c>
      <c r="C544" s="89" t="s">
        <v>977</v>
      </c>
      <c r="D544" s="89"/>
    </row>
    <row r="545" spans="1:4" x14ac:dyDescent="0.2">
      <c r="A545" s="77"/>
      <c r="B545" s="77"/>
      <c r="C545" s="89" t="s">
        <v>74</v>
      </c>
      <c r="D545" s="89"/>
    </row>
    <row r="546" spans="1:4" x14ac:dyDescent="0.2">
      <c r="A546" s="80"/>
      <c r="B546" s="79" t="s">
        <v>1191</v>
      </c>
      <c r="C546" s="88" t="s">
        <v>1734</v>
      </c>
      <c r="D546" s="88"/>
    </row>
    <row r="547" spans="1:4" x14ac:dyDescent="0.2">
      <c r="A547" s="80"/>
      <c r="B547" s="80"/>
      <c r="C547" s="88" t="s">
        <v>1735</v>
      </c>
      <c r="D547" s="88"/>
    </row>
    <row r="548" spans="1:4" x14ac:dyDescent="0.2">
      <c r="A548" s="80"/>
      <c r="B548" s="80"/>
      <c r="C548" s="88" t="s">
        <v>1736</v>
      </c>
      <c r="D548" s="88"/>
    </row>
    <row r="549" spans="1:4" x14ac:dyDescent="0.2">
      <c r="A549" s="80"/>
      <c r="B549" s="80"/>
      <c r="C549" s="88" t="s">
        <v>1737</v>
      </c>
      <c r="D549" s="88"/>
    </row>
    <row r="550" spans="1:4" x14ac:dyDescent="0.2">
      <c r="A550" s="80"/>
      <c r="B550" s="80"/>
      <c r="C550" s="88" t="s">
        <v>1738</v>
      </c>
      <c r="D550" s="88"/>
    </row>
    <row r="551" spans="1:4" x14ac:dyDescent="0.2">
      <c r="A551" s="76"/>
      <c r="B551" s="76" t="s">
        <v>1193</v>
      </c>
      <c r="C551" s="89" t="s">
        <v>977</v>
      </c>
      <c r="D551" s="89"/>
    </row>
    <row r="552" spans="1:4" x14ac:dyDescent="0.2">
      <c r="A552" s="77"/>
      <c r="B552" s="77"/>
      <c r="C552" s="89" t="s">
        <v>74</v>
      </c>
      <c r="D552" s="89"/>
    </row>
    <row r="553" spans="1:4" x14ac:dyDescent="0.2">
      <c r="A553" s="79"/>
      <c r="B553" s="79" t="s">
        <v>1739</v>
      </c>
      <c r="C553" s="88" t="s">
        <v>1740</v>
      </c>
      <c r="D553" s="88"/>
    </row>
    <row r="554" spans="1:4" x14ac:dyDescent="0.2">
      <c r="A554" s="80"/>
      <c r="B554" s="80"/>
      <c r="C554" s="88" t="s">
        <v>1741</v>
      </c>
      <c r="D554" s="88"/>
    </row>
    <row r="555" spans="1:4" x14ac:dyDescent="0.2">
      <c r="A555" s="80"/>
      <c r="B555" s="80"/>
      <c r="C555" s="88" t="s">
        <v>1742</v>
      </c>
      <c r="D555" s="88"/>
    </row>
    <row r="556" spans="1:4" x14ac:dyDescent="0.2">
      <c r="A556" s="80"/>
      <c r="B556" s="80"/>
      <c r="C556" s="88" t="s">
        <v>1743</v>
      </c>
      <c r="D556" s="88"/>
    </row>
    <row r="557" spans="1:4" x14ac:dyDescent="0.2">
      <c r="A557" s="80"/>
      <c r="B557" s="80"/>
      <c r="C557" s="88" t="s">
        <v>1744</v>
      </c>
      <c r="D557" s="88"/>
    </row>
    <row r="558" spans="1:4" x14ac:dyDescent="0.2">
      <c r="A558" s="80"/>
      <c r="B558" s="80"/>
      <c r="C558" s="88" t="s">
        <v>1745</v>
      </c>
      <c r="D558" s="88"/>
    </row>
    <row r="559" spans="1:4" x14ac:dyDescent="0.2">
      <c r="A559" s="80"/>
      <c r="B559" s="80"/>
      <c r="C559" s="88" t="s">
        <v>1746</v>
      </c>
      <c r="D559" s="88"/>
    </row>
    <row r="560" spans="1:4" x14ac:dyDescent="0.2">
      <c r="A560" s="80"/>
      <c r="B560" s="80"/>
      <c r="C560" s="88" t="s">
        <v>1747</v>
      </c>
      <c r="D560" s="88"/>
    </row>
    <row r="561" spans="1:4" x14ac:dyDescent="0.2">
      <c r="A561" s="80"/>
      <c r="B561" s="80"/>
      <c r="C561" s="88" t="s">
        <v>1748</v>
      </c>
      <c r="D561" s="88"/>
    </row>
    <row r="562" spans="1:4" x14ac:dyDescent="0.2">
      <c r="A562" s="80"/>
      <c r="B562" s="80"/>
      <c r="C562" s="88" t="s">
        <v>1749</v>
      </c>
      <c r="D562" s="88"/>
    </row>
    <row r="563" spans="1:4" x14ac:dyDescent="0.2">
      <c r="A563" s="80"/>
      <c r="B563" s="80"/>
      <c r="C563" s="88" t="s">
        <v>1750</v>
      </c>
      <c r="D563" s="88"/>
    </row>
    <row r="564" spans="1:4" x14ac:dyDescent="0.2">
      <c r="A564" s="80"/>
      <c r="B564" s="80"/>
      <c r="C564" s="88" t="s">
        <v>1751</v>
      </c>
      <c r="D564" s="88"/>
    </row>
    <row r="565" spans="1:4" x14ac:dyDescent="0.2">
      <c r="A565" s="80"/>
      <c r="B565" s="80"/>
      <c r="C565" s="88" t="s">
        <v>1752</v>
      </c>
      <c r="D565" s="88"/>
    </row>
    <row r="566" spans="1:4" x14ac:dyDescent="0.2">
      <c r="A566" s="80"/>
      <c r="B566" s="80"/>
      <c r="C566" s="88" t="s">
        <v>1753</v>
      </c>
      <c r="D566" s="88"/>
    </row>
    <row r="567" spans="1:4" x14ac:dyDescent="0.2">
      <c r="A567" s="80"/>
      <c r="B567" s="80"/>
      <c r="C567" s="88" t="s">
        <v>1754</v>
      </c>
      <c r="D567" s="88"/>
    </row>
    <row r="568" spans="1:4" x14ac:dyDescent="0.2">
      <c r="A568" s="80"/>
      <c r="B568" s="80"/>
      <c r="C568" s="88" t="s">
        <v>1755</v>
      </c>
      <c r="D568" s="88"/>
    </row>
    <row r="569" spans="1:4" x14ac:dyDescent="0.2">
      <c r="A569" s="80"/>
      <c r="B569" s="80"/>
      <c r="C569" s="88" t="s">
        <v>1756</v>
      </c>
      <c r="D569" s="88"/>
    </row>
    <row r="570" spans="1:4" x14ac:dyDescent="0.2">
      <c r="A570" s="80"/>
      <c r="B570" s="80"/>
      <c r="C570" s="88" t="s">
        <v>1757</v>
      </c>
      <c r="D570" s="88"/>
    </row>
    <row r="571" spans="1:4" x14ac:dyDescent="0.2">
      <c r="A571" s="80"/>
      <c r="B571" s="80"/>
      <c r="C571" s="88" t="s">
        <v>1758</v>
      </c>
      <c r="D571" s="88"/>
    </row>
    <row r="572" spans="1:4" x14ac:dyDescent="0.2">
      <c r="A572" s="80"/>
      <c r="B572" s="80"/>
      <c r="C572" s="88" t="s">
        <v>1759</v>
      </c>
      <c r="D572" s="88"/>
    </row>
    <row r="573" spans="1:4" x14ac:dyDescent="0.2">
      <c r="A573" s="80"/>
      <c r="B573" s="80"/>
      <c r="C573" s="88" t="s">
        <v>1760</v>
      </c>
      <c r="D573" s="88"/>
    </row>
    <row r="574" spans="1:4" x14ac:dyDescent="0.2">
      <c r="A574" s="80"/>
      <c r="B574" s="80"/>
      <c r="C574" s="88" t="s">
        <v>1761</v>
      </c>
      <c r="D574" s="88"/>
    </row>
    <row r="575" spans="1:4" x14ac:dyDescent="0.2">
      <c r="A575" s="80"/>
      <c r="B575" s="80"/>
      <c r="C575" s="88" t="s">
        <v>1762</v>
      </c>
      <c r="D575" s="88"/>
    </row>
    <row r="576" spans="1:4" x14ac:dyDescent="0.2">
      <c r="A576" s="80"/>
      <c r="B576" s="80"/>
      <c r="C576" s="88" t="s">
        <v>1763</v>
      </c>
      <c r="D576" s="88"/>
    </row>
    <row r="577" spans="1:5" x14ac:dyDescent="0.2">
      <c r="A577" s="80"/>
      <c r="B577" s="80"/>
      <c r="C577" s="88" t="s">
        <v>1764</v>
      </c>
      <c r="D577" s="88"/>
    </row>
    <row r="578" spans="1:5" x14ac:dyDescent="0.2">
      <c r="A578" s="80"/>
      <c r="B578" s="80"/>
      <c r="C578" s="88" t="s">
        <v>1765</v>
      </c>
      <c r="D578" s="88"/>
    </row>
    <row r="579" spans="1:5" x14ac:dyDescent="0.2">
      <c r="A579" s="80"/>
      <c r="B579" s="80"/>
      <c r="C579" s="88" t="s">
        <v>1766</v>
      </c>
      <c r="D579" s="88"/>
    </row>
    <row r="580" spans="1:5" x14ac:dyDescent="0.2">
      <c r="A580" s="80"/>
      <c r="B580" s="80"/>
      <c r="C580" s="88" t="s">
        <v>1767</v>
      </c>
      <c r="D580" s="88"/>
      <c r="E580" s="39" t="s">
        <v>1239</v>
      </c>
    </row>
    <row r="581" spans="1:5" x14ac:dyDescent="0.2">
      <c r="A581" s="80"/>
      <c r="B581" s="80"/>
      <c r="C581" s="88" t="s">
        <v>1768</v>
      </c>
      <c r="D581" s="88"/>
      <c r="E581" s="39" t="s">
        <v>1239</v>
      </c>
    </row>
    <row r="582" spans="1:5" x14ac:dyDescent="0.2">
      <c r="A582" s="80"/>
      <c r="B582" s="80"/>
      <c r="C582" s="88" t="s">
        <v>1769</v>
      </c>
      <c r="D582" s="88"/>
    </row>
    <row r="583" spans="1:5" x14ac:dyDescent="0.2">
      <c r="A583" s="80"/>
      <c r="B583" s="80"/>
      <c r="C583" s="88" t="s">
        <v>1770</v>
      </c>
      <c r="D583" s="88"/>
    </row>
    <row r="584" spans="1:5" x14ac:dyDescent="0.2">
      <c r="A584" s="80"/>
      <c r="B584" s="80"/>
      <c r="C584" s="88" t="s">
        <v>1771</v>
      </c>
      <c r="D584" s="88"/>
    </row>
    <row r="585" spans="1:5" x14ac:dyDescent="0.2">
      <c r="A585" s="80"/>
      <c r="B585" s="80"/>
      <c r="C585" s="88" t="s">
        <v>1772</v>
      </c>
      <c r="D585" s="88"/>
    </row>
    <row r="586" spans="1:5" x14ac:dyDescent="0.2">
      <c r="A586" s="80"/>
      <c r="B586" s="80"/>
      <c r="C586" s="88" t="s">
        <v>1773</v>
      </c>
      <c r="D586" s="88"/>
    </row>
    <row r="587" spans="1:5" x14ac:dyDescent="0.2">
      <c r="A587" s="80"/>
      <c r="B587" s="80"/>
      <c r="C587" s="88" t="s">
        <v>1774</v>
      </c>
      <c r="D587" s="88"/>
    </row>
    <row r="588" spans="1:5" x14ac:dyDescent="0.2">
      <c r="A588" s="80"/>
      <c r="B588" s="80"/>
      <c r="C588" s="88" t="s">
        <v>1775</v>
      </c>
      <c r="D588" s="88"/>
    </row>
    <row r="589" spans="1:5" x14ac:dyDescent="0.2">
      <c r="A589" s="80"/>
      <c r="B589" s="80"/>
      <c r="C589" s="88" t="s">
        <v>1776</v>
      </c>
      <c r="D589" s="88"/>
    </row>
    <row r="590" spans="1:5" x14ac:dyDescent="0.2">
      <c r="A590" s="80"/>
      <c r="B590" s="80"/>
      <c r="C590" s="88" t="s">
        <v>1777</v>
      </c>
      <c r="D590" s="88"/>
    </row>
    <row r="591" spans="1:5" x14ac:dyDescent="0.2">
      <c r="A591" s="81"/>
      <c r="B591" s="81"/>
      <c r="C591" s="88" t="s">
        <v>1778</v>
      </c>
      <c r="D591" s="88"/>
    </row>
    <row r="592" spans="1:5" x14ac:dyDescent="0.2">
      <c r="A592" s="82"/>
      <c r="B592" s="82" t="s">
        <v>1184</v>
      </c>
      <c r="C592" s="89" t="s">
        <v>1779</v>
      </c>
      <c r="D592" s="89"/>
    </row>
    <row r="593" spans="1:4" x14ac:dyDescent="0.2">
      <c r="A593" s="82"/>
      <c r="B593" s="82"/>
      <c r="C593" s="89" t="s">
        <v>1780</v>
      </c>
      <c r="D593" s="89"/>
    </row>
    <row r="594" spans="1:4" x14ac:dyDescent="0.2">
      <c r="A594" s="82"/>
      <c r="B594" s="82"/>
      <c r="C594" s="89" t="s">
        <v>701</v>
      </c>
      <c r="D594" s="89"/>
    </row>
    <row r="595" spans="1:4" x14ac:dyDescent="0.2">
      <c r="A595" s="79"/>
      <c r="B595" s="79" t="s">
        <v>145</v>
      </c>
      <c r="C595" s="88" t="s">
        <v>977</v>
      </c>
      <c r="D595" s="88"/>
    </row>
    <row r="596" spans="1:4" x14ac:dyDescent="0.2">
      <c r="A596" s="91"/>
      <c r="C596" s="92" t="s">
        <v>74</v>
      </c>
      <c r="D596" s="88"/>
    </row>
    <row r="597" spans="1:4" x14ac:dyDescent="0.2">
      <c r="A597" s="87"/>
      <c r="B597" s="87" t="s">
        <v>1030</v>
      </c>
      <c r="C597" s="89" t="s">
        <v>1130</v>
      </c>
      <c r="D597" s="89"/>
    </row>
    <row r="598" spans="1:4" x14ac:dyDescent="0.2">
      <c r="A598" s="82"/>
      <c r="B598" s="82"/>
      <c r="C598" s="89" t="s">
        <v>1094</v>
      </c>
      <c r="D598" s="89"/>
    </row>
    <row r="599" spans="1:4" x14ac:dyDescent="0.2">
      <c r="A599" s="82"/>
      <c r="B599" s="82"/>
      <c r="C599" s="89" t="s">
        <v>1781</v>
      </c>
      <c r="D599" s="89"/>
    </row>
    <row r="600" spans="1:4" x14ac:dyDescent="0.2">
      <c r="A600" s="82"/>
      <c r="B600" s="82"/>
      <c r="C600" s="89" t="s">
        <v>1782</v>
      </c>
      <c r="D600" s="89"/>
    </row>
    <row r="601" spans="1:4" x14ac:dyDescent="0.2">
      <c r="A601" s="82"/>
      <c r="B601" s="82"/>
      <c r="C601" s="89" t="s">
        <v>1105</v>
      </c>
      <c r="D601" s="89"/>
    </row>
    <row r="602" spans="1:4" x14ac:dyDescent="0.2">
      <c r="A602" s="82"/>
      <c r="B602" s="82"/>
      <c r="C602" s="89" t="s">
        <v>1783</v>
      </c>
      <c r="D602" s="89"/>
    </row>
    <row r="603" spans="1:4" x14ac:dyDescent="0.2">
      <c r="A603" s="82"/>
      <c r="B603" s="82"/>
      <c r="C603" s="89" t="s">
        <v>1784</v>
      </c>
      <c r="D603" s="89"/>
    </row>
    <row r="604" spans="1:4" x14ac:dyDescent="0.2">
      <c r="A604" s="82"/>
      <c r="B604" s="82"/>
      <c r="C604" s="89" t="s">
        <v>1066</v>
      </c>
      <c r="D604" s="89"/>
    </row>
    <row r="605" spans="1:4" x14ac:dyDescent="0.2">
      <c r="A605" s="82"/>
      <c r="B605" s="82"/>
      <c r="C605" s="89" t="s">
        <v>1785</v>
      </c>
      <c r="D605" s="89"/>
    </row>
    <row r="606" spans="1:4" x14ac:dyDescent="0.2">
      <c r="A606" s="82"/>
      <c r="B606" s="82"/>
      <c r="C606" s="89" t="s">
        <v>1786</v>
      </c>
      <c r="D606" s="89"/>
    </row>
    <row r="607" spans="1:4" x14ac:dyDescent="0.2">
      <c r="A607" s="82"/>
      <c r="B607" s="82"/>
      <c r="C607" s="89" t="s">
        <v>1787</v>
      </c>
      <c r="D607" s="89"/>
    </row>
    <row r="608" spans="1:4" x14ac:dyDescent="0.2">
      <c r="A608" s="82"/>
      <c r="B608" s="82"/>
      <c r="C608" s="89" t="s">
        <v>1058</v>
      </c>
      <c r="D608" s="89"/>
    </row>
    <row r="609" spans="1:5" x14ac:dyDescent="0.2">
      <c r="A609" s="82"/>
      <c r="B609" s="82"/>
      <c r="C609" s="89" t="s">
        <v>1121</v>
      </c>
      <c r="D609" s="89"/>
    </row>
    <row r="610" spans="1:5" x14ac:dyDescent="0.2">
      <c r="A610" s="82"/>
      <c r="B610" s="82"/>
      <c r="C610" s="89" t="s">
        <v>1788</v>
      </c>
      <c r="D610" s="89"/>
    </row>
    <row r="611" spans="1:5" x14ac:dyDescent="0.2">
      <c r="A611" s="82"/>
      <c r="B611" s="82"/>
      <c r="C611" s="89" t="s">
        <v>1789</v>
      </c>
      <c r="D611" s="89"/>
    </row>
    <row r="612" spans="1:5" x14ac:dyDescent="0.2">
      <c r="A612" s="82"/>
      <c r="B612" s="82"/>
      <c r="C612" s="89" t="s">
        <v>1790</v>
      </c>
      <c r="D612" s="89"/>
    </row>
    <row r="613" spans="1:5" x14ac:dyDescent="0.2">
      <c r="A613" s="82"/>
      <c r="B613" s="82"/>
      <c r="C613" s="89" t="s">
        <v>1791</v>
      </c>
      <c r="D613" s="89"/>
    </row>
    <row r="614" spans="1:5" x14ac:dyDescent="0.2">
      <c r="A614" s="82"/>
      <c r="B614" s="82"/>
      <c r="C614" s="89" t="s">
        <v>1045</v>
      </c>
      <c r="D614" s="89"/>
    </row>
    <row r="615" spans="1:5" x14ac:dyDescent="0.2">
      <c r="A615" s="82"/>
      <c r="B615" s="82"/>
      <c r="C615" s="89" t="s">
        <v>1792</v>
      </c>
      <c r="D615" s="89"/>
    </row>
    <row r="616" spans="1:5" x14ac:dyDescent="0.2">
      <c r="A616" s="82"/>
      <c r="B616" s="82"/>
      <c r="C616" s="89" t="s">
        <v>1793</v>
      </c>
      <c r="D616" s="89"/>
    </row>
    <row r="617" spans="1:5" x14ac:dyDescent="0.2">
      <c r="A617" s="82"/>
      <c r="B617" s="82"/>
      <c r="C617" s="89" t="s">
        <v>1794</v>
      </c>
      <c r="D617" s="89"/>
    </row>
    <row r="618" spans="1:5" x14ac:dyDescent="0.2">
      <c r="A618" s="82"/>
      <c r="B618" s="82"/>
      <c r="C618" s="89" t="s">
        <v>1081</v>
      </c>
      <c r="D618" s="89"/>
    </row>
    <row r="619" spans="1:5" x14ac:dyDescent="0.2">
      <c r="A619" s="82"/>
      <c r="B619" s="82"/>
      <c r="C619" s="89" t="s">
        <v>1795</v>
      </c>
      <c r="D619" s="89"/>
    </row>
    <row r="620" spans="1:5" x14ac:dyDescent="0.2">
      <c r="A620" s="82"/>
      <c r="B620" s="82"/>
      <c r="C620" s="89" t="s">
        <v>713</v>
      </c>
      <c r="D620" s="89"/>
    </row>
    <row r="621" spans="1:5" x14ac:dyDescent="0.2">
      <c r="A621" s="82"/>
      <c r="B621" s="82"/>
      <c r="C621" s="89" t="s">
        <v>1796</v>
      </c>
      <c r="D621" s="89"/>
      <c r="E621" s="39" t="s">
        <v>1239</v>
      </c>
    </row>
    <row r="622" spans="1:5" x14ac:dyDescent="0.2">
      <c r="A622" s="79"/>
      <c r="B622" s="79" t="s">
        <v>1204</v>
      </c>
      <c r="C622" s="88" t="s">
        <v>1797</v>
      </c>
      <c r="D622" s="88"/>
    </row>
    <row r="623" spans="1:5" x14ac:dyDescent="0.2">
      <c r="A623" s="80"/>
      <c r="B623" s="80"/>
      <c r="C623" s="88" t="s">
        <v>1798</v>
      </c>
      <c r="D623" s="88"/>
    </row>
    <row r="624" spans="1:5" x14ac:dyDescent="0.2">
      <c r="A624" s="80"/>
      <c r="B624" s="80"/>
      <c r="C624" s="88" t="s">
        <v>1799</v>
      </c>
      <c r="D624" s="88"/>
    </row>
    <row r="625" spans="1:5" x14ac:dyDescent="0.2">
      <c r="A625" s="80"/>
      <c r="B625" s="80"/>
      <c r="C625" s="88" t="s">
        <v>1800</v>
      </c>
      <c r="D625" s="88"/>
    </row>
    <row r="626" spans="1:5" x14ac:dyDescent="0.2">
      <c r="A626" s="80"/>
      <c r="B626" s="80"/>
      <c r="C626" s="88" t="s">
        <v>1801</v>
      </c>
      <c r="D626" s="88"/>
      <c r="E626" s="39" t="s">
        <v>1239</v>
      </c>
    </row>
    <row r="627" spans="1:5" x14ac:dyDescent="0.2">
      <c r="A627" s="80"/>
      <c r="B627" s="80"/>
      <c r="C627" s="88" t="s">
        <v>1802</v>
      </c>
      <c r="D627" s="88"/>
    </row>
    <row r="628" spans="1:5" x14ac:dyDescent="0.2">
      <c r="A628" s="80"/>
      <c r="B628" s="80"/>
      <c r="C628" s="88" t="s">
        <v>1803</v>
      </c>
      <c r="D628" s="88"/>
    </row>
    <row r="629" spans="1:5" x14ac:dyDescent="0.2">
      <c r="A629" s="80"/>
      <c r="B629" s="80"/>
      <c r="C629" s="88" t="s">
        <v>1443</v>
      </c>
      <c r="D629" s="88"/>
    </row>
    <row r="630" spans="1:5" x14ac:dyDescent="0.2">
      <c r="A630" s="80"/>
      <c r="B630" s="80"/>
      <c r="C630" s="88" t="s">
        <v>1804</v>
      </c>
      <c r="D630" s="88"/>
    </row>
    <row r="631" spans="1:5" x14ac:dyDescent="0.2">
      <c r="A631" s="80"/>
      <c r="B631" s="80"/>
      <c r="C631" s="88" t="s">
        <v>1805</v>
      </c>
      <c r="D631" s="88"/>
    </row>
    <row r="632" spans="1:5" x14ac:dyDescent="0.2">
      <c r="A632" s="80"/>
      <c r="B632" s="80"/>
      <c r="C632" s="88" t="s">
        <v>1806</v>
      </c>
      <c r="D632" s="88"/>
    </row>
    <row r="633" spans="1:5" x14ac:dyDescent="0.2">
      <c r="A633" s="81"/>
      <c r="B633" s="81"/>
      <c r="C633" s="88" t="s">
        <v>701</v>
      </c>
      <c r="D633" s="88"/>
    </row>
    <row r="634" spans="1:5" x14ac:dyDescent="0.2">
      <c r="A634" s="82"/>
      <c r="B634" s="82" t="s">
        <v>1205</v>
      </c>
      <c r="C634" s="89" t="s">
        <v>1807</v>
      </c>
      <c r="D634" s="89" t="s">
        <v>1808</v>
      </c>
    </row>
    <row r="635" spans="1:5" x14ac:dyDescent="0.2">
      <c r="A635" s="82"/>
      <c r="B635" s="82"/>
      <c r="C635" s="89" t="s">
        <v>1809</v>
      </c>
      <c r="D635" s="89" t="s">
        <v>1810</v>
      </c>
    </row>
    <row r="636" spans="1:5" x14ac:dyDescent="0.2">
      <c r="A636" s="82"/>
      <c r="B636" s="82"/>
      <c r="C636" s="89" t="s">
        <v>1811</v>
      </c>
      <c r="D636" s="89" t="s">
        <v>1812</v>
      </c>
    </row>
    <row r="637" spans="1:5" x14ac:dyDescent="0.2">
      <c r="A637" s="82"/>
      <c r="B637" s="82"/>
      <c r="C637" s="89" t="s">
        <v>1813</v>
      </c>
      <c r="D637" s="89" t="s">
        <v>1814</v>
      </c>
    </row>
    <row r="638" spans="1:5" x14ac:dyDescent="0.2">
      <c r="A638" s="82"/>
      <c r="B638" s="82"/>
      <c r="C638" s="89" t="s">
        <v>1815</v>
      </c>
      <c r="D638" s="89" t="s">
        <v>1816</v>
      </c>
    </row>
    <row r="639" spans="1:5" x14ac:dyDescent="0.2">
      <c r="A639" s="82"/>
      <c r="B639" s="82"/>
      <c r="C639" s="89" t="s">
        <v>1817</v>
      </c>
      <c r="D639" s="89" t="s">
        <v>1818</v>
      </c>
    </row>
    <row r="640" spans="1:5" x14ac:dyDescent="0.2">
      <c r="A640" s="82"/>
      <c r="B640" s="82"/>
      <c r="C640" s="89" t="s">
        <v>1819</v>
      </c>
      <c r="D640" s="89" t="s">
        <v>1820</v>
      </c>
    </row>
    <row r="641" spans="1:4" x14ac:dyDescent="0.2">
      <c r="A641" s="82"/>
      <c r="B641" s="82"/>
      <c r="C641" s="89" t="s">
        <v>1821</v>
      </c>
      <c r="D641" s="89" t="s">
        <v>1821</v>
      </c>
    </row>
    <row r="642" spans="1:4" x14ac:dyDescent="0.2">
      <c r="A642" s="82"/>
      <c r="B642" s="82"/>
      <c r="C642" s="89" t="s">
        <v>701</v>
      </c>
      <c r="D642" s="89"/>
    </row>
    <row r="643" spans="1:4" x14ac:dyDescent="0.2">
      <c r="A643" s="71"/>
      <c r="B643" s="71" t="s">
        <v>1822</v>
      </c>
      <c r="C643" s="88" t="s">
        <v>1823</v>
      </c>
      <c r="D643" s="88" t="s">
        <v>1824</v>
      </c>
    </row>
    <row r="644" spans="1:4" x14ac:dyDescent="0.2">
      <c r="A644" s="74"/>
      <c r="B644" s="74"/>
      <c r="C644" s="88" t="s">
        <v>1825</v>
      </c>
      <c r="D644" s="88" t="s">
        <v>1826</v>
      </c>
    </row>
    <row r="645" spans="1:4" x14ac:dyDescent="0.2">
      <c r="A645" s="74"/>
      <c r="B645" s="74"/>
      <c r="C645" s="88" t="s">
        <v>1827</v>
      </c>
      <c r="D645" s="88" t="s">
        <v>1828</v>
      </c>
    </row>
    <row r="646" spans="1:4" x14ac:dyDescent="0.2">
      <c r="A646" s="74"/>
      <c r="B646" s="74"/>
      <c r="C646" s="88" t="s">
        <v>1829</v>
      </c>
      <c r="D646" s="88" t="s">
        <v>1830</v>
      </c>
    </row>
    <row r="647" spans="1:4" x14ac:dyDescent="0.2">
      <c r="A647" s="74"/>
      <c r="B647" s="74"/>
      <c r="C647" s="88" t="s">
        <v>1831</v>
      </c>
      <c r="D647" s="88"/>
    </row>
    <row r="648" spans="1:4" x14ac:dyDescent="0.2">
      <c r="A648" s="86"/>
      <c r="B648" s="86"/>
      <c r="C648" s="88" t="s">
        <v>701</v>
      </c>
      <c r="D648" s="88"/>
    </row>
    <row r="649" spans="1:4" x14ac:dyDescent="0.2">
      <c r="A649" s="82"/>
      <c r="B649" s="82" t="s">
        <v>947</v>
      </c>
      <c r="C649" s="89" t="s">
        <v>998</v>
      </c>
      <c r="D649" s="89"/>
    </row>
    <row r="650" spans="1:4" x14ac:dyDescent="0.2">
      <c r="A650" s="82"/>
      <c r="B650" s="82"/>
      <c r="C650" s="89" t="s">
        <v>1040</v>
      </c>
      <c r="D650" s="89"/>
    </row>
    <row r="651" spans="1:4" x14ac:dyDescent="0.2">
      <c r="A651" s="82"/>
      <c r="B651" s="82"/>
      <c r="C651" s="89" t="s">
        <v>958</v>
      </c>
      <c r="D651" s="89"/>
    </row>
    <row r="652" spans="1:4" x14ac:dyDescent="0.2">
      <c r="A652" s="82"/>
      <c r="B652" s="82"/>
      <c r="C652" s="89" t="s">
        <v>1003</v>
      </c>
      <c r="D652" s="89"/>
    </row>
    <row r="653" spans="1:4" x14ac:dyDescent="0.2">
      <c r="A653" s="82"/>
      <c r="B653" s="82"/>
      <c r="C653" s="89" t="s">
        <v>701</v>
      </c>
      <c r="D653" s="89"/>
    </row>
    <row r="654" spans="1:4" x14ac:dyDescent="0.2">
      <c r="A654" s="71"/>
      <c r="B654" s="71" t="s">
        <v>948</v>
      </c>
      <c r="C654" s="88" t="s">
        <v>978</v>
      </c>
      <c r="D654" s="88"/>
    </row>
    <row r="655" spans="1:4" x14ac:dyDescent="0.2">
      <c r="A655" s="74"/>
      <c r="B655" s="74"/>
      <c r="C655" s="88" t="s">
        <v>1832</v>
      </c>
      <c r="D655" s="88"/>
    </row>
    <row r="656" spans="1:4" x14ac:dyDescent="0.2">
      <c r="A656" s="82"/>
      <c r="B656" s="82" t="s">
        <v>20</v>
      </c>
      <c r="C656" s="89" t="s">
        <v>18</v>
      </c>
      <c r="D656" s="89"/>
    </row>
    <row r="657" spans="1:6" x14ac:dyDescent="0.2">
      <c r="A657" s="82"/>
      <c r="B657" s="82"/>
      <c r="C657" s="89" t="s">
        <v>19</v>
      </c>
      <c r="D657" s="89"/>
    </row>
    <row r="658" spans="1:6" x14ac:dyDescent="0.2">
      <c r="A658" s="71"/>
      <c r="B658" s="71" t="s">
        <v>1152</v>
      </c>
      <c r="C658" s="88" t="s">
        <v>1833</v>
      </c>
      <c r="D658" s="88"/>
    </row>
    <row r="659" spans="1:6" x14ac:dyDescent="0.2">
      <c r="A659" s="74"/>
      <c r="B659" s="74"/>
      <c r="C659" s="88" t="s">
        <v>1834</v>
      </c>
      <c r="D659" s="88"/>
    </row>
    <row r="660" spans="1:6" x14ac:dyDescent="0.2">
      <c r="A660" s="74"/>
      <c r="B660" s="74"/>
      <c r="C660" s="88" t="s">
        <v>1835</v>
      </c>
      <c r="D660" s="88"/>
    </row>
    <row r="661" spans="1:6" x14ac:dyDescent="0.2">
      <c r="A661" s="74"/>
      <c r="B661" s="74"/>
      <c r="C661" s="88" t="s">
        <v>1836</v>
      </c>
      <c r="D661" s="88"/>
    </row>
    <row r="662" spans="1:6" x14ac:dyDescent="0.2">
      <c r="A662" s="74"/>
      <c r="B662" s="74"/>
      <c r="C662" s="88" t="s">
        <v>1837</v>
      </c>
      <c r="D662" s="88"/>
    </row>
    <row r="663" spans="1:6" x14ac:dyDescent="0.2">
      <c r="A663" s="74"/>
      <c r="B663" s="74"/>
      <c r="C663" s="88" t="s">
        <v>1838</v>
      </c>
      <c r="D663" s="88"/>
    </row>
    <row r="664" spans="1:6" x14ac:dyDescent="0.2">
      <c r="A664" s="74"/>
      <c r="B664" s="74"/>
      <c r="C664" s="88" t="s">
        <v>701</v>
      </c>
      <c r="D664" s="88"/>
    </row>
    <row r="665" spans="1:6" x14ac:dyDescent="0.2">
      <c r="A665" s="86"/>
      <c r="B665" s="86"/>
      <c r="C665" s="88" t="s">
        <v>1169</v>
      </c>
      <c r="D665" s="88"/>
    </row>
    <row r="666" spans="1:6" x14ac:dyDescent="0.2">
      <c r="A666" s="82"/>
      <c r="B666" s="82" t="s">
        <v>1153</v>
      </c>
      <c r="C666" s="89" t="s">
        <v>1839</v>
      </c>
      <c r="D666" s="89"/>
    </row>
    <row r="667" spans="1:6" x14ac:dyDescent="0.2">
      <c r="A667" s="82"/>
      <c r="B667" s="82"/>
      <c r="C667" s="89" t="s">
        <v>1170</v>
      </c>
      <c r="D667" s="89"/>
      <c r="F667" s="45"/>
    </row>
    <row r="668" spans="1:6" x14ac:dyDescent="0.2">
      <c r="A668" s="71"/>
      <c r="B668" s="71" t="s">
        <v>143</v>
      </c>
      <c r="C668" s="88" t="s">
        <v>1840</v>
      </c>
      <c r="D668" s="88"/>
    </row>
    <row r="669" spans="1:6" x14ac:dyDescent="0.2">
      <c r="A669" s="74"/>
      <c r="B669" s="74"/>
      <c r="C669" s="88" t="s">
        <v>1841</v>
      </c>
      <c r="D669" s="88"/>
    </row>
    <row r="670" spans="1:6" x14ac:dyDescent="0.2">
      <c r="A670" s="74"/>
      <c r="B670" s="74"/>
      <c r="C670" s="88" t="s">
        <v>1842</v>
      </c>
      <c r="D670" s="88"/>
    </row>
    <row r="671" spans="1:6" x14ac:dyDescent="0.2">
      <c r="A671" s="74"/>
      <c r="B671" s="74"/>
      <c r="C671" s="88" t="s">
        <v>1843</v>
      </c>
      <c r="D671" s="88"/>
    </row>
    <row r="672" spans="1:6" x14ac:dyDescent="0.2">
      <c r="A672" s="74"/>
      <c r="B672" s="74"/>
      <c r="C672" s="88" t="s">
        <v>1844</v>
      </c>
      <c r="D672" s="88"/>
    </row>
    <row r="673" spans="1:4" x14ac:dyDescent="0.2">
      <c r="A673" s="74"/>
      <c r="B673" s="74"/>
      <c r="C673" s="88" t="s">
        <v>1845</v>
      </c>
      <c r="D673" s="88"/>
    </row>
    <row r="674" spans="1:4" x14ac:dyDescent="0.2">
      <c r="A674" s="74"/>
      <c r="B674" s="74"/>
      <c r="C674" s="88" t="s">
        <v>1846</v>
      </c>
      <c r="D674" s="88"/>
    </row>
    <row r="675" spans="1:4" x14ac:dyDescent="0.2">
      <c r="A675" s="74"/>
      <c r="B675" s="74"/>
      <c r="C675" s="88" t="s">
        <v>1847</v>
      </c>
      <c r="D675" s="88"/>
    </row>
    <row r="676" spans="1:4" x14ac:dyDescent="0.2">
      <c r="A676" s="74"/>
      <c r="B676" s="74"/>
      <c r="C676" s="88" t="s">
        <v>1848</v>
      </c>
      <c r="D676" s="88"/>
    </row>
    <row r="677" spans="1:4" x14ac:dyDescent="0.2">
      <c r="A677" s="74"/>
      <c r="B677" s="74"/>
      <c r="C677" s="88" t="s">
        <v>1849</v>
      </c>
      <c r="D677" s="88"/>
    </row>
    <row r="678" spans="1:4" x14ac:dyDescent="0.2">
      <c r="A678" s="74"/>
      <c r="B678" s="74"/>
      <c r="C678" s="88" t="s">
        <v>713</v>
      </c>
      <c r="D678" s="88"/>
    </row>
    <row r="679" spans="1:4" x14ac:dyDescent="0.2">
      <c r="A679" s="86"/>
      <c r="B679" s="86"/>
      <c r="C679" s="88" t="s">
        <v>1169</v>
      </c>
      <c r="D679" s="88"/>
    </row>
    <row r="680" spans="1:4" x14ac:dyDescent="0.2">
      <c r="A680" s="87"/>
      <c r="B680" s="87" t="s">
        <v>1156</v>
      </c>
      <c r="C680" s="89" t="s">
        <v>1833</v>
      </c>
      <c r="D680" s="89"/>
    </row>
    <row r="681" spans="1:4" x14ac:dyDescent="0.2">
      <c r="A681" s="82"/>
      <c r="B681" s="82"/>
      <c r="C681" s="89" t="s">
        <v>1834</v>
      </c>
      <c r="D681" s="89"/>
    </row>
    <row r="682" spans="1:4" x14ac:dyDescent="0.2">
      <c r="A682" s="82"/>
      <c r="B682" s="82"/>
      <c r="C682" s="89" t="s">
        <v>1835</v>
      </c>
      <c r="D682" s="89"/>
    </row>
    <row r="683" spans="1:4" x14ac:dyDescent="0.2">
      <c r="A683" s="82"/>
      <c r="B683" s="82"/>
      <c r="C683" s="89" t="s">
        <v>1836</v>
      </c>
      <c r="D683" s="89"/>
    </row>
    <row r="684" spans="1:4" x14ac:dyDescent="0.2">
      <c r="A684" s="82"/>
      <c r="B684" s="82"/>
      <c r="C684" s="89" t="s">
        <v>1837</v>
      </c>
      <c r="D684" s="89"/>
    </row>
    <row r="685" spans="1:4" x14ac:dyDescent="0.2">
      <c r="A685" s="82"/>
      <c r="B685" s="82"/>
      <c r="C685" s="89" t="s">
        <v>1838</v>
      </c>
      <c r="D685" s="89"/>
    </row>
    <row r="686" spans="1:4" x14ac:dyDescent="0.2">
      <c r="A686" s="82"/>
      <c r="B686" s="82"/>
      <c r="C686" s="89" t="s">
        <v>701</v>
      </c>
      <c r="D686" s="89"/>
    </row>
    <row r="687" spans="1:4" x14ac:dyDescent="0.2">
      <c r="A687" s="82"/>
      <c r="B687" s="82"/>
      <c r="C687" s="89" t="s">
        <v>1169</v>
      </c>
      <c r="D687" s="89"/>
    </row>
    <row r="688" spans="1:4" x14ac:dyDescent="0.2">
      <c r="A688" s="71"/>
      <c r="B688" s="79" t="s">
        <v>1850</v>
      </c>
      <c r="C688" s="88" t="s">
        <v>1851</v>
      </c>
      <c r="D688" s="88"/>
    </row>
    <row r="689" spans="1:4" x14ac:dyDescent="0.2">
      <c r="A689" s="74"/>
      <c r="B689" s="81"/>
      <c r="C689" s="88" t="s">
        <v>1852</v>
      </c>
      <c r="D689" s="88"/>
    </row>
    <row r="690" spans="1:4" x14ac:dyDescent="0.2">
      <c r="A690" s="87"/>
      <c r="B690" s="87" t="s">
        <v>1155</v>
      </c>
      <c r="C690" s="89" t="s">
        <v>1853</v>
      </c>
      <c r="D690" s="89"/>
    </row>
    <row r="691" spans="1:4" x14ac:dyDescent="0.2">
      <c r="A691" s="82"/>
      <c r="B691" s="82"/>
      <c r="C691" s="89" t="s">
        <v>1171</v>
      </c>
      <c r="D691" s="89"/>
    </row>
    <row r="692" spans="1:4" x14ac:dyDescent="0.2">
      <c r="A692" s="71"/>
      <c r="B692" s="71" t="s">
        <v>1148</v>
      </c>
      <c r="C692" s="88" t="s">
        <v>1854</v>
      </c>
      <c r="D692" s="88"/>
    </row>
    <row r="693" spans="1:4" x14ac:dyDescent="0.2">
      <c r="A693" s="74"/>
      <c r="B693" s="74"/>
      <c r="C693" s="88" t="s">
        <v>1706</v>
      </c>
      <c r="D693" s="88"/>
    </row>
    <row r="694" spans="1:4" x14ac:dyDescent="0.2">
      <c r="A694" s="74"/>
      <c r="B694" s="74"/>
      <c r="C694" s="88" t="s">
        <v>1855</v>
      </c>
      <c r="D694" s="88"/>
    </row>
    <row r="695" spans="1:4" x14ac:dyDescent="0.2">
      <c r="A695" s="74"/>
      <c r="B695" s="74"/>
      <c r="C695" s="88" t="s">
        <v>1856</v>
      </c>
      <c r="D695" s="88"/>
    </row>
    <row r="696" spans="1:4" x14ac:dyDescent="0.2">
      <c r="A696" s="74"/>
      <c r="B696" s="74"/>
      <c r="C696" s="88" t="s">
        <v>571</v>
      </c>
      <c r="D696" s="88"/>
    </row>
    <row r="697" spans="1:4" x14ac:dyDescent="0.2">
      <c r="A697" s="74"/>
      <c r="B697" s="74"/>
      <c r="C697" s="88" t="s">
        <v>141</v>
      </c>
      <c r="D697" s="88"/>
    </row>
    <row r="698" spans="1:4" x14ac:dyDescent="0.2">
      <c r="A698" s="74"/>
      <c r="B698" s="74"/>
      <c r="C698" s="88" t="s">
        <v>1857</v>
      </c>
      <c r="D698" s="88"/>
    </row>
    <row r="699" spans="1:4" x14ac:dyDescent="0.2">
      <c r="A699" s="74"/>
      <c r="B699" s="74"/>
      <c r="C699" s="88" t="s">
        <v>1858</v>
      </c>
      <c r="D699" s="88"/>
    </row>
    <row r="700" spans="1:4" x14ac:dyDescent="0.2">
      <c r="A700" s="74"/>
      <c r="B700" s="74"/>
      <c r="C700" s="88" t="s">
        <v>701</v>
      </c>
      <c r="D700" s="88"/>
    </row>
    <row r="701" spans="1:4" x14ac:dyDescent="0.2">
      <c r="A701" s="87"/>
      <c r="B701" s="87" t="s">
        <v>1149</v>
      </c>
      <c r="C701" s="89" t="s">
        <v>1432</v>
      </c>
      <c r="D701" s="89"/>
    </row>
    <row r="702" spans="1:4" x14ac:dyDescent="0.2">
      <c r="A702" s="82"/>
      <c r="B702" s="82"/>
      <c r="C702" s="89" t="s">
        <v>637</v>
      </c>
      <c r="D702" s="89"/>
    </row>
    <row r="703" spans="1:4" x14ac:dyDescent="0.2">
      <c r="A703" s="82"/>
      <c r="B703" s="82"/>
      <c r="C703" s="89" t="s">
        <v>1433</v>
      </c>
      <c r="D703" s="89"/>
    </row>
    <row r="704" spans="1:4" x14ac:dyDescent="0.2">
      <c r="A704" s="82"/>
      <c r="B704" s="82"/>
      <c r="C704" s="89" t="s">
        <v>1434</v>
      </c>
      <c r="D704" s="89"/>
    </row>
    <row r="705" spans="1:5" x14ac:dyDescent="0.2">
      <c r="A705" s="82"/>
      <c r="B705" s="82"/>
      <c r="C705" s="89" t="s">
        <v>203</v>
      </c>
      <c r="D705" s="89"/>
    </row>
    <row r="706" spans="1:5" x14ac:dyDescent="0.2">
      <c r="A706" s="82"/>
      <c r="B706" s="82"/>
      <c r="C706" s="89" t="s">
        <v>164</v>
      </c>
      <c r="D706" s="89"/>
    </row>
    <row r="707" spans="1:5" x14ac:dyDescent="0.2">
      <c r="A707" s="82"/>
      <c r="B707" s="82"/>
      <c r="C707" s="89" t="s">
        <v>207</v>
      </c>
      <c r="D707" s="89"/>
    </row>
    <row r="708" spans="1:5" x14ac:dyDescent="0.2">
      <c r="A708" s="82"/>
      <c r="B708" s="82"/>
      <c r="C708" s="89" t="s">
        <v>1436</v>
      </c>
      <c r="D708" s="89"/>
    </row>
    <row r="709" spans="1:5" x14ac:dyDescent="0.2">
      <c r="A709" s="82"/>
      <c r="B709" s="82"/>
      <c r="C709" s="89" t="s">
        <v>217</v>
      </c>
      <c r="D709" s="89"/>
    </row>
    <row r="710" spans="1:5" x14ac:dyDescent="0.2">
      <c r="A710" s="82"/>
      <c r="B710" s="82"/>
      <c r="C710" s="89" t="s">
        <v>618</v>
      </c>
      <c r="D710" s="89"/>
    </row>
    <row r="711" spans="1:5" x14ac:dyDescent="0.2">
      <c r="A711" s="82"/>
      <c r="B711" s="82"/>
      <c r="C711" s="89" t="s">
        <v>193</v>
      </c>
      <c r="D711" s="89"/>
    </row>
    <row r="712" spans="1:5" x14ac:dyDescent="0.2">
      <c r="A712" s="82"/>
      <c r="B712" s="82"/>
      <c r="C712" s="89" t="s">
        <v>223</v>
      </c>
      <c r="D712" s="89"/>
    </row>
    <row r="713" spans="1:5" x14ac:dyDescent="0.2">
      <c r="A713" s="82"/>
      <c r="B713" s="82"/>
      <c r="C713" s="89" t="s">
        <v>1437</v>
      </c>
      <c r="D713" s="89"/>
    </row>
    <row r="714" spans="1:5" x14ac:dyDescent="0.2">
      <c r="A714" s="82"/>
      <c r="B714" s="82"/>
      <c r="C714" s="89" t="s">
        <v>1438</v>
      </c>
      <c r="D714" s="89"/>
    </row>
    <row r="715" spans="1:5" x14ac:dyDescent="0.2">
      <c r="A715" s="82"/>
      <c r="B715" s="82"/>
      <c r="C715" s="89" t="s">
        <v>279</v>
      </c>
      <c r="D715" s="89"/>
    </row>
    <row r="716" spans="1:5" x14ac:dyDescent="0.2">
      <c r="A716" s="82"/>
      <c r="B716" s="82"/>
      <c r="C716" s="89" t="s">
        <v>1439</v>
      </c>
      <c r="D716" s="89" t="s">
        <v>1440</v>
      </c>
      <c r="E716" s="39" t="s">
        <v>1239</v>
      </c>
    </row>
    <row r="717" spans="1:5" x14ac:dyDescent="0.2">
      <c r="A717" s="82"/>
      <c r="B717" s="82"/>
      <c r="C717" s="89" t="s">
        <v>253</v>
      </c>
      <c r="D717" s="89"/>
    </row>
    <row r="718" spans="1:5" x14ac:dyDescent="0.2">
      <c r="A718" s="82"/>
      <c r="B718" s="82"/>
      <c r="C718" s="89" t="s">
        <v>645</v>
      </c>
      <c r="D718" s="89"/>
    </row>
    <row r="719" spans="1:5" x14ac:dyDescent="0.2">
      <c r="A719" s="82"/>
      <c r="B719" s="82"/>
      <c r="C719" s="89" t="s">
        <v>1441</v>
      </c>
      <c r="D719" s="89"/>
    </row>
    <row r="720" spans="1:5" x14ac:dyDescent="0.2">
      <c r="A720" s="82"/>
      <c r="B720" s="82"/>
      <c r="C720" s="89" t="s">
        <v>1442</v>
      </c>
      <c r="D720" s="89"/>
    </row>
    <row r="721" spans="1:4" x14ac:dyDescent="0.2">
      <c r="A721" s="82"/>
      <c r="B721" s="82"/>
      <c r="C721" s="89" t="s">
        <v>641</v>
      </c>
      <c r="D721" s="89"/>
    </row>
    <row r="722" spans="1:4" x14ac:dyDescent="0.2">
      <c r="A722" s="82"/>
      <c r="B722" s="82"/>
      <c r="C722" s="89" t="s">
        <v>610</v>
      </c>
      <c r="D722" s="89"/>
    </row>
    <row r="723" spans="1:4" x14ac:dyDescent="0.2">
      <c r="A723" s="82"/>
      <c r="B723" s="82"/>
      <c r="C723" s="89" t="s">
        <v>1001</v>
      </c>
      <c r="D723" s="89"/>
    </row>
    <row r="724" spans="1:4" x14ac:dyDescent="0.2">
      <c r="A724" s="82"/>
      <c r="B724" s="82"/>
      <c r="C724" s="89" t="s">
        <v>679</v>
      </c>
      <c r="D724" s="89"/>
    </row>
    <row r="725" spans="1:4" x14ac:dyDescent="0.2">
      <c r="A725" s="82"/>
      <c r="B725" s="82"/>
      <c r="C725" s="89" t="s">
        <v>1443</v>
      </c>
      <c r="D725" s="89"/>
    </row>
    <row r="726" spans="1:4" x14ac:dyDescent="0.2">
      <c r="A726" s="82"/>
      <c r="B726" s="82"/>
      <c r="C726" s="89" t="s">
        <v>529</v>
      </c>
      <c r="D726" s="89"/>
    </row>
    <row r="727" spans="1:4" x14ac:dyDescent="0.2">
      <c r="A727" s="82"/>
      <c r="B727" s="82"/>
      <c r="C727" s="89" t="s">
        <v>173</v>
      </c>
      <c r="D727" s="89"/>
    </row>
    <row r="728" spans="1:4" x14ac:dyDescent="0.2">
      <c r="A728" s="82"/>
      <c r="B728" s="82"/>
      <c r="C728" s="89" t="s">
        <v>182</v>
      </c>
      <c r="D728" s="89"/>
    </row>
    <row r="729" spans="1:4" x14ac:dyDescent="0.2">
      <c r="A729" s="82"/>
      <c r="B729" s="82"/>
      <c r="C729" s="89" t="s">
        <v>1444</v>
      </c>
      <c r="D729" s="89"/>
    </row>
    <row r="730" spans="1:4" x14ac:dyDescent="0.2">
      <c r="A730" s="82"/>
      <c r="B730" s="82"/>
      <c r="C730" s="89" t="s">
        <v>593</v>
      </c>
      <c r="D730" s="89"/>
    </row>
    <row r="731" spans="1:4" x14ac:dyDescent="0.2">
      <c r="A731" s="82"/>
      <c r="B731" s="82"/>
      <c r="C731" s="89" t="s">
        <v>1445</v>
      </c>
      <c r="D731" s="89"/>
    </row>
    <row r="732" spans="1:4" x14ac:dyDescent="0.2">
      <c r="A732" s="82"/>
      <c r="B732" s="82"/>
      <c r="C732" s="89" t="s">
        <v>1446</v>
      </c>
      <c r="D732" s="89"/>
    </row>
    <row r="733" spans="1:4" x14ac:dyDescent="0.2">
      <c r="A733" s="82"/>
      <c r="B733" s="82"/>
      <c r="C733" s="89" t="s">
        <v>1447</v>
      </c>
      <c r="D733" s="89"/>
    </row>
    <row r="734" spans="1:4" x14ac:dyDescent="0.2">
      <c r="A734" s="82"/>
      <c r="B734" s="82"/>
      <c r="C734" s="89" t="s">
        <v>1448</v>
      </c>
      <c r="D734" s="89"/>
    </row>
    <row r="735" spans="1:4" x14ac:dyDescent="0.2">
      <c r="A735" s="82"/>
      <c r="B735" s="82"/>
      <c r="C735" s="89" t="s">
        <v>1449</v>
      </c>
      <c r="D735" s="89"/>
    </row>
    <row r="736" spans="1:4" x14ac:dyDescent="0.2">
      <c r="A736" s="82"/>
      <c r="B736" s="82"/>
      <c r="C736" s="89" t="s">
        <v>27</v>
      </c>
      <c r="D736" s="89"/>
    </row>
    <row r="737" spans="1:4" x14ac:dyDescent="0.2">
      <c r="A737" s="82"/>
      <c r="B737" s="82"/>
      <c r="C737" s="89" t="s">
        <v>691</v>
      </c>
      <c r="D737" s="89"/>
    </row>
    <row r="738" spans="1:4" x14ac:dyDescent="0.2">
      <c r="A738" s="82"/>
      <c r="B738" s="82"/>
      <c r="C738" s="89" t="s">
        <v>1450</v>
      </c>
      <c r="D738" s="89"/>
    </row>
    <row r="739" spans="1:4" x14ac:dyDescent="0.2">
      <c r="A739" s="82"/>
      <c r="B739" s="82"/>
      <c r="C739" s="89" t="s">
        <v>156</v>
      </c>
      <c r="D739" s="89"/>
    </row>
    <row r="740" spans="1:4" x14ac:dyDescent="0.2">
      <c r="A740" s="82"/>
      <c r="B740" s="82"/>
      <c r="C740" s="89" t="s">
        <v>1451</v>
      </c>
      <c r="D740" s="89"/>
    </row>
    <row r="741" spans="1:4" x14ac:dyDescent="0.2">
      <c r="A741" s="82"/>
      <c r="B741" s="82"/>
      <c r="C741" s="89" t="s">
        <v>1452</v>
      </c>
      <c r="D741" s="89"/>
    </row>
    <row r="742" spans="1:4" x14ac:dyDescent="0.2">
      <c r="A742" s="82"/>
      <c r="B742" s="82"/>
      <c r="C742" s="89" t="s">
        <v>1453</v>
      </c>
      <c r="D742" s="89"/>
    </row>
    <row r="743" spans="1:4" x14ac:dyDescent="0.2">
      <c r="A743" s="82"/>
      <c r="B743" s="82"/>
      <c r="C743" s="89" t="s">
        <v>1454</v>
      </c>
      <c r="D743" s="89"/>
    </row>
    <row r="744" spans="1:4" x14ac:dyDescent="0.2">
      <c r="A744" s="82"/>
      <c r="B744" s="82"/>
      <c r="C744" s="89" t="s">
        <v>479</v>
      </c>
      <c r="D744" s="89"/>
    </row>
    <row r="745" spans="1:4" x14ac:dyDescent="0.2">
      <c r="A745" s="82"/>
      <c r="B745" s="82"/>
      <c r="C745" s="89" t="s">
        <v>1455</v>
      </c>
      <c r="D745" s="89"/>
    </row>
    <row r="746" spans="1:4" x14ac:dyDescent="0.2">
      <c r="A746" s="82"/>
      <c r="B746" s="82"/>
      <c r="C746" s="89" t="s">
        <v>1456</v>
      </c>
      <c r="D746" s="89"/>
    </row>
    <row r="747" spans="1:4" x14ac:dyDescent="0.2">
      <c r="A747" s="82"/>
      <c r="B747" s="82"/>
      <c r="C747" s="89" t="s">
        <v>1457</v>
      </c>
      <c r="D747" s="89"/>
    </row>
    <row r="748" spans="1:4" x14ac:dyDescent="0.2">
      <c r="A748" s="82"/>
      <c r="B748" s="82"/>
      <c r="C748" s="89" t="s">
        <v>301</v>
      </c>
      <c r="D748" s="89"/>
    </row>
    <row r="749" spans="1:4" x14ac:dyDescent="0.2">
      <c r="A749" s="82"/>
      <c r="B749" s="82"/>
      <c r="C749" s="89" t="s">
        <v>1006</v>
      </c>
      <c r="D749" s="89"/>
    </row>
    <row r="750" spans="1:4" x14ac:dyDescent="0.2">
      <c r="A750" s="82"/>
      <c r="B750" s="82"/>
      <c r="C750" s="89" t="s">
        <v>73</v>
      </c>
      <c r="D750" s="89"/>
    </row>
    <row r="751" spans="1:4" x14ac:dyDescent="0.2">
      <c r="A751" s="82"/>
      <c r="B751" s="82"/>
      <c r="C751" s="89" t="s">
        <v>1232</v>
      </c>
      <c r="D751" s="89"/>
    </row>
    <row r="752" spans="1:4" x14ac:dyDescent="0.2">
      <c r="A752" s="82"/>
      <c r="B752" s="82"/>
      <c r="C752" s="89" t="s">
        <v>1233</v>
      </c>
      <c r="D752" s="89"/>
    </row>
    <row r="753" spans="1:4" x14ac:dyDescent="0.2">
      <c r="A753" s="82"/>
      <c r="B753" s="82"/>
      <c r="C753" s="89" t="s">
        <v>1234</v>
      </c>
      <c r="D753" s="89"/>
    </row>
    <row r="754" spans="1:4" x14ac:dyDescent="0.2">
      <c r="A754" s="82"/>
      <c r="B754" s="82"/>
      <c r="C754" s="89" t="s">
        <v>1235</v>
      </c>
      <c r="D754" s="89"/>
    </row>
    <row r="755" spans="1:4" x14ac:dyDescent="0.2">
      <c r="A755" s="82"/>
      <c r="B755" s="82"/>
      <c r="C755" s="89" t="s">
        <v>1236</v>
      </c>
      <c r="D755" s="89"/>
    </row>
    <row r="756" spans="1:4" x14ac:dyDescent="0.2">
      <c r="A756" s="82"/>
      <c r="B756" s="82"/>
      <c r="C756" s="89" t="s">
        <v>1237</v>
      </c>
      <c r="D756" s="89"/>
    </row>
    <row r="757" spans="1:4" x14ac:dyDescent="0.2">
      <c r="A757" s="82"/>
      <c r="B757" s="82"/>
      <c r="C757" s="89" t="s">
        <v>1238</v>
      </c>
      <c r="D757" s="89"/>
    </row>
    <row r="758" spans="1:4" x14ac:dyDescent="0.2">
      <c r="A758" s="82"/>
      <c r="B758" s="82"/>
      <c r="C758" s="89" t="s">
        <v>1240</v>
      </c>
      <c r="D758" s="89"/>
    </row>
    <row r="759" spans="1:4" x14ac:dyDescent="0.2">
      <c r="A759" s="82"/>
      <c r="B759" s="82"/>
      <c r="C759" s="89" t="s">
        <v>1241</v>
      </c>
      <c r="D759" s="89"/>
    </row>
    <row r="760" spans="1:4" x14ac:dyDescent="0.2">
      <c r="A760" s="82"/>
      <c r="B760" s="82"/>
      <c r="C760" s="89" t="s">
        <v>1038</v>
      </c>
      <c r="D760" s="89"/>
    </row>
    <row r="761" spans="1:4" x14ac:dyDescent="0.2">
      <c r="A761" s="82"/>
      <c r="B761" s="82"/>
      <c r="C761" s="89" t="s">
        <v>1242</v>
      </c>
      <c r="D761" s="89"/>
    </row>
    <row r="762" spans="1:4" x14ac:dyDescent="0.2">
      <c r="A762" s="82"/>
      <c r="B762" s="82"/>
      <c r="C762" s="89" t="s">
        <v>1243</v>
      </c>
      <c r="D762" s="89"/>
    </row>
    <row r="763" spans="1:4" x14ac:dyDescent="0.2">
      <c r="A763" s="82"/>
      <c r="B763" s="82"/>
      <c r="C763" s="89" t="s">
        <v>1244</v>
      </c>
      <c r="D763" s="89"/>
    </row>
    <row r="764" spans="1:4" x14ac:dyDescent="0.2">
      <c r="A764" s="82"/>
      <c r="B764" s="82"/>
      <c r="C764" s="89" t="s">
        <v>1245</v>
      </c>
      <c r="D764" s="89"/>
    </row>
    <row r="765" spans="1:4" x14ac:dyDescent="0.2">
      <c r="A765" s="82"/>
      <c r="B765" s="82"/>
      <c r="C765" s="89" t="s">
        <v>1246</v>
      </c>
      <c r="D765" s="89"/>
    </row>
    <row r="766" spans="1:4" x14ac:dyDescent="0.2">
      <c r="A766" s="82"/>
      <c r="B766" s="82"/>
      <c r="C766" s="89" t="s">
        <v>1247</v>
      </c>
      <c r="D766" s="89"/>
    </row>
    <row r="767" spans="1:4" x14ac:dyDescent="0.2">
      <c r="A767" s="82"/>
      <c r="B767" s="82"/>
      <c r="C767" s="89" t="s">
        <v>351</v>
      </c>
      <c r="D767" s="89"/>
    </row>
    <row r="768" spans="1:4" x14ac:dyDescent="0.2">
      <c r="A768" s="82"/>
      <c r="B768" s="82"/>
      <c r="C768" s="89" t="s">
        <v>1248</v>
      </c>
      <c r="D768" s="89"/>
    </row>
    <row r="769" spans="1:5" x14ac:dyDescent="0.2">
      <c r="A769" s="82"/>
      <c r="B769" s="82"/>
      <c r="C769" s="89" t="s">
        <v>1249</v>
      </c>
      <c r="D769" s="89"/>
    </row>
    <row r="770" spans="1:5" x14ac:dyDescent="0.2">
      <c r="A770" s="82"/>
      <c r="B770" s="82"/>
      <c r="C770" s="89" t="s">
        <v>1250</v>
      </c>
      <c r="D770" s="89"/>
    </row>
    <row r="771" spans="1:5" x14ac:dyDescent="0.2">
      <c r="A771" s="82"/>
      <c r="B771" s="82"/>
      <c r="C771" s="89" t="s">
        <v>1251</v>
      </c>
      <c r="D771" s="89"/>
    </row>
    <row r="772" spans="1:5" x14ac:dyDescent="0.2">
      <c r="A772" s="82"/>
      <c r="B772" s="82"/>
      <c r="C772" s="89" t="s">
        <v>1252</v>
      </c>
      <c r="D772" s="89"/>
    </row>
    <row r="773" spans="1:5" x14ac:dyDescent="0.2">
      <c r="A773" s="82"/>
      <c r="B773" s="82"/>
      <c r="C773" s="89" t="s">
        <v>1253</v>
      </c>
      <c r="D773" s="89"/>
    </row>
    <row r="774" spans="1:5" x14ac:dyDescent="0.2">
      <c r="A774" s="82"/>
      <c r="B774" s="82"/>
      <c r="C774" s="89" t="s">
        <v>1254</v>
      </c>
      <c r="D774" s="89"/>
    </row>
    <row r="775" spans="1:5" x14ac:dyDescent="0.2">
      <c r="A775" s="82"/>
      <c r="B775" s="82"/>
      <c r="C775" s="89" t="s">
        <v>1255</v>
      </c>
      <c r="D775" s="89"/>
    </row>
    <row r="776" spans="1:5" x14ac:dyDescent="0.2">
      <c r="A776" s="82"/>
      <c r="B776" s="82"/>
      <c r="C776" s="89" t="s">
        <v>181</v>
      </c>
      <c r="D776" s="89"/>
    </row>
    <row r="777" spans="1:5" x14ac:dyDescent="0.2">
      <c r="A777" s="82"/>
      <c r="B777" s="82"/>
      <c r="C777" s="89" t="s">
        <v>1256</v>
      </c>
      <c r="D777" s="89"/>
    </row>
    <row r="778" spans="1:5" x14ac:dyDescent="0.2">
      <c r="A778" s="82"/>
      <c r="B778" s="82"/>
      <c r="C778" s="89" t="s">
        <v>1257</v>
      </c>
      <c r="D778" s="89"/>
    </row>
    <row r="779" spans="1:5" x14ac:dyDescent="0.2">
      <c r="A779" s="82"/>
      <c r="B779" s="82"/>
      <c r="C779" s="89" t="s">
        <v>1258</v>
      </c>
      <c r="D779" s="89"/>
    </row>
    <row r="780" spans="1:5" x14ac:dyDescent="0.2">
      <c r="A780" s="82"/>
      <c r="B780" s="82"/>
      <c r="C780" s="89" t="s">
        <v>1259</v>
      </c>
      <c r="D780" s="89"/>
    </row>
    <row r="781" spans="1:5" x14ac:dyDescent="0.2">
      <c r="A781" s="82"/>
      <c r="B781" s="82"/>
      <c r="C781" s="89" t="s">
        <v>1060</v>
      </c>
      <c r="D781" s="89"/>
    </row>
    <row r="782" spans="1:5" x14ac:dyDescent="0.2">
      <c r="A782" s="82"/>
      <c r="B782" s="82"/>
      <c r="C782" s="89" t="s">
        <v>1260</v>
      </c>
      <c r="D782" s="89"/>
      <c r="E782" s="39" t="s">
        <v>1239</v>
      </c>
    </row>
    <row r="783" spans="1:5" x14ac:dyDescent="0.2">
      <c r="A783" s="82"/>
      <c r="B783" s="82"/>
      <c r="C783" s="89" t="s">
        <v>1261</v>
      </c>
      <c r="D783" s="89"/>
      <c r="E783" s="39" t="s">
        <v>1239</v>
      </c>
    </row>
    <row r="784" spans="1:5" x14ac:dyDescent="0.2">
      <c r="A784" s="82"/>
      <c r="B784" s="82"/>
      <c r="C784" s="89" t="s">
        <v>1264</v>
      </c>
      <c r="D784" s="89"/>
      <c r="E784" s="39" t="s">
        <v>1239</v>
      </c>
    </row>
    <row r="785" spans="1:5" x14ac:dyDescent="0.2">
      <c r="A785" s="82"/>
      <c r="B785" s="82"/>
      <c r="C785" s="89" t="s">
        <v>905</v>
      </c>
      <c r="D785" s="89"/>
    </row>
    <row r="786" spans="1:5" x14ac:dyDescent="0.2">
      <c r="A786" s="82"/>
      <c r="B786" s="82"/>
      <c r="C786" s="89" t="s">
        <v>1265</v>
      </c>
      <c r="D786" s="89"/>
    </row>
    <row r="787" spans="1:5" x14ac:dyDescent="0.2">
      <c r="A787" s="82"/>
      <c r="B787" s="82"/>
      <c r="C787" s="89" t="s">
        <v>1266</v>
      </c>
      <c r="D787" s="89"/>
    </row>
    <row r="788" spans="1:5" x14ac:dyDescent="0.2">
      <c r="A788" s="82"/>
      <c r="B788" s="82"/>
      <c r="C788" s="89" t="s">
        <v>1267</v>
      </c>
      <c r="D788" s="89"/>
    </row>
    <row r="789" spans="1:5" x14ac:dyDescent="0.2">
      <c r="A789" s="82"/>
      <c r="B789" s="82"/>
      <c r="C789" s="89" t="s">
        <v>1268</v>
      </c>
      <c r="D789" s="89"/>
    </row>
    <row r="790" spans="1:5" x14ac:dyDescent="0.2">
      <c r="A790" s="82"/>
      <c r="B790" s="82"/>
      <c r="C790" s="89" t="s">
        <v>1269</v>
      </c>
      <c r="D790" s="89"/>
      <c r="E790" s="39" t="s">
        <v>1239</v>
      </c>
    </row>
    <row r="791" spans="1:5" x14ac:dyDescent="0.2">
      <c r="A791" s="82"/>
      <c r="B791" s="82"/>
      <c r="C791" s="89" t="s">
        <v>1270</v>
      </c>
      <c r="D791" s="89"/>
    </row>
    <row r="792" spans="1:5" x14ac:dyDescent="0.2">
      <c r="A792" s="82"/>
      <c r="B792" s="82"/>
      <c r="C792" s="89" t="s">
        <v>809</v>
      </c>
      <c r="D792" s="89"/>
    </row>
    <row r="793" spans="1:5" x14ac:dyDescent="0.2">
      <c r="A793" s="82"/>
      <c r="B793" s="82"/>
      <c r="C793" s="89" t="s">
        <v>1271</v>
      </c>
      <c r="D793" s="89"/>
    </row>
    <row r="794" spans="1:5" x14ac:dyDescent="0.2">
      <c r="A794" s="82"/>
      <c r="B794" s="82"/>
      <c r="C794" s="89" t="s">
        <v>1859</v>
      </c>
      <c r="D794" s="89"/>
    </row>
    <row r="795" spans="1:5" x14ac:dyDescent="0.2">
      <c r="A795" s="82"/>
      <c r="B795" s="82"/>
      <c r="C795" s="89" t="s">
        <v>1059</v>
      </c>
      <c r="D795" s="89"/>
    </row>
    <row r="796" spans="1:5" x14ac:dyDescent="0.2">
      <c r="A796" s="82"/>
      <c r="B796" s="82"/>
      <c r="C796" s="89" t="s">
        <v>1272</v>
      </c>
      <c r="D796" s="89"/>
    </row>
    <row r="797" spans="1:5" x14ac:dyDescent="0.2">
      <c r="A797" s="82"/>
      <c r="B797" s="82"/>
      <c r="C797" s="89" t="s">
        <v>1273</v>
      </c>
      <c r="D797" s="89"/>
    </row>
    <row r="798" spans="1:5" x14ac:dyDescent="0.2">
      <c r="A798" s="82"/>
      <c r="B798" s="82"/>
      <c r="C798" s="89" t="s">
        <v>1274</v>
      </c>
      <c r="D798" s="89"/>
    </row>
    <row r="799" spans="1:5" x14ac:dyDescent="0.2">
      <c r="A799" s="82"/>
      <c r="B799" s="82"/>
      <c r="C799" s="89" t="s">
        <v>1275</v>
      </c>
      <c r="D799" s="89"/>
    </row>
    <row r="800" spans="1:5" x14ac:dyDescent="0.2">
      <c r="A800" s="82"/>
      <c r="B800" s="82"/>
      <c r="C800" s="89" t="s">
        <v>1276</v>
      </c>
      <c r="D800" s="89"/>
    </row>
    <row r="801" spans="1:5" x14ac:dyDescent="0.2">
      <c r="A801" s="82"/>
      <c r="B801" s="82"/>
      <c r="C801" s="89" t="s">
        <v>1277</v>
      </c>
      <c r="D801" s="89"/>
    </row>
    <row r="802" spans="1:5" x14ac:dyDescent="0.2">
      <c r="A802" s="82"/>
      <c r="B802" s="82"/>
      <c r="C802" s="89" t="s">
        <v>1278</v>
      </c>
      <c r="D802" s="89"/>
    </row>
    <row r="803" spans="1:5" x14ac:dyDescent="0.2">
      <c r="A803" s="82"/>
      <c r="B803" s="82"/>
      <c r="C803" s="89" t="s">
        <v>1279</v>
      </c>
      <c r="D803" s="89"/>
    </row>
    <row r="804" spans="1:5" x14ac:dyDescent="0.2">
      <c r="A804" s="82"/>
      <c r="B804" s="82"/>
      <c r="C804" s="89" t="s">
        <v>1280</v>
      </c>
      <c r="D804" s="89"/>
    </row>
    <row r="805" spans="1:5" x14ac:dyDescent="0.2">
      <c r="A805" s="82"/>
      <c r="B805" s="82"/>
      <c r="C805" s="89" t="s">
        <v>1281</v>
      </c>
      <c r="D805" s="89"/>
    </row>
    <row r="806" spans="1:5" x14ac:dyDescent="0.2">
      <c r="A806" s="82"/>
      <c r="B806" s="82"/>
      <c r="C806" s="89" t="s">
        <v>1282</v>
      </c>
      <c r="D806" s="89"/>
    </row>
    <row r="807" spans="1:5" x14ac:dyDescent="0.2">
      <c r="A807" s="82"/>
      <c r="B807" s="82"/>
      <c r="C807" s="89" t="s">
        <v>1283</v>
      </c>
      <c r="D807" s="89"/>
    </row>
    <row r="808" spans="1:5" x14ac:dyDescent="0.2">
      <c r="A808" s="82"/>
      <c r="B808" s="82"/>
      <c r="C808" s="89" t="s">
        <v>1285</v>
      </c>
      <c r="D808" s="89"/>
    </row>
    <row r="809" spans="1:5" x14ac:dyDescent="0.2">
      <c r="A809" s="82"/>
      <c r="B809" s="82"/>
      <c r="C809" s="89" t="s">
        <v>1284</v>
      </c>
      <c r="D809" s="89"/>
      <c r="E809" s="39" t="s">
        <v>1239</v>
      </c>
    </row>
    <row r="810" spans="1:5" x14ac:dyDescent="0.2">
      <c r="A810" s="82"/>
      <c r="B810" s="82"/>
      <c r="C810" s="89" t="s">
        <v>846</v>
      </c>
      <c r="D810" s="89"/>
    </row>
    <row r="811" spans="1:5" x14ac:dyDescent="0.2">
      <c r="A811" s="82"/>
      <c r="B811" s="82"/>
      <c r="C811" s="89" t="s">
        <v>1286</v>
      </c>
      <c r="D811" s="89"/>
    </row>
    <row r="812" spans="1:5" x14ac:dyDescent="0.2">
      <c r="A812" s="82"/>
      <c r="B812" s="82"/>
      <c r="C812" s="89" t="s">
        <v>1287</v>
      </c>
      <c r="D812" s="89"/>
    </row>
    <row r="813" spans="1:5" x14ac:dyDescent="0.2">
      <c r="A813" s="82"/>
      <c r="B813" s="82"/>
      <c r="C813" s="89" t="s">
        <v>1288</v>
      </c>
      <c r="D813" s="89"/>
    </row>
    <row r="814" spans="1:5" x14ac:dyDescent="0.2">
      <c r="A814" s="82"/>
      <c r="B814" s="82"/>
      <c r="C814" s="89" t="s">
        <v>1289</v>
      </c>
      <c r="D814" s="89"/>
    </row>
    <row r="815" spans="1:5" x14ac:dyDescent="0.2">
      <c r="A815" s="82"/>
      <c r="B815" s="82"/>
      <c r="C815" s="89" t="s">
        <v>1290</v>
      </c>
      <c r="D815" s="89"/>
    </row>
    <row r="816" spans="1:5" x14ac:dyDescent="0.2">
      <c r="A816" s="82"/>
      <c r="B816" s="82"/>
      <c r="C816" s="89" t="s">
        <v>1291</v>
      </c>
      <c r="D816" s="89"/>
    </row>
    <row r="817" spans="1:4" x14ac:dyDescent="0.2">
      <c r="A817" s="82"/>
      <c r="B817" s="82"/>
      <c r="C817" s="89" t="s">
        <v>1292</v>
      </c>
      <c r="D817" s="89"/>
    </row>
    <row r="818" spans="1:4" x14ac:dyDescent="0.2">
      <c r="A818" s="82"/>
      <c r="B818" s="82"/>
      <c r="C818" s="89" t="s">
        <v>1293</v>
      </c>
      <c r="D818" s="89"/>
    </row>
    <row r="819" spans="1:4" x14ac:dyDescent="0.2">
      <c r="A819" s="82"/>
      <c r="B819" s="82"/>
      <c r="C819" s="89" t="s">
        <v>1294</v>
      </c>
      <c r="D819" s="89"/>
    </row>
    <row r="820" spans="1:4" x14ac:dyDescent="0.2">
      <c r="A820" s="82"/>
      <c r="B820" s="82"/>
      <c r="C820" s="89" t="s">
        <v>1295</v>
      </c>
      <c r="D820" s="89"/>
    </row>
    <row r="821" spans="1:4" x14ac:dyDescent="0.2">
      <c r="A821" s="82"/>
      <c r="B821" s="82"/>
      <c r="C821" s="89" t="s">
        <v>1296</v>
      </c>
      <c r="D821" s="89"/>
    </row>
    <row r="822" spans="1:4" x14ac:dyDescent="0.2">
      <c r="A822" s="82"/>
      <c r="B822" s="82"/>
      <c r="C822" s="89" t="s">
        <v>1297</v>
      </c>
      <c r="D822" s="89"/>
    </row>
    <row r="823" spans="1:4" x14ac:dyDescent="0.2">
      <c r="A823" s="82"/>
      <c r="B823" s="82"/>
      <c r="C823" s="89" t="s">
        <v>1298</v>
      </c>
      <c r="D823" s="89"/>
    </row>
    <row r="824" spans="1:4" x14ac:dyDescent="0.2">
      <c r="A824" s="82"/>
      <c r="B824" s="82"/>
      <c r="C824" s="89" t="s">
        <v>1299</v>
      </c>
      <c r="D824" s="89"/>
    </row>
    <row r="825" spans="1:4" x14ac:dyDescent="0.2">
      <c r="A825" s="82"/>
      <c r="B825" s="82"/>
      <c r="C825" s="89" t="s">
        <v>1300</v>
      </c>
      <c r="D825" s="89"/>
    </row>
    <row r="826" spans="1:4" x14ac:dyDescent="0.2">
      <c r="A826" s="82"/>
      <c r="B826" s="82"/>
      <c r="C826" s="89" t="s">
        <v>1301</v>
      </c>
      <c r="D826" s="89"/>
    </row>
    <row r="827" spans="1:4" x14ac:dyDescent="0.2">
      <c r="A827" s="82"/>
      <c r="B827" s="82"/>
      <c r="C827" s="89" t="s">
        <v>1302</v>
      </c>
      <c r="D827" s="89"/>
    </row>
    <row r="828" spans="1:4" x14ac:dyDescent="0.2">
      <c r="A828" s="82"/>
      <c r="B828" s="82"/>
      <c r="C828" s="89" t="s">
        <v>1303</v>
      </c>
      <c r="D828" s="89"/>
    </row>
    <row r="829" spans="1:4" x14ac:dyDescent="0.2">
      <c r="A829" s="82"/>
      <c r="B829" s="82"/>
      <c r="C829" s="89" t="s">
        <v>1304</v>
      </c>
      <c r="D829" s="89"/>
    </row>
    <row r="830" spans="1:4" x14ac:dyDescent="0.2">
      <c r="A830" s="82"/>
      <c r="B830" s="82"/>
      <c r="C830" s="89" t="s">
        <v>1305</v>
      </c>
      <c r="D830" s="89"/>
    </row>
    <row r="831" spans="1:4" x14ac:dyDescent="0.2">
      <c r="A831" s="82"/>
      <c r="B831" s="82"/>
      <c r="C831" s="89" t="s">
        <v>1860</v>
      </c>
      <c r="D831" s="93" t="s">
        <v>1861</v>
      </c>
    </row>
    <row r="832" spans="1:4" x14ac:dyDescent="0.2">
      <c r="A832" s="82"/>
      <c r="B832" s="82"/>
      <c r="C832" s="89" t="s">
        <v>1862</v>
      </c>
      <c r="D832" s="93" t="s">
        <v>1316</v>
      </c>
    </row>
    <row r="833" spans="1:4" x14ac:dyDescent="0.2">
      <c r="A833" s="82"/>
      <c r="B833" s="82"/>
      <c r="C833" s="89" t="s">
        <v>1863</v>
      </c>
      <c r="D833" s="93" t="s">
        <v>1316</v>
      </c>
    </row>
    <row r="834" spans="1:4" ht="15" x14ac:dyDescent="0.2">
      <c r="A834" s="82"/>
      <c r="B834" s="82"/>
      <c r="C834" s="89" t="s">
        <v>1864</v>
      </c>
      <c r="D834" s="94"/>
    </row>
    <row r="835" spans="1:4" x14ac:dyDescent="0.2">
      <c r="A835" s="82"/>
      <c r="B835" s="82"/>
      <c r="C835" s="89" t="s">
        <v>1312</v>
      </c>
      <c r="D835" s="89"/>
    </row>
    <row r="836" spans="1:4" x14ac:dyDescent="0.2">
      <c r="A836" s="82"/>
      <c r="B836" s="82"/>
      <c r="C836" s="89" t="s">
        <v>1308</v>
      </c>
      <c r="D836" s="89"/>
    </row>
    <row r="837" spans="1:4" x14ac:dyDescent="0.2">
      <c r="A837" s="82"/>
      <c r="B837" s="82"/>
      <c r="C837" s="89" t="s">
        <v>1309</v>
      </c>
      <c r="D837" s="89"/>
    </row>
    <row r="838" spans="1:4" x14ac:dyDescent="0.2">
      <c r="A838" s="82"/>
      <c r="B838" s="82"/>
      <c r="C838" s="89" t="s">
        <v>1306</v>
      </c>
      <c r="D838" s="89"/>
    </row>
    <row r="839" spans="1:4" x14ac:dyDescent="0.2">
      <c r="A839" s="82"/>
      <c r="B839" s="82"/>
      <c r="C839" s="89" t="s">
        <v>839</v>
      </c>
      <c r="D839" s="89"/>
    </row>
    <row r="840" spans="1:4" x14ac:dyDescent="0.2">
      <c r="A840" s="82"/>
      <c r="B840" s="82"/>
      <c r="C840" s="89" t="s">
        <v>1307</v>
      </c>
      <c r="D840" s="89"/>
    </row>
    <row r="841" spans="1:4" x14ac:dyDescent="0.2">
      <c r="A841" s="82"/>
      <c r="B841" s="82"/>
      <c r="C841" s="89" t="s">
        <v>1310</v>
      </c>
      <c r="D841" s="89"/>
    </row>
    <row r="842" spans="1:4" x14ac:dyDescent="0.2">
      <c r="A842" s="82"/>
      <c r="B842" s="82"/>
      <c r="C842" s="89" t="s">
        <v>1865</v>
      </c>
      <c r="D842" s="89"/>
    </row>
    <row r="843" spans="1:4" x14ac:dyDescent="0.2">
      <c r="A843" s="82"/>
      <c r="B843" s="82"/>
      <c r="C843" s="89" t="s">
        <v>1866</v>
      </c>
      <c r="D843" s="89"/>
    </row>
    <row r="844" spans="1:4" x14ac:dyDescent="0.2">
      <c r="A844" s="82"/>
      <c r="B844" s="82"/>
      <c r="C844" s="89" t="s">
        <v>1867</v>
      </c>
      <c r="D844" s="89"/>
    </row>
    <row r="845" spans="1:4" x14ac:dyDescent="0.2">
      <c r="A845" s="82"/>
      <c r="B845" s="82"/>
      <c r="C845" s="89" t="s">
        <v>1868</v>
      </c>
      <c r="D845" s="89"/>
    </row>
    <row r="846" spans="1:4" x14ac:dyDescent="0.2">
      <c r="A846" s="82"/>
      <c r="B846" s="82"/>
      <c r="C846" s="89" t="s">
        <v>1869</v>
      </c>
      <c r="D846" s="89"/>
    </row>
    <row r="847" spans="1:4" x14ac:dyDescent="0.2">
      <c r="A847" s="82"/>
      <c r="B847" s="82"/>
      <c r="C847" s="89" t="s">
        <v>1870</v>
      </c>
      <c r="D847" s="89"/>
    </row>
    <row r="848" spans="1:4" x14ac:dyDescent="0.2">
      <c r="A848" s="82"/>
      <c r="B848" s="82"/>
      <c r="C848" s="89" t="s">
        <v>1871</v>
      </c>
      <c r="D848" s="89"/>
    </row>
    <row r="849" spans="1:4" x14ac:dyDescent="0.2">
      <c r="A849" s="82"/>
      <c r="B849" s="82"/>
      <c r="C849" s="89" t="s">
        <v>1872</v>
      </c>
      <c r="D849" s="89"/>
    </row>
    <row r="850" spans="1:4" x14ac:dyDescent="0.2">
      <c r="A850" s="82"/>
      <c r="B850" s="82"/>
      <c r="C850" s="89" t="s">
        <v>701</v>
      </c>
      <c r="D850" s="89"/>
    </row>
    <row r="851" spans="1:4" x14ac:dyDescent="0.2">
      <c r="A851" s="79" t="s">
        <v>1160</v>
      </c>
      <c r="B851" s="79"/>
      <c r="C851" s="88" t="s">
        <v>977</v>
      </c>
      <c r="D851" s="88"/>
    </row>
    <row r="852" spans="1:4" x14ac:dyDescent="0.2">
      <c r="A852" s="80"/>
      <c r="B852" s="80"/>
      <c r="C852" s="88" t="s">
        <v>74</v>
      </c>
      <c r="D852" s="88"/>
    </row>
    <row r="853" spans="1:4" x14ac:dyDescent="0.2">
      <c r="A853" s="82" t="s">
        <v>22</v>
      </c>
      <c r="B853" s="82" t="s">
        <v>57</v>
      </c>
      <c r="C853" s="89" t="s">
        <v>80</v>
      </c>
      <c r="D853" s="89"/>
    </row>
    <row r="854" spans="1:4" x14ac:dyDescent="0.2">
      <c r="A854" s="82"/>
      <c r="B854" s="82"/>
      <c r="C854" s="89" t="s">
        <v>1873</v>
      </c>
      <c r="D854" s="89"/>
    </row>
    <row r="855" spans="1:4" x14ac:dyDescent="0.2">
      <c r="A855" s="82"/>
      <c r="B855" s="82"/>
      <c r="C855" s="89" t="s">
        <v>72</v>
      </c>
      <c r="D855" s="89"/>
    </row>
    <row r="856" spans="1:4" x14ac:dyDescent="0.2">
      <c r="A856" s="82"/>
      <c r="B856" s="82"/>
      <c r="C856" s="89" t="s">
        <v>1874</v>
      </c>
      <c r="D856" s="89"/>
    </row>
    <row r="857" spans="1:4" x14ac:dyDescent="0.2">
      <c r="A857" s="82"/>
      <c r="B857" s="82"/>
      <c r="C857" s="89" t="s">
        <v>82</v>
      </c>
      <c r="D857" s="89"/>
    </row>
    <row r="858" spans="1:4" x14ac:dyDescent="0.2">
      <c r="A858" s="82"/>
      <c r="B858" s="82"/>
      <c r="C858" s="89" t="s">
        <v>1875</v>
      </c>
      <c r="D858" s="89"/>
    </row>
    <row r="859" spans="1:4" x14ac:dyDescent="0.2">
      <c r="A859" s="82"/>
      <c r="B859" s="82"/>
      <c r="C859" s="89" t="s">
        <v>1876</v>
      </c>
      <c r="D859" s="89"/>
    </row>
    <row r="860" spans="1:4" x14ac:dyDescent="0.2">
      <c r="A860" s="82"/>
      <c r="B860" s="82"/>
      <c r="C860" s="89" t="s">
        <v>1877</v>
      </c>
      <c r="D860" s="89"/>
    </row>
    <row r="861" spans="1:4" x14ac:dyDescent="0.2">
      <c r="A861" s="82"/>
      <c r="B861" s="82"/>
      <c r="C861" s="89" t="s">
        <v>1878</v>
      </c>
      <c r="D861" s="89"/>
    </row>
    <row r="862" spans="1:4" x14ac:dyDescent="0.2">
      <c r="A862" s="79" t="s">
        <v>23</v>
      </c>
      <c r="B862" s="79" t="s">
        <v>57</v>
      </c>
      <c r="C862" s="88" t="s">
        <v>112</v>
      </c>
      <c r="D862" s="88"/>
    </row>
    <row r="863" spans="1:4" x14ac:dyDescent="0.2">
      <c r="A863" s="80"/>
      <c r="B863" s="80"/>
      <c r="C863" s="88" t="s">
        <v>1879</v>
      </c>
      <c r="D863" s="88"/>
    </row>
    <row r="864" spans="1:4" x14ac:dyDescent="0.2">
      <c r="A864" s="80"/>
      <c r="B864" s="80"/>
      <c r="C864" s="88" t="s">
        <v>102</v>
      </c>
      <c r="D864" s="88"/>
    </row>
    <row r="865" spans="1:4" x14ac:dyDescent="0.2">
      <c r="A865" s="80"/>
      <c r="B865" s="80"/>
      <c r="C865" s="88" t="s">
        <v>1880</v>
      </c>
      <c r="D865" s="88"/>
    </row>
    <row r="866" spans="1:4" x14ac:dyDescent="0.2">
      <c r="A866" s="80"/>
      <c r="B866" s="80"/>
      <c r="C866" s="88" t="s">
        <v>1881</v>
      </c>
      <c r="D866" s="88"/>
    </row>
    <row r="867" spans="1:4" x14ac:dyDescent="0.2">
      <c r="A867" s="80"/>
      <c r="B867" s="80"/>
      <c r="C867" s="88" t="s">
        <v>1882</v>
      </c>
      <c r="D867" s="88"/>
    </row>
    <row r="868" spans="1:4" x14ac:dyDescent="0.2">
      <c r="A868" s="80"/>
      <c r="B868" s="80"/>
      <c r="C868" s="88" t="s">
        <v>1883</v>
      </c>
      <c r="D868" s="88"/>
    </row>
    <row r="869" spans="1:4" x14ac:dyDescent="0.2">
      <c r="A869" s="80"/>
      <c r="B869" s="80"/>
      <c r="C869" s="88" t="s">
        <v>1884</v>
      </c>
      <c r="D869" s="88"/>
    </row>
    <row r="870" spans="1:4" x14ac:dyDescent="0.2">
      <c r="A870" s="82" t="s">
        <v>24</v>
      </c>
      <c r="B870" s="82" t="s">
        <v>57</v>
      </c>
      <c r="C870" s="89" t="s">
        <v>112</v>
      </c>
      <c r="D870" s="89"/>
    </row>
    <row r="871" spans="1:4" x14ac:dyDescent="0.2">
      <c r="A871" s="82"/>
      <c r="B871" s="82"/>
      <c r="C871" s="89" t="s">
        <v>102</v>
      </c>
      <c r="D871" s="89"/>
    </row>
    <row r="872" spans="1:4" x14ac:dyDescent="0.2">
      <c r="A872" s="82"/>
      <c r="B872" s="82"/>
      <c r="C872" s="89" t="s">
        <v>1881</v>
      </c>
      <c r="D872" s="89"/>
    </row>
    <row r="873" spans="1:4" x14ac:dyDescent="0.2">
      <c r="A873" s="82"/>
      <c r="B873" s="82"/>
      <c r="C873" s="89" t="s">
        <v>701</v>
      </c>
      <c r="D873" s="89"/>
    </row>
    <row r="874" spans="1:4" x14ac:dyDescent="0.2">
      <c r="A874" s="79" t="s">
        <v>25</v>
      </c>
      <c r="B874" s="79" t="s">
        <v>57</v>
      </c>
      <c r="C874" s="88" t="s">
        <v>154</v>
      </c>
      <c r="D874" s="88"/>
    </row>
    <row r="875" spans="1:4" x14ac:dyDescent="0.2">
      <c r="A875" s="80"/>
      <c r="B875" s="80"/>
      <c r="C875" s="88" t="s">
        <v>202</v>
      </c>
      <c r="D875" s="88"/>
    </row>
    <row r="876" spans="1:4" x14ac:dyDescent="0.2">
      <c r="A876" s="80"/>
      <c r="B876" s="80"/>
      <c r="C876" s="88" t="s">
        <v>483</v>
      </c>
      <c r="D876" s="88"/>
    </row>
    <row r="877" spans="1:4" x14ac:dyDescent="0.2">
      <c r="A877" s="80"/>
      <c r="B877" s="80"/>
      <c r="C877" s="88" t="s">
        <v>1713</v>
      </c>
      <c r="D877" s="88"/>
    </row>
    <row r="878" spans="1:4" x14ac:dyDescent="0.2">
      <c r="A878" s="80"/>
      <c r="B878" s="80"/>
      <c r="C878" s="88" t="s">
        <v>1885</v>
      </c>
      <c r="D878" s="88"/>
    </row>
    <row r="879" spans="1:4" x14ac:dyDescent="0.2">
      <c r="A879" s="80"/>
      <c r="B879" s="80"/>
      <c r="C879" s="88" t="s">
        <v>1886</v>
      </c>
      <c r="D879" s="88"/>
    </row>
    <row r="880" spans="1:4" x14ac:dyDescent="0.2">
      <c r="A880" s="80"/>
      <c r="B880" s="80"/>
      <c r="C880" s="88" t="s">
        <v>1887</v>
      </c>
      <c r="D880" s="88"/>
    </row>
    <row r="881" spans="1:5" x14ac:dyDescent="0.2">
      <c r="A881" s="80"/>
      <c r="B881" s="80"/>
      <c r="C881" s="88" t="s">
        <v>1888</v>
      </c>
      <c r="D881" s="88"/>
    </row>
    <row r="882" spans="1:5" x14ac:dyDescent="0.2">
      <c r="A882" s="80"/>
      <c r="B882" s="80"/>
      <c r="C882" s="88" t="s">
        <v>1889</v>
      </c>
      <c r="D882" s="88" t="s">
        <v>1889</v>
      </c>
      <c r="E882" s="39" t="s">
        <v>1239</v>
      </c>
    </row>
    <row r="883" spans="1:5" x14ac:dyDescent="0.2">
      <c r="A883" s="81"/>
      <c r="B883" s="81"/>
      <c r="C883" s="88" t="s">
        <v>701</v>
      </c>
      <c r="D883" s="88"/>
    </row>
    <row r="884" spans="1:5" x14ac:dyDescent="0.2">
      <c r="A884" s="76" t="s">
        <v>26</v>
      </c>
      <c r="B884" s="76" t="s">
        <v>57</v>
      </c>
      <c r="C884" s="89" t="s">
        <v>571</v>
      </c>
      <c r="D884" s="89"/>
    </row>
    <row r="885" spans="1:5" x14ac:dyDescent="0.2">
      <c r="A885" s="77"/>
      <c r="B885" s="77"/>
      <c r="C885" s="89" t="s">
        <v>1890</v>
      </c>
      <c r="D885" s="89"/>
    </row>
    <row r="886" spans="1:5" x14ac:dyDescent="0.2">
      <c r="A886" s="77"/>
      <c r="B886" s="77"/>
      <c r="C886" s="89" t="s">
        <v>578</v>
      </c>
      <c r="D886" s="89"/>
    </row>
    <row r="887" spans="1:5" x14ac:dyDescent="0.2">
      <c r="A887" s="77"/>
      <c r="B887" s="77"/>
      <c r="C887" s="89" t="s">
        <v>1891</v>
      </c>
      <c r="D887" s="89"/>
    </row>
    <row r="888" spans="1:5" x14ac:dyDescent="0.2">
      <c r="A888" s="77"/>
      <c r="B888" s="77"/>
      <c r="C888" s="89" t="s">
        <v>1892</v>
      </c>
      <c r="D888" s="89"/>
    </row>
    <row r="889" spans="1:5" x14ac:dyDescent="0.2">
      <c r="A889" s="77"/>
      <c r="B889" s="77"/>
      <c r="C889" s="89" t="s">
        <v>1893</v>
      </c>
      <c r="D889" s="89" t="s">
        <v>1894</v>
      </c>
    </row>
    <row r="890" spans="1:5" x14ac:dyDescent="0.2">
      <c r="A890" s="77"/>
      <c r="B890" s="77"/>
      <c r="C890" s="89" t="s">
        <v>1895</v>
      </c>
      <c r="D890" s="89"/>
    </row>
    <row r="891" spans="1:5" x14ac:dyDescent="0.2">
      <c r="A891" s="79" t="s">
        <v>27</v>
      </c>
      <c r="B891" s="79" t="s">
        <v>57</v>
      </c>
      <c r="C891" s="88" t="s">
        <v>797</v>
      </c>
      <c r="D891" s="88"/>
    </row>
    <row r="892" spans="1:5" x14ac:dyDescent="0.2">
      <c r="A892" s="80"/>
      <c r="B892" s="80"/>
      <c r="C892" s="88" t="s">
        <v>802</v>
      </c>
      <c r="D892" s="88"/>
    </row>
    <row r="893" spans="1:5" x14ac:dyDescent="0.2">
      <c r="A893" s="80"/>
      <c r="B893" s="80"/>
      <c r="C893" s="88" t="s">
        <v>891</v>
      </c>
      <c r="D893" s="88"/>
    </row>
    <row r="894" spans="1:5" x14ac:dyDescent="0.2">
      <c r="A894" s="80"/>
      <c r="B894" s="80"/>
      <c r="C894" s="88" t="s">
        <v>882</v>
      </c>
      <c r="D894" s="88"/>
    </row>
    <row r="895" spans="1:5" x14ac:dyDescent="0.2">
      <c r="A895" s="80"/>
      <c r="B895" s="80"/>
      <c r="C895" s="88" t="s">
        <v>1896</v>
      </c>
      <c r="D895" s="88"/>
    </row>
    <row r="896" spans="1:5" x14ac:dyDescent="0.2">
      <c r="A896" s="80"/>
      <c r="B896" s="80"/>
      <c r="C896" s="88" t="s">
        <v>701</v>
      </c>
      <c r="D896" s="88"/>
    </row>
    <row r="897" spans="1:4" x14ac:dyDescent="0.2">
      <c r="A897" s="76" t="s">
        <v>28</v>
      </c>
      <c r="B897" s="76" t="s">
        <v>57</v>
      </c>
      <c r="C897" s="89" t="s">
        <v>910</v>
      </c>
      <c r="D897" s="89"/>
    </row>
    <row r="898" spans="1:4" x14ac:dyDescent="0.2">
      <c r="A898" s="77"/>
      <c r="B898" s="77"/>
      <c r="C898" s="89" t="s">
        <v>1897</v>
      </c>
      <c r="D898" s="89"/>
    </row>
    <row r="899" spans="1:4" x14ac:dyDescent="0.2">
      <c r="A899" s="77"/>
      <c r="B899" s="77"/>
      <c r="C899" s="89" t="s">
        <v>571</v>
      </c>
      <c r="D899" s="89"/>
    </row>
    <row r="900" spans="1:4" x14ac:dyDescent="0.2">
      <c r="A900" s="77"/>
      <c r="B900" s="77"/>
      <c r="C900" s="89" t="s">
        <v>701</v>
      </c>
      <c r="D900" s="89"/>
    </row>
    <row r="901" spans="1:4" x14ac:dyDescent="0.2">
      <c r="A901" s="79" t="s">
        <v>30</v>
      </c>
      <c r="B901" s="79" t="s">
        <v>57</v>
      </c>
      <c r="C901" s="88" t="s">
        <v>1898</v>
      </c>
      <c r="D901" s="88"/>
    </row>
    <row r="902" spans="1:4" x14ac:dyDescent="0.2">
      <c r="A902" s="80"/>
      <c r="B902" s="80"/>
      <c r="C902" s="88" t="s">
        <v>938</v>
      </c>
      <c r="D902" s="88"/>
    </row>
    <row r="903" spans="1:4" x14ac:dyDescent="0.2">
      <c r="A903" s="80"/>
      <c r="B903" s="80"/>
      <c r="C903" s="88" t="s">
        <v>1164</v>
      </c>
      <c r="D903" s="88"/>
    </row>
    <row r="904" spans="1:4" x14ac:dyDescent="0.2">
      <c r="A904" s="80"/>
      <c r="B904" s="80"/>
      <c r="C904" s="88" t="s">
        <v>1899</v>
      </c>
      <c r="D904" s="88"/>
    </row>
    <row r="905" spans="1:4" x14ac:dyDescent="0.2">
      <c r="A905" s="80"/>
      <c r="B905" s="80"/>
      <c r="C905" s="88" t="s">
        <v>1900</v>
      </c>
      <c r="D905" s="88"/>
    </row>
    <row r="906" spans="1:4" x14ac:dyDescent="0.2">
      <c r="A906" s="95" t="s">
        <v>32</v>
      </c>
      <c r="B906" s="95" t="s">
        <v>57</v>
      </c>
      <c r="C906" s="78" t="s">
        <v>1901</v>
      </c>
      <c r="D906" s="78"/>
    </row>
    <row r="907" spans="1:4" x14ac:dyDescent="0.2">
      <c r="A907" s="82"/>
      <c r="B907" s="82"/>
      <c r="C907" s="78" t="s">
        <v>937</v>
      </c>
      <c r="D907" s="78"/>
    </row>
    <row r="908" spans="1:4" x14ac:dyDescent="0.2">
      <c r="A908" s="82"/>
      <c r="B908" s="82"/>
      <c r="C908" s="89" t="s">
        <v>1902</v>
      </c>
      <c r="D908" s="89"/>
    </row>
    <row r="909" spans="1:4" x14ac:dyDescent="0.2">
      <c r="A909" s="82"/>
      <c r="B909" s="82"/>
      <c r="C909" s="89" t="s">
        <v>1903</v>
      </c>
      <c r="D909" s="89"/>
    </row>
    <row r="910" spans="1:4" x14ac:dyDescent="0.2">
      <c r="A910" s="82"/>
      <c r="B910" s="82"/>
      <c r="C910" s="89" t="s">
        <v>1904</v>
      </c>
      <c r="D910" s="89"/>
    </row>
    <row r="911" spans="1:4" x14ac:dyDescent="0.2">
      <c r="A911" s="82"/>
      <c r="B911" s="82"/>
      <c r="C911" s="89" t="s">
        <v>1905</v>
      </c>
      <c r="D911" s="89"/>
    </row>
    <row r="912" spans="1:4" x14ac:dyDescent="0.2">
      <c r="A912" s="96" t="s">
        <v>33</v>
      </c>
      <c r="B912" s="96" t="s">
        <v>57</v>
      </c>
      <c r="C912" s="81" t="s">
        <v>112</v>
      </c>
      <c r="D912" s="81"/>
    </row>
    <row r="913" spans="1:5" x14ac:dyDescent="0.2">
      <c r="A913" s="74"/>
      <c r="B913" s="74"/>
      <c r="C913" s="81" t="s">
        <v>1879</v>
      </c>
      <c r="D913" s="81"/>
    </row>
    <row r="914" spans="1:5" x14ac:dyDescent="0.2">
      <c r="A914" s="74"/>
      <c r="B914" s="74"/>
      <c r="C914" s="88" t="s">
        <v>102</v>
      </c>
      <c r="D914" s="88"/>
    </row>
    <row r="915" spans="1:5" x14ac:dyDescent="0.2">
      <c r="A915" s="74"/>
      <c r="B915" s="74"/>
      <c r="C915" s="88" t="s">
        <v>1880</v>
      </c>
      <c r="D915" s="88"/>
    </row>
    <row r="916" spans="1:5" x14ac:dyDescent="0.2">
      <c r="A916" s="74"/>
      <c r="B916" s="74"/>
      <c r="C916" s="88" t="s">
        <v>1881</v>
      </c>
      <c r="D916" s="88"/>
    </row>
    <row r="917" spans="1:5" x14ac:dyDescent="0.2">
      <c r="A917" s="74"/>
      <c r="B917" s="74"/>
      <c r="C917" s="88" t="s">
        <v>1882</v>
      </c>
      <c r="D917" s="88"/>
    </row>
    <row r="918" spans="1:5" x14ac:dyDescent="0.2">
      <c r="A918" s="74"/>
      <c r="B918" s="74"/>
      <c r="C918" s="81" t="s">
        <v>1883</v>
      </c>
      <c r="D918" s="81"/>
    </row>
    <row r="919" spans="1:5" x14ac:dyDescent="0.2">
      <c r="A919" s="74"/>
      <c r="B919" s="74"/>
      <c r="C919" s="81" t="s">
        <v>1884</v>
      </c>
      <c r="D919" s="81"/>
    </row>
    <row r="920" spans="1:5" ht="15" x14ac:dyDescent="0.2">
      <c r="A920" s="95" t="s">
        <v>34</v>
      </c>
      <c r="B920" s="95" t="s">
        <v>57</v>
      </c>
      <c r="C920" s="78" t="s">
        <v>1906</v>
      </c>
      <c r="D920" s="78"/>
      <c r="E920" s="97"/>
    </row>
    <row r="921" spans="1:5" ht="15" x14ac:dyDescent="0.2">
      <c r="A921" s="82"/>
      <c r="B921" s="82"/>
      <c r="C921" s="78" t="s">
        <v>1907</v>
      </c>
      <c r="D921" s="78"/>
      <c r="E921" s="97"/>
    </row>
    <row r="922" spans="1:5" ht="15" x14ac:dyDescent="0.2">
      <c r="A922" s="82"/>
      <c r="B922" s="82"/>
      <c r="C922" s="89" t="s">
        <v>1908</v>
      </c>
      <c r="D922" s="89"/>
      <c r="E922" s="97"/>
    </row>
    <row r="923" spans="1:5" ht="15" x14ac:dyDescent="0.2">
      <c r="A923" s="82"/>
      <c r="B923" s="82"/>
      <c r="C923" s="89" t="s">
        <v>1909</v>
      </c>
      <c r="D923" s="89"/>
      <c r="E923" s="97"/>
    </row>
    <row r="924" spans="1:5" ht="15" x14ac:dyDescent="0.2">
      <c r="A924" s="82"/>
      <c r="B924" s="82"/>
      <c r="C924" s="89" t="s">
        <v>1910</v>
      </c>
      <c r="D924" s="89"/>
      <c r="E924" s="97"/>
    </row>
    <row r="925" spans="1:5" x14ac:dyDescent="0.2">
      <c r="A925" s="82"/>
      <c r="B925" s="82"/>
      <c r="C925" s="89" t="s">
        <v>701</v>
      </c>
      <c r="D925" s="89"/>
    </row>
    <row r="926" spans="1:5" x14ac:dyDescent="0.2">
      <c r="A926" s="96" t="s">
        <v>35</v>
      </c>
      <c r="B926" s="96" t="s">
        <v>57</v>
      </c>
      <c r="C926" s="88" t="s">
        <v>1911</v>
      </c>
      <c r="D926" s="88"/>
    </row>
    <row r="927" spans="1:5" x14ac:dyDescent="0.2">
      <c r="A927" s="74"/>
      <c r="B927" s="74"/>
      <c r="C927" s="88" t="s">
        <v>1912</v>
      </c>
      <c r="D927" s="88"/>
    </row>
    <row r="928" spans="1:5" x14ac:dyDescent="0.2">
      <c r="A928" s="74"/>
      <c r="B928" s="74"/>
      <c r="C928" s="88" t="s">
        <v>1913</v>
      </c>
      <c r="D928" s="88"/>
    </row>
    <row r="929" spans="1:5" x14ac:dyDescent="0.2">
      <c r="A929" s="68" t="s">
        <v>36</v>
      </c>
      <c r="B929" s="68" t="s">
        <v>57</v>
      </c>
      <c r="C929" s="78" t="s">
        <v>1914</v>
      </c>
      <c r="D929" s="78"/>
    </row>
    <row r="930" spans="1:5" x14ac:dyDescent="0.2">
      <c r="A930" s="98"/>
      <c r="B930" s="98"/>
      <c r="C930" s="78" t="s">
        <v>202</v>
      </c>
      <c r="D930" s="78"/>
    </row>
    <row r="931" spans="1:5" x14ac:dyDescent="0.2">
      <c r="A931" s="98"/>
      <c r="B931" s="98"/>
      <c r="C931" s="89" t="s">
        <v>154</v>
      </c>
      <c r="D931" s="89"/>
    </row>
    <row r="932" spans="1:5" x14ac:dyDescent="0.2">
      <c r="A932" s="98"/>
      <c r="B932" s="98"/>
      <c r="C932" s="89" t="s">
        <v>483</v>
      </c>
      <c r="D932" s="89"/>
    </row>
    <row r="933" spans="1:5" x14ac:dyDescent="0.2">
      <c r="A933" s="98"/>
      <c r="B933" s="98"/>
      <c r="C933" s="89" t="s">
        <v>701</v>
      </c>
      <c r="D933" s="89"/>
    </row>
    <row r="934" spans="1:5" x14ac:dyDescent="0.2">
      <c r="A934" s="72" t="s">
        <v>37</v>
      </c>
      <c r="B934" s="72" t="s">
        <v>57</v>
      </c>
      <c r="C934" s="81" t="s">
        <v>154</v>
      </c>
      <c r="D934" s="81"/>
    </row>
    <row r="935" spans="1:5" x14ac:dyDescent="0.2">
      <c r="A935" s="75"/>
      <c r="B935" s="75"/>
      <c r="C935" s="81" t="s">
        <v>202</v>
      </c>
      <c r="D935" s="81"/>
    </row>
    <row r="936" spans="1:5" x14ac:dyDescent="0.2">
      <c r="A936" s="75"/>
      <c r="B936" s="75"/>
      <c r="C936" s="88" t="s">
        <v>483</v>
      </c>
      <c r="D936" s="88"/>
    </row>
    <row r="937" spans="1:5" x14ac:dyDescent="0.2">
      <c r="A937" s="75"/>
      <c r="B937" s="75"/>
      <c r="C937" s="88" t="s">
        <v>1713</v>
      </c>
      <c r="D937" s="88"/>
    </row>
    <row r="938" spans="1:5" x14ac:dyDescent="0.2">
      <c r="A938" s="75"/>
      <c r="B938" s="75"/>
      <c r="C938" s="88" t="s">
        <v>1915</v>
      </c>
      <c r="D938" s="88"/>
    </row>
    <row r="939" spans="1:5" x14ac:dyDescent="0.2">
      <c r="A939" s="75"/>
      <c r="B939" s="75"/>
      <c r="C939" s="81" t="s">
        <v>1915</v>
      </c>
      <c r="D939" s="81"/>
    </row>
    <row r="940" spans="1:5" x14ac:dyDescent="0.2">
      <c r="A940" s="75"/>
      <c r="B940" s="75"/>
      <c r="C940" s="81" t="s">
        <v>1886</v>
      </c>
      <c r="D940" s="81"/>
    </row>
    <row r="941" spans="1:5" x14ac:dyDescent="0.2">
      <c r="A941" s="75"/>
      <c r="B941" s="75"/>
      <c r="C941" s="88" t="s">
        <v>1887</v>
      </c>
      <c r="D941" s="88"/>
    </row>
    <row r="942" spans="1:5" x14ac:dyDescent="0.2">
      <c r="A942" s="75"/>
      <c r="B942" s="75"/>
      <c r="C942" s="81" t="s">
        <v>1888</v>
      </c>
      <c r="D942" s="81"/>
    </row>
    <row r="943" spans="1:5" x14ac:dyDescent="0.2">
      <c r="A943" s="75"/>
      <c r="B943" s="75"/>
      <c r="C943" s="81" t="s">
        <v>1914</v>
      </c>
      <c r="D943" s="81"/>
    </row>
    <row r="944" spans="1:5" x14ac:dyDescent="0.2">
      <c r="A944" s="75"/>
      <c r="B944" s="75"/>
      <c r="C944" s="88" t="s">
        <v>1916</v>
      </c>
      <c r="D944" s="88" t="s">
        <v>1916</v>
      </c>
      <c r="E944" s="39" t="s">
        <v>1239</v>
      </c>
    </row>
    <row r="945" spans="1:4" x14ac:dyDescent="0.2">
      <c r="A945" s="99"/>
      <c r="B945" s="99"/>
      <c r="C945" s="88" t="s">
        <v>701</v>
      </c>
      <c r="D945" s="88"/>
    </row>
    <row r="946" spans="1:4" ht="14.25" customHeight="1" x14ac:dyDescent="0.2">
      <c r="A946" s="68" t="s">
        <v>38</v>
      </c>
      <c r="B946" s="68" t="s">
        <v>57</v>
      </c>
      <c r="C946" s="78" t="s">
        <v>1917</v>
      </c>
      <c r="D946" s="78"/>
    </row>
    <row r="947" spans="1:4" x14ac:dyDescent="0.2">
      <c r="A947" s="98"/>
      <c r="B947" s="98"/>
      <c r="C947" s="78" t="s">
        <v>1918</v>
      </c>
      <c r="D947" s="78"/>
    </row>
    <row r="948" spans="1:4" x14ac:dyDescent="0.2">
      <c r="A948" s="98"/>
      <c r="B948" s="98"/>
      <c r="C948" s="89" t="s">
        <v>1919</v>
      </c>
      <c r="D948" s="89"/>
    </row>
    <row r="949" spans="1:4" x14ac:dyDescent="0.2">
      <c r="A949" s="98"/>
      <c r="B949" s="98"/>
      <c r="C949" s="89" t="s">
        <v>1920</v>
      </c>
      <c r="D949" s="89"/>
    </row>
    <row r="950" spans="1:4" x14ac:dyDescent="0.2">
      <c r="A950" s="98"/>
      <c r="B950" s="98"/>
      <c r="C950" s="89" t="s">
        <v>1921</v>
      </c>
      <c r="D950" s="89"/>
    </row>
    <row r="951" spans="1:4" x14ac:dyDescent="0.2">
      <c r="A951" s="98"/>
      <c r="B951" s="98"/>
      <c r="C951" s="78" t="s">
        <v>996</v>
      </c>
      <c r="D951" s="78"/>
    </row>
    <row r="952" spans="1:4" x14ac:dyDescent="0.2">
      <c r="A952" s="98"/>
      <c r="B952" s="98"/>
      <c r="C952" s="78" t="s">
        <v>1914</v>
      </c>
      <c r="D952" s="78"/>
    </row>
    <row r="953" spans="1:4" x14ac:dyDescent="0.2">
      <c r="A953" s="98"/>
      <c r="B953" s="98"/>
      <c r="C953" s="89" t="s">
        <v>1922</v>
      </c>
      <c r="D953" s="89" t="s">
        <v>1923</v>
      </c>
    </row>
    <row r="954" spans="1:4" x14ac:dyDescent="0.2">
      <c r="A954" s="98"/>
      <c r="B954" s="98"/>
      <c r="C954" s="89" t="s">
        <v>1893</v>
      </c>
      <c r="D954" s="89" t="s">
        <v>1894</v>
      </c>
    </row>
    <row r="955" spans="1:4" x14ac:dyDescent="0.2">
      <c r="A955" s="98"/>
      <c r="B955" s="98"/>
      <c r="C955" s="89" t="s">
        <v>701</v>
      </c>
      <c r="D955" s="89"/>
    </row>
    <row r="956" spans="1:4" x14ac:dyDescent="0.2">
      <c r="A956" s="72" t="s">
        <v>39</v>
      </c>
      <c r="B956" s="72" t="s">
        <v>57</v>
      </c>
      <c r="C956" s="88" t="s">
        <v>1924</v>
      </c>
      <c r="D956" s="88"/>
    </row>
    <row r="957" spans="1:4" x14ac:dyDescent="0.2">
      <c r="A957" s="75"/>
      <c r="B957" s="75"/>
      <c r="C957" s="88" t="s">
        <v>1080</v>
      </c>
      <c r="D957" s="88"/>
    </row>
    <row r="958" spans="1:4" x14ac:dyDescent="0.2">
      <c r="A958" s="75"/>
      <c r="B958" s="75"/>
      <c r="C958" s="88" t="s">
        <v>1104</v>
      </c>
      <c r="D958" s="88"/>
    </row>
    <row r="959" spans="1:4" x14ac:dyDescent="0.2">
      <c r="A959" s="75"/>
      <c r="B959" s="75"/>
      <c r="C959" s="88" t="s">
        <v>1037</v>
      </c>
      <c r="D959" s="88"/>
    </row>
    <row r="960" spans="1:4" x14ac:dyDescent="0.2">
      <c r="A960" s="75"/>
      <c r="B960" s="75"/>
      <c r="C960" s="88" t="s">
        <v>1057</v>
      </c>
      <c r="D960" s="88"/>
    </row>
    <row r="961" spans="1:5" x14ac:dyDescent="0.2">
      <c r="A961" s="75"/>
      <c r="B961" s="75"/>
      <c r="C961" s="88" t="s">
        <v>1050</v>
      </c>
      <c r="D961" s="88"/>
    </row>
    <row r="962" spans="1:5" x14ac:dyDescent="0.2">
      <c r="A962" s="75"/>
      <c r="B962" s="75"/>
      <c r="C962" s="88" t="s">
        <v>1044</v>
      </c>
      <c r="D962" s="88"/>
    </row>
    <row r="963" spans="1:5" x14ac:dyDescent="0.2">
      <c r="A963" s="75"/>
      <c r="B963" s="75"/>
      <c r="C963" s="88" t="s">
        <v>1796</v>
      </c>
      <c r="D963" s="88"/>
      <c r="E963" s="39" t="s">
        <v>1239</v>
      </c>
    </row>
    <row r="964" spans="1:5" x14ac:dyDescent="0.2">
      <c r="A964" s="68" t="s">
        <v>41</v>
      </c>
      <c r="B964" s="68" t="s">
        <v>57</v>
      </c>
      <c r="C964" s="89" t="s">
        <v>1898</v>
      </c>
      <c r="D964" s="89"/>
    </row>
    <row r="965" spans="1:5" x14ac:dyDescent="0.2">
      <c r="A965" s="98"/>
      <c r="B965" s="98"/>
      <c r="C965" s="89" t="s">
        <v>938</v>
      </c>
      <c r="D965" s="89"/>
    </row>
    <row r="966" spans="1:5" x14ac:dyDescent="0.2">
      <c r="A966" s="98"/>
      <c r="B966" s="98"/>
      <c r="C966" s="89" t="s">
        <v>1164</v>
      </c>
      <c r="D966" s="89"/>
    </row>
    <row r="967" spans="1:5" x14ac:dyDescent="0.2">
      <c r="A967" s="98"/>
      <c r="B967" s="98"/>
      <c r="C967" s="89" t="s">
        <v>1899</v>
      </c>
      <c r="D967" s="89"/>
    </row>
    <row r="968" spans="1:5" x14ac:dyDescent="0.2">
      <c r="A968" s="98"/>
      <c r="B968" s="98"/>
      <c r="C968" s="89" t="s">
        <v>1900</v>
      </c>
      <c r="D968" s="89"/>
    </row>
    <row r="969" spans="1:5" x14ac:dyDescent="0.2">
      <c r="A969" s="98"/>
      <c r="B969" s="98"/>
      <c r="C969" s="89" t="s">
        <v>1925</v>
      </c>
      <c r="D969" s="89"/>
      <c r="E969" s="39" t="s">
        <v>1239</v>
      </c>
    </row>
    <row r="970" spans="1:5" x14ac:dyDescent="0.2">
      <c r="A970" s="72" t="s">
        <v>43</v>
      </c>
      <c r="B970" s="72" t="s">
        <v>57</v>
      </c>
      <c r="C970" s="88" t="s">
        <v>1926</v>
      </c>
      <c r="D970" s="88"/>
    </row>
    <row r="971" spans="1:5" x14ac:dyDescent="0.2">
      <c r="A971" s="75"/>
      <c r="B971" s="75"/>
      <c r="C971" s="88" t="s">
        <v>1927</v>
      </c>
      <c r="D971" s="88"/>
    </row>
    <row r="972" spans="1:5" x14ac:dyDescent="0.2">
      <c r="A972" s="75"/>
      <c r="B972" s="75"/>
      <c r="C972" s="88" t="s">
        <v>1928</v>
      </c>
      <c r="D972" s="88"/>
    </row>
    <row r="973" spans="1:5" x14ac:dyDescent="0.2">
      <c r="A973" s="75"/>
      <c r="B973" s="75"/>
      <c r="C973" s="88" t="s">
        <v>1929</v>
      </c>
      <c r="D973" s="88"/>
    </row>
    <row r="974" spans="1:5" x14ac:dyDescent="0.2">
      <c r="A974" s="75"/>
      <c r="B974" s="75"/>
      <c r="C974" s="88" t="s">
        <v>1930</v>
      </c>
      <c r="D974" s="88"/>
    </row>
    <row r="975" spans="1:5" x14ac:dyDescent="0.2">
      <c r="A975" s="75"/>
      <c r="B975" s="75"/>
      <c r="C975" s="88" t="s">
        <v>1931</v>
      </c>
      <c r="D975" s="88"/>
    </row>
    <row r="976" spans="1:5" x14ac:dyDescent="0.2">
      <c r="A976" s="99"/>
      <c r="B976" s="99"/>
      <c r="C976" s="88" t="s">
        <v>701</v>
      </c>
      <c r="D976" s="88"/>
    </row>
    <row r="977" spans="1:5" x14ac:dyDescent="0.2">
      <c r="A977" s="68" t="s">
        <v>42</v>
      </c>
      <c r="B977" s="68" t="s">
        <v>57</v>
      </c>
      <c r="C977" s="89" t="s">
        <v>1932</v>
      </c>
      <c r="D977" s="89"/>
      <c r="E977" s="39" t="s">
        <v>1933</v>
      </c>
    </row>
    <row r="978" spans="1:5" x14ac:dyDescent="0.2">
      <c r="A978" s="98"/>
      <c r="B978" s="98"/>
      <c r="C978" s="89" t="s">
        <v>1934</v>
      </c>
      <c r="D978" s="89"/>
    </row>
    <row r="979" spans="1:5" x14ac:dyDescent="0.2">
      <c r="A979" s="98"/>
      <c r="B979" s="98"/>
      <c r="C979" s="89" t="s">
        <v>1163</v>
      </c>
      <c r="D979" s="89"/>
    </row>
    <row r="980" spans="1:5" x14ac:dyDescent="0.2">
      <c r="A980" s="98"/>
      <c r="B980" s="98"/>
      <c r="C980" s="89" t="s">
        <v>1935</v>
      </c>
      <c r="D980" s="89"/>
    </row>
    <row r="981" spans="1:5" x14ac:dyDescent="0.2">
      <c r="A981" s="98"/>
      <c r="B981" s="98"/>
      <c r="C981" s="89" t="s">
        <v>1936</v>
      </c>
      <c r="D981" s="89"/>
    </row>
    <row r="982" spans="1:5" x14ac:dyDescent="0.2">
      <c r="A982" s="98"/>
      <c r="B982" s="98"/>
      <c r="C982" s="89" t="s">
        <v>1937</v>
      </c>
      <c r="D982" s="89"/>
    </row>
    <row r="983" spans="1:5" x14ac:dyDescent="0.2">
      <c r="A983" s="98"/>
      <c r="B983" s="98"/>
      <c r="C983" s="89" t="s">
        <v>1938</v>
      </c>
      <c r="D983" s="89"/>
    </row>
    <row r="984" spans="1:5" x14ac:dyDescent="0.2">
      <c r="A984" s="98"/>
      <c r="B984" s="98"/>
      <c r="C984" s="89" t="s">
        <v>1939</v>
      </c>
      <c r="D984" s="89"/>
    </row>
    <row r="985" spans="1:5" x14ac:dyDescent="0.2">
      <c r="A985" s="98"/>
      <c r="B985" s="98"/>
      <c r="C985" s="89" t="s">
        <v>1940</v>
      </c>
      <c r="D985" s="89" t="s">
        <v>1941</v>
      </c>
      <c r="E985" s="39" t="s">
        <v>1239</v>
      </c>
    </row>
    <row r="986" spans="1:5" x14ac:dyDescent="0.2">
      <c r="A986" s="72" t="s">
        <v>44</v>
      </c>
      <c r="B986" s="72" t="s">
        <v>57</v>
      </c>
      <c r="C986" s="88" t="s">
        <v>1901</v>
      </c>
      <c r="D986" s="88"/>
    </row>
    <row r="987" spans="1:5" x14ac:dyDescent="0.2">
      <c r="A987" s="75"/>
      <c r="B987" s="75"/>
      <c r="C987" s="88" t="s">
        <v>937</v>
      </c>
      <c r="D987" s="88"/>
    </row>
    <row r="988" spans="1:5" x14ac:dyDescent="0.2">
      <c r="A988" s="75"/>
      <c r="B988" s="75"/>
      <c r="C988" s="88" t="s">
        <v>1942</v>
      </c>
      <c r="D988" s="88"/>
    </row>
    <row r="989" spans="1:5" x14ac:dyDescent="0.2">
      <c r="A989" s="75"/>
      <c r="B989" s="75"/>
      <c r="C989" s="88" t="s">
        <v>1943</v>
      </c>
      <c r="D989" s="88"/>
    </row>
    <row r="990" spans="1:5" x14ac:dyDescent="0.2">
      <c r="A990" s="75"/>
      <c r="B990" s="75"/>
      <c r="C990" s="88" t="s">
        <v>1944</v>
      </c>
      <c r="D990" s="88"/>
    </row>
    <row r="991" spans="1:5" x14ac:dyDescent="0.2">
      <c r="A991" s="75"/>
      <c r="B991" s="75"/>
      <c r="C991" s="88" t="s">
        <v>1945</v>
      </c>
      <c r="D991" s="88"/>
    </row>
    <row r="992" spans="1:5" x14ac:dyDescent="0.2">
      <c r="A992" s="68" t="s">
        <v>45</v>
      </c>
      <c r="B992" s="68" t="s">
        <v>57</v>
      </c>
      <c r="C992" s="89" t="s">
        <v>202</v>
      </c>
      <c r="D992" s="89"/>
    </row>
    <row r="993" spans="1:5" x14ac:dyDescent="0.2">
      <c r="A993" s="98"/>
      <c r="B993" s="98"/>
      <c r="C993" s="89" t="s">
        <v>154</v>
      </c>
      <c r="D993" s="89"/>
    </row>
    <row r="994" spans="1:5" x14ac:dyDescent="0.2">
      <c r="A994" s="98"/>
      <c r="B994" s="98"/>
      <c r="C994" s="89" t="s">
        <v>1884</v>
      </c>
      <c r="D994" s="89"/>
    </row>
    <row r="995" spans="1:5" x14ac:dyDescent="0.2">
      <c r="A995" s="98"/>
      <c r="B995" s="98"/>
      <c r="C995" s="89" t="s">
        <v>483</v>
      </c>
      <c r="D995" s="89"/>
    </row>
    <row r="996" spans="1:5" x14ac:dyDescent="0.2">
      <c r="A996" s="98"/>
      <c r="B996" s="98"/>
      <c r="C996" s="89" t="s">
        <v>1946</v>
      </c>
      <c r="D996" s="89" t="s">
        <v>1947</v>
      </c>
    </row>
    <row r="997" spans="1:5" x14ac:dyDescent="0.2">
      <c r="A997" s="98"/>
      <c r="B997" s="98"/>
      <c r="C997" s="89" t="s">
        <v>701</v>
      </c>
      <c r="D997" s="89"/>
    </row>
    <row r="998" spans="1:5" x14ac:dyDescent="0.2">
      <c r="A998" s="72" t="s">
        <v>46</v>
      </c>
      <c r="B998" s="72" t="s">
        <v>57</v>
      </c>
      <c r="C998" s="88" t="s">
        <v>1948</v>
      </c>
      <c r="D998" s="88"/>
      <c r="E998" s="39" t="s">
        <v>1933</v>
      </c>
    </row>
    <row r="999" spans="1:5" x14ac:dyDescent="0.2">
      <c r="A999" s="75"/>
      <c r="B999" s="75"/>
      <c r="C999" s="88" t="s">
        <v>1949</v>
      </c>
      <c r="D999" s="88"/>
    </row>
    <row r="1000" spans="1:5" x14ac:dyDescent="0.2">
      <c r="A1000" s="68" t="s">
        <v>48</v>
      </c>
      <c r="B1000" s="68" t="s">
        <v>57</v>
      </c>
      <c r="C1000" s="89" t="s">
        <v>1950</v>
      </c>
      <c r="D1000" s="89"/>
    </row>
    <row r="1001" spans="1:5" x14ac:dyDescent="0.2">
      <c r="A1001" s="98"/>
      <c r="B1001" s="98"/>
      <c r="C1001" s="89" t="s">
        <v>1951</v>
      </c>
      <c r="D1001" s="89"/>
    </row>
    <row r="1002" spans="1:5" x14ac:dyDescent="0.2">
      <c r="A1002" s="98"/>
      <c r="B1002" s="98"/>
      <c r="C1002" s="89" t="s">
        <v>1952</v>
      </c>
      <c r="D1002" s="89"/>
    </row>
    <row r="1003" spans="1:5" x14ac:dyDescent="0.2">
      <c r="A1003" s="98"/>
      <c r="B1003" s="98"/>
      <c r="C1003" s="89" t="s">
        <v>1953</v>
      </c>
      <c r="D1003" s="89"/>
      <c r="E1003" s="39" t="s">
        <v>1239</v>
      </c>
    </row>
    <row r="1004" spans="1:5" x14ac:dyDescent="0.2">
      <c r="A1004" s="98"/>
      <c r="B1004" s="98"/>
      <c r="C1004" s="89" t="s">
        <v>1954</v>
      </c>
      <c r="D1004" s="89"/>
    </row>
    <row r="1005" spans="1:5" x14ac:dyDescent="0.2">
      <c r="A1005" s="98"/>
      <c r="B1005" s="98"/>
      <c r="C1005" s="89" t="s">
        <v>1955</v>
      </c>
      <c r="D1005" s="89"/>
    </row>
    <row r="1006" spans="1:5" x14ac:dyDescent="0.2">
      <c r="A1006" s="98"/>
      <c r="B1006" s="98"/>
      <c r="C1006" s="89" t="s">
        <v>1956</v>
      </c>
      <c r="D1006" s="89"/>
      <c r="E1006" s="39" t="s">
        <v>1239</v>
      </c>
    </row>
    <row r="1007" spans="1:5" x14ac:dyDescent="0.2">
      <c r="A1007" s="98"/>
      <c r="B1007" s="98"/>
      <c r="C1007" s="89" t="s">
        <v>1957</v>
      </c>
      <c r="D1007" s="89"/>
    </row>
    <row r="1008" spans="1:5" x14ac:dyDescent="0.2">
      <c r="A1008" s="98"/>
      <c r="B1008" s="98"/>
      <c r="C1008" s="89" t="s">
        <v>1958</v>
      </c>
      <c r="D1008" s="89"/>
    </row>
    <row r="1009" spans="1:4" x14ac:dyDescent="0.2">
      <c r="A1009" s="98"/>
      <c r="B1009" s="98"/>
      <c r="C1009" s="89" t="s">
        <v>1959</v>
      </c>
      <c r="D1009" s="89"/>
    </row>
    <row r="1010" spans="1:4" x14ac:dyDescent="0.2">
      <c r="A1010" s="98"/>
      <c r="B1010" s="98"/>
      <c r="C1010" s="89" t="s">
        <v>1960</v>
      </c>
      <c r="D1010" s="89"/>
    </row>
    <row r="1011" spans="1:4" x14ac:dyDescent="0.2">
      <c r="A1011" s="98"/>
      <c r="B1011" s="98"/>
      <c r="C1011" s="89" t="s">
        <v>1961</v>
      </c>
      <c r="D1011" s="89"/>
    </row>
    <row r="1012" spans="1:4" x14ac:dyDescent="0.2">
      <c r="A1012" s="98"/>
      <c r="B1012" s="98"/>
      <c r="C1012" s="89" t="s">
        <v>1962</v>
      </c>
      <c r="D1012" s="89"/>
    </row>
    <row r="1013" spans="1:4" x14ac:dyDescent="0.2">
      <c r="A1013" s="98"/>
      <c r="B1013" s="98"/>
      <c r="C1013" s="89" t="s">
        <v>1963</v>
      </c>
      <c r="D1013" s="89"/>
    </row>
    <row r="1014" spans="1:4" x14ac:dyDescent="0.2">
      <c r="A1014" s="98"/>
      <c r="B1014" s="98"/>
      <c r="C1014" s="89" t="s">
        <v>1964</v>
      </c>
      <c r="D1014" s="89"/>
    </row>
    <row r="1015" spans="1:4" x14ac:dyDescent="0.2">
      <c r="A1015" s="98"/>
      <c r="B1015" s="98"/>
      <c r="C1015" s="89" t="s">
        <v>1965</v>
      </c>
      <c r="D1015" s="89"/>
    </row>
    <row r="1016" spans="1:4" x14ac:dyDescent="0.2">
      <c r="A1016" s="98"/>
      <c r="B1016" s="98"/>
      <c r="C1016" s="89" t="s">
        <v>1966</v>
      </c>
      <c r="D1016" s="89"/>
    </row>
    <row r="1017" spans="1:4" x14ac:dyDescent="0.2">
      <c r="A1017" s="98"/>
      <c r="B1017" s="98"/>
      <c r="C1017" s="89" t="s">
        <v>1967</v>
      </c>
      <c r="D1017" s="89"/>
    </row>
    <row r="1018" spans="1:4" x14ac:dyDescent="0.2">
      <c r="A1018" s="98"/>
      <c r="B1018" s="98"/>
      <c r="C1018" s="89" t="s">
        <v>1968</v>
      </c>
      <c r="D1018" s="89"/>
    </row>
    <row r="1019" spans="1:4" x14ac:dyDescent="0.2">
      <c r="A1019" s="98"/>
      <c r="B1019" s="98"/>
      <c r="C1019" s="89" t="s">
        <v>1969</v>
      </c>
      <c r="D1019" s="89"/>
    </row>
    <row r="1020" spans="1:4" x14ac:dyDescent="0.2">
      <c r="A1020" s="98"/>
      <c r="B1020" s="98"/>
      <c r="C1020" s="89" t="s">
        <v>1970</v>
      </c>
      <c r="D1020" s="89"/>
    </row>
    <row r="1021" spans="1:4" x14ac:dyDescent="0.2">
      <c r="A1021" s="98"/>
      <c r="B1021" s="98"/>
      <c r="C1021" s="89" t="s">
        <v>1971</v>
      </c>
      <c r="D1021" s="89"/>
    </row>
    <row r="1022" spans="1:4" x14ac:dyDescent="0.2">
      <c r="A1022" s="98"/>
      <c r="B1022" s="98"/>
      <c r="C1022" s="89" t="s">
        <v>1972</v>
      </c>
      <c r="D1022" s="89"/>
    </row>
    <row r="1023" spans="1:4" x14ac:dyDescent="0.2">
      <c r="A1023" s="98"/>
      <c r="B1023" s="98"/>
      <c r="C1023" s="89" t="s">
        <v>1973</v>
      </c>
      <c r="D1023" s="89"/>
    </row>
    <row r="1024" spans="1:4" x14ac:dyDescent="0.2">
      <c r="A1024" s="98"/>
      <c r="B1024" s="98"/>
      <c r="C1024" s="89" t="s">
        <v>1974</v>
      </c>
      <c r="D1024" s="89"/>
    </row>
    <row r="1025" spans="1:5" x14ac:dyDescent="0.2">
      <c r="A1025" s="98"/>
      <c r="B1025" s="98"/>
      <c r="C1025" s="89" t="s">
        <v>1975</v>
      </c>
      <c r="D1025" s="89"/>
    </row>
    <row r="1026" spans="1:5" x14ac:dyDescent="0.2">
      <c r="A1026" s="98"/>
      <c r="B1026" s="98"/>
      <c r="C1026" s="89" t="s">
        <v>1976</v>
      </c>
      <c r="D1026" s="89"/>
    </row>
    <row r="1027" spans="1:5" x14ac:dyDescent="0.2">
      <c r="A1027" s="98"/>
      <c r="B1027" s="98"/>
      <c r="C1027" s="89" t="s">
        <v>1977</v>
      </c>
      <c r="D1027" s="89"/>
    </row>
    <row r="1028" spans="1:5" x14ac:dyDescent="0.2">
      <c r="A1028" s="98"/>
      <c r="B1028" s="98"/>
      <c r="C1028" s="89" t="s">
        <v>1978</v>
      </c>
      <c r="D1028" s="89"/>
    </row>
    <row r="1029" spans="1:5" x14ac:dyDescent="0.2">
      <c r="A1029" s="98"/>
      <c r="B1029" s="98"/>
      <c r="C1029" s="89" t="s">
        <v>1979</v>
      </c>
      <c r="D1029" s="89"/>
    </row>
    <row r="1030" spans="1:5" x14ac:dyDescent="0.2">
      <c r="A1030" s="98"/>
      <c r="B1030" s="98"/>
      <c r="C1030" s="89" t="s">
        <v>1980</v>
      </c>
      <c r="D1030" s="89"/>
    </row>
    <row r="1031" spans="1:5" x14ac:dyDescent="0.2">
      <c r="A1031" s="98"/>
      <c r="B1031" s="98"/>
      <c r="C1031" s="100" t="s">
        <v>1981</v>
      </c>
      <c r="D1031" s="89"/>
      <c r="E1031" s="39" t="s">
        <v>1239</v>
      </c>
    </row>
    <row r="1032" spans="1:5" x14ac:dyDescent="0.2">
      <c r="A1032" s="98"/>
      <c r="B1032" s="98"/>
      <c r="C1032" s="89" t="s">
        <v>1982</v>
      </c>
      <c r="D1032" s="89"/>
    </row>
    <row r="1033" spans="1:5" x14ac:dyDescent="0.2">
      <c r="A1033" s="98"/>
      <c r="B1033" s="98"/>
      <c r="C1033" s="89" t="s">
        <v>701</v>
      </c>
      <c r="D1033" s="89"/>
    </row>
    <row r="1034" spans="1:5" x14ac:dyDescent="0.2">
      <c r="A1034" s="79" t="s">
        <v>47</v>
      </c>
      <c r="B1034" s="79" t="s">
        <v>57</v>
      </c>
      <c r="C1034" s="88" t="s">
        <v>1983</v>
      </c>
      <c r="D1034" s="88"/>
      <c r="E1034" s="39" t="s">
        <v>1933</v>
      </c>
    </row>
    <row r="1035" spans="1:5" x14ac:dyDescent="0.2">
      <c r="A1035" s="80"/>
      <c r="B1035" s="80"/>
      <c r="C1035" s="88" t="s">
        <v>1984</v>
      </c>
      <c r="D1035" s="88"/>
    </row>
    <row r="1036" spans="1:5" x14ac:dyDescent="0.2">
      <c r="A1036" s="80"/>
      <c r="B1036" s="80"/>
      <c r="C1036" s="88" t="s">
        <v>701</v>
      </c>
      <c r="D1036" s="88"/>
    </row>
    <row r="1037" spans="1:5" x14ac:dyDescent="0.2">
      <c r="A1037" s="68" t="s">
        <v>1985</v>
      </c>
      <c r="B1037" s="68" t="s">
        <v>57</v>
      </c>
      <c r="C1037" s="89" t="s">
        <v>1225</v>
      </c>
      <c r="D1037" s="89"/>
    </row>
    <row r="1038" spans="1:5" x14ac:dyDescent="0.2">
      <c r="A1038" s="98"/>
      <c r="B1038" s="98"/>
      <c r="C1038" s="89" t="s">
        <v>1986</v>
      </c>
      <c r="D1038" s="89" t="s">
        <v>1987</v>
      </c>
    </row>
    <row r="1039" spans="1:5" x14ac:dyDescent="0.2">
      <c r="A1039" s="98"/>
      <c r="B1039" s="98"/>
      <c r="C1039" s="89" t="s">
        <v>1988</v>
      </c>
      <c r="D1039" s="89" t="s">
        <v>1989</v>
      </c>
    </row>
    <row r="1040" spans="1:5" x14ac:dyDescent="0.2">
      <c r="A1040" s="98"/>
      <c r="B1040" s="98"/>
      <c r="C1040" s="89" t="s">
        <v>1990</v>
      </c>
      <c r="D1040" s="89" t="s">
        <v>1991</v>
      </c>
    </row>
    <row r="1044" s="39" customFormat="1" x14ac:dyDescent="0.2"/>
    <row r="1045" s="39" customFormat="1" x14ac:dyDescent="0.2"/>
    <row r="1046" s="39" customFormat="1" x14ac:dyDescent="0.2"/>
    <row r="1047" s="39" customFormat="1" x14ac:dyDescent="0.2"/>
    <row r="1073" s="39" customFormat="1" x14ac:dyDescent="0.2"/>
    <row r="1074" s="39" customFormat="1" x14ac:dyDescent="0.2"/>
    <row r="1075" s="39" customFormat="1" x14ac:dyDescent="0.2"/>
    <row r="1076" s="39" customFormat="1" x14ac:dyDescent="0.2"/>
    <row r="1077" s="39" customFormat="1" x14ac:dyDescent="0.2"/>
    <row r="1078" s="39" customFormat="1" x14ac:dyDescent="0.2"/>
    <row r="1079" s="39" customFormat="1" x14ac:dyDescent="0.2"/>
    <row r="1080" s="39" customFormat="1" x14ac:dyDescent="0.2"/>
    <row r="1081" s="39" customFormat="1" x14ac:dyDescent="0.2"/>
    <row r="1082" s="39" customFormat="1" x14ac:dyDescent="0.2"/>
    <row r="1083" s="39" customFormat="1" x14ac:dyDescent="0.2"/>
    <row r="1084" s="39" customFormat="1" x14ac:dyDescent="0.2"/>
    <row r="1085" s="39" customFormat="1" x14ac:dyDescent="0.2"/>
    <row r="1086" s="39" customFormat="1" x14ac:dyDescent="0.2"/>
    <row r="1087" s="39" customFormat="1" x14ac:dyDescent="0.2"/>
    <row r="1088" s="39" customFormat="1" x14ac:dyDescent="0.2"/>
    <row r="1089" s="39" customFormat="1" x14ac:dyDescent="0.2"/>
    <row r="1090" s="39" customFormat="1" x14ac:dyDescent="0.2"/>
    <row r="1091" s="39" customFormat="1" x14ac:dyDescent="0.2"/>
    <row r="1092" s="39" customFormat="1" x14ac:dyDescent="0.2"/>
    <row r="1093" s="39" customFormat="1" x14ac:dyDescent="0.2"/>
    <row r="1094" s="39" customFormat="1" x14ac:dyDescent="0.2"/>
    <row r="1095" s="39" customFormat="1" x14ac:dyDescent="0.2"/>
    <row r="1096" s="39" customFormat="1" x14ac:dyDescent="0.2"/>
    <row r="1097" s="39" customFormat="1" x14ac:dyDescent="0.2"/>
    <row r="1098" s="39" customFormat="1" x14ac:dyDescent="0.2"/>
    <row r="1099" s="39" customFormat="1" x14ac:dyDescent="0.2"/>
    <row r="1100" s="39" customFormat="1" x14ac:dyDescent="0.2"/>
    <row r="1101" s="39" customFormat="1" x14ac:dyDescent="0.2"/>
    <row r="1102" s="39" customFormat="1" x14ac:dyDescent="0.2"/>
    <row r="1103" s="39" customFormat="1" x14ac:dyDescent="0.2"/>
    <row r="1104" s="39" customFormat="1" x14ac:dyDescent="0.2"/>
    <row r="1105" s="39" customFormat="1" x14ac:dyDescent="0.2"/>
    <row r="1106" s="39" customFormat="1" x14ac:dyDescent="0.2"/>
    <row r="1107" s="39" customFormat="1" x14ac:dyDescent="0.2"/>
    <row r="1108" s="39" customFormat="1" x14ac:dyDescent="0.2"/>
    <row r="1109" s="39" customFormat="1" x14ac:dyDescent="0.2"/>
    <row r="1110" s="39" customFormat="1" x14ac:dyDescent="0.2"/>
    <row r="1111" s="39" customFormat="1" x14ac:dyDescent="0.2"/>
    <row r="1112" s="39" customFormat="1" x14ac:dyDescent="0.2"/>
    <row r="1113" s="39" customFormat="1" x14ac:dyDescent="0.2"/>
    <row r="1114" s="39" customFormat="1" x14ac:dyDescent="0.2"/>
    <row r="1115" s="39" customFormat="1" x14ac:dyDescent="0.2"/>
    <row r="1116" s="39" customFormat="1" x14ac:dyDescent="0.2"/>
    <row r="1117" s="39" customFormat="1" x14ac:dyDescent="0.2"/>
    <row r="1118" s="39" customFormat="1" x14ac:dyDescent="0.2"/>
    <row r="1119" s="39" customFormat="1" x14ac:dyDescent="0.2"/>
    <row r="1120" s="39" customFormat="1" x14ac:dyDescent="0.2"/>
    <row r="1121" s="39" customFormat="1" x14ac:dyDescent="0.2"/>
    <row r="1122" s="39" customFormat="1" x14ac:dyDescent="0.2"/>
    <row r="1123" s="39" customFormat="1" x14ac:dyDescent="0.2"/>
    <row r="1124" s="39" customFormat="1" x14ac:dyDescent="0.2"/>
    <row r="1125" s="39" customFormat="1" x14ac:dyDescent="0.2"/>
    <row r="1126" s="39" customFormat="1" x14ac:dyDescent="0.2"/>
    <row r="1129" s="39" customFormat="1" x14ac:dyDescent="0.2"/>
    <row r="1130" s="39" customFormat="1" x14ac:dyDescent="0.2"/>
    <row r="1131" s="39" customFormat="1" x14ac:dyDescent="0.2"/>
    <row r="1132" s="39" customFormat="1" x14ac:dyDescent="0.2"/>
    <row r="1133" s="39" customFormat="1" x14ac:dyDescent="0.2"/>
    <row r="1134" s="39" customFormat="1" x14ac:dyDescent="0.2"/>
    <row r="1135" s="39" customFormat="1" x14ac:dyDescent="0.2"/>
    <row r="1136" s="39" customFormat="1" x14ac:dyDescent="0.2"/>
    <row r="1137" s="39" customFormat="1" x14ac:dyDescent="0.2"/>
    <row r="1138" s="39" customFormat="1" x14ac:dyDescent="0.2"/>
    <row r="1139" s="39" customFormat="1" x14ac:dyDescent="0.2"/>
    <row r="1140" s="39" customFormat="1" x14ac:dyDescent="0.2"/>
    <row r="1141" s="39" customFormat="1" x14ac:dyDescent="0.2"/>
    <row r="1142" s="39" customFormat="1" x14ac:dyDescent="0.2"/>
    <row r="1143" s="39" customFormat="1" x14ac:dyDescent="0.2"/>
    <row r="1144" s="39" customFormat="1" x14ac:dyDescent="0.2"/>
    <row r="1145" s="39" customFormat="1" x14ac:dyDescent="0.2"/>
    <row r="1146" s="39" customFormat="1" x14ac:dyDescent="0.2"/>
    <row r="1147" s="39" customFormat="1" x14ac:dyDescent="0.2"/>
    <row r="1148" s="39" customFormat="1" x14ac:dyDescent="0.2"/>
    <row r="1149" s="39" customFormat="1" x14ac:dyDescent="0.2"/>
    <row r="1150" s="39" customFormat="1" x14ac:dyDescent="0.2"/>
    <row r="1151" s="39" customFormat="1" x14ac:dyDescent="0.2"/>
    <row r="1152" s="39" customFormat="1" x14ac:dyDescent="0.2"/>
    <row r="1153" s="39" customFormat="1" x14ac:dyDescent="0.2"/>
    <row r="1154" s="39" customFormat="1" x14ac:dyDescent="0.2"/>
    <row r="1155" s="39" customFormat="1" x14ac:dyDescent="0.2"/>
    <row r="1156" s="39" customFormat="1" x14ac:dyDescent="0.2"/>
    <row r="1157" s="39" customFormat="1" x14ac:dyDescent="0.2"/>
    <row r="1158" s="39" customFormat="1" x14ac:dyDescent="0.2"/>
    <row r="1159" s="39" customFormat="1" x14ac:dyDescent="0.2"/>
    <row r="1160" s="39" customFormat="1" x14ac:dyDescent="0.2"/>
    <row r="1161" s="39" customFormat="1" x14ac:dyDescent="0.2"/>
    <row r="1162" s="39" customFormat="1" x14ac:dyDescent="0.2"/>
    <row r="1163" s="39" customFormat="1" ht="14.45" customHeight="1" x14ac:dyDescent="0.2"/>
    <row r="1164" s="39" customFormat="1" x14ac:dyDescent="0.2"/>
    <row r="1165" s="39" customFormat="1" x14ac:dyDescent="0.2"/>
    <row r="1166" s="39" customFormat="1" x14ac:dyDescent="0.2"/>
    <row r="1167" s="39" customFormat="1" x14ac:dyDescent="0.2"/>
    <row r="1168" s="39" customFormat="1" x14ac:dyDescent="0.2"/>
    <row r="1169" s="39" customFormat="1" x14ac:dyDescent="0.2"/>
    <row r="1170" s="39" customFormat="1" x14ac:dyDescent="0.2"/>
    <row r="1171" s="39" customFormat="1" x14ac:dyDescent="0.2"/>
    <row r="1172" s="39" customFormat="1" x14ac:dyDescent="0.2"/>
    <row r="1173" s="39" customFormat="1" x14ac:dyDescent="0.2"/>
    <row r="1174" s="39" customFormat="1" x14ac:dyDescent="0.2"/>
    <row r="1175" s="39" customFormat="1" x14ac:dyDescent="0.2"/>
    <row r="1176" s="39" customFormat="1" x14ac:dyDescent="0.2"/>
    <row r="1177" s="39" customFormat="1" x14ac:dyDescent="0.2"/>
    <row r="1178" s="39" customFormat="1" x14ac:dyDescent="0.2"/>
    <row r="1179" s="39" customFormat="1" x14ac:dyDescent="0.2"/>
    <row r="1180" s="39" customFormat="1" x14ac:dyDescent="0.2"/>
    <row r="1181" s="39" customFormat="1" x14ac:dyDescent="0.2"/>
    <row r="1182" s="39" customFormat="1" x14ac:dyDescent="0.2"/>
    <row r="1183" s="39" customFormat="1" x14ac:dyDescent="0.2"/>
    <row r="1184" s="39" customFormat="1" x14ac:dyDescent="0.2"/>
    <row r="1185" s="39" customFormat="1" x14ac:dyDescent="0.2"/>
    <row r="1186" s="39" customFormat="1" x14ac:dyDescent="0.2"/>
    <row r="1187" s="39" customFormat="1" x14ac:dyDescent="0.2"/>
    <row r="1188" s="39" customFormat="1" x14ac:dyDescent="0.2"/>
    <row r="1189" s="39" customFormat="1" x14ac:dyDescent="0.2"/>
    <row r="1190" s="39" customFormat="1" x14ac:dyDescent="0.2"/>
    <row r="1191" s="39" customFormat="1" x14ac:dyDescent="0.2"/>
    <row r="1192" s="39" customFormat="1" x14ac:dyDescent="0.2"/>
    <row r="1193" s="39" customFormat="1" x14ac:dyDescent="0.2"/>
    <row r="1194" s="39" customFormat="1" x14ac:dyDescent="0.2"/>
    <row r="1195" s="39" customFormat="1" x14ac:dyDescent="0.2"/>
    <row r="1196" s="39" customFormat="1" x14ac:dyDescent="0.2"/>
    <row r="1197" s="39" customFormat="1" x14ac:dyDescent="0.2"/>
    <row r="1198" s="39" customFormat="1" x14ac:dyDescent="0.2"/>
    <row r="1199" s="39" customFormat="1" x14ac:dyDescent="0.2"/>
    <row r="1200" s="39" customFormat="1" x14ac:dyDescent="0.2"/>
    <row r="1201" s="39" customFormat="1" x14ac:dyDescent="0.2"/>
    <row r="1202" s="39" customFormat="1" x14ac:dyDescent="0.2"/>
    <row r="1203" s="39" customFormat="1" x14ac:dyDescent="0.2"/>
    <row r="1204" s="39" customFormat="1" x14ac:dyDescent="0.2"/>
    <row r="1205" s="39" customFormat="1" x14ac:dyDescent="0.2"/>
    <row r="1206" s="39" customFormat="1" x14ac:dyDescent="0.2"/>
    <row r="1207" s="39" customFormat="1" x14ac:dyDescent="0.2"/>
    <row r="1208" s="39" customFormat="1" x14ac:dyDescent="0.2"/>
    <row r="1209" s="39" customFormat="1" x14ac:dyDescent="0.2"/>
    <row r="1210" s="39" customFormat="1" x14ac:dyDescent="0.2"/>
    <row r="1211" s="39" customFormat="1" x14ac:dyDescent="0.2"/>
    <row r="1212" s="39" customFormat="1" x14ac:dyDescent="0.2"/>
    <row r="1213" s="39" customFormat="1" x14ac:dyDescent="0.2"/>
    <row r="1214" s="39" customFormat="1" x14ac:dyDescent="0.2"/>
    <row r="1215" s="39" customFormat="1" x14ac:dyDescent="0.2"/>
    <row r="1216" s="39" customFormat="1" x14ac:dyDescent="0.2"/>
    <row r="1217" s="39" customFormat="1" x14ac:dyDescent="0.2"/>
    <row r="1218" s="39" customFormat="1" x14ac:dyDescent="0.2"/>
    <row r="1219" s="39" customFormat="1" x14ac:dyDescent="0.2"/>
    <row r="1220" s="39" customFormat="1" x14ac:dyDescent="0.2"/>
    <row r="1221" s="39" customFormat="1" x14ac:dyDescent="0.2"/>
    <row r="1222" s="39" customFormat="1" x14ac:dyDescent="0.2"/>
    <row r="1223" s="39" customFormat="1" x14ac:dyDescent="0.2"/>
    <row r="1224" s="39" customFormat="1" x14ac:dyDescent="0.2"/>
    <row r="1225" s="39" customFormat="1" x14ac:dyDescent="0.2"/>
    <row r="1226" s="39" customFormat="1" x14ac:dyDescent="0.2"/>
    <row r="1227" s="39" customFormat="1" x14ac:dyDescent="0.2"/>
    <row r="1228" s="39" customFormat="1" x14ac:dyDescent="0.2"/>
    <row r="1229" s="39" customFormat="1" x14ac:dyDescent="0.2"/>
    <row r="1230" s="39" customFormat="1" x14ac:dyDescent="0.2"/>
    <row r="1231" s="39" customFormat="1" x14ac:dyDescent="0.2"/>
    <row r="1232" s="39" customFormat="1" x14ac:dyDescent="0.2"/>
    <row r="1233" s="39" customFormat="1" x14ac:dyDescent="0.2"/>
    <row r="1234" s="39" customFormat="1" x14ac:dyDescent="0.2"/>
    <row r="1235" s="39" customFormat="1" x14ac:dyDescent="0.2"/>
    <row r="1236" s="39" customFormat="1" x14ac:dyDescent="0.2"/>
    <row r="1237" s="39" customFormat="1" x14ac:dyDescent="0.2"/>
    <row r="1238" s="39" customFormat="1" x14ac:dyDescent="0.2"/>
    <row r="1239" s="39" customFormat="1" x14ac:dyDescent="0.2"/>
    <row r="1240" s="39" customFormat="1" x14ac:dyDescent="0.2"/>
    <row r="1241" s="39" customFormat="1" x14ac:dyDescent="0.2"/>
    <row r="1242" s="39" customFormat="1" x14ac:dyDescent="0.2"/>
    <row r="1243" s="39" customFormat="1" x14ac:dyDescent="0.2"/>
    <row r="1244" s="39" customFormat="1" x14ac:dyDescent="0.2"/>
    <row r="1245" s="39" customFormat="1" x14ac:dyDescent="0.2"/>
    <row r="1248" s="39" customFormat="1" x14ac:dyDescent="0.2"/>
    <row r="1249" s="39" customFormat="1" x14ac:dyDescent="0.2"/>
    <row r="1250" s="39" customFormat="1" x14ac:dyDescent="0.2"/>
    <row r="1251" s="39" customFormat="1" x14ac:dyDescent="0.2"/>
    <row r="1252" s="39" customFormat="1" x14ac:dyDescent="0.2"/>
    <row r="1253" s="39" customFormat="1" x14ac:dyDescent="0.2"/>
    <row r="1255" s="39" customFormat="1" x14ac:dyDescent="0.2"/>
    <row r="1256" s="39" customFormat="1" x14ac:dyDescent="0.2"/>
    <row r="1257" s="39" customFormat="1" x14ac:dyDescent="0.2"/>
    <row r="1258" s="39" customFormat="1" x14ac:dyDescent="0.2"/>
    <row r="1259" s="39" customFormat="1" x14ac:dyDescent="0.2"/>
    <row r="1261" s="39" customFormat="1" x14ac:dyDescent="0.2"/>
    <row r="1262" s="39" customFormat="1" x14ac:dyDescent="0.2"/>
    <row r="1263" s="39" customFormat="1" x14ac:dyDescent="0.2"/>
    <row r="1264" s="39" customFormat="1" x14ac:dyDescent="0.2"/>
    <row r="1265" s="39" customFormat="1" x14ac:dyDescent="0.2"/>
    <row r="1267" s="39" customFormat="1" x14ac:dyDescent="0.2"/>
    <row r="1268" s="39" customFormat="1" x14ac:dyDescent="0.2"/>
    <row r="1269" s="39" customFormat="1" x14ac:dyDescent="0.2"/>
    <row r="1272" s="39" customFormat="1" x14ac:dyDescent="0.2"/>
    <row r="1273" s="39" customFormat="1" x14ac:dyDescent="0.2"/>
    <row r="1274" s="39" customFormat="1" x14ac:dyDescent="0.2"/>
    <row r="1275" s="39" customFormat="1" x14ac:dyDescent="0.2"/>
    <row r="1276" s="39" customFormat="1" x14ac:dyDescent="0.2"/>
    <row r="1277" s="39" customFormat="1" x14ac:dyDescent="0.2"/>
    <row r="1278" s="39" customFormat="1" x14ac:dyDescent="0.2"/>
    <row r="1279" s="39" customFormat="1" x14ac:dyDescent="0.2"/>
    <row r="1280" s="39" customFormat="1" x14ac:dyDescent="0.2"/>
    <row r="1281" s="39" customFormat="1" x14ac:dyDescent="0.2"/>
    <row r="1283" s="39" customFormat="1" x14ac:dyDescent="0.2"/>
    <row r="1284" s="39" customFormat="1" x14ac:dyDescent="0.2"/>
    <row r="1285" s="39" customFormat="1" x14ac:dyDescent="0.2"/>
    <row r="1286" s="39" customFormat="1" x14ac:dyDescent="0.2"/>
    <row r="1287" s="39" customFormat="1" x14ac:dyDescent="0.2"/>
    <row r="1288" s="39" customFormat="1" x14ac:dyDescent="0.2"/>
    <row r="1289" s="39" customFormat="1" x14ac:dyDescent="0.2"/>
    <row r="1290" s="39" customFormat="1" x14ac:dyDescent="0.2"/>
    <row r="1291" s="39" customFormat="1" x14ac:dyDescent="0.2"/>
    <row r="1292" s="39" customFormat="1" x14ac:dyDescent="0.2"/>
    <row r="1293" s="39" customFormat="1" x14ac:dyDescent="0.2"/>
    <row r="1294" s="39" customFormat="1" x14ac:dyDescent="0.2"/>
    <row r="1295" s="39" customFormat="1" x14ac:dyDescent="0.2"/>
    <row r="1296" s="39" customFormat="1" x14ac:dyDescent="0.2"/>
    <row r="1297" s="39" customFormat="1" x14ac:dyDescent="0.2"/>
    <row r="1298" s="39" customFormat="1" x14ac:dyDescent="0.2"/>
    <row r="1299" s="39" customFormat="1" x14ac:dyDescent="0.2"/>
    <row r="1300" s="39" customFormat="1" x14ac:dyDescent="0.2"/>
    <row r="1301" s="39" customFormat="1" x14ac:dyDescent="0.2"/>
    <row r="1302" s="39" customFormat="1" x14ac:dyDescent="0.2"/>
    <row r="1303" s="39" customFormat="1" x14ac:dyDescent="0.2"/>
    <row r="1304" s="39" customFormat="1" x14ac:dyDescent="0.2"/>
    <row r="1305" s="39" customFormat="1" x14ac:dyDescent="0.2"/>
    <row r="1306" s="39" customFormat="1" x14ac:dyDescent="0.2"/>
    <row r="1307" s="39" customFormat="1" x14ac:dyDescent="0.2"/>
    <row r="1308" s="39" customFormat="1" x14ac:dyDescent="0.2"/>
    <row r="1309" s="39" customFormat="1" x14ac:dyDescent="0.2"/>
    <row r="1310" s="39" customFormat="1" x14ac:dyDescent="0.2"/>
    <row r="1311" s="39" customFormat="1" x14ac:dyDescent="0.2"/>
    <row r="1312" s="39" customFormat="1" x14ac:dyDescent="0.2"/>
    <row r="1313" s="39" customFormat="1" x14ac:dyDescent="0.2"/>
    <row r="1314" s="39" customFormat="1" x14ac:dyDescent="0.2"/>
    <row r="1315" s="39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A65C-1344-4D93-AC31-885B6E8F41C3}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RowHeight="15" outlineLevelRow="1" x14ac:dyDescent="0.2"/>
  <cols>
    <col min="1" max="1" width="25.625" style="97" customWidth="1"/>
    <col min="2" max="2" width="48.75" style="97" customWidth="1"/>
    <col min="3" max="3" width="12" style="39" customWidth="1"/>
    <col min="4" max="4" width="23.375" style="39" customWidth="1"/>
    <col min="5" max="5" width="14.25" style="39" customWidth="1"/>
    <col min="6" max="16384" width="9" style="39"/>
  </cols>
  <sheetData>
    <row r="1" spans="1:5" ht="15.75" x14ac:dyDescent="0.2">
      <c r="A1" s="101" t="s">
        <v>1992</v>
      </c>
      <c r="B1" s="102" t="s">
        <v>1993</v>
      </c>
      <c r="C1" s="102" t="s">
        <v>1994</v>
      </c>
      <c r="D1" s="103" t="s">
        <v>1995</v>
      </c>
      <c r="E1" s="104"/>
    </row>
    <row r="2" spans="1:5" ht="15.75" outlineLevel="1" x14ac:dyDescent="0.2">
      <c r="A2" s="105" t="s">
        <v>22</v>
      </c>
      <c r="B2" s="105" t="s">
        <v>52</v>
      </c>
      <c r="C2" s="105">
        <v>5.0999999999999996</v>
      </c>
      <c r="D2" s="106"/>
    </row>
    <row r="3" spans="1:5" ht="15.75" outlineLevel="1" x14ac:dyDescent="0.2">
      <c r="A3" s="105" t="s">
        <v>22</v>
      </c>
      <c r="B3" s="105" t="s">
        <v>53</v>
      </c>
      <c r="C3" s="105">
        <v>5.2</v>
      </c>
      <c r="D3" s="106"/>
    </row>
    <row r="4" spans="1:5" ht="15.75" outlineLevel="1" x14ac:dyDescent="0.2">
      <c r="A4" s="105" t="s">
        <v>22</v>
      </c>
      <c r="B4" s="105" t="s">
        <v>54</v>
      </c>
      <c r="C4" s="105">
        <v>5.4</v>
      </c>
      <c r="D4" s="106"/>
    </row>
    <row r="5" spans="1:5" ht="15.75" outlineLevel="1" x14ac:dyDescent="0.2">
      <c r="A5" s="105" t="s">
        <v>22</v>
      </c>
      <c r="B5" s="105" t="s">
        <v>55</v>
      </c>
      <c r="C5" s="105">
        <v>5.7</v>
      </c>
      <c r="D5" s="106"/>
    </row>
    <row r="6" spans="1:5" ht="15.75" outlineLevel="1" x14ac:dyDescent="0.2">
      <c r="A6" s="105" t="s">
        <v>22</v>
      </c>
      <c r="B6" s="105" t="s">
        <v>56</v>
      </c>
      <c r="C6" s="105">
        <v>5.1100000000000003</v>
      </c>
      <c r="D6" s="106"/>
    </row>
    <row r="7" spans="1:5" ht="15.75" outlineLevel="1" x14ac:dyDescent="0.2">
      <c r="A7" s="105" t="s">
        <v>22</v>
      </c>
      <c r="B7" s="105" t="s">
        <v>57</v>
      </c>
      <c r="C7" s="105">
        <v>5.26</v>
      </c>
      <c r="D7" s="106"/>
    </row>
    <row r="8" spans="1:5" ht="15.75" outlineLevel="1" x14ac:dyDescent="0.2">
      <c r="A8" s="105" t="s">
        <v>22</v>
      </c>
      <c r="B8" s="105" t="s">
        <v>58</v>
      </c>
      <c r="C8" s="105">
        <v>5.27</v>
      </c>
      <c r="D8" s="106"/>
    </row>
    <row r="9" spans="1:5" ht="15.75" outlineLevel="1" x14ac:dyDescent="0.2">
      <c r="A9" s="105" t="s">
        <v>22</v>
      </c>
      <c r="B9" s="105" t="s">
        <v>59</v>
      </c>
      <c r="C9" s="105">
        <v>5.36</v>
      </c>
      <c r="D9" s="106"/>
    </row>
    <row r="10" spans="1:5" ht="15.75" outlineLevel="1" x14ac:dyDescent="0.2">
      <c r="A10" s="105" t="s">
        <v>22</v>
      </c>
      <c r="B10" s="105" t="s">
        <v>60</v>
      </c>
      <c r="C10" s="107">
        <v>5.5</v>
      </c>
      <c r="D10" s="106"/>
    </row>
    <row r="11" spans="1:5" ht="15.75" outlineLevel="1" x14ac:dyDescent="0.2">
      <c r="A11" s="105" t="s">
        <v>22</v>
      </c>
      <c r="B11" s="105" t="s">
        <v>61</v>
      </c>
      <c r="C11" s="105">
        <v>5.51</v>
      </c>
      <c r="D11" s="106"/>
    </row>
    <row r="12" spans="1:5" ht="15.75" outlineLevel="1" x14ac:dyDescent="0.2">
      <c r="A12" s="105" t="s">
        <v>22</v>
      </c>
      <c r="B12" s="105" t="s">
        <v>62</v>
      </c>
      <c r="C12" s="105">
        <v>5.53</v>
      </c>
      <c r="D12" s="106"/>
    </row>
    <row r="13" spans="1:5" ht="15.75" outlineLevel="1" x14ac:dyDescent="0.2">
      <c r="A13" s="105" t="s">
        <v>22</v>
      </c>
      <c r="B13" s="105" t="s">
        <v>63</v>
      </c>
      <c r="C13" s="105">
        <v>5.59</v>
      </c>
      <c r="D13" s="106"/>
    </row>
    <row r="14" spans="1:5" ht="15.75" outlineLevel="1" x14ac:dyDescent="0.2">
      <c r="A14" s="105" t="s">
        <v>22</v>
      </c>
      <c r="B14" s="105" t="s">
        <v>64</v>
      </c>
      <c r="C14" s="105">
        <v>5.54</v>
      </c>
      <c r="D14" s="106"/>
    </row>
    <row r="15" spans="1:5" ht="15.75" outlineLevel="1" x14ac:dyDescent="0.2">
      <c r="A15" s="105" t="s">
        <v>22</v>
      </c>
      <c r="B15" s="105" t="s">
        <v>65</v>
      </c>
      <c r="C15" s="107">
        <v>5.7</v>
      </c>
      <c r="D15" s="108" t="s">
        <v>1996</v>
      </c>
    </row>
    <row r="16" spans="1:5" ht="15.75" outlineLevel="1" x14ac:dyDescent="0.2">
      <c r="A16" s="105" t="s">
        <v>22</v>
      </c>
      <c r="B16" s="105" t="s">
        <v>66</v>
      </c>
      <c r="C16" s="105">
        <v>5.63</v>
      </c>
      <c r="D16" s="106"/>
    </row>
    <row r="17" spans="1:4" ht="15.75" outlineLevel="1" x14ac:dyDescent="0.2">
      <c r="A17" s="105" t="s">
        <v>22</v>
      </c>
      <c r="B17" s="105" t="s">
        <v>67</v>
      </c>
      <c r="C17" s="105">
        <v>5.47</v>
      </c>
      <c r="D17" s="106"/>
    </row>
    <row r="18" spans="1:4" ht="15.75" outlineLevel="1" x14ac:dyDescent="0.2">
      <c r="A18" s="105" t="s">
        <v>22</v>
      </c>
      <c r="B18" s="105" t="s">
        <v>68</v>
      </c>
      <c r="C18" s="105">
        <v>5.48</v>
      </c>
      <c r="D18" s="106"/>
    </row>
    <row r="19" spans="1:4" ht="15.75" x14ac:dyDescent="0.2">
      <c r="A19" s="109" t="s">
        <v>22</v>
      </c>
      <c r="B19" s="105"/>
      <c r="C19" s="105"/>
      <c r="D19" s="106"/>
    </row>
    <row r="20" spans="1:4" ht="15.75" outlineLevel="1" x14ac:dyDescent="0.2">
      <c r="A20" s="105" t="s">
        <v>23</v>
      </c>
      <c r="B20" s="105" t="s">
        <v>52</v>
      </c>
      <c r="C20" s="105">
        <v>5.0999999999999996</v>
      </c>
      <c r="D20" s="106"/>
    </row>
    <row r="21" spans="1:4" ht="15.75" outlineLevel="1" x14ac:dyDescent="0.2">
      <c r="A21" s="105" t="s">
        <v>23</v>
      </c>
      <c r="B21" s="105" t="s">
        <v>53</v>
      </c>
      <c r="C21" s="105">
        <v>5.2</v>
      </c>
      <c r="D21" s="106"/>
    </row>
    <row r="22" spans="1:4" ht="15.75" outlineLevel="1" x14ac:dyDescent="0.2">
      <c r="A22" s="105" t="s">
        <v>23</v>
      </c>
      <c r="B22" s="105" t="s">
        <v>85</v>
      </c>
      <c r="C22" s="105">
        <v>5.3</v>
      </c>
      <c r="D22" s="106"/>
    </row>
    <row r="23" spans="1:4" ht="15.75" outlineLevel="1" x14ac:dyDescent="0.2">
      <c r="A23" s="105" t="s">
        <v>23</v>
      </c>
      <c r="B23" s="105" t="s">
        <v>1997</v>
      </c>
      <c r="C23" s="105">
        <v>5.14</v>
      </c>
      <c r="D23" s="106"/>
    </row>
    <row r="24" spans="1:4" ht="15.75" outlineLevel="1" x14ac:dyDescent="0.2">
      <c r="A24" s="105" t="s">
        <v>23</v>
      </c>
      <c r="B24" s="105" t="s">
        <v>87</v>
      </c>
      <c r="C24" s="105">
        <v>5.19</v>
      </c>
      <c r="D24" s="106"/>
    </row>
    <row r="25" spans="1:4" ht="15.75" outlineLevel="1" x14ac:dyDescent="0.2">
      <c r="A25" s="105" t="s">
        <v>23</v>
      </c>
      <c r="B25" s="105" t="s">
        <v>57</v>
      </c>
      <c r="C25" s="105">
        <v>5.26</v>
      </c>
      <c r="D25" s="106"/>
    </row>
    <row r="26" spans="1:4" ht="15.75" outlineLevel="1" x14ac:dyDescent="0.2">
      <c r="A26" s="105" t="s">
        <v>23</v>
      </c>
      <c r="B26" s="105" t="s">
        <v>58</v>
      </c>
      <c r="C26" s="105">
        <v>5.27</v>
      </c>
      <c r="D26" s="106"/>
    </row>
    <row r="27" spans="1:4" ht="15.75" outlineLevel="1" x14ac:dyDescent="0.2">
      <c r="A27" s="105" t="s">
        <v>23</v>
      </c>
      <c r="B27" s="105" t="s">
        <v>88</v>
      </c>
      <c r="C27" s="105">
        <v>5.28</v>
      </c>
      <c r="D27" s="106"/>
    </row>
    <row r="28" spans="1:4" ht="15.75" outlineLevel="1" x14ac:dyDescent="0.2">
      <c r="A28" s="105" t="s">
        <v>23</v>
      </c>
      <c r="B28" s="105" t="s">
        <v>89</v>
      </c>
      <c r="C28" s="107">
        <v>5.3</v>
      </c>
      <c r="D28" s="106"/>
    </row>
    <row r="29" spans="1:4" ht="15.75" outlineLevel="1" x14ac:dyDescent="0.2">
      <c r="A29" s="105" t="s">
        <v>23</v>
      </c>
      <c r="B29" s="105" t="s">
        <v>90</v>
      </c>
      <c r="C29" s="105">
        <v>5.49</v>
      </c>
      <c r="D29" s="106"/>
    </row>
    <row r="30" spans="1:4" ht="15.75" outlineLevel="1" x14ac:dyDescent="0.2">
      <c r="A30" s="105" t="s">
        <v>23</v>
      </c>
      <c r="B30" s="105" t="s">
        <v>61</v>
      </c>
      <c r="C30" s="105">
        <v>5.51</v>
      </c>
      <c r="D30" s="106"/>
    </row>
    <row r="31" spans="1:4" ht="15.75" outlineLevel="1" x14ac:dyDescent="0.2">
      <c r="A31" s="105" t="s">
        <v>23</v>
      </c>
      <c r="B31" s="105" t="s">
        <v>62</v>
      </c>
      <c r="C31" s="105">
        <v>5.53</v>
      </c>
      <c r="D31" s="106"/>
    </row>
    <row r="32" spans="1:4" ht="15.75" outlineLevel="1" x14ac:dyDescent="0.2">
      <c r="A32" s="105" t="s">
        <v>23</v>
      </c>
      <c r="B32" s="105" t="s">
        <v>91</v>
      </c>
      <c r="C32" s="105">
        <v>5.69</v>
      </c>
      <c r="D32" s="106"/>
    </row>
    <row r="33" spans="1:4" ht="15.75" outlineLevel="1" x14ac:dyDescent="0.2">
      <c r="A33" s="105" t="s">
        <v>23</v>
      </c>
      <c r="B33" s="105" t="s">
        <v>92</v>
      </c>
      <c r="C33" s="105">
        <v>5.75</v>
      </c>
      <c r="D33" s="106"/>
    </row>
    <row r="34" spans="1:4" ht="15.75" outlineLevel="1" x14ac:dyDescent="0.2">
      <c r="A34" s="105" t="s">
        <v>23</v>
      </c>
      <c r="B34" s="105" t="s">
        <v>65</v>
      </c>
      <c r="C34" s="107">
        <v>5.7</v>
      </c>
      <c r="D34" s="106"/>
    </row>
    <row r="35" spans="1:4" ht="15.75" outlineLevel="1" x14ac:dyDescent="0.2">
      <c r="A35" s="105" t="s">
        <v>23</v>
      </c>
      <c r="B35" s="105" t="s">
        <v>93</v>
      </c>
      <c r="C35" s="105">
        <v>5.74</v>
      </c>
      <c r="D35" s="106"/>
    </row>
    <row r="36" spans="1:4" ht="15.75" outlineLevel="1" x14ac:dyDescent="0.2">
      <c r="A36" s="105" t="s">
        <v>23</v>
      </c>
      <c r="B36" s="105" t="s">
        <v>94</v>
      </c>
      <c r="C36" s="105">
        <v>5.62</v>
      </c>
      <c r="D36" s="106"/>
    </row>
    <row r="37" spans="1:4" ht="15.75" outlineLevel="1" x14ac:dyDescent="0.2">
      <c r="A37" s="105" t="s">
        <v>23</v>
      </c>
      <c r="B37" s="105" t="s">
        <v>95</v>
      </c>
      <c r="C37" s="105">
        <v>5.58</v>
      </c>
      <c r="D37" s="106"/>
    </row>
    <row r="38" spans="1:4" ht="15.75" outlineLevel="1" x14ac:dyDescent="0.2">
      <c r="A38" s="105" t="s">
        <v>23</v>
      </c>
      <c r="B38" s="105" t="s">
        <v>64</v>
      </c>
      <c r="C38" s="105">
        <v>5.54</v>
      </c>
      <c r="D38" s="106"/>
    </row>
    <row r="39" spans="1:4" ht="15.75" outlineLevel="1" x14ac:dyDescent="0.2">
      <c r="A39" s="105" t="s">
        <v>23</v>
      </c>
      <c r="B39" s="105" t="s">
        <v>96</v>
      </c>
      <c r="C39" s="105">
        <v>5.55</v>
      </c>
      <c r="D39" s="106"/>
    </row>
    <row r="40" spans="1:4" ht="15.75" outlineLevel="1" x14ac:dyDescent="0.2">
      <c r="A40" s="105" t="s">
        <v>23</v>
      </c>
      <c r="B40" s="105" t="s">
        <v>66</v>
      </c>
      <c r="C40" s="105">
        <v>5.63</v>
      </c>
      <c r="D40" s="106"/>
    </row>
    <row r="41" spans="1:4" ht="15.75" outlineLevel="1" x14ac:dyDescent="0.2">
      <c r="A41" s="105" t="s">
        <v>23</v>
      </c>
      <c r="B41" s="105" t="s">
        <v>97</v>
      </c>
      <c r="C41" s="105">
        <v>5.65</v>
      </c>
      <c r="D41" s="106"/>
    </row>
    <row r="42" spans="1:4" ht="15.75" outlineLevel="1" x14ac:dyDescent="0.2">
      <c r="A42" s="105" t="s">
        <v>23</v>
      </c>
      <c r="B42" s="105" t="s">
        <v>20</v>
      </c>
      <c r="C42" s="105">
        <v>5.68</v>
      </c>
      <c r="D42" s="106"/>
    </row>
    <row r="43" spans="1:4" ht="15.75" outlineLevel="1" x14ac:dyDescent="0.2">
      <c r="A43" s="105" t="s">
        <v>23</v>
      </c>
      <c r="B43" s="105" t="s">
        <v>98</v>
      </c>
      <c r="C43" s="105">
        <v>5.45</v>
      </c>
      <c r="D43" s="106"/>
    </row>
    <row r="44" spans="1:4" ht="15.75" outlineLevel="1" x14ac:dyDescent="0.2">
      <c r="A44" s="105" t="s">
        <v>23</v>
      </c>
      <c r="B44" s="105" t="s">
        <v>67</v>
      </c>
      <c r="C44" s="105">
        <v>5.47</v>
      </c>
      <c r="D44" s="106"/>
    </row>
    <row r="45" spans="1:4" ht="15.75" outlineLevel="1" x14ac:dyDescent="0.2">
      <c r="A45" s="105" t="s">
        <v>23</v>
      </c>
      <c r="B45" s="105" t="s">
        <v>68</v>
      </c>
      <c r="C45" s="105">
        <v>5.48</v>
      </c>
      <c r="D45" s="106"/>
    </row>
    <row r="46" spans="1:4" ht="15.75" x14ac:dyDescent="0.2">
      <c r="A46" s="109" t="s">
        <v>23</v>
      </c>
      <c r="B46" s="105"/>
      <c r="C46" s="105"/>
      <c r="D46" s="106"/>
    </row>
    <row r="47" spans="1:4" ht="15.75" outlineLevel="1" x14ac:dyDescent="0.2">
      <c r="A47" s="105" t="s">
        <v>24</v>
      </c>
      <c r="B47" s="105" t="s">
        <v>52</v>
      </c>
      <c r="C47" s="105">
        <v>5.0999999999999996</v>
      </c>
      <c r="D47" s="106"/>
    </row>
    <row r="48" spans="1:4" ht="15.75" outlineLevel="1" x14ac:dyDescent="0.2">
      <c r="A48" s="105" t="s">
        <v>24</v>
      </c>
      <c r="B48" s="105" t="s">
        <v>53</v>
      </c>
      <c r="C48" s="105">
        <v>5.2</v>
      </c>
      <c r="D48" s="106"/>
    </row>
    <row r="49" spans="1:4" ht="15.75" outlineLevel="1" x14ac:dyDescent="0.2">
      <c r="A49" s="105" t="s">
        <v>24</v>
      </c>
      <c r="B49" s="105" t="s">
        <v>85</v>
      </c>
      <c r="C49" s="105">
        <v>5.3</v>
      </c>
      <c r="D49" s="106"/>
    </row>
    <row r="50" spans="1:4" ht="15.75" outlineLevel="1" x14ac:dyDescent="0.2">
      <c r="A50" s="105" t="s">
        <v>24</v>
      </c>
      <c r="B50" s="105" t="s">
        <v>138</v>
      </c>
      <c r="C50" s="105">
        <v>5.6</v>
      </c>
      <c r="D50" s="106"/>
    </row>
    <row r="51" spans="1:4" ht="15.75" outlineLevel="1" x14ac:dyDescent="0.2">
      <c r="A51" s="105" t="s">
        <v>24</v>
      </c>
      <c r="B51" s="105" t="s">
        <v>1998</v>
      </c>
      <c r="C51" s="107">
        <v>5.0999999999999996</v>
      </c>
      <c r="D51" s="106"/>
    </row>
    <row r="52" spans="1:4" ht="15.75" outlineLevel="1" x14ac:dyDescent="0.2">
      <c r="A52" s="105" t="s">
        <v>24</v>
      </c>
      <c r="B52" s="105" t="s">
        <v>1997</v>
      </c>
      <c r="C52" s="105">
        <v>5.14</v>
      </c>
      <c r="D52" s="106"/>
    </row>
    <row r="53" spans="1:4" ht="15.75" outlineLevel="1" x14ac:dyDescent="0.2">
      <c r="A53" s="105" t="s">
        <v>24</v>
      </c>
      <c r="B53" s="105" t="s">
        <v>87</v>
      </c>
      <c r="C53" s="105">
        <v>5.19</v>
      </c>
      <c r="D53" s="106"/>
    </row>
    <row r="54" spans="1:4" ht="15.75" outlineLevel="1" x14ac:dyDescent="0.2">
      <c r="A54" s="105" t="s">
        <v>24</v>
      </c>
      <c r="B54" s="105" t="s">
        <v>140</v>
      </c>
      <c r="C54" s="105">
        <v>5.24</v>
      </c>
      <c r="D54" s="106"/>
    </row>
    <row r="55" spans="1:4" ht="15.75" outlineLevel="1" x14ac:dyDescent="0.2">
      <c r="A55" s="105" t="s">
        <v>24</v>
      </c>
      <c r="B55" s="105" t="s">
        <v>57</v>
      </c>
      <c r="C55" s="105">
        <v>5.26</v>
      </c>
      <c r="D55" s="106"/>
    </row>
    <row r="56" spans="1:4" ht="15.75" outlineLevel="1" x14ac:dyDescent="0.2">
      <c r="A56" s="105" t="s">
        <v>24</v>
      </c>
      <c r="B56" s="105" t="s">
        <v>58</v>
      </c>
      <c r="C56" s="105">
        <v>5.27</v>
      </c>
      <c r="D56" s="106"/>
    </row>
    <row r="57" spans="1:4" ht="15.75" outlineLevel="1" x14ac:dyDescent="0.2">
      <c r="A57" s="105" t="s">
        <v>24</v>
      </c>
      <c r="B57" s="105" t="s">
        <v>88</v>
      </c>
      <c r="C57" s="105">
        <v>5.28</v>
      </c>
      <c r="D57" s="106"/>
    </row>
    <row r="58" spans="1:4" ht="15.75" outlineLevel="1" x14ac:dyDescent="0.2">
      <c r="A58" s="105" t="s">
        <v>24</v>
      </c>
      <c r="B58" s="105" t="s">
        <v>89</v>
      </c>
      <c r="C58" s="107">
        <v>5.3</v>
      </c>
      <c r="D58" s="106"/>
    </row>
    <row r="59" spans="1:4" ht="15.75" outlineLevel="1" x14ac:dyDescent="0.2">
      <c r="A59" s="105" t="s">
        <v>24</v>
      </c>
      <c r="B59" s="105" t="s">
        <v>141</v>
      </c>
      <c r="C59" s="105">
        <v>5.31</v>
      </c>
      <c r="D59" s="106"/>
    </row>
    <row r="60" spans="1:4" ht="15.75" outlineLevel="1" x14ac:dyDescent="0.2">
      <c r="A60" s="105" t="s">
        <v>24</v>
      </c>
      <c r="B60" s="105" t="s">
        <v>59</v>
      </c>
      <c r="C60" s="105">
        <v>5.36</v>
      </c>
      <c r="D60" s="106"/>
    </row>
    <row r="61" spans="1:4" ht="15.75" outlineLevel="1" x14ac:dyDescent="0.2">
      <c r="A61" s="105" t="s">
        <v>24</v>
      </c>
      <c r="B61" s="105" t="s">
        <v>90</v>
      </c>
      <c r="C61" s="105">
        <v>5.49</v>
      </c>
      <c r="D61" s="106"/>
    </row>
    <row r="62" spans="1:4" ht="15.75" outlineLevel="1" x14ac:dyDescent="0.2">
      <c r="A62" s="105" t="s">
        <v>24</v>
      </c>
      <c r="B62" s="105" t="s">
        <v>61</v>
      </c>
      <c r="C62" s="105">
        <v>5.51</v>
      </c>
      <c r="D62" s="106"/>
    </row>
    <row r="63" spans="1:4" ht="15.75" outlineLevel="1" x14ac:dyDescent="0.2">
      <c r="A63" s="105" t="s">
        <v>24</v>
      </c>
      <c r="B63" s="105" t="s">
        <v>1999</v>
      </c>
      <c r="C63" s="105">
        <v>5.52</v>
      </c>
      <c r="D63" s="106"/>
    </row>
    <row r="64" spans="1:4" ht="15.75" outlineLevel="1" x14ac:dyDescent="0.2">
      <c r="A64" s="105" t="s">
        <v>24</v>
      </c>
      <c r="B64" s="105" t="s">
        <v>62</v>
      </c>
      <c r="C64" s="105">
        <v>5.53</v>
      </c>
      <c r="D64" s="106"/>
    </row>
    <row r="65" spans="1:4" ht="15.75" outlineLevel="1" x14ac:dyDescent="0.2">
      <c r="A65" s="105" t="s">
        <v>24</v>
      </c>
      <c r="B65" s="105" t="s">
        <v>91</v>
      </c>
      <c r="C65" s="105">
        <v>5.69</v>
      </c>
      <c r="D65" s="106"/>
    </row>
    <row r="66" spans="1:4" ht="15.75" outlineLevel="1" x14ac:dyDescent="0.2">
      <c r="A66" s="105" t="s">
        <v>24</v>
      </c>
      <c r="B66" s="105" t="s">
        <v>143</v>
      </c>
      <c r="C66" s="107">
        <v>5.72</v>
      </c>
      <c r="D66" s="106"/>
    </row>
    <row r="67" spans="1:4" ht="15.75" outlineLevel="1" x14ac:dyDescent="0.2">
      <c r="A67" s="105" t="s">
        <v>24</v>
      </c>
      <c r="B67" s="105" t="s">
        <v>92</v>
      </c>
      <c r="C67" s="105">
        <v>5.75</v>
      </c>
      <c r="D67" s="106"/>
    </row>
    <row r="68" spans="1:4" ht="15.75" outlineLevel="1" x14ac:dyDescent="0.2">
      <c r="A68" s="105" t="s">
        <v>24</v>
      </c>
      <c r="B68" s="105" t="s">
        <v>65</v>
      </c>
      <c r="C68" s="107">
        <v>5.7</v>
      </c>
      <c r="D68" s="106"/>
    </row>
    <row r="69" spans="1:4" ht="15.75" outlineLevel="1" x14ac:dyDescent="0.2">
      <c r="A69" s="105" t="s">
        <v>24</v>
      </c>
      <c r="B69" s="105" t="s">
        <v>93</v>
      </c>
      <c r="C69" s="105">
        <v>5.74</v>
      </c>
      <c r="D69" s="106"/>
    </row>
    <row r="70" spans="1:4" ht="15.75" outlineLevel="1" x14ac:dyDescent="0.2">
      <c r="A70" s="105" t="s">
        <v>24</v>
      </c>
      <c r="B70" s="105" t="s">
        <v>144</v>
      </c>
      <c r="C70" s="105">
        <v>5.76</v>
      </c>
      <c r="D70" s="106"/>
    </row>
    <row r="71" spans="1:4" ht="15.75" outlineLevel="1" x14ac:dyDescent="0.2">
      <c r="A71" s="105" t="s">
        <v>24</v>
      </c>
      <c r="B71" s="105" t="s">
        <v>145</v>
      </c>
      <c r="C71" s="105">
        <v>5.89</v>
      </c>
      <c r="D71" s="108" t="s">
        <v>1996</v>
      </c>
    </row>
    <row r="72" spans="1:4" ht="15.75" outlineLevel="1" x14ac:dyDescent="0.2">
      <c r="A72" s="105" t="s">
        <v>24</v>
      </c>
      <c r="B72" s="105" t="s">
        <v>95</v>
      </c>
      <c r="C72" s="105">
        <v>5.58</v>
      </c>
      <c r="D72" s="106"/>
    </row>
    <row r="73" spans="1:4" ht="15.75" outlineLevel="1" x14ac:dyDescent="0.2">
      <c r="A73" s="105" t="s">
        <v>24</v>
      </c>
      <c r="B73" s="105" t="s">
        <v>94</v>
      </c>
      <c r="C73" s="105">
        <v>5.62</v>
      </c>
      <c r="D73" s="106"/>
    </row>
    <row r="74" spans="1:4" ht="15.75" outlineLevel="1" x14ac:dyDescent="0.2">
      <c r="A74" s="105" t="s">
        <v>24</v>
      </c>
      <c r="B74" s="105" t="s">
        <v>64</v>
      </c>
      <c r="C74" s="105">
        <v>5.54</v>
      </c>
      <c r="D74" s="106"/>
    </row>
    <row r="75" spans="1:4" ht="15.75" outlineLevel="1" x14ac:dyDescent="0.2">
      <c r="A75" s="105" t="s">
        <v>24</v>
      </c>
      <c r="B75" s="105" t="s">
        <v>96</v>
      </c>
      <c r="C75" s="105">
        <v>5.55</v>
      </c>
      <c r="D75" s="106"/>
    </row>
    <row r="76" spans="1:4" ht="15.75" outlineLevel="1" x14ac:dyDescent="0.2">
      <c r="A76" s="105" t="s">
        <v>24</v>
      </c>
      <c r="B76" s="105" t="s">
        <v>66</v>
      </c>
      <c r="C76" s="105">
        <v>5.63</v>
      </c>
      <c r="D76" s="106"/>
    </row>
    <row r="77" spans="1:4" ht="15.75" outlineLevel="1" x14ac:dyDescent="0.2">
      <c r="A77" s="105" t="s">
        <v>24</v>
      </c>
      <c r="B77" s="105" t="s">
        <v>97</v>
      </c>
      <c r="C77" s="105">
        <v>5.65</v>
      </c>
      <c r="D77" s="106"/>
    </row>
    <row r="78" spans="1:4" ht="15.75" outlineLevel="1" x14ac:dyDescent="0.2">
      <c r="A78" s="105" t="s">
        <v>24</v>
      </c>
      <c r="B78" s="105" t="s">
        <v>146</v>
      </c>
      <c r="C78" s="105">
        <v>5.66</v>
      </c>
      <c r="D78" s="106"/>
    </row>
    <row r="79" spans="1:4" ht="15.75" outlineLevel="1" x14ac:dyDescent="0.2">
      <c r="A79" s="105" t="s">
        <v>24</v>
      </c>
      <c r="B79" s="105" t="s">
        <v>20</v>
      </c>
      <c r="C79" s="105">
        <v>5.68</v>
      </c>
      <c r="D79" s="106"/>
    </row>
    <row r="80" spans="1:4" ht="15.75" outlineLevel="1" x14ac:dyDescent="0.2">
      <c r="A80" s="105" t="s">
        <v>24</v>
      </c>
      <c r="B80" s="105" t="s">
        <v>98</v>
      </c>
      <c r="C80" s="105">
        <v>5.45</v>
      </c>
      <c r="D80" s="106"/>
    </row>
    <row r="81" spans="1:4" ht="15.75" outlineLevel="1" x14ac:dyDescent="0.2">
      <c r="A81" s="105" t="s">
        <v>24</v>
      </c>
      <c r="B81" s="105" t="s">
        <v>67</v>
      </c>
      <c r="C81" s="105">
        <v>5.47</v>
      </c>
      <c r="D81" s="106"/>
    </row>
    <row r="82" spans="1:4" ht="15.75" outlineLevel="1" x14ac:dyDescent="0.2">
      <c r="A82" s="105" t="s">
        <v>24</v>
      </c>
      <c r="B82" s="105" t="s">
        <v>68</v>
      </c>
      <c r="C82" s="105">
        <v>5.48</v>
      </c>
      <c r="D82" s="106"/>
    </row>
    <row r="83" spans="1:4" ht="15.75" x14ac:dyDescent="0.2">
      <c r="A83" s="109" t="s">
        <v>24</v>
      </c>
      <c r="B83" s="105"/>
      <c r="C83" s="105"/>
      <c r="D83" s="106"/>
    </row>
    <row r="84" spans="1:4" ht="15.75" outlineLevel="1" x14ac:dyDescent="0.2">
      <c r="A84" s="105" t="s">
        <v>25</v>
      </c>
      <c r="B84" s="105" t="s">
        <v>52</v>
      </c>
      <c r="C84" s="105">
        <v>5.0999999999999996</v>
      </c>
      <c r="D84" s="106"/>
    </row>
    <row r="85" spans="1:4" ht="15.75" outlineLevel="1" x14ac:dyDescent="0.2">
      <c r="A85" s="105" t="s">
        <v>25</v>
      </c>
      <c r="B85" s="105" t="s">
        <v>53</v>
      </c>
      <c r="C85" s="105">
        <v>5.2</v>
      </c>
      <c r="D85" s="106"/>
    </row>
    <row r="86" spans="1:4" ht="15.75" outlineLevel="1" x14ac:dyDescent="0.2">
      <c r="A86" s="105" t="s">
        <v>25</v>
      </c>
      <c r="B86" s="105" t="s">
        <v>85</v>
      </c>
      <c r="C86" s="105">
        <v>5.3</v>
      </c>
      <c r="D86" s="106"/>
    </row>
    <row r="87" spans="1:4" ht="15.75" outlineLevel="1" x14ac:dyDescent="0.2">
      <c r="A87" s="105" t="s">
        <v>25</v>
      </c>
      <c r="B87" s="105" t="s">
        <v>138</v>
      </c>
      <c r="C87" s="105">
        <v>5.6</v>
      </c>
      <c r="D87" s="106"/>
    </row>
    <row r="88" spans="1:4" ht="15.75" outlineLevel="1" x14ac:dyDescent="0.2">
      <c r="A88" s="105" t="s">
        <v>25</v>
      </c>
      <c r="B88" s="105" t="s">
        <v>1998</v>
      </c>
      <c r="C88" s="107">
        <v>5.0999999999999996</v>
      </c>
      <c r="D88" s="106"/>
    </row>
    <row r="89" spans="1:4" ht="15.75" outlineLevel="1" x14ac:dyDescent="0.2">
      <c r="A89" s="105" t="s">
        <v>25</v>
      </c>
      <c r="B89" s="105" t="s">
        <v>1997</v>
      </c>
      <c r="C89" s="105">
        <v>5.14</v>
      </c>
      <c r="D89" s="106"/>
    </row>
    <row r="90" spans="1:4" ht="15.75" outlineLevel="1" x14ac:dyDescent="0.2">
      <c r="A90" s="105" t="s">
        <v>25</v>
      </c>
      <c r="B90" s="105" t="s">
        <v>87</v>
      </c>
      <c r="C90" s="105">
        <v>5.19</v>
      </c>
      <c r="D90" s="106"/>
    </row>
    <row r="91" spans="1:4" ht="15.75" outlineLevel="1" x14ac:dyDescent="0.2">
      <c r="A91" s="105" t="s">
        <v>25</v>
      </c>
      <c r="B91" s="105" t="s">
        <v>140</v>
      </c>
      <c r="C91" s="105">
        <v>5.24</v>
      </c>
      <c r="D91" s="106"/>
    </row>
    <row r="92" spans="1:4" ht="15.75" outlineLevel="1" x14ac:dyDescent="0.2">
      <c r="A92" s="105" t="s">
        <v>25</v>
      </c>
      <c r="B92" s="105" t="s">
        <v>57</v>
      </c>
      <c r="C92" s="105">
        <v>5.26</v>
      </c>
      <c r="D92" s="106"/>
    </row>
    <row r="93" spans="1:4" ht="15.75" outlineLevel="1" x14ac:dyDescent="0.2">
      <c r="A93" s="105" t="s">
        <v>25</v>
      </c>
      <c r="B93" s="105" t="s">
        <v>58</v>
      </c>
      <c r="C93" s="105">
        <v>5.27</v>
      </c>
      <c r="D93" s="106"/>
    </row>
    <row r="94" spans="1:4" ht="15.75" outlineLevel="1" x14ac:dyDescent="0.2">
      <c r="A94" s="105" t="s">
        <v>25</v>
      </c>
      <c r="B94" s="105" t="s">
        <v>88</v>
      </c>
      <c r="C94" s="105">
        <v>5.28</v>
      </c>
      <c r="D94" s="106"/>
    </row>
    <row r="95" spans="1:4" ht="15.75" outlineLevel="1" x14ac:dyDescent="0.2">
      <c r="A95" s="105" t="s">
        <v>25</v>
      </c>
      <c r="B95" s="105" t="s">
        <v>148</v>
      </c>
      <c r="C95" s="105">
        <v>5.29</v>
      </c>
      <c r="D95" s="106"/>
    </row>
    <row r="96" spans="1:4" ht="15.75" outlineLevel="1" x14ac:dyDescent="0.2">
      <c r="A96" s="105" t="s">
        <v>25</v>
      </c>
      <c r="B96" s="105" t="s">
        <v>89</v>
      </c>
      <c r="C96" s="107">
        <v>5.3</v>
      </c>
      <c r="D96" s="106"/>
    </row>
    <row r="97" spans="1:4" ht="15.75" outlineLevel="1" x14ac:dyDescent="0.2">
      <c r="A97" s="105" t="s">
        <v>25</v>
      </c>
      <c r="B97" s="105" t="s">
        <v>141</v>
      </c>
      <c r="C97" s="105">
        <v>5.31</v>
      </c>
      <c r="D97" s="106"/>
    </row>
    <row r="98" spans="1:4" ht="15.75" outlineLevel="1" x14ac:dyDescent="0.2">
      <c r="A98" s="105" t="s">
        <v>25</v>
      </c>
      <c r="B98" s="105" t="s">
        <v>59</v>
      </c>
      <c r="C98" s="105">
        <v>5.36</v>
      </c>
      <c r="D98" s="106"/>
    </row>
    <row r="99" spans="1:4" ht="15.75" outlineLevel="1" x14ac:dyDescent="0.2">
      <c r="A99" s="105" t="s">
        <v>25</v>
      </c>
      <c r="B99" s="105" t="s">
        <v>90</v>
      </c>
      <c r="C99" s="105">
        <v>5.49</v>
      </c>
      <c r="D99" s="106"/>
    </row>
    <row r="100" spans="1:4" ht="15.75" outlineLevel="1" x14ac:dyDescent="0.2">
      <c r="A100" s="105" t="s">
        <v>25</v>
      </c>
      <c r="B100" s="105" t="s">
        <v>61</v>
      </c>
      <c r="C100" s="105">
        <v>5.51</v>
      </c>
      <c r="D100" s="106"/>
    </row>
    <row r="101" spans="1:4" ht="15.75" outlineLevel="1" x14ac:dyDescent="0.2">
      <c r="A101" s="105" t="s">
        <v>25</v>
      </c>
      <c r="B101" s="105" t="s">
        <v>1999</v>
      </c>
      <c r="C101" s="105">
        <v>5.52</v>
      </c>
      <c r="D101" s="106"/>
    </row>
    <row r="102" spans="1:4" ht="15.75" outlineLevel="1" x14ac:dyDescent="0.2">
      <c r="A102" s="105" t="s">
        <v>25</v>
      </c>
      <c r="B102" s="105" t="s">
        <v>62</v>
      </c>
      <c r="C102" s="105">
        <v>5.53</v>
      </c>
      <c r="D102" s="106"/>
    </row>
    <row r="103" spans="1:4" ht="15.75" outlineLevel="1" x14ac:dyDescent="0.2">
      <c r="A103" s="105" t="s">
        <v>25</v>
      </c>
      <c r="B103" s="105" t="s">
        <v>91</v>
      </c>
      <c r="C103" s="105">
        <v>5.69</v>
      </c>
      <c r="D103" s="106"/>
    </row>
    <row r="104" spans="1:4" ht="15.75" outlineLevel="1" x14ac:dyDescent="0.2">
      <c r="A104" s="105" t="s">
        <v>25</v>
      </c>
      <c r="B104" s="105" t="s">
        <v>92</v>
      </c>
      <c r="C104" s="105">
        <v>5.75</v>
      </c>
      <c r="D104" s="106"/>
    </row>
    <row r="105" spans="1:4" ht="15.75" outlineLevel="1" x14ac:dyDescent="0.2">
      <c r="A105" s="105" t="s">
        <v>25</v>
      </c>
      <c r="B105" s="105" t="s">
        <v>65</v>
      </c>
      <c r="C105" s="107">
        <v>5.7</v>
      </c>
      <c r="D105" s="106"/>
    </row>
    <row r="106" spans="1:4" ht="15.75" outlineLevel="1" x14ac:dyDescent="0.2">
      <c r="A106" s="105" t="s">
        <v>25</v>
      </c>
      <c r="B106" s="105" t="s">
        <v>93</v>
      </c>
      <c r="C106" s="105">
        <v>5.74</v>
      </c>
      <c r="D106" s="106"/>
    </row>
    <row r="107" spans="1:4" ht="15.75" outlineLevel="1" x14ac:dyDescent="0.2">
      <c r="A107" s="105" t="s">
        <v>25</v>
      </c>
      <c r="B107" s="105" t="s">
        <v>144</v>
      </c>
      <c r="C107" s="105">
        <v>5.76</v>
      </c>
      <c r="D107" s="106"/>
    </row>
    <row r="108" spans="1:4" ht="15.75" outlineLevel="1" x14ac:dyDescent="0.2">
      <c r="A108" s="105" t="s">
        <v>25</v>
      </c>
      <c r="B108" s="105" t="s">
        <v>145</v>
      </c>
      <c r="C108" s="105">
        <v>5.89</v>
      </c>
      <c r="D108" s="108" t="s">
        <v>1996</v>
      </c>
    </row>
    <row r="109" spans="1:4" ht="15.75" outlineLevel="1" x14ac:dyDescent="0.2">
      <c r="A109" s="105" t="s">
        <v>25</v>
      </c>
      <c r="B109" s="105" t="s">
        <v>95</v>
      </c>
      <c r="C109" s="105">
        <v>5.58</v>
      </c>
      <c r="D109" s="106"/>
    </row>
    <row r="110" spans="1:4" ht="15.75" outlineLevel="1" x14ac:dyDescent="0.2">
      <c r="A110" s="105" t="s">
        <v>25</v>
      </c>
      <c r="B110" s="105" t="s">
        <v>94</v>
      </c>
      <c r="C110" s="105">
        <v>5.62</v>
      </c>
      <c r="D110" s="106"/>
    </row>
    <row r="111" spans="1:4" ht="15.75" outlineLevel="1" x14ac:dyDescent="0.2">
      <c r="A111" s="105" t="s">
        <v>25</v>
      </c>
      <c r="B111" s="105" t="s">
        <v>64</v>
      </c>
      <c r="C111" s="105">
        <v>5.54</v>
      </c>
      <c r="D111" s="106"/>
    </row>
    <row r="112" spans="1:4" ht="15.75" outlineLevel="1" x14ac:dyDescent="0.2">
      <c r="A112" s="105" t="s">
        <v>25</v>
      </c>
      <c r="B112" s="105" t="s">
        <v>96</v>
      </c>
      <c r="C112" s="105">
        <v>5.55</v>
      </c>
      <c r="D112" s="106"/>
    </row>
    <row r="113" spans="1:4" ht="15.75" outlineLevel="1" x14ac:dyDescent="0.2">
      <c r="A113" s="105" t="s">
        <v>25</v>
      </c>
      <c r="B113" s="105" t="s">
        <v>97</v>
      </c>
      <c r="C113" s="105">
        <v>5.65</v>
      </c>
      <c r="D113" s="106"/>
    </row>
    <row r="114" spans="1:4" ht="15.75" outlineLevel="1" x14ac:dyDescent="0.2">
      <c r="A114" s="105" t="s">
        <v>25</v>
      </c>
      <c r="B114" s="105" t="s">
        <v>146</v>
      </c>
      <c r="C114" s="105">
        <v>5.66</v>
      </c>
      <c r="D114" s="106"/>
    </row>
    <row r="115" spans="1:4" ht="15.75" outlineLevel="1" x14ac:dyDescent="0.2">
      <c r="A115" s="105" t="s">
        <v>25</v>
      </c>
      <c r="B115" s="105" t="s">
        <v>20</v>
      </c>
      <c r="C115" s="105">
        <v>5.68</v>
      </c>
      <c r="D115" s="106"/>
    </row>
    <row r="116" spans="1:4" ht="15.75" outlineLevel="1" x14ac:dyDescent="0.2">
      <c r="A116" s="105" t="s">
        <v>25</v>
      </c>
      <c r="B116" s="105" t="s">
        <v>98</v>
      </c>
      <c r="C116" s="105">
        <v>5.45</v>
      </c>
      <c r="D116" s="106"/>
    </row>
    <row r="117" spans="1:4" ht="15.75" outlineLevel="1" x14ac:dyDescent="0.2">
      <c r="A117" s="105" t="s">
        <v>25</v>
      </c>
      <c r="B117" s="105" t="s">
        <v>67</v>
      </c>
      <c r="C117" s="105">
        <v>5.47</v>
      </c>
      <c r="D117" s="106"/>
    </row>
    <row r="118" spans="1:4" ht="15.75" outlineLevel="1" x14ac:dyDescent="0.2">
      <c r="A118" s="105" t="s">
        <v>25</v>
      </c>
      <c r="B118" s="105" t="s">
        <v>68</v>
      </c>
      <c r="C118" s="105">
        <v>5.48</v>
      </c>
      <c r="D118" s="106"/>
    </row>
    <row r="119" spans="1:4" ht="15.75" x14ac:dyDescent="0.2">
      <c r="A119" s="109" t="s">
        <v>25</v>
      </c>
      <c r="B119" s="105"/>
      <c r="C119" s="105"/>
      <c r="D119" s="106"/>
    </row>
    <row r="120" spans="1:4" ht="15.75" outlineLevel="1" x14ac:dyDescent="0.2">
      <c r="A120" s="105" t="s">
        <v>2000</v>
      </c>
      <c r="B120" s="105" t="s">
        <v>52</v>
      </c>
      <c r="C120" s="105">
        <v>5.0999999999999996</v>
      </c>
      <c r="D120" s="106"/>
    </row>
    <row r="121" spans="1:4" ht="15.75" outlineLevel="1" x14ac:dyDescent="0.2">
      <c r="A121" s="105" t="s">
        <v>2000</v>
      </c>
      <c r="B121" s="105" t="s">
        <v>53</v>
      </c>
      <c r="C121" s="105">
        <v>5.2</v>
      </c>
      <c r="D121" s="106"/>
    </row>
    <row r="122" spans="1:4" ht="15.75" outlineLevel="1" x14ac:dyDescent="0.2">
      <c r="A122" s="105" t="s">
        <v>2000</v>
      </c>
      <c r="B122" s="105" t="s">
        <v>85</v>
      </c>
      <c r="C122" s="105">
        <v>5.3</v>
      </c>
      <c r="D122" s="106"/>
    </row>
    <row r="123" spans="1:4" ht="15.75" outlineLevel="1" x14ac:dyDescent="0.2">
      <c r="A123" s="105" t="s">
        <v>2000</v>
      </c>
      <c r="B123" s="105" t="s">
        <v>138</v>
      </c>
      <c r="C123" s="105">
        <v>5.6</v>
      </c>
      <c r="D123" s="106"/>
    </row>
    <row r="124" spans="1:4" ht="15.75" outlineLevel="1" x14ac:dyDescent="0.2">
      <c r="A124" s="105" t="s">
        <v>2000</v>
      </c>
      <c r="B124" s="105" t="s">
        <v>1998</v>
      </c>
      <c r="C124" s="107">
        <v>5.0999999999999996</v>
      </c>
      <c r="D124" s="106"/>
    </row>
    <row r="125" spans="1:4" ht="15.75" outlineLevel="1" x14ac:dyDescent="0.2">
      <c r="A125" s="105" t="s">
        <v>2000</v>
      </c>
      <c r="B125" s="105" t="s">
        <v>1997</v>
      </c>
      <c r="C125" s="105">
        <v>5.14</v>
      </c>
      <c r="D125" s="106"/>
    </row>
    <row r="126" spans="1:4" ht="15.75" outlineLevel="1" x14ac:dyDescent="0.2">
      <c r="A126" s="105" t="s">
        <v>2000</v>
      </c>
      <c r="B126" s="105" t="s">
        <v>87</v>
      </c>
      <c r="C126" s="105">
        <v>5.19</v>
      </c>
      <c r="D126" s="106"/>
    </row>
    <row r="127" spans="1:4" ht="15.75" outlineLevel="1" x14ac:dyDescent="0.2">
      <c r="A127" s="105" t="s">
        <v>2000</v>
      </c>
      <c r="B127" s="105" t="s">
        <v>140</v>
      </c>
      <c r="C127" s="105">
        <v>5.24</v>
      </c>
      <c r="D127" s="106"/>
    </row>
    <row r="128" spans="1:4" ht="15.75" outlineLevel="1" x14ac:dyDescent="0.2">
      <c r="A128" s="105" t="s">
        <v>2000</v>
      </c>
      <c r="B128" s="105" t="s">
        <v>57</v>
      </c>
      <c r="C128" s="105">
        <v>5.26</v>
      </c>
      <c r="D128" s="106"/>
    </row>
    <row r="129" spans="1:4" ht="15.75" outlineLevel="1" x14ac:dyDescent="0.2">
      <c r="A129" s="105" t="s">
        <v>2000</v>
      </c>
      <c r="B129" s="105" t="s">
        <v>58</v>
      </c>
      <c r="C129" s="105">
        <v>5.27</v>
      </c>
      <c r="D129" s="106"/>
    </row>
    <row r="130" spans="1:4" ht="15.75" outlineLevel="1" x14ac:dyDescent="0.2">
      <c r="A130" s="105" t="s">
        <v>2000</v>
      </c>
      <c r="B130" s="105" t="s">
        <v>88</v>
      </c>
      <c r="C130" s="105">
        <v>5.28</v>
      </c>
      <c r="D130" s="106"/>
    </row>
    <row r="131" spans="1:4" ht="15.75" outlineLevel="1" x14ac:dyDescent="0.2">
      <c r="A131" s="105" t="s">
        <v>2000</v>
      </c>
      <c r="B131" s="105" t="s">
        <v>148</v>
      </c>
      <c r="C131" s="105">
        <v>5.29</v>
      </c>
      <c r="D131" s="106"/>
    </row>
    <row r="132" spans="1:4" ht="15.75" outlineLevel="1" x14ac:dyDescent="0.2">
      <c r="A132" s="105" t="s">
        <v>2000</v>
      </c>
      <c r="B132" s="105" t="s">
        <v>89</v>
      </c>
      <c r="C132" s="107">
        <v>5.3</v>
      </c>
      <c r="D132" s="106"/>
    </row>
    <row r="133" spans="1:4" ht="15.75" outlineLevel="1" x14ac:dyDescent="0.2">
      <c r="A133" s="105" t="s">
        <v>2000</v>
      </c>
      <c r="B133" s="105" t="s">
        <v>141</v>
      </c>
      <c r="C133" s="105">
        <v>5.31</v>
      </c>
      <c r="D133" s="106"/>
    </row>
    <row r="134" spans="1:4" ht="15.75" outlineLevel="1" x14ac:dyDescent="0.2">
      <c r="A134" s="105" t="s">
        <v>2000</v>
      </c>
      <c r="B134" s="105" t="s">
        <v>59</v>
      </c>
      <c r="C134" s="105">
        <v>5.36</v>
      </c>
      <c r="D134" s="106"/>
    </row>
    <row r="135" spans="1:4" ht="15.75" outlineLevel="1" x14ac:dyDescent="0.2">
      <c r="A135" s="105" t="s">
        <v>2000</v>
      </c>
      <c r="B135" s="105" t="s">
        <v>62</v>
      </c>
      <c r="C135" s="105">
        <v>5.53</v>
      </c>
      <c r="D135" s="106"/>
    </row>
    <row r="136" spans="1:4" ht="15.75" outlineLevel="1" x14ac:dyDescent="0.2">
      <c r="A136" s="105" t="s">
        <v>2000</v>
      </c>
      <c r="B136" s="105" t="s">
        <v>95</v>
      </c>
      <c r="C136" s="105">
        <v>5.58</v>
      </c>
      <c r="D136" s="106"/>
    </row>
    <row r="137" spans="1:4" ht="15.75" outlineLevel="1" x14ac:dyDescent="0.2">
      <c r="A137" s="105" t="s">
        <v>2000</v>
      </c>
      <c r="B137" s="105" t="s">
        <v>94</v>
      </c>
      <c r="C137" s="105">
        <v>5.62</v>
      </c>
      <c r="D137" s="106"/>
    </row>
    <row r="138" spans="1:4" ht="15.75" outlineLevel="1" x14ac:dyDescent="0.2">
      <c r="A138" s="105" t="s">
        <v>2000</v>
      </c>
      <c r="B138" s="105" t="s">
        <v>64</v>
      </c>
      <c r="C138" s="105">
        <v>5.54</v>
      </c>
      <c r="D138" s="106"/>
    </row>
    <row r="139" spans="1:4" ht="15.75" outlineLevel="1" x14ac:dyDescent="0.2">
      <c r="A139" s="105" t="s">
        <v>2000</v>
      </c>
      <c r="B139" s="105" t="s">
        <v>96</v>
      </c>
      <c r="C139" s="105">
        <v>5.55</v>
      </c>
      <c r="D139" s="106"/>
    </row>
    <row r="140" spans="1:4" ht="15.75" outlineLevel="1" x14ac:dyDescent="0.2">
      <c r="A140" s="105" t="s">
        <v>2000</v>
      </c>
      <c r="B140" s="105" t="s">
        <v>66</v>
      </c>
      <c r="C140" s="105">
        <v>5.63</v>
      </c>
      <c r="D140" s="106"/>
    </row>
    <row r="141" spans="1:4" ht="15.75" outlineLevel="1" x14ac:dyDescent="0.2">
      <c r="A141" s="105" t="s">
        <v>2000</v>
      </c>
      <c r="B141" s="105" t="s">
        <v>98</v>
      </c>
      <c r="C141" s="105">
        <v>5.45</v>
      </c>
      <c r="D141" s="106"/>
    </row>
    <row r="142" spans="1:4" ht="15.75" outlineLevel="1" x14ac:dyDescent="0.2">
      <c r="A142" s="105" t="s">
        <v>2000</v>
      </c>
      <c r="B142" s="105" t="s">
        <v>67</v>
      </c>
      <c r="C142" s="105">
        <v>5.47</v>
      </c>
      <c r="D142" s="106"/>
    </row>
    <row r="143" spans="1:4" ht="15.75" outlineLevel="1" x14ac:dyDescent="0.2">
      <c r="A143" s="105" t="s">
        <v>2000</v>
      </c>
      <c r="B143" s="105" t="s">
        <v>68</v>
      </c>
      <c r="C143" s="105">
        <v>5.48</v>
      </c>
      <c r="D143" s="106"/>
    </row>
    <row r="144" spans="1:4" ht="15.75" x14ac:dyDescent="0.2">
      <c r="A144" s="109" t="s">
        <v>2000</v>
      </c>
      <c r="B144" s="105"/>
      <c r="C144" s="105"/>
      <c r="D144" s="106"/>
    </row>
    <row r="145" spans="1:4" ht="15.75" outlineLevel="1" x14ac:dyDescent="0.2">
      <c r="A145" s="105" t="s">
        <v>27</v>
      </c>
      <c r="B145" s="105" t="s">
        <v>52</v>
      </c>
      <c r="C145" s="105">
        <v>5.0999999999999996</v>
      </c>
      <c r="D145" s="106"/>
    </row>
    <row r="146" spans="1:4" ht="15.75" outlineLevel="1" x14ac:dyDescent="0.2">
      <c r="A146" s="105" t="s">
        <v>27</v>
      </c>
      <c r="B146" s="105" t="s">
        <v>53</v>
      </c>
      <c r="C146" s="105">
        <v>5.2</v>
      </c>
      <c r="D146" s="106"/>
    </row>
    <row r="147" spans="1:4" ht="15.75" outlineLevel="1" x14ac:dyDescent="0.2">
      <c r="A147" s="105" t="s">
        <v>27</v>
      </c>
      <c r="B147" s="105" t="s">
        <v>85</v>
      </c>
      <c r="C147" s="105">
        <v>5.3</v>
      </c>
      <c r="D147" s="106"/>
    </row>
    <row r="148" spans="1:4" ht="15.75" outlineLevel="1" x14ac:dyDescent="0.2">
      <c r="A148" s="105" t="s">
        <v>27</v>
      </c>
      <c r="B148" s="105" t="s">
        <v>138</v>
      </c>
      <c r="C148" s="105">
        <v>5.6</v>
      </c>
      <c r="D148" s="106"/>
    </row>
    <row r="149" spans="1:4" ht="15.75" outlineLevel="1" x14ac:dyDescent="0.2">
      <c r="A149" s="105" t="s">
        <v>27</v>
      </c>
      <c r="B149" s="105" t="s">
        <v>1998</v>
      </c>
      <c r="C149" s="107">
        <v>5.0999999999999996</v>
      </c>
      <c r="D149" s="106"/>
    </row>
    <row r="150" spans="1:4" ht="15.75" outlineLevel="1" x14ac:dyDescent="0.2">
      <c r="A150" s="105" t="s">
        <v>27</v>
      </c>
      <c r="B150" s="105" t="s">
        <v>1997</v>
      </c>
      <c r="C150" s="105">
        <v>5.14</v>
      </c>
      <c r="D150" s="106"/>
    </row>
    <row r="151" spans="1:4" ht="15.75" outlineLevel="1" x14ac:dyDescent="0.2">
      <c r="A151" s="105" t="s">
        <v>27</v>
      </c>
      <c r="B151" s="105" t="s">
        <v>87</v>
      </c>
      <c r="C151" s="105">
        <v>5.19</v>
      </c>
      <c r="D151" s="106"/>
    </row>
    <row r="152" spans="1:4" ht="15.75" outlineLevel="1" x14ac:dyDescent="0.2">
      <c r="A152" s="105" t="s">
        <v>27</v>
      </c>
      <c r="B152" s="105" t="s">
        <v>140</v>
      </c>
      <c r="C152" s="105">
        <v>5.24</v>
      </c>
      <c r="D152" s="106"/>
    </row>
    <row r="153" spans="1:4" ht="15.75" outlineLevel="1" x14ac:dyDescent="0.2">
      <c r="A153" s="105" t="s">
        <v>27</v>
      </c>
      <c r="B153" s="105" t="s">
        <v>57</v>
      </c>
      <c r="C153" s="105">
        <v>5.26</v>
      </c>
      <c r="D153" s="106"/>
    </row>
    <row r="154" spans="1:4" ht="15.75" outlineLevel="1" x14ac:dyDescent="0.2">
      <c r="A154" s="105" t="s">
        <v>27</v>
      </c>
      <c r="B154" s="105" t="s">
        <v>58</v>
      </c>
      <c r="C154" s="105">
        <v>5.27</v>
      </c>
      <c r="D154" s="106"/>
    </row>
    <row r="155" spans="1:4" ht="15.75" outlineLevel="1" x14ac:dyDescent="0.2">
      <c r="A155" s="105" t="s">
        <v>27</v>
      </c>
      <c r="B155" s="105" t="s">
        <v>88</v>
      </c>
      <c r="C155" s="105">
        <v>5.28</v>
      </c>
      <c r="D155" s="106"/>
    </row>
    <row r="156" spans="1:4" ht="15.75" outlineLevel="1" x14ac:dyDescent="0.2">
      <c r="A156" s="105" t="s">
        <v>27</v>
      </c>
      <c r="B156" s="105" t="s">
        <v>89</v>
      </c>
      <c r="C156" s="107">
        <v>5.3</v>
      </c>
      <c r="D156" s="106"/>
    </row>
    <row r="157" spans="1:4" ht="15.75" outlineLevel="1" x14ac:dyDescent="0.2">
      <c r="A157" s="105" t="s">
        <v>27</v>
      </c>
      <c r="B157" s="105" t="s">
        <v>792</v>
      </c>
      <c r="C157" s="105">
        <v>5.32</v>
      </c>
      <c r="D157" s="106"/>
    </row>
    <row r="158" spans="1:4" ht="15.75" outlineLevel="1" x14ac:dyDescent="0.2">
      <c r="A158" s="105" t="s">
        <v>27</v>
      </c>
      <c r="B158" s="105" t="s">
        <v>59</v>
      </c>
      <c r="C158" s="105">
        <v>5.36</v>
      </c>
      <c r="D158" s="106"/>
    </row>
    <row r="159" spans="1:4" ht="15.75" outlineLevel="1" x14ac:dyDescent="0.2">
      <c r="A159" s="105" t="s">
        <v>27</v>
      </c>
      <c r="B159" s="105" t="s">
        <v>62</v>
      </c>
      <c r="C159" s="105">
        <v>5.53</v>
      </c>
      <c r="D159" s="106"/>
    </row>
    <row r="160" spans="1:4" ht="15.75" outlineLevel="1" x14ac:dyDescent="0.2">
      <c r="A160" s="105" t="s">
        <v>27</v>
      </c>
      <c r="B160" s="105" t="s">
        <v>95</v>
      </c>
      <c r="C160" s="105">
        <v>5.58</v>
      </c>
      <c r="D160" s="106"/>
    </row>
    <row r="161" spans="1:5" ht="15.75" outlineLevel="1" x14ac:dyDescent="0.2">
      <c r="A161" s="105" t="s">
        <v>27</v>
      </c>
      <c r="B161" s="105" t="s">
        <v>64</v>
      </c>
      <c r="C161" s="105">
        <v>5.54</v>
      </c>
      <c r="D161" s="106"/>
    </row>
    <row r="162" spans="1:5" ht="15.75" outlineLevel="1" x14ac:dyDescent="0.2">
      <c r="A162" s="105" t="s">
        <v>27</v>
      </c>
      <c r="B162" s="105" t="s">
        <v>96</v>
      </c>
      <c r="C162" s="105">
        <v>5.55</v>
      </c>
      <c r="D162" s="106"/>
    </row>
    <row r="163" spans="1:5" ht="15.75" outlineLevel="1" x14ac:dyDescent="0.2">
      <c r="A163" s="105" t="s">
        <v>27</v>
      </c>
      <c r="B163" s="105" t="s">
        <v>94</v>
      </c>
      <c r="C163" s="105">
        <v>5.62</v>
      </c>
      <c r="D163" s="106"/>
      <c r="E163" s="39" t="s">
        <v>2001</v>
      </c>
    </row>
    <row r="164" spans="1:5" ht="15.75" outlineLevel="1" x14ac:dyDescent="0.2">
      <c r="A164" s="105" t="s">
        <v>27</v>
      </c>
      <c r="B164" s="105" t="s">
        <v>66</v>
      </c>
      <c r="C164" s="105">
        <v>5.63</v>
      </c>
      <c r="D164" s="106"/>
    </row>
    <row r="165" spans="1:5" ht="15.75" outlineLevel="1" x14ac:dyDescent="0.2">
      <c r="A165" s="105" t="s">
        <v>27</v>
      </c>
      <c r="B165" s="105" t="s">
        <v>98</v>
      </c>
      <c r="C165" s="105">
        <v>5.45</v>
      </c>
      <c r="D165" s="106"/>
    </row>
    <row r="166" spans="1:5" ht="15.75" outlineLevel="1" x14ac:dyDescent="0.2">
      <c r="A166" s="105" t="s">
        <v>27</v>
      </c>
      <c r="B166" s="105" t="s">
        <v>67</v>
      </c>
      <c r="C166" s="105">
        <v>5.47</v>
      </c>
      <c r="D166" s="106"/>
    </row>
    <row r="167" spans="1:5" ht="15.75" outlineLevel="1" x14ac:dyDescent="0.2">
      <c r="A167" s="105" t="s">
        <v>27</v>
      </c>
      <c r="B167" s="105" t="s">
        <v>68</v>
      </c>
      <c r="C167" s="105">
        <v>5.48</v>
      </c>
      <c r="D167" s="106"/>
    </row>
    <row r="168" spans="1:5" ht="15.75" x14ac:dyDescent="0.2">
      <c r="A168" s="109" t="s">
        <v>27</v>
      </c>
      <c r="B168" s="105"/>
      <c r="C168" s="105"/>
      <c r="D168" s="106"/>
    </row>
    <row r="169" spans="1:5" ht="15.75" outlineLevel="1" x14ac:dyDescent="0.2">
      <c r="A169" s="105" t="s">
        <v>28</v>
      </c>
      <c r="B169" s="105" t="s">
        <v>52</v>
      </c>
      <c r="C169" s="105">
        <v>5.0999999999999996</v>
      </c>
      <c r="D169" s="106"/>
    </row>
    <row r="170" spans="1:5" ht="15.75" outlineLevel="1" x14ac:dyDescent="0.2">
      <c r="A170" s="105" t="s">
        <v>28</v>
      </c>
      <c r="B170" s="105" t="s">
        <v>53</v>
      </c>
      <c r="C170" s="105">
        <v>5.2</v>
      </c>
      <c r="D170" s="106"/>
    </row>
    <row r="171" spans="1:5" ht="15.75" outlineLevel="1" x14ac:dyDescent="0.2">
      <c r="A171" s="105" t="s">
        <v>28</v>
      </c>
      <c r="B171" s="105" t="s">
        <v>85</v>
      </c>
      <c r="C171" s="105">
        <v>5.3</v>
      </c>
      <c r="D171" s="106"/>
    </row>
    <row r="172" spans="1:5" ht="15.75" outlineLevel="1" x14ac:dyDescent="0.2">
      <c r="A172" s="105" t="s">
        <v>28</v>
      </c>
      <c r="B172" s="105" t="s">
        <v>138</v>
      </c>
      <c r="C172" s="105">
        <v>5.6</v>
      </c>
      <c r="D172" s="106"/>
    </row>
    <row r="173" spans="1:5" ht="15.75" outlineLevel="1" x14ac:dyDescent="0.2">
      <c r="A173" s="105" t="s">
        <v>28</v>
      </c>
      <c r="B173" s="105" t="s">
        <v>1998</v>
      </c>
      <c r="C173" s="107">
        <v>5.0999999999999996</v>
      </c>
      <c r="D173" s="106"/>
    </row>
    <row r="174" spans="1:5" ht="15.75" outlineLevel="1" x14ac:dyDescent="0.2">
      <c r="A174" s="105" t="s">
        <v>28</v>
      </c>
      <c r="B174" s="105" t="s">
        <v>1997</v>
      </c>
      <c r="C174" s="105">
        <v>5.14</v>
      </c>
      <c r="D174" s="106"/>
    </row>
    <row r="175" spans="1:5" ht="15.75" outlineLevel="1" x14ac:dyDescent="0.2">
      <c r="A175" s="105" t="s">
        <v>28</v>
      </c>
      <c r="B175" s="105" t="s">
        <v>87</v>
      </c>
      <c r="C175" s="105">
        <v>5.19</v>
      </c>
      <c r="D175" s="106"/>
    </row>
    <row r="176" spans="1:5" ht="15.75" outlineLevel="1" x14ac:dyDescent="0.2">
      <c r="A176" s="105" t="s">
        <v>28</v>
      </c>
      <c r="B176" s="105" t="s">
        <v>140</v>
      </c>
      <c r="C176" s="105">
        <v>5.24</v>
      </c>
      <c r="D176" s="106"/>
    </row>
    <row r="177" spans="1:4" ht="15.75" outlineLevel="1" x14ac:dyDescent="0.2">
      <c r="A177" s="105" t="s">
        <v>28</v>
      </c>
      <c r="B177" s="105" t="s">
        <v>57</v>
      </c>
      <c r="C177" s="105">
        <v>5.26</v>
      </c>
      <c r="D177" s="106"/>
    </row>
    <row r="178" spans="1:4" ht="15.75" outlineLevel="1" x14ac:dyDescent="0.2">
      <c r="A178" s="105" t="s">
        <v>28</v>
      </c>
      <c r="B178" s="105" t="s">
        <v>58</v>
      </c>
      <c r="C178" s="105">
        <v>5.27</v>
      </c>
      <c r="D178" s="106"/>
    </row>
    <row r="179" spans="1:4" ht="15.75" outlineLevel="1" x14ac:dyDescent="0.2">
      <c r="A179" s="105" t="s">
        <v>28</v>
      </c>
      <c r="B179" s="105" t="s">
        <v>88</v>
      </c>
      <c r="C179" s="105">
        <v>5.28</v>
      </c>
      <c r="D179" s="106"/>
    </row>
    <row r="180" spans="1:4" ht="15.75" outlineLevel="1" x14ac:dyDescent="0.2">
      <c r="A180" s="105" t="s">
        <v>28</v>
      </c>
      <c r="B180" s="105" t="s">
        <v>148</v>
      </c>
      <c r="C180" s="105">
        <v>5.29</v>
      </c>
      <c r="D180" s="106"/>
    </row>
    <row r="181" spans="1:4" ht="15.75" outlineLevel="1" x14ac:dyDescent="0.2">
      <c r="A181" s="105" t="s">
        <v>28</v>
      </c>
      <c r="B181" s="105" t="s">
        <v>89</v>
      </c>
      <c r="C181" s="107">
        <v>5.3</v>
      </c>
      <c r="D181" s="106"/>
    </row>
    <row r="182" spans="1:4" ht="15.75" outlineLevel="1" x14ac:dyDescent="0.2">
      <c r="A182" s="105" t="s">
        <v>28</v>
      </c>
      <c r="B182" s="105" t="s">
        <v>792</v>
      </c>
      <c r="C182" s="105">
        <v>5.32</v>
      </c>
      <c r="D182" s="106"/>
    </row>
    <row r="183" spans="1:4" ht="15.75" outlineLevel="1" x14ac:dyDescent="0.2">
      <c r="A183" s="105" t="s">
        <v>28</v>
      </c>
      <c r="B183" s="105" t="s">
        <v>59</v>
      </c>
      <c r="C183" s="105">
        <v>5.36</v>
      </c>
      <c r="D183" s="106"/>
    </row>
    <row r="184" spans="1:4" ht="15.75" outlineLevel="1" x14ac:dyDescent="0.2">
      <c r="A184" s="105" t="s">
        <v>28</v>
      </c>
      <c r="B184" s="105" t="s">
        <v>62</v>
      </c>
      <c r="C184" s="105">
        <v>5.53</v>
      </c>
      <c r="D184" s="106"/>
    </row>
    <row r="185" spans="1:4" ht="15.75" outlineLevel="1" x14ac:dyDescent="0.2">
      <c r="A185" s="105" t="s">
        <v>28</v>
      </c>
      <c r="B185" s="105" t="s">
        <v>95</v>
      </c>
      <c r="C185" s="105">
        <v>5.58</v>
      </c>
      <c r="D185" s="106"/>
    </row>
    <row r="186" spans="1:4" ht="15.75" outlineLevel="1" x14ac:dyDescent="0.2">
      <c r="A186" s="105" t="s">
        <v>28</v>
      </c>
      <c r="B186" s="105" t="s">
        <v>64</v>
      </c>
      <c r="C186" s="105">
        <v>5.54</v>
      </c>
      <c r="D186" s="106"/>
    </row>
    <row r="187" spans="1:4" ht="15.75" outlineLevel="1" x14ac:dyDescent="0.2">
      <c r="A187" s="105" t="s">
        <v>28</v>
      </c>
      <c r="B187" s="105" t="s">
        <v>96</v>
      </c>
      <c r="C187" s="105">
        <v>5.55</v>
      </c>
      <c r="D187" s="106"/>
    </row>
    <row r="188" spans="1:4" ht="15.75" outlineLevel="1" x14ac:dyDescent="0.2">
      <c r="A188" s="105" t="s">
        <v>28</v>
      </c>
      <c r="B188" s="105" t="s">
        <v>66</v>
      </c>
      <c r="C188" s="105">
        <v>5.63</v>
      </c>
      <c r="D188" s="106"/>
    </row>
    <row r="189" spans="1:4" ht="15.75" outlineLevel="1" x14ac:dyDescent="0.2">
      <c r="A189" s="105" t="s">
        <v>28</v>
      </c>
      <c r="B189" s="105" t="s">
        <v>98</v>
      </c>
      <c r="C189" s="105">
        <v>5.45</v>
      </c>
      <c r="D189" s="106"/>
    </row>
    <row r="190" spans="1:4" ht="15.75" outlineLevel="1" x14ac:dyDescent="0.2">
      <c r="A190" s="105" t="s">
        <v>28</v>
      </c>
      <c r="B190" s="105" t="s">
        <v>67</v>
      </c>
      <c r="C190" s="105">
        <v>5.47</v>
      </c>
      <c r="D190" s="106"/>
    </row>
    <row r="191" spans="1:4" ht="15.75" outlineLevel="1" x14ac:dyDescent="0.2">
      <c r="A191" s="105" t="s">
        <v>28</v>
      </c>
      <c r="B191" s="105" t="s">
        <v>68</v>
      </c>
      <c r="C191" s="105">
        <v>5.48</v>
      </c>
      <c r="D191" s="106"/>
    </row>
    <row r="192" spans="1:4" ht="15.75" x14ac:dyDescent="0.2">
      <c r="A192" s="109" t="s">
        <v>28</v>
      </c>
      <c r="B192" s="105"/>
      <c r="C192" s="105"/>
      <c r="D192" s="106"/>
    </row>
    <row r="193" spans="1:4" ht="15.75" outlineLevel="1" x14ac:dyDescent="0.2">
      <c r="A193" s="105" t="s">
        <v>29</v>
      </c>
      <c r="B193" s="105" t="s">
        <v>52</v>
      </c>
      <c r="C193" s="105">
        <v>5.0999999999999996</v>
      </c>
      <c r="D193" s="106"/>
    </row>
    <row r="194" spans="1:4" ht="15.75" outlineLevel="1" x14ac:dyDescent="0.2">
      <c r="A194" s="105" t="s">
        <v>29</v>
      </c>
      <c r="B194" s="105" t="s">
        <v>53</v>
      </c>
      <c r="C194" s="105">
        <v>5.2</v>
      </c>
      <c r="D194" s="106"/>
    </row>
    <row r="195" spans="1:4" ht="15.75" outlineLevel="1" x14ac:dyDescent="0.2">
      <c r="A195" s="105" t="s">
        <v>29</v>
      </c>
      <c r="B195" s="105" t="s">
        <v>85</v>
      </c>
      <c r="C195" s="105">
        <v>5.3</v>
      </c>
      <c r="D195" s="106"/>
    </row>
    <row r="196" spans="1:4" ht="15.75" outlineLevel="1" x14ac:dyDescent="0.2">
      <c r="A196" s="105" t="s">
        <v>29</v>
      </c>
      <c r="B196" s="105" t="s">
        <v>138</v>
      </c>
      <c r="C196" s="105">
        <v>5.6</v>
      </c>
      <c r="D196" s="106"/>
    </row>
    <row r="197" spans="1:4" ht="15.75" outlineLevel="1" x14ac:dyDescent="0.2">
      <c r="A197" s="105" t="s">
        <v>29</v>
      </c>
      <c r="B197" s="105" t="s">
        <v>1998</v>
      </c>
      <c r="C197" s="107">
        <v>5.0999999999999996</v>
      </c>
      <c r="D197" s="106"/>
    </row>
    <row r="198" spans="1:4" ht="15.75" outlineLevel="1" x14ac:dyDescent="0.2">
      <c r="A198" s="105" t="s">
        <v>29</v>
      </c>
      <c r="B198" s="105" t="s">
        <v>1997</v>
      </c>
      <c r="C198" s="105">
        <v>5.14</v>
      </c>
      <c r="D198" s="106"/>
    </row>
    <row r="199" spans="1:4" ht="15.75" outlineLevel="1" x14ac:dyDescent="0.2">
      <c r="A199" s="105" t="s">
        <v>29</v>
      </c>
      <c r="B199" s="105" t="s">
        <v>87</v>
      </c>
      <c r="C199" s="105">
        <v>5.19</v>
      </c>
      <c r="D199" s="106"/>
    </row>
    <row r="200" spans="1:4" ht="15.75" outlineLevel="1" x14ac:dyDescent="0.2">
      <c r="A200" s="105" t="s">
        <v>29</v>
      </c>
      <c r="B200" s="105" t="s">
        <v>140</v>
      </c>
      <c r="C200" s="105">
        <v>5.24</v>
      </c>
      <c r="D200" s="106"/>
    </row>
    <row r="201" spans="1:4" ht="15.75" outlineLevel="1" x14ac:dyDescent="0.2">
      <c r="A201" s="105" t="s">
        <v>29</v>
      </c>
      <c r="B201" s="105" t="s">
        <v>58</v>
      </c>
      <c r="C201" s="105">
        <v>5.27</v>
      </c>
      <c r="D201" s="106"/>
    </row>
    <row r="202" spans="1:4" ht="15.75" outlineLevel="1" x14ac:dyDescent="0.2">
      <c r="A202" s="105" t="s">
        <v>29</v>
      </c>
      <c r="B202" s="105" t="s">
        <v>88</v>
      </c>
      <c r="C202" s="105">
        <v>5.28</v>
      </c>
      <c r="D202" s="106"/>
    </row>
    <row r="203" spans="1:4" ht="15.75" outlineLevel="1" x14ac:dyDescent="0.2">
      <c r="A203" s="105" t="s">
        <v>29</v>
      </c>
      <c r="B203" s="105" t="s">
        <v>148</v>
      </c>
      <c r="C203" s="105">
        <v>5.29</v>
      </c>
      <c r="D203" s="106"/>
    </row>
    <row r="204" spans="1:4" ht="15.75" outlineLevel="1" x14ac:dyDescent="0.2">
      <c r="A204" s="105" t="s">
        <v>29</v>
      </c>
      <c r="B204" s="105" t="s">
        <v>89</v>
      </c>
      <c r="C204" s="107">
        <v>5.3</v>
      </c>
      <c r="D204" s="106"/>
    </row>
    <row r="205" spans="1:4" ht="15.75" outlineLevel="1" x14ac:dyDescent="0.2">
      <c r="A205" s="105" t="s">
        <v>29</v>
      </c>
      <c r="B205" s="105" t="s">
        <v>919</v>
      </c>
      <c r="C205" s="105">
        <v>5.34</v>
      </c>
      <c r="D205" s="106"/>
    </row>
    <row r="206" spans="1:4" ht="15.75" outlineLevel="1" x14ac:dyDescent="0.2">
      <c r="A206" s="105" t="s">
        <v>29</v>
      </c>
      <c r="B206" s="105" t="s">
        <v>141</v>
      </c>
      <c r="C206" s="105">
        <v>5.31</v>
      </c>
      <c r="D206" s="106"/>
    </row>
    <row r="207" spans="1:4" ht="15.75" outlineLevel="1" x14ac:dyDescent="0.2">
      <c r="A207" s="105" t="s">
        <v>29</v>
      </c>
      <c r="B207" s="105" t="s">
        <v>920</v>
      </c>
      <c r="C207" s="105">
        <v>5.1100000000000003</v>
      </c>
      <c r="D207" s="106"/>
    </row>
    <row r="208" spans="1:4" ht="15.75" outlineLevel="1" x14ac:dyDescent="0.2">
      <c r="A208" s="105" t="s">
        <v>29</v>
      </c>
      <c r="B208" s="105" t="s">
        <v>59</v>
      </c>
      <c r="C208" s="105">
        <v>5.36</v>
      </c>
      <c r="D208" s="106"/>
    </row>
    <row r="209" spans="1:4" ht="15.75" outlineLevel="1" x14ac:dyDescent="0.2">
      <c r="A209" s="105" t="s">
        <v>29</v>
      </c>
      <c r="B209" s="105" t="s">
        <v>62</v>
      </c>
      <c r="C209" s="105">
        <v>5.53</v>
      </c>
      <c r="D209" s="106"/>
    </row>
    <row r="210" spans="1:4" ht="15.75" outlineLevel="1" x14ac:dyDescent="0.2">
      <c r="A210" s="105" t="s">
        <v>29</v>
      </c>
      <c r="B210" s="105" t="s">
        <v>921</v>
      </c>
      <c r="C210" s="105">
        <v>5.12</v>
      </c>
      <c r="D210" s="106"/>
    </row>
    <row r="211" spans="1:4" ht="15.75" outlineLevel="1" x14ac:dyDescent="0.2">
      <c r="A211" s="105" t="s">
        <v>29</v>
      </c>
      <c r="B211" s="105" t="s">
        <v>922</v>
      </c>
      <c r="C211" s="110">
        <v>5.0999999999999996</v>
      </c>
      <c r="D211" s="106"/>
    </row>
    <row r="212" spans="1:4" ht="15.75" outlineLevel="1" x14ac:dyDescent="0.2">
      <c r="A212" s="105" t="s">
        <v>29</v>
      </c>
      <c r="B212" s="105" t="s">
        <v>95</v>
      </c>
      <c r="C212" s="105">
        <v>5.58</v>
      </c>
      <c r="D212" s="106"/>
    </row>
    <row r="213" spans="1:4" ht="15.75" outlineLevel="1" x14ac:dyDescent="0.2">
      <c r="A213" s="105" t="s">
        <v>29</v>
      </c>
      <c r="B213" s="105" t="s">
        <v>64</v>
      </c>
      <c r="C213" s="105">
        <v>5.54</v>
      </c>
      <c r="D213" s="106"/>
    </row>
    <row r="214" spans="1:4" ht="15.75" outlineLevel="1" x14ac:dyDescent="0.2">
      <c r="A214" s="105" t="s">
        <v>29</v>
      </c>
      <c r="B214" s="105" t="s">
        <v>96</v>
      </c>
      <c r="C214" s="105">
        <v>5.55</v>
      </c>
      <c r="D214" s="106"/>
    </row>
    <row r="215" spans="1:4" ht="15.75" outlineLevel="1" x14ac:dyDescent="0.2">
      <c r="A215" s="105" t="s">
        <v>29</v>
      </c>
      <c r="B215" s="105" t="s">
        <v>66</v>
      </c>
      <c r="C215" s="105">
        <v>5.63</v>
      </c>
      <c r="D215" s="106"/>
    </row>
    <row r="216" spans="1:4" ht="15.75" outlineLevel="1" x14ac:dyDescent="0.2">
      <c r="A216" s="105" t="s">
        <v>29</v>
      </c>
      <c r="B216" s="105" t="s">
        <v>67</v>
      </c>
      <c r="C216" s="105">
        <v>5.47</v>
      </c>
      <c r="D216" s="106"/>
    </row>
    <row r="217" spans="1:4" ht="15.75" outlineLevel="1" x14ac:dyDescent="0.2">
      <c r="A217" s="105" t="s">
        <v>29</v>
      </c>
      <c r="B217" s="105" t="s">
        <v>68</v>
      </c>
      <c r="C217" s="105">
        <v>5.48</v>
      </c>
      <c r="D217" s="106"/>
    </row>
    <row r="218" spans="1:4" ht="15.75" x14ac:dyDescent="0.2">
      <c r="A218" s="109" t="s">
        <v>29</v>
      </c>
      <c r="B218" s="105"/>
      <c r="C218" s="105"/>
      <c r="D218" s="106"/>
    </row>
    <row r="219" spans="1:4" ht="15.75" outlineLevel="1" x14ac:dyDescent="0.2">
      <c r="A219" s="105" t="s">
        <v>30</v>
      </c>
      <c r="B219" s="105" t="s">
        <v>52</v>
      </c>
      <c r="C219" s="105">
        <v>5.0999999999999996</v>
      </c>
      <c r="D219" s="106"/>
    </row>
    <row r="220" spans="1:4" ht="15.75" outlineLevel="1" x14ac:dyDescent="0.2">
      <c r="A220" s="105" t="s">
        <v>30</v>
      </c>
      <c r="B220" s="105" t="s">
        <v>53</v>
      </c>
      <c r="C220" s="105">
        <v>5.2</v>
      </c>
      <c r="D220" s="106"/>
    </row>
    <row r="221" spans="1:4" ht="15.75" outlineLevel="1" x14ac:dyDescent="0.2">
      <c r="A221" s="105" t="s">
        <v>30</v>
      </c>
      <c r="B221" s="105" t="s">
        <v>85</v>
      </c>
      <c r="C221" s="105">
        <v>5.3</v>
      </c>
      <c r="D221" s="106"/>
    </row>
    <row r="222" spans="1:4" ht="15.75" outlineLevel="1" x14ac:dyDescent="0.2">
      <c r="A222" s="105" t="s">
        <v>30</v>
      </c>
      <c r="B222" s="105" t="s">
        <v>138</v>
      </c>
      <c r="C222" s="105">
        <v>5.6</v>
      </c>
      <c r="D222" s="106"/>
    </row>
    <row r="223" spans="1:4" ht="15.75" outlineLevel="1" x14ac:dyDescent="0.2">
      <c r="A223" s="105" t="s">
        <v>30</v>
      </c>
      <c r="B223" s="105" t="s">
        <v>1998</v>
      </c>
      <c r="C223" s="107">
        <v>5.0999999999999996</v>
      </c>
      <c r="D223" s="106"/>
    </row>
    <row r="224" spans="1:4" ht="15.75" outlineLevel="1" x14ac:dyDescent="0.2">
      <c r="A224" s="105" t="s">
        <v>30</v>
      </c>
      <c r="B224" s="105" t="s">
        <v>1997</v>
      </c>
      <c r="C224" s="105">
        <v>5.14</v>
      </c>
      <c r="D224" s="106"/>
    </row>
    <row r="225" spans="1:4" ht="15.75" outlineLevel="1" x14ac:dyDescent="0.2">
      <c r="A225" s="105" t="s">
        <v>30</v>
      </c>
      <c r="B225" s="105" t="s">
        <v>87</v>
      </c>
      <c r="C225" s="105">
        <v>5.19</v>
      </c>
      <c r="D225" s="106"/>
    </row>
    <row r="226" spans="1:4" ht="15.75" outlineLevel="1" x14ac:dyDescent="0.2">
      <c r="A226" s="105" t="s">
        <v>30</v>
      </c>
      <c r="B226" s="105" t="s">
        <v>140</v>
      </c>
      <c r="C226" s="105">
        <v>5.24</v>
      </c>
      <c r="D226" s="106"/>
    </row>
    <row r="227" spans="1:4" ht="15.75" outlineLevel="1" x14ac:dyDescent="0.2">
      <c r="A227" s="105" t="s">
        <v>30</v>
      </c>
      <c r="B227" s="105" t="s">
        <v>57</v>
      </c>
      <c r="C227" s="105">
        <v>5.26</v>
      </c>
      <c r="D227" s="106"/>
    </row>
    <row r="228" spans="1:4" ht="15.75" outlineLevel="1" x14ac:dyDescent="0.2">
      <c r="A228" s="105" t="s">
        <v>30</v>
      </c>
      <c r="B228" s="105" t="s">
        <v>58</v>
      </c>
      <c r="C228" s="105">
        <v>5.27</v>
      </c>
      <c r="D228" s="106"/>
    </row>
    <row r="229" spans="1:4" ht="15.75" outlineLevel="1" x14ac:dyDescent="0.2">
      <c r="A229" s="105" t="s">
        <v>30</v>
      </c>
      <c r="B229" s="105" t="s">
        <v>88</v>
      </c>
      <c r="C229" s="105">
        <v>5.28</v>
      </c>
      <c r="D229" s="106"/>
    </row>
    <row r="230" spans="1:4" ht="15.75" outlineLevel="1" x14ac:dyDescent="0.2">
      <c r="A230" s="105" t="s">
        <v>30</v>
      </c>
      <c r="B230" s="105" t="s">
        <v>148</v>
      </c>
      <c r="C230" s="105">
        <v>5.29</v>
      </c>
      <c r="D230" s="106"/>
    </row>
    <row r="231" spans="1:4" ht="15.75" outlineLevel="1" x14ac:dyDescent="0.2">
      <c r="A231" s="105" t="s">
        <v>30</v>
      </c>
      <c r="B231" s="105" t="s">
        <v>89</v>
      </c>
      <c r="C231" s="107">
        <v>5.3</v>
      </c>
      <c r="D231" s="106"/>
    </row>
    <row r="232" spans="1:4" ht="15.75" outlineLevel="1" x14ac:dyDescent="0.2">
      <c r="A232" s="105" t="s">
        <v>30</v>
      </c>
      <c r="B232" s="105" t="s">
        <v>141</v>
      </c>
      <c r="C232" s="105">
        <v>5.31</v>
      </c>
      <c r="D232" s="106"/>
    </row>
    <row r="233" spans="1:4" ht="15.75" outlineLevel="1" x14ac:dyDescent="0.2">
      <c r="A233" s="105" t="s">
        <v>30</v>
      </c>
      <c r="B233" s="105" t="s">
        <v>928</v>
      </c>
      <c r="C233" s="105">
        <v>5.33</v>
      </c>
      <c r="D233" s="106"/>
    </row>
    <row r="234" spans="1:4" ht="15.75" outlineLevel="1" x14ac:dyDescent="0.2">
      <c r="A234" s="105" t="s">
        <v>30</v>
      </c>
      <c r="B234" s="105" t="s">
        <v>920</v>
      </c>
      <c r="C234" s="105">
        <v>5.1100000000000003</v>
      </c>
      <c r="D234" s="106"/>
    </row>
    <row r="235" spans="1:4" ht="15.75" outlineLevel="1" x14ac:dyDescent="0.2">
      <c r="A235" s="105" t="s">
        <v>30</v>
      </c>
      <c r="B235" s="105" t="s">
        <v>59</v>
      </c>
      <c r="C235" s="105">
        <v>5.36</v>
      </c>
      <c r="D235" s="106"/>
    </row>
    <row r="236" spans="1:4" ht="15.75" outlineLevel="1" x14ac:dyDescent="0.2">
      <c r="A236" s="105" t="s">
        <v>30</v>
      </c>
      <c r="B236" s="105" t="s">
        <v>62</v>
      </c>
      <c r="C236" s="105">
        <v>5.53</v>
      </c>
      <c r="D236" s="106"/>
    </row>
    <row r="237" spans="1:4" ht="15.75" outlineLevel="1" x14ac:dyDescent="0.2">
      <c r="A237" s="105" t="s">
        <v>30</v>
      </c>
      <c r="B237" s="105" t="s">
        <v>921</v>
      </c>
      <c r="C237" s="105">
        <v>5.12</v>
      </c>
      <c r="D237" s="106"/>
    </row>
    <row r="238" spans="1:4" ht="15.75" outlineLevel="1" x14ac:dyDescent="0.2">
      <c r="A238" s="105" t="s">
        <v>30</v>
      </c>
      <c r="B238" s="105" t="s">
        <v>95</v>
      </c>
      <c r="C238" s="105">
        <v>5.58</v>
      </c>
      <c r="D238" s="106"/>
    </row>
    <row r="239" spans="1:4" ht="15.75" outlineLevel="1" x14ac:dyDescent="0.2">
      <c r="A239" s="105" t="s">
        <v>30</v>
      </c>
      <c r="B239" s="105" t="s">
        <v>64</v>
      </c>
      <c r="C239" s="105">
        <v>5.54</v>
      </c>
      <c r="D239" s="106"/>
    </row>
    <row r="240" spans="1:4" ht="15.75" outlineLevel="1" x14ac:dyDescent="0.2">
      <c r="A240" s="105" t="s">
        <v>30</v>
      </c>
      <c r="B240" s="105" t="s">
        <v>96</v>
      </c>
      <c r="C240" s="105">
        <v>5.55</v>
      </c>
      <c r="D240" s="106"/>
    </row>
    <row r="241" spans="1:4" ht="15.75" outlineLevel="1" x14ac:dyDescent="0.2">
      <c r="A241" s="105" t="s">
        <v>30</v>
      </c>
      <c r="B241" s="105" t="s">
        <v>66</v>
      </c>
      <c r="C241" s="105">
        <v>5.63</v>
      </c>
      <c r="D241" s="106"/>
    </row>
    <row r="242" spans="1:4" ht="15.75" outlineLevel="1" x14ac:dyDescent="0.2">
      <c r="A242" s="105" t="s">
        <v>30</v>
      </c>
      <c r="B242" s="105" t="s">
        <v>67</v>
      </c>
      <c r="C242" s="105">
        <v>5.47</v>
      </c>
      <c r="D242" s="106"/>
    </row>
    <row r="243" spans="1:4" ht="15.75" outlineLevel="1" x14ac:dyDescent="0.2">
      <c r="A243" s="105" t="s">
        <v>30</v>
      </c>
      <c r="B243" s="105" t="s">
        <v>68</v>
      </c>
      <c r="C243" s="105">
        <v>5.48</v>
      </c>
      <c r="D243" s="106"/>
    </row>
    <row r="244" spans="1:4" ht="15.75" x14ac:dyDescent="0.2">
      <c r="A244" s="109" t="s">
        <v>30</v>
      </c>
      <c r="B244" s="105"/>
      <c r="C244" s="105"/>
      <c r="D244" s="106"/>
    </row>
    <row r="245" spans="1:4" ht="15.75" outlineLevel="1" x14ac:dyDescent="0.2">
      <c r="A245" s="105" t="s">
        <v>31</v>
      </c>
      <c r="B245" s="105" t="s">
        <v>52</v>
      </c>
      <c r="C245" s="105">
        <v>5.0999999999999996</v>
      </c>
      <c r="D245" s="106"/>
    </row>
    <row r="246" spans="1:4" ht="15.75" outlineLevel="1" x14ac:dyDescent="0.2">
      <c r="A246" s="105" t="s">
        <v>31</v>
      </c>
      <c r="B246" s="105" t="s">
        <v>53</v>
      </c>
      <c r="C246" s="105">
        <v>5.2</v>
      </c>
      <c r="D246" s="106"/>
    </row>
    <row r="247" spans="1:4" ht="15.75" outlineLevel="1" x14ac:dyDescent="0.2">
      <c r="A247" s="105" t="s">
        <v>31</v>
      </c>
      <c r="B247" s="105" t="s">
        <v>85</v>
      </c>
      <c r="C247" s="105">
        <v>5.3</v>
      </c>
      <c r="D247" s="106"/>
    </row>
    <row r="248" spans="1:4" ht="15.75" outlineLevel="1" x14ac:dyDescent="0.2">
      <c r="A248" s="105" t="s">
        <v>31</v>
      </c>
      <c r="B248" s="105" t="s">
        <v>138</v>
      </c>
      <c r="C248" s="105">
        <v>5.6</v>
      </c>
      <c r="D248" s="106"/>
    </row>
    <row r="249" spans="1:4" ht="15.75" outlineLevel="1" x14ac:dyDescent="0.2">
      <c r="A249" s="105" t="s">
        <v>31</v>
      </c>
      <c r="B249" s="105" t="s">
        <v>1998</v>
      </c>
      <c r="C249" s="107">
        <v>5.0999999999999996</v>
      </c>
      <c r="D249" s="106"/>
    </row>
    <row r="250" spans="1:4" ht="15.75" outlineLevel="1" x14ac:dyDescent="0.2">
      <c r="A250" s="105" t="s">
        <v>31</v>
      </c>
      <c r="B250" s="105" t="s">
        <v>1997</v>
      </c>
      <c r="C250" s="105">
        <v>5.14</v>
      </c>
      <c r="D250" s="106"/>
    </row>
    <row r="251" spans="1:4" ht="15.75" outlineLevel="1" x14ac:dyDescent="0.2">
      <c r="A251" s="105" t="s">
        <v>31</v>
      </c>
      <c r="B251" s="105" t="s">
        <v>87</v>
      </c>
      <c r="C251" s="105">
        <v>5.19</v>
      </c>
      <c r="D251" s="106"/>
    </row>
    <row r="252" spans="1:4" ht="15.75" outlineLevel="1" x14ac:dyDescent="0.2">
      <c r="A252" s="105" t="s">
        <v>31</v>
      </c>
      <c r="B252" s="105" t="s">
        <v>140</v>
      </c>
      <c r="C252" s="105">
        <v>5.24</v>
      </c>
      <c r="D252" s="106"/>
    </row>
    <row r="253" spans="1:4" ht="15.75" outlineLevel="1" x14ac:dyDescent="0.2">
      <c r="A253" s="105" t="s">
        <v>31</v>
      </c>
      <c r="B253" s="105" t="s">
        <v>58</v>
      </c>
      <c r="C253" s="105">
        <v>5.27</v>
      </c>
      <c r="D253" s="106"/>
    </row>
    <row r="254" spans="1:4" ht="15.75" outlineLevel="1" x14ac:dyDescent="0.2">
      <c r="A254" s="105" t="s">
        <v>31</v>
      </c>
      <c r="B254" s="105" t="s">
        <v>88</v>
      </c>
      <c r="C254" s="105">
        <v>5.28</v>
      </c>
      <c r="D254" s="106"/>
    </row>
    <row r="255" spans="1:4" ht="15.75" outlineLevel="1" x14ac:dyDescent="0.2">
      <c r="A255" s="105" t="s">
        <v>31</v>
      </c>
      <c r="B255" s="105" t="s">
        <v>89</v>
      </c>
      <c r="C255" s="107">
        <v>5.3</v>
      </c>
      <c r="D255" s="106"/>
    </row>
    <row r="256" spans="1:4" ht="15.75" outlineLevel="1" x14ac:dyDescent="0.2">
      <c r="A256" s="105" t="s">
        <v>31</v>
      </c>
      <c r="B256" s="105" t="s">
        <v>928</v>
      </c>
      <c r="C256" s="105">
        <v>5.33</v>
      </c>
      <c r="D256" s="106"/>
    </row>
    <row r="257" spans="1:4" ht="15.75" outlineLevel="1" x14ac:dyDescent="0.2">
      <c r="A257" s="105" t="s">
        <v>31</v>
      </c>
      <c r="B257" s="105" t="s">
        <v>59</v>
      </c>
      <c r="C257" s="105">
        <v>5.36</v>
      </c>
      <c r="D257" s="106"/>
    </row>
    <row r="258" spans="1:4" ht="15.75" outlineLevel="1" x14ac:dyDescent="0.2">
      <c r="A258" s="105" t="s">
        <v>31</v>
      </c>
      <c r="B258" s="105" t="s">
        <v>62</v>
      </c>
      <c r="C258" s="105">
        <v>5.53</v>
      </c>
      <c r="D258" s="106"/>
    </row>
    <row r="259" spans="1:4" ht="15.75" outlineLevel="1" x14ac:dyDescent="0.2">
      <c r="A259" s="105" t="s">
        <v>31</v>
      </c>
      <c r="B259" s="105" t="s">
        <v>95</v>
      </c>
      <c r="C259" s="105">
        <v>5.58</v>
      </c>
      <c r="D259" s="106"/>
    </row>
    <row r="260" spans="1:4" ht="15.75" outlineLevel="1" x14ac:dyDescent="0.2">
      <c r="A260" s="105" t="s">
        <v>31</v>
      </c>
      <c r="B260" s="105" t="s">
        <v>64</v>
      </c>
      <c r="C260" s="105">
        <v>5.54</v>
      </c>
      <c r="D260" s="106"/>
    </row>
    <row r="261" spans="1:4" ht="15.75" outlineLevel="1" x14ac:dyDescent="0.2">
      <c r="A261" s="105" t="s">
        <v>31</v>
      </c>
      <c r="B261" s="105" t="s">
        <v>96</v>
      </c>
      <c r="C261" s="105">
        <v>5.55</v>
      </c>
      <c r="D261" s="106"/>
    </row>
    <row r="262" spans="1:4" ht="15.75" outlineLevel="1" x14ac:dyDescent="0.2">
      <c r="A262" s="105" t="s">
        <v>31</v>
      </c>
      <c r="B262" s="105" t="s">
        <v>66</v>
      </c>
      <c r="C262" s="105">
        <v>5.63</v>
      </c>
      <c r="D262" s="106"/>
    </row>
    <row r="263" spans="1:4" ht="15.75" outlineLevel="1" x14ac:dyDescent="0.2">
      <c r="A263" s="105" t="s">
        <v>31</v>
      </c>
      <c r="B263" s="105" t="s">
        <v>67</v>
      </c>
      <c r="C263" s="105">
        <v>5.47</v>
      </c>
      <c r="D263" s="106"/>
    </row>
    <row r="264" spans="1:4" ht="15.75" outlineLevel="1" x14ac:dyDescent="0.2">
      <c r="A264" s="105" t="s">
        <v>31</v>
      </c>
      <c r="B264" s="105" t="s">
        <v>68</v>
      </c>
      <c r="C264" s="105">
        <v>5.48</v>
      </c>
      <c r="D264" s="106"/>
    </row>
    <row r="265" spans="1:4" ht="15.75" x14ac:dyDescent="0.2">
      <c r="A265" s="109" t="s">
        <v>31</v>
      </c>
      <c r="B265" s="105"/>
      <c r="C265" s="105"/>
      <c r="D265" s="106"/>
    </row>
    <row r="266" spans="1:4" ht="15.75" outlineLevel="1" x14ac:dyDescent="0.2">
      <c r="A266" s="105" t="s">
        <v>32</v>
      </c>
      <c r="B266" s="105" t="s">
        <v>52</v>
      </c>
      <c r="C266" s="105">
        <v>5.0999999999999996</v>
      </c>
      <c r="D266" s="106"/>
    </row>
    <row r="267" spans="1:4" ht="15.75" outlineLevel="1" x14ac:dyDescent="0.2">
      <c r="A267" s="105" t="s">
        <v>32</v>
      </c>
      <c r="B267" s="105" t="s">
        <v>53</v>
      </c>
      <c r="C267" s="105">
        <v>5.2</v>
      </c>
      <c r="D267" s="106"/>
    </row>
    <row r="268" spans="1:4" ht="15.75" outlineLevel="1" x14ac:dyDescent="0.2">
      <c r="A268" s="105" t="s">
        <v>32</v>
      </c>
      <c r="B268" s="105" t="s">
        <v>85</v>
      </c>
      <c r="C268" s="105">
        <v>5.3</v>
      </c>
      <c r="D268" s="106"/>
    </row>
    <row r="269" spans="1:4" ht="15.75" outlineLevel="1" x14ac:dyDescent="0.2">
      <c r="A269" s="105" t="s">
        <v>32</v>
      </c>
      <c r="B269" s="105" t="s">
        <v>138</v>
      </c>
      <c r="C269" s="105">
        <v>5.6</v>
      </c>
      <c r="D269" s="106"/>
    </row>
    <row r="270" spans="1:4" ht="15.75" outlineLevel="1" x14ac:dyDescent="0.2">
      <c r="A270" s="105" t="s">
        <v>32</v>
      </c>
      <c r="B270" s="105" t="s">
        <v>1998</v>
      </c>
      <c r="C270" s="107">
        <v>5.0999999999999996</v>
      </c>
      <c r="D270" s="106"/>
    </row>
    <row r="271" spans="1:4" ht="15.75" outlineLevel="1" x14ac:dyDescent="0.2">
      <c r="A271" s="105" t="s">
        <v>32</v>
      </c>
      <c r="B271" s="105" t="s">
        <v>1997</v>
      </c>
      <c r="C271" s="105">
        <v>5.14</v>
      </c>
      <c r="D271" s="106"/>
    </row>
    <row r="272" spans="1:4" ht="15.75" outlineLevel="1" x14ac:dyDescent="0.2">
      <c r="A272" s="105" t="s">
        <v>32</v>
      </c>
      <c r="B272" s="105" t="s">
        <v>87</v>
      </c>
      <c r="C272" s="105">
        <v>5.19</v>
      </c>
      <c r="D272" s="106"/>
    </row>
    <row r="273" spans="1:4" ht="15.75" outlineLevel="1" x14ac:dyDescent="0.2">
      <c r="A273" s="105" t="s">
        <v>32</v>
      </c>
      <c r="B273" s="105" t="s">
        <v>140</v>
      </c>
      <c r="C273" s="105">
        <v>5.24</v>
      </c>
      <c r="D273" s="106"/>
    </row>
    <row r="274" spans="1:4" ht="15.75" outlineLevel="1" x14ac:dyDescent="0.2">
      <c r="A274" s="105" t="s">
        <v>32</v>
      </c>
      <c r="B274" s="105" t="s">
        <v>57</v>
      </c>
      <c r="C274" s="105">
        <v>5.26</v>
      </c>
      <c r="D274" s="106"/>
    </row>
    <row r="275" spans="1:4" ht="15.75" outlineLevel="1" x14ac:dyDescent="0.2">
      <c r="A275" s="105" t="s">
        <v>32</v>
      </c>
      <c r="B275" s="105" t="s">
        <v>58</v>
      </c>
      <c r="C275" s="105">
        <v>5.27</v>
      </c>
      <c r="D275" s="106"/>
    </row>
    <row r="276" spans="1:4" ht="15.75" outlineLevel="1" x14ac:dyDescent="0.2">
      <c r="A276" s="105" t="s">
        <v>32</v>
      </c>
      <c r="B276" s="105" t="s">
        <v>88</v>
      </c>
      <c r="C276" s="105">
        <v>5.28</v>
      </c>
      <c r="D276" s="106"/>
    </row>
    <row r="277" spans="1:4" ht="15.75" outlineLevel="1" x14ac:dyDescent="0.2">
      <c r="A277" s="105" t="s">
        <v>32</v>
      </c>
      <c r="B277" s="105" t="s">
        <v>148</v>
      </c>
      <c r="C277" s="105">
        <v>5.29</v>
      </c>
      <c r="D277" s="106"/>
    </row>
    <row r="278" spans="1:4" ht="15.75" outlineLevel="1" x14ac:dyDescent="0.2">
      <c r="A278" s="105" t="s">
        <v>32</v>
      </c>
      <c r="B278" s="105" t="s">
        <v>89</v>
      </c>
      <c r="C278" s="107">
        <v>5.3</v>
      </c>
      <c r="D278" s="106"/>
    </row>
    <row r="279" spans="1:4" ht="15.75" outlineLevel="1" x14ac:dyDescent="0.2">
      <c r="A279" s="105" t="s">
        <v>32</v>
      </c>
      <c r="B279" s="105" t="s">
        <v>928</v>
      </c>
      <c r="C279" s="105">
        <v>5.33</v>
      </c>
      <c r="D279" s="106"/>
    </row>
    <row r="280" spans="1:4" ht="15.75" outlineLevel="1" x14ac:dyDescent="0.2">
      <c r="A280" s="105" t="s">
        <v>32</v>
      </c>
      <c r="B280" s="105" t="s">
        <v>59</v>
      </c>
      <c r="C280" s="105">
        <v>5.36</v>
      </c>
      <c r="D280" s="106"/>
    </row>
    <row r="281" spans="1:4" ht="15.75" outlineLevel="1" x14ac:dyDescent="0.2">
      <c r="A281" s="105" t="s">
        <v>32</v>
      </c>
      <c r="B281" s="105" t="s">
        <v>91</v>
      </c>
      <c r="C281" s="105">
        <v>5.69</v>
      </c>
      <c r="D281" s="106"/>
    </row>
    <row r="282" spans="1:4" ht="15.75" outlineLevel="1" x14ac:dyDescent="0.2">
      <c r="A282" s="105" t="s">
        <v>32</v>
      </c>
      <c r="B282" s="105" t="s">
        <v>65</v>
      </c>
      <c r="C282" s="107">
        <v>5.7</v>
      </c>
      <c r="D282" s="106"/>
    </row>
    <row r="283" spans="1:4" ht="15.75" outlineLevel="1" x14ac:dyDescent="0.2">
      <c r="A283" s="105" t="s">
        <v>32</v>
      </c>
      <c r="B283" s="105" t="s">
        <v>93</v>
      </c>
      <c r="C283" s="105">
        <v>5.74</v>
      </c>
      <c r="D283" s="106"/>
    </row>
    <row r="284" spans="1:4" ht="15.75" outlineLevel="1" x14ac:dyDescent="0.2">
      <c r="A284" s="105" t="s">
        <v>32</v>
      </c>
      <c r="B284" s="105" t="s">
        <v>90</v>
      </c>
      <c r="C284" s="105">
        <v>5.49</v>
      </c>
      <c r="D284" s="106"/>
    </row>
    <row r="285" spans="1:4" ht="15.75" outlineLevel="1" x14ac:dyDescent="0.2">
      <c r="A285" s="105" t="s">
        <v>32</v>
      </c>
      <c r="B285" s="105" t="s">
        <v>61</v>
      </c>
      <c r="C285" s="105">
        <v>5.51</v>
      </c>
      <c r="D285" s="106"/>
    </row>
    <row r="286" spans="1:4" ht="15.75" outlineLevel="1" x14ac:dyDescent="0.2">
      <c r="A286" s="105" t="s">
        <v>32</v>
      </c>
      <c r="B286" s="105" t="s">
        <v>1999</v>
      </c>
      <c r="C286" s="105">
        <v>5.52</v>
      </c>
      <c r="D286" s="106"/>
    </row>
    <row r="287" spans="1:4" ht="15.75" outlineLevel="1" x14ac:dyDescent="0.2">
      <c r="A287" s="105" t="s">
        <v>32</v>
      </c>
      <c r="B287" s="105" t="s">
        <v>62</v>
      </c>
      <c r="C287" s="105">
        <v>5.53</v>
      </c>
      <c r="D287" s="106"/>
    </row>
    <row r="288" spans="1:4" ht="15.75" outlineLevel="1" x14ac:dyDescent="0.2">
      <c r="A288" s="105" t="s">
        <v>32</v>
      </c>
      <c r="B288" s="105" t="s">
        <v>95</v>
      </c>
      <c r="C288" s="105">
        <v>5.58</v>
      </c>
      <c r="D288" s="106"/>
    </row>
    <row r="289" spans="1:4" ht="15.75" outlineLevel="1" x14ac:dyDescent="0.2">
      <c r="A289" s="105" t="s">
        <v>32</v>
      </c>
      <c r="B289" s="105" t="s">
        <v>64</v>
      </c>
      <c r="C289" s="105">
        <v>5.54</v>
      </c>
      <c r="D289" s="106"/>
    </row>
    <row r="290" spans="1:4" ht="15.75" outlineLevel="1" x14ac:dyDescent="0.2">
      <c r="A290" s="105" t="s">
        <v>32</v>
      </c>
      <c r="B290" s="105" t="s">
        <v>96</v>
      </c>
      <c r="C290" s="105">
        <v>5.55</v>
      </c>
      <c r="D290" s="106"/>
    </row>
    <row r="291" spans="1:4" ht="15.75" outlineLevel="1" x14ac:dyDescent="0.2">
      <c r="A291" s="105" t="s">
        <v>32</v>
      </c>
      <c r="B291" s="105" t="s">
        <v>66</v>
      </c>
      <c r="C291" s="105">
        <v>5.63</v>
      </c>
      <c r="D291" s="106"/>
    </row>
    <row r="292" spans="1:4" ht="15.75" outlineLevel="1" x14ac:dyDescent="0.2">
      <c r="A292" s="105" t="s">
        <v>32</v>
      </c>
      <c r="B292" s="105" t="s">
        <v>67</v>
      </c>
      <c r="C292" s="105">
        <v>5.47</v>
      </c>
      <c r="D292" s="106"/>
    </row>
    <row r="293" spans="1:4" ht="15.75" outlineLevel="1" x14ac:dyDescent="0.2">
      <c r="A293" s="105" t="s">
        <v>32</v>
      </c>
      <c r="B293" s="105" t="s">
        <v>68</v>
      </c>
      <c r="C293" s="105">
        <v>5.48</v>
      </c>
      <c r="D293" s="106"/>
    </row>
    <row r="294" spans="1:4" ht="15.75" x14ac:dyDescent="0.2">
      <c r="A294" s="109" t="s">
        <v>32</v>
      </c>
      <c r="B294" s="105"/>
      <c r="C294" s="105"/>
      <c r="D294" s="106"/>
    </row>
    <row r="295" spans="1:4" ht="15.75" outlineLevel="1" x14ac:dyDescent="0.2">
      <c r="A295" s="105" t="s">
        <v>33</v>
      </c>
      <c r="B295" s="105" t="s">
        <v>52</v>
      </c>
      <c r="C295" s="105">
        <v>5.0999999999999996</v>
      </c>
      <c r="D295" s="106"/>
    </row>
    <row r="296" spans="1:4" ht="15.75" outlineLevel="1" x14ac:dyDescent="0.2">
      <c r="A296" s="105" t="s">
        <v>33</v>
      </c>
      <c r="B296" s="105" t="s">
        <v>53</v>
      </c>
      <c r="C296" s="105">
        <v>5.2</v>
      </c>
      <c r="D296" s="106"/>
    </row>
    <row r="297" spans="1:4" ht="15.75" outlineLevel="1" x14ac:dyDescent="0.2">
      <c r="A297" s="105" t="s">
        <v>33</v>
      </c>
      <c r="B297" s="105" t="s">
        <v>85</v>
      </c>
      <c r="C297" s="105">
        <v>5.3</v>
      </c>
      <c r="D297" s="106"/>
    </row>
    <row r="298" spans="1:4" ht="15.75" outlineLevel="1" x14ac:dyDescent="0.2">
      <c r="A298" s="105" t="s">
        <v>33</v>
      </c>
      <c r="B298" s="105" t="s">
        <v>1997</v>
      </c>
      <c r="C298" s="105">
        <v>5.14</v>
      </c>
      <c r="D298" s="106"/>
    </row>
    <row r="299" spans="1:4" ht="15.75" outlineLevel="1" x14ac:dyDescent="0.2">
      <c r="A299" s="105" t="s">
        <v>33</v>
      </c>
      <c r="B299" s="105" t="s">
        <v>87</v>
      </c>
      <c r="C299" s="105">
        <v>5.19</v>
      </c>
      <c r="D299" s="106"/>
    </row>
    <row r="300" spans="1:4" ht="15.75" outlineLevel="1" x14ac:dyDescent="0.2">
      <c r="A300" s="105" t="s">
        <v>33</v>
      </c>
      <c r="B300" s="105" t="s">
        <v>140</v>
      </c>
      <c r="C300" s="105">
        <v>5.24</v>
      </c>
      <c r="D300" s="106"/>
    </row>
    <row r="301" spans="1:4" ht="15.75" outlineLevel="1" x14ac:dyDescent="0.2">
      <c r="A301" s="105" t="s">
        <v>33</v>
      </c>
      <c r="B301" s="105" t="s">
        <v>57</v>
      </c>
      <c r="C301" s="105">
        <v>5.26</v>
      </c>
      <c r="D301" s="106"/>
    </row>
    <row r="302" spans="1:4" ht="15.75" outlineLevel="1" x14ac:dyDescent="0.2">
      <c r="A302" s="105" t="s">
        <v>33</v>
      </c>
      <c r="B302" s="105" t="s">
        <v>58</v>
      </c>
      <c r="C302" s="105">
        <v>5.27</v>
      </c>
      <c r="D302" s="106"/>
    </row>
    <row r="303" spans="1:4" ht="15.75" outlineLevel="1" x14ac:dyDescent="0.2">
      <c r="A303" s="105" t="s">
        <v>33</v>
      </c>
      <c r="B303" s="105" t="s">
        <v>88</v>
      </c>
      <c r="C303" s="105">
        <v>5.28</v>
      </c>
      <c r="D303" s="106"/>
    </row>
    <row r="304" spans="1:4" ht="15.75" outlineLevel="1" x14ac:dyDescent="0.2">
      <c r="A304" s="105" t="s">
        <v>33</v>
      </c>
      <c r="B304" s="105" t="s">
        <v>941</v>
      </c>
      <c r="C304" s="105">
        <v>5.37</v>
      </c>
      <c r="D304" s="106"/>
    </row>
    <row r="305" spans="1:4" ht="15.75" outlineLevel="1" x14ac:dyDescent="0.2">
      <c r="A305" s="105" t="s">
        <v>33</v>
      </c>
      <c r="B305" s="105" t="s">
        <v>90</v>
      </c>
      <c r="C305" s="105">
        <v>5.49</v>
      </c>
      <c r="D305" s="106"/>
    </row>
    <row r="306" spans="1:4" ht="15.75" outlineLevel="1" x14ac:dyDescent="0.2">
      <c r="A306" s="105" t="s">
        <v>33</v>
      </c>
      <c r="B306" s="105" t="s">
        <v>61</v>
      </c>
      <c r="C306" s="105">
        <v>5.51</v>
      </c>
      <c r="D306" s="106"/>
    </row>
    <row r="307" spans="1:4" ht="15.75" outlineLevel="1" x14ac:dyDescent="0.2">
      <c r="A307" s="105" t="s">
        <v>33</v>
      </c>
      <c r="B307" s="105" t="s">
        <v>62</v>
      </c>
      <c r="C307" s="105">
        <v>5.53</v>
      </c>
      <c r="D307" s="106"/>
    </row>
    <row r="308" spans="1:4" ht="15.75" outlineLevel="1" x14ac:dyDescent="0.2">
      <c r="A308" s="105" t="s">
        <v>33</v>
      </c>
      <c r="B308" s="105" t="s">
        <v>91</v>
      </c>
      <c r="C308" s="105">
        <v>5.69</v>
      </c>
      <c r="D308" s="106"/>
    </row>
    <row r="309" spans="1:4" ht="15.75" outlineLevel="1" x14ac:dyDescent="0.2">
      <c r="A309" s="105" t="s">
        <v>33</v>
      </c>
      <c r="B309" s="105" t="s">
        <v>92</v>
      </c>
      <c r="C309" s="105">
        <v>5.75</v>
      </c>
      <c r="D309" s="106"/>
    </row>
    <row r="310" spans="1:4" ht="15.75" outlineLevel="1" x14ac:dyDescent="0.2">
      <c r="A310" s="105" t="s">
        <v>33</v>
      </c>
      <c r="B310" s="105" t="s">
        <v>65</v>
      </c>
      <c r="C310" s="107">
        <v>5.7</v>
      </c>
      <c r="D310" s="106"/>
    </row>
    <row r="311" spans="1:4" ht="15.75" outlineLevel="1" x14ac:dyDescent="0.2">
      <c r="A311" s="105" t="s">
        <v>33</v>
      </c>
      <c r="B311" s="105" t="s">
        <v>93</v>
      </c>
      <c r="C311" s="105">
        <v>5.74</v>
      </c>
      <c r="D311" s="106"/>
    </row>
    <row r="312" spans="1:4" ht="15.75" outlineLevel="1" x14ac:dyDescent="0.2">
      <c r="A312" s="105" t="s">
        <v>33</v>
      </c>
      <c r="B312" s="105" t="s">
        <v>95</v>
      </c>
      <c r="C312" s="105">
        <v>5.58</v>
      </c>
      <c r="D312" s="106"/>
    </row>
    <row r="313" spans="1:4" ht="15.75" outlineLevel="1" x14ac:dyDescent="0.2">
      <c r="A313" s="105" t="s">
        <v>33</v>
      </c>
      <c r="B313" s="105" t="s">
        <v>64</v>
      </c>
      <c r="C313" s="105">
        <v>5.54</v>
      </c>
      <c r="D313" s="106"/>
    </row>
    <row r="314" spans="1:4" ht="15.75" outlineLevel="1" x14ac:dyDescent="0.2">
      <c r="A314" s="105" t="s">
        <v>33</v>
      </c>
      <c r="B314" s="105" t="s">
        <v>96</v>
      </c>
      <c r="C314" s="105">
        <v>5.55</v>
      </c>
      <c r="D314" s="106"/>
    </row>
    <row r="315" spans="1:4" ht="15.75" outlineLevel="1" x14ac:dyDescent="0.2">
      <c r="A315" s="105" t="s">
        <v>33</v>
      </c>
      <c r="B315" s="105" t="s">
        <v>66</v>
      </c>
      <c r="C315" s="105">
        <v>5.63</v>
      </c>
      <c r="D315" s="106"/>
    </row>
    <row r="316" spans="1:4" ht="15.75" outlineLevel="1" x14ac:dyDescent="0.2">
      <c r="A316" s="105" t="s">
        <v>33</v>
      </c>
      <c r="B316" s="105" t="s">
        <v>97</v>
      </c>
      <c r="C316" s="105">
        <v>5.65</v>
      </c>
      <c r="D316" s="106"/>
    </row>
    <row r="317" spans="1:4" ht="15.75" outlineLevel="1" x14ac:dyDescent="0.2">
      <c r="A317" s="105" t="s">
        <v>33</v>
      </c>
      <c r="B317" s="105" t="s">
        <v>20</v>
      </c>
      <c r="C317" s="105">
        <v>5.68</v>
      </c>
      <c r="D317" s="106"/>
    </row>
    <row r="318" spans="1:4" ht="15.75" outlineLevel="1" x14ac:dyDescent="0.2">
      <c r="A318" s="105" t="s">
        <v>33</v>
      </c>
      <c r="B318" s="105" t="s">
        <v>67</v>
      </c>
      <c r="C318" s="105">
        <v>5.47</v>
      </c>
      <c r="D318" s="106"/>
    </row>
    <row r="319" spans="1:4" ht="15.75" outlineLevel="1" x14ac:dyDescent="0.2">
      <c r="A319" s="105" t="s">
        <v>33</v>
      </c>
      <c r="B319" s="105" t="s">
        <v>68</v>
      </c>
      <c r="C319" s="105">
        <v>5.48</v>
      </c>
      <c r="D319" s="106"/>
    </row>
    <row r="320" spans="1:4" ht="15.75" x14ac:dyDescent="0.2">
      <c r="A320" s="109" t="s">
        <v>33</v>
      </c>
      <c r="B320" s="105"/>
      <c r="C320" s="105"/>
      <c r="D320" s="106"/>
    </row>
    <row r="321" spans="1:4" ht="15.75" outlineLevel="1" x14ac:dyDescent="0.2">
      <c r="A321" s="105" t="s">
        <v>34</v>
      </c>
      <c r="B321" s="105" t="s">
        <v>52</v>
      </c>
      <c r="C321" s="105">
        <v>5.0999999999999996</v>
      </c>
      <c r="D321" s="106"/>
    </row>
    <row r="322" spans="1:4" ht="15.75" outlineLevel="1" x14ac:dyDescent="0.2">
      <c r="A322" s="105" t="s">
        <v>34</v>
      </c>
      <c r="B322" s="105" t="s">
        <v>53</v>
      </c>
      <c r="C322" s="105">
        <v>5.2</v>
      </c>
      <c r="D322" s="106"/>
    </row>
    <row r="323" spans="1:4" ht="15.75" outlineLevel="1" x14ac:dyDescent="0.2">
      <c r="A323" s="105" t="s">
        <v>34</v>
      </c>
      <c r="B323" s="105" t="s">
        <v>57</v>
      </c>
      <c r="C323" s="105">
        <v>5.26</v>
      </c>
      <c r="D323" s="106"/>
    </row>
    <row r="324" spans="1:4" ht="15.75" outlineLevel="1" x14ac:dyDescent="0.2">
      <c r="A324" s="105" t="s">
        <v>34</v>
      </c>
      <c r="B324" s="105" t="s">
        <v>1997</v>
      </c>
      <c r="C324" s="105">
        <v>5.14</v>
      </c>
      <c r="D324" s="106"/>
    </row>
    <row r="325" spans="1:4" ht="15.75" outlineLevel="1" x14ac:dyDescent="0.2">
      <c r="A325" s="105" t="s">
        <v>34</v>
      </c>
      <c r="B325" s="105" t="s">
        <v>87</v>
      </c>
      <c r="C325" s="105">
        <v>5.19</v>
      </c>
      <c r="D325" s="106"/>
    </row>
    <row r="326" spans="1:4" ht="15.75" outlineLevel="1" x14ac:dyDescent="0.2">
      <c r="A326" s="105" t="s">
        <v>34</v>
      </c>
      <c r="B326" s="105" t="s">
        <v>941</v>
      </c>
      <c r="C326" s="105">
        <v>5.37</v>
      </c>
      <c r="D326" s="106"/>
    </row>
    <row r="327" spans="1:4" ht="15.75" outlineLevel="1" x14ac:dyDescent="0.2">
      <c r="A327" s="105" t="s">
        <v>34</v>
      </c>
      <c r="B327" s="105" t="s">
        <v>91</v>
      </c>
      <c r="C327" s="105">
        <v>5.69</v>
      </c>
      <c r="D327" s="106"/>
    </row>
    <row r="328" spans="1:4" ht="15.75" outlineLevel="1" x14ac:dyDescent="0.2">
      <c r="A328" s="105" t="s">
        <v>34</v>
      </c>
      <c r="B328" s="105" t="s">
        <v>942</v>
      </c>
      <c r="C328" s="107">
        <v>5.8</v>
      </c>
      <c r="D328" s="106"/>
    </row>
    <row r="329" spans="1:4" ht="15.75" outlineLevel="1" x14ac:dyDescent="0.2">
      <c r="A329" s="105" t="s">
        <v>34</v>
      </c>
      <c r="B329" s="105" t="s">
        <v>92</v>
      </c>
      <c r="C329" s="105">
        <v>5.75</v>
      </c>
      <c r="D329" s="106"/>
    </row>
    <row r="330" spans="1:4" ht="15.75" outlineLevel="1" x14ac:dyDescent="0.2">
      <c r="A330" s="105" t="s">
        <v>34</v>
      </c>
      <c r="B330" s="105" t="s">
        <v>65</v>
      </c>
      <c r="C330" s="107">
        <v>5.7</v>
      </c>
      <c r="D330" s="106"/>
    </row>
    <row r="331" spans="1:4" ht="15.75" outlineLevel="1" x14ac:dyDescent="0.2">
      <c r="A331" s="105" t="s">
        <v>34</v>
      </c>
      <c r="B331" s="105" t="s">
        <v>93</v>
      </c>
      <c r="C331" s="105">
        <v>5.74</v>
      </c>
      <c r="D331" s="106"/>
    </row>
    <row r="332" spans="1:4" ht="15.75" outlineLevel="1" x14ac:dyDescent="0.2">
      <c r="A332" s="105" t="s">
        <v>34</v>
      </c>
      <c r="B332" s="105" t="s">
        <v>95</v>
      </c>
      <c r="C332" s="105">
        <v>5.58</v>
      </c>
      <c r="D332" s="106"/>
    </row>
    <row r="333" spans="1:4" ht="15.75" outlineLevel="1" x14ac:dyDescent="0.2">
      <c r="A333" s="105" t="s">
        <v>34</v>
      </c>
      <c r="B333" s="105" t="s">
        <v>96</v>
      </c>
      <c r="C333" s="105">
        <v>5.55</v>
      </c>
      <c r="D333" s="106"/>
    </row>
    <row r="334" spans="1:4" ht="15.75" outlineLevel="1" x14ac:dyDescent="0.2">
      <c r="A334" s="105" t="s">
        <v>34</v>
      </c>
      <c r="B334" s="105" t="s">
        <v>66</v>
      </c>
      <c r="C334" s="105">
        <v>5.63</v>
      </c>
      <c r="D334" s="106"/>
    </row>
    <row r="335" spans="1:4" ht="15.75" outlineLevel="1" x14ac:dyDescent="0.2">
      <c r="A335" s="105" t="s">
        <v>34</v>
      </c>
      <c r="B335" s="105" t="s">
        <v>97</v>
      </c>
      <c r="C335" s="105">
        <v>5.65</v>
      </c>
      <c r="D335" s="106"/>
    </row>
    <row r="336" spans="1:4" ht="15.75" outlineLevel="1" x14ac:dyDescent="0.2">
      <c r="A336" s="105" t="s">
        <v>34</v>
      </c>
      <c r="B336" s="105" t="s">
        <v>20</v>
      </c>
      <c r="C336" s="105">
        <v>5.68</v>
      </c>
      <c r="D336" s="106"/>
    </row>
    <row r="337" spans="1:4" ht="15.75" outlineLevel="1" x14ac:dyDescent="0.2">
      <c r="A337" s="105" t="s">
        <v>34</v>
      </c>
      <c r="B337" s="105" t="s">
        <v>67</v>
      </c>
      <c r="C337" s="105">
        <v>5.47</v>
      </c>
      <c r="D337" s="106"/>
    </row>
    <row r="338" spans="1:4" ht="15.75" outlineLevel="1" x14ac:dyDescent="0.2">
      <c r="A338" s="105" t="s">
        <v>34</v>
      </c>
      <c r="B338" s="105" t="s">
        <v>68</v>
      </c>
      <c r="C338" s="105">
        <v>5.48</v>
      </c>
      <c r="D338" s="106"/>
    </row>
    <row r="339" spans="1:4" ht="15.75" x14ac:dyDescent="0.2">
      <c r="A339" s="109" t="s">
        <v>34</v>
      </c>
      <c r="B339" s="105"/>
      <c r="C339" s="105"/>
      <c r="D339" s="106"/>
    </row>
    <row r="340" spans="1:4" ht="15.75" outlineLevel="1" x14ac:dyDescent="0.2">
      <c r="A340" s="105" t="s">
        <v>35</v>
      </c>
      <c r="B340" s="105" t="s">
        <v>943</v>
      </c>
      <c r="C340" s="105">
        <v>5.0999999999999996</v>
      </c>
      <c r="D340" s="106"/>
    </row>
    <row r="341" spans="1:4" ht="15.75" outlineLevel="1" x14ac:dyDescent="0.2">
      <c r="A341" s="105" t="s">
        <v>35</v>
      </c>
      <c r="B341" s="105" t="s">
        <v>53</v>
      </c>
      <c r="C341" s="105">
        <v>5.2</v>
      </c>
      <c r="D341" s="106"/>
    </row>
    <row r="342" spans="1:4" ht="15.75" outlineLevel="1" x14ac:dyDescent="0.2">
      <c r="A342" s="105" t="s">
        <v>35</v>
      </c>
      <c r="B342" s="105" t="s">
        <v>57</v>
      </c>
      <c r="C342" s="105">
        <v>5.26</v>
      </c>
      <c r="D342" s="106"/>
    </row>
    <row r="343" spans="1:4" ht="15.75" outlineLevel="1" x14ac:dyDescent="0.2">
      <c r="A343" s="105" t="s">
        <v>35</v>
      </c>
      <c r="B343" s="105" t="s">
        <v>944</v>
      </c>
      <c r="C343" s="105">
        <v>5.38</v>
      </c>
      <c r="D343" s="106"/>
    </row>
    <row r="344" spans="1:4" ht="15.75" outlineLevel="1" x14ac:dyDescent="0.2">
      <c r="A344" s="105" t="s">
        <v>35</v>
      </c>
      <c r="B344" s="105" t="s">
        <v>945</v>
      </c>
      <c r="C344" s="105">
        <v>5.39</v>
      </c>
      <c r="D344" s="106"/>
    </row>
    <row r="345" spans="1:4" ht="15.75" outlineLevel="1" x14ac:dyDescent="0.2">
      <c r="A345" s="105" t="s">
        <v>35</v>
      </c>
      <c r="B345" s="105" t="s">
        <v>946</v>
      </c>
      <c r="C345" s="107">
        <v>5.6</v>
      </c>
      <c r="D345" s="106"/>
    </row>
    <row r="346" spans="1:4" ht="15.75" outlineLevel="1" x14ac:dyDescent="0.2">
      <c r="A346" s="105" t="s">
        <v>35</v>
      </c>
      <c r="B346" s="105" t="s">
        <v>68</v>
      </c>
      <c r="C346" s="105">
        <v>5.48</v>
      </c>
      <c r="D346" s="106"/>
    </row>
    <row r="347" spans="1:4" ht="15.75" x14ac:dyDescent="0.2">
      <c r="A347" s="109" t="s">
        <v>35</v>
      </c>
      <c r="B347" s="105"/>
      <c r="C347" s="105"/>
      <c r="D347" s="106"/>
    </row>
    <row r="348" spans="1:4" ht="15.75" outlineLevel="1" x14ac:dyDescent="0.2">
      <c r="A348" s="105" t="s">
        <v>36</v>
      </c>
      <c r="B348" s="105" t="s">
        <v>52</v>
      </c>
      <c r="C348" s="105">
        <v>5.0999999999999996</v>
      </c>
      <c r="D348" s="106"/>
    </row>
    <row r="349" spans="1:4" ht="15.75" outlineLevel="1" x14ac:dyDescent="0.2">
      <c r="A349" s="105" t="s">
        <v>36</v>
      </c>
      <c r="B349" s="105" t="s">
        <v>53</v>
      </c>
      <c r="C349" s="105">
        <v>5.2</v>
      </c>
      <c r="D349" s="106"/>
    </row>
    <row r="350" spans="1:4" ht="15.75" outlineLevel="1" x14ac:dyDescent="0.2">
      <c r="A350" s="105" t="s">
        <v>36</v>
      </c>
      <c r="B350" s="105" t="s">
        <v>85</v>
      </c>
      <c r="C350" s="105">
        <v>5.3</v>
      </c>
      <c r="D350" s="106"/>
    </row>
    <row r="351" spans="1:4" ht="15.75" outlineLevel="1" x14ac:dyDescent="0.2">
      <c r="A351" s="105" t="s">
        <v>36</v>
      </c>
      <c r="B351" s="105" t="s">
        <v>138</v>
      </c>
      <c r="C351" s="105">
        <v>5.6</v>
      </c>
      <c r="D351" s="106"/>
    </row>
    <row r="352" spans="1:4" ht="15.75" outlineLevel="1" x14ac:dyDescent="0.2">
      <c r="A352" s="105" t="s">
        <v>36</v>
      </c>
      <c r="B352" s="105" t="s">
        <v>1998</v>
      </c>
      <c r="C352" s="107">
        <v>5.0999999999999996</v>
      </c>
      <c r="D352" s="106"/>
    </row>
    <row r="353" spans="1:4" ht="15.75" outlineLevel="1" x14ac:dyDescent="0.2">
      <c r="A353" s="105" t="s">
        <v>36</v>
      </c>
      <c r="B353" s="105" t="s">
        <v>1997</v>
      </c>
      <c r="C353" s="105">
        <v>5.14</v>
      </c>
      <c r="D353" s="106"/>
    </row>
    <row r="354" spans="1:4" ht="15.75" outlineLevel="1" x14ac:dyDescent="0.2">
      <c r="A354" s="105" t="s">
        <v>36</v>
      </c>
      <c r="B354" s="105" t="s">
        <v>87</v>
      </c>
      <c r="C354" s="105">
        <v>5.19</v>
      </c>
      <c r="D354" s="106"/>
    </row>
    <row r="355" spans="1:4" ht="15.75" outlineLevel="1" x14ac:dyDescent="0.2">
      <c r="A355" s="105" t="s">
        <v>36</v>
      </c>
      <c r="B355" s="105" t="s">
        <v>140</v>
      </c>
      <c r="C355" s="105">
        <v>5.24</v>
      </c>
      <c r="D355" s="106"/>
    </row>
    <row r="356" spans="1:4" ht="15.75" outlineLevel="1" x14ac:dyDescent="0.2">
      <c r="A356" s="105" t="s">
        <v>36</v>
      </c>
      <c r="B356" s="105" t="s">
        <v>57</v>
      </c>
      <c r="C356" s="105">
        <v>5.26</v>
      </c>
      <c r="D356" s="106"/>
    </row>
    <row r="357" spans="1:4" ht="15.75" outlineLevel="1" x14ac:dyDescent="0.2">
      <c r="A357" s="105" t="s">
        <v>36</v>
      </c>
      <c r="B357" s="105" t="s">
        <v>58</v>
      </c>
      <c r="C357" s="105">
        <v>5.27</v>
      </c>
      <c r="D357" s="106"/>
    </row>
    <row r="358" spans="1:4" ht="15.75" outlineLevel="1" x14ac:dyDescent="0.2">
      <c r="A358" s="105" t="s">
        <v>36</v>
      </c>
      <c r="B358" s="105" t="s">
        <v>88</v>
      </c>
      <c r="C358" s="105">
        <v>5.28</v>
      </c>
      <c r="D358" s="106"/>
    </row>
    <row r="359" spans="1:4" ht="15.75" outlineLevel="1" x14ac:dyDescent="0.2">
      <c r="A359" s="105" t="s">
        <v>36</v>
      </c>
      <c r="B359" s="105" t="s">
        <v>141</v>
      </c>
      <c r="C359" s="105">
        <v>5.31</v>
      </c>
      <c r="D359" s="106"/>
    </row>
    <row r="360" spans="1:4" ht="15.75" outlineLevel="1" x14ac:dyDescent="0.2">
      <c r="A360" s="105" t="s">
        <v>36</v>
      </c>
      <c r="B360" s="105" t="s">
        <v>59</v>
      </c>
      <c r="C360" s="105">
        <v>5.36</v>
      </c>
      <c r="D360" s="106"/>
    </row>
    <row r="361" spans="1:4" ht="15.75" outlineLevel="1" x14ac:dyDescent="0.2">
      <c r="A361" s="105" t="s">
        <v>36</v>
      </c>
      <c r="B361" s="105" t="s">
        <v>941</v>
      </c>
      <c r="C361" s="105">
        <v>5.37</v>
      </c>
      <c r="D361" s="106"/>
    </row>
    <row r="362" spans="1:4" ht="15.75" outlineLevel="1" x14ac:dyDescent="0.2">
      <c r="A362" s="105" t="s">
        <v>36</v>
      </c>
      <c r="B362" s="105" t="s">
        <v>90</v>
      </c>
      <c r="C362" s="105">
        <v>5.49</v>
      </c>
      <c r="D362" s="106"/>
    </row>
    <row r="363" spans="1:4" ht="15.75" outlineLevel="1" x14ac:dyDescent="0.2">
      <c r="A363" s="105" t="s">
        <v>36</v>
      </c>
      <c r="B363" s="105" t="s">
        <v>61</v>
      </c>
      <c r="C363" s="105">
        <v>5.51</v>
      </c>
      <c r="D363" s="106"/>
    </row>
    <row r="364" spans="1:4" ht="15.75" outlineLevel="1" x14ac:dyDescent="0.2">
      <c r="A364" s="105" t="s">
        <v>36</v>
      </c>
      <c r="B364" s="105" t="s">
        <v>1999</v>
      </c>
      <c r="C364" s="105">
        <v>5.52</v>
      </c>
      <c r="D364" s="106"/>
    </row>
    <row r="365" spans="1:4" ht="15.75" outlineLevel="1" x14ac:dyDescent="0.2">
      <c r="A365" s="105" t="s">
        <v>36</v>
      </c>
      <c r="B365" s="105" t="s">
        <v>62</v>
      </c>
      <c r="C365" s="105">
        <v>5.53</v>
      </c>
      <c r="D365" s="106"/>
    </row>
    <row r="366" spans="1:4" ht="15.75" outlineLevel="1" x14ac:dyDescent="0.2">
      <c r="A366" s="105" t="s">
        <v>36</v>
      </c>
      <c r="B366" s="105" t="s">
        <v>91</v>
      </c>
      <c r="C366" s="105">
        <v>5.69</v>
      </c>
      <c r="D366" s="106"/>
    </row>
    <row r="367" spans="1:4" ht="15.75" outlineLevel="1" x14ac:dyDescent="0.2">
      <c r="A367" s="105" t="s">
        <v>36</v>
      </c>
      <c r="B367" s="105" t="s">
        <v>942</v>
      </c>
      <c r="C367" s="107">
        <v>5.8</v>
      </c>
      <c r="D367" s="106"/>
    </row>
    <row r="368" spans="1:4" ht="15.75" outlineLevel="1" x14ac:dyDescent="0.2">
      <c r="A368" s="105" t="s">
        <v>36</v>
      </c>
      <c r="B368" s="105" t="s">
        <v>143</v>
      </c>
      <c r="C368" s="107">
        <v>5.72</v>
      </c>
      <c r="D368" s="106"/>
    </row>
    <row r="369" spans="1:4" ht="15.75" outlineLevel="1" x14ac:dyDescent="0.2">
      <c r="A369" s="105" t="s">
        <v>36</v>
      </c>
      <c r="B369" s="105" t="s">
        <v>92</v>
      </c>
      <c r="C369" s="105">
        <v>5.75</v>
      </c>
      <c r="D369" s="106"/>
    </row>
    <row r="370" spans="1:4" ht="15.75" outlineLevel="1" x14ac:dyDescent="0.2">
      <c r="A370" s="105" t="s">
        <v>36</v>
      </c>
      <c r="B370" s="105" t="s">
        <v>65</v>
      </c>
      <c r="C370" s="107">
        <v>5.7</v>
      </c>
      <c r="D370" s="106"/>
    </row>
    <row r="371" spans="1:4" ht="15.75" outlineLevel="1" x14ac:dyDescent="0.2">
      <c r="A371" s="105" t="s">
        <v>36</v>
      </c>
      <c r="B371" s="105" t="s">
        <v>93</v>
      </c>
      <c r="C371" s="105">
        <v>5.74</v>
      </c>
      <c r="D371" s="106"/>
    </row>
    <row r="372" spans="1:4" ht="15.75" outlineLevel="1" x14ac:dyDescent="0.2">
      <c r="A372" s="105" t="s">
        <v>36</v>
      </c>
      <c r="B372" s="105" t="s">
        <v>144</v>
      </c>
      <c r="C372" s="105">
        <v>5.76</v>
      </c>
      <c r="D372" s="106"/>
    </row>
    <row r="373" spans="1:4" ht="15.75" outlineLevel="1" x14ac:dyDescent="0.2">
      <c r="A373" s="105" t="s">
        <v>36</v>
      </c>
      <c r="B373" s="105" t="s">
        <v>145</v>
      </c>
      <c r="C373" s="105">
        <v>5.89</v>
      </c>
      <c r="D373" s="108" t="s">
        <v>1996</v>
      </c>
    </row>
    <row r="374" spans="1:4" ht="15.75" outlineLevel="1" x14ac:dyDescent="0.2">
      <c r="A374" s="105" t="s">
        <v>36</v>
      </c>
      <c r="B374" s="105" t="s">
        <v>947</v>
      </c>
      <c r="C374" s="105">
        <v>5.19</v>
      </c>
      <c r="D374" s="108"/>
    </row>
    <row r="375" spans="1:4" ht="15.75" outlineLevel="1" x14ac:dyDescent="0.2">
      <c r="A375" s="105" t="s">
        <v>36</v>
      </c>
      <c r="B375" s="105" t="s">
        <v>948</v>
      </c>
      <c r="C375" s="105">
        <v>5.1109999999999998</v>
      </c>
      <c r="D375" s="106"/>
    </row>
    <row r="376" spans="1:4" ht="15.75" outlineLevel="1" x14ac:dyDescent="0.2">
      <c r="A376" s="105" t="s">
        <v>36</v>
      </c>
      <c r="B376" s="105" t="s">
        <v>950</v>
      </c>
      <c r="C376" s="105">
        <v>5.1120000000000001</v>
      </c>
      <c r="D376" s="106"/>
    </row>
    <row r="377" spans="1:4" ht="15.75" outlineLevel="1" x14ac:dyDescent="0.2">
      <c r="A377" s="105" t="s">
        <v>36</v>
      </c>
      <c r="B377" s="105" t="s">
        <v>2002</v>
      </c>
      <c r="C377" s="105">
        <v>5.1130000000000004</v>
      </c>
      <c r="D377" s="106"/>
    </row>
    <row r="378" spans="1:4" ht="15.75" outlineLevel="1" x14ac:dyDescent="0.2">
      <c r="A378" s="105" t="s">
        <v>36</v>
      </c>
      <c r="B378" s="105" t="s">
        <v>95</v>
      </c>
      <c r="C378" s="105">
        <v>5.58</v>
      </c>
      <c r="D378" s="106"/>
    </row>
    <row r="379" spans="1:4" ht="15.75" outlineLevel="1" x14ac:dyDescent="0.2">
      <c r="A379" s="105" t="s">
        <v>36</v>
      </c>
      <c r="B379" s="105" t="s">
        <v>64</v>
      </c>
      <c r="C379" s="105">
        <v>5.54</v>
      </c>
      <c r="D379" s="106"/>
    </row>
    <row r="380" spans="1:4" ht="15.75" outlineLevel="1" x14ac:dyDescent="0.2">
      <c r="A380" s="105" t="s">
        <v>36</v>
      </c>
      <c r="B380" s="105" t="s">
        <v>96</v>
      </c>
      <c r="C380" s="105">
        <v>5.55</v>
      </c>
      <c r="D380" s="106"/>
    </row>
    <row r="381" spans="1:4" ht="15.75" outlineLevel="1" x14ac:dyDescent="0.2">
      <c r="A381" s="105" t="s">
        <v>36</v>
      </c>
      <c r="B381" s="105" t="s">
        <v>66</v>
      </c>
      <c r="C381" s="105">
        <v>5.63</v>
      </c>
      <c r="D381" s="106"/>
    </row>
    <row r="382" spans="1:4" ht="15.75" outlineLevel="1" x14ac:dyDescent="0.2">
      <c r="A382" s="105" t="s">
        <v>36</v>
      </c>
      <c r="B382" s="105" t="s">
        <v>97</v>
      </c>
      <c r="C382" s="105">
        <v>5.65</v>
      </c>
      <c r="D382" s="106"/>
    </row>
    <row r="383" spans="1:4" ht="15.75" outlineLevel="1" x14ac:dyDescent="0.2">
      <c r="A383" s="105" t="s">
        <v>36</v>
      </c>
      <c r="B383" s="105" t="s">
        <v>146</v>
      </c>
      <c r="C383" s="105">
        <v>5.66</v>
      </c>
      <c r="D383" s="106"/>
    </row>
    <row r="384" spans="1:4" ht="15.75" outlineLevel="1" x14ac:dyDescent="0.2">
      <c r="A384" s="105" t="s">
        <v>36</v>
      </c>
      <c r="B384" s="105" t="s">
        <v>20</v>
      </c>
      <c r="C384" s="105">
        <v>5.68</v>
      </c>
      <c r="D384" s="106"/>
    </row>
    <row r="385" spans="1:4" ht="15.75" outlineLevel="1" x14ac:dyDescent="0.2">
      <c r="A385" s="105" t="s">
        <v>36</v>
      </c>
      <c r="B385" s="105" t="s">
        <v>67</v>
      </c>
      <c r="C385" s="105">
        <v>5.47</v>
      </c>
      <c r="D385" s="106"/>
    </row>
    <row r="386" spans="1:4" ht="15.75" outlineLevel="1" x14ac:dyDescent="0.2">
      <c r="A386" s="105" t="s">
        <v>36</v>
      </c>
      <c r="B386" s="105" t="s">
        <v>68</v>
      </c>
      <c r="C386" s="105">
        <v>5.48</v>
      </c>
      <c r="D386" s="106"/>
    </row>
    <row r="387" spans="1:4" ht="15.75" x14ac:dyDescent="0.2">
      <c r="A387" s="109" t="s">
        <v>36</v>
      </c>
      <c r="B387" s="105"/>
      <c r="C387" s="105"/>
      <c r="D387" s="106"/>
    </row>
    <row r="388" spans="1:4" ht="15.75" outlineLevel="1" x14ac:dyDescent="0.2">
      <c r="A388" s="105" t="s">
        <v>37</v>
      </c>
      <c r="B388" s="105" t="s">
        <v>52</v>
      </c>
      <c r="C388" s="105">
        <v>5.0999999999999996</v>
      </c>
      <c r="D388" s="106"/>
    </row>
    <row r="389" spans="1:4" ht="15.75" outlineLevel="1" x14ac:dyDescent="0.2">
      <c r="A389" s="105" t="s">
        <v>37</v>
      </c>
      <c r="B389" s="105" t="s">
        <v>53</v>
      </c>
      <c r="C389" s="105">
        <v>5.2</v>
      </c>
      <c r="D389" s="106"/>
    </row>
    <row r="390" spans="1:4" ht="15.75" outlineLevel="1" x14ac:dyDescent="0.2">
      <c r="A390" s="105" t="s">
        <v>37</v>
      </c>
      <c r="B390" s="105" t="s">
        <v>85</v>
      </c>
      <c r="C390" s="105">
        <v>5.3</v>
      </c>
      <c r="D390" s="106"/>
    </row>
    <row r="391" spans="1:4" ht="15.75" outlineLevel="1" x14ac:dyDescent="0.2">
      <c r="A391" s="105" t="s">
        <v>37</v>
      </c>
      <c r="B391" s="105" t="s">
        <v>138</v>
      </c>
      <c r="C391" s="105">
        <v>5.6</v>
      </c>
      <c r="D391" s="106"/>
    </row>
    <row r="392" spans="1:4" ht="15.75" outlineLevel="1" x14ac:dyDescent="0.2">
      <c r="A392" s="105" t="s">
        <v>37</v>
      </c>
      <c r="B392" s="105" t="s">
        <v>1998</v>
      </c>
      <c r="C392" s="107">
        <v>5.0999999999999996</v>
      </c>
      <c r="D392" s="106"/>
    </row>
    <row r="393" spans="1:4" ht="15.75" outlineLevel="1" x14ac:dyDescent="0.2">
      <c r="A393" s="105" t="s">
        <v>37</v>
      </c>
      <c r="B393" s="105" t="s">
        <v>1997</v>
      </c>
      <c r="C393" s="105">
        <v>5.14</v>
      </c>
      <c r="D393" s="106"/>
    </row>
    <row r="394" spans="1:4" ht="15.75" outlineLevel="1" x14ac:dyDescent="0.2">
      <c r="A394" s="105" t="s">
        <v>37</v>
      </c>
      <c r="B394" s="105" t="s">
        <v>87</v>
      </c>
      <c r="C394" s="105">
        <v>5.19</v>
      </c>
      <c r="D394" s="106"/>
    </row>
    <row r="395" spans="1:4" ht="15.75" outlineLevel="1" x14ac:dyDescent="0.2">
      <c r="A395" s="105" t="s">
        <v>37</v>
      </c>
      <c r="B395" s="105" t="s">
        <v>140</v>
      </c>
      <c r="C395" s="105">
        <v>5.24</v>
      </c>
      <c r="D395" s="106"/>
    </row>
    <row r="396" spans="1:4" ht="15.75" outlineLevel="1" x14ac:dyDescent="0.2">
      <c r="A396" s="105" t="s">
        <v>37</v>
      </c>
      <c r="B396" s="105" t="s">
        <v>57</v>
      </c>
      <c r="C396" s="105">
        <v>5.26</v>
      </c>
      <c r="D396" s="106"/>
    </row>
    <row r="397" spans="1:4" ht="15.75" outlineLevel="1" x14ac:dyDescent="0.2">
      <c r="A397" s="105" t="s">
        <v>37</v>
      </c>
      <c r="B397" s="105" t="s">
        <v>58</v>
      </c>
      <c r="C397" s="105">
        <v>5.27</v>
      </c>
      <c r="D397" s="106"/>
    </row>
    <row r="398" spans="1:4" ht="15.75" outlineLevel="1" x14ac:dyDescent="0.2">
      <c r="A398" s="105" t="s">
        <v>37</v>
      </c>
      <c r="B398" s="105" t="s">
        <v>88</v>
      </c>
      <c r="C398" s="105">
        <v>5.28</v>
      </c>
      <c r="D398" s="106"/>
    </row>
    <row r="399" spans="1:4" ht="15.75" outlineLevel="1" x14ac:dyDescent="0.2">
      <c r="A399" s="105" t="s">
        <v>37</v>
      </c>
      <c r="B399" s="105" t="s">
        <v>148</v>
      </c>
      <c r="C399" s="105">
        <v>5.29</v>
      </c>
      <c r="D399" s="106"/>
    </row>
    <row r="400" spans="1:4" ht="15.75" outlineLevel="1" x14ac:dyDescent="0.2">
      <c r="A400" s="105" t="s">
        <v>37</v>
      </c>
      <c r="B400" s="105" t="s">
        <v>141</v>
      </c>
      <c r="C400" s="105">
        <v>5.31</v>
      </c>
      <c r="D400" s="106"/>
    </row>
    <row r="401" spans="1:4" ht="15.75" outlineLevel="1" x14ac:dyDescent="0.2">
      <c r="A401" s="105" t="s">
        <v>37</v>
      </c>
      <c r="B401" s="105" t="s">
        <v>59</v>
      </c>
      <c r="C401" s="105">
        <v>5.36</v>
      </c>
      <c r="D401" s="106"/>
    </row>
    <row r="402" spans="1:4" ht="15.75" outlineLevel="1" x14ac:dyDescent="0.2">
      <c r="A402" s="105" t="s">
        <v>37</v>
      </c>
      <c r="B402" s="105" t="s">
        <v>941</v>
      </c>
      <c r="C402" s="105">
        <v>5.37</v>
      </c>
      <c r="D402" s="106"/>
    </row>
    <row r="403" spans="1:4" ht="15.75" outlineLevel="1" x14ac:dyDescent="0.2">
      <c r="A403" s="105" t="s">
        <v>37</v>
      </c>
      <c r="B403" s="105" t="s">
        <v>90</v>
      </c>
      <c r="C403" s="105">
        <v>5.49</v>
      </c>
      <c r="D403" s="106"/>
    </row>
    <row r="404" spans="1:4" ht="15.75" outlineLevel="1" x14ac:dyDescent="0.2">
      <c r="A404" s="105" t="s">
        <v>37</v>
      </c>
      <c r="B404" s="105" t="s">
        <v>61</v>
      </c>
      <c r="C404" s="105">
        <v>5.51</v>
      </c>
      <c r="D404" s="106"/>
    </row>
    <row r="405" spans="1:4" ht="15.75" outlineLevel="1" x14ac:dyDescent="0.2">
      <c r="A405" s="105" t="s">
        <v>37</v>
      </c>
      <c r="B405" s="105" t="s">
        <v>1999</v>
      </c>
      <c r="C405" s="105">
        <v>5.52</v>
      </c>
      <c r="D405" s="106"/>
    </row>
    <row r="406" spans="1:4" ht="15.75" outlineLevel="1" x14ac:dyDescent="0.2">
      <c r="A406" s="105" t="s">
        <v>37</v>
      </c>
      <c r="B406" s="105" t="s">
        <v>62</v>
      </c>
      <c r="C406" s="105">
        <v>5.53</v>
      </c>
      <c r="D406" s="106"/>
    </row>
    <row r="407" spans="1:4" ht="15.75" outlineLevel="1" x14ac:dyDescent="0.2">
      <c r="A407" s="105" t="s">
        <v>37</v>
      </c>
      <c r="B407" s="105" t="s">
        <v>91</v>
      </c>
      <c r="C407" s="105">
        <v>5.69</v>
      </c>
      <c r="D407" s="106"/>
    </row>
    <row r="408" spans="1:4" ht="15.75" outlineLevel="1" x14ac:dyDescent="0.2">
      <c r="A408" s="105" t="s">
        <v>37</v>
      </c>
      <c r="B408" s="105" t="s">
        <v>92</v>
      </c>
      <c r="C408" s="105">
        <v>5.75</v>
      </c>
      <c r="D408" s="106"/>
    </row>
    <row r="409" spans="1:4" ht="15.75" outlineLevel="1" x14ac:dyDescent="0.2">
      <c r="A409" s="105" t="s">
        <v>37</v>
      </c>
      <c r="B409" s="105" t="s">
        <v>93</v>
      </c>
      <c r="C409" s="105">
        <v>5.74</v>
      </c>
      <c r="D409" s="106"/>
    </row>
    <row r="410" spans="1:4" ht="15.75" outlineLevel="1" x14ac:dyDescent="0.2">
      <c r="A410" s="105" t="s">
        <v>37</v>
      </c>
      <c r="B410" s="105" t="s">
        <v>65</v>
      </c>
      <c r="C410" s="107">
        <v>5.7</v>
      </c>
      <c r="D410" s="106"/>
    </row>
    <row r="411" spans="1:4" ht="15.75" outlineLevel="1" x14ac:dyDescent="0.2">
      <c r="A411" s="105" t="s">
        <v>37</v>
      </c>
      <c r="B411" s="105" t="s">
        <v>144</v>
      </c>
      <c r="C411" s="105">
        <v>5.76</v>
      </c>
      <c r="D411" s="106"/>
    </row>
    <row r="412" spans="1:4" ht="15.75" outlineLevel="1" x14ac:dyDescent="0.2">
      <c r="A412" s="105" t="s">
        <v>37</v>
      </c>
      <c r="B412" s="105" t="s">
        <v>145</v>
      </c>
      <c r="C412" s="105">
        <v>5.89</v>
      </c>
      <c r="D412" s="108" t="s">
        <v>1996</v>
      </c>
    </row>
    <row r="413" spans="1:4" ht="15.75" outlineLevel="1" x14ac:dyDescent="0.2">
      <c r="A413" s="105" t="s">
        <v>37</v>
      </c>
      <c r="B413" s="105" t="s">
        <v>947</v>
      </c>
      <c r="C413" s="105">
        <v>5.19</v>
      </c>
      <c r="D413" s="106"/>
    </row>
    <row r="414" spans="1:4" ht="15.75" outlineLevel="1" x14ac:dyDescent="0.2">
      <c r="A414" s="105" t="s">
        <v>37</v>
      </c>
      <c r="B414" s="105" t="s">
        <v>948</v>
      </c>
      <c r="C414" s="105">
        <v>5.1109999999999998</v>
      </c>
      <c r="D414" s="106"/>
    </row>
    <row r="415" spans="1:4" ht="15.75" outlineLevel="1" x14ac:dyDescent="0.2">
      <c r="A415" s="105" t="s">
        <v>37</v>
      </c>
      <c r="B415" s="105" t="s">
        <v>950</v>
      </c>
      <c r="C415" s="105">
        <v>5.1120000000000001</v>
      </c>
      <c r="D415" s="106"/>
    </row>
    <row r="416" spans="1:4" ht="15.75" outlineLevel="1" x14ac:dyDescent="0.2">
      <c r="A416" s="105" t="s">
        <v>37</v>
      </c>
      <c r="B416" s="105" t="s">
        <v>2002</v>
      </c>
      <c r="C416" s="105">
        <v>5.1130000000000004</v>
      </c>
      <c r="D416" s="106"/>
    </row>
    <row r="417" spans="1:4" ht="15.75" outlineLevel="1" x14ac:dyDescent="0.2">
      <c r="A417" s="105" t="s">
        <v>37</v>
      </c>
      <c r="B417" s="105" t="s">
        <v>95</v>
      </c>
      <c r="C417" s="105">
        <v>5.58</v>
      </c>
      <c r="D417" s="106"/>
    </row>
    <row r="418" spans="1:4" ht="15.75" outlineLevel="1" x14ac:dyDescent="0.2">
      <c r="A418" s="105" t="s">
        <v>37</v>
      </c>
      <c r="B418" s="105" t="s">
        <v>64</v>
      </c>
      <c r="C418" s="105">
        <v>5.54</v>
      </c>
      <c r="D418" s="106"/>
    </row>
    <row r="419" spans="1:4" ht="15.75" outlineLevel="1" x14ac:dyDescent="0.2">
      <c r="A419" s="105" t="s">
        <v>37</v>
      </c>
      <c r="B419" s="105" t="s">
        <v>96</v>
      </c>
      <c r="C419" s="105">
        <v>5.55</v>
      </c>
      <c r="D419" s="106"/>
    </row>
    <row r="420" spans="1:4" ht="15.75" outlineLevel="1" x14ac:dyDescent="0.2">
      <c r="A420" s="105" t="s">
        <v>37</v>
      </c>
      <c r="B420" s="105" t="s">
        <v>66</v>
      </c>
      <c r="C420" s="105">
        <v>5.63</v>
      </c>
      <c r="D420" s="106"/>
    </row>
    <row r="421" spans="1:4" ht="15.75" outlineLevel="1" x14ac:dyDescent="0.2">
      <c r="A421" s="105" t="s">
        <v>37</v>
      </c>
      <c r="B421" s="105" t="s">
        <v>97</v>
      </c>
      <c r="C421" s="105">
        <v>5.65</v>
      </c>
      <c r="D421" s="106"/>
    </row>
    <row r="422" spans="1:4" ht="15.75" outlineLevel="1" x14ac:dyDescent="0.2">
      <c r="A422" s="105" t="s">
        <v>37</v>
      </c>
      <c r="B422" s="105" t="s">
        <v>146</v>
      </c>
      <c r="C422" s="105">
        <v>5.66</v>
      </c>
      <c r="D422" s="106"/>
    </row>
    <row r="423" spans="1:4" ht="15.75" outlineLevel="1" x14ac:dyDescent="0.2">
      <c r="A423" s="105" t="s">
        <v>37</v>
      </c>
      <c r="B423" s="105" t="s">
        <v>20</v>
      </c>
      <c r="C423" s="105">
        <v>5.68</v>
      </c>
      <c r="D423" s="106"/>
    </row>
    <row r="424" spans="1:4" ht="15.75" outlineLevel="1" x14ac:dyDescent="0.2">
      <c r="A424" s="105" t="s">
        <v>37</v>
      </c>
      <c r="B424" s="105" t="s">
        <v>67</v>
      </c>
      <c r="C424" s="105">
        <v>5.47</v>
      </c>
      <c r="D424" s="106"/>
    </row>
    <row r="425" spans="1:4" ht="15.75" outlineLevel="1" x14ac:dyDescent="0.2">
      <c r="A425" s="105" t="s">
        <v>37</v>
      </c>
      <c r="B425" s="105" t="s">
        <v>68</v>
      </c>
      <c r="C425" s="105">
        <v>5.48</v>
      </c>
      <c r="D425" s="106"/>
    </row>
    <row r="426" spans="1:4" ht="15.75" x14ac:dyDescent="0.2">
      <c r="A426" s="109" t="s">
        <v>37</v>
      </c>
      <c r="B426" s="105"/>
      <c r="C426" s="105"/>
      <c r="D426" s="106"/>
    </row>
    <row r="427" spans="1:4" ht="15.75" outlineLevel="1" x14ac:dyDescent="0.2">
      <c r="A427" s="105" t="s">
        <v>2003</v>
      </c>
      <c r="B427" s="105" t="s">
        <v>52</v>
      </c>
      <c r="C427" s="105">
        <v>5.0999999999999996</v>
      </c>
      <c r="D427" s="106"/>
    </row>
    <row r="428" spans="1:4" ht="15.75" outlineLevel="1" x14ac:dyDescent="0.2">
      <c r="A428" s="105" t="s">
        <v>2003</v>
      </c>
      <c r="B428" s="105" t="s">
        <v>53</v>
      </c>
      <c r="C428" s="105">
        <v>5.2</v>
      </c>
      <c r="D428" s="106"/>
    </row>
    <row r="429" spans="1:4" ht="15.75" outlineLevel="1" x14ac:dyDescent="0.2">
      <c r="A429" s="105" t="s">
        <v>2003</v>
      </c>
      <c r="B429" s="105" t="s">
        <v>85</v>
      </c>
      <c r="C429" s="105">
        <v>5.3</v>
      </c>
      <c r="D429" s="106"/>
    </row>
    <row r="430" spans="1:4" ht="15.75" outlineLevel="1" x14ac:dyDescent="0.2">
      <c r="A430" s="105" t="s">
        <v>2003</v>
      </c>
      <c r="B430" s="105" t="s">
        <v>138</v>
      </c>
      <c r="C430" s="105">
        <v>5.6</v>
      </c>
      <c r="D430" s="106"/>
    </row>
    <row r="431" spans="1:4" ht="15.75" outlineLevel="1" x14ac:dyDescent="0.2">
      <c r="A431" s="105" t="s">
        <v>2003</v>
      </c>
      <c r="B431" s="105" t="s">
        <v>1998</v>
      </c>
      <c r="C431" s="107">
        <v>5.0999999999999996</v>
      </c>
      <c r="D431" s="106"/>
    </row>
    <row r="432" spans="1:4" ht="15.75" outlineLevel="1" x14ac:dyDescent="0.2">
      <c r="A432" s="105" t="s">
        <v>2003</v>
      </c>
      <c r="B432" s="105" t="s">
        <v>1997</v>
      </c>
      <c r="C432" s="105">
        <v>5.14</v>
      </c>
      <c r="D432" s="106"/>
    </row>
    <row r="433" spans="1:4" ht="15.75" outlineLevel="1" x14ac:dyDescent="0.2">
      <c r="A433" s="105" t="s">
        <v>2003</v>
      </c>
      <c r="B433" s="105" t="s">
        <v>87</v>
      </c>
      <c r="C433" s="105">
        <v>5.19</v>
      </c>
      <c r="D433" s="106"/>
    </row>
    <row r="434" spans="1:4" ht="15.75" outlineLevel="1" x14ac:dyDescent="0.2">
      <c r="A434" s="105" t="s">
        <v>2003</v>
      </c>
      <c r="B434" s="105" t="s">
        <v>140</v>
      </c>
      <c r="C434" s="105">
        <v>5.24</v>
      </c>
      <c r="D434" s="106"/>
    </row>
    <row r="435" spans="1:4" ht="15.75" outlineLevel="1" x14ac:dyDescent="0.2">
      <c r="A435" s="105" t="s">
        <v>2003</v>
      </c>
      <c r="B435" s="105" t="s">
        <v>57</v>
      </c>
      <c r="C435" s="105">
        <v>5.26</v>
      </c>
      <c r="D435" s="106"/>
    </row>
    <row r="436" spans="1:4" ht="15.75" outlineLevel="1" x14ac:dyDescent="0.2">
      <c r="A436" s="105" t="s">
        <v>2003</v>
      </c>
      <c r="B436" s="105" t="s">
        <v>58</v>
      </c>
      <c r="C436" s="105">
        <v>5.27</v>
      </c>
      <c r="D436" s="106"/>
    </row>
    <row r="437" spans="1:4" ht="15.75" outlineLevel="1" x14ac:dyDescent="0.2">
      <c r="A437" s="105" t="s">
        <v>2003</v>
      </c>
      <c r="B437" s="105" t="s">
        <v>88</v>
      </c>
      <c r="C437" s="105">
        <v>5.28</v>
      </c>
      <c r="D437" s="106"/>
    </row>
    <row r="438" spans="1:4" ht="15.75" outlineLevel="1" x14ac:dyDescent="0.2">
      <c r="A438" s="105" t="s">
        <v>2003</v>
      </c>
      <c r="B438" s="105" t="s">
        <v>148</v>
      </c>
      <c r="C438" s="105">
        <v>5.29</v>
      </c>
      <c r="D438" s="106"/>
    </row>
    <row r="439" spans="1:4" ht="15.75" outlineLevel="1" x14ac:dyDescent="0.2">
      <c r="A439" s="105" t="s">
        <v>2003</v>
      </c>
      <c r="B439" s="105" t="s">
        <v>141</v>
      </c>
      <c r="C439" s="105">
        <v>5.31</v>
      </c>
      <c r="D439" s="106"/>
    </row>
    <row r="440" spans="1:4" ht="15.75" outlineLevel="1" x14ac:dyDescent="0.2">
      <c r="A440" s="105" t="s">
        <v>2003</v>
      </c>
      <c r="B440" s="105" t="s">
        <v>59</v>
      </c>
      <c r="C440" s="105">
        <v>5.36</v>
      </c>
      <c r="D440" s="106"/>
    </row>
    <row r="441" spans="1:4" ht="15.75" outlineLevel="1" x14ac:dyDescent="0.2">
      <c r="A441" s="105" t="s">
        <v>2003</v>
      </c>
      <c r="B441" s="105" t="s">
        <v>941</v>
      </c>
      <c r="C441" s="105">
        <v>5.37</v>
      </c>
      <c r="D441" s="106"/>
    </row>
    <row r="442" spans="1:4" ht="15.75" outlineLevel="1" x14ac:dyDescent="0.2">
      <c r="A442" s="105" t="s">
        <v>2003</v>
      </c>
      <c r="B442" s="105" t="s">
        <v>62</v>
      </c>
      <c r="C442" s="105">
        <v>5.53</v>
      </c>
      <c r="D442" s="106"/>
    </row>
    <row r="443" spans="1:4" ht="15.75" outlineLevel="1" x14ac:dyDescent="0.2">
      <c r="A443" s="105" t="s">
        <v>2003</v>
      </c>
      <c r="B443" s="105" t="s">
        <v>947</v>
      </c>
      <c r="C443" s="105">
        <v>5.19</v>
      </c>
      <c r="D443" s="106"/>
    </row>
    <row r="444" spans="1:4" ht="15.75" outlineLevel="1" x14ac:dyDescent="0.2">
      <c r="A444" s="105" t="s">
        <v>2003</v>
      </c>
      <c r="B444" s="105" t="s">
        <v>948</v>
      </c>
      <c r="C444" s="105">
        <v>5.1109999999999998</v>
      </c>
      <c r="D444" s="106"/>
    </row>
    <row r="445" spans="1:4" ht="15.75" outlineLevel="1" x14ac:dyDescent="0.2">
      <c r="A445" s="105" t="s">
        <v>2003</v>
      </c>
      <c r="B445" s="105" t="s">
        <v>950</v>
      </c>
      <c r="C445" s="105">
        <v>5.1120000000000001</v>
      </c>
      <c r="D445" s="106"/>
    </row>
    <row r="446" spans="1:4" ht="15.75" outlineLevel="1" x14ac:dyDescent="0.2">
      <c r="A446" s="105" t="s">
        <v>2003</v>
      </c>
      <c r="B446" s="105" t="s">
        <v>2002</v>
      </c>
      <c r="C446" s="105">
        <v>5.1130000000000004</v>
      </c>
      <c r="D446" s="106"/>
    </row>
    <row r="447" spans="1:4" ht="15.75" outlineLevel="1" x14ac:dyDescent="0.2">
      <c r="A447" s="105" t="s">
        <v>2003</v>
      </c>
      <c r="B447" s="105" t="s">
        <v>95</v>
      </c>
      <c r="C447" s="105">
        <v>5.58</v>
      </c>
      <c r="D447" s="106"/>
    </row>
    <row r="448" spans="1:4" ht="15.75" outlineLevel="1" x14ac:dyDescent="0.2">
      <c r="A448" s="105" t="s">
        <v>2003</v>
      </c>
      <c r="B448" s="105" t="s">
        <v>64</v>
      </c>
      <c r="C448" s="105">
        <v>5.54</v>
      </c>
      <c r="D448" s="106"/>
    </row>
    <row r="449" spans="1:4" ht="15.75" outlineLevel="1" x14ac:dyDescent="0.2">
      <c r="A449" s="105" t="s">
        <v>2003</v>
      </c>
      <c r="B449" s="105" t="s">
        <v>96</v>
      </c>
      <c r="C449" s="105">
        <v>5.55</v>
      </c>
      <c r="D449" s="106"/>
    </row>
    <row r="450" spans="1:4" ht="15.75" outlineLevel="1" x14ac:dyDescent="0.2">
      <c r="A450" s="105" t="s">
        <v>2003</v>
      </c>
      <c r="B450" s="105" t="s">
        <v>66</v>
      </c>
      <c r="C450" s="105">
        <v>5.63</v>
      </c>
      <c r="D450" s="106"/>
    </row>
    <row r="451" spans="1:4" ht="15.75" outlineLevel="1" x14ac:dyDescent="0.2">
      <c r="A451" s="105" t="s">
        <v>2003</v>
      </c>
      <c r="B451" s="105" t="s">
        <v>67</v>
      </c>
      <c r="C451" s="105">
        <v>5.47</v>
      </c>
      <c r="D451" s="106"/>
    </row>
    <row r="452" spans="1:4" ht="15.75" outlineLevel="1" x14ac:dyDescent="0.2">
      <c r="A452" s="105" t="s">
        <v>2003</v>
      </c>
      <c r="B452" s="105" t="s">
        <v>68</v>
      </c>
      <c r="C452" s="105">
        <v>5.48</v>
      </c>
      <c r="D452" s="106"/>
    </row>
    <row r="453" spans="1:4" ht="15.75" x14ac:dyDescent="0.2">
      <c r="A453" s="109" t="s">
        <v>2003</v>
      </c>
      <c r="B453" s="105"/>
      <c r="C453" s="105"/>
      <c r="D453" s="106"/>
    </row>
    <row r="454" spans="1:4" ht="15.75" outlineLevel="1" x14ac:dyDescent="0.2">
      <c r="A454" s="105" t="s">
        <v>39</v>
      </c>
      <c r="B454" s="105" t="s">
        <v>52</v>
      </c>
      <c r="C454" s="105">
        <v>5.0999999999999996</v>
      </c>
      <c r="D454" s="106"/>
    </row>
    <row r="455" spans="1:4" ht="15.75" outlineLevel="1" x14ac:dyDescent="0.2">
      <c r="A455" s="105" t="s">
        <v>39</v>
      </c>
      <c r="B455" s="105" t="s">
        <v>53</v>
      </c>
      <c r="C455" s="105">
        <v>5.2</v>
      </c>
      <c r="D455" s="106"/>
    </row>
    <row r="456" spans="1:4" ht="15.75" outlineLevel="1" x14ac:dyDescent="0.2">
      <c r="A456" s="105" t="s">
        <v>39</v>
      </c>
      <c r="B456" s="105" t="s">
        <v>1024</v>
      </c>
      <c r="C456" s="105">
        <v>5.5</v>
      </c>
      <c r="D456" s="106"/>
    </row>
    <row r="457" spans="1:4" ht="15.75" outlineLevel="1" x14ac:dyDescent="0.2">
      <c r="A457" s="105" t="s">
        <v>39</v>
      </c>
      <c r="B457" s="105" t="s">
        <v>1025</v>
      </c>
      <c r="C457" s="105">
        <v>5.8</v>
      </c>
      <c r="D457" s="108" t="s">
        <v>1996</v>
      </c>
    </row>
    <row r="458" spans="1:4" ht="15.75" outlineLevel="1" x14ac:dyDescent="0.2">
      <c r="A458" s="105" t="s">
        <v>39</v>
      </c>
      <c r="B458" s="105" t="s">
        <v>1026</v>
      </c>
      <c r="C458" s="105">
        <v>5.12</v>
      </c>
      <c r="D458" s="108" t="s">
        <v>1996</v>
      </c>
    </row>
    <row r="459" spans="1:4" ht="15.75" outlineLevel="1" x14ac:dyDescent="0.2">
      <c r="A459" s="105" t="s">
        <v>39</v>
      </c>
      <c r="B459" s="105" t="s">
        <v>1027</v>
      </c>
      <c r="C459" s="105">
        <v>5.15</v>
      </c>
      <c r="D459" s="106"/>
    </row>
    <row r="460" spans="1:4" ht="15.75" outlineLevel="1" x14ac:dyDescent="0.2">
      <c r="A460" s="105" t="s">
        <v>39</v>
      </c>
      <c r="B460" s="105" t="s">
        <v>1028</v>
      </c>
      <c r="C460" s="107">
        <v>5.2</v>
      </c>
      <c r="D460" s="108"/>
    </row>
    <row r="461" spans="1:4" ht="15.75" outlineLevel="1" x14ac:dyDescent="0.2">
      <c r="A461" s="105" t="s">
        <v>39</v>
      </c>
      <c r="B461" s="105" t="s">
        <v>1029</v>
      </c>
      <c r="C461" s="105">
        <v>5.25</v>
      </c>
      <c r="D461" s="106"/>
    </row>
    <row r="462" spans="1:4" ht="15.75" outlineLevel="1" x14ac:dyDescent="0.2">
      <c r="A462" s="105" t="s">
        <v>39</v>
      </c>
      <c r="B462" s="105" t="s">
        <v>57</v>
      </c>
      <c r="C462" s="105">
        <v>5.26</v>
      </c>
      <c r="D462" s="106"/>
    </row>
    <row r="463" spans="1:4" ht="15.75" outlineLevel="1" x14ac:dyDescent="0.2">
      <c r="A463" s="105" t="s">
        <v>39</v>
      </c>
      <c r="B463" s="105" t="s">
        <v>1030</v>
      </c>
      <c r="C463" s="105">
        <v>5.1139999999999999</v>
      </c>
      <c r="D463" s="108" t="s">
        <v>1996</v>
      </c>
    </row>
    <row r="464" spans="1:4" ht="15.75" outlineLevel="1" x14ac:dyDescent="0.2">
      <c r="A464" s="105" t="s">
        <v>39</v>
      </c>
      <c r="B464" s="105" t="s">
        <v>58</v>
      </c>
      <c r="C464" s="105">
        <v>5.27</v>
      </c>
      <c r="D464" s="106"/>
    </row>
    <row r="465" spans="1:4" ht="15.75" outlineLevel="1" x14ac:dyDescent="0.2">
      <c r="A465" s="105" t="s">
        <v>39</v>
      </c>
      <c r="B465" s="105" t="s">
        <v>1031</v>
      </c>
      <c r="C465" s="105">
        <v>5.1150000000000002</v>
      </c>
      <c r="D465" s="108" t="s">
        <v>1996</v>
      </c>
    </row>
    <row r="466" spans="1:4" ht="15.75" outlineLevel="1" x14ac:dyDescent="0.2">
      <c r="A466" s="105" t="s">
        <v>39</v>
      </c>
      <c r="B466" s="105" t="s">
        <v>1032</v>
      </c>
      <c r="C466" s="105">
        <v>5.1159999999999997</v>
      </c>
      <c r="D466" s="108" t="s">
        <v>1996</v>
      </c>
    </row>
    <row r="467" spans="1:4" ht="15.75" outlineLevel="1" x14ac:dyDescent="0.2">
      <c r="A467" s="105" t="s">
        <v>39</v>
      </c>
      <c r="B467" s="105" t="s">
        <v>88</v>
      </c>
      <c r="C467" s="105">
        <v>5.28</v>
      </c>
      <c r="D467" s="106"/>
    </row>
    <row r="468" spans="1:4" ht="15.75" outlineLevel="1" x14ac:dyDescent="0.2">
      <c r="A468" s="105" t="s">
        <v>39</v>
      </c>
      <c r="B468" s="105" t="s">
        <v>59</v>
      </c>
      <c r="C468" s="105">
        <v>5.36</v>
      </c>
      <c r="D468" s="106"/>
    </row>
    <row r="469" spans="1:4" ht="15.75" outlineLevel="1" x14ac:dyDescent="0.2">
      <c r="A469" s="105" t="s">
        <v>39</v>
      </c>
      <c r="B469" s="105" t="s">
        <v>941</v>
      </c>
      <c r="C469" s="105">
        <v>5.37</v>
      </c>
      <c r="D469" s="106"/>
    </row>
    <row r="470" spans="1:4" ht="15.75" outlineLevel="1" x14ac:dyDescent="0.2">
      <c r="A470" s="105" t="s">
        <v>39</v>
      </c>
      <c r="B470" s="105" t="s">
        <v>62</v>
      </c>
      <c r="C470" s="105">
        <v>5.53</v>
      </c>
      <c r="D470" s="106"/>
    </row>
    <row r="471" spans="1:4" ht="15.75" outlineLevel="1" x14ac:dyDescent="0.2">
      <c r="A471" s="105" t="s">
        <v>39</v>
      </c>
      <c r="B471" s="105" t="s">
        <v>947</v>
      </c>
      <c r="C471" s="105">
        <v>5.19</v>
      </c>
      <c r="D471" s="106"/>
    </row>
    <row r="472" spans="1:4" ht="15.75" outlineLevel="1" x14ac:dyDescent="0.2">
      <c r="A472" s="105" t="s">
        <v>39</v>
      </c>
      <c r="B472" s="105" t="s">
        <v>948</v>
      </c>
      <c r="C472" s="105">
        <v>5.1109999999999998</v>
      </c>
      <c r="D472" s="106"/>
    </row>
    <row r="473" spans="1:4" ht="15.75" outlineLevel="1" x14ac:dyDescent="0.2">
      <c r="A473" s="105" t="s">
        <v>39</v>
      </c>
      <c r="B473" s="105" t="s">
        <v>950</v>
      </c>
      <c r="C473" s="105">
        <v>5.1120000000000001</v>
      </c>
      <c r="D473" s="106"/>
    </row>
    <row r="474" spans="1:4" ht="15.75" outlineLevel="1" x14ac:dyDescent="0.2">
      <c r="A474" s="105" t="s">
        <v>39</v>
      </c>
      <c r="B474" s="105" t="s">
        <v>64</v>
      </c>
      <c r="C474" s="105">
        <v>5.54</v>
      </c>
      <c r="D474" s="106"/>
    </row>
    <row r="475" spans="1:4" ht="15.75" outlineLevel="1" x14ac:dyDescent="0.2">
      <c r="A475" s="105" t="s">
        <v>39</v>
      </c>
      <c r="B475" s="105" t="s">
        <v>2004</v>
      </c>
      <c r="C475" s="105">
        <v>5.61</v>
      </c>
      <c r="D475" s="106"/>
    </row>
    <row r="476" spans="1:4" ht="15.75" outlineLevel="1" x14ac:dyDescent="0.2">
      <c r="A476" s="105" t="s">
        <v>39</v>
      </c>
      <c r="B476" s="105" t="s">
        <v>66</v>
      </c>
      <c r="C476" s="105">
        <v>5.63</v>
      </c>
      <c r="D476" s="106"/>
    </row>
    <row r="477" spans="1:4" ht="15.75" outlineLevel="1" x14ac:dyDescent="0.2">
      <c r="A477" s="105" t="s">
        <v>39</v>
      </c>
      <c r="B477" s="105" t="s">
        <v>1034</v>
      </c>
      <c r="C477" s="105">
        <v>5.46</v>
      </c>
      <c r="D477" s="106"/>
    </row>
    <row r="478" spans="1:4" ht="15.75" outlineLevel="1" x14ac:dyDescent="0.2">
      <c r="A478" s="105" t="s">
        <v>39</v>
      </c>
      <c r="B478" s="105" t="s">
        <v>67</v>
      </c>
      <c r="C478" s="105">
        <v>5.47</v>
      </c>
      <c r="D478" s="106"/>
    </row>
    <row r="479" spans="1:4" ht="15.75" outlineLevel="1" x14ac:dyDescent="0.2">
      <c r="A479" s="105" t="s">
        <v>39</v>
      </c>
      <c r="B479" s="105" t="s">
        <v>68</v>
      </c>
      <c r="C479" s="105">
        <v>5.48</v>
      </c>
      <c r="D479" s="106"/>
    </row>
    <row r="480" spans="1:4" ht="15.75" x14ac:dyDescent="0.2">
      <c r="A480" s="109" t="s">
        <v>39</v>
      </c>
      <c r="B480" s="105"/>
      <c r="C480" s="105"/>
      <c r="D480" s="106"/>
    </row>
    <row r="481" spans="1:4" ht="15.75" outlineLevel="1" x14ac:dyDescent="0.2">
      <c r="A481" s="105" t="s">
        <v>40</v>
      </c>
      <c r="B481" s="105" t="s">
        <v>52</v>
      </c>
      <c r="C481" s="105">
        <v>5.0999999999999996</v>
      </c>
      <c r="D481" s="106"/>
    </row>
    <row r="482" spans="1:4" ht="15.75" outlineLevel="1" x14ac:dyDescent="0.2">
      <c r="A482" s="105" t="s">
        <v>40</v>
      </c>
      <c r="B482" s="105" t="s">
        <v>53</v>
      </c>
      <c r="C482" s="105">
        <v>5.2</v>
      </c>
      <c r="D482" s="106"/>
    </row>
    <row r="483" spans="1:4" ht="15.75" outlineLevel="1" x14ac:dyDescent="0.2">
      <c r="A483" s="105" t="s">
        <v>40</v>
      </c>
      <c r="B483" s="105" t="s">
        <v>85</v>
      </c>
      <c r="C483" s="105">
        <v>5.3</v>
      </c>
      <c r="D483" s="106"/>
    </row>
    <row r="484" spans="1:4" ht="15.75" outlineLevel="1" x14ac:dyDescent="0.2">
      <c r="A484" s="105" t="s">
        <v>40</v>
      </c>
      <c r="B484" s="105" t="s">
        <v>138</v>
      </c>
      <c r="C484" s="105">
        <v>5.6</v>
      </c>
      <c r="D484" s="106"/>
    </row>
    <row r="485" spans="1:4" ht="15.75" outlineLevel="1" x14ac:dyDescent="0.2">
      <c r="A485" s="105" t="s">
        <v>40</v>
      </c>
      <c r="B485" s="105" t="s">
        <v>1998</v>
      </c>
      <c r="C485" s="107">
        <v>5.0999999999999996</v>
      </c>
      <c r="D485" s="106"/>
    </row>
    <row r="486" spans="1:4" ht="15.75" outlineLevel="1" x14ac:dyDescent="0.2">
      <c r="A486" s="105" t="s">
        <v>40</v>
      </c>
      <c r="B486" s="105" t="s">
        <v>1997</v>
      </c>
      <c r="C486" s="105">
        <v>5.14</v>
      </c>
      <c r="D486" s="106"/>
    </row>
    <row r="487" spans="1:4" ht="15.75" outlineLevel="1" x14ac:dyDescent="0.2">
      <c r="A487" s="105" t="s">
        <v>40</v>
      </c>
      <c r="B487" s="105" t="s">
        <v>87</v>
      </c>
      <c r="C487" s="105">
        <v>5.19</v>
      </c>
      <c r="D487" s="106"/>
    </row>
    <row r="488" spans="1:4" ht="15.75" outlineLevel="1" x14ac:dyDescent="0.2">
      <c r="A488" s="105" t="s">
        <v>40</v>
      </c>
      <c r="B488" s="105" t="s">
        <v>140</v>
      </c>
      <c r="C488" s="105">
        <v>5.24</v>
      </c>
      <c r="D488" s="106"/>
    </row>
    <row r="489" spans="1:4" ht="15.75" outlineLevel="1" x14ac:dyDescent="0.2">
      <c r="A489" s="105" t="s">
        <v>40</v>
      </c>
      <c r="B489" s="105" t="s">
        <v>58</v>
      </c>
      <c r="C489" s="105">
        <v>5.27</v>
      </c>
      <c r="D489" s="106"/>
    </row>
    <row r="490" spans="1:4" ht="15.75" outlineLevel="1" x14ac:dyDescent="0.2">
      <c r="A490" s="105" t="s">
        <v>40</v>
      </c>
      <c r="B490" s="105" t="s">
        <v>88</v>
      </c>
      <c r="C490" s="105">
        <v>5.28</v>
      </c>
      <c r="D490" s="106"/>
    </row>
    <row r="491" spans="1:4" ht="15.75" outlineLevel="1" x14ac:dyDescent="0.2">
      <c r="A491" s="105" t="s">
        <v>40</v>
      </c>
      <c r="B491" s="105" t="s">
        <v>148</v>
      </c>
      <c r="C491" s="105">
        <v>5.29</v>
      </c>
      <c r="D491" s="106"/>
    </row>
    <row r="492" spans="1:4" ht="15.75" outlineLevel="1" x14ac:dyDescent="0.2">
      <c r="A492" s="105" t="s">
        <v>40</v>
      </c>
      <c r="B492" s="105" t="s">
        <v>919</v>
      </c>
      <c r="C492" s="105">
        <v>5.34</v>
      </c>
      <c r="D492" s="106"/>
    </row>
    <row r="493" spans="1:4" ht="15.75" outlineLevel="1" x14ac:dyDescent="0.2">
      <c r="A493" s="105" t="s">
        <v>40</v>
      </c>
      <c r="B493" s="105" t="s">
        <v>141</v>
      </c>
      <c r="C493" s="105">
        <v>5.31</v>
      </c>
      <c r="D493" s="106"/>
    </row>
    <row r="494" spans="1:4" ht="15.75" outlineLevel="1" x14ac:dyDescent="0.2">
      <c r="A494" s="105" t="s">
        <v>40</v>
      </c>
      <c r="B494" s="105" t="s">
        <v>920</v>
      </c>
      <c r="C494" s="105">
        <v>5.1100000000000003</v>
      </c>
      <c r="D494" s="106"/>
    </row>
    <row r="495" spans="1:4" ht="15.75" outlineLevel="1" x14ac:dyDescent="0.2">
      <c r="A495" s="105" t="s">
        <v>40</v>
      </c>
      <c r="B495" s="105" t="s">
        <v>59</v>
      </c>
      <c r="C495" s="105">
        <v>5.36</v>
      </c>
      <c r="D495" s="106"/>
    </row>
    <row r="496" spans="1:4" ht="15.75" outlineLevel="1" x14ac:dyDescent="0.2">
      <c r="A496" s="105" t="s">
        <v>40</v>
      </c>
      <c r="B496" s="105" t="s">
        <v>941</v>
      </c>
      <c r="C496" s="105">
        <v>5.37</v>
      </c>
      <c r="D496" s="106"/>
    </row>
    <row r="497" spans="1:4" ht="15.75" outlineLevel="1" x14ac:dyDescent="0.2">
      <c r="A497" s="105" t="s">
        <v>40</v>
      </c>
      <c r="B497" s="105" t="s">
        <v>62</v>
      </c>
      <c r="C497" s="105">
        <v>5.53</v>
      </c>
      <c r="D497" s="106"/>
    </row>
    <row r="498" spans="1:4" ht="15.75" outlineLevel="1" x14ac:dyDescent="0.2">
      <c r="A498" s="105" t="s">
        <v>40</v>
      </c>
      <c r="B498" s="105" t="s">
        <v>947</v>
      </c>
      <c r="C498" s="105">
        <v>5.19</v>
      </c>
      <c r="D498" s="106"/>
    </row>
    <row r="499" spans="1:4" ht="15.75" outlineLevel="1" x14ac:dyDescent="0.2">
      <c r="A499" s="105" t="s">
        <v>40</v>
      </c>
      <c r="B499" s="105" t="s">
        <v>948</v>
      </c>
      <c r="C499" s="105">
        <v>5.1109999999999998</v>
      </c>
      <c r="D499" s="106"/>
    </row>
    <row r="500" spans="1:4" ht="15.75" outlineLevel="1" x14ac:dyDescent="0.2">
      <c r="A500" s="105" t="s">
        <v>40</v>
      </c>
      <c r="B500" s="105" t="s">
        <v>950</v>
      </c>
      <c r="C500" s="105">
        <v>5.1120000000000001</v>
      </c>
      <c r="D500" s="106"/>
    </row>
    <row r="501" spans="1:4" ht="15.75" outlineLevel="1" x14ac:dyDescent="0.2">
      <c r="A501" s="105" t="s">
        <v>40</v>
      </c>
      <c r="B501" s="105" t="s">
        <v>921</v>
      </c>
      <c r="C501" s="105">
        <v>5.12</v>
      </c>
      <c r="D501" s="106"/>
    </row>
    <row r="502" spans="1:4" ht="15.75" outlineLevel="1" x14ac:dyDescent="0.2">
      <c r="A502" s="105" t="s">
        <v>40</v>
      </c>
      <c r="B502" s="105" t="s">
        <v>922</v>
      </c>
      <c r="C502" s="110">
        <v>5.0999999999999996</v>
      </c>
      <c r="D502" s="106"/>
    </row>
    <row r="503" spans="1:4" ht="15.75" outlineLevel="1" x14ac:dyDescent="0.2">
      <c r="A503" s="105" t="s">
        <v>40</v>
      </c>
      <c r="B503" s="105" t="s">
        <v>95</v>
      </c>
      <c r="C503" s="105">
        <v>5.58</v>
      </c>
      <c r="D503" s="106"/>
    </row>
    <row r="504" spans="1:4" ht="15.75" outlineLevel="1" x14ac:dyDescent="0.2">
      <c r="A504" s="105" t="s">
        <v>40</v>
      </c>
      <c r="B504" s="105" t="s">
        <v>96</v>
      </c>
      <c r="C504" s="105">
        <v>5.55</v>
      </c>
      <c r="D504" s="106"/>
    </row>
    <row r="505" spans="1:4" ht="15.75" outlineLevel="1" x14ac:dyDescent="0.2">
      <c r="A505" s="105" t="s">
        <v>40</v>
      </c>
      <c r="B505" s="105" t="s">
        <v>64</v>
      </c>
      <c r="C505" s="105">
        <v>5.54</v>
      </c>
      <c r="D505" s="106"/>
    </row>
    <row r="506" spans="1:4" ht="15.75" outlineLevel="1" x14ac:dyDescent="0.2">
      <c r="A506" s="105" t="s">
        <v>40</v>
      </c>
      <c r="B506" s="105" t="s">
        <v>66</v>
      </c>
      <c r="C506" s="105">
        <v>5.63</v>
      </c>
      <c r="D506" s="106"/>
    </row>
    <row r="507" spans="1:4" ht="15.75" outlineLevel="1" x14ac:dyDescent="0.2">
      <c r="A507" s="105" t="s">
        <v>40</v>
      </c>
      <c r="B507" s="105" t="s">
        <v>67</v>
      </c>
      <c r="C507" s="105">
        <v>5.47</v>
      </c>
      <c r="D507" s="106"/>
    </row>
    <row r="508" spans="1:4" ht="15.75" outlineLevel="1" x14ac:dyDescent="0.2">
      <c r="A508" s="105" t="s">
        <v>40</v>
      </c>
      <c r="B508" s="105" t="s">
        <v>68</v>
      </c>
      <c r="C508" s="105">
        <v>5.48</v>
      </c>
      <c r="D508" s="106"/>
    </row>
    <row r="509" spans="1:4" ht="15.75" x14ac:dyDescent="0.2">
      <c r="A509" s="109" t="s">
        <v>40</v>
      </c>
      <c r="B509" s="105"/>
      <c r="C509" s="105"/>
      <c r="D509" s="106"/>
    </row>
    <row r="510" spans="1:4" ht="15.75" outlineLevel="1" x14ac:dyDescent="0.2">
      <c r="A510" s="105" t="s">
        <v>41</v>
      </c>
      <c r="B510" s="105" t="s">
        <v>52</v>
      </c>
      <c r="C510" s="105">
        <v>5.0999999999999996</v>
      </c>
      <c r="D510" s="106"/>
    </row>
    <row r="511" spans="1:4" ht="15.75" outlineLevel="1" x14ac:dyDescent="0.2">
      <c r="A511" s="105" t="s">
        <v>41</v>
      </c>
      <c r="B511" s="105" t="s">
        <v>53</v>
      </c>
      <c r="C511" s="105">
        <v>5.2</v>
      </c>
      <c r="D511" s="106"/>
    </row>
    <row r="512" spans="1:4" ht="15.75" outlineLevel="1" x14ac:dyDescent="0.2">
      <c r="A512" s="105" t="s">
        <v>41</v>
      </c>
      <c r="B512" s="105" t="s">
        <v>85</v>
      </c>
      <c r="C512" s="105">
        <v>5.3</v>
      </c>
      <c r="D512" s="106"/>
    </row>
    <row r="513" spans="1:4" ht="15.75" outlineLevel="1" x14ac:dyDescent="0.2">
      <c r="A513" s="105" t="s">
        <v>41</v>
      </c>
      <c r="B513" s="105" t="s">
        <v>138</v>
      </c>
      <c r="C513" s="105">
        <v>5.6</v>
      </c>
      <c r="D513" s="106"/>
    </row>
    <row r="514" spans="1:4" ht="15.75" outlineLevel="1" x14ac:dyDescent="0.2">
      <c r="A514" s="105" t="s">
        <v>41</v>
      </c>
      <c r="B514" s="105" t="s">
        <v>1998</v>
      </c>
      <c r="C514" s="107">
        <v>5.0999999999999996</v>
      </c>
      <c r="D514" s="106"/>
    </row>
    <row r="515" spans="1:4" ht="15.75" outlineLevel="1" x14ac:dyDescent="0.2">
      <c r="A515" s="105" t="s">
        <v>41</v>
      </c>
      <c r="B515" s="105" t="s">
        <v>1997</v>
      </c>
      <c r="C515" s="105">
        <v>5.14</v>
      </c>
      <c r="D515" s="106"/>
    </row>
    <row r="516" spans="1:4" ht="15.75" outlineLevel="1" x14ac:dyDescent="0.2">
      <c r="A516" s="105" t="s">
        <v>41</v>
      </c>
      <c r="B516" s="105" t="s">
        <v>87</v>
      </c>
      <c r="C516" s="105">
        <v>5.19</v>
      </c>
      <c r="D516" s="106"/>
    </row>
    <row r="517" spans="1:4" ht="15.75" outlineLevel="1" x14ac:dyDescent="0.2">
      <c r="A517" s="105" t="s">
        <v>41</v>
      </c>
      <c r="B517" s="105" t="s">
        <v>140</v>
      </c>
      <c r="C517" s="105">
        <v>5.24</v>
      </c>
      <c r="D517" s="106"/>
    </row>
    <row r="518" spans="1:4" ht="15.75" outlineLevel="1" x14ac:dyDescent="0.2">
      <c r="A518" s="105" t="s">
        <v>41</v>
      </c>
      <c r="B518" s="105" t="s">
        <v>57</v>
      </c>
      <c r="C518" s="105">
        <v>5.26</v>
      </c>
      <c r="D518" s="106"/>
    </row>
    <row r="519" spans="1:4" ht="15.75" outlineLevel="1" x14ac:dyDescent="0.2">
      <c r="A519" s="105" t="s">
        <v>41</v>
      </c>
      <c r="B519" s="105" t="s">
        <v>58</v>
      </c>
      <c r="C519" s="105">
        <v>5.27</v>
      </c>
      <c r="D519" s="106"/>
    </row>
    <row r="520" spans="1:4" ht="15.75" outlineLevel="1" x14ac:dyDescent="0.2">
      <c r="A520" s="105" t="s">
        <v>41</v>
      </c>
      <c r="B520" s="105" t="s">
        <v>88</v>
      </c>
      <c r="C520" s="105">
        <v>5.28</v>
      </c>
      <c r="D520" s="106"/>
    </row>
    <row r="521" spans="1:4" ht="15.75" outlineLevel="1" x14ac:dyDescent="0.2">
      <c r="A521" s="105" t="s">
        <v>41</v>
      </c>
      <c r="B521" s="105" t="s">
        <v>141</v>
      </c>
      <c r="C521" s="105">
        <v>5.31</v>
      </c>
      <c r="D521" s="106"/>
    </row>
    <row r="522" spans="1:4" ht="15.75" outlineLevel="1" x14ac:dyDescent="0.2">
      <c r="A522" s="105" t="s">
        <v>41</v>
      </c>
      <c r="B522" s="105" t="s">
        <v>928</v>
      </c>
      <c r="C522" s="105">
        <v>5.33</v>
      </c>
      <c r="D522" s="106"/>
    </row>
    <row r="523" spans="1:4" ht="15.75" outlineLevel="1" x14ac:dyDescent="0.2">
      <c r="A523" s="105" t="s">
        <v>41</v>
      </c>
      <c r="B523" s="105" t="s">
        <v>920</v>
      </c>
      <c r="C523" s="105">
        <v>5.1100000000000003</v>
      </c>
      <c r="D523" s="106"/>
    </row>
    <row r="524" spans="1:4" ht="15.75" outlineLevel="1" x14ac:dyDescent="0.2">
      <c r="A524" s="105" t="s">
        <v>41</v>
      </c>
      <c r="B524" s="105" t="s">
        <v>59</v>
      </c>
      <c r="C524" s="105">
        <v>5.36</v>
      </c>
      <c r="D524" s="106"/>
    </row>
    <row r="525" spans="1:4" ht="15.75" outlineLevel="1" x14ac:dyDescent="0.2">
      <c r="A525" s="105" t="s">
        <v>41</v>
      </c>
      <c r="B525" s="105" t="s">
        <v>941</v>
      </c>
      <c r="C525" s="105">
        <v>5.37</v>
      </c>
      <c r="D525" s="106"/>
    </row>
    <row r="526" spans="1:4" ht="15.75" outlineLevel="1" x14ac:dyDescent="0.2">
      <c r="A526" s="105" t="s">
        <v>41</v>
      </c>
      <c r="B526" s="105" t="s">
        <v>62</v>
      </c>
      <c r="C526" s="105">
        <v>5.53</v>
      </c>
      <c r="D526" s="106"/>
    </row>
    <row r="527" spans="1:4" ht="15.75" outlineLevel="1" x14ac:dyDescent="0.2">
      <c r="A527" s="105" t="s">
        <v>41</v>
      </c>
      <c r="B527" s="105" t="s">
        <v>947</v>
      </c>
      <c r="C527" s="105">
        <v>5.19</v>
      </c>
      <c r="D527" s="106"/>
    </row>
    <row r="528" spans="1:4" ht="15.75" outlineLevel="1" x14ac:dyDescent="0.2">
      <c r="A528" s="105" t="s">
        <v>41</v>
      </c>
      <c r="B528" s="105" t="s">
        <v>948</v>
      </c>
      <c r="C528" s="105">
        <v>5.1109999999999998</v>
      </c>
      <c r="D528" s="106"/>
    </row>
    <row r="529" spans="1:4" ht="15.75" outlineLevel="1" x14ac:dyDescent="0.2">
      <c r="A529" s="105" t="s">
        <v>41</v>
      </c>
      <c r="B529" s="105" t="s">
        <v>950</v>
      </c>
      <c r="C529" s="105">
        <v>5.1120000000000001</v>
      </c>
      <c r="D529" s="106"/>
    </row>
    <row r="530" spans="1:4" ht="15.75" outlineLevel="1" x14ac:dyDescent="0.2">
      <c r="A530" s="105" t="s">
        <v>41</v>
      </c>
      <c r="B530" s="105" t="s">
        <v>921</v>
      </c>
      <c r="C530" s="105">
        <v>5.12</v>
      </c>
      <c r="D530" s="106"/>
    </row>
    <row r="531" spans="1:4" ht="15.75" outlineLevel="1" x14ac:dyDescent="0.2">
      <c r="A531" s="105" t="s">
        <v>41</v>
      </c>
      <c r="B531" s="105" t="s">
        <v>922</v>
      </c>
      <c r="C531" s="110">
        <v>5.0999999999999996</v>
      </c>
      <c r="D531" s="106"/>
    </row>
    <row r="532" spans="1:4" ht="15.75" outlineLevel="1" x14ac:dyDescent="0.2">
      <c r="A532" s="105" t="s">
        <v>41</v>
      </c>
      <c r="B532" s="105" t="s">
        <v>95</v>
      </c>
      <c r="C532" s="105">
        <v>5.58</v>
      </c>
      <c r="D532" s="106"/>
    </row>
    <row r="533" spans="1:4" ht="15.75" outlineLevel="1" x14ac:dyDescent="0.2">
      <c r="A533" s="105" t="s">
        <v>41</v>
      </c>
      <c r="B533" s="105" t="s">
        <v>96</v>
      </c>
      <c r="C533" s="105">
        <v>5.55</v>
      </c>
      <c r="D533" s="106"/>
    </row>
    <row r="534" spans="1:4" ht="15.75" outlineLevel="1" x14ac:dyDescent="0.2">
      <c r="A534" s="105" t="s">
        <v>41</v>
      </c>
      <c r="B534" s="105" t="s">
        <v>64</v>
      </c>
      <c r="C534" s="105">
        <v>5.54</v>
      </c>
      <c r="D534" s="106"/>
    </row>
    <row r="535" spans="1:4" ht="15.75" outlineLevel="1" x14ac:dyDescent="0.2">
      <c r="A535" s="105" t="s">
        <v>41</v>
      </c>
      <c r="B535" s="105" t="s">
        <v>66</v>
      </c>
      <c r="C535" s="105">
        <v>5.63</v>
      </c>
      <c r="D535" s="106"/>
    </row>
    <row r="536" spans="1:4" ht="15.75" outlineLevel="1" x14ac:dyDescent="0.2">
      <c r="A536" s="105" t="s">
        <v>41</v>
      </c>
      <c r="B536" s="105" t="s">
        <v>67</v>
      </c>
      <c r="C536" s="105">
        <v>5.47</v>
      </c>
      <c r="D536" s="106"/>
    </row>
    <row r="537" spans="1:4" ht="15.75" outlineLevel="1" x14ac:dyDescent="0.2">
      <c r="A537" s="105" t="s">
        <v>41</v>
      </c>
      <c r="B537" s="105" t="s">
        <v>68</v>
      </c>
      <c r="C537" s="105">
        <v>5.48</v>
      </c>
      <c r="D537" s="106"/>
    </row>
    <row r="538" spans="1:4" ht="15.75" x14ac:dyDescent="0.2">
      <c r="A538" s="109" t="s">
        <v>41</v>
      </c>
      <c r="B538" s="105"/>
      <c r="C538" s="105"/>
      <c r="D538" s="106"/>
    </row>
    <row r="539" spans="1:4" ht="15.75" outlineLevel="1" x14ac:dyDescent="0.2">
      <c r="A539" s="105" t="s">
        <v>42</v>
      </c>
      <c r="B539" s="105" t="s">
        <v>52</v>
      </c>
      <c r="C539" s="105">
        <v>5.0999999999999996</v>
      </c>
      <c r="D539" s="106"/>
    </row>
    <row r="540" spans="1:4" ht="15.75" outlineLevel="1" x14ac:dyDescent="0.2">
      <c r="A540" s="105" t="s">
        <v>42</v>
      </c>
      <c r="B540" s="105" t="s">
        <v>53</v>
      </c>
      <c r="C540" s="105">
        <v>5.2</v>
      </c>
      <c r="D540" s="106"/>
    </row>
    <row r="541" spans="1:4" ht="15.75" outlineLevel="1" x14ac:dyDescent="0.2">
      <c r="A541" s="105" t="s">
        <v>42</v>
      </c>
      <c r="B541" s="105" t="s">
        <v>57</v>
      </c>
      <c r="C541" s="105">
        <v>5.26</v>
      </c>
      <c r="D541" s="106"/>
    </row>
    <row r="542" spans="1:4" ht="15.75" outlineLevel="1" x14ac:dyDescent="0.2">
      <c r="A542" s="105" t="s">
        <v>42</v>
      </c>
      <c r="B542" s="105" t="s">
        <v>1134</v>
      </c>
      <c r="C542" s="105">
        <v>5.21</v>
      </c>
      <c r="D542" s="106"/>
    </row>
    <row r="543" spans="1:4" ht="15.75" outlineLevel="1" x14ac:dyDescent="0.2">
      <c r="A543" s="105" t="s">
        <v>42</v>
      </c>
      <c r="B543" s="105" t="s">
        <v>1135</v>
      </c>
      <c r="C543" s="105">
        <v>5.53</v>
      </c>
      <c r="D543" s="106"/>
    </row>
    <row r="544" spans="1:4" ht="15.75" outlineLevel="1" x14ac:dyDescent="0.2">
      <c r="A544" s="105" t="s">
        <v>42</v>
      </c>
      <c r="B544" s="105" t="s">
        <v>64</v>
      </c>
      <c r="C544" s="105">
        <v>5.54</v>
      </c>
      <c r="D544" s="106"/>
    </row>
    <row r="545" spans="1:4" ht="15.75" outlineLevel="1" x14ac:dyDescent="0.2">
      <c r="A545" s="105" t="s">
        <v>42</v>
      </c>
      <c r="B545" s="105" t="s">
        <v>1136</v>
      </c>
      <c r="C545" s="105">
        <v>5.58</v>
      </c>
      <c r="D545" s="106"/>
    </row>
    <row r="546" spans="1:4" ht="15.75" outlineLevel="1" x14ac:dyDescent="0.2">
      <c r="A546" s="105" t="s">
        <v>42</v>
      </c>
      <c r="B546" s="105" t="s">
        <v>1137</v>
      </c>
      <c r="C546" s="105">
        <v>5.1180000000000003</v>
      </c>
      <c r="D546" s="106"/>
    </row>
    <row r="547" spans="1:4" ht="15.75" outlineLevel="1" x14ac:dyDescent="0.2">
      <c r="A547" s="105" t="s">
        <v>42</v>
      </c>
      <c r="B547" s="105" t="s">
        <v>1138</v>
      </c>
      <c r="C547" s="105">
        <v>5.47</v>
      </c>
      <c r="D547" s="106"/>
    </row>
    <row r="548" spans="1:4" ht="15.75" outlineLevel="1" x14ac:dyDescent="0.2">
      <c r="A548" s="105" t="s">
        <v>42</v>
      </c>
      <c r="B548" s="105" t="s">
        <v>1139</v>
      </c>
      <c r="C548" s="105">
        <v>5.48</v>
      </c>
      <c r="D548" s="106"/>
    </row>
    <row r="549" spans="1:4" ht="15.75" outlineLevel="1" x14ac:dyDescent="0.2">
      <c r="A549" s="105" t="s">
        <v>42</v>
      </c>
      <c r="B549" s="105" t="s">
        <v>1140</v>
      </c>
      <c r="C549" s="105">
        <v>5.21</v>
      </c>
      <c r="D549" s="106"/>
    </row>
    <row r="550" spans="1:4" ht="15.75" outlineLevel="1" x14ac:dyDescent="0.2">
      <c r="A550" s="105" t="s">
        <v>42</v>
      </c>
      <c r="B550" s="105" t="s">
        <v>1141</v>
      </c>
      <c r="C550" s="105">
        <v>5.53</v>
      </c>
      <c r="D550" s="106"/>
    </row>
    <row r="551" spans="1:4" ht="15.75" outlineLevel="1" x14ac:dyDescent="0.2">
      <c r="A551" s="105" t="s">
        <v>42</v>
      </c>
      <c r="B551" s="105" t="s">
        <v>64</v>
      </c>
      <c r="C551" s="105">
        <v>5.54</v>
      </c>
      <c r="D551" s="106"/>
    </row>
    <row r="552" spans="1:4" ht="15.75" outlineLevel="1" x14ac:dyDescent="0.2">
      <c r="A552" s="105" t="s">
        <v>42</v>
      </c>
      <c r="B552" s="105" t="s">
        <v>1142</v>
      </c>
      <c r="C552" s="105">
        <v>5.58</v>
      </c>
      <c r="D552" s="106"/>
    </row>
    <row r="553" spans="1:4" ht="15.75" outlineLevel="1" x14ac:dyDescent="0.2">
      <c r="A553" s="105" t="s">
        <v>42</v>
      </c>
      <c r="B553" s="105" t="s">
        <v>1143</v>
      </c>
      <c r="C553" s="105">
        <v>5.1180000000000003</v>
      </c>
      <c r="D553" s="106"/>
    </row>
    <row r="554" spans="1:4" ht="15.75" outlineLevel="1" x14ac:dyDescent="0.2">
      <c r="A554" s="105" t="s">
        <v>42</v>
      </c>
      <c r="B554" s="105" t="s">
        <v>2005</v>
      </c>
      <c r="C554" s="105">
        <v>5.47</v>
      </c>
      <c r="D554" s="106"/>
    </row>
    <row r="555" spans="1:4" ht="15.75" outlineLevel="1" x14ac:dyDescent="0.2">
      <c r="A555" s="105" t="s">
        <v>42</v>
      </c>
      <c r="B555" s="105" t="s">
        <v>2006</v>
      </c>
      <c r="C555" s="105">
        <v>5.48</v>
      </c>
      <c r="D555" s="106"/>
    </row>
    <row r="556" spans="1:4" ht="15.75" outlineLevel="1" x14ac:dyDescent="0.2">
      <c r="A556" s="105" t="s">
        <v>42</v>
      </c>
      <c r="B556" s="105" t="s">
        <v>2007</v>
      </c>
      <c r="C556" s="105">
        <v>5.63</v>
      </c>
      <c r="D556" s="106"/>
    </row>
    <row r="557" spans="1:4" ht="15.75" outlineLevel="1" x14ac:dyDescent="0.2">
      <c r="A557" s="105" t="s">
        <v>42</v>
      </c>
      <c r="B557" s="105" t="s">
        <v>58</v>
      </c>
      <c r="C557" s="105">
        <v>5.27</v>
      </c>
      <c r="D557" s="106"/>
    </row>
    <row r="558" spans="1:4" ht="15.75" outlineLevel="1" x14ac:dyDescent="0.2">
      <c r="A558" s="105" t="s">
        <v>42</v>
      </c>
      <c r="B558" s="105" t="s">
        <v>88</v>
      </c>
      <c r="C558" s="105">
        <v>5.28</v>
      </c>
      <c r="D558" s="106"/>
    </row>
    <row r="559" spans="1:4" ht="15.75" outlineLevel="1" x14ac:dyDescent="0.2">
      <c r="A559" s="105" t="s">
        <v>42</v>
      </c>
      <c r="B559" s="105" t="s">
        <v>1147</v>
      </c>
      <c r="C559" s="105">
        <v>5.35</v>
      </c>
      <c r="D559" s="106"/>
    </row>
    <row r="560" spans="1:4" ht="15.75" outlineLevel="1" x14ac:dyDescent="0.2">
      <c r="A560" s="105" t="s">
        <v>42</v>
      </c>
      <c r="B560" s="105" t="s">
        <v>1148</v>
      </c>
      <c r="C560" s="105">
        <v>5.1189999999999998</v>
      </c>
      <c r="D560" s="106"/>
    </row>
    <row r="561" spans="1:4" ht="15.75" outlineLevel="1" x14ac:dyDescent="0.2">
      <c r="A561" s="105" t="s">
        <v>42</v>
      </c>
      <c r="B561" s="105" t="s">
        <v>1149</v>
      </c>
      <c r="C561" s="110">
        <v>5.12</v>
      </c>
      <c r="D561" s="106"/>
    </row>
    <row r="562" spans="1:4" ht="15.75" outlineLevel="1" x14ac:dyDescent="0.2">
      <c r="A562" s="105" t="s">
        <v>42</v>
      </c>
      <c r="B562" s="105" t="s">
        <v>932</v>
      </c>
      <c r="C562" s="105">
        <v>5.1210000000000004</v>
      </c>
      <c r="D562" s="106"/>
    </row>
    <row r="563" spans="1:4" ht="15.75" outlineLevel="1" x14ac:dyDescent="0.2">
      <c r="A563" s="105" t="s">
        <v>42</v>
      </c>
      <c r="B563" s="105" t="s">
        <v>59</v>
      </c>
      <c r="C563" s="105">
        <v>5.36</v>
      </c>
      <c r="D563" s="106"/>
    </row>
    <row r="564" spans="1:4" ht="15.75" outlineLevel="1" x14ac:dyDescent="0.2">
      <c r="A564" s="105" t="s">
        <v>42</v>
      </c>
      <c r="B564" s="105" t="s">
        <v>1150</v>
      </c>
      <c r="C564" s="105">
        <v>5.1219999999999999</v>
      </c>
      <c r="D564" s="106"/>
    </row>
    <row r="565" spans="1:4" ht="15.75" outlineLevel="1" x14ac:dyDescent="0.2">
      <c r="A565" s="105" t="s">
        <v>42</v>
      </c>
      <c r="B565" s="105" t="s">
        <v>1151</v>
      </c>
      <c r="C565" s="105">
        <v>5.1230000000000002</v>
      </c>
      <c r="D565" s="106"/>
    </row>
    <row r="566" spans="1:4" ht="15.75" outlineLevel="1" x14ac:dyDescent="0.2">
      <c r="A566" s="105" t="s">
        <v>42</v>
      </c>
      <c r="B566" s="105" t="s">
        <v>1152</v>
      </c>
      <c r="C566" s="105">
        <v>5.1239999999999997</v>
      </c>
      <c r="D566" s="106"/>
    </row>
    <row r="567" spans="1:4" ht="15.75" outlineLevel="1" x14ac:dyDescent="0.2">
      <c r="A567" s="105" t="s">
        <v>42</v>
      </c>
      <c r="B567" s="105" t="s">
        <v>1153</v>
      </c>
      <c r="C567" s="105">
        <v>5.125</v>
      </c>
      <c r="D567" s="106"/>
    </row>
    <row r="568" spans="1:4" ht="15.75" outlineLevel="1" x14ac:dyDescent="0.2">
      <c r="A568" s="105" t="s">
        <v>42</v>
      </c>
      <c r="B568" s="105" t="s">
        <v>1154</v>
      </c>
      <c r="C568" s="105">
        <v>5.1260000000000003</v>
      </c>
      <c r="D568" s="106"/>
    </row>
    <row r="569" spans="1:4" ht="15.75" outlineLevel="1" x14ac:dyDescent="0.2">
      <c r="A569" s="105" t="s">
        <v>42</v>
      </c>
      <c r="B569" s="105" t="s">
        <v>1155</v>
      </c>
      <c r="C569" s="105">
        <v>5.1269999999999998</v>
      </c>
      <c r="D569" s="106"/>
    </row>
    <row r="570" spans="1:4" ht="15.75" outlineLevel="1" x14ac:dyDescent="0.2">
      <c r="A570" s="105" t="s">
        <v>42</v>
      </c>
      <c r="B570" s="105" t="s">
        <v>143</v>
      </c>
      <c r="C570" s="107">
        <v>5.72</v>
      </c>
      <c r="D570" s="106"/>
    </row>
    <row r="571" spans="1:4" ht="15.75" outlineLevel="1" x14ac:dyDescent="0.2">
      <c r="A571" s="105" t="s">
        <v>42</v>
      </c>
      <c r="B571" s="105" t="s">
        <v>1156</v>
      </c>
      <c r="C571" s="105">
        <v>5.1280000000000001</v>
      </c>
      <c r="D571" s="106"/>
    </row>
    <row r="572" spans="1:4" ht="15.75" outlineLevel="1" x14ac:dyDescent="0.2">
      <c r="A572" s="105" t="s">
        <v>42</v>
      </c>
      <c r="B572" s="105" t="s">
        <v>1157</v>
      </c>
      <c r="C572" s="105">
        <v>5.1289999999999996</v>
      </c>
      <c r="D572" s="108" t="s">
        <v>1996</v>
      </c>
    </row>
    <row r="573" spans="1:4" ht="15.75" outlineLevel="1" x14ac:dyDescent="0.2">
      <c r="A573" s="105" t="s">
        <v>42</v>
      </c>
      <c r="B573" s="105" t="s">
        <v>1158</v>
      </c>
      <c r="C573" s="105">
        <v>5.1310000000000002</v>
      </c>
      <c r="D573" s="106"/>
    </row>
    <row r="574" spans="1:4" ht="15.75" outlineLevel="1" x14ac:dyDescent="0.2">
      <c r="A574" s="105" t="s">
        <v>42</v>
      </c>
      <c r="B574" s="105" t="s">
        <v>1159</v>
      </c>
      <c r="C574" s="105">
        <v>5.1319999999999997</v>
      </c>
      <c r="D574" s="108" t="s">
        <v>1996</v>
      </c>
    </row>
    <row r="575" spans="1:4" ht="15.75" outlineLevel="1" x14ac:dyDescent="0.2">
      <c r="A575" s="105" t="s">
        <v>42</v>
      </c>
      <c r="B575" s="105" t="s">
        <v>1160</v>
      </c>
      <c r="C575" s="105">
        <v>5.133</v>
      </c>
      <c r="D575" s="108" t="s">
        <v>1996</v>
      </c>
    </row>
    <row r="576" spans="1:4" ht="15.75" outlineLevel="1" x14ac:dyDescent="0.2">
      <c r="A576" s="105" t="s">
        <v>42</v>
      </c>
      <c r="B576" s="105" t="s">
        <v>1161</v>
      </c>
      <c r="C576" s="105">
        <v>5.1340000000000003</v>
      </c>
      <c r="D576" s="108" t="s">
        <v>1996</v>
      </c>
    </row>
    <row r="577" spans="1:4" ht="15.75" outlineLevel="1" x14ac:dyDescent="0.2">
      <c r="A577" s="105" t="s">
        <v>42</v>
      </c>
      <c r="B577" s="105" t="s">
        <v>1162</v>
      </c>
      <c r="C577" s="110">
        <v>5.13</v>
      </c>
      <c r="D577" s="106"/>
    </row>
    <row r="578" spans="1:4" ht="15.75" outlineLevel="1" x14ac:dyDescent="0.2">
      <c r="A578" s="105" t="s">
        <v>42</v>
      </c>
      <c r="B578" s="105" t="s">
        <v>67</v>
      </c>
      <c r="C578" s="105">
        <v>5.47</v>
      </c>
      <c r="D578" s="106"/>
    </row>
    <row r="579" spans="1:4" ht="15.75" outlineLevel="1" x14ac:dyDescent="0.2">
      <c r="A579" s="105" t="s">
        <v>42</v>
      </c>
      <c r="B579" s="105" t="s">
        <v>68</v>
      </c>
      <c r="C579" s="105">
        <v>5.48</v>
      </c>
      <c r="D579" s="106"/>
    </row>
    <row r="580" spans="1:4" ht="15.75" x14ac:dyDescent="0.2">
      <c r="A580" s="109" t="s">
        <v>42</v>
      </c>
      <c r="B580" s="105"/>
      <c r="C580" s="105"/>
      <c r="D580" s="106"/>
    </row>
    <row r="581" spans="1:4" ht="15.75" outlineLevel="1" x14ac:dyDescent="0.2">
      <c r="A581" s="105" t="s">
        <v>43</v>
      </c>
      <c r="B581" s="105" t="s">
        <v>52</v>
      </c>
      <c r="C581" s="105">
        <v>5.0999999999999996</v>
      </c>
      <c r="D581" s="106"/>
    </row>
    <row r="582" spans="1:4" ht="15.75" outlineLevel="1" x14ac:dyDescent="0.2">
      <c r="A582" s="105" t="s">
        <v>43</v>
      </c>
      <c r="B582" s="105" t="s">
        <v>53</v>
      </c>
      <c r="C582" s="105">
        <v>5.2</v>
      </c>
      <c r="D582" s="106"/>
    </row>
    <row r="583" spans="1:4" ht="15.75" outlineLevel="1" x14ac:dyDescent="0.2">
      <c r="A583" s="105" t="s">
        <v>43</v>
      </c>
      <c r="B583" s="105" t="s">
        <v>1175</v>
      </c>
      <c r="C583" s="105">
        <v>5.9</v>
      </c>
      <c r="D583" s="108" t="s">
        <v>1996</v>
      </c>
    </row>
    <row r="584" spans="1:4" ht="15.75" outlineLevel="1" x14ac:dyDescent="0.2">
      <c r="A584" s="105" t="s">
        <v>43</v>
      </c>
      <c r="B584" s="105" t="s">
        <v>1176</v>
      </c>
      <c r="C584" s="105">
        <v>5.13</v>
      </c>
      <c r="D584" s="108" t="s">
        <v>1996</v>
      </c>
    </row>
    <row r="585" spans="1:4" ht="15.75" outlineLevel="1" x14ac:dyDescent="0.2">
      <c r="A585" s="105" t="s">
        <v>43</v>
      </c>
      <c r="B585" s="105" t="s">
        <v>1177</v>
      </c>
      <c r="C585" s="105">
        <v>5.16</v>
      </c>
      <c r="D585" s="108" t="s">
        <v>1996</v>
      </c>
    </row>
    <row r="586" spans="1:4" ht="15.75" outlineLevel="1" x14ac:dyDescent="0.2">
      <c r="A586" s="105" t="s">
        <v>43</v>
      </c>
      <c r="B586" s="105" t="s">
        <v>1178</v>
      </c>
      <c r="C586" s="105">
        <v>5.22</v>
      </c>
      <c r="D586" s="108"/>
    </row>
    <row r="587" spans="1:4" ht="15.75" outlineLevel="1" x14ac:dyDescent="0.2">
      <c r="A587" s="105" t="s">
        <v>43</v>
      </c>
      <c r="B587" s="105" t="s">
        <v>57</v>
      </c>
      <c r="C587" s="105">
        <v>5.26</v>
      </c>
      <c r="D587" s="106"/>
    </row>
    <row r="588" spans="1:4" ht="15.75" outlineLevel="1" x14ac:dyDescent="0.2">
      <c r="A588" s="105" t="s">
        <v>43</v>
      </c>
      <c r="B588" s="105" t="s">
        <v>1179</v>
      </c>
      <c r="C588" s="105">
        <v>5.77</v>
      </c>
      <c r="D588" s="106"/>
    </row>
    <row r="589" spans="1:4" ht="15.75" outlineLevel="1" x14ac:dyDescent="0.2">
      <c r="A589" s="105" t="s">
        <v>43</v>
      </c>
      <c r="B589" s="105" t="s">
        <v>58</v>
      </c>
      <c r="C589" s="105">
        <v>5.27</v>
      </c>
      <c r="D589" s="106"/>
    </row>
    <row r="590" spans="1:4" ht="15.75" outlineLevel="1" x14ac:dyDescent="0.2">
      <c r="A590" s="105" t="s">
        <v>43</v>
      </c>
      <c r="B590" s="105" t="s">
        <v>88</v>
      </c>
      <c r="C590" s="105">
        <v>5.28</v>
      </c>
      <c r="D590" s="108" t="s">
        <v>1996</v>
      </c>
    </row>
    <row r="591" spans="1:4" ht="15.75" outlineLevel="1" x14ac:dyDescent="0.2">
      <c r="A591" s="105" t="s">
        <v>43</v>
      </c>
      <c r="B591" s="105" t="s">
        <v>141</v>
      </c>
      <c r="C591" s="105">
        <v>5.31</v>
      </c>
      <c r="D591" s="106"/>
    </row>
    <row r="592" spans="1:4" ht="15.75" outlineLevel="1" x14ac:dyDescent="0.2">
      <c r="A592" s="105" t="s">
        <v>43</v>
      </c>
      <c r="B592" s="105" t="s">
        <v>59</v>
      </c>
      <c r="C592" s="105">
        <v>5.36</v>
      </c>
      <c r="D592" s="106"/>
    </row>
    <row r="593" spans="1:4" ht="15.75" outlineLevel="1" x14ac:dyDescent="0.2">
      <c r="A593" s="105" t="s">
        <v>43</v>
      </c>
      <c r="B593" s="105" t="s">
        <v>1180</v>
      </c>
      <c r="C593" s="105">
        <v>5.78</v>
      </c>
      <c r="D593" s="106"/>
    </row>
    <row r="594" spans="1:4" ht="15.75" outlineLevel="1" x14ac:dyDescent="0.2">
      <c r="A594" s="105" t="s">
        <v>43</v>
      </c>
      <c r="B594" s="105" t="s">
        <v>1181</v>
      </c>
      <c r="C594" s="105">
        <v>5.79</v>
      </c>
      <c r="D594" s="108" t="s">
        <v>1996</v>
      </c>
    </row>
    <row r="595" spans="1:4" ht="15.75" outlineLevel="1" x14ac:dyDescent="0.2">
      <c r="A595" s="105" t="s">
        <v>43</v>
      </c>
      <c r="B595" s="105" t="s">
        <v>1182</v>
      </c>
      <c r="C595" s="105">
        <v>5.41</v>
      </c>
      <c r="D595" s="106"/>
    </row>
    <row r="596" spans="1:4" ht="15.75" outlineLevel="1" x14ac:dyDescent="0.2">
      <c r="A596" s="105" t="s">
        <v>43</v>
      </c>
      <c r="B596" s="105" t="s">
        <v>90</v>
      </c>
      <c r="C596" s="105">
        <v>5.49</v>
      </c>
      <c r="D596" s="106"/>
    </row>
    <row r="597" spans="1:4" ht="15.75" outlineLevel="1" x14ac:dyDescent="0.2">
      <c r="A597" s="105" t="s">
        <v>43</v>
      </c>
      <c r="B597" s="105" t="s">
        <v>61</v>
      </c>
      <c r="C597" s="105">
        <v>5.51</v>
      </c>
      <c r="D597" s="106"/>
    </row>
    <row r="598" spans="1:4" ht="15.75" outlineLevel="1" x14ac:dyDescent="0.2">
      <c r="A598" s="105" t="s">
        <v>43</v>
      </c>
      <c r="B598" s="105" t="s">
        <v>2008</v>
      </c>
      <c r="C598" s="105">
        <v>5.52</v>
      </c>
      <c r="D598" s="106"/>
    </row>
    <row r="599" spans="1:4" ht="15.75" outlineLevel="1" x14ac:dyDescent="0.2">
      <c r="A599" s="105" t="s">
        <v>43</v>
      </c>
      <c r="B599" s="105" t="s">
        <v>62</v>
      </c>
      <c r="C599" s="105">
        <v>5.53</v>
      </c>
      <c r="D599" s="106"/>
    </row>
    <row r="600" spans="1:4" ht="15.75" outlineLevel="1" x14ac:dyDescent="0.2">
      <c r="A600" s="105" t="s">
        <v>43</v>
      </c>
      <c r="B600" s="105" t="s">
        <v>91</v>
      </c>
      <c r="C600" s="105">
        <v>5.69</v>
      </c>
      <c r="D600" s="106"/>
    </row>
    <row r="601" spans="1:4" ht="15.75" outlineLevel="1" x14ac:dyDescent="0.2">
      <c r="A601" s="105" t="s">
        <v>43</v>
      </c>
      <c r="B601" s="105" t="s">
        <v>1184</v>
      </c>
      <c r="C601" s="105">
        <v>5.71</v>
      </c>
      <c r="D601" s="106"/>
    </row>
    <row r="602" spans="1:4" ht="15.75" outlineLevel="1" x14ac:dyDescent="0.2">
      <c r="A602" s="105" t="s">
        <v>43</v>
      </c>
      <c r="B602" s="105" t="s">
        <v>65</v>
      </c>
      <c r="C602" s="107">
        <v>5.7</v>
      </c>
      <c r="D602" s="106"/>
    </row>
    <row r="603" spans="1:4" ht="15.75" outlineLevel="1" x14ac:dyDescent="0.2">
      <c r="A603" s="105" t="s">
        <v>43</v>
      </c>
      <c r="B603" s="105" t="s">
        <v>942</v>
      </c>
      <c r="C603" s="107">
        <v>5.8</v>
      </c>
      <c r="D603" s="108" t="s">
        <v>1996</v>
      </c>
    </row>
    <row r="604" spans="1:4" ht="15.75" outlineLevel="1" x14ac:dyDescent="0.2">
      <c r="A604" s="105" t="s">
        <v>43</v>
      </c>
      <c r="B604" s="105" t="s">
        <v>143</v>
      </c>
      <c r="C604" s="107">
        <v>5.72</v>
      </c>
      <c r="D604" s="108" t="s">
        <v>1996</v>
      </c>
    </row>
    <row r="605" spans="1:4" ht="15.75" outlineLevel="1" x14ac:dyDescent="0.2">
      <c r="A605" s="105" t="s">
        <v>43</v>
      </c>
      <c r="B605" s="105" t="s">
        <v>1185</v>
      </c>
      <c r="C605" s="105">
        <v>5.73</v>
      </c>
      <c r="D605" s="108" t="s">
        <v>1996</v>
      </c>
    </row>
    <row r="606" spans="1:4" ht="15.75" outlineLevel="1" x14ac:dyDescent="0.2">
      <c r="A606" s="105" t="s">
        <v>43</v>
      </c>
      <c r="B606" s="105" t="s">
        <v>93</v>
      </c>
      <c r="C606" s="105">
        <v>5.74</v>
      </c>
      <c r="D606" s="106"/>
    </row>
    <row r="607" spans="1:4" ht="15.75" outlineLevel="1" x14ac:dyDescent="0.2">
      <c r="A607" s="105" t="s">
        <v>43</v>
      </c>
      <c r="B607" s="105" t="s">
        <v>92</v>
      </c>
      <c r="C607" s="105">
        <v>5.75</v>
      </c>
      <c r="D607" s="106"/>
    </row>
    <row r="608" spans="1:4" ht="15.75" outlineLevel="1" x14ac:dyDescent="0.2">
      <c r="A608" s="105" t="s">
        <v>43</v>
      </c>
      <c r="B608" s="105" t="s">
        <v>144</v>
      </c>
      <c r="C608" s="105">
        <v>5.76</v>
      </c>
      <c r="D608" s="106"/>
    </row>
    <row r="609" spans="1:4" ht="15.75" outlineLevel="1" x14ac:dyDescent="0.2">
      <c r="A609" s="105" t="s">
        <v>43</v>
      </c>
      <c r="B609" s="105" t="s">
        <v>1186</v>
      </c>
      <c r="C609" s="105">
        <v>5.81</v>
      </c>
      <c r="D609" s="108" t="s">
        <v>1996</v>
      </c>
    </row>
    <row r="610" spans="1:4" ht="15.75" outlineLevel="1" x14ac:dyDescent="0.2">
      <c r="A610" s="105" t="s">
        <v>43</v>
      </c>
      <c r="B610" s="105" t="s">
        <v>1187</v>
      </c>
      <c r="C610" s="105">
        <v>5.82</v>
      </c>
      <c r="D610" s="108" t="s">
        <v>1996</v>
      </c>
    </row>
    <row r="611" spans="1:4" ht="15.75" outlineLevel="1" x14ac:dyDescent="0.2">
      <c r="A611" s="105" t="s">
        <v>43</v>
      </c>
      <c r="B611" s="105" t="s">
        <v>1188</v>
      </c>
      <c r="C611" s="105">
        <v>5.83</v>
      </c>
      <c r="D611" s="108" t="s">
        <v>1996</v>
      </c>
    </row>
    <row r="612" spans="1:4" ht="15.75" outlineLevel="1" x14ac:dyDescent="0.2">
      <c r="A612" s="105" t="s">
        <v>43</v>
      </c>
      <c r="B612" s="105" t="s">
        <v>1189</v>
      </c>
      <c r="C612" s="105">
        <v>5.84</v>
      </c>
      <c r="D612" s="106"/>
    </row>
    <row r="613" spans="1:4" ht="15.75" outlineLevel="1" x14ac:dyDescent="0.2">
      <c r="A613" s="105" t="s">
        <v>43</v>
      </c>
      <c r="B613" s="105" t="s">
        <v>1190</v>
      </c>
      <c r="C613" s="105">
        <v>5.85</v>
      </c>
      <c r="D613" s="108" t="s">
        <v>1996</v>
      </c>
    </row>
    <row r="614" spans="1:4" ht="15.75" outlineLevel="1" x14ac:dyDescent="0.2">
      <c r="A614" s="105" t="s">
        <v>43</v>
      </c>
      <c r="B614" s="105" t="s">
        <v>1191</v>
      </c>
      <c r="C614" s="105">
        <v>5.86</v>
      </c>
      <c r="D614" s="108" t="s">
        <v>1996</v>
      </c>
    </row>
    <row r="615" spans="1:4" ht="15.75" outlineLevel="1" x14ac:dyDescent="0.2">
      <c r="A615" s="105" t="s">
        <v>43</v>
      </c>
      <c r="B615" s="105" t="s">
        <v>1192</v>
      </c>
      <c r="C615" s="105">
        <v>5.88</v>
      </c>
      <c r="D615" s="108" t="s">
        <v>1996</v>
      </c>
    </row>
    <row r="616" spans="1:4" ht="15.75" outlineLevel="1" x14ac:dyDescent="0.2">
      <c r="A616" s="105" t="s">
        <v>43</v>
      </c>
      <c r="B616" s="105" t="s">
        <v>1193</v>
      </c>
      <c r="C616" s="105">
        <v>5.87</v>
      </c>
      <c r="D616" s="106"/>
    </row>
    <row r="617" spans="1:4" ht="15.75" outlineLevel="1" x14ac:dyDescent="0.2">
      <c r="A617" s="105" t="s">
        <v>43</v>
      </c>
      <c r="B617" s="105" t="s">
        <v>947</v>
      </c>
      <c r="C617" s="105">
        <v>5.19</v>
      </c>
      <c r="D617" s="106"/>
    </row>
    <row r="618" spans="1:4" ht="15.75" outlineLevel="1" x14ac:dyDescent="0.2">
      <c r="A618" s="105" t="s">
        <v>43</v>
      </c>
      <c r="B618" s="105" t="s">
        <v>949</v>
      </c>
      <c r="C618" s="110">
        <v>5.1100000000000003</v>
      </c>
      <c r="D618" s="108" t="s">
        <v>1996</v>
      </c>
    </row>
    <row r="619" spans="1:4" ht="15.75" outlineLevel="1" x14ac:dyDescent="0.2">
      <c r="A619" s="105" t="s">
        <v>43</v>
      </c>
      <c r="B619" s="105" t="s">
        <v>948</v>
      </c>
      <c r="C619" s="105">
        <v>5.1109999999999998</v>
      </c>
      <c r="D619" s="106"/>
    </row>
    <row r="620" spans="1:4" ht="15.75" outlineLevel="1" x14ac:dyDescent="0.2">
      <c r="A620" s="105" t="s">
        <v>43</v>
      </c>
      <c r="B620" s="105" t="s">
        <v>950</v>
      </c>
      <c r="C620" s="105">
        <v>5.1120000000000001</v>
      </c>
      <c r="D620" s="106"/>
    </row>
    <row r="621" spans="1:4" ht="15.75" outlineLevel="1" x14ac:dyDescent="0.2">
      <c r="A621" s="105" t="s">
        <v>43</v>
      </c>
      <c r="B621" s="105" t="s">
        <v>2002</v>
      </c>
      <c r="C621" s="105">
        <v>5.1130000000000004</v>
      </c>
      <c r="D621" s="106"/>
    </row>
    <row r="622" spans="1:4" ht="15.75" outlineLevel="1" x14ac:dyDescent="0.2">
      <c r="A622" s="105" t="s">
        <v>43</v>
      </c>
      <c r="B622" s="105" t="s">
        <v>1194</v>
      </c>
      <c r="C622" s="105">
        <v>5.99</v>
      </c>
      <c r="D622" s="108" t="s">
        <v>1996</v>
      </c>
    </row>
    <row r="623" spans="1:4" ht="15.75" outlineLevel="1" x14ac:dyDescent="0.2">
      <c r="A623" s="105" t="s">
        <v>43</v>
      </c>
      <c r="B623" s="105" t="s">
        <v>1195</v>
      </c>
      <c r="C623" s="105">
        <v>5.58</v>
      </c>
      <c r="D623" s="108"/>
    </row>
    <row r="624" spans="1:4" ht="15.75" outlineLevel="1" x14ac:dyDescent="0.2">
      <c r="A624" s="105" t="s">
        <v>43</v>
      </c>
      <c r="B624" s="105" t="s">
        <v>64</v>
      </c>
      <c r="C624" s="105">
        <v>5.54</v>
      </c>
      <c r="D624" s="106"/>
    </row>
    <row r="625" spans="1:4" ht="15.75" outlineLevel="1" x14ac:dyDescent="0.2">
      <c r="A625" s="105" t="s">
        <v>43</v>
      </c>
      <c r="B625" s="105" t="s">
        <v>1196</v>
      </c>
      <c r="C625" s="105">
        <v>5.56</v>
      </c>
      <c r="D625" s="106"/>
    </row>
    <row r="626" spans="1:4" ht="15.75" outlineLevel="1" x14ac:dyDescent="0.2">
      <c r="A626" s="105" t="s">
        <v>43</v>
      </c>
      <c r="B626" s="105" t="s">
        <v>66</v>
      </c>
      <c r="C626" s="105">
        <v>5.63</v>
      </c>
      <c r="D626" s="106"/>
    </row>
    <row r="627" spans="1:4" ht="15.75" outlineLevel="1" x14ac:dyDescent="0.2">
      <c r="A627" s="105" t="s">
        <v>43</v>
      </c>
      <c r="B627" s="105" t="s">
        <v>1197</v>
      </c>
      <c r="C627" s="105">
        <v>5.64</v>
      </c>
      <c r="D627" s="106"/>
    </row>
    <row r="628" spans="1:4" ht="15.75" outlineLevel="1" x14ac:dyDescent="0.2">
      <c r="A628" s="105" t="s">
        <v>43</v>
      </c>
      <c r="B628" s="105" t="s">
        <v>97</v>
      </c>
      <c r="C628" s="105">
        <v>5.65</v>
      </c>
      <c r="D628" s="106"/>
    </row>
    <row r="629" spans="1:4" ht="15.75" outlineLevel="1" x14ac:dyDescent="0.2">
      <c r="A629" s="105" t="s">
        <v>43</v>
      </c>
      <c r="B629" s="105" t="s">
        <v>146</v>
      </c>
      <c r="C629" s="105">
        <v>5.66</v>
      </c>
      <c r="D629" s="106"/>
    </row>
    <row r="630" spans="1:4" ht="15.75" outlineLevel="1" x14ac:dyDescent="0.2">
      <c r="A630" s="105" t="s">
        <v>43</v>
      </c>
      <c r="B630" s="105" t="s">
        <v>145</v>
      </c>
      <c r="C630" s="105">
        <v>5.89</v>
      </c>
      <c r="D630" s="108" t="s">
        <v>1996</v>
      </c>
    </row>
    <row r="631" spans="1:4" ht="15.75" outlineLevel="1" x14ac:dyDescent="0.2">
      <c r="A631" s="105" t="s">
        <v>43</v>
      </c>
      <c r="B631" s="105" t="s">
        <v>20</v>
      </c>
      <c r="C631" s="105">
        <v>5.68</v>
      </c>
      <c r="D631" s="106"/>
    </row>
    <row r="632" spans="1:4" ht="15.75" outlineLevel="1" x14ac:dyDescent="0.2">
      <c r="A632" s="105" t="s">
        <v>43</v>
      </c>
      <c r="B632" s="105" t="s">
        <v>67</v>
      </c>
      <c r="C632" s="105">
        <v>5.47</v>
      </c>
      <c r="D632" s="106"/>
    </row>
    <row r="633" spans="1:4" ht="15.75" outlineLevel="1" x14ac:dyDescent="0.2">
      <c r="A633" s="105" t="s">
        <v>43</v>
      </c>
      <c r="B633" s="105" t="s">
        <v>68</v>
      </c>
      <c r="C633" s="105">
        <v>5.48</v>
      </c>
      <c r="D633" s="106"/>
    </row>
    <row r="634" spans="1:4" ht="15.75" x14ac:dyDescent="0.2">
      <c r="A634" s="109" t="s">
        <v>43</v>
      </c>
      <c r="B634" s="105"/>
      <c r="C634" s="105"/>
      <c r="D634" s="106"/>
    </row>
    <row r="635" spans="1:4" ht="15.75" outlineLevel="1" x14ac:dyDescent="0.2">
      <c r="A635" s="105" t="s">
        <v>44</v>
      </c>
      <c r="B635" s="105" t="s">
        <v>52</v>
      </c>
      <c r="C635" s="105">
        <v>5.0999999999999996</v>
      </c>
      <c r="D635" s="106"/>
    </row>
    <row r="636" spans="1:4" ht="15.75" outlineLevel="1" x14ac:dyDescent="0.2">
      <c r="A636" s="105" t="s">
        <v>44</v>
      </c>
      <c r="B636" s="105" t="s">
        <v>53</v>
      </c>
      <c r="C636" s="105">
        <v>5.2</v>
      </c>
      <c r="D636" s="106"/>
    </row>
    <row r="637" spans="1:4" ht="15.75" outlineLevel="1" x14ac:dyDescent="0.2">
      <c r="A637" s="105" t="s">
        <v>44</v>
      </c>
      <c r="B637" s="105" t="s">
        <v>85</v>
      </c>
      <c r="C637" s="105">
        <v>5.3</v>
      </c>
      <c r="D637" s="106"/>
    </row>
    <row r="638" spans="1:4" ht="15.75" outlineLevel="1" x14ac:dyDescent="0.2">
      <c r="A638" s="105" t="s">
        <v>44</v>
      </c>
      <c r="B638" s="105" t="s">
        <v>138</v>
      </c>
      <c r="C638" s="105">
        <v>5.6</v>
      </c>
      <c r="D638" s="106"/>
    </row>
    <row r="639" spans="1:4" ht="15.75" outlineLevel="1" x14ac:dyDescent="0.2">
      <c r="A639" s="105" t="s">
        <v>44</v>
      </c>
      <c r="B639" s="105" t="s">
        <v>1998</v>
      </c>
      <c r="C639" s="107">
        <v>5.0999999999999996</v>
      </c>
      <c r="D639" s="106"/>
    </row>
    <row r="640" spans="1:4" ht="15.75" outlineLevel="1" x14ac:dyDescent="0.2">
      <c r="A640" s="105" t="s">
        <v>44</v>
      </c>
      <c r="B640" s="105" t="s">
        <v>1997</v>
      </c>
      <c r="C640" s="105">
        <v>5.14</v>
      </c>
      <c r="D640" s="106"/>
    </row>
    <row r="641" spans="1:4" ht="15.75" outlineLevel="1" x14ac:dyDescent="0.2">
      <c r="A641" s="105" t="s">
        <v>44</v>
      </c>
      <c r="B641" s="105" t="s">
        <v>87</v>
      </c>
      <c r="C641" s="105">
        <v>5.19</v>
      </c>
      <c r="D641" s="106"/>
    </row>
    <row r="642" spans="1:4" ht="15.75" outlineLevel="1" x14ac:dyDescent="0.2">
      <c r="A642" s="105" t="s">
        <v>44</v>
      </c>
      <c r="B642" s="105" t="s">
        <v>140</v>
      </c>
      <c r="C642" s="105">
        <v>5.24</v>
      </c>
      <c r="D642" s="106"/>
    </row>
    <row r="643" spans="1:4" ht="15.75" outlineLevel="1" x14ac:dyDescent="0.2">
      <c r="A643" s="105" t="s">
        <v>44</v>
      </c>
      <c r="B643" s="105" t="s">
        <v>57</v>
      </c>
      <c r="C643" s="105">
        <v>5.26</v>
      </c>
      <c r="D643" s="106"/>
    </row>
    <row r="644" spans="1:4" ht="15.75" outlineLevel="1" x14ac:dyDescent="0.2">
      <c r="A644" s="105" t="s">
        <v>44</v>
      </c>
      <c r="B644" s="105" t="s">
        <v>58</v>
      </c>
      <c r="C644" s="105">
        <v>5.27</v>
      </c>
      <c r="D644" s="106"/>
    </row>
    <row r="645" spans="1:4" ht="15.75" outlineLevel="1" x14ac:dyDescent="0.2">
      <c r="A645" s="105" t="s">
        <v>44</v>
      </c>
      <c r="B645" s="105" t="s">
        <v>88</v>
      </c>
      <c r="C645" s="105">
        <v>5.28</v>
      </c>
      <c r="D645" s="106"/>
    </row>
    <row r="646" spans="1:4" ht="15.75" outlineLevel="1" x14ac:dyDescent="0.2">
      <c r="A646" s="105" t="s">
        <v>44</v>
      </c>
      <c r="B646" s="105" t="s">
        <v>59</v>
      </c>
      <c r="C646" s="105">
        <v>5.36</v>
      </c>
      <c r="D646" s="106"/>
    </row>
    <row r="647" spans="1:4" ht="15.75" outlineLevel="1" x14ac:dyDescent="0.2">
      <c r="A647" s="105" t="s">
        <v>44</v>
      </c>
      <c r="B647" s="105" t="s">
        <v>928</v>
      </c>
      <c r="C647" s="105">
        <v>5.33</v>
      </c>
      <c r="D647" s="106"/>
    </row>
    <row r="648" spans="1:4" ht="15.75" outlineLevel="1" x14ac:dyDescent="0.2">
      <c r="A648" s="105" t="s">
        <v>44</v>
      </c>
      <c r="B648" s="105" t="s">
        <v>941</v>
      </c>
      <c r="C648" s="105">
        <v>5.37</v>
      </c>
      <c r="D648" s="106"/>
    </row>
    <row r="649" spans="1:4" ht="15.75" outlineLevel="1" x14ac:dyDescent="0.2">
      <c r="A649" s="105" t="s">
        <v>44</v>
      </c>
      <c r="B649" s="105" t="s">
        <v>90</v>
      </c>
      <c r="C649" s="105">
        <v>5.49</v>
      </c>
      <c r="D649" s="106"/>
    </row>
    <row r="650" spans="1:4" ht="15.75" outlineLevel="1" x14ac:dyDescent="0.2">
      <c r="A650" s="105" t="s">
        <v>44</v>
      </c>
      <c r="B650" s="105" t="s">
        <v>61</v>
      </c>
      <c r="C650" s="105">
        <v>5.51</v>
      </c>
      <c r="D650" s="106"/>
    </row>
    <row r="651" spans="1:4" ht="15.75" outlineLevel="1" x14ac:dyDescent="0.2">
      <c r="A651" s="105" t="s">
        <v>44</v>
      </c>
      <c r="B651" s="105" t="s">
        <v>1999</v>
      </c>
      <c r="C651" s="105">
        <v>5.52</v>
      </c>
      <c r="D651" s="106"/>
    </row>
    <row r="652" spans="1:4" ht="15.75" outlineLevel="1" x14ac:dyDescent="0.2">
      <c r="A652" s="105" t="s">
        <v>44</v>
      </c>
      <c r="B652" s="105" t="s">
        <v>62</v>
      </c>
      <c r="C652" s="105">
        <v>5.53</v>
      </c>
      <c r="D652" s="106"/>
    </row>
    <row r="653" spans="1:4" ht="15.75" outlineLevel="1" x14ac:dyDescent="0.2">
      <c r="A653" s="105" t="s">
        <v>44</v>
      </c>
      <c r="B653" s="105" t="s">
        <v>91</v>
      </c>
      <c r="C653" s="105">
        <v>5.69</v>
      </c>
      <c r="D653" s="106"/>
    </row>
    <row r="654" spans="1:4" ht="15.75" outlineLevel="1" x14ac:dyDescent="0.2">
      <c r="A654" s="105" t="s">
        <v>44</v>
      </c>
      <c r="B654" s="105" t="s">
        <v>65</v>
      </c>
      <c r="C654" s="107">
        <v>5.7</v>
      </c>
      <c r="D654" s="106"/>
    </row>
    <row r="655" spans="1:4" ht="15.75" outlineLevel="1" x14ac:dyDescent="0.2">
      <c r="A655" s="105" t="s">
        <v>44</v>
      </c>
      <c r="B655" s="105" t="s">
        <v>93</v>
      </c>
      <c r="C655" s="105">
        <v>5.74</v>
      </c>
      <c r="D655" s="106"/>
    </row>
    <row r="656" spans="1:4" ht="15.75" outlineLevel="1" x14ac:dyDescent="0.2">
      <c r="A656" s="105" t="s">
        <v>44</v>
      </c>
      <c r="B656" s="105" t="s">
        <v>947</v>
      </c>
      <c r="C656" s="105">
        <v>5.19</v>
      </c>
      <c r="D656" s="106"/>
    </row>
    <row r="657" spans="1:4" ht="15.75" outlineLevel="1" x14ac:dyDescent="0.2">
      <c r="A657" s="105" t="s">
        <v>44</v>
      </c>
      <c r="B657" s="105" t="s">
        <v>948</v>
      </c>
      <c r="C657" s="105">
        <v>5.1109999999999998</v>
      </c>
      <c r="D657" s="106"/>
    </row>
    <row r="658" spans="1:4" ht="15.75" outlineLevel="1" x14ac:dyDescent="0.2">
      <c r="A658" s="105" t="s">
        <v>44</v>
      </c>
      <c r="B658" s="105" t="s">
        <v>950</v>
      </c>
      <c r="C658" s="105">
        <v>5.1120000000000001</v>
      </c>
      <c r="D658" s="106"/>
    </row>
    <row r="659" spans="1:4" ht="15.75" outlineLevel="1" x14ac:dyDescent="0.2">
      <c r="A659" s="105" t="s">
        <v>44</v>
      </c>
      <c r="B659" s="105" t="s">
        <v>95</v>
      </c>
      <c r="C659" s="105">
        <v>5.58</v>
      </c>
      <c r="D659" s="106"/>
    </row>
    <row r="660" spans="1:4" ht="15.75" outlineLevel="1" x14ac:dyDescent="0.2">
      <c r="A660" s="105" t="s">
        <v>44</v>
      </c>
      <c r="B660" s="105" t="s">
        <v>64</v>
      </c>
      <c r="C660" s="105">
        <v>5.54</v>
      </c>
      <c r="D660" s="106"/>
    </row>
    <row r="661" spans="1:4" ht="15.75" outlineLevel="1" x14ac:dyDescent="0.2">
      <c r="A661" s="105" t="s">
        <v>44</v>
      </c>
      <c r="B661" s="105" t="s">
        <v>96</v>
      </c>
      <c r="C661" s="105">
        <v>5.55</v>
      </c>
      <c r="D661" s="106"/>
    </row>
    <row r="662" spans="1:4" ht="15.75" outlineLevel="1" x14ac:dyDescent="0.2">
      <c r="A662" s="105" t="s">
        <v>44</v>
      </c>
      <c r="B662" s="105" t="s">
        <v>66</v>
      </c>
      <c r="C662" s="105">
        <v>5.63</v>
      </c>
      <c r="D662" s="106"/>
    </row>
    <row r="663" spans="1:4" ht="15.75" outlineLevel="1" x14ac:dyDescent="0.2">
      <c r="A663" s="105" t="s">
        <v>44</v>
      </c>
      <c r="B663" s="105" t="s">
        <v>67</v>
      </c>
      <c r="C663" s="105">
        <v>5.47</v>
      </c>
      <c r="D663" s="106"/>
    </row>
    <row r="664" spans="1:4" ht="15.75" outlineLevel="1" x14ac:dyDescent="0.2">
      <c r="A664" s="105" t="s">
        <v>44</v>
      </c>
      <c r="B664" s="105" t="s">
        <v>68</v>
      </c>
      <c r="C664" s="105">
        <v>5.48</v>
      </c>
      <c r="D664" s="106"/>
    </row>
    <row r="665" spans="1:4" ht="15.75" x14ac:dyDescent="0.2">
      <c r="A665" s="109" t="s">
        <v>44</v>
      </c>
      <c r="B665" s="105"/>
      <c r="C665" s="105"/>
      <c r="D665" s="106"/>
    </row>
    <row r="666" spans="1:4" ht="15.75" outlineLevel="1" x14ac:dyDescent="0.2">
      <c r="A666" s="105" t="s">
        <v>45</v>
      </c>
      <c r="B666" s="105" t="s">
        <v>52</v>
      </c>
      <c r="C666" s="105">
        <v>5.0999999999999996</v>
      </c>
      <c r="D666" s="106"/>
    </row>
    <row r="667" spans="1:4" ht="15.75" outlineLevel="1" x14ac:dyDescent="0.2">
      <c r="A667" s="105" t="s">
        <v>45</v>
      </c>
      <c r="B667" s="105" t="s">
        <v>53</v>
      </c>
      <c r="C667" s="105">
        <v>5.2</v>
      </c>
      <c r="D667" s="106"/>
    </row>
    <row r="668" spans="1:4" ht="15.75" outlineLevel="1" x14ac:dyDescent="0.2">
      <c r="A668" s="105" t="s">
        <v>45</v>
      </c>
      <c r="B668" s="105" t="s">
        <v>54</v>
      </c>
      <c r="C668" s="105">
        <v>5.4</v>
      </c>
      <c r="D668" s="106"/>
    </row>
    <row r="669" spans="1:4" ht="15.75" outlineLevel="1" x14ac:dyDescent="0.2">
      <c r="A669" s="105" t="s">
        <v>45</v>
      </c>
      <c r="B669" s="105" t="s">
        <v>55</v>
      </c>
      <c r="C669" s="105">
        <v>5.7</v>
      </c>
      <c r="D669" s="106"/>
    </row>
    <row r="670" spans="1:4" ht="15.75" outlineLevel="1" x14ac:dyDescent="0.2">
      <c r="A670" s="105" t="s">
        <v>45</v>
      </c>
      <c r="B670" s="105" t="s">
        <v>56</v>
      </c>
      <c r="C670" s="105">
        <v>5.1100000000000003</v>
      </c>
      <c r="D670" s="106"/>
    </row>
    <row r="671" spans="1:4" ht="15.75" outlineLevel="1" x14ac:dyDescent="0.2">
      <c r="A671" s="105" t="s">
        <v>45</v>
      </c>
      <c r="B671" s="105" t="s">
        <v>57</v>
      </c>
      <c r="C671" s="105">
        <v>5.26</v>
      </c>
      <c r="D671" s="106"/>
    </row>
    <row r="672" spans="1:4" ht="15.75" outlineLevel="1" x14ac:dyDescent="0.2">
      <c r="A672" s="105" t="s">
        <v>45</v>
      </c>
      <c r="B672" s="105" t="s">
        <v>1200</v>
      </c>
      <c r="C672" s="105">
        <v>5.43</v>
      </c>
      <c r="D672" s="106"/>
    </row>
    <row r="673" spans="1:4" ht="15.75" outlineLevel="1" x14ac:dyDescent="0.2">
      <c r="A673" s="105" t="s">
        <v>45</v>
      </c>
      <c r="B673" s="105" t="s">
        <v>58</v>
      </c>
      <c r="C673" s="105">
        <v>5.27</v>
      </c>
      <c r="D673" s="106"/>
    </row>
    <row r="674" spans="1:4" ht="15.75" outlineLevel="1" x14ac:dyDescent="0.2">
      <c r="A674" s="105" t="s">
        <v>45</v>
      </c>
      <c r="B674" s="105" t="s">
        <v>88</v>
      </c>
      <c r="C674" s="105">
        <v>5.28</v>
      </c>
      <c r="D674" s="106"/>
    </row>
    <row r="675" spans="1:4" ht="15.75" outlineLevel="1" x14ac:dyDescent="0.2">
      <c r="A675" s="105" t="s">
        <v>45</v>
      </c>
      <c r="B675" s="105" t="s">
        <v>59</v>
      </c>
      <c r="C675" s="105">
        <v>5.36</v>
      </c>
      <c r="D675" s="106"/>
    </row>
    <row r="676" spans="1:4" ht="15.75" outlineLevel="1" x14ac:dyDescent="0.2">
      <c r="A676" s="105" t="s">
        <v>45</v>
      </c>
      <c r="B676" s="105" t="s">
        <v>60</v>
      </c>
      <c r="C676" s="107">
        <v>5.5</v>
      </c>
      <c r="D676" s="106"/>
    </row>
    <row r="677" spans="1:4" ht="15.75" outlineLevel="1" x14ac:dyDescent="0.2">
      <c r="A677" s="105" t="s">
        <v>45</v>
      </c>
      <c r="B677" s="105" t="s">
        <v>61</v>
      </c>
      <c r="C677" s="105">
        <v>5.51</v>
      </c>
      <c r="D677" s="106"/>
    </row>
    <row r="678" spans="1:4" ht="15.75" outlineLevel="1" x14ac:dyDescent="0.2">
      <c r="A678" s="105" t="s">
        <v>45</v>
      </c>
      <c r="B678" s="105" t="s">
        <v>62</v>
      </c>
      <c r="C678" s="105">
        <v>5.53</v>
      </c>
      <c r="D678" s="106"/>
    </row>
    <row r="679" spans="1:4" ht="15.75" outlineLevel="1" x14ac:dyDescent="0.2">
      <c r="A679" s="105" t="s">
        <v>45</v>
      </c>
      <c r="B679" s="105" t="s">
        <v>91</v>
      </c>
      <c r="C679" s="105">
        <v>5.69</v>
      </c>
      <c r="D679" s="106"/>
    </row>
    <row r="680" spans="1:4" ht="15.75" outlineLevel="1" x14ac:dyDescent="0.2">
      <c r="A680" s="105" t="s">
        <v>45</v>
      </c>
      <c r="B680" s="105" t="s">
        <v>65</v>
      </c>
      <c r="C680" s="107">
        <v>5.7</v>
      </c>
      <c r="D680" s="108" t="s">
        <v>1996</v>
      </c>
    </row>
    <row r="681" spans="1:4" ht="15.75" outlineLevel="1" x14ac:dyDescent="0.2">
      <c r="A681" s="105" t="s">
        <v>45</v>
      </c>
      <c r="B681" s="105" t="s">
        <v>93</v>
      </c>
      <c r="C681" s="105">
        <v>5.74</v>
      </c>
      <c r="D681" s="106"/>
    </row>
    <row r="682" spans="1:4" ht="15.75" outlineLevel="1" x14ac:dyDescent="0.2">
      <c r="A682" s="105" t="s">
        <v>45</v>
      </c>
      <c r="B682" s="105" t="s">
        <v>63</v>
      </c>
      <c r="C682" s="105">
        <v>5.59</v>
      </c>
      <c r="D682" s="106"/>
    </row>
    <row r="683" spans="1:4" ht="15.75" outlineLevel="1" x14ac:dyDescent="0.2">
      <c r="A683" s="105" t="s">
        <v>45</v>
      </c>
      <c r="B683" s="105" t="s">
        <v>64</v>
      </c>
      <c r="C683" s="105">
        <v>5.54</v>
      </c>
      <c r="D683" s="106"/>
    </row>
    <row r="684" spans="1:4" ht="15.75" outlineLevel="1" x14ac:dyDescent="0.2">
      <c r="A684" s="105" t="s">
        <v>45</v>
      </c>
      <c r="B684" s="105" t="s">
        <v>1201</v>
      </c>
      <c r="C684" s="105">
        <v>5.57</v>
      </c>
      <c r="D684" s="106"/>
    </row>
    <row r="685" spans="1:4" ht="15.75" outlineLevel="1" x14ac:dyDescent="0.2">
      <c r="A685" s="105" t="s">
        <v>45</v>
      </c>
      <c r="B685" s="105" t="s">
        <v>66</v>
      </c>
      <c r="C685" s="105">
        <v>5.63</v>
      </c>
      <c r="D685" s="106"/>
    </row>
    <row r="686" spans="1:4" ht="15.75" outlineLevel="1" x14ac:dyDescent="0.2">
      <c r="A686" s="105" t="s">
        <v>45</v>
      </c>
      <c r="B686" s="105" t="s">
        <v>67</v>
      </c>
      <c r="C686" s="105">
        <v>5.47</v>
      </c>
      <c r="D686" s="106"/>
    </row>
    <row r="687" spans="1:4" ht="15.75" outlineLevel="1" x14ac:dyDescent="0.2">
      <c r="A687" s="105" t="s">
        <v>45</v>
      </c>
      <c r="B687" s="105" t="s">
        <v>68</v>
      </c>
      <c r="C687" s="105">
        <v>5.48</v>
      </c>
      <c r="D687" s="106"/>
    </row>
    <row r="688" spans="1:4" ht="15.75" x14ac:dyDescent="0.2">
      <c r="A688" s="109" t="s">
        <v>45</v>
      </c>
      <c r="B688" s="105"/>
      <c r="C688" s="105"/>
      <c r="D688" s="106"/>
    </row>
    <row r="689" spans="1:4" ht="15.75" outlineLevel="1" x14ac:dyDescent="0.2">
      <c r="A689" s="105" t="s">
        <v>46</v>
      </c>
      <c r="B689" s="105" t="s">
        <v>52</v>
      </c>
      <c r="C689" s="105">
        <v>5.0999999999999996</v>
      </c>
      <c r="D689" s="106"/>
    </row>
    <row r="690" spans="1:4" ht="15.75" outlineLevel="1" x14ac:dyDescent="0.2">
      <c r="A690" s="105" t="s">
        <v>46</v>
      </c>
      <c r="B690" s="105" t="s">
        <v>53</v>
      </c>
      <c r="C690" s="105">
        <v>5.2</v>
      </c>
      <c r="D690" s="106"/>
    </row>
    <row r="691" spans="1:4" ht="15.75" outlineLevel="1" x14ac:dyDescent="0.2">
      <c r="A691" s="105" t="s">
        <v>46</v>
      </c>
      <c r="B691" s="105" t="s">
        <v>1202</v>
      </c>
      <c r="C691" s="105">
        <v>5.17</v>
      </c>
      <c r="D691" s="106"/>
    </row>
    <row r="692" spans="1:4" ht="15.75" outlineLevel="1" x14ac:dyDescent="0.2">
      <c r="A692" s="105" t="s">
        <v>46</v>
      </c>
      <c r="B692" s="105" t="s">
        <v>57</v>
      </c>
      <c r="C692" s="105">
        <v>5.26</v>
      </c>
      <c r="D692" s="106"/>
    </row>
    <row r="693" spans="1:4" ht="15.75" outlineLevel="1" x14ac:dyDescent="0.2">
      <c r="A693" s="105" t="s">
        <v>46</v>
      </c>
      <c r="B693" s="105" t="s">
        <v>1203</v>
      </c>
      <c r="C693" s="105">
        <v>5.13</v>
      </c>
      <c r="D693" s="106"/>
    </row>
    <row r="694" spans="1:4" ht="15.75" outlineLevel="1" x14ac:dyDescent="0.2">
      <c r="A694" s="105" t="s">
        <v>46</v>
      </c>
      <c r="B694" s="105" t="s">
        <v>59</v>
      </c>
      <c r="C694" s="105">
        <v>5.36</v>
      </c>
      <c r="D694" s="106"/>
    </row>
    <row r="695" spans="1:4" ht="15.75" outlineLevel="1" x14ac:dyDescent="0.2">
      <c r="A695" s="105" t="s">
        <v>46</v>
      </c>
      <c r="B695" s="105" t="s">
        <v>941</v>
      </c>
      <c r="C695" s="105">
        <v>5.37</v>
      </c>
      <c r="D695" s="106"/>
    </row>
    <row r="696" spans="1:4" ht="15.75" outlineLevel="1" x14ac:dyDescent="0.2">
      <c r="A696" s="105" t="s">
        <v>46</v>
      </c>
      <c r="B696" s="105" t="s">
        <v>1204</v>
      </c>
      <c r="C696" s="105">
        <v>5.14</v>
      </c>
      <c r="D696" s="106"/>
    </row>
    <row r="697" spans="1:4" ht="15.75" outlineLevel="1" x14ac:dyDescent="0.2">
      <c r="A697" s="105" t="s">
        <v>46</v>
      </c>
      <c r="B697" s="105" t="s">
        <v>1205</v>
      </c>
      <c r="C697" s="105">
        <v>5.15</v>
      </c>
      <c r="D697" s="106"/>
    </row>
    <row r="698" spans="1:4" ht="15.75" outlineLevel="1" x14ac:dyDescent="0.2">
      <c r="A698" s="105" t="s">
        <v>46</v>
      </c>
      <c r="B698" s="105" t="s">
        <v>1206</v>
      </c>
      <c r="C698" s="105">
        <v>5.16</v>
      </c>
      <c r="D698" s="106"/>
    </row>
    <row r="699" spans="1:4" ht="15.75" outlineLevel="1" x14ac:dyDescent="0.2">
      <c r="A699" s="105" t="s">
        <v>46</v>
      </c>
      <c r="B699" s="105" t="s">
        <v>1207</v>
      </c>
      <c r="C699" s="105">
        <v>5.17</v>
      </c>
      <c r="D699" s="106"/>
    </row>
    <row r="700" spans="1:4" ht="15.75" outlineLevel="1" x14ac:dyDescent="0.2">
      <c r="A700" s="105" t="s">
        <v>46</v>
      </c>
      <c r="B700" s="105" t="s">
        <v>1822</v>
      </c>
      <c r="C700" s="105">
        <v>5.18</v>
      </c>
      <c r="D700" s="108" t="s">
        <v>1996</v>
      </c>
    </row>
    <row r="701" spans="1:4" ht="15.75" outlineLevel="1" x14ac:dyDescent="0.2">
      <c r="A701" s="105" t="s">
        <v>46</v>
      </c>
      <c r="B701" s="105" t="s">
        <v>947</v>
      </c>
      <c r="C701" s="105">
        <v>5.19</v>
      </c>
      <c r="D701" s="106"/>
    </row>
    <row r="702" spans="1:4" ht="15.75" outlineLevel="1" x14ac:dyDescent="0.2">
      <c r="A702" s="105" t="s">
        <v>46</v>
      </c>
      <c r="B702" s="105" t="s">
        <v>949</v>
      </c>
      <c r="C702" s="110">
        <v>5.1100000000000003</v>
      </c>
      <c r="D702" s="108" t="s">
        <v>1996</v>
      </c>
    </row>
    <row r="703" spans="1:4" ht="15.75" outlineLevel="1" x14ac:dyDescent="0.2">
      <c r="A703" s="105" t="s">
        <v>46</v>
      </c>
      <c r="B703" s="105" t="s">
        <v>948</v>
      </c>
      <c r="C703" s="105">
        <v>5.1109999999999998</v>
      </c>
      <c r="D703" s="106"/>
    </row>
    <row r="704" spans="1:4" ht="15.75" outlineLevel="1" x14ac:dyDescent="0.2">
      <c r="A704" s="105" t="s">
        <v>46</v>
      </c>
      <c r="B704" s="105" t="s">
        <v>950</v>
      </c>
      <c r="C704" s="105">
        <v>5.1120000000000001</v>
      </c>
      <c r="D704" s="106"/>
    </row>
    <row r="705" spans="1:4" ht="15.75" outlineLevel="1" x14ac:dyDescent="0.2">
      <c r="A705" s="105" t="s">
        <v>46</v>
      </c>
      <c r="B705" s="105" t="s">
        <v>62</v>
      </c>
      <c r="C705" s="105">
        <v>5.53</v>
      </c>
      <c r="D705" s="106"/>
    </row>
    <row r="706" spans="1:4" ht="15.75" outlineLevel="1" x14ac:dyDescent="0.2">
      <c r="A706" s="105" t="s">
        <v>46</v>
      </c>
      <c r="B706" s="105" t="s">
        <v>1197</v>
      </c>
      <c r="C706" s="105">
        <v>5.64</v>
      </c>
      <c r="D706" s="106"/>
    </row>
    <row r="707" spans="1:4" ht="15.75" outlineLevel="1" x14ac:dyDescent="0.2">
      <c r="A707" s="105" t="s">
        <v>46</v>
      </c>
      <c r="B707" s="105" t="s">
        <v>66</v>
      </c>
      <c r="C707" s="105">
        <v>5.63</v>
      </c>
      <c r="D707" s="106"/>
    </row>
    <row r="708" spans="1:4" ht="15.75" outlineLevel="1" x14ac:dyDescent="0.2">
      <c r="A708" s="105" t="s">
        <v>46</v>
      </c>
      <c r="B708" s="105" t="s">
        <v>97</v>
      </c>
      <c r="C708" s="105">
        <v>5.65</v>
      </c>
      <c r="D708" s="106"/>
    </row>
    <row r="709" spans="1:4" ht="15.75" outlineLevel="1" x14ac:dyDescent="0.2">
      <c r="A709" s="105" t="s">
        <v>46</v>
      </c>
      <c r="B709" s="105" t="s">
        <v>146</v>
      </c>
      <c r="C709" s="105">
        <v>5.66</v>
      </c>
      <c r="D709" s="106"/>
    </row>
    <row r="710" spans="1:4" ht="15.75" outlineLevel="1" x14ac:dyDescent="0.2">
      <c r="A710" s="105" t="s">
        <v>46</v>
      </c>
      <c r="B710" s="105" t="s">
        <v>20</v>
      </c>
      <c r="C710" s="105">
        <v>5.68</v>
      </c>
      <c r="D710" s="106"/>
    </row>
    <row r="711" spans="1:4" ht="15.75" outlineLevel="1" x14ac:dyDescent="0.2">
      <c r="A711" s="105" t="s">
        <v>46</v>
      </c>
      <c r="B711" s="105" t="s">
        <v>67</v>
      </c>
      <c r="C711" s="105">
        <v>5.47</v>
      </c>
      <c r="D711" s="106"/>
    </row>
    <row r="712" spans="1:4" ht="15.75" outlineLevel="1" x14ac:dyDescent="0.2">
      <c r="A712" s="105" t="s">
        <v>46</v>
      </c>
      <c r="B712" s="105" t="s">
        <v>68</v>
      </c>
      <c r="C712" s="105">
        <v>5.48</v>
      </c>
      <c r="D712" s="106"/>
    </row>
    <row r="713" spans="1:4" ht="15.75" x14ac:dyDescent="0.2">
      <c r="A713" s="109" t="s">
        <v>46</v>
      </c>
      <c r="B713" s="105"/>
      <c r="C713" s="105"/>
      <c r="D713" s="106"/>
    </row>
    <row r="714" spans="1:4" ht="15.75" outlineLevel="1" x14ac:dyDescent="0.2">
      <c r="A714" s="105" t="s">
        <v>2009</v>
      </c>
      <c r="B714" s="105" t="s">
        <v>52</v>
      </c>
      <c r="C714" s="105">
        <v>5.0999999999999996</v>
      </c>
      <c r="D714" s="106"/>
    </row>
    <row r="715" spans="1:4" ht="15.75" outlineLevel="1" x14ac:dyDescent="0.2">
      <c r="A715" s="105" t="s">
        <v>2009</v>
      </c>
      <c r="B715" s="105" t="s">
        <v>53</v>
      </c>
      <c r="C715" s="105">
        <v>5.2</v>
      </c>
      <c r="D715" s="106"/>
    </row>
    <row r="716" spans="1:4" ht="15.75" outlineLevel="1" x14ac:dyDescent="0.2">
      <c r="A716" s="105" t="s">
        <v>2009</v>
      </c>
      <c r="B716" s="105" t="s">
        <v>85</v>
      </c>
      <c r="C716" s="105">
        <v>5.3</v>
      </c>
      <c r="D716" s="106"/>
    </row>
    <row r="717" spans="1:4" ht="15.75" outlineLevel="1" x14ac:dyDescent="0.2">
      <c r="A717" s="105" t="s">
        <v>2009</v>
      </c>
      <c r="B717" s="105" t="s">
        <v>138</v>
      </c>
      <c r="C717" s="105">
        <v>5.6</v>
      </c>
      <c r="D717" s="106"/>
    </row>
    <row r="718" spans="1:4" ht="15.75" outlineLevel="1" x14ac:dyDescent="0.2">
      <c r="A718" s="105" t="s">
        <v>2009</v>
      </c>
      <c r="B718" s="105" t="s">
        <v>1998</v>
      </c>
      <c r="C718" s="107">
        <v>5.0999999999999996</v>
      </c>
      <c r="D718" s="106"/>
    </row>
    <row r="719" spans="1:4" ht="15.75" outlineLevel="1" x14ac:dyDescent="0.2">
      <c r="A719" s="105" t="s">
        <v>2009</v>
      </c>
      <c r="B719" s="105" t="s">
        <v>1997</v>
      </c>
      <c r="C719" s="105">
        <v>5.14</v>
      </c>
      <c r="D719" s="106"/>
    </row>
    <row r="720" spans="1:4" ht="15.75" outlineLevel="1" x14ac:dyDescent="0.2">
      <c r="A720" s="105" t="s">
        <v>2009</v>
      </c>
      <c r="B720" s="105" t="s">
        <v>87</v>
      </c>
      <c r="C720" s="105">
        <v>5.19</v>
      </c>
      <c r="D720" s="106"/>
    </row>
    <row r="721" spans="1:4" ht="15.75" outlineLevel="1" x14ac:dyDescent="0.2">
      <c r="A721" s="105" t="s">
        <v>2009</v>
      </c>
      <c r="B721" s="105" t="s">
        <v>140</v>
      </c>
      <c r="C721" s="105">
        <v>5.24</v>
      </c>
      <c r="D721" s="106"/>
    </row>
    <row r="722" spans="1:4" ht="15.75" outlineLevel="1" x14ac:dyDescent="0.2">
      <c r="A722" s="105" t="s">
        <v>2009</v>
      </c>
      <c r="B722" s="105" t="s">
        <v>57</v>
      </c>
      <c r="C722" s="105">
        <v>5.26</v>
      </c>
      <c r="D722" s="106"/>
    </row>
    <row r="723" spans="1:4" ht="15.75" outlineLevel="1" x14ac:dyDescent="0.2">
      <c r="A723" s="105" t="s">
        <v>2009</v>
      </c>
      <c r="B723" s="105" t="s">
        <v>58</v>
      </c>
      <c r="C723" s="105">
        <v>5.27</v>
      </c>
      <c r="D723" s="106"/>
    </row>
    <row r="724" spans="1:4" ht="15.75" outlineLevel="1" x14ac:dyDescent="0.2">
      <c r="A724" s="105" t="s">
        <v>2009</v>
      </c>
      <c r="B724" s="105" t="s">
        <v>88</v>
      </c>
      <c r="C724" s="105">
        <v>5.28</v>
      </c>
      <c r="D724" s="106"/>
    </row>
    <row r="725" spans="1:4" ht="15.75" outlineLevel="1" x14ac:dyDescent="0.2">
      <c r="A725" s="105" t="s">
        <v>2009</v>
      </c>
      <c r="B725" s="105" t="s">
        <v>141</v>
      </c>
      <c r="C725" s="105">
        <v>5.31</v>
      </c>
      <c r="D725" s="106"/>
    </row>
    <row r="726" spans="1:4" ht="15.75" outlineLevel="1" x14ac:dyDescent="0.2">
      <c r="A726" s="105" t="s">
        <v>2009</v>
      </c>
      <c r="B726" s="105" t="s">
        <v>59</v>
      </c>
      <c r="C726" s="105">
        <v>5.36</v>
      </c>
      <c r="D726" s="106"/>
    </row>
    <row r="727" spans="1:4" ht="15.75" outlineLevel="1" x14ac:dyDescent="0.2">
      <c r="A727" s="105" t="s">
        <v>2009</v>
      </c>
      <c r="B727" s="105" t="s">
        <v>62</v>
      </c>
      <c r="C727" s="105">
        <v>5.53</v>
      </c>
      <c r="D727" s="106"/>
    </row>
    <row r="728" spans="1:4" ht="15.75" outlineLevel="1" x14ac:dyDescent="0.2">
      <c r="A728" s="105" t="s">
        <v>2009</v>
      </c>
      <c r="B728" s="105" t="s">
        <v>947</v>
      </c>
      <c r="C728" s="105">
        <v>5.19</v>
      </c>
      <c r="D728" s="106"/>
    </row>
    <row r="729" spans="1:4" ht="15.75" outlineLevel="1" x14ac:dyDescent="0.2">
      <c r="A729" s="105" t="s">
        <v>2009</v>
      </c>
      <c r="B729" s="105" t="s">
        <v>948</v>
      </c>
      <c r="C729" s="105">
        <v>5.1109999999999998</v>
      </c>
      <c r="D729" s="106"/>
    </row>
    <row r="730" spans="1:4" ht="15.75" outlineLevel="1" x14ac:dyDescent="0.2">
      <c r="A730" s="105" t="s">
        <v>2009</v>
      </c>
      <c r="B730" s="105" t="s">
        <v>950</v>
      </c>
      <c r="C730" s="105">
        <v>5.1120000000000001</v>
      </c>
      <c r="D730" s="106"/>
    </row>
    <row r="731" spans="1:4" ht="15.75" outlineLevel="1" x14ac:dyDescent="0.2">
      <c r="A731" s="105" t="s">
        <v>2009</v>
      </c>
      <c r="B731" s="105" t="s">
        <v>2002</v>
      </c>
      <c r="C731" s="105">
        <v>5.1130000000000004</v>
      </c>
      <c r="D731" s="106"/>
    </row>
    <row r="732" spans="1:4" ht="15.75" outlineLevel="1" x14ac:dyDescent="0.2">
      <c r="A732" s="105" t="s">
        <v>2009</v>
      </c>
      <c r="B732" s="105" t="s">
        <v>1209</v>
      </c>
      <c r="C732" s="105">
        <v>5.117</v>
      </c>
      <c r="D732" s="106"/>
    </row>
    <row r="733" spans="1:4" ht="15.75" outlineLevel="1" x14ac:dyDescent="0.2">
      <c r="A733" s="105" t="s">
        <v>2009</v>
      </c>
      <c r="B733" s="105" t="s">
        <v>1210</v>
      </c>
      <c r="C733" s="105">
        <v>5.67</v>
      </c>
      <c r="D733" s="106"/>
    </row>
    <row r="734" spans="1:4" ht="15.75" outlineLevel="1" x14ac:dyDescent="0.2">
      <c r="A734" s="105" t="s">
        <v>2009</v>
      </c>
      <c r="B734" s="105" t="s">
        <v>66</v>
      </c>
      <c r="C734" s="105">
        <v>5.63</v>
      </c>
      <c r="D734" s="106"/>
    </row>
    <row r="735" spans="1:4" ht="15.75" outlineLevel="1" x14ac:dyDescent="0.2">
      <c r="A735" s="105" t="s">
        <v>2009</v>
      </c>
      <c r="B735" s="105" t="s">
        <v>67</v>
      </c>
      <c r="C735" s="105">
        <v>5.47</v>
      </c>
      <c r="D735" s="106"/>
    </row>
    <row r="736" spans="1:4" ht="15.75" outlineLevel="1" x14ac:dyDescent="0.2">
      <c r="A736" s="105" t="s">
        <v>2009</v>
      </c>
      <c r="B736" s="105" t="s">
        <v>68</v>
      </c>
      <c r="C736" s="105">
        <v>5.48</v>
      </c>
      <c r="D736" s="106"/>
    </row>
    <row r="737" spans="1:4" ht="15.75" x14ac:dyDescent="0.2">
      <c r="A737" s="109" t="s">
        <v>2010</v>
      </c>
      <c r="B737" s="105"/>
      <c r="C737" s="105"/>
      <c r="D737" s="106"/>
    </row>
    <row r="738" spans="1:4" ht="15.75" outlineLevel="1" x14ac:dyDescent="0.2">
      <c r="A738" s="105" t="s">
        <v>48</v>
      </c>
      <c r="B738" s="105" t="s">
        <v>52</v>
      </c>
      <c r="C738" s="105">
        <v>5.0999999999999996</v>
      </c>
      <c r="D738" s="106"/>
    </row>
    <row r="739" spans="1:4" ht="15.75" outlineLevel="1" x14ac:dyDescent="0.2">
      <c r="A739" s="105" t="s">
        <v>48</v>
      </c>
      <c r="B739" s="105" t="s">
        <v>53</v>
      </c>
      <c r="C739" s="105">
        <v>5.2</v>
      </c>
      <c r="D739" s="106"/>
    </row>
    <row r="740" spans="1:4" ht="15.75" outlineLevel="1" x14ac:dyDescent="0.2">
      <c r="A740" s="105" t="s">
        <v>48</v>
      </c>
      <c r="B740" s="105" t="s">
        <v>1211</v>
      </c>
      <c r="C740" s="105">
        <v>5.18</v>
      </c>
      <c r="D740" s="106"/>
    </row>
    <row r="741" spans="1:4" ht="15.75" outlineLevel="1" x14ac:dyDescent="0.2">
      <c r="A741" s="105" t="s">
        <v>48</v>
      </c>
      <c r="B741" s="105" t="s">
        <v>1212</v>
      </c>
      <c r="C741" s="105">
        <v>5.23</v>
      </c>
      <c r="D741" s="106"/>
    </row>
    <row r="742" spans="1:4" ht="15.75" outlineLevel="1" x14ac:dyDescent="0.2">
      <c r="A742" s="105" t="s">
        <v>48</v>
      </c>
      <c r="B742" s="105" t="s">
        <v>57</v>
      </c>
      <c r="C742" s="105">
        <v>5.26</v>
      </c>
      <c r="D742" s="106"/>
    </row>
    <row r="743" spans="1:4" ht="15.75" outlineLevel="1" x14ac:dyDescent="0.2">
      <c r="A743" s="105" t="s">
        <v>48</v>
      </c>
      <c r="B743" s="105" t="s">
        <v>58</v>
      </c>
      <c r="C743" s="105">
        <v>5.27</v>
      </c>
      <c r="D743" s="106"/>
    </row>
    <row r="744" spans="1:4" ht="15.75" outlineLevel="1" x14ac:dyDescent="0.2">
      <c r="A744" s="105" t="s">
        <v>48</v>
      </c>
      <c r="B744" s="105" t="s">
        <v>88</v>
      </c>
      <c r="C744" s="105">
        <v>5.28</v>
      </c>
      <c r="D744" s="106"/>
    </row>
    <row r="745" spans="1:4" ht="15.75" outlineLevel="1" x14ac:dyDescent="0.2">
      <c r="A745" s="105" t="s">
        <v>48</v>
      </c>
      <c r="B745" s="105" t="s">
        <v>59</v>
      </c>
      <c r="C745" s="105">
        <v>5.36</v>
      </c>
      <c r="D745" s="106"/>
    </row>
    <row r="746" spans="1:4" ht="15.75" outlineLevel="1" x14ac:dyDescent="0.2">
      <c r="A746" s="105" t="s">
        <v>48</v>
      </c>
      <c r="B746" s="105" t="s">
        <v>1213</v>
      </c>
      <c r="C746" s="105">
        <v>5.44</v>
      </c>
      <c r="D746" s="106"/>
    </row>
    <row r="747" spans="1:4" ht="15.75" outlineLevel="1" x14ac:dyDescent="0.2">
      <c r="A747" s="105" t="s">
        <v>48</v>
      </c>
      <c r="B747" s="105" t="s">
        <v>62</v>
      </c>
      <c r="C747" s="105">
        <v>5.53</v>
      </c>
      <c r="D747" s="106"/>
    </row>
    <row r="748" spans="1:4" ht="15.75" outlineLevel="1" x14ac:dyDescent="0.2">
      <c r="A748" s="105" t="s">
        <v>48</v>
      </c>
      <c r="B748" s="105" t="s">
        <v>950</v>
      </c>
      <c r="C748" s="105">
        <v>5.1120000000000001</v>
      </c>
      <c r="D748" s="106"/>
    </row>
    <row r="749" spans="1:4" ht="15.75" outlineLevel="1" x14ac:dyDescent="0.2">
      <c r="A749" s="105" t="s">
        <v>48</v>
      </c>
      <c r="B749" s="105" t="s">
        <v>63</v>
      </c>
      <c r="C749" s="105">
        <v>5.59</v>
      </c>
      <c r="D749" s="106"/>
    </row>
    <row r="750" spans="1:4" ht="15.75" outlineLevel="1" x14ac:dyDescent="0.2">
      <c r="A750" s="105" t="s">
        <v>48</v>
      </c>
      <c r="B750" s="105" t="s">
        <v>64</v>
      </c>
      <c r="C750" s="105">
        <v>5.54</v>
      </c>
      <c r="D750" s="106"/>
    </row>
    <row r="751" spans="1:4" ht="15.75" outlineLevel="1" x14ac:dyDescent="0.2">
      <c r="A751" s="105" t="s">
        <v>48</v>
      </c>
      <c r="B751" s="105" t="s">
        <v>66</v>
      </c>
      <c r="C751" s="105">
        <v>5.63</v>
      </c>
      <c r="D751" s="106"/>
    </row>
    <row r="752" spans="1:4" ht="15.75" outlineLevel="1" x14ac:dyDescent="0.2">
      <c r="A752" s="105" t="s">
        <v>48</v>
      </c>
      <c r="B752" s="105" t="s">
        <v>97</v>
      </c>
      <c r="C752" s="105">
        <v>5.65</v>
      </c>
      <c r="D752" s="106"/>
    </row>
    <row r="753" spans="1:4" ht="15.75" outlineLevel="1" x14ac:dyDescent="0.2">
      <c r="A753" s="105" t="s">
        <v>48</v>
      </c>
      <c r="B753" s="105" t="s">
        <v>20</v>
      </c>
      <c r="C753" s="105">
        <v>5.68</v>
      </c>
      <c r="D753" s="106"/>
    </row>
    <row r="754" spans="1:4" ht="15.75" outlineLevel="1" x14ac:dyDescent="0.2">
      <c r="A754" s="105" t="s">
        <v>48</v>
      </c>
      <c r="B754" s="105" t="s">
        <v>67</v>
      </c>
      <c r="C754" s="105">
        <v>5.47</v>
      </c>
      <c r="D754" s="106"/>
    </row>
    <row r="755" spans="1:4" ht="15.75" outlineLevel="1" x14ac:dyDescent="0.2">
      <c r="A755" s="105" t="s">
        <v>48</v>
      </c>
      <c r="B755" s="105" t="s">
        <v>68</v>
      </c>
      <c r="C755" s="105">
        <v>5.48</v>
      </c>
      <c r="D755" s="106"/>
    </row>
    <row r="756" spans="1:4" ht="15.75" x14ac:dyDescent="0.2">
      <c r="A756" s="109" t="s">
        <v>48</v>
      </c>
      <c r="B756" s="105"/>
      <c r="C756" s="105"/>
      <c r="D756" s="106"/>
    </row>
    <row r="757" spans="1:4" ht="15.75" outlineLevel="1" x14ac:dyDescent="0.2">
      <c r="A757" s="105" t="s">
        <v>50</v>
      </c>
      <c r="B757" s="105" t="s">
        <v>52</v>
      </c>
      <c r="C757" s="105">
        <v>5.0999999999999996</v>
      </c>
      <c r="D757" s="106"/>
    </row>
    <row r="758" spans="1:4" ht="15.75" outlineLevel="1" x14ac:dyDescent="0.2">
      <c r="A758" s="105" t="s">
        <v>50</v>
      </c>
      <c r="B758" s="105" t="s">
        <v>53</v>
      </c>
      <c r="C758" s="105">
        <v>5.2</v>
      </c>
      <c r="D758" s="106"/>
    </row>
    <row r="759" spans="1:4" ht="15.75" outlineLevel="1" x14ac:dyDescent="0.2">
      <c r="A759" s="105" t="s">
        <v>50</v>
      </c>
      <c r="B759" s="105" t="s">
        <v>1175</v>
      </c>
      <c r="C759" s="105">
        <v>5.9</v>
      </c>
      <c r="D759" s="108" t="s">
        <v>1996</v>
      </c>
    </row>
    <row r="760" spans="1:4" ht="15.75" outlineLevel="1" x14ac:dyDescent="0.2">
      <c r="A760" s="105" t="s">
        <v>50</v>
      </c>
      <c r="B760" s="105" t="s">
        <v>1176</v>
      </c>
      <c r="C760" s="105">
        <v>5.13</v>
      </c>
      <c r="D760" s="106"/>
    </row>
    <row r="761" spans="1:4" ht="15.75" outlineLevel="1" x14ac:dyDescent="0.2">
      <c r="A761" s="105" t="s">
        <v>50</v>
      </c>
      <c r="B761" s="105" t="s">
        <v>1177</v>
      </c>
      <c r="C761" s="105">
        <v>5.16</v>
      </c>
      <c r="D761" s="108" t="s">
        <v>1996</v>
      </c>
    </row>
    <row r="762" spans="1:4" ht="15.75" outlineLevel="1" x14ac:dyDescent="0.2">
      <c r="A762" s="105" t="s">
        <v>50</v>
      </c>
      <c r="B762" s="105" t="s">
        <v>1178</v>
      </c>
      <c r="C762" s="105">
        <v>5.22</v>
      </c>
      <c r="D762" s="108"/>
    </row>
    <row r="763" spans="1:4" ht="15.75" outlineLevel="1" x14ac:dyDescent="0.2">
      <c r="A763" s="105" t="s">
        <v>50</v>
      </c>
      <c r="B763" s="105" t="s">
        <v>1214</v>
      </c>
      <c r="C763" s="105">
        <v>5.42</v>
      </c>
      <c r="D763" s="106"/>
    </row>
    <row r="764" spans="1:4" ht="15.75" outlineLevel="1" x14ac:dyDescent="0.2">
      <c r="A764" s="105" t="s">
        <v>50</v>
      </c>
      <c r="B764" s="105" t="s">
        <v>58</v>
      </c>
      <c r="C764" s="105">
        <v>5.27</v>
      </c>
      <c r="D764" s="106"/>
    </row>
    <row r="765" spans="1:4" ht="15.75" outlineLevel="1" x14ac:dyDescent="0.2">
      <c r="A765" s="105" t="s">
        <v>50</v>
      </c>
      <c r="B765" s="105" t="s">
        <v>88</v>
      </c>
      <c r="C765" s="105">
        <v>5.28</v>
      </c>
      <c r="D765" s="108" t="s">
        <v>1996</v>
      </c>
    </row>
    <row r="766" spans="1:4" ht="15.75" outlineLevel="1" x14ac:dyDescent="0.2">
      <c r="A766" s="105" t="s">
        <v>50</v>
      </c>
      <c r="B766" s="105" t="s">
        <v>59</v>
      </c>
      <c r="C766" s="105">
        <v>5.36</v>
      </c>
      <c r="D766" s="106"/>
    </row>
    <row r="767" spans="1:4" ht="15.75" outlineLevel="1" x14ac:dyDescent="0.2">
      <c r="A767" s="105" t="s">
        <v>50</v>
      </c>
      <c r="B767" s="105" t="s">
        <v>90</v>
      </c>
      <c r="C767" s="105">
        <v>5.49</v>
      </c>
      <c r="D767" s="106"/>
    </row>
    <row r="768" spans="1:4" ht="15.75" outlineLevel="1" x14ac:dyDescent="0.2">
      <c r="A768" s="105" t="s">
        <v>50</v>
      </c>
      <c r="B768" s="105" t="s">
        <v>61</v>
      </c>
      <c r="C768" s="105">
        <v>5.51</v>
      </c>
      <c r="D768" s="106"/>
    </row>
    <row r="769" spans="1:4" ht="15.75" outlineLevel="1" x14ac:dyDescent="0.2">
      <c r="A769" s="105" t="s">
        <v>50</v>
      </c>
      <c r="B769" s="105" t="s">
        <v>2008</v>
      </c>
      <c r="C769" s="105">
        <v>5.52</v>
      </c>
      <c r="D769" s="106"/>
    </row>
    <row r="770" spans="1:4" ht="15.75" outlineLevel="1" x14ac:dyDescent="0.2">
      <c r="A770" s="105" t="s">
        <v>50</v>
      </c>
      <c r="B770" s="105" t="s">
        <v>62</v>
      </c>
      <c r="C770" s="105">
        <v>5.53</v>
      </c>
      <c r="D770" s="106"/>
    </row>
    <row r="771" spans="1:4" ht="15.75" outlineLevel="1" x14ac:dyDescent="0.2">
      <c r="A771" s="105" t="s">
        <v>50</v>
      </c>
      <c r="B771" s="105" t="s">
        <v>64</v>
      </c>
      <c r="C771" s="105">
        <v>5.54</v>
      </c>
      <c r="D771" s="106"/>
    </row>
    <row r="772" spans="1:4" ht="15.75" outlineLevel="1" x14ac:dyDescent="0.2">
      <c r="A772" s="105" t="s">
        <v>50</v>
      </c>
      <c r="B772" s="105" t="s">
        <v>65</v>
      </c>
      <c r="C772" s="107">
        <v>5.7</v>
      </c>
      <c r="D772" s="106"/>
    </row>
    <row r="773" spans="1:4" ht="15.75" outlineLevel="1" x14ac:dyDescent="0.2">
      <c r="A773" s="105" t="s">
        <v>50</v>
      </c>
      <c r="B773" s="105" t="s">
        <v>1184</v>
      </c>
      <c r="C773" s="105">
        <v>5.71</v>
      </c>
      <c r="D773" s="106"/>
    </row>
    <row r="774" spans="1:4" ht="15.75" outlineLevel="1" x14ac:dyDescent="0.2">
      <c r="A774" s="105" t="s">
        <v>50</v>
      </c>
      <c r="B774" s="105" t="s">
        <v>1215</v>
      </c>
      <c r="C774" s="107">
        <v>5.9</v>
      </c>
      <c r="D774" s="106"/>
    </row>
    <row r="775" spans="1:4" ht="15.75" outlineLevel="1" x14ac:dyDescent="0.2">
      <c r="A775" s="105" t="s">
        <v>50</v>
      </c>
      <c r="B775" s="105" t="s">
        <v>1216</v>
      </c>
      <c r="C775" s="105">
        <v>5.91</v>
      </c>
      <c r="D775" s="106"/>
    </row>
    <row r="776" spans="1:4" ht="15.75" outlineLevel="1" x14ac:dyDescent="0.2">
      <c r="A776" s="105" t="s">
        <v>50</v>
      </c>
      <c r="B776" s="105" t="s">
        <v>1217</v>
      </c>
      <c r="C776" s="105">
        <v>5.97</v>
      </c>
      <c r="D776" s="106"/>
    </row>
    <row r="777" spans="1:4" ht="15.75" x14ac:dyDescent="0.2">
      <c r="A777" s="109" t="s">
        <v>50</v>
      </c>
      <c r="B777" s="105"/>
      <c r="C777" s="105"/>
      <c r="D777" s="106"/>
    </row>
    <row r="778" spans="1:4" ht="15.75" outlineLevel="1" x14ac:dyDescent="0.2">
      <c r="A778" s="105" t="s">
        <v>1985</v>
      </c>
      <c r="B778" s="105" t="s">
        <v>52</v>
      </c>
      <c r="C778" s="105">
        <v>5.0999999999999996</v>
      </c>
      <c r="D778" s="106"/>
    </row>
    <row r="779" spans="1:4" ht="15.75" outlineLevel="1" x14ac:dyDescent="0.2">
      <c r="A779" s="105" t="s">
        <v>1985</v>
      </c>
      <c r="B779" s="105" t="s">
        <v>53</v>
      </c>
      <c r="C779" s="105">
        <v>5.2</v>
      </c>
      <c r="D779" s="106"/>
    </row>
    <row r="780" spans="1:4" ht="15.75" outlineLevel="1" x14ac:dyDescent="0.2">
      <c r="A780" s="105" t="s">
        <v>1985</v>
      </c>
      <c r="B780" s="105" t="s">
        <v>57</v>
      </c>
      <c r="C780" s="105">
        <v>5.26</v>
      </c>
      <c r="D780" s="106"/>
    </row>
    <row r="781" spans="1:4" ht="15.75" outlineLevel="1" x14ac:dyDescent="0.2">
      <c r="A781" s="105" t="s">
        <v>1985</v>
      </c>
      <c r="B781" s="105" t="s">
        <v>1024</v>
      </c>
      <c r="C781" s="105">
        <v>5.5</v>
      </c>
      <c r="D781" s="106"/>
    </row>
    <row r="782" spans="1:4" ht="15.75" outlineLevel="1" x14ac:dyDescent="0.2">
      <c r="A782" s="105" t="s">
        <v>1985</v>
      </c>
      <c r="B782" s="105" t="s">
        <v>1025</v>
      </c>
      <c r="C782" s="105">
        <v>5.8</v>
      </c>
      <c r="D782" s="108" t="s">
        <v>1996</v>
      </c>
    </row>
    <row r="783" spans="1:4" ht="15.75" outlineLevel="1" x14ac:dyDescent="0.2">
      <c r="A783" s="105" t="s">
        <v>1985</v>
      </c>
      <c r="B783" s="105" t="s">
        <v>1026</v>
      </c>
      <c r="C783" s="105">
        <v>5.12</v>
      </c>
      <c r="D783" s="105"/>
    </row>
    <row r="784" spans="1:4" ht="15.75" outlineLevel="1" x14ac:dyDescent="0.2">
      <c r="A784" s="105" t="s">
        <v>1985</v>
      </c>
      <c r="B784" s="105" t="s">
        <v>1027</v>
      </c>
      <c r="C784" s="105">
        <v>5.15</v>
      </c>
      <c r="D784" s="105"/>
    </row>
    <row r="785" spans="1:4" ht="15.75" outlineLevel="1" x14ac:dyDescent="0.2">
      <c r="A785" s="105" t="s">
        <v>1985</v>
      </c>
      <c r="B785" s="105" t="s">
        <v>1028</v>
      </c>
      <c r="C785" s="107">
        <v>5.2</v>
      </c>
      <c r="D785" s="108"/>
    </row>
    <row r="786" spans="1:4" ht="15.75" outlineLevel="1" x14ac:dyDescent="0.2">
      <c r="A786" s="105" t="s">
        <v>1985</v>
      </c>
      <c r="B786" s="105" t="s">
        <v>1029</v>
      </c>
      <c r="C786" s="105">
        <v>5.25</v>
      </c>
      <c r="D786" s="105"/>
    </row>
    <row r="787" spans="1:4" ht="15.75" outlineLevel="1" x14ac:dyDescent="0.2">
      <c r="A787" s="105" t="s">
        <v>1985</v>
      </c>
      <c r="B787" s="105" t="s">
        <v>62</v>
      </c>
      <c r="C787" s="105">
        <v>5.53</v>
      </c>
      <c r="D787" s="105"/>
    </row>
    <row r="788" spans="1:4" ht="15.75" outlineLevel="1" x14ac:dyDescent="0.2">
      <c r="A788" s="105" t="s">
        <v>1985</v>
      </c>
      <c r="B788" s="105" t="s">
        <v>1218</v>
      </c>
      <c r="C788" s="107">
        <v>5.4</v>
      </c>
      <c r="D788" s="105"/>
    </row>
    <row r="789" spans="1:4" ht="15.75" outlineLevel="1" x14ac:dyDescent="0.2">
      <c r="A789" s="105" t="s">
        <v>1985</v>
      </c>
      <c r="B789" s="105" t="s">
        <v>1219</v>
      </c>
      <c r="C789" s="105">
        <v>5.92</v>
      </c>
      <c r="D789" s="105"/>
    </row>
    <row r="790" spans="1:4" ht="15.75" outlineLevel="1" x14ac:dyDescent="0.2">
      <c r="A790" s="105" t="s">
        <v>1985</v>
      </c>
      <c r="B790" s="105" t="s">
        <v>1220</v>
      </c>
      <c r="C790" s="105">
        <v>5.93</v>
      </c>
      <c r="D790" s="105"/>
    </row>
    <row r="791" spans="1:4" ht="31.5" outlineLevel="1" x14ac:dyDescent="0.2">
      <c r="A791" s="105" t="s">
        <v>1985</v>
      </c>
      <c r="B791" s="105" t="s">
        <v>1221</v>
      </c>
      <c r="C791" s="105">
        <v>5.94</v>
      </c>
      <c r="D791" s="105"/>
    </row>
    <row r="792" spans="1:4" ht="15.75" outlineLevel="1" x14ac:dyDescent="0.2">
      <c r="A792" s="105" t="s">
        <v>1985</v>
      </c>
      <c r="B792" s="105" t="s">
        <v>1222</v>
      </c>
      <c r="C792" s="105">
        <v>5.95</v>
      </c>
      <c r="D792" s="105"/>
    </row>
    <row r="793" spans="1:4" ht="15.75" outlineLevel="1" x14ac:dyDescent="0.2">
      <c r="A793" s="105" t="s">
        <v>1985</v>
      </c>
      <c r="B793" s="105" t="s">
        <v>1223</v>
      </c>
      <c r="C793" s="105">
        <v>5.98</v>
      </c>
      <c r="D793" s="105"/>
    </row>
    <row r="794" spans="1:4" ht="15.75" outlineLevel="1" x14ac:dyDescent="0.2">
      <c r="A794" s="105" t="s">
        <v>1985</v>
      </c>
      <c r="B794" s="105" t="s">
        <v>1224</v>
      </c>
      <c r="C794" s="105">
        <v>5.96</v>
      </c>
      <c r="D794" s="105"/>
    </row>
    <row r="795" spans="1:4" ht="15.75" x14ac:dyDescent="0.2">
      <c r="A795" s="109" t="s">
        <v>1985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C7C6-4DF9-408B-A507-B8E3B241036C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11" t="s">
        <v>2011</v>
      </c>
    </row>
    <row r="3" spans="1:2" x14ac:dyDescent="0.2">
      <c r="A3" t="s">
        <v>2012</v>
      </c>
      <c r="B3" t="s">
        <v>2013</v>
      </c>
    </row>
    <row r="4" spans="1:2" x14ac:dyDescent="0.2">
      <c r="A4" t="s">
        <v>2</v>
      </c>
      <c r="B4" t="s">
        <v>2014</v>
      </c>
    </row>
    <row r="5" spans="1:2" x14ac:dyDescent="0.2">
      <c r="A5" t="s">
        <v>2015</v>
      </c>
      <c r="B5" t="s">
        <v>2016</v>
      </c>
    </row>
    <row r="6" spans="1:2" x14ac:dyDescent="0.2">
      <c r="A6" t="s">
        <v>2017</v>
      </c>
      <c r="B6" t="s">
        <v>2018</v>
      </c>
    </row>
    <row r="7" spans="1:2" x14ac:dyDescent="0.2">
      <c r="A7" t="s">
        <v>2019</v>
      </c>
      <c r="B7" t="s">
        <v>2020</v>
      </c>
    </row>
    <row r="8" spans="1:2" x14ac:dyDescent="0.2">
      <c r="A8" t="s">
        <v>2021</v>
      </c>
      <c r="B8" t="s">
        <v>2022</v>
      </c>
    </row>
    <row r="10" spans="1:2" ht="15" x14ac:dyDescent="0.25">
      <c r="A10" s="111" t="s">
        <v>2023</v>
      </c>
    </row>
    <row r="11" spans="1:2" x14ac:dyDescent="0.2">
      <c r="A11" t="s">
        <v>4</v>
      </c>
    </row>
    <row r="12" spans="1:2" x14ac:dyDescent="0.2">
      <c r="A12" t="s">
        <v>2024</v>
      </c>
      <c r="B12" t="s">
        <v>2025</v>
      </c>
    </row>
    <row r="14" spans="1:2" x14ac:dyDescent="0.2">
      <c r="A14" s="112"/>
    </row>
    <row r="15" spans="1:2" ht="15" x14ac:dyDescent="0.25">
      <c r="A15" s="111" t="s">
        <v>2026</v>
      </c>
    </row>
    <row r="16" spans="1:2" x14ac:dyDescent="0.2">
      <c r="A16" s="113" t="s">
        <v>2027</v>
      </c>
    </row>
    <row r="17" spans="1:2" x14ac:dyDescent="0.2">
      <c r="A17" s="113" t="s">
        <v>2028</v>
      </c>
    </row>
    <row r="18" spans="1:2" x14ac:dyDescent="0.2">
      <c r="A18" s="113" t="s">
        <v>2029</v>
      </c>
    </row>
    <row r="19" spans="1:2" x14ac:dyDescent="0.2">
      <c r="A19" s="113" t="s">
        <v>2030</v>
      </c>
    </row>
    <row r="21" spans="1:2" ht="15" x14ac:dyDescent="0.25">
      <c r="A21" s="114" t="s">
        <v>2031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11" t="s">
        <v>2032</v>
      </c>
      <c r="B34" s="111" t="s">
        <v>150</v>
      </c>
    </row>
    <row r="35" spans="1:2" x14ac:dyDescent="0.2">
      <c r="A35" s="7" t="s">
        <v>2033</v>
      </c>
      <c r="B35" s="115">
        <v>512310509</v>
      </c>
    </row>
    <row r="36" spans="1:2" x14ac:dyDescent="0.2">
      <c r="A36" t="s">
        <v>2034</v>
      </c>
      <c r="B36" s="115">
        <v>513910703</v>
      </c>
    </row>
    <row r="37" spans="1:2" x14ac:dyDescent="0.2">
      <c r="A37" t="s">
        <v>2035</v>
      </c>
      <c r="B37" s="115">
        <v>512304882</v>
      </c>
    </row>
    <row r="38" spans="1:2" x14ac:dyDescent="0.2">
      <c r="A38" t="s">
        <v>2036</v>
      </c>
      <c r="B38" s="115">
        <v>520030677</v>
      </c>
    </row>
    <row r="39" spans="1:2" x14ac:dyDescent="0.2">
      <c r="A39" t="s">
        <v>2037</v>
      </c>
      <c r="B39" s="115">
        <v>513621110</v>
      </c>
    </row>
    <row r="40" spans="1:2" x14ac:dyDescent="0.2">
      <c r="A40" t="s">
        <v>2038</v>
      </c>
      <c r="B40" s="7">
        <v>513173393</v>
      </c>
    </row>
    <row r="41" spans="1:2" x14ac:dyDescent="0.2">
      <c r="A41" t="s">
        <v>2039</v>
      </c>
      <c r="B41" s="7">
        <v>511880460</v>
      </c>
    </row>
    <row r="42" spans="1:2" x14ac:dyDescent="0.2">
      <c r="A42" t="s">
        <v>2040</v>
      </c>
      <c r="B42" s="7">
        <v>510773922</v>
      </c>
    </row>
    <row r="43" spans="1:2" x14ac:dyDescent="0.2">
      <c r="A43" t="s">
        <v>2041</v>
      </c>
      <c r="B43">
        <v>520021916</v>
      </c>
    </row>
    <row r="44" spans="1:2" x14ac:dyDescent="0.2">
      <c r="A44" t="s">
        <v>2042</v>
      </c>
      <c r="B44">
        <v>520044025</v>
      </c>
    </row>
    <row r="45" spans="1:2" x14ac:dyDescent="0.2">
      <c r="A45" t="s">
        <v>2043</v>
      </c>
      <c r="B45">
        <v>570003152</v>
      </c>
    </row>
    <row r="46" spans="1:2" x14ac:dyDescent="0.2">
      <c r="A46" t="s">
        <v>2044</v>
      </c>
      <c r="B46" s="7">
        <v>520023094</v>
      </c>
    </row>
    <row r="47" spans="1:2" x14ac:dyDescent="0.2">
      <c r="A47" t="s">
        <v>2045</v>
      </c>
      <c r="B47" s="7">
        <v>512711409</v>
      </c>
    </row>
    <row r="48" spans="1:2" x14ac:dyDescent="0.2">
      <c r="A48" t="s">
        <v>2046</v>
      </c>
      <c r="B48">
        <v>515859379</v>
      </c>
    </row>
    <row r="49" spans="1:2" x14ac:dyDescent="0.2">
      <c r="A49" t="s">
        <v>2047</v>
      </c>
      <c r="B49" s="7">
        <v>520030990</v>
      </c>
    </row>
    <row r="50" spans="1:2" x14ac:dyDescent="0.2">
      <c r="A50" t="s">
        <v>2048</v>
      </c>
      <c r="B50" s="7">
        <v>520028812</v>
      </c>
    </row>
    <row r="51" spans="1:2" x14ac:dyDescent="0.2">
      <c r="A51" t="s">
        <v>2049</v>
      </c>
      <c r="B51" s="7">
        <v>520034968</v>
      </c>
    </row>
    <row r="52" spans="1:2" x14ac:dyDescent="0.2">
      <c r="A52" t="s">
        <v>2050</v>
      </c>
      <c r="B52" s="7">
        <v>520031824</v>
      </c>
    </row>
    <row r="53" spans="1:2" x14ac:dyDescent="0.2">
      <c r="A53" t="s">
        <v>2051</v>
      </c>
      <c r="B53" s="7">
        <v>520005497</v>
      </c>
    </row>
    <row r="54" spans="1:2" x14ac:dyDescent="0.2">
      <c r="A54" t="s">
        <v>2052</v>
      </c>
      <c r="B54" s="7">
        <v>520022518</v>
      </c>
    </row>
    <row r="55" spans="1:2" x14ac:dyDescent="0.2">
      <c r="A55" t="s">
        <v>2053</v>
      </c>
      <c r="B55" s="7">
        <v>520028556</v>
      </c>
    </row>
    <row r="56" spans="1:2" x14ac:dyDescent="0.2">
      <c r="A56" t="s">
        <v>2054</v>
      </c>
      <c r="B56" s="7">
        <v>520032269</v>
      </c>
    </row>
    <row r="57" spans="1:2" x14ac:dyDescent="0.2">
      <c r="A57" t="s">
        <v>2055</v>
      </c>
      <c r="B57" s="7">
        <v>520027954</v>
      </c>
    </row>
    <row r="58" spans="1:2" x14ac:dyDescent="0.2">
      <c r="A58" t="s">
        <v>2056</v>
      </c>
      <c r="B58">
        <v>520029620</v>
      </c>
    </row>
    <row r="59" spans="1:2" x14ac:dyDescent="0.2">
      <c r="A59" t="s">
        <v>2057</v>
      </c>
      <c r="B59" s="7">
        <v>520028861</v>
      </c>
    </row>
    <row r="60" spans="1:2" x14ac:dyDescent="0.2">
      <c r="A60" t="s">
        <v>2058</v>
      </c>
      <c r="B60" s="7">
        <v>520030743</v>
      </c>
    </row>
    <row r="61" spans="1:2" x14ac:dyDescent="0.2">
      <c r="A61" t="s">
        <v>2059</v>
      </c>
      <c r="B61">
        <v>520042177</v>
      </c>
    </row>
    <row r="62" spans="1:2" x14ac:dyDescent="0.2">
      <c r="A62" t="s">
        <v>2060</v>
      </c>
      <c r="B62" s="7">
        <v>515447035</v>
      </c>
    </row>
    <row r="63" spans="1:2" x14ac:dyDescent="0.2">
      <c r="A63" t="s">
        <v>2061</v>
      </c>
      <c r="B63" s="7">
        <v>520042607</v>
      </c>
    </row>
    <row r="64" spans="1:2" x14ac:dyDescent="0.2">
      <c r="A64" t="s">
        <v>2062</v>
      </c>
      <c r="B64" s="7">
        <v>513026484</v>
      </c>
    </row>
    <row r="65" spans="1:2" x14ac:dyDescent="0.2">
      <c r="A65" t="s">
        <v>2063</v>
      </c>
      <c r="B65">
        <v>520023185</v>
      </c>
    </row>
    <row r="66" spans="1:2" x14ac:dyDescent="0.2">
      <c r="A66" t="s">
        <v>2064</v>
      </c>
      <c r="B66">
        <v>520004078</v>
      </c>
    </row>
    <row r="67" spans="1:2" x14ac:dyDescent="0.2">
      <c r="A67" t="s">
        <v>2065</v>
      </c>
      <c r="B67" s="7">
        <v>512267592</v>
      </c>
    </row>
    <row r="68" spans="1:2" x14ac:dyDescent="0.2">
      <c r="A68" t="s">
        <v>2066</v>
      </c>
      <c r="B68">
        <v>515764868</v>
      </c>
    </row>
    <row r="69" spans="1:2" x14ac:dyDescent="0.2">
      <c r="A69" t="s">
        <v>2067</v>
      </c>
      <c r="B69" s="7">
        <v>513452003</v>
      </c>
    </row>
    <row r="70" spans="1:2" x14ac:dyDescent="0.2">
      <c r="A70" t="s">
        <v>2068</v>
      </c>
      <c r="B70" s="7">
        <v>510142789</v>
      </c>
    </row>
    <row r="71" spans="1:2" x14ac:dyDescent="0.2">
      <c r="A71" t="s">
        <v>2069</v>
      </c>
      <c r="B71" s="7">
        <v>510960586</v>
      </c>
    </row>
    <row r="72" spans="1:2" x14ac:dyDescent="0.2">
      <c r="A72" t="s">
        <v>8</v>
      </c>
      <c r="B72" s="7">
        <v>510930670</v>
      </c>
    </row>
    <row r="73" spans="1:2" x14ac:dyDescent="0.2">
      <c r="A73" t="s">
        <v>2070</v>
      </c>
      <c r="B73" s="7">
        <v>510927536</v>
      </c>
    </row>
    <row r="74" spans="1:2" x14ac:dyDescent="0.2">
      <c r="A74" t="s">
        <v>2071</v>
      </c>
      <c r="B74" s="7">
        <v>510930654</v>
      </c>
    </row>
    <row r="75" spans="1:2" x14ac:dyDescent="0.2">
      <c r="A75" t="s">
        <v>2072</v>
      </c>
      <c r="B75" s="7">
        <v>520032566</v>
      </c>
    </row>
    <row r="76" spans="1:2" x14ac:dyDescent="0.2">
      <c r="A76" t="s">
        <v>2073</v>
      </c>
      <c r="B76" s="7">
        <v>513611509</v>
      </c>
    </row>
    <row r="77" spans="1:2" x14ac:dyDescent="0.2">
      <c r="A77" t="s">
        <v>2074</v>
      </c>
      <c r="B77">
        <v>510888985</v>
      </c>
    </row>
    <row r="78" spans="1:2" x14ac:dyDescent="0.2">
      <c r="A78" t="s">
        <v>2075</v>
      </c>
      <c r="B78">
        <v>520024647</v>
      </c>
    </row>
    <row r="79" spans="1:2" x14ac:dyDescent="0.2">
      <c r="A79" t="s">
        <v>2076</v>
      </c>
      <c r="B79" s="7">
        <v>512244146</v>
      </c>
    </row>
    <row r="80" spans="1:2" x14ac:dyDescent="0.2">
      <c r="A80" t="s">
        <v>2077</v>
      </c>
      <c r="B80" s="7">
        <v>510694821</v>
      </c>
    </row>
    <row r="81" spans="1:2" x14ac:dyDescent="0.2">
      <c r="A81" t="s">
        <v>2078</v>
      </c>
      <c r="B81">
        <v>515761625</v>
      </c>
    </row>
    <row r="82" spans="1:2" x14ac:dyDescent="0.2">
      <c r="A82" t="s">
        <v>2079</v>
      </c>
      <c r="B82" s="7">
        <v>511423048</v>
      </c>
    </row>
    <row r="83" spans="1:2" x14ac:dyDescent="0.2">
      <c r="A83" t="s">
        <v>2080</v>
      </c>
      <c r="B83" s="7">
        <v>520019688</v>
      </c>
    </row>
    <row r="84" spans="1:2" x14ac:dyDescent="0.2">
      <c r="A84" t="s">
        <v>2081</v>
      </c>
      <c r="B84">
        <v>520004896</v>
      </c>
    </row>
    <row r="85" spans="1:2" x14ac:dyDescent="0.2">
      <c r="A85" t="s">
        <v>2082</v>
      </c>
      <c r="B85" s="7">
        <v>512237744</v>
      </c>
    </row>
    <row r="86" spans="1:2" x14ac:dyDescent="0.2">
      <c r="A86" t="s">
        <v>2083</v>
      </c>
      <c r="B86" s="7">
        <v>514956465</v>
      </c>
    </row>
    <row r="87" spans="1:2" x14ac:dyDescent="0.2">
      <c r="A87" t="s">
        <v>2084</v>
      </c>
      <c r="B87" s="7">
        <v>512362914</v>
      </c>
    </row>
    <row r="88" spans="1:2" x14ac:dyDescent="0.2">
      <c r="A88" t="s">
        <v>2085</v>
      </c>
      <c r="B88" s="7">
        <v>520042615</v>
      </c>
    </row>
    <row r="89" spans="1:2" x14ac:dyDescent="0.2">
      <c r="A89" t="s">
        <v>2086</v>
      </c>
      <c r="B89" s="7">
        <v>512065202</v>
      </c>
    </row>
    <row r="90" spans="1:2" x14ac:dyDescent="0.2">
      <c r="A90" t="s">
        <v>2087</v>
      </c>
      <c r="B90">
        <v>520042540</v>
      </c>
    </row>
    <row r="91" spans="1:2" x14ac:dyDescent="0.2">
      <c r="A91" t="s">
        <v>2088</v>
      </c>
      <c r="B91" s="7">
        <v>520027715</v>
      </c>
    </row>
    <row r="92" spans="1:2" x14ac:dyDescent="0.2">
      <c r="A92" t="s">
        <v>2089</v>
      </c>
      <c r="B92" s="7">
        <v>512245812</v>
      </c>
    </row>
    <row r="93" spans="1:2" x14ac:dyDescent="0.2">
      <c r="A93" t="s">
        <v>2090</v>
      </c>
      <c r="B93" s="7">
        <v>520022351</v>
      </c>
    </row>
    <row r="94" spans="1:2" x14ac:dyDescent="0.2">
      <c r="A94" t="s">
        <v>2091</v>
      </c>
      <c r="B94" s="7">
        <v>514767490</v>
      </c>
    </row>
    <row r="95" spans="1:2" x14ac:dyDescent="0.2">
      <c r="A95" t="s">
        <v>2092</v>
      </c>
      <c r="B95" s="7">
        <v>520024985</v>
      </c>
    </row>
    <row r="96" spans="1:2" x14ac:dyDescent="0.2">
      <c r="A96" t="s">
        <v>2093</v>
      </c>
      <c r="B96" s="7">
        <v>520042573</v>
      </c>
    </row>
    <row r="97" spans="1:2" x14ac:dyDescent="0.2">
      <c r="A97" t="s">
        <v>2094</v>
      </c>
      <c r="B97" s="7">
        <v>570009449</v>
      </c>
    </row>
    <row r="98" spans="1:2" x14ac:dyDescent="0.2">
      <c r="A98" t="s">
        <v>2095</v>
      </c>
      <c r="B98" s="7">
        <v>520031659</v>
      </c>
    </row>
    <row r="99" spans="1:2" x14ac:dyDescent="0.2">
      <c r="A99" t="s">
        <v>2096</v>
      </c>
      <c r="B99" s="7">
        <v>520042581</v>
      </c>
    </row>
    <row r="100" spans="1:2" x14ac:dyDescent="0.2">
      <c r="A100" t="s">
        <v>2097</v>
      </c>
      <c r="B100">
        <v>520031030</v>
      </c>
    </row>
    <row r="101" spans="1:2" x14ac:dyDescent="0.2">
      <c r="A101" t="s">
        <v>2098</v>
      </c>
      <c r="B101" s="7">
        <v>520030941</v>
      </c>
    </row>
    <row r="102" spans="1:2" x14ac:dyDescent="0.2">
      <c r="A102" t="s">
        <v>2099</v>
      </c>
      <c r="B102" s="7">
        <v>512008335</v>
      </c>
    </row>
    <row r="103" spans="1:2" x14ac:dyDescent="0.2">
      <c r="A103" t="s">
        <v>2100</v>
      </c>
      <c r="B103" s="7">
        <v>520022963</v>
      </c>
    </row>
    <row r="104" spans="1:2" x14ac:dyDescent="0.2">
      <c r="A104" t="s">
        <v>2101</v>
      </c>
      <c r="B104" s="7">
        <v>570011767</v>
      </c>
    </row>
    <row r="105" spans="1:2" x14ac:dyDescent="0.2">
      <c r="A105" t="s">
        <v>2102</v>
      </c>
      <c r="B105" s="7">
        <v>570014928</v>
      </c>
    </row>
    <row r="106" spans="1:2" x14ac:dyDescent="0.2">
      <c r="A106" t="s">
        <v>2103</v>
      </c>
      <c r="B106" s="7">
        <v>570005959</v>
      </c>
    </row>
    <row r="107" spans="1:2" x14ac:dyDescent="0.2">
      <c r="A107" t="s">
        <v>2104</v>
      </c>
      <c r="B107" s="7">
        <v>510800402</v>
      </c>
    </row>
    <row r="108" spans="1:2" x14ac:dyDescent="0.2">
      <c r="A108" t="s">
        <v>2105</v>
      </c>
      <c r="B108" s="7">
        <v>570007476</v>
      </c>
    </row>
    <row r="109" spans="1:2" x14ac:dyDescent="0.2">
      <c r="A109" t="s">
        <v>2106</v>
      </c>
      <c r="B109" s="7">
        <v>570005850</v>
      </c>
    </row>
    <row r="110" spans="1:2" x14ac:dyDescent="0.2">
      <c r="A110" t="s">
        <v>2107</v>
      </c>
      <c r="B110" s="7">
        <v>520020504</v>
      </c>
    </row>
    <row r="111" spans="1:2" x14ac:dyDescent="0.2">
      <c r="A111" t="s">
        <v>2108</v>
      </c>
      <c r="B111" s="7">
        <v>520020447</v>
      </c>
    </row>
    <row r="112" spans="1:2" x14ac:dyDescent="0.2">
      <c r="A112" t="s">
        <v>2109</v>
      </c>
      <c r="B112" s="7">
        <v>511033060</v>
      </c>
    </row>
    <row r="113" spans="1:2" x14ac:dyDescent="0.2">
      <c r="A113" t="s">
        <v>2110</v>
      </c>
      <c r="B113">
        <v>520027848</v>
      </c>
    </row>
    <row r="114" spans="1:2" x14ac:dyDescent="0.2">
      <c r="A114" t="s">
        <v>2111</v>
      </c>
      <c r="B114" s="7">
        <v>570009852</v>
      </c>
    </row>
    <row r="115" spans="1:2" x14ac:dyDescent="0.2">
      <c r="A115" t="s">
        <v>2112</v>
      </c>
      <c r="B115" s="7">
        <v>520027251</v>
      </c>
    </row>
    <row r="116" spans="1:2" x14ac:dyDescent="0.2">
      <c r="A116" t="s">
        <v>2113</v>
      </c>
      <c r="B116" s="7">
        <v>520028390</v>
      </c>
    </row>
    <row r="117" spans="1:2" x14ac:dyDescent="0.2">
      <c r="A117" t="s">
        <v>2114</v>
      </c>
      <c r="B117" s="7">
        <v>510806870</v>
      </c>
    </row>
    <row r="118" spans="1:2" x14ac:dyDescent="0.2">
      <c r="A118" t="s">
        <v>2115</v>
      </c>
      <c r="B118">
        <v>513879189</v>
      </c>
    </row>
    <row r="119" spans="1:2" x14ac:dyDescent="0.2">
      <c r="A119" t="s">
        <v>2116</v>
      </c>
      <c r="B119">
        <v>510015951</v>
      </c>
    </row>
    <row r="120" spans="1:2" x14ac:dyDescent="0.2">
      <c r="A120" t="s">
        <v>2117</v>
      </c>
      <c r="B120" s="7">
        <v>520030693</v>
      </c>
    </row>
    <row r="121" spans="1:2" x14ac:dyDescent="0.2">
      <c r="A121" t="s">
        <v>2118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שרון רותם</cp:lastModifiedBy>
  <dcterms:created xsi:type="dcterms:W3CDTF">2025-07-27T11:36:15Z</dcterms:created>
  <dcterms:modified xsi:type="dcterms:W3CDTF">2025-08-20T15:50:29Z</dcterms:modified>
</cp:coreProperties>
</file>