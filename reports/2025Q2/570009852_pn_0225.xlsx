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שליחה שניה אותות\"/>
    </mc:Choice>
  </mc:AlternateContent>
  <xr:revisionPtr revIDLastSave="0" documentId="13_ncr:1_{D01E4638-7441-4738-A485-A204FCFE6CB6}" xr6:coauthVersionLast="36" xr6:coauthVersionMax="47" xr10:uidLastSave="{00000000-0000-0000-0000-000000000000}"/>
  <bookViews>
    <workbookView xWindow="-28920" yWindow="-120" windowWidth="29040" windowHeight="15840" tabRatio="100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externalReferences>
    <externalReference r:id="rId35"/>
  </externalReferences>
  <definedNames>
    <definedName name="_xlnm._FilterDatabase" localSheetId="31" hidden="1">'אפשרויות בחירה'!$A$1:$E$1040</definedName>
    <definedName name="_xlnm._FilterDatabase" localSheetId="23" hidden="1">הלוואות!$A$1:$BA$511</definedName>
    <definedName name="_xlnm._FilterDatabase" localSheetId="32" hidden="1">'מיפוי סעיפים'!$A$1:$D$795</definedName>
    <definedName name="_xlnm._FilterDatabase" localSheetId="19" hidden="1">'קרנות השקעה'!$A$1:$Z$406</definedName>
    <definedName name="aa">'[1]אפשרויות בחירה'!$C$701:$C$850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ppp">'[1]אפשרויות בחירה'!$C$658:$C$665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ttttt">'[1]אפשרויות בחירה'!$C$499:$C$513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vfv">'[1]אפשרויות בחירה'!$C$666:$C$667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<sst xmlns="http://schemas.openxmlformats.org/spreadsheetml/2006/main" count="23489" uniqueCount="2784">
  <si>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</si>
  <si>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</si>
  <si>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</si>
  <si>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</si>
  <si>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</si>
  <si>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</si>
  <si>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</si>
  <si>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</si>
  <si>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</si>
  <si>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</si>
  <si>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</si>
  <si>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</si>
  <si>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</si>
  <si>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</si>
  <si>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</si>
  <si>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</si>
  <si>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</si>
  <si>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</si>
  <si>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</si>
  <si>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</si>
  <si>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</si>
  <si>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</si>
  <si>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</si>
  <si>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</si>
  <si>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</si>
  <si>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</si>
  <si>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</si>
  <si>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</si>
  <si>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</si>
  <si>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</si>
  <si>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</si>
  <si>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</si>
  <si>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</si>
  <si>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</si>
  <si>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</si>
  <si>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</si>
  <si>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</si>
  <si>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</si>
  <si>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</si>
  <si>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</si>
  <si>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</si>
  <si>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</si>
  <si>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</si>
  <si>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</si>
  <si>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</si>
  <si>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</si>
  <si>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</si>
  <si>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</si>
  <si>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</si>
  <si>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</si>
  <si>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</si>
  <si>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</si>
  <si>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</si>
  <si>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</si>
  <si>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</si>
  <si>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</si>
  <si>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</si>
  <si>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</si>
  <si>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</si>
  <si>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</si>
  <si>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</si>
  <si>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</si>
  <si>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</si>
  <si>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</si>
  <si>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</si>
  <si>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</si>
  <si>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</si>
  <si>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</si>
  <si>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</si>
  <si>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</si>
  <si>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</si>
  <si>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</si>
  <si>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</si>
  <si>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</si>
  <si>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</si>
  <si>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</si>
  <si>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</si>
  <si>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</si>
  <si>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</si>
  <si>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</si>
  <si>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</si>
  <si>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</si>
  <si>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</si>
  <si>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</si>
  <si>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</si>
  <si>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</si>
  <si>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</si>
  <si>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</si>
  <si>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</si>
  <si>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</si>
  <si>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</si>
  <si>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</si>
  <si>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</si>
  <si>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</si>
  <si>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</si>
  <si>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</si>
  <si>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</si>
  <si>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</si>
  <si>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</si>
  <si>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</si>
  <si>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</si>
  <si>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</si>
  <si>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</si>
  <si>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</si>
  <si>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</si>
  <si>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</si>
  <si>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</si>
  <si>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</si>
  <si>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</si>
  <si>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</si>
  <si>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</si>
  <si>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</si>
  <si>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</si>
  <si>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</si>
  <si>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</si>
  <si>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</si>
  <si>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</si>
  <si>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</si>
  <si>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</si>
  <si>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</si>
  <si>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</si>
  <si>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</si>
  <si>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</si>
  <si>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</si>
  <si>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</si>
  <si>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</si>
  <si>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</si>
  <si>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</si>
  <si>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</si>
  <si>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</si>
  <si>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</si>
  <si>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</si>
  <si>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</si>
  <si>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</si>
  <si>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</si>
  <si>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</si>
  <si>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</si>
  <si>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</si>
  <si>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</si>
  <si>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</si>
  <si>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</si>
  <si>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</si>
  <si>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</si>
  <si>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</si>
  <si>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</si>
  <si>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</si>
  <si>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</si>
  <si>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</si>
  <si>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</si>
  <si>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</si>
  <si>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</si>
  <si>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</si>
  <si>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</si>
  <si>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</si>
  <si>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</si>
  <si>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</si>
  <si>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</si>
  <si>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</si>
  <si>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</si>
  <si>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</si>
  <si>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</si>
  <si>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</si>
  <si>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</si>
  <si>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</si>
  <si>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</si>
  <si>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</si>
  <si>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</si>
  <si>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</si>
  <si>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</si>
  <si>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</si>
  <si>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</si>
  <si>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</si>
  <si>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</si>
  <si>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</si>
  <si>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</si>
  <si>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</si>
  <si>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</si>
  <si>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</si>
  <si>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</si>
  <si>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</si>
  <si>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</si>
  <si>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</si>
  <si>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</si>
  <si>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</si>
  <si>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</si>
  <si>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</si>
  <si>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</si>
  <si>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</si>
  <si>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</si>
  <si>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</si>
  <si>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</si>
  <si>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</si>
  <si>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</si>
  <si>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</si>
  <si>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</si>
  <si>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</si>
  <si>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</si>
  <si>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</si>
  <si>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</si>
  <si>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</si>
  <si>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</si>
  <si>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</si>
  <si>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</si>
  <si>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</si>
  <si>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</si>
  <si>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</si>
  <si>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</si>
  <si>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</si>
  <si>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</si>
  <si>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</si>
  <si>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</si>
  <si>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</si>
  <si>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</si>
  <si>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</si>
  <si>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</si>
  <si>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</si>
  <si>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</si>
  <si>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</si>
  <si>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</si>
  <si>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</si>
  <si>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</si>
  <si>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</si>
  <si>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</si>
  <si>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</si>
  <si>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</si>
  <si>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</si>
  <si>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</si>
  <si>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</si>
  <si>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</si>
  <si>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</si>
  <si>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</si>
  <si>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</si>
  <si>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</si>
  <si>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</si>
  <si>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</si>
  <si>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</si>
  <si>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</si>
  <si>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</si>
  <si>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</si>
  <si>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</si>
  <si>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</si>
  <si>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</si>
  <si>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</si>
  <si>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</si>
  <si>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</si>
  <si>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</si>
  <si>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</si>
  <si>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</si>
  <si>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</si>
  <si>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</si>
  <si>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</si>
  <si>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</si>
  <si>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</si>
  <si>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</si>
  <si>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</si>
  <si>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</si>
  <si>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</si>
  <si>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</si>
  <si>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</si>
  <si>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</si>
  <si>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</si>
  <si>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</si>
  <si>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</si>
  <si>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</si>
  <si>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</si>
  <si>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</si>
  <si>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</si>
  <si>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</si>
  <si>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</si>
  <si>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</si>
  <si>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</si>
  <si>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</si>
  <si>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</si>
  <si>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</si>
  <si>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</si>
  <si>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</si>
  <si>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</si>
  <si>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</si>
  <si>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</si>
  <si>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</si>
  <si>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</si>
  <si>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</si>
  <si>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</si>
  <si>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</si>
  <si>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</si>
  <si>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</si>
  <si>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</si>
  <si>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</si>
  <si>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</si>
  <si>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</si>
  <si>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</si>
  <si>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</si>
  <si>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</si>
  <si>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</si>
  <si>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</si>
  <si>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</si>
  <si>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</si>
  <si>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</si>
  <si>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</si>
  <si>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</si>
  <si>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</si>
  <si>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</si>
  <si>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</si>
  <si>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</si>
  <si>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</si>
  <si>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</si>
  <si>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</si>
  <si>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</si>
  <si>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</si>
  <si>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</si>
  <si>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</si>
  <si>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</si>
  <si>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</si>
  <si>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</si>
  <si>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</si>
  <si>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</si>
  <si>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</si>
  <si>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</si>
  <si>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</si>
  <si>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</si>
  <si>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</si>
  <si>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</si>
  <si>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</si>
  <si>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</si>
  <si>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</si>
  <si>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</si>
  <si>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</si>
  <si>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</si>
  <si>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</si>
  <si>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</si>
  <si>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</si>
  <si>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</si>
  <si>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</si>
  <si>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</si>
  <si>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</si>
  <si>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</si>
  <si>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</si>
  <si>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</si>
  <si>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</si>
  <si>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</si>
  <si>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</si>
  <si>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</si>
  <si>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</si>
  <si>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</si>
  <si>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</si>
  <si>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</si>
  <si>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</si>
  <si>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</si>
  <si>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</si>
  <si>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</si>
  <si>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</si>
  <si>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</si>
  <si>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</si>
  <si>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</si>
  <si>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</si>
  <si>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</si>
  <si>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</si>
  <si>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</si>
  <si>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</si>
  <si>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</si>
  <si>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</si>
  <si>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</si>
  <si>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</si>
  <si>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</si>
  <si>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</si>
  <si>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</si>
  <si>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</si>
  <si>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</si>
  <si>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</si>
  <si>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</si>
  <si>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</si>
  <si>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</si>
  <si>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</si>
  <si>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</si>
  <si>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</si>
  <si>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</si>
  <si>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</si>
  <si>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</si>
  <si>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</si>
  <si>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</si>
  <si>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</si>
  <si>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</si>
  <si>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</si>
  <si>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</si>
  <si>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</si>
  <si>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</si>
  <si>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</si>
  <si>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</si>
  <si>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</si>
  <si>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</si>
  <si>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</si>
  <si>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</si>
  <si>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</si>
  <si>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</si>
  <si>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</si>
  <si>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</si>
  <si>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</si>
  <si>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</si>
  <si>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</si>
  <si>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</si>
  <si>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</si>
  <si>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</si>
  <si>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</si>
  <si>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</si>
  <si>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</si>
  <si>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</si>
  <si>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</si>
  <si>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</si>
  <si>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</si>
  <si>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</si>
  <si>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</si>
  <si>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</si>
  <si>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</si>
  <si>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</si>
  <si>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</si>
  <si>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</si>
  <si>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</si>
  <si>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</si>
  <si>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</si>
  <si>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</si>
  <si>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</si>
  <si>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</si>
  <si>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</si>
  <si>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</si>
  <si>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</si>
  <si>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</si>
  <si>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</si>
  <si>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</si>
  <si>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</si>
  <si>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</si>
  <si>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</si>
  <si>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</si>
  <si>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</si>
  <si>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</si>
  <si>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</si>
  <si>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</si>
  <si>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</si>
  <si>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</si>
  <si>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</si>
  <si>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</si>
  <si>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</si>
  <si>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</si>
  <si>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</si>
  <si>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</si>
  <si>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</si>
  <si>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</si>
  <si>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</si>
  <si>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</si>
  <si>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</si>
  <si>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</si>
  <si>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</si>
  <si>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</si>
  <si>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</si>
  <si>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</si>
  <si>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</si>
  <si>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</si>
  <si>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</si>
  <si>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</si>
  <si>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</si>
  <si>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</si>
  <si>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</si>
  <si>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</si>
  <si>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</si>
  <si>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</si>
  <si>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</si>
  <si>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</si>
  <si>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</si>
  <si>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</si>
  <si>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</si>
  <si>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</si>
  <si>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</si>
  <si>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</si>
  <si>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</si>
  <si>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</si>
  <si>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</si>
  <si>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</si>
  <si>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</si>
  <si>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</si>
  <si>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</si>
  <si>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</si>
  <si>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</si>
  <si>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</si>
  <si>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</si>
  <si>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</si>
  <si>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</si>
  <si>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</si>
  <si>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</si>
  <si>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</si>
  <si>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</si>
  <si>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</si>
  <si>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</si>
  <si>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</si>
  <si>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</si>
  <si>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</si>
  <si>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</si>
  <si>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</si>
  <si>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</si>
  <si>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</si>
  <si>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</si>
  <si>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</si>
  <si>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</si>
  <si>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</si>
  <si>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</si>
  <si>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</si>
  <si>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</si>
  <si>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</si>
  <si>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</si>
  <si>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</si>
  <si>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</si>
  <si>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</si>
  <si>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</si>
  <si>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</si>
  <si>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</si>
  <si>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</si>
  <si>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</si>
  <si>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</si>
  <si>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</si>
  <si>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</si>
  <si>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</si>
  <si>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</si>
  <si>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</si>
  <si>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</si>
  <si>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</si>
  <si>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</si>
  <si>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</si>
  <si>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</si>
  <si>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</si>
  <si>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</si>
  <si>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</si>
  <si>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</si>
  <si>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</si>
  <si>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</si>
  <si>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</si>
  <si>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</si>
  <si>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</si>
  <si>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</si>
  <si>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</si>
  <si>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</si>
  <si>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</si>
  <si>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</si>
  <si>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</si>
  <si>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</si>
  <si>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</si>
  <si>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</si>
  <si>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</si>
  <si>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</si>
  <si>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</si>
  <si>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</si>
  <si>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</si>
  <si>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</si>
  <si>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</si>
  <si>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</si>
  <si>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</si>
  <si>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</si>
  <si>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</si>
  <si>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</si>
  <si>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</si>
  <si>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</si>
  <si>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</si>
  <si>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</si>
  <si>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</si>
  <si>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</si>
  <si>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</si>
  <si>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</si>
  <si>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</si>
  <si>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</si>
  <si>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</si>
  <si>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</si>
  <si>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</si>
  <si>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</si>
  <si>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</si>
  <si>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</si>
  <si>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</si>
  <si>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</si>
  <si>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</si>
  <si>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</si>
  <si>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</si>
  <si>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</si>
  <si>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</si>
  <si>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</si>
  <si>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</si>
  <si>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</si>
  <si>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</si>
  <si>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</si>
  <si>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</si>
  <si>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</si>
  <si>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</si>
  <si>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</si>
  <si>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</si>
  <si>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</si>
  <si>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</si>
  <si>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</si>
  <si>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</si>
  <si>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</si>
  <si>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</si>
  <si>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</si>
  <si>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</si>
  <si>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</si>
  <si>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</si>
  <si>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</si>
  <si>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</si>
  <si>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</si>
  <si>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</si>
  <si>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</si>
  <si>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</si>
  <si>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</si>
  <si>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</si>
  <si>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</si>
  <si>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</si>
  <si>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</si>
  <si>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</si>
  <si>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</si>
  <si>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</si>
  <si>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</si>
  <si>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</si>
  <si>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</si>
  <si>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</si>
  <si>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</si>
  <si>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</si>
  <si>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</si>
  <si>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</si>
  <si>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</si>
  <si>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</si>
  <si>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</si>
  <si>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</si>
  <si>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</si>
  <si>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</si>
  <si>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</si>
  <si>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</si>
  <si>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</si>
  <si>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</si>
  <si>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</si>
  <si>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</si>
  <si>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</si>
  <si>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</si>
  <si>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</si>
  <si>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</si>
  <si>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</si>
  <si>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</si>
  <si>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</si>
  <si>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</si>
  <si>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</si>
  <si>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</si>
  <si>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</si>
  <si>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</si>
  <si>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</si>
  <si>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</si>
  <si>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</si>
  <si>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</si>
  <si>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</si>
  <si>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</si>
  <si>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</si>
  <si>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</si>
  <si>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</si>
  <si>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</si>
  <si>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</si>
  <si>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</si>
  <si>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</si>
  <si>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</si>
  <si>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</si>
  <si>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</si>
  <si>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</si>
  <si>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</si>
  <si>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</si>
  <si>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</si>
  <si>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</si>
  <si>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</si>
  <si>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</si>
  <si>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</si>
  <si>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</si>
  <si>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</si>
  <si>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</si>
  <si>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</si>
  <si>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</si>
  <si>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</si>
  <si>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</si>
  <si>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</si>
  <si>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</si>
  <si>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</si>
  <si>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</si>
  <si>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</si>
  <si>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</si>
  <si>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</si>
  <si>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</si>
  <si>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</si>
  <si>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</si>
  <si>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</si>
  <si>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</si>
  <si>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</si>
  <si>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</si>
  <si>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</si>
  <si>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</si>
  <si>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</si>
  <si>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</si>
  <si>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</si>
  <si>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</si>
  <si>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</si>
  <si>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</si>
  <si>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</si>
  <si>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</si>
  <si>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</si>
  <si>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</si>
  <si>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</si>
  <si>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</si>
  <si>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</si>
  <si>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</si>
  <si>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</si>
  <si>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</si>
  <si>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</si>
  <si>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</si>
  <si>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</si>
  <si>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</si>
  <si>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</si>
  <si>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</si>
  <si>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</si>
  <si>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</si>
  <si>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</si>
  <si>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</si>
  <si>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</si>
  <si>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</si>
  <si>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</si>
  <si>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</si>
  <si>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</si>
  <si>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</si>
  <si>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</si>
  <si>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</si>
  <si>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</si>
  <si>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</si>
  <si>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</si>
  <si>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</si>
  <si>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</si>
  <si>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</si>
  <si>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</si>
  <si>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</si>
  <si>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</si>
  <si>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</si>
  <si>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</si>
  <si>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</si>
  <si>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</si>
  <si>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</si>
  <si>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</si>
  <si>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</si>
  <si>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</si>
  <si>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</si>
  <si>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</si>
  <si>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</si>
  <si>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</si>
  <si>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</si>
  <si>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</si>
  <si>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</si>
  <si>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</si>
  <si>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</si>
  <si>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</si>
  <si>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</si>
  <si>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</si>
  <si>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</si>
  <si>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</si>
  <si>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</si>
  <si>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</si>
  <si>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</si>
  <si>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</si>
  <si>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</si>
  <si>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</si>
  <si>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</si>
  <si>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</si>
  <si>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</si>
  <si>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</si>
  <si>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</si>
  <si>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</si>
  <si>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</si>
  <si>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</si>
  <si>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</si>
  <si>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</si>
  <si>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</si>
  <si>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</si>
  <si>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</si>
  <si>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</si>
  <si>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</si>
  <si>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</si>
  <si>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</si>
  <si>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</si>
  <si>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</si>
  <si>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</si>
  <si>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</si>
  <si>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</si>
  <si>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</si>
  <si>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</si>
  <si>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</si>
  <si>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</si>
  <si>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</si>
  <si>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</si>
  <si>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</si>
  <si>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</si>
  <si>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</si>
  <si>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</si>
  <si>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</si>
  <si>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</si>
  <si>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</si>
  <si>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</si>
  <si>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</si>
  <si>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</si>
  <si>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</si>
  <si>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</si>
  <si>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</si>
  <si>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</si>
  <si>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</si>
  <si>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</si>
  <si>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</si>
  <si>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</si>
  <si>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</si>
  <si>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</si>
  <si>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</si>
  <si>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</si>
  <si>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</si>
  <si>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</si>
  <si>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</si>
  <si>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</si>
  <si>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</si>
  <si>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</si>
  <si>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</si>
  <si>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</si>
  <si>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</si>
  <si>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</si>
  <si>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</si>
  <si>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</si>
  <si>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</si>
  <si>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</si>
  <si>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</si>
  <si>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</si>
  <si>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</si>
  <si>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</si>
  <si>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</si>
  <si>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</si>
  <si>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</si>
  <si>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</si>
  <si>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</si>
  <si>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</si>
  <si>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</si>
  <si>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</si>
  <si>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</si>
  <si>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</si>
  <si>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</si>
  <si>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</si>
  <si>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</si>
  <si>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</si>
  <si>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</si>
  <si>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</si>
  <si>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</si>
  <si>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</si>
  <si>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</si>
  <si>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</si>
  <si>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</si>
  <si>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</si>
  <si>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</si>
  <si>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</si>
  <si>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</si>
  <si>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</si>
  <si>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</si>
  <si>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</si>
  <si>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</si>
  <si>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</si>
  <si>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</si>
  <si>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</si>
  <si>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</si>
  <si>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</si>
  <si>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</si>
  <si>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</si>
  <si>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</si>
  <si>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</si>
  <si>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</si>
  <si>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</si>
  <si>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</si>
  <si>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</si>
  <si>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</si>
  <si>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</si>
  <si>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</si>
  <si>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</si>
  <si>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</si>
  <si>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</si>
  <si>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</si>
  <si>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</si>
  <si>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</si>
  <si>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</si>
  <si>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</si>
  <si>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</si>
  <si>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</si>
  <si>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</si>
  <si>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</si>
  <si>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</si>
  <si>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</si>
  <si>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</si>
  <si>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</si>
  <si>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</si>
  <si>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</si>
  <si>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</si>
  <si>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</si>
  <si>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</si>
  <si>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</si>
  <si>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</si>
  <si>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</si>
  <si>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</si>
  <si>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</si>
  <si>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</si>
  <si>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</si>
  <si>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</si>
  <si>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</si>
  <si>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</si>
  <si>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</si>
  <si>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</si>
  <si>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</si>
  <si>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</si>
  <si>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</si>
  <si>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</si>
  <si>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</si>
  <si>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</si>
  <si>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</si>
  <si>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</si>
  <si>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</si>
  <si>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</si>
  <si>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</si>
  <si>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</si>
  <si>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</si>
  <si>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</si>
  <si>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</si>
  <si>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</si>
  <si>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</si>
  <si>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</si>
  <si>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</si>
  <si>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</si>
  <si>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</si>
  <si>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</si>
  <si>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</si>
  <si>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</si>
  <si>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</si>
  <si>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</si>
  <si>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</si>
  <si>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</si>
  <si>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</si>
  <si>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</si>
  <si>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</si>
  <si>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</si>
  <si>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</si>
  <si>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</si>
  <si>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</si>
  <si>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</si>
  <si>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</si>
  <si>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</si>
  <si>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</si>
  <si>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</si>
  <si>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</si>
  <si>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</si>
  <si>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</si>
  <si>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</si>
  <si>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</si>
  <si>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</si>
  <si>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</si>
  <si>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</si>
  <si>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</si>
  <si>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</si>
  <si>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</si>
  <si>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</si>
  <si>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</si>
  <si>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</si>
  <si>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</si>
  <si>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</si>
  <si>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</si>
  <si>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</si>
  <si>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</si>
  <si>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</si>
  <si>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</si>
  <si>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</si>
  <si>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</si>
  <si>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</si>
  <si>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</si>
  <si>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</si>
  <si>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</si>
  <si>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</si>
  <si>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</si>
  <si>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</si>
  <si>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</si>
  <si>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</si>
  <si>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</si>
  <si>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</si>
  <si>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</si>
  <si>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</si>
  <si>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</si>
  <si>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</si>
  <si>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</si>
  <si>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</si>
  <si>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</si>
  <si>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</si>
  <si>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</si>
  <si>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</si>
  <si>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</si>
  <si>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</si>
  <si>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</si>
  <si>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</si>
  <si>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</si>
  <si>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</si>
  <si>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</si>
  <si>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</si>
  <si>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</si>
  <si>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</si>
  <si>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</si>
  <si>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</si>
  <si>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</si>
  <si>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</si>
  <si>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</si>
  <si>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</si>
  <si>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</si>
  <si>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</si>
  <si>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</si>
  <si>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</si>
  <si>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</si>
  <si>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</si>
  <si>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</si>
  <si>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</si>
  <si>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</si>
  <si>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</si>
  <si>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</si>
  <si>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</si>
  <si>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</si>
  <si>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</si>
  <si>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</si>
  <si>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</si>
  <si>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</si>
  <si>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</si>
  <si>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</si>
  <si>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</si>
  <si>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</si>
  <si>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</si>
  <si>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</si>
  <si>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</si>
  <si>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</si>
  <si>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</si>
  <si>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</si>
  <si>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</si>
  <si>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</si>
  <si>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</si>
  <si>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</si>
  <si>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</si>
  <si>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</si>
  <si>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</si>
  <si>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</si>
  <si>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</si>
  <si>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</si>
  <si>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</si>
  <si>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</si>
  <si>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</si>
  <si>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</si>
  <si>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</si>
  <si>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</si>
  <si>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</si>
  <si>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</si>
  <si>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</si>
  <si>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</si>
  <si>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</si>
  <si>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</si>
  <si>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</si>
  <si>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</si>
  <si>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</si>
  <si>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</si>
  <si>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</si>
  <si>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</si>
  <si>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</si>
  <si>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</si>
  <si>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</si>
  <si>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</si>
  <si>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</si>
  <si>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</si>
  <si>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</si>
  <si>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</si>
  <si>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</si>
  <si>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</si>
  <si>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</si>
  <si>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</si>
  <si>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</si>
  <si>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</si>
  <si>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</si>
  <si>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</si>
  <si>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</si>
  <si>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</si>
  <si>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</si>
  <si>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</si>
  <si>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</si>
  <si>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</si>
  <si>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</si>
  <si>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</si>
  <si>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</si>
  <si>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</si>
  <si>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</si>
  <si>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</si>
  <si>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</si>
  <si>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</si>
  <si>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</si>
  <si>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</si>
  <si>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</si>
  <si>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</si>
  <si>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</si>
  <si>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</si>
  <si>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</si>
  <si>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</si>
  <si>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</si>
  <si>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</si>
  <si>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</si>
  <si>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</si>
  <si>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</si>
  <si>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</si>
  <si>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</si>
  <si>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</si>
  <si>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</si>
  <si>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</si>
  <si>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</si>
  <si>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</si>
  <si>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</si>
  <si>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</si>
  <si>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</si>
  <si>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</si>
  <si>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</si>
  <si>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</si>
  <si>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</si>
  <si>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</si>
  <si>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</si>
  <si>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</si>
  <si>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</si>
  <si>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</si>
  <si>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</si>
  <si>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</si>
  <si>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</si>
  <si>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</si>
  <si>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</si>
  <si>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</si>
  <si>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</si>
  <si>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</si>
  <si>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</si>
  <si>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</si>
  <si>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</si>
  <si>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</si>
  <si>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</si>
  <si>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</si>
  <si>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</si>
  <si>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</si>
  <si>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</si>
  <si>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</si>
  <si>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</si>
  <si>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</si>
  <si>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</si>
  <si>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</si>
  <si>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</si>
  <si>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</si>
  <si>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</si>
  <si>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</si>
  <si>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</si>
  <si>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</si>
  <si>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</si>
  <si>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</si>
  <si>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</si>
  <si>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</si>
  <si>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</si>
  <si>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</si>
  <si>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</si>
  <si>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</si>
  <si>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</si>
  <si>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</si>
  <si>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</si>
  <si>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</si>
  <si>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</si>
  <si>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</si>
  <si>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</si>
  <si>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</si>
  <si>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</si>
  <si>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</si>
  <si>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</si>
  <si>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</si>
  <si>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</si>
  <si>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</si>
  <si>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</si>
  <si>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</si>
  <si>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</si>
  <si>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</si>
  <si>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</si>
  <si>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</si>
  <si>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</si>
  <si>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</si>
  <si>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</si>
  <si>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</si>
  <si>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</si>
  <si>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</si>
  <si>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</si>
  <si>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</si>
  <si>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</si>
  <si>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</si>
  <si>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</si>
  <si>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</si>
  <si>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</si>
  <si>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</si>
  <si>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</si>
  <si>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</si>
  <si>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</si>
  <si>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</si>
  <si>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</si>
  <si>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</si>
  <si>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</si>
  <si>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</si>
  <si>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</si>
  <si>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</si>
  <si>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</si>
  <si>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</si>
  <si>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</si>
  <si>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</si>
  <si>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</si>
  <si>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</si>
  <si>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CAD</t>
  </si>
  <si>
    <t>בנק דיסקונט</t>
  </si>
  <si>
    <t>11-10</t>
  </si>
  <si>
    <t>EUR</t>
  </si>
  <si>
    <t>בנק מזרחי</t>
  </si>
  <si>
    <t>20-21</t>
  </si>
  <si>
    <t>ILS</t>
  </si>
  <si>
    <t>בנק לאומי</t>
  </si>
  <si>
    <t>10-800</t>
  </si>
  <si>
    <t>DKK</t>
  </si>
  <si>
    <t>USD</t>
  </si>
  <si>
    <t>AUD</t>
  </si>
  <si>
    <t>JPY</t>
  </si>
  <si>
    <t>GBP</t>
  </si>
  <si>
    <t>CHF</t>
  </si>
  <si>
    <t>יו-בנק</t>
  </si>
  <si>
    <t>26-273</t>
  </si>
  <si>
    <t>ממשלת ישראל</t>
  </si>
  <si>
    <t>ממשלתי שקלי 347</t>
  </si>
  <si>
    <t>IL0011401937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</si>
  <si>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</si>
  <si>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</si>
  <si>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</si>
  <si>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</si>
  <si>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</si>
  <si>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</si>
  <si>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</si>
  <si>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</si>
  <si>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</si>
  <si>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</si>
  <si>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</si>
  <si>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</si>
  <si>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</si>
  <si>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</si>
  <si>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</si>
  <si>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</si>
  <si>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</si>
  <si>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0327</t>
  </si>
  <si>
    <t>IL0011393449</t>
  </si>
  <si>
    <t>ממשלתי שקלי 1152</t>
  </si>
  <si>
    <t>IL0011840761</t>
  </si>
  <si>
    <t>ממשל צמודה 1131</t>
  </si>
  <si>
    <t>IL0011722209</t>
  </si>
  <si>
    <t>ממשלתי שקלי 1026</t>
  </si>
  <si>
    <t>IL0010994569</t>
  </si>
  <si>
    <t>ממשלתי צמוד 0536</t>
  </si>
  <si>
    <t>IL0010977085</t>
  </si>
  <si>
    <t>ממשלתי צמוד  1151</t>
  </si>
  <si>
    <t>IL0011683013</t>
  </si>
  <si>
    <t>ממשלתי שקלי 142</t>
  </si>
  <si>
    <t>IL0011254005</t>
  </si>
  <si>
    <t>ממשל שקלית 0537</t>
  </si>
  <si>
    <t>IL0011661803</t>
  </si>
  <si>
    <t>מקמ 1015</t>
  </si>
  <si>
    <t>IL0082510194</t>
  </si>
  <si>
    <t>ISRAEL 4 1/2 01/43</t>
  </si>
  <si>
    <t>US4651387N91</t>
  </si>
  <si>
    <t>Baa1</t>
  </si>
  <si>
    <t>US Government</t>
  </si>
  <si>
    <t>B 0 07/01/25 (P)</t>
  </si>
  <si>
    <t>US912797PU59</t>
  </si>
  <si>
    <t>Aa1</t>
  </si>
  <si>
    <t>B 09/25/25</t>
  </si>
  <si>
    <t>US912797PY71</t>
  </si>
  <si>
    <t>ISRAEL 2.75 07/03/30</t>
  </si>
  <si>
    <t>US46513JB346</t>
  </si>
  <si>
    <t>B 0 08/21/25   (p)</t>
  </si>
  <si>
    <t>US912797PP64</t>
  </si>
  <si>
    <t>מזרחי טפחות הנפקות</t>
  </si>
  <si>
    <t>מזרחי טפחות  הנפקות 49</t>
  </si>
  <si>
    <t>IL0023102820</t>
  </si>
  <si>
    <t>פועלים התח נד ה</t>
  </si>
  <si>
    <t>IL0066204624</t>
  </si>
  <si>
    <t>ilAA-</t>
  </si>
  <si>
    <t>מזרחי טפ הנ אגח 68</t>
  </si>
  <si>
    <t>IL0012021429</t>
  </si>
  <si>
    <t>חברת החשמל לישראל בע"מ</t>
  </si>
  <si>
    <t>חשמל 31</t>
  </si>
  <si>
    <t>IL0060002859</t>
  </si>
  <si>
    <t>הראל ביטוח מימון והנפקות בע"מ</t>
  </si>
  <si>
    <t>הראל שטר הון נדחה יג 2029 3.95%</t>
  </si>
  <si>
    <t>IL0011381717</t>
  </si>
  <si>
    <t>Aa3.il</t>
  </si>
  <si>
    <t>לאומי</t>
  </si>
  <si>
    <t>לאומי מימון 179</t>
  </si>
  <si>
    <t>IL0060403727</t>
  </si>
  <si>
    <t>דיסקונט מנפיקים בע"מ</t>
  </si>
  <si>
    <t>דיסקונט מנפיקים טז</t>
  </si>
  <si>
    <t>IL0012031576</t>
  </si>
  <si>
    <t>מימון ישיר</t>
  </si>
  <si>
    <t>מימון ישיר קבוצה ו</t>
  </si>
  <si>
    <t>IL0011916595</t>
  </si>
  <si>
    <t>A1.il</t>
  </si>
  <si>
    <t>פועלים 200</t>
  </si>
  <si>
    <t>IL0066204962</t>
  </si>
  <si>
    <t>Aaa.il</t>
  </si>
  <si>
    <t>חשמל 35</t>
  </si>
  <si>
    <t>IL0011967994</t>
  </si>
  <si>
    <t>פועלים אגח 201</t>
  </si>
  <si>
    <t>IL0011913451</t>
  </si>
  <si>
    <t>דיסקונט מנפיקים אגח טו</t>
  </si>
  <si>
    <t>IL0074803045</t>
  </si>
  <si>
    <t>מזרחי טפחות הנפקות 46</t>
  </si>
  <si>
    <t>IL0023102259</t>
  </si>
  <si>
    <t>לאומי 183</t>
  </si>
  <si>
    <t>IL0060405474</t>
  </si>
  <si>
    <t>הראל הנפק אגח י</t>
  </si>
  <si>
    <t>IL0011340481</t>
  </si>
  <si>
    <t>קבוצת עזריאלי בע"מ</t>
  </si>
  <si>
    <t>עזריאלי אגח ט</t>
  </si>
  <si>
    <t>IL0012092537</t>
  </si>
  <si>
    <t>Aa1.il</t>
  </si>
  <si>
    <t>עזריאלי אגח ה</t>
  </si>
  <si>
    <t>IL0011566036</t>
  </si>
  <si>
    <t>מז טפ הנ אגח 66</t>
  </si>
  <si>
    <t>IL0011916678</t>
  </si>
  <si>
    <t>איידיאיי הנפקות</t>
  </si>
  <si>
    <t>אידיאי הנפקות שטר הון נדחה ה 3.27% 15.11.25 רובד2</t>
  </si>
  <si>
    <t>IL0011558785</t>
  </si>
  <si>
    <t>A2.il</t>
  </si>
  <si>
    <t>הפניקס גיוסי הון (2009) בע"מ</t>
  </si>
  <si>
    <t>פניקס הון אגח ה</t>
  </si>
  <si>
    <t>IL0011354177</t>
  </si>
  <si>
    <t>Aa2.il</t>
  </si>
  <si>
    <t>דליה חברות אנרגיה בע"מ</t>
  </si>
  <si>
    <t>דליה אגח א</t>
  </si>
  <si>
    <t>IL0011849515</t>
  </si>
  <si>
    <t>A3.il</t>
  </si>
  <si>
    <t>פועלים  אגח 202</t>
  </si>
  <si>
    <t>IL0011998502</t>
  </si>
  <si>
    <t>עזריאלי   אגח ד</t>
  </si>
  <si>
    <t>IL0011386500</t>
  </si>
  <si>
    <t>מז טפ הנ אגח 67</t>
  </si>
  <si>
    <t>IL0011968075</t>
  </si>
  <si>
    <t>חשמל 34</t>
  </si>
  <si>
    <t>IL0011967812</t>
  </si>
  <si>
    <t>לאומי 186</t>
  </si>
  <si>
    <t>IL0012018391</t>
  </si>
  <si>
    <t>מזרחי  טפחות הנפקות  52</t>
  </si>
  <si>
    <t>IL0023103810</t>
  </si>
  <si>
    <t>תשתיות אנרגיה בע"מ</t>
  </si>
  <si>
    <t>תשתיות אנרגיה אג"ח ב'</t>
  </si>
  <si>
    <t>IL001211515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</si>
  <si>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</si>
  <si>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</si>
  <si>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</si>
  <si>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</si>
  <si>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</si>
  <si>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פועלים התח נד ז</t>
  </si>
  <si>
    <t>IL0011913295</t>
  </si>
  <si>
    <t>חשמל אגח 27</t>
  </si>
  <si>
    <t>IL0060002107</t>
  </si>
  <si>
    <t>בינלאומי הנפקות</t>
  </si>
  <si>
    <t>בינל הנפק אגח י</t>
  </si>
  <si>
    <t>IL0011602906</t>
  </si>
  <si>
    <t>מקורות סדרה 10</t>
  </si>
  <si>
    <t>IL0011584682</t>
  </si>
  <si>
    <t>נתיבי הגז הטבעי לישראל בע"מ</t>
  </si>
  <si>
    <t>נתיבי גז אגח ד</t>
  </si>
  <si>
    <t>IL0011475030</t>
  </si>
  <si>
    <t>הפחתה בגין קניה בהנפקה מימון ישיר ו 12.9.23</t>
  </si>
  <si>
    <t>חשמל אגח 33</t>
  </si>
  <si>
    <t>IL0060003923</t>
  </si>
  <si>
    <t>הראל הנפק אגח ט</t>
  </si>
  <si>
    <t>IL0011340309</t>
  </si>
  <si>
    <t>מזרחי טפחות הנפקות אגח 62</t>
  </si>
  <si>
    <t>IL0023104982</t>
  </si>
  <si>
    <t>פועלים אגח 203</t>
  </si>
  <si>
    <t>IL0011998684</t>
  </si>
  <si>
    <t>Verisign</t>
  </si>
  <si>
    <t>LMPL4N8ZOJRMF0KOF759</t>
  </si>
  <si>
    <t>VRSN 2.7 06/15/31</t>
  </si>
  <si>
    <t>US92343EAM49</t>
  </si>
  <si>
    <t>Baa3</t>
  </si>
  <si>
    <t>ISRAEL ELECTRIC 8.1% 2096</t>
  </si>
  <si>
    <t>USM60170AC79</t>
  </si>
  <si>
    <t>Baa2</t>
  </si>
  <si>
    <t>HF SINCLAIR CORP</t>
  </si>
  <si>
    <t>98840072S6T63E2V1291</t>
  </si>
  <si>
    <t>DINO 4 1/2 10/01/30</t>
  </si>
  <si>
    <t>US403949AC48</t>
  </si>
  <si>
    <t>BBB-</t>
  </si>
  <si>
    <t>Juniper Networks Inc.</t>
  </si>
  <si>
    <t>AUHIXNGG7U2U7JEHM527</t>
  </si>
  <si>
    <t>JNPR 2 12/10/30 COR</t>
  </si>
  <si>
    <t>US48203RAP91</t>
  </si>
  <si>
    <t>Wipro IT Services</t>
  </si>
  <si>
    <t>335800IFS1IJHESG8362</t>
  </si>
  <si>
    <t>WPROIN 1.5 06/23/26</t>
  </si>
  <si>
    <t>USU9841MAA00</t>
  </si>
  <si>
    <t>A-</t>
  </si>
  <si>
    <t>Micron Technology Inc</t>
  </si>
  <si>
    <t>B3DXGBC8GAIYWI2Z0172</t>
  </si>
  <si>
    <t>MU 5 7.8 09.15.33</t>
  </si>
  <si>
    <t>US595112CB74</t>
  </si>
  <si>
    <t>GENERAL MOTORS</t>
  </si>
  <si>
    <t>54930070NSV60J38I987</t>
  </si>
  <si>
    <t>GM 4.2 01.10.27</t>
  </si>
  <si>
    <t>US37045VAN01</t>
  </si>
  <si>
    <t>D.R. Horton Inc</t>
  </si>
  <si>
    <t>529900ZIUEYVSB8QDD25</t>
  </si>
  <si>
    <t>DHI 5 10/15/34</t>
  </si>
  <si>
    <t>US23331ABS78</t>
  </si>
  <si>
    <t>HYUNDAI CAPITAL AMERICA</t>
  </si>
  <si>
    <t>9884004RQX8PRBXQ8S60</t>
  </si>
  <si>
    <t>HYNMTR 5.35% 03/19/29</t>
  </si>
  <si>
    <t>US44891CCY75</t>
  </si>
  <si>
    <t>VRSN 5 ¼ 06/01/32</t>
  </si>
  <si>
    <t>US92343EAQ52</t>
  </si>
  <si>
    <t>Tapestry</t>
  </si>
  <si>
    <t>549300LJNVY5SW3VTN33</t>
  </si>
  <si>
    <t>TPR 4 1/8 07/15/27</t>
  </si>
  <si>
    <t>US189754AC88</t>
  </si>
  <si>
    <t>BBB</t>
  </si>
  <si>
    <t>valero energy corp</t>
  </si>
  <si>
    <t>549300XTO5VR8SKV1V74</t>
  </si>
  <si>
    <t>VLO 5.15 02/15/30</t>
  </si>
  <si>
    <t>US91913YBF60</t>
  </si>
  <si>
    <t>TPR 3.05 03/15/32</t>
  </si>
  <si>
    <t>US876030AA54</t>
  </si>
  <si>
    <t>7.75% I.ELECTRIC 12/27</t>
  </si>
  <si>
    <t>US46507WAB63</t>
  </si>
  <si>
    <t>Hong Kong Airport Authority</t>
  </si>
  <si>
    <t>549300DSMAD69T7GGN13</t>
  </si>
  <si>
    <t>HKAA 2.4 PERP</t>
  </si>
  <si>
    <t>XS2264055182</t>
  </si>
  <si>
    <t>AA</t>
  </si>
  <si>
    <t>H&amp;R Block</t>
  </si>
  <si>
    <t>549300CE3KUCWLZBG404</t>
  </si>
  <si>
    <t>HRB 3.875 08/15/30</t>
  </si>
  <si>
    <t>US093662AH70</t>
  </si>
  <si>
    <t>POSCO</t>
  </si>
  <si>
    <t>988400E5HRVX81AYLM04</t>
  </si>
  <si>
    <t>POHANG 5.75 01/17/28</t>
  </si>
  <si>
    <t>USY7S272AG74</t>
  </si>
  <si>
    <t>Alibaba Group Holding</t>
  </si>
  <si>
    <t>5493001NTNQJDH60PM02</t>
  </si>
  <si>
    <t>BABA 5 1/4 05/26/35 REGS</t>
  </si>
  <si>
    <t>USG01719AM89</t>
  </si>
  <si>
    <t>A+</t>
  </si>
  <si>
    <t>Kyndryl Holdings, Inc.</t>
  </si>
  <si>
    <t>549300LQ4LWX2R8ZV130</t>
  </si>
  <si>
    <t>KD 6.35 02/20/34</t>
  </si>
  <si>
    <t>US50155QAN07</t>
  </si>
  <si>
    <t>Pershing Square Holdings</t>
  </si>
  <si>
    <t>G67KJ524WPCAX4V2X190</t>
  </si>
  <si>
    <t>PSHNA 3.25 10/01/31</t>
  </si>
  <si>
    <t>XS2392997172</t>
  </si>
  <si>
    <t>BBB+</t>
  </si>
  <si>
    <t>Lenovo</t>
  </si>
  <si>
    <t>254900VUZRGD5U73RE46</t>
  </si>
  <si>
    <t>Lenovo 3.421 11/02/30</t>
  </si>
  <si>
    <t>USY5257YAJ65</t>
  </si>
  <si>
    <t>Expedia group</t>
  </si>
  <si>
    <t>549300IMO4B4W5RWYH14</t>
  </si>
  <si>
    <t>EXPE 2.95 03/15/31</t>
  </si>
  <si>
    <t>US30212PBH73</t>
  </si>
  <si>
    <t>פרטנר</t>
  </si>
  <si>
    <t>IL0010834849</t>
  </si>
  <si>
    <t>טאואר</t>
  </si>
  <si>
    <t>IL0010823792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</si>
  <si>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</si>
  <si>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</si>
  <si>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</si>
  <si>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</si>
  <si>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</si>
  <si>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</si>
  <si>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דלק קידוחים</t>
  </si>
  <si>
    <t>ניו-מד אנרג יהש</t>
  </si>
  <si>
    <t>IL0004750209</t>
  </si>
  <si>
    <t>דיסקונט א</t>
  </si>
  <si>
    <t>IL0006912120</t>
  </si>
  <si>
    <t>אנלייט אנרגיה</t>
  </si>
  <si>
    <t>IL0007200111</t>
  </si>
  <si>
    <t>עזריאלי קבוצה</t>
  </si>
  <si>
    <t>IL0011194789</t>
  </si>
  <si>
    <t>זפירוס ווינג אנרג'יס בע"מ</t>
  </si>
  <si>
    <t>זפירוס</t>
  </si>
  <si>
    <t>IL0011946956</t>
  </si>
  <si>
    <t>רציו חיפושי נפט</t>
  </si>
  <si>
    <t>רציו יהש</t>
  </si>
  <si>
    <t>IL0003940157</t>
  </si>
  <si>
    <t>קבוצת דלק בע"מ</t>
  </si>
  <si>
    <t>דלק קבוצה</t>
  </si>
  <si>
    <t>IL0010841281</t>
  </si>
  <si>
    <t>אורמת טכנולוגיות, אינק (דואלי)</t>
  </si>
  <si>
    <t>אורמת טכנולוגיות בע"מ</t>
  </si>
  <si>
    <t>US6866881021</t>
  </si>
  <si>
    <t>קבוצת אשטרום</t>
  </si>
  <si>
    <t>אשטרום קבוצה</t>
  </si>
  <si>
    <t>IL0011323156</t>
  </si>
  <si>
    <t>נייס</t>
  </si>
  <si>
    <t>IL0002730112</t>
  </si>
  <si>
    <t>ביג מרכזי קניות</t>
  </si>
  <si>
    <t>ביג</t>
  </si>
  <si>
    <t>IL0010972607</t>
  </si>
  <si>
    <t>אר פי אופטיקל לאב בע"מ</t>
  </si>
  <si>
    <t>אר פי אופטיקל</t>
  </si>
  <si>
    <t>IL0012224627</t>
  </si>
  <si>
    <t>שיכון ובינוי</t>
  </si>
  <si>
    <t>IL0010819428</t>
  </si>
  <si>
    <t>דמרי</t>
  </si>
  <si>
    <t>IL0010903156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</si>
  <si>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</si>
  <si>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</si>
  <si>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</si>
  <si>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</si>
  <si>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</si>
  <si>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</si>
  <si>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</si>
  <si>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</si>
  <si>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</si>
  <si>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</si>
  <si>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</si>
  <si>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</si>
  <si>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החברה לישראל</t>
  </si>
  <si>
    <t>חברה לישראל</t>
  </si>
  <si>
    <t>IL0005760173</t>
  </si>
  <si>
    <t>הראל השקעות</t>
  </si>
  <si>
    <t>IL0005850180</t>
  </si>
  <si>
    <t>בזק החברה הישראלית לתקשורת בע"מ</t>
  </si>
  <si>
    <t>בזק</t>
  </si>
  <si>
    <t>IL0002300114</t>
  </si>
  <si>
    <t>פועלים</t>
  </si>
  <si>
    <t>IL0006625771</t>
  </si>
  <si>
    <t>נאוויטס פטרוליום, שותפות מוגבלת</t>
  </si>
  <si>
    <t>נאוויטס פטר יהש</t>
  </si>
  <si>
    <t>IL0011419699</t>
  </si>
  <si>
    <t>בנק מזרחי טפחות בע"מ</t>
  </si>
  <si>
    <t>מזרחי טפחות</t>
  </si>
  <si>
    <t>IL0006954379</t>
  </si>
  <si>
    <t>מליסרון</t>
  </si>
  <si>
    <t>IL0003230146</t>
  </si>
  <si>
    <t>סלקום ישראל בע"מ</t>
  </si>
  <si>
    <t>סלקום</t>
  </si>
  <si>
    <t>IL0011015349</t>
  </si>
  <si>
    <t>כיל</t>
  </si>
  <si>
    <t>אי.סי. אל  -  כיל</t>
  </si>
  <si>
    <t>IL0002810146</t>
  </si>
  <si>
    <t>שטראוס גרופ</t>
  </si>
  <si>
    <t>שטראוס-עלית</t>
  </si>
  <si>
    <t>IL0007460160</t>
  </si>
  <si>
    <t>מנורה מבטחים החזקות</t>
  </si>
  <si>
    <t>IL0005660183</t>
  </si>
  <si>
    <t>אמות השקעות</t>
  </si>
  <si>
    <t>אמות</t>
  </si>
  <si>
    <t>IL0010972789</t>
  </si>
  <si>
    <t>ריט 1</t>
  </si>
  <si>
    <t>IL0010989205</t>
  </si>
  <si>
    <t>או פי סי אנרגיה</t>
  </si>
  <si>
    <t>IL0011415713</t>
  </si>
  <si>
    <t>פתאל החזקות</t>
  </si>
  <si>
    <t>IL0011434292</t>
  </si>
  <si>
    <t>כלל חברה לביטוח</t>
  </si>
  <si>
    <t>כלל עסקי ביטוח</t>
  </si>
  <si>
    <t>IL0002240146</t>
  </si>
  <si>
    <t>אלביט מערכות</t>
  </si>
  <si>
    <t>IL0010811243</t>
  </si>
  <si>
    <t>שופרסל</t>
  </si>
  <si>
    <t>IL0007770378</t>
  </si>
  <si>
    <t>IL0006046119</t>
  </si>
  <si>
    <t>אנרג'יאן נפט וגז פי אל סי</t>
  </si>
  <si>
    <t>אנרג'יאן</t>
  </si>
  <si>
    <t>GB00BG12Y042</t>
  </si>
  <si>
    <t>נובה מכשירי מדידה</t>
  </si>
  <si>
    <t>נובה</t>
  </si>
  <si>
    <t>IL0010845571</t>
  </si>
  <si>
    <t>ASML</t>
  </si>
  <si>
    <t>724500Y6DUVHQD6OXN27</t>
  </si>
  <si>
    <t>ASML NA - ASML Holding (P)</t>
  </si>
  <si>
    <t>NL0010273215</t>
  </si>
  <si>
    <t>ORA US (POALIM)</t>
  </si>
  <si>
    <t>Freeport Mcmoran</t>
  </si>
  <si>
    <t>549300IRDTHJQ1PVET45</t>
  </si>
  <si>
    <t>FCX - Freeport Mcmoran (p)</t>
  </si>
  <si>
    <t>US35671D8570</t>
  </si>
  <si>
    <t>camt-קמטק חול(poalim)</t>
  </si>
  <si>
    <t>GOLDMAN</t>
  </si>
  <si>
    <t>784F5XWPLTWKTBV3E584</t>
  </si>
  <si>
    <t>GS - Goldman Sachs (P)</t>
  </si>
  <si>
    <t>US38141G1040</t>
  </si>
  <si>
    <t>Lam Research Corp</t>
  </si>
  <si>
    <t>549300I4GMO6D34U1T02</t>
  </si>
  <si>
    <t>LRCX - Lam Research (P)</t>
  </si>
  <si>
    <t>US5128071082</t>
  </si>
  <si>
    <t>Teva US(poalim)</t>
  </si>
  <si>
    <t>US8816242098</t>
  </si>
  <si>
    <t>GOOGLE INC</t>
  </si>
  <si>
    <t>5493006MHB84DD0ZWV18</t>
  </si>
  <si>
    <t>GOOG- Alphabet (p)</t>
  </si>
  <si>
    <t>US02079K1079</t>
  </si>
  <si>
    <t>NVMI US (POALIM)</t>
  </si>
  <si>
    <t>InMode</t>
  </si>
  <si>
    <t>549300TTHIODYMGND828</t>
  </si>
  <si>
    <t>INMD - InMode   (POALIM)</t>
  </si>
  <si>
    <t>IL0011595993</t>
  </si>
  <si>
    <t>SOLAREDGE</t>
  </si>
  <si>
    <t>5493000K6Y58XXPDF853</t>
  </si>
  <si>
    <t>SEDG US ( POALIM)</t>
  </si>
  <si>
    <t>US83417M1045</t>
  </si>
  <si>
    <t>ENLIGHT RENEWABLE ENERGY LTD(poalim)</t>
  </si>
  <si>
    <t>TOWER TSEM US( POALIM)</t>
  </si>
  <si>
    <t>Vertiv</t>
  </si>
  <si>
    <t>549300KTTIRAOGXCRV69</t>
  </si>
  <si>
    <t>VRT - Vertiv Holding(P)</t>
  </si>
  <si>
    <t>US92537N1081</t>
  </si>
  <si>
    <t>META PLATFORMS INC</t>
  </si>
  <si>
    <t>BQ4BKCS1HXDV9HN80Z93</t>
  </si>
  <si>
    <t>META - Meta Platforms (P)</t>
  </si>
  <si>
    <t>US30303M1027</t>
  </si>
  <si>
    <t>Taiwan Semiconductor</t>
  </si>
  <si>
    <t>549300KB6NK5SBD14S87</t>
  </si>
  <si>
    <t>TSM - Taiwan Semiconductor (P)</t>
  </si>
  <si>
    <t>US8740391003</t>
  </si>
  <si>
    <t>NVIDIA Corporation</t>
  </si>
  <si>
    <t>549300S4KLFTLO7GSQ80</t>
  </si>
  <si>
    <t>NVDA - NVIDIA (P)</t>
  </si>
  <si>
    <t>US67066G1040</t>
  </si>
  <si>
    <t>NICE US ( poalim)</t>
  </si>
  <si>
    <t>US6536561086</t>
  </si>
  <si>
    <t>CHENIERE ENERGY INC</t>
  </si>
  <si>
    <t>MIHC87W9WTYSYZWV1J40</t>
  </si>
  <si>
    <t>LNG Cheniere Energy Inc  (P)</t>
  </si>
  <si>
    <t>US16411R2085</t>
  </si>
  <si>
    <t>TESLA INC</t>
  </si>
  <si>
    <t>54930043XZGB27CTOV49</t>
  </si>
  <si>
    <t>TSLA Tesla Inc (P)</t>
  </si>
  <si>
    <t>US88160R1014</t>
  </si>
  <si>
    <t>קסם קרנות נאמנות בע"מ</t>
  </si>
  <si>
    <t>קסם ETF תלבונד 20</t>
  </si>
  <si>
    <t>IL0011459604</t>
  </si>
  <si>
    <t>מגדל קרנות נאמנות בע"מ</t>
  </si>
  <si>
    <t>MTF סל (4A) ת"א 35</t>
  </si>
  <si>
    <t>IL0011501843</t>
  </si>
  <si>
    <t>MTF סל (00) תל בונד 20</t>
  </si>
  <si>
    <t>IL0011499881</t>
  </si>
  <si>
    <t>קסם ETF תא 35</t>
  </si>
  <si>
    <t>IL0011465700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</si>
  <si>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</si>
  <si>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</si>
  <si>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</si>
  <si>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</si>
  <si>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תא 35</t>
  </si>
  <si>
    <t>IL0011437006</t>
  </si>
  <si>
    <t>DWS</t>
  </si>
  <si>
    <t>7LTWFZYICNSX8D621K86</t>
  </si>
  <si>
    <t>XMEU  GR -  MSCI Europe (P)</t>
  </si>
  <si>
    <t>LU0274209237</t>
  </si>
  <si>
    <t>XD9U  LN -   MSCI USA (P)</t>
  </si>
  <si>
    <t>IE00BJ0KDR00</t>
  </si>
  <si>
    <t>State Street</t>
  </si>
  <si>
    <t>549300ZFEEJ2IP5VME73</t>
  </si>
  <si>
    <t>XLK  US -  Technology (P)</t>
  </si>
  <si>
    <t>US81369Y8030</t>
  </si>
  <si>
    <t>SWRD  LN -  MSCI World (P)</t>
  </si>
  <si>
    <t>IE00BFY0GT14</t>
  </si>
  <si>
    <t>XLC  US -  Communication Services (P)</t>
  </si>
  <si>
    <t>US81369Y8527</t>
  </si>
  <si>
    <t>XLY  US -  Consumer Discretionary (P)</t>
  </si>
  <si>
    <t>US81369Y4070</t>
  </si>
  <si>
    <t>VanEck</t>
  </si>
  <si>
    <t>549300MJTG2N9QRH7I02</t>
  </si>
  <si>
    <t>SMH- VanEck Semiconductor -POALIM</t>
  </si>
  <si>
    <t>US92189F6768</t>
  </si>
  <si>
    <t>INVESCO MARKETS PLC</t>
  </si>
  <si>
    <t>ECPGFXU8A2SHKVVGJI15</t>
  </si>
  <si>
    <t>MXWO  LN -  MSCI World (P)</t>
  </si>
  <si>
    <t>IE00B60SX394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</si>
  <si>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</si>
  <si>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</si>
  <si>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</si>
  <si>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</si>
  <si>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</si>
  <si>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</si>
  <si>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LYXOR INTL</t>
  </si>
  <si>
    <t>BCEHGB.99999.SL.442</t>
  </si>
  <si>
    <t>Europe SX600 Industrials (p) -IND FP</t>
  </si>
  <si>
    <t>LU1834987890</t>
  </si>
  <si>
    <t>ISHARES</t>
  </si>
  <si>
    <t>549300LRIF3NWCU26A80</t>
  </si>
  <si>
    <t>SDIG LN SHORT DUR CORP</t>
  </si>
  <si>
    <t>IE00BCRY5Y77</t>
  </si>
  <si>
    <t>INVESCO</t>
  </si>
  <si>
    <t>MUNI LN</t>
  </si>
  <si>
    <t>IE00BNG70R26</t>
  </si>
  <si>
    <t>UBS</t>
  </si>
  <si>
    <t>549300SZJ9VS8SGXAN81</t>
  </si>
  <si>
    <t>CBSEUD SW</t>
  </si>
  <si>
    <t>LU1484799926</t>
  </si>
  <si>
    <t>AMUNDI INVT SOLUTIONS</t>
  </si>
  <si>
    <t>549300FMBJ5S1PXQ2305</t>
  </si>
  <si>
    <t>CEU  FP -   MSCI EUROPE ESG (P)</t>
  </si>
  <si>
    <t>LU1681042609</t>
  </si>
  <si>
    <t>Tabula</t>
  </si>
  <si>
    <t>635400BK5J6GBMBFNG77</t>
  </si>
  <si>
    <t>TAHY LN - Asia USD HY</t>
  </si>
  <si>
    <t>IE000LZC9M0</t>
  </si>
  <si>
    <t>I500  NA -   S&amp;P 500 (P)</t>
  </si>
  <si>
    <t>IE00BMTX1Y45</t>
  </si>
  <si>
    <t>DEAM GY - MDAX (P)</t>
  </si>
  <si>
    <t>IE00BHJYDV33</t>
  </si>
  <si>
    <t>MUSD  NA -   MSCI USA (P)</t>
  </si>
  <si>
    <t>IE0002W8NB38</t>
  </si>
  <si>
    <t>FXI  US -  China Large (P)</t>
  </si>
  <si>
    <t>US4642871846</t>
  </si>
  <si>
    <t>SPXS  LN -  S&amp;P 500 (P)</t>
  </si>
  <si>
    <t>IE00B3YCGJ38</t>
  </si>
  <si>
    <t>XLF  US -  Financial (P)</t>
  </si>
  <si>
    <t>US81369Y6059</t>
  </si>
  <si>
    <t>XLU US (p)</t>
  </si>
  <si>
    <t>US81369Y8865</t>
  </si>
  <si>
    <t>XDJP  GR -  Nikkei 225 (P)</t>
  </si>
  <si>
    <t>LU0839027447</t>
  </si>
  <si>
    <t>SP5C  LN -   S&amp;P 500 (P)</t>
  </si>
  <si>
    <t>LU1135865084</t>
  </si>
  <si>
    <t>BNP PARIBAS</t>
  </si>
  <si>
    <t>R0MUWSFPU8MPRO8K5P83</t>
  </si>
  <si>
    <t>ESD  FP -  S&amp;P 500 (P)</t>
  </si>
  <si>
    <t>FR0011550177</t>
  </si>
  <si>
    <t>FIRST TRUST</t>
  </si>
  <si>
    <t>254900RHL9MEUS5NKX63</t>
  </si>
  <si>
    <t>GRID  US -   Grid Infrastructure (P)</t>
  </si>
  <si>
    <t>US33737A1088</t>
  </si>
  <si>
    <t>PPA - Invesco Aerospace &amp; Defense (p)</t>
  </si>
  <si>
    <t>US46137V1008</t>
  </si>
  <si>
    <t>Global X</t>
  </si>
  <si>
    <t>254900QBKK4WBSO3GE51</t>
  </si>
  <si>
    <t>HXT  CN -  Canada TSX 60 (P)</t>
  </si>
  <si>
    <t>CA37963M1086</t>
  </si>
  <si>
    <t>XSPU  LN -  S&amp;P 500 (P)</t>
  </si>
  <si>
    <t>LU0490618542</t>
  </si>
  <si>
    <t>U127  LN -  MSCI Emerging Markets (P)</t>
  </si>
  <si>
    <t>LU2573966905</t>
  </si>
  <si>
    <t>1306 JP -  TOPIX (P)</t>
  </si>
  <si>
    <t>JP3027630007</t>
  </si>
  <si>
    <t>XMUD  LN -   MSCI USA (P)</t>
  </si>
  <si>
    <t>LU0274210672</t>
  </si>
  <si>
    <t>Nomura Asset Management UK</t>
  </si>
  <si>
    <t>Nomura US HY</t>
  </si>
  <si>
    <t>IE00B3RW8498</t>
  </si>
  <si>
    <t>India Acorn ICAV</t>
  </si>
  <si>
    <t>213800MG9QHLSQHZYD08</t>
  </si>
  <si>
    <t>Ashoka Indian Opportunities</t>
  </si>
  <si>
    <t>IE00BH3N4915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</si>
  <si>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</si>
  <si>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</si>
  <si>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</si>
  <si>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</si>
  <si>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</si>
  <si>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</si>
  <si>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</si>
  <si>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</si>
  <si>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ARTEMIS</t>
  </si>
  <si>
    <t>549300CN3YT7REW82D41</t>
  </si>
  <si>
    <t>Artemis SmartGARP EM</t>
  </si>
  <si>
    <t>LU1846577242</t>
  </si>
  <si>
    <t>RAM (Lux) Systematic funds</t>
  </si>
  <si>
    <t>54930031J1R3XQN7ZR19</t>
  </si>
  <si>
    <t>RAM (Lux) Systematic EM</t>
  </si>
  <si>
    <t>LU1433244511</t>
  </si>
  <si>
    <t>Pinebridge</t>
  </si>
  <si>
    <t>549300KM5F6LSTMERC50</t>
  </si>
  <si>
    <t>PineBridge US IG</t>
  </si>
  <si>
    <t>IE00BD82R632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</si>
  <si>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</si>
  <si>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</si>
  <si>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</si>
  <si>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</si>
  <si>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</si>
  <si>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</si>
  <si>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Schroder Investment Management (Europe) S.A</t>
  </si>
  <si>
    <t>8AFAYMK90I2QVGLMLS34</t>
  </si>
  <si>
    <t>Schroders Euro HY Hedged USD</t>
  </si>
  <si>
    <t>LU2880861682</t>
  </si>
  <si>
    <t>Liontrust</t>
  </si>
  <si>
    <t>549300XVXU6S7PLCL855</t>
  </si>
  <si>
    <t>Liontrust European Dynamic</t>
  </si>
  <si>
    <t>GB00BKPQVT86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</si>
  <si>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</si>
  <si>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</si>
  <si>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</si>
  <si>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</si>
  <si>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</si>
  <si>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</si>
  <si>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</si>
  <si>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</si>
  <si>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</si>
  <si>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</si>
  <si>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</si>
  <si>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</si>
  <si>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</si>
  <si>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</si>
  <si>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</si>
  <si>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</si>
  <si>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</si>
  <si>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</si>
  <si>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</si>
  <si>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</si>
  <si>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HSBC Global Investment Funds</t>
  </si>
  <si>
    <t>2138009R2RHG7P8LL653</t>
  </si>
  <si>
    <t>HSBC IG Global Securitized Credit</t>
  </si>
  <si>
    <t>LU1194161839</t>
  </si>
  <si>
    <t>Threadneedle</t>
  </si>
  <si>
    <t>6ZLKQF7QB6JAEKQS5388</t>
  </si>
  <si>
    <t>Threadneedle US</t>
  </si>
  <si>
    <t>LU1859430891</t>
  </si>
  <si>
    <t>HSBC XC Global Securitized Credit</t>
  </si>
  <si>
    <t>LU1717580259</t>
  </si>
  <si>
    <t>HSBC HY Global Securitized Credit</t>
  </si>
  <si>
    <t>LU1194162217</t>
  </si>
  <si>
    <t>זפירוס אפ1</t>
  </si>
  <si>
    <t>IL0011947038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</si>
  <si>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</si>
  <si>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</si>
  <si>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</si>
  <si>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</si>
  <si>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</si>
  <si>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</si>
  <si>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</si>
  <si>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</si>
  <si>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</si>
  <si>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</si>
  <si>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</si>
  <si>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</si>
  <si>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</si>
  <si>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</si>
  <si>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</si>
  <si>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</si>
  <si>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</si>
  <si>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</si>
  <si>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</si>
  <si>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</si>
  <si>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</si>
  <si>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</si>
  <si>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</si>
  <si>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</si>
  <si>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</si>
  <si>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</si>
  <si>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</si>
  <si>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</si>
  <si>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</si>
  <si>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</si>
  <si>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</si>
  <si>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</si>
  <si>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</si>
  <si>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</si>
  <si>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</si>
  <si>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</si>
  <si>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</si>
  <si>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</si>
  <si>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</si>
  <si>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</si>
  <si>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</si>
  <si>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</si>
  <si>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</si>
  <si>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</si>
  <si>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</si>
  <si>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</si>
  <si>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</si>
  <si>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</si>
  <si>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</si>
  <si>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</si>
  <si>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</si>
  <si>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</si>
  <si>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</si>
  <si>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</si>
  <si>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</si>
  <si>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</si>
  <si>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</si>
  <si>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</si>
  <si>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</si>
  <si>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</si>
  <si>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</si>
  <si>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</si>
  <si>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</si>
  <si>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</si>
  <si>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</si>
  <si>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</si>
  <si>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</si>
  <si>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</si>
  <si>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</si>
  <si>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</si>
  <si>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</si>
  <si>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</si>
  <si>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</si>
  <si>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</si>
  <si>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</si>
  <si>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</si>
  <si>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</si>
  <si>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</si>
  <si>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</si>
  <si>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</si>
  <si>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</si>
  <si>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</si>
  <si>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</si>
  <si>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</si>
  <si>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</si>
  <si>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</si>
  <si>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</si>
  <si>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</si>
  <si>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נתיבים אגרות חוב</t>
  </si>
  <si>
    <t>נתיבים א</t>
  </si>
  <si>
    <t>IL0010902810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</si>
  <si>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</si>
  <si>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</si>
  <si>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</si>
  <si>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</si>
  <si>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</si>
  <si>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</si>
  <si>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</si>
  <si>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</si>
  <si>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</si>
  <si>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רש"ת אגח א-רמ</t>
  </si>
  <si>
    <t>IL0011873358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</si>
  <si>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</si>
  <si>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</si>
  <si>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</si>
  <si>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</si>
  <si>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</si>
  <si>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</si>
  <si>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אורמת 4</t>
  </si>
  <si>
    <t>IL0011672123</t>
  </si>
  <si>
    <t>קרן שמש נכסים שותפות מוגבלת</t>
  </si>
  <si>
    <t>קרן שמש אגחא-קרן שמש EDF - רצף מוסדי</t>
  </si>
  <si>
    <t>IL0012153008</t>
  </si>
  <si>
    <t>מתם מרכז תעשיות מדע חיפה בע"מ</t>
  </si>
  <si>
    <t>מת"ם  אגח א -רמ</t>
  </si>
  <si>
    <t>IL0011389991</t>
  </si>
  <si>
    <t>ilAA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</si>
  <si>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</si>
  <si>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</si>
  <si>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</si>
  <si>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</si>
  <si>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</si>
  <si>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</si>
  <si>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</si>
  <si>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</si>
  <si>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</si>
  <si>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</si>
  <si>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אוצר החייל כ.התח 03/26 3.95%</t>
  </si>
  <si>
    <t>ilAA+</t>
  </si>
  <si>
    <t>אגרקסקו</t>
  </si>
  <si>
    <t>אגרקסקו אגח א חש 4/12</t>
  </si>
  <si>
    <t>לאומי למשכנ שה</t>
  </si>
  <si>
    <t>אגרקסקו אגח א</t>
  </si>
  <si>
    <t>וי.אי.די. התפלת מי אשקלון</t>
  </si>
  <si>
    <t>VID מאוחד</t>
  </si>
  <si>
    <t>מנורה מבטחים בטוח</t>
  </si>
  <si>
    <t>מ.מבטחים ה.מ.מורכב ג 3.3% 2027/30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</si>
  <si>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</si>
  <si>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</si>
  <si>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</si>
  <si>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</si>
  <si>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</si>
  <si>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</si>
  <si>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</si>
  <si>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</si>
  <si>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</si>
  <si>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</si>
  <si>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</si>
  <si>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</si>
  <si>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</si>
  <si>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</si>
  <si>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</si>
  <si>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</si>
  <si>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</si>
  <si>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</si>
  <si>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</si>
  <si>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</si>
  <si>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</si>
  <si>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</si>
  <si>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</si>
  <si>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</si>
  <si>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</si>
  <si>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</si>
  <si>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</si>
  <si>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Gaia Class A Multifamily Properties LP</t>
  </si>
  <si>
    <t>GAIA Class A Multifam Prop HON</t>
  </si>
  <si>
    <t>HGI Opportunity Fund</t>
  </si>
  <si>
    <t>5493001DTRBU7ZF3WX75</t>
  </si>
  <si>
    <t>HGI Opportunity XVIII Equity  Fund, LP</t>
  </si>
  <si>
    <t>GAIA Class A Multifam Prop HOV</t>
  </si>
  <si>
    <t>Makefet Texas 12 LP- CASH</t>
  </si>
  <si>
    <t>Makefet Reit LP</t>
  </si>
  <si>
    <t>Amitim Mak U.S. Real Estate Investments Hon (2014)</t>
  </si>
  <si>
    <t>Makefet US LLC -Holds BIP</t>
  </si>
  <si>
    <t>Makefet US LLC  100% Holding in BIP</t>
  </si>
  <si>
    <t>Amitim Mak U.S. Real Estate Investments Hov LP</t>
  </si>
  <si>
    <t>Makefet Reit LP - CASH</t>
  </si>
  <si>
    <t>Herald Square JV LP</t>
  </si>
  <si>
    <t>GAIA Class A Multifam Prop Accrued Int</t>
  </si>
  <si>
    <t>51 W. 52nd - Black Rock ,LP</t>
  </si>
  <si>
    <t>10S LaSalle Chicago JV LLC</t>
  </si>
  <si>
    <t>10S LaSalle Chicago QFPF</t>
  </si>
  <si>
    <t>W. 52nd - Black Rock ,LP 51-LOAN</t>
  </si>
  <si>
    <t>GAIA GOLD COAST</t>
  </si>
  <si>
    <t>GAIA GOLD COAST PORTFOLIO</t>
  </si>
  <si>
    <t>W. 52nd - Black Rock ,LP 51 - ACCU INT</t>
  </si>
  <si>
    <t>MM Sunbelt, LP</t>
  </si>
  <si>
    <t>MSP Portfolio</t>
  </si>
  <si>
    <t>MSP PORTFOLIO</t>
  </si>
  <si>
    <t>TopMed 860 Chicago</t>
  </si>
  <si>
    <t>TopMed 680 Chicago</t>
  </si>
  <si>
    <t>West Palm Beach Portfolio</t>
  </si>
  <si>
    <t>West Palm Beach Portfolio LP</t>
  </si>
  <si>
    <t>TMG Avondale JV, LLC</t>
  </si>
  <si>
    <t>Milestone Real Estate Investors</t>
  </si>
  <si>
    <t>Milestone RE V</t>
  </si>
  <si>
    <t>SL 150 E42 St. Realty</t>
  </si>
  <si>
    <t>SL150E42 MOBILE - Accrued int</t>
  </si>
  <si>
    <t>RFM Affordable Housing Fund  LP</t>
  </si>
  <si>
    <t>RFM Affordable Housing Fund Co-Investment I LP</t>
  </si>
  <si>
    <t>Milestone RE IV</t>
  </si>
  <si>
    <t>HGI Opportunity Fund XIX, LP</t>
  </si>
  <si>
    <t>Thor Gateway</t>
  </si>
  <si>
    <t>Thor Gateway 1 and 2 ,LLC</t>
  </si>
  <si>
    <t>MM Sunbelt, LP CLASS 2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</si>
  <si>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</si>
  <si>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</si>
  <si>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</si>
  <si>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</si>
  <si>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</si>
  <si>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NOY Infrastructure and Energy</t>
  </si>
  <si>
    <t>Noy Fund IV</t>
  </si>
  <si>
    <t>Vintage</t>
  </si>
  <si>
    <t>Vintage Fund of Funds IV (Amitim)</t>
  </si>
  <si>
    <t>FIMI Opportunity Funds</t>
  </si>
  <si>
    <t>FIMI Opportunity VI</t>
  </si>
  <si>
    <t>Tene Growth Capital</t>
  </si>
  <si>
    <t>Tene IV - Haifa Co-Investment</t>
  </si>
  <si>
    <t>Yesodot</t>
  </si>
  <si>
    <t>Yesodot III - Tama 38 Finance</t>
  </si>
  <si>
    <t>Vintage Investment Partners</t>
  </si>
  <si>
    <t>Vintage Co-Investment Fund I (Israel)</t>
  </si>
  <si>
    <t>Green Lantern</t>
  </si>
  <si>
    <t>Green Lantern VI</t>
  </si>
  <si>
    <t>Vintage Secondary Fund II (Israel)</t>
  </si>
  <si>
    <t>Fimi Opportunity IV</t>
  </si>
  <si>
    <t>RAM Energy</t>
  </si>
  <si>
    <t>RAM Energy L.P</t>
  </si>
  <si>
    <t>Arkin Bio Ventures 3</t>
  </si>
  <si>
    <t>Vintage Fund of Funds III (Amitim)</t>
  </si>
  <si>
    <t>Klirmark</t>
  </si>
  <si>
    <t>Klirmark I</t>
  </si>
  <si>
    <t>Yesodot II - Tama 38 Finance</t>
  </si>
  <si>
    <t>Vintage FOF VIII (Israel) Innovation Authority Com</t>
  </si>
  <si>
    <t>Israel Infrastructure Fund</t>
  </si>
  <si>
    <t>Israel Infrastructure II</t>
  </si>
  <si>
    <t>Kedma</t>
  </si>
  <si>
    <t>Kedma Capital Partners IV</t>
  </si>
  <si>
    <t>Klirmark Capital Ltd.</t>
  </si>
  <si>
    <t>AMI I - APAX  ISRAEL</t>
  </si>
  <si>
    <t>S.H. SKY Management L.P.</t>
  </si>
  <si>
    <t>Sky II</t>
  </si>
  <si>
    <t>Vintage FOF VII (Breakout)</t>
  </si>
  <si>
    <t>Israel Growth Partners</t>
  </si>
  <si>
    <t>Israel Growth Partners II</t>
  </si>
  <si>
    <t>Fortissimo Capital</t>
  </si>
  <si>
    <t>Fortissimo VI</t>
  </si>
  <si>
    <t>Noy Fund V</t>
  </si>
  <si>
    <t>Israel Growth Partnes</t>
  </si>
  <si>
    <t>Israel Growth Partnes I</t>
  </si>
  <si>
    <t>NOY fund  III</t>
  </si>
  <si>
    <t>ARBEL</t>
  </si>
  <si>
    <t>Arbel II</t>
  </si>
  <si>
    <t>Fimi Opportunity VII</t>
  </si>
  <si>
    <t>Helios Energy Investments</t>
  </si>
  <si>
    <t>Helios 4</t>
  </si>
  <si>
    <t>Viola Group</t>
  </si>
  <si>
    <t>Viola Venture IV</t>
  </si>
  <si>
    <t>(Vintage FOF V (Israel</t>
  </si>
  <si>
    <t>FIMI</t>
  </si>
  <si>
    <t>FIMI Opportunity II</t>
  </si>
  <si>
    <t>Vintage FOF VIII (Israel)</t>
  </si>
  <si>
    <t>SCP Private Equity Management L.P.</t>
  </si>
  <si>
    <t>SCP VitaLife II</t>
  </si>
  <si>
    <t>אנלייט אנרגיה - סאנלייט</t>
  </si>
  <si>
    <t>אנלייט סאנלייט שותפות מימון- שותפות מוגבלת- רכישת מניות</t>
  </si>
  <si>
    <t>NOY fund II</t>
  </si>
  <si>
    <t>גלילות ארלי גרות' פאנד 2</t>
  </si>
  <si>
    <t>Glilot Early Growth Fund II Buying Option</t>
  </si>
  <si>
    <t>IIF</t>
  </si>
  <si>
    <t>Israel Infrastructure I</t>
  </si>
  <si>
    <t>שותפות שיכון ובינוי (כרמלטון + נתיבי הצפון)</t>
  </si>
  <si>
    <t>Pitango  Venture Capital Partners</t>
  </si>
  <si>
    <t>Pitango Growth II</t>
  </si>
  <si>
    <t>Vintage FOF VI (Israel)</t>
  </si>
  <si>
    <t>נוי עיר הבהד"ים</t>
  </si>
  <si>
    <t>Greenfield Partners</t>
  </si>
  <si>
    <t>Greenfield Partners Fund III</t>
  </si>
  <si>
    <t>Tene</t>
  </si>
  <si>
    <t>Tene III - Gadot Co-Investment</t>
  </si>
  <si>
    <t>אנלייט סאנלייט שותפות מימון- שותפות מוגבלת- משיכה 1 הלואת בעלים</t>
  </si>
  <si>
    <t>GREEN LANTERN VI (S.P.V1) LIMITED PARTNERSHIP</t>
  </si>
  <si>
    <t>Green Lantern 6 (S.P.V1) - Hollandia</t>
  </si>
  <si>
    <t>Advent International</t>
  </si>
  <si>
    <t>Klirmark III</t>
  </si>
  <si>
    <t>A1 ת.ש.י דרכים מר</t>
  </si>
  <si>
    <t>Tene Growth Capital III</t>
  </si>
  <si>
    <t>Vintage FOF VIII (Israel) Buying Option</t>
  </si>
  <si>
    <t>CVC Capital Partners</t>
  </si>
  <si>
    <t>Klirmark IV</t>
  </si>
  <si>
    <t>A ת.ש.י דרכים מר</t>
  </si>
  <si>
    <t>Vintage FOF VII (Israel)</t>
  </si>
  <si>
    <t>Fimi V</t>
  </si>
  <si>
    <t>Faire</t>
  </si>
  <si>
    <t>Faire fund II</t>
  </si>
  <si>
    <t>Arbel Capital Group</t>
  </si>
  <si>
    <t>ARBEL I</t>
  </si>
  <si>
    <t>Vintage Fund of Funds II (Israel)</t>
  </si>
  <si>
    <t>Vintage Fund of Funds I (Israel)</t>
  </si>
  <si>
    <t>Tene IV</t>
  </si>
  <si>
    <t>Fortissimo III</t>
  </si>
  <si>
    <t>Shaked Partners</t>
  </si>
  <si>
    <t>Shaked Partners Fund II</t>
  </si>
  <si>
    <t>Reality Real Estate Investment Fund 5</t>
  </si>
  <si>
    <t>Reality Fund V</t>
  </si>
  <si>
    <t>Yesodot I - Tama 38 Finance</t>
  </si>
  <si>
    <t>תימורה קרן נדל"ן מניב</t>
  </si>
  <si>
    <t>תימורה - קרן נדל"ן - ישראל</t>
  </si>
  <si>
    <t>Hamilton Lane</t>
  </si>
  <si>
    <t>HL International Feeder H1-C</t>
  </si>
  <si>
    <t>Partners Group</t>
  </si>
  <si>
    <t>The Varde Asia Credit Fund, L.P</t>
  </si>
  <si>
    <t>Hahn &amp; Company Korea Ltd.</t>
  </si>
  <si>
    <t>Hahn III-S</t>
  </si>
  <si>
    <t>HarbourVest Amitim Fund L.P</t>
  </si>
  <si>
    <t>Personal &amp; Informatik AG</t>
  </si>
  <si>
    <t>Astorg Partners</t>
  </si>
  <si>
    <t>Partners Group European Mezzanine 2008, L.P. (4</t>
  </si>
  <si>
    <t>Sixth Street Partners</t>
  </si>
  <si>
    <t>TPG Opportunity II</t>
  </si>
  <si>
    <t>Blackstone Capital Partners VIII</t>
  </si>
  <si>
    <t>SSG Capital Management</t>
  </si>
  <si>
    <t>EPEP III</t>
  </si>
  <si>
    <t>Blackstone</t>
  </si>
  <si>
    <t>Partners Group II</t>
  </si>
  <si>
    <t>NetRom Holding B.V.</t>
  </si>
  <si>
    <t>Gamut Capital</t>
  </si>
  <si>
    <t>Gamut Investment Fund I</t>
  </si>
  <si>
    <t>Harvest Partners</t>
  </si>
  <si>
    <t>Harvest Partners IX, L.P</t>
  </si>
  <si>
    <t>Vintage Co-Investment Amitim, L.P</t>
  </si>
  <si>
    <t>מאזני HarbourVest Amitim Fund tranche C</t>
  </si>
  <si>
    <t>Vintage Co-Investment Amitim L.P.</t>
  </si>
  <si>
    <t>Vintage Co-Investment</t>
  </si>
  <si>
    <t>TZP Group LLC</t>
  </si>
  <si>
    <t>TZP Capital Partrners III</t>
  </si>
  <si>
    <t>Harbor Group International (HGI)</t>
  </si>
  <si>
    <t>HGI Opportunity XVIII Credit Fund, LP</t>
  </si>
  <si>
    <t>Levine Leichtman Capital Partners, Inc.</t>
  </si>
  <si>
    <t>Levine Leichtman V</t>
  </si>
  <si>
    <t>GV 2022</t>
  </si>
  <si>
    <t>HPS Investment Partners, LLC</t>
  </si>
  <si>
    <t>TZP Capital II</t>
  </si>
  <si>
    <t>Earnix Inc</t>
  </si>
  <si>
    <t>ANHO SIII</t>
  </si>
  <si>
    <t>LS Power Equity Partners</t>
  </si>
  <si>
    <t>LS POWER FUND V</t>
  </si>
  <si>
    <t>Starlight Canadian Residential Growth Fund</t>
  </si>
  <si>
    <t>SCGF (STARLIGHT 1 ) CANADIAN HOLDINGS LTD- LOAN</t>
  </si>
  <si>
    <t>PANTHEON</t>
  </si>
  <si>
    <t>PANTHEON AMITIM INFRA 1 LP</t>
  </si>
  <si>
    <t>Klirmark II</t>
  </si>
  <si>
    <t>Coller International Partners</t>
  </si>
  <si>
    <t>Pooling Project Nevada</t>
  </si>
  <si>
    <t>Constantia Flexibles Holding GmbH</t>
  </si>
  <si>
    <t>MONARCH</t>
  </si>
  <si>
    <t>MONARCH CAPITAL PARTNERS OFFSHORE VI LP</t>
  </si>
  <si>
    <t>Lexington Partners L.P.</t>
  </si>
  <si>
    <t>Blackstone VII</t>
  </si>
  <si>
    <t>Arjun</t>
  </si>
  <si>
    <t>Dakota Co-Investment (Arjun I)</t>
  </si>
  <si>
    <t>Kohlberg &amp; Company, L.L.C.</t>
  </si>
  <si>
    <t>Kohlberg VIII</t>
  </si>
  <si>
    <t>Stonepeak Associates, LLC</t>
  </si>
  <si>
    <t>Stonepeak IV</t>
  </si>
  <si>
    <t>Astrog VI, FCPI</t>
  </si>
  <si>
    <t>Roark Capital Partners II Sidecar Fund</t>
  </si>
  <si>
    <t>Brookfield Asset Management</t>
  </si>
  <si>
    <t>ProA Capital Iberian Buyout Fund II, F.C.R</t>
  </si>
  <si>
    <t>Reward Gateway</t>
  </si>
  <si>
    <t>Gridiron Capital</t>
  </si>
  <si>
    <t>Gridiron Capital IV</t>
  </si>
  <si>
    <t>(Vintage FOF V (Access</t>
  </si>
  <si>
    <t>Starlight Capital</t>
  </si>
  <si>
    <t>Pantheon Global Infrastructure fund IV</t>
  </si>
  <si>
    <t>Pooling Project Bonhomme</t>
  </si>
  <si>
    <t>Pantheon Ventures Inc.</t>
  </si>
  <si>
    <t>Pantheon Europe VI</t>
  </si>
  <si>
    <t>Elysian Capital LLP</t>
  </si>
  <si>
    <t>Elysian Capital III</t>
  </si>
  <si>
    <t>CRD 2024</t>
  </si>
  <si>
    <t>CVC VII</t>
  </si>
  <si>
    <t>Gridiron Capital II</t>
  </si>
  <si>
    <t>Phoenix Logistics Portfolio</t>
  </si>
  <si>
    <t>American Industrial Partners</t>
  </si>
  <si>
    <t>American Industrial Partners Capital Fund VII</t>
  </si>
  <si>
    <t>ISQ Fund III</t>
  </si>
  <si>
    <t>Prime Group Holdings, LLC</t>
  </si>
  <si>
    <t>Astorg Mid-Cap I</t>
  </si>
  <si>
    <t>Amitim Fund I</t>
  </si>
  <si>
    <t>פתאל פרטנרשיפ 3 ג'י. פי. בע"מ</t>
  </si>
  <si>
    <t>Fattal Partnership III (International) LP</t>
  </si>
  <si>
    <t>SCGF (STARLIGHT 1 ) CANADIAN HOLDINGS- LOAN ACCR</t>
  </si>
  <si>
    <t>Energy Capital Partners</t>
  </si>
  <si>
    <t>Energy Capital Partners III</t>
  </si>
  <si>
    <t>Apax Partners</t>
  </si>
  <si>
    <t>Apax Europe VII - B</t>
  </si>
  <si>
    <t>Levine Leichtman Capital Partners Inc.</t>
  </si>
  <si>
    <t>Levine Leichtman VII</t>
  </si>
  <si>
    <t>Apollo Management</t>
  </si>
  <si>
    <t>Partners Group I</t>
  </si>
  <si>
    <t>GHO Capital</t>
  </si>
  <si>
    <t>Gores Small Cap</t>
  </si>
  <si>
    <t>Pooling Project Gate</t>
  </si>
  <si>
    <t>Portobello Capital Fondo IV</t>
  </si>
  <si>
    <t>Verdane Capital</t>
  </si>
  <si>
    <t>Blackstone RE X</t>
  </si>
  <si>
    <t>OMERS Investment Management Inc.</t>
  </si>
  <si>
    <t>Brookfield RE II</t>
  </si>
  <si>
    <t>Polaris Capital Group Co., Limited</t>
  </si>
  <si>
    <t>Jewel CG Private Equity Main Fund</t>
  </si>
  <si>
    <t>TLE 2021 SF</t>
  </si>
  <si>
    <t>ANHO SII</t>
  </si>
  <si>
    <t>Copenhagen Infrastructure Partners</t>
  </si>
  <si>
    <t>PROJECT GOLDEN BEAR</t>
  </si>
  <si>
    <t>Prime Capital AG</t>
  </si>
  <si>
    <t>Permira Growth Opportunities II</t>
  </si>
  <si>
    <t>VG III</t>
  </si>
  <si>
    <t>Veld Credit Opportunities IV</t>
  </si>
  <si>
    <t>Argo Infrastructure Partners</t>
  </si>
  <si>
    <t>Argo Series 3</t>
  </si>
  <si>
    <t>Vintage Amitim Co-Investment, L.P - Class B</t>
  </si>
  <si>
    <t>BERERP Silver Co-Invest SCSp</t>
  </si>
  <si>
    <t>Castlelake</t>
  </si>
  <si>
    <t>Clessidra Capital Prtners III</t>
  </si>
  <si>
    <t>Coller International VIII</t>
  </si>
  <si>
    <t>H2 Equity Partners</t>
  </si>
  <si>
    <t>BC European Partners IX</t>
  </si>
  <si>
    <t>מאזני VINTAGE CO INV</t>
  </si>
  <si>
    <t>Waterland Private Equity Investments B.V.</t>
  </si>
  <si>
    <t>Prime Green Energy Infrastructure Fund II</t>
  </si>
  <si>
    <t>Insight Partners</t>
  </si>
  <si>
    <t>Insight Partners XII</t>
  </si>
  <si>
    <t>Hahn &amp; Co. II</t>
  </si>
  <si>
    <t>Pan-European Logistics Portfolio</t>
  </si>
  <si>
    <t>Verdane Edda</t>
  </si>
  <si>
    <t>SEK</t>
  </si>
  <si>
    <t>SCGF (STARLIGHT 1 ) CANADIAN HOLDINGS 1 LTD</t>
  </si>
  <si>
    <t>Gores Technology Group</t>
  </si>
  <si>
    <t>BCP Special Opportunities Fund III LP</t>
  </si>
  <si>
    <t>Clearlake Capital</t>
  </si>
  <si>
    <t>Livingbridge Enterprise 2 LP</t>
  </si>
  <si>
    <t>Action Holding B.V.</t>
  </si>
  <si>
    <t>CDH Partners</t>
  </si>
  <si>
    <t>CDH Fund VI L.P</t>
  </si>
  <si>
    <t>Platinum IV</t>
  </si>
  <si>
    <t>Fortissimo II</t>
  </si>
  <si>
    <t>Project Diana</t>
  </si>
  <si>
    <t>Harvest Partners VII</t>
  </si>
  <si>
    <t>One Equity Partners</t>
  </si>
  <si>
    <t>One Equity Partners IX</t>
  </si>
  <si>
    <t>Bridgepoint Capital Ltd.</t>
  </si>
  <si>
    <t>Partners Group Direct Mezzanine 2013</t>
  </si>
  <si>
    <t>KPS</t>
  </si>
  <si>
    <t>KPS SS V</t>
  </si>
  <si>
    <t>Waterland</t>
  </si>
  <si>
    <t>Waterland Private Equity Fund IX</t>
  </si>
  <si>
    <t>Unither Pharmaceuticals SAS</t>
  </si>
  <si>
    <t>Insight Equity Partners</t>
  </si>
  <si>
    <t>Insight Equity III</t>
  </si>
  <si>
    <t>HL International Investors - Series H2c (Asia)</t>
  </si>
  <si>
    <t>Hahn III</t>
  </si>
  <si>
    <t>Hamilton Secondary Fund VI</t>
  </si>
  <si>
    <t>Ridgemont Equity Partners</t>
  </si>
  <si>
    <t>Ridgemont Equity I</t>
  </si>
  <si>
    <t>Paragon Partners</t>
  </si>
  <si>
    <t>Dover Street IX</t>
  </si>
  <si>
    <t>Veld Capital</t>
  </si>
  <si>
    <t>Faropoint Industrial Fund III</t>
  </si>
  <si>
    <t>BY Ventures 2019 SF</t>
  </si>
  <si>
    <t>SSG Capital V</t>
  </si>
  <si>
    <t>Seqens SAS</t>
  </si>
  <si>
    <t>Gemini Capital Fund Management, Ltd</t>
  </si>
  <si>
    <t>Gemini Israel V L.P</t>
  </si>
  <si>
    <t>Gatewood Capital</t>
  </si>
  <si>
    <t>GateWood</t>
  </si>
  <si>
    <t>Vitruvian Investment Partnership V</t>
  </si>
  <si>
    <t>BROOKFIELD RE III</t>
  </si>
  <si>
    <t>CIM Group, Inc.</t>
  </si>
  <si>
    <t>Pooling Project Madrid</t>
  </si>
  <si>
    <t>Hamilton Lane International Investors - Series H1d</t>
  </si>
  <si>
    <t>Lightspeed Venture Partners XII</t>
  </si>
  <si>
    <t>Threestones Capital Management SA</t>
  </si>
  <si>
    <t>Advent International GPE X</t>
  </si>
  <si>
    <t>Equistone Partners Europe Fund IV, L.P</t>
  </si>
  <si>
    <t>Independent Vet Care</t>
  </si>
  <si>
    <t>BSREP IV</t>
  </si>
  <si>
    <t>Madison Realty Capital</t>
  </si>
  <si>
    <t>Madison realty capital debt fund V</t>
  </si>
  <si>
    <t>Anacap Credit Opportunities III</t>
  </si>
  <si>
    <t>Roark Capital Group, Inc.</t>
  </si>
  <si>
    <t>Roark IV</t>
  </si>
  <si>
    <t>STEPSTONE</t>
  </si>
  <si>
    <t>Co-Investment Partners 2022 Parallel, L.P.</t>
  </si>
  <si>
    <t>HL International Feeder H1-B</t>
  </si>
  <si>
    <t>SSG Capital IV</t>
  </si>
  <si>
    <t>Ares Management Corporation</t>
  </si>
  <si>
    <t>Ares EF VI</t>
  </si>
  <si>
    <t>COPENHAGEN INFRASTRUCTURE V</t>
  </si>
  <si>
    <t>Blackstone RE VIII</t>
  </si>
  <si>
    <t>EQT Limited</t>
  </si>
  <si>
    <t>EQT Infrastructure V</t>
  </si>
  <si>
    <t>CIM</t>
  </si>
  <si>
    <t>CIM Fund VIII - Makefet</t>
  </si>
  <si>
    <t>EQT Infrastructure VI (No. 1)</t>
  </si>
  <si>
    <t>HarbourVest Amitim Fund L.P. tranche C</t>
  </si>
  <si>
    <t>Hestia Invest SAS</t>
  </si>
  <si>
    <t>F24 AG</t>
  </si>
  <si>
    <t>HgCapital 7 L.P. (1</t>
  </si>
  <si>
    <t>Kayne Anderson Capital Advisors</t>
  </si>
  <si>
    <t>KAREP VI</t>
  </si>
  <si>
    <t>QX Global Group Ltd</t>
  </si>
  <si>
    <t>Verdane Edda II</t>
  </si>
  <si>
    <t>Related Fund Management LLC</t>
  </si>
  <si>
    <t>Related affordable Housing Fund</t>
  </si>
  <si>
    <t>Vitruvian Partners LLP</t>
  </si>
  <si>
    <t>HPS Strategic Investment Partners V</t>
  </si>
  <si>
    <t>(Vintage FOF V (EM</t>
  </si>
  <si>
    <t>IDG Capital Partners</t>
  </si>
  <si>
    <t>IDG China Capital Fund III</t>
  </si>
  <si>
    <t>ANHO SI</t>
  </si>
  <si>
    <t>Hamilton Lane Secondary II</t>
  </si>
  <si>
    <t>SCGF III Canadian Holdings 1 LTD</t>
  </si>
  <si>
    <t>DIGITALBRIDGE PARTNERS</t>
  </si>
  <si>
    <t>DIGITALBRIDGE PARTNERS III, LP</t>
  </si>
  <si>
    <t>Crown CG Private Equity</t>
  </si>
  <si>
    <t>Tikehau Capital Partners (“Tikehau”)</t>
  </si>
  <si>
    <t>Permira VIII</t>
  </si>
  <si>
    <t>KPS Special Situations Fund VI</t>
  </si>
  <si>
    <t>Partners Group European SMC Buyout 2011, L.P. Inc</t>
  </si>
  <si>
    <t>Elysian Capital II</t>
  </si>
  <si>
    <t>Arjun Investment Partners</t>
  </si>
  <si>
    <t>Arjun Alliance LP II</t>
  </si>
  <si>
    <t>Baring Vostock Capital Partners</t>
  </si>
  <si>
    <t>Baring Ventures V (fka Baring Vostok)</t>
  </si>
  <si>
    <t>Forma</t>
  </si>
  <si>
    <t>Forma Fund II</t>
  </si>
  <si>
    <t>BERERP Crescent</t>
  </si>
  <si>
    <t>HarborVest VI Asia Pacific</t>
  </si>
  <si>
    <t>HL International Feeder H2-B</t>
  </si>
  <si>
    <t>Kleiner Perkins</t>
  </si>
  <si>
    <t>KPCB XVII</t>
  </si>
  <si>
    <t>Permira Advisers Limited</t>
  </si>
  <si>
    <t>SCGF III Canadian Holdings 1 LTD - LOAN ACCR</t>
  </si>
  <si>
    <t>I Squared Capital</t>
  </si>
  <si>
    <t>Apollo VIII</t>
  </si>
  <si>
    <t>Faropoint LP</t>
  </si>
  <si>
    <t>Platinum Equity III</t>
  </si>
  <si>
    <t>Waterland PE Fund VI</t>
  </si>
  <si>
    <t>CDH Fund V</t>
  </si>
  <si>
    <t>Brookfield Infrastructure III</t>
  </si>
  <si>
    <t>STEPSTONE AMITIM INFRASTRUCTURE OPPORTUNITIES FUND</t>
  </si>
  <si>
    <t>CVC Credit Partners</t>
  </si>
  <si>
    <t>Blackstone VI</t>
  </si>
  <si>
    <t>Platinum Equity Capital Partners</t>
  </si>
  <si>
    <t>Platinum VI</t>
  </si>
  <si>
    <t>Pooling Project Wallaby 5</t>
  </si>
  <si>
    <t>KPCB DGF III</t>
  </si>
  <si>
    <t>Kayne Anderson Real Estate Partners V, L.P</t>
  </si>
  <si>
    <t>TLE 2023</t>
  </si>
  <si>
    <t>NRTH 2021</t>
  </si>
  <si>
    <t>Morgan Stanley Investment Management</t>
  </si>
  <si>
    <t>North Haven Credit Partners IV</t>
  </si>
  <si>
    <t>Blackstone Energy</t>
  </si>
  <si>
    <t>Nomios Group</t>
  </si>
  <si>
    <t>ECI Partners LLP</t>
  </si>
  <si>
    <t>American Securities VI</t>
  </si>
  <si>
    <t>Gridiron Capital III</t>
  </si>
  <si>
    <t>Lightspeed Venture Partners Select III</t>
  </si>
  <si>
    <t>American Securities, LLC</t>
  </si>
  <si>
    <t>American Securities VII</t>
  </si>
  <si>
    <t>Electra America</t>
  </si>
  <si>
    <t>Electra Multifamily Investments Fund II, L.P</t>
  </si>
  <si>
    <t>Verdane capital advisors</t>
  </si>
  <si>
    <t>Verdane Edda III</t>
  </si>
  <si>
    <t>Prime Storage Fund III</t>
  </si>
  <si>
    <t>Pantheon Global Infrastructure fund III - Makefet</t>
  </si>
  <si>
    <t>HarbourVest Amitim Fund L.P tranche C</t>
  </si>
  <si>
    <t>ECI Fund XI</t>
  </si>
  <si>
    <t>Hamilton Lane International Investors - Series H1f</t>
  </si>
  <si>
    <t>NRTH 2021 SPV</t>
  </si>
  <si>
    <t>SCGF II Canadian Holdings 2 LTD - LOAN ACCR</t>
  </si>
  <si>
    <t>Varde Partners</t>
  </si>
  <si>
    <t>ATF Thor Trust 3</t>
  </si>
  <si>
    <t>SCGF III Canadian Holdings 1 LTD - loan</t>
  </si>
  <si>
    <t>SCGF II Canadian Holdings 2 LTD - loan</t>
  </si>
  <si>
    <t>Partners Group Direct Investments 2012 EUR, LP Inc</t>
  </si>
  <si>
    <t>Tikehau Direct Lending V</t>
  </si>
  <si>
    <t>GTCR Golder Rauner LLC</t>
  </si>
  <si>
    <t>GTCR Fund XIV</t>
  </si>
  <si>
    <t>CVC VIII</t>
  </si>
  <si>
    <t>Solina Group SAS</t>
  </si>
  <si>
    <t>MiDEAL Group</t>
  </si>
  <si>
    <t>Mideal Management 2, L.P</t>
  </si>
  <si>
    <t>Visma Group Holdings A/S</t>
  </si>
  <si>
    <t>Pooling Project Hg</t>
  </si>
  <si>
    <t>Symeres</t>
  </si>
  <si>
    <t>Roark Capital Partners VI</t>
  </si>
  <si>
    <t>Roark Capital Partners V</t>
  </si>
  <si>
    <t>Portobello Capital</t>
  </si>
  <si>
    <t>GHO Capital Partners III</t>
  </si>
  <si>
    <t>Trilantic Capital Partners IV (Europe) L.P. (1</t>
  </si>
  <si>
    <t>HGI Multifamily Credit Fund</t>
  </si>
  <si>
    <t>Blackstone RE IX</t>
  </si>
  <si>
    <t>Keensight VI</t>
  </si>
  <si>
    <t>One Peak Partners LLP</t>
  </si>
  <si>
    <t>Brookfield European Real Estate Partnership SCSp</t>
  </si>
  <si>
    <t>מאזני HarbourVest Amitim Fund</t>
  </si>
  <si>
    <t>Saw Mill Capital</t>
  </si>
  <si>
    <t>Saw Mill Capital Partners II</t>
  </si>
  <si>
    <t>Pantheon Senior Debt Secondary III</t>
  </si>
  <si>
    <t>Harbourvest</t>
  </si>
  <si>
    <t>HarbourVest Co-Investment VII Combined</t>
  </si>
  <si>
    <t>Argo Co Investment -Project Inception</t>
  </si>
  <si>
    <t>Clearlake VII</t>
  </si>
  <si>
    <t>Egeria Private Equity Fund IV</t>
  </si>
  <si>
    <t>Vintage FOF VII (Access)</t>
  </si>
  <si>
    <t>Macquarie Infrastructure Partners VI</t>
  </si>
  <si>
    <t>Thoma Bravo, LLC</t>
  </si>
  <si>
    <t>Thoma Bravo L.P XV</t>
  </si>
  <si>
    <t>Mehler Vario System GmgH</t>
  </si>
  <si>
    <t>Pooling Vitruvian Investment Partnership II</t>
  </si>
  <si>
    <t>Clearlake Capital Partners</t>
  </si>
  <si>
    <t>Clearlake VIII</t>
  </si>
  <si>
    <t>TSC Eurocare IV</t>
  </si>
  <si>
    <t>CVC Credit Direct Lending III</t>
  </si>
  <si>
    <t>Levine Leichtman VI</t>
  </si>
  <si>
    <t>Gavea Investimentos</t>
  </si>
  <si>
    <t>Gavea Investment V</t>
  </si>
  <si>
    <t>Bridgepoint Development Capital Fund IV</t>
  </si>
  <si>
    <t>Ethos Private Equity Ltd.</t>
  </si>
  <si>
    <t>Ethos PE VI</t>
  </si>
  <si>
    <t>HL International Feeder H1-A</t>
  </si>
  <si>
    <t>Keensight Capital</t>
  </si>
  <si>
    <t>Blackstone Energy II</t>
  </si>
  <si>
    <t>Intermediate Capital Group plc</t>
  </si>
  <si>
    <t>SSG Capital III</t>
  </si>
  <si>
    <t>MBK V</t>
  </si>
  <si>
    <t>Berkshire Fund</t>
  </si>
  <si>
    <t>Berkshire Fund XI-TE</t>
  </si>
  <si>
    <t>BY Ventures 2019</t>
  </si>
  <si>
    <t>Levine Leichtman</t>
  </si>
  <si>
    <t>Levine Leichtman IV</t>
  </si>
  <si>
    <t>MBK Partners</t>
  </si>
  <si>
    <t>Advent International VIII</t>
  </si>
  <si>
    <t>Kohlberg IX</t>
  </si>
  <si>
    <t>Gatewood II</t>
  </si>
  <si>
    <t>BC Partners</t>
  </si>
  <si>
    <t>Fourth Cinven Fund, L.P. (3</t>
  </si>
  <si>
    <t>Waterland PE Fund VIII</t>
  </si>
  <si>
    <t>Macquarie</t>
  </si>
  <si>
    <t>Coller International VII</t>
  </si>
  <si>
    <t>KMNOCH Aggregator I (Co-invest Kohlberg IX)</t>
  </si>
  <si>
    <t>One Peak Growth II</t>
  </si>
  <si>
    <t>ZM Capital (Zelnick Media)</t>
  </si>
  <si>
    <t>ZM Capital II</t>
  </si>
  <si>
    <t>BEREP 30 Fenchurch</t>
  </si>
  <si>
    <t>RG 2022</t>
  </si>
  <si>
    <t>HL International Feeder H-Aion</t>
  </si>
  <si>
    <t>VIG Partners</t>
  </si>
  <si>
    <t>HPS Core Senior Lending Fund II</t>
  </si>
  <si>
    <t>HL International Feeder H2-A</t>
  </si>
  <si>
    <t>Vitruvian Investment Partnership IV</t>
  </si>
  <si>
    <t>Waterland PE Fund VII</t>
  </si>
  <si>
    <t>Electra Multifamily Investments Fund III Feed  IV</t>
  </si>
  <si>
    <t>Waterton Precious Metals II</t>
  </si>
  <si>
    <t>מאזני Stepstone Amitim Infrastructure Opportunitie</t>
  </si>
  <si>
    <t>השקעות עמיתים אוסטרליה שמ - בנ</t>
  </si>
  <si>
    <t>Makefet Australia LP</t>
  </si>
  <si>
    <t>American Industrial Partners  VI</t>
  </si>
  <si>
    <t>ANHO SIV</t>
  </si>
  <si>
    <t>Madison realty capital debt fund ,LP</t>
  </si>
  <si>
    <t>Madison realty capital debt fund IV Mak</t>
  </si>
  <si>
    <t>NG Capital Partners</t>
  </si>
  <si>
    <t>NG Capital II</t>
  </si>
  <si>
    <t>Dover Street X</t>
  </si>
  <si>
    <t>Medica Group plc</t>
  </si>
  <si>
    <t>Kohlberg Investors X - TE-B</t>
  </si>
  <si>
    <t>Kersia SAS</t>
  </si>
  <si>
    <t>Lightspeed Venture Partners</t>
  </si>
  <si>
    <t>Castlelake IV</t>
  </si>
  <si>
    <t>H2 equity Partners V</t>
  </si>
  <si>
    <t>Ascribe Capital LLC</t>
  </si>
  <si>
    <t>Ascribe III</t>
  </si>
  <si>
    <t>Dover Street XI</t>
  </si>
  <si>
    <t>Caverion Oyj</t>
  </si>
  <si>
    <t>Cerba Healthcare SAS</t>
  </si>
  <si>
    <t>Breakthrough Properties</t>
  </si>
  <si>
    <t>IFS</t>
  </si>
  <si>
    <t>Kohlberg Investors X - TE</t>
  </si>
  <si>
    <t>Lexington Capital Partners X</t>
  </si>
  <si>
    <t>Waterland Partnership Fund I</t>
  </si>
  <si>
    <t>KeenSight V</t>
  </si>
  <si>
    <t>Castlelake Fund VI</t>
  </si>
  <si>
    <t>Ekaterra B.V</t>
  </si>
  <si>
    <t>מאזני Amitim Fund I</t>
  </si>
  <si>
    <t>The Jordan Company</t>
  </si>
  <si>
    <t>The Resolute Fund VI, L.P</t>
  </si>
  <si>
    <t>Vintage FOF VI Access</t>
  </si>
  <si>
    <t>HarbourVest Partners, LLC</t>
  </si>
  <si>
    <t>Advent International GPE VII</t>
  </si>
  <si>
    <t>ANHO 2020</t>
  </si>
  <si>
    <t>VIG IV Private Equity Fund</t>
  </si>
  <si>
    <t>SCGF II Canadian Holdings 1 LTD</t>
  </si>
  <si>
    <t>Berkshire</t>
  </si>
  <si>
    <t>TAU BP CO-INVEST</t>
  </si>
  <si>
    <t>Envision Pharma Group Limited</t>
  </si>
  <si>
    <t>Secondary SPV-4-Providence</t>
  </si>
  <si>
    <t>IK Investment Partners</t>
  </si>
  <si>
    <t>IK X</t>
  </si>
  <si>
    <t>Amitim Fund II</t>
  </si>
  <si>
    <t>ICG VII</t>
  </si>
  <si>
    <t>Faropoint</t>
  </si>
  <si>
    <t>Faropoint Industrial SLB Fund</t>
  </si>
  <si>
    <t>Bridgepoint</t>
  </si>
  <si>
    <t>BRIDGEPOINT EUROPE VII</t>
  </si>
  <si>
    <t>GV 2022 SPV</t>
  </si>
  <si>
    <t>Electra Multifamily Investments Fund IV</t>
  </si>
  <si>
    <t>BREP Asia III</t>
  </si>
  <si>
    <t>Ares Pan-European Logistics Partnership, L.P.</t>
  </si>
  <si>
    <t>Partners Group European Buyout 2008 (B), L.P. (7</t>
  </si>
  <si>
    <t>Pooling Project Poseidon</t>
  </si>
  <si>
    <t>istituto centrale delle banche popolari italiane 5</t>
  </si>
  <si>
    <t>Creador Sdn Bhd</t>
  </si>
  <si>
    <t>Creador II</t>
  </si>
  <si>
    <t>Ascribe Opportunities Fund IV, L.P</t>
  </si>
  <si>
    <t>Vintage Co-Investment Class B</t>
  </si>
  <si>
    <t>Ares European RE Fund V, SCSP</t>
  </si>
  <si>
    <t>Odyssey Investment Partners</t>
  </si>
  <si>
    <t>Odyssey Investment Partners IV</t>
  </si>
  <si>
    <t>Partners Group Direct Investments 2009, L.P.(6</t>
  </si>
  <si>
    <t>American Securities Partners VIII</t>
  </si>
  <si>
    <t>מאזני Amitim Fund II</t>
  </si>
  <si>
    <t>High Road Capital Partners</t>
  </si>
  <si>
    <t>High Road Capital II</t>
  </si>
  <si>
    <t>Apollo IX</t>
  </si>
  <si>
    <t>Partners Group Direct Mezzanine 2011, L.P. Inc. (6</t>
  </si>
  <si>
    <t>The Paragon Fund IV</t>
  </si>
  <si>
    <t>CVC IX</t>
  </si>
  <si>
    <t>Blackstone RE VII</t>
  </si>
  <si>
    <t>ISQ Co-Investment Fund III</t>
  </si>
  <si>
    <t>ICG VIII</t>
  </si>
  <si>
    <t>Insight Partners XI</t>
  </si>
  <si>
    <t>Foncia Groupe SAS</t>
  </si>
  <si>
    <t>Neuberger Berman</t>
  </si>
  <si>
    <t>NB Strategic Co-Investment Partners V</t>
  </si>
  <si>
    <t>Boyu Capital</t>
  </si>
  <si>
    <t>Boyu III</t>
  </si>
  <si>
    <t>Astorg VIII</t>
  </si>
  <si>
    <t>Jewel CG Co-Invest Fund-S</t>
  </si>
  <si>
    <t>BR 2022</t>
  </si>
  <si>
    <t>ANHO 2021</t>
  </si>
  <si>
    <t>Pooling Project Roadrunner</t>
  </si>
  <si>
    <t>Advent International GPE IX</t>
  </si>
  <si>
    <t>TZ 2022</t>
  </si>
  <si>
    <t>Infobric Group AB</t>
  </si>
  <si>
    <t>AL Growth 2021</t>
  </si>
  <si>
    <t>Platinum V</t>
  </si>
  <si>
    <t>Vintage FOF VI Breakout</t>
  </si>
  <si>
    <t>Gridiron V</t>
  </si>
  <si>
    <t>Coller International VI</t>
  </si>
  <si>
    <t>TLE 2021</t>
  </si>
  <si>
    <t>Breakthrough Properties LLC</t>
  </si>
  <si>
    <t>CapVis Equity IV</t>
  </si>
  <si>
    <t>ICG VI</t>
  </si>
  <si>
    <t>Verdane Freya XI</t>
  </si>
  <si>
    <t>MBK IV</t>
  </si>
  <si>
    <t>Hamilton Lane International Investors - Series H1e</t>
  </si>
  <si>
    <t>Pantheon Global Secondary Fund VII</t>
  </si>
  <si>
    <t>YBS SPV 2022</t>
  </si>
  <si>
    <t>Stepstone Amitim Infrastructure Opportunities Fund</t>
  </si>
  <si>
    <t>מאזני VINTAGE CO INV Class B</t>
  </si>
  <si>
    <t>Lexington Capital Partners IX</t>
  </si>
  <si>
    <t>Arjun Alliance LP</t>
  </si>
  <si>
    <t>פיימנט טכנולוגיות פיננסיות בע"מ</t>
  </si>
  <si>
    <t>פיימנט- כתבי אופציה  01.07.26/12.01.27</t>
  </si>
  <si>
    <t>IL0011808768</t>
  </si>
  <si>
    <t>IDBLILITXXX</t>
  </si>
  <si>
    <t>ILSILS</t>
  </si>
  <si>
    <t>POALIILIT</t>
  </si>
  <si>
    <t>LEUMIILILTXXX</t>
  </si>
  <si>
    <t>MIZBILIT</t>
  </si>
  <si>
    <t>USDILS</t>
  </si>
  <si>
    <t>EURILS</t>
  </si>
  <si>
    <t>DEUTUS33</t>
  </si>
  <si>
    <t>CHASUS33</t>
  </si>
  <si>
    <t>GOLDUS33001</t>
  </si>
  <si>
    <t>BARCUS33</t>
  </si>
  <si>
    <t>CITIUS33</t>
  </si>
  <si>
    <t>קבועה</t>
  </si>
  <si>
    <t>מרווח הוגן בע"מ</t>
  </si>
  <si>
    <t>ilA</t>
  </si>
  <si>
    <t>AA-</t>
  </si>
  <si>
    <t>נדל"ן מניב - מגורים (כולל דיור מוגן)</t>
  </si>
  <si>
    <t>A</t>
  </si>
  <si>
    <t>ilBBB+</t>
  </si>
  <si>
    <t>נדל"ן מניב - לוגיסטיקה</t>
  </si>
  <si>
    <t>Baa1.il</t>
  </si>
  <si>
    <t>ilA-</t>
  </si>
  <si>
    <t>נדל"ן מניב - אחר/לא מסווג</t>
  </si>
  <si>
    <t>נדל"ן מניב - מסחר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</si>
  <si>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</si>
  <si>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</si>
  <si>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</si>
  <si>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</si>
  <si>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</si>
  <si>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31.03.25</t>
  </si>
  <si>
    <t>התח.ממש.אי העלאת ג.פרישה נשים</t>
  </si>
  <si>
    <t>85-1058970</t>
  </si>
  <si>
    <t>38-3981213</t>
  </si>
  <si>
    <t>USDUSD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</si>
  <si>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</si>
  <si>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</si>
  <si>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</si>
  <si>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</si>
  <si>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</si>
  <si>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</si>
  <si>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</si>
  <si>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</si>
  <si>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</si>
  <si>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</si>
  <si>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</si>
  <si>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</si>
  <si>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</si>
  <si>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</si>
  <si>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</si>
  <si>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</si>
  <si>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</si>
  <si>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</si>
  <si>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</si>
  <si>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</si>
  <si>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</si>
  <si>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 xml:space="preserve">Arkin Bio Ventures </t>
  </si>
  <si>
    <t>Glilot Early Growth Fund II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</si>
  <si>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</si>
  <si>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</si>
  <si>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</si>
  <si>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</si>
  <si>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</si>
  <si>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</si>
  <si>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</si>
  <si>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</si>
  <si>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</si>
  <si>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</si>
  <si>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</si>
  <si>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</si>
  <si>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</si>
  <si>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</si>
  <si>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</si>
  <si>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</si>
  <si>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</si>
  <si>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</si>
  <si>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</si>
  <si>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</si>
  <si>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</si>
  <si>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</si>
  <si>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</si>
  <si>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</si>
  <si>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</si>
  <si>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</si>
  <si>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</si>
  <si>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</si>
  <si>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</si>
  <si>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</si>
  <si>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</si>
  <si>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</si>
  <si>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</si>
  <si>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</si>
  <si>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</si>
  <si>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</si>
  <si>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</si>
  <si>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</si>
  <si>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</si>
  <si>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</si>
  <si>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</si>
  <si>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</si>
  <si>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</si>
  <si>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</si>
  <si>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</si>
  <si>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</si>
  <si>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</si>
  <si>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</si>
  <si>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</si>
  <si>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</si>
  <si>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</si>
  <si>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</si>
  <si>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</si>
  <si>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</si>
  <si>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</si>
  <si>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</si>
  <si>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</si>
  <si>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</si>
  <si>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</si>
  <si>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</si>
  <si>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</si>
  <si>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</si>
  <si>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</si>
  <si>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</si>
  <si>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</si>
  <si>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</si>
  <si>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</si>
  <si>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</si>
  <si>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</si>
  <si>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</si>
  <si>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</si>
  <si>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</si>
  <si>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</si>
  <si>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</si>
  <si>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</si>
  <si>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</si>
  <si>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</si>
  <si>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</si>
  <si>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</si>
  <si>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</si>
  <si>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</si>
  <si>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</si>
  <si>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</si>
  <si>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</si>
  <si>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</si>
  <si>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</si>
  <si>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</si>
  <si>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</si>
  <si>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</si>
  <si>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</si>
  <si>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</si>
  <si>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</si>
  <si>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</si>
  <si>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</si>
  <si>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</si>
  <si>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</si>
  <si>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</si>
  <si>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</si>
  <si>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</si>
  <si>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</si>
  <si>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</si>
  <si>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Verdane Capital XI</t>
  </si>
  <si>
    <t>GTCR</t>
  </si>
  <si>
    <t>HPS</t>
  </si>
  <si>
    <t>Incline</t>
  </si>
  <si>
    <t>Incline Equity Partners VI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</si>
  <si>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</si>
  <si>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</si>
  <si>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</si>
  <si>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</si>
  <si>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</si>
  <si>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</si>
  <si>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</si>
  <si>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</si>
  <si>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</si>
  <si>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</si>
  <si>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</si>
  <si>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>Thoma Bravo Fund XVI</t>
  </si>
  <si>
    <t xml:space="preserve">HarbourVest </t>
  </si>
  <si>
    <t>Vintage FOF VIII (Access)</t>
  </si>
  <si>
    <t>Vintage FOF VIII (Breakout)</t>
  </si>
  <si>
    <t>Starlight Investments</t>
  </si>
  <si>
    <t>Starlight UK BTR II</t>
  </si>
  <si>
    <t>HG CAPITAL</t>
  </si>
  <si>
    <t>HG Saturn 4</t>
  </si>
  <si>
    <t>570009852_pn_p_0225.xlsx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</si>
</sst>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6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2" fillId="0" borderId="0" xfId="0" quotePrefix="1" applyFont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/>
    <xf numFmtId="169" fontId="0" fillId="0" borderId="0" xfId="0" applyNumberFormat="1"/>
    <xf numFmtId="167" fontId="22" fillId="0" borderId="0" xfId="0" applyNumberFormat="1" applyFont="1" applyFill="1"/>
    <xf numFmtId="0" fontId="0" fillId="0" borderId="0" xfId="0" quotePrefix="1" applyAlignment="1">
      <alignment horizontal="right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9" fontId="22" fillId="0" borderId="0" xfId="0" applyNumberFormat="1" applyFont="1" applyFill="1"/>
    <xf numFmtId="0" fontId="0" fillId="0" borderId="0" xfId="0" applyAlignment="1">
      <alignment horizontal="right"/>
    </xf>
    <xf numFmtId="167" fontId="0" fillId="0" borderId="0" xfId="0" applyNumberFormat="1" applyFill="1"/>
    <xf numFmtId="168" fontId="0" fillId="0" borderId="0" xfId="0" applyNumberFormat="1" applyFill="1"/>
    <xf numFmtId="169" fontId="0" fillId="0" borderId="0" xfId="0" applyNumberFormat="1" applyFill="1"/>
    <xf numFmtId="0" fontId="0" fillId="0" borderId="2" xfId="0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3" fontId="23" fillId="0" borderId="2" xfId="3" applyNumberFormat="1" applyFont="1" applyFill="1" applyBorder="1"/>
    <xf numFmtId="167" fontId="2" fillId="0" borderId="0" xfId="0" applyNumberFormat="1" applyFont="1"/>
    <xf numFmtId="169" fontId="2" fillId="0" borderId="0" xfId="0" applyNumberFormat="1" applyFont="1"/>
    <xf numFmtId="3" fontId="23" fillId="0" borderId="2" xfId="3" quotePrefix="1" applyNumberFormat="1" applyFont="1" applyFill="1" applyBorder="1" applyAlignment="1">
      <alignment horizontal="left"/>
    </xf>
    <xf numFmtId="0" fontId="24" fillId="0" borderId="0" xfId="0" applyFont="1"/>
    <xf numFmtId="0" fontId="2" fillId="0" borderId="0" xfId="0" applyFont="1" applyFill="1"/>
    <xf numFmtId="0" fontId="22" fillId="0" borderId="2" xfId="0" applyFont="1" applyBorder="1"/>
    <xf numFmtId="0" fontId="2" fillId="0" borderId="0" xfId="0" quotePrefix="1" applyFont="1" applyAlignment="1">
      <alignment horizontal="left"/>
    </xf>
    <xf numFmtId="0" fontId="25" fillId="0" borderId="0" xfId="0" applyFont="1"/>
    <xf numFmtId="0" fontId="0" fillId="0" borderId="2" xfId="0" applyBorder="1"/>
    <xf numFmtId="0" fontId="24" fillId="0" borderId="0" xfId="0" applyFont="1" applyAlignment="1">
      <alignment horizontal="left"/>
    </xf>
    <xf numFmtId="0" fontId="0" fillId="0" borderId="2" xfId="0" quotePrefix="1" applyBorder="1" applyAlignment="1">
      <alignment horizontal="left"/>
    </xf>
    <xf numFmtId="0" fontId="24" fillId="0" borderId="0" xfId="0" quotePrefix="1" applyFont="1" applyFill="1" applyAlignment="1">
      <alignment horizontal="left"/>
    </xf>
    <xf numFmtId="0" fontId="24" fillId="0" borderId="0" xfId="0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hlefer\Desktop\5700098521_pn_0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</sheetData>
      <sheetData sheetId="32"/>
      <sheetData sheetId="3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XFC23"/>
  <sheetViews>
    <sheetView showGridLines="0" rightToLeft="1" tabSelected="1" workbookViewId="0">
      <selection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0.75" customWidth="1"/>
    <col min="5" max="26" width="8.625" hidden="1" customWidth="1"/>
    <col min="27" max="16383" width="12.625" hidden="1"/>
    <col min="16384" max="16384" width="6.875" hidden="1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67" t="s">
        <v>2783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34" priority="1" operator="containsText" text="Please fill in data">
      <formula>NOT(ISERROR(SEARCH(("Please fill in data"),(D21))))</formula>
    </cfRule>
  </conditionalFormatting>
  <conditionalFormatting sqref="D17">
    <cfRule type="containsText" dxfId="33" priority="2" operator="containsText" text="Please fill in data">
      <formula>NOT(ISERROR(SEARCH(("Please fill in data"),(D17))))</formula>
    </cfRule>
  </conditionalFormatting>
  <conditionalFormatting sqref="D19">
    <cfRule type="containsText" dxfId="32" priority="3" operator="containsText" text="Please fill in data">
      <formula>NOT(ISERROR(SEARCH(("Please fill in data"),(D19))))</formula>
    </cfRule>
  </conditionalFormatting>
  <conditionalFormatting sqref="D16">
    <cfRule type="containsText" dxfId="31" priority="4" operator="containsText" text="Please fill in data">
      <formula>NOT(ISERROR(SEARCH(("Please fill in data"),(D16))))</formula>
    </cfRule>
  </conditionalFormatting>
  <conditionalFormatting sqref="D3">
    <cfRule type="containsText" dxfId="30" priority="5" operator="containsText" text="Please fill in data">
      <formula>NOT(ISERROR(SEARCH(("Please fill in data"),(D3))))</formula>
    </cfRule>
  </conditionalFormatting>
  <conditionalFormatting sqref="D7">
    <cfRule type="containsText" dxfId="29" priority="6" operator="containsText" text="Please fill in data">
      <formula>NOT(ISERROR(SEARCH(("Please fill in data"),(D7))))</formula>
    </cfRule>
  </conditionalFormatting>
  <conditionalFormatting sqref="D8">
    <cfRule type="containsText" dxfId="28" priority="7" operator="containsText" text="Please fill in data">
      <formula>NOT(ISERROR(SEARCH(("Please fill in data"),(D8))))</formula>
    </cfRule>
  </conditionalFormatting>
  <conditionalFormatting sqref="D5">
    <cfRule type="containsText" dxfId="27" priority="8" operator="containsText" text="Please fill in data">
      <formula>NOT(ISERROR(SEARCH(("Please fill in data"),(D5))))</formula>
    </cfRule>
  </conditionalFormatting>
  <conditionalFormatting sqref="D9">
    <cfRule type="containsText" dxfId="26" priority="9" operator="containsText" text="Please fill in data">
      <formula>NOT(ISERROR(SEARCH(("Please fill in data"),(D9))))</formula>
    </cfRule>
  </conditionalFormatting>
  <conditionalFormatting sqref="D11">
    <cfRule type="containsText" dxfId="25" priority="10" operator="containsText" text="Please fill in data">
      <formula>NOT(ISERROR(SEARCH(("Please fill in data"),(D11))))</formula>
    </cfRule>
  </conditionalFormatting>
  <conditionalFormatting sqref="D13">
    <cfRule type="containsText" dxfId="24" priority="11" operator="containsText" text="Please fill in data">
      <formula>NOT(ISERROR(SEARCH(("Please fill in data"),(D13))))</formula>
    </cfRule>
  </conditionalFormatting>
  <conditionalFormatting sqref="D15">
    <cfRule type="containsText" dxfId="23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1231948.5175399997</v>
      </c>
      <c r="C3" s="116"/>
      <c r="D3" s="117"/>
      <c r="E3" s="114">
        <f>IFERROR(B3/$B$30,0)</f>
        <v>2.0516494808008497E-2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10303848.865532</v>
      </c>
      <c r="C4" s="116"/>
      <c r="D4" s="117"/>
      <c r="E4" s="114">
        <f t="shared" ref="E4:E29" si="0">IFERROR(B4/$B$30,0)</f>
        <v>0.17159715584083057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856039.5079000002</v>
      </c>
      <c r="C6" s="116"/>
      <c r="D6" s="117"/>
      <c r="E6" s="114">
        <f t="shared" si="0"/>
        <v>1.4256220831655213E-2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1142070.60733</v>
      </c>
      <c r="C7" s="116"/>
      <c r="D7" s="117"/>
      <c r="E7" s="114">
        <f t="shared" si="0"/>
        <v>1.9019695508423935E-2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3234422.4489499996</v>
      </c>
      <c r="C8" s="116"/>
      <c r="D8" s="117"/>
      <c r="E8" s="114">
        <f t="shared" si="0"/>
        <v>5.3865084811577126E-2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562709.46142000007</v>
      </c>
      <c r="C9" s="116"/>
      <c r="D9" s="117"/>
      <c r="E9" s="114">
        <f t="shared" si="0"/>
        <v>9.3711917172430419E-3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339.29025000000001</v>
      </c>
      <c r="C10" s="116"/>
      <c r="D10" s="117"/>
      <c r="E10" s="114">
        <f t="shared" si="0"/>
        <v>5.6504363237783512E-6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16502851.43127</v>
      </c>
      <c r="C15" s="116"/>
      <c r="D15" s="117"/>
      <c r="E15" s="114">
        <f t="shared" si="0"/>
        <v>0.27483345357895062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474305.81023100007</v>
      </c>
      <c r="C18" s="116"/>
      <c r="D18" s="117"/>
      <c r="E18" s="114">
        <f t="shared" si="0"/>
        <v>7.8989442776748343E-3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565807.31666400016</v>
      </c>
      <c r="C19" s="116"/>
      <c r="D19" s="117"/>
      <c r="E19" s="114">
        <f t="shared" si="0"/>
        <v>9.4227824534828999E-3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6104291.4412540011</v>
      </c>
      <c r="C20" s="116"/>
      <c r="D20" s="117"/>
      <c r="E20" s="114">
        <f t="shared" si="0"/>
        <v>0.10165900756237738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18.1815</v>
      </c>
      <c r="C21" s="116"/>
      <c r="D21" s="117"/>
      <c r="E21" s="114">
        <f t="shared" si="0"/>
        <v>3.0278915477463935E-7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85873.971828999987</v>
      </c>
      <c r="C23" s="116"/>
      <c r="D23" s="117"/>
      <c r="E23" s="114">
        <f t="shared" si="0"/>
        <v>1.430118931179721E-3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2871213.1947899987</v>
      </c>
      <c r="C24" s="116"/>
      <c r="D24" s="117"/>
      <c r="E24" s="114">
        <f t="shared" si="0"/>
        <v>4.7816308688956116E-2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345331.33853999997</v>
      </c>
      <c r="C26" s="116"/>
      <c r="D26" s="117"/>
      <c r="E26" s="114">
        <f t="shared" si="0"/>
        <v>5.7510427695031448E-3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28802.20004</v>
      </c>
      <c r="C27" s="116"/>
      <c r="D27" s="117"/>
      <c r="E27" s="114">
        <f t="shared" si="0"/>
        <v>4.7966305342032748E-4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15736860.96043</v>
      </c>
      <c r="C29" s="116"/>
      <c r="D29" s="117"/>
      <c r="E29" s="114">
        <f t="shared" si="0"/>
        <v>0.26207688194123802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60046734.545469999</v>
      </c>
      <c r="C30" s="118"/>
      <c r="D30" s="118"/>
      <c r="E30" s="115">
        <f t="shared" si="1"/>
        <v>0.99999999999999989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1390594.6229999999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2846315.4780000001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33"/>
  <sheetViews>
    <sheetView rightToLeft="1" workbookViewId="0">
      <selection activeCell="N2" sqref="N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190.04049000000001</v>
      </c>
      <c r="M2" s="122">
        <v>2.4674</v>
      </c>
      <c r="N2" s="123"/>
      <c r="O2" s="122">
        <v>468.90591000000001</v>
      </c>
      <c r="P2" s="123">
        <v>3.8000000000000002E-4</v>
      </c>
      <c r="Q2" s="123">
        <v>6.9999999999999999E-6</v>
      </c>
    </row>
    <row r="3" spans="1:26" ht="15" customHeight="1">
      <c r="A3" s="121">
        <v>313</v>
      </c>
      <c r="B3" s="121">
        <v>313</v>
      </c>
      <c r="C3" s="120" t="s">
        <v>1213</v>
      </c>
      <c r="D3" s="120" t="s">
        <v>1214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4.0000000000000001E-3</v>
      </c>
      <c r="M3" s="122">
        <v>3.9552</v>
      </c>
      <c r="N3" s="123"/>
      <c r="O3" s="122">
        <v>1.5820000000000001E-2</v>
      </c>
      <c r="P3" s="123">
        <v>0</v>
      </c>
      <c r="Q3" s="123">
        <v>0</v>
      </c>
    </row>
    <row r="4" spans="1:26" ht="15" customHeight="1">
      <c r="A4" s="121">
        <v>313</v>
      </c>
      <c r="B4" s="121">
        <v>313</v>
      </c>
      <c r="C4" s="120" t="s">
        <v>1216</v>
      </c>
      <c r="D4" s="120" t="s">
        <v>1217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1218</v>
      </c>
      <c r="L4" s="122">
        <v>7.6444200000000002</v>
      </c>
      <c r="M4" s="122">
        <v>1</v>
      </c>
      <c r="N4" s="123"/>
      <c r="O4" s="122">
        <v>7.6444200000000002</v>
      </c>
      <c r="P4" s="123">
        <v>6.0000000000000002E-6</v>
      </c>
      <c r="Q4" s="123">
        <v>0</v>
      </c>
    </row>
    <row r="5" spans="1:26" ht="15" customHeight="1">
      <c r="A5" s="121">
        <v>313</v>
      </c>
      <c r="B5" s="121">
        <v>313</v>
      </c>
      <c r="C5" s="120" t="s">
        <v>1213</v>
      </c>
      <c r="D5" s="120" t="s">
        <v>1214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1218</v>
      </c>
      <c r="L5" s="122">
        <v>4542.5377699999999</v>
      </c>
      <c r="M5" s="122">
        <v>1</v>
      </c>
      <c r="N5" s="123"/>
      <c r="O5" s="122">
        <v>4542.5377699999999</v>
      </c>
      <c r="P5" s="123">
        <v>3.6870000000000002E-3</v>
      </c>
      <c r="Q5" s="123">
        <v>7.4999999999999993E-5</v>
      </c>
    </row>
    <row r="6" spans="1:26" ht="15" customHeight="1">
      <c r="A6" s="121">
        <v>313</v>
      </c>
      <c r="B6" s="121">
        <v>313</v>
      </c>
      <c r="C6" s="120" t="s">
        <v>1219</v>
      </c>
      <c r="D6" s="120" t="s">
        <v>1220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1215</v>
      </c>
      <c r="L6" s="122">
        <v>227.60570999999999</v>
      </c>
      <c r="M6" s="122">
        <v>3.9552</v>
      </c>
      <c r="N6" s="123"/>
      <c r="O6" s="122">
        <v>900.22609999999997</v>
      </c>
      <c r="P6" s="123">
        <v>7.2999999999999996E-4</v>
      </c>
      <c r="Q6" s="123">
        <v>1.4E-5</v>
      </c>
    </row>
    <row r="7" spans="1:26" ht="15" customHeight="1">
      <c r="A7" s="121">
        <v>313</v>
      </c>
      <c r="B7" s="121">
        <v>313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1221</v>
      </c>
      <c r="L7" s="122">
        <v>5306.9016799999999</v>
      </c>
      <c r="M7" s="122">
        <v>0.53010000000000002</v>
      </c>
      <c r="N7" s="123"/>
      <c r="O7" s="122">
        <v>2813.18858</v>
      </c>
      <c r="P7" s="123">
        <v>2.2829999999999999E-3</v>
      </c>
      <c r="Q7" s="123">
        <v>4.6E-5</v>
      </c>
    </row>
    <row r="8" spans="1:26" ht="15" customHeight="1">
      <c r="A8" s="121">
        <v>313</v>
      </c>
      <c r="B8" s="121">
        <v>313</v>
      </c>
      <c r="C8" s="120" t="s">
        <v>1216</v>
      </c>
      <c r="D8" s="120" t="s">
        <v>1217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1215</v>
      </c>
      <c r="L8" s="122">
        <v>3757.42661</v>
      </c>
      <c r="M8" s="122">
        <v>3.9552</v>
      </c>
      <c r="N8" s="123"/>
      <c r="O8" s="122">
        <v>14861.373729999999</v>
      </c>
      <c r="P8" s="123">
        <v>1.2063000000000001E-2</v>
      </c>
      <c r="Q8" s="123">
        <v>2.4699999999999999E-4</v>
      </c>
    </row>
    <row r="9" spans="1:26" ht="15" customHeight="1">
      <c r="A9" s="121">
        <v>313</v>
      </c>
      <c r="B9" s="121">
        <v>313</v>
      </c>
      <c r="C9" s="120" t="s">
        <v>1216</v>
      </c>
      <c r="D9" s="120" t="s">
        <v>1217</v>
      </c>
      <c r="E9" s="120" t="s">
        <v>314</v>
      </c>
      <c r="F9" s="120" t="s">
        <v>938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1218</v>
      </c>
      <c r="L9" s="122">
        <v>196783.19446999999</v>
      </c>
      <c r="M9" s="122">
        <v>1</v>
      </c>
      <c r="N9" s="123"/>
      <c r="O9" s="122">
        <v>196783.19446999999</v>
      </c>
      <c r="P9" s="123">
        <v>0.15973300000000001</v>
      </c>
      <c r="Q9" s="123">
        <v>3.277E-3</v>
      </c>
    </row>
    <row r="10" spans="1:26" ht="15" customHeight="1">
      <c r="A10" s="121">
        <v>313</v>
      </c>
      <c r="B10" s="121">
        <v>313</v>
      </c>
      <c r="C10" s="120" t="s">
        <v>1209</v>
      </c>
      <c r="D10" s="120" t="s">
        <v>1210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1222</v>
      </c>
      <c r="L10" s="122">
        <v>30768.621520000001</v>
      </c>
      <c r="M10" s="122">
        <v>3.3719999999999999</v>
      </c>
      <c r="N10" s="123"/>
      <c r="O10" s="122">
        <v>103751.79177</v>
      </c>
      <c r="P10" s="123">
        <v>8.4217E-2</v>
      </c>
      <c r="Q10" s="123">
        <v>1.727E-3</v>
      </c>
    </row>
    <row r="11" spans="1:26" ht="15" customHeight="1">
      <c r="A11" s="121">
        <v>313</v>
      </c>
      <c r="B11" s="121">
        <v>313</v>
      </c>
      <c r="C11" s="120" t="s">
        <v>1216</v>
      </c>
      <c r="D11" s="120" t="s">
        <v>1217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1223</v>
      </c>
      <c r="L11" s="122">
        <v>43.078189999999999</v>
      </c>
      <c r="M11" s="122">
        <v>2.2031999999999998</v>
      </c>
      <c r="N11" s="123"/>
      <c r="O11" s="122">
        <v>94.909869999999998</v>
      </c>
      <c r="P11" s="123">
        <v>7.7000000000000001E-5</v>
      </c>
      <c r="Q11" s="123">
        <v>9.9999999999999995E-7</v>
      </c>
    </row>
    <row r="12" spans="1:26" ht="15" customHeight="1">
      <c r="A12" s="121">
        <v>313</v>
      </c>
      <c r="B12" s="121">
        <v>313</v>
      </c>
      <c r="C12" s="120" t="s">
        <v>1219</v>
      </c>
      <c r="D12" s="120" t="s">
        <v>1220</v>
      </c>
      <c r="E12" s="120" t="s">
        <v>314</v>
      </c>
      <c r="F12" s="120" t="s">
        <v>939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1218</v>
      </c>
      <c r="L12" s="122">
        <v>359171.92658000003</v>
      </c>
      <c r="M12" s="122">
        <v>1</v>
      </c>
      <c r="N12" s="123"/>
      <c r="O12" s="122">
        <v>359171.92658000003</v>
      </c>
      <c r="P12" s="123">
        <v>0.291547</v>
      </c>
      <c r="Q12" s="123">
        <v>5.9810000000000002E-3</v>
      </c>
    </row>
    <row r="13" spans="1:26" ht="15" customHeight="1">
      <c r="A13" s="121">
        <v>313</v>
      </c>
      <c r="B13" s="121">
        <v>313</v>
      </c>
      <c r="C13" s="120" t="s">
        <v>1219</v>
      </c>
      <c r="D13" s="120" t="s">
        <v>1220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1222</v>
      </c>
      <c r="L13" s="122">
        <v>5139.1999299999998</v>
      </c>
      <c r="M13" s="122">
        <v>3.3719999999999999</v>
      </c>
      <c r="N13" s="123"/>
      <c r="O13" s="122">
        <v>17329.382160000001</v>
      </c>
      <c r="P13" s="123">
        <v>1.4066E-2</v>
      </c>
      <c r="Q13" s="123">
        <v>2.8800000000000001E-4</v>
      </c>
    </row>
    <row r="14" spans="1:26" ht="15" customHeight="1">
      <c r="A14" s="121">
        <v>313</v>
      </c>
      <c r="B14" s="121">
        <v>313</v>
      </c>
      <c r="C14" s="120" t="s">
        <v>1209</v>
      </c>
      <c r="D14" s="120" t="s">
        <v>1210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1218</v>
      </c>
      <c r="L14" s="122">
        <v>340435.22957000002</v>
      </c>
      <c r="M14" s="122">
        <v>1</v>
      </c>
      <c r="N14" s="123"/>
      <c r="O14" s="122">
        <v>340435.22957000002</v>
      </c>
      <c r="P14" s="123">
        <v>0.276337</v>
      </c>
      <c r="Q14" s="123">
        <v>5.6680000000000003E-3</v>
      </c>
    </row>
    <row r="15" spans="1:26" ht="15" customHeight="1">
      <c r="A15" s="121">
        <v>313</v>
      </c>
      <c r="B15" s="121">
        <v>313</v>
      </c>
      <c r="C15" s="120" t="s">
        <v>1216</v>
      </c>
      <c r="D15" s="120" t="s">
        <v>1217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1222</v>
      </c>
      <c r="L15" s="122">
        <v>15989.28097</v>
      </c>
      <c r="M15" s="122">
        <v>3.3719999999999999</v>
      </c>
      <c r="N15" s="123"/>
      <c r="O15" s="122">
        <v>53915.855430000003</v>
      </c>
      <c r="P15" s="123">
        <v>4.3763999999999997E-2</v>
      </c>
      <c r="Q15" s="123">
        <v>8.9700000000000001E-4</v>
      </c>
    </row>
    <row r="16" spans="1:26" ht="15" customHeight="1">
      <c r="A16" s="121">
        <v>313</v>
      </c>
      <c r="B16" s="121">
        <v>313</v>
      </c>
      <c r="C16" s="120" t="s">
        <v>1219</v>
      </c>
      <c r="D16" s="120" t="s">
        <v>1220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1218</v>
      </c>
      <c r="L16" s="122">
        <v>71479.924650000001</v>
      </c>
      <c r="M16" s="122">
        <v>1</v>
      </c>
      <c r="N16" s="123"/>
      <c r="O16" s="122">
        <v>71479.924650000001</v>
      </c>
      <c r="P16" s="123">
        <v>5.8021000000000003E-2</v>
      </c>
      <c r="Q16" s="123">
        <v>1.1900000000000001E-3</v>
      </c>
    </row>
    <row r="17" spans="1:17" ht="15" customHeight="1">
      <c r="A17" s="121">
        <v>313</v>
      </c>
      <c r="B17" s="121">
        <v>313</v>
      </c>
      <c r="C17" s="120" t="s">
        <v>1209</v>
      </c>
      <c r="D17" s="120" t="s">
        <v>1210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1215</v>
      </c>
      <c r="L17" s="122">
        <v>1522.03126</v>
      </c>
      <c r="M17" s="122">
        <v>3.9552</v>
      </c>
      <c r="N17" s="123"/>
      <c r="O17" s="122">
        <v>6019.93804</v>
      </c>
      <c r="P17" s="123">
        <v>4.8859999999999997E-3</v>
      </c>
      <c r="Q17" s="123">
        <v>1E-4</v>
      </c>
    </row>
    <row r="18" spans="1:17" ht="15" customHeight="1">
      <c r="A18" s="121">
        <v>313</v>
      </c>
      <c r="B18" s="121">
        <v>313</v>
      </c>
      <c r="C18" s="120" t="s">
        <v>1209</v>
      </c>
      <c r="D18" s="120" t="s">
        <v>1210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1224</v>
      </c>
      <c r="L18" s="122">
        <v>22157.041000000001</v>
      </c>
      <c r="M18" s="122">
        <v>2.3369000000000001E-2</v>
      </c>
      <c r="N18" s="123"/>
      <c r="O18" s="122">
        <v>517.78788999999995</v>
      </c>
      <c r="P18" s="123">
        <v>4.2000000000000002E-4</v>
      </c>
      <c r="Q18" s="123">
        <v>7.9999999999999996E-6</v>
      </c>
    </row>
    <row r="19" spans="1:17" ht="15" customHeight="1">
      <c r="A19" s="121">
        <v>313</v>
      </c>
      <c r="B19" s="121">
        <v>313</v>
      </c>
      <c r="C19" s="120" t="s">
        <v>1216</v>
      </c>
      <c r="D19" s="120" t="s">
        <v>1217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1224</v>
      </c>
      <c r="L19" s="122">
        <v>80932.189759999994</v>
      </c>
      <c r="M19" s="122">
        <v>2.3369000000000001E-2</v>
      </c>
      <c r="N19" s="123"/>
      <c r="O19" s="122">
        <v>1891.3043399999999</v>
      </c>
      <c r="P19" s="123">
        <v>1.5349999999999999E-3</v>
      </c>
      <c r="Q19" s="123">
        <v>3.1000000000000001E-5</v>
      </c>
    </row>
    <row r="20" spans="1:17" ht="15" customHeight="1">
      <c r="A20" s="121">
        <v>313</v>
      </c>
      <c r="B20" s="121">
        <v>313</v>
      </c>
      <c r="C20" s="120" t="s">
        <v>1219</v>
      </c>
      <c r="D20" s="120" t="s">
        <v>1220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1224</v>
      </c>
      <c r="L20" s="122">
        <v>12000.4589</v>
      </c>
      <c r="M20" s="122">
        <v>2.3369000000000001E-2</v>
      </c>
      <c r="N20" s="123"/>
      <c r="O20" s="122">
        <v>280.43871999999999</v>
      </c>
      <c r="P20" s="123">
        <v>2.2699999999999999E-4</v>
      </c>
      <c r="Q20" s="123">
        <v>3.9999999999999998E-6</v>
      </c>
    </row>
    <row r="21" spans="1:17" ht="15" customHeight="1">
      <c r="A21" s="121">
        <v>313</v>
      </c>
      <c r="B21" s="121">
        <v>313</v>
      </c>
      <c r="C21" s="120" t="s">
        <v>1209</v>
      </c>
      <c r="D21" s="120" t="s">
        <v>1210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1225</v>
      </c>
      <c r="L21" s="122">
        <v>139.36891</v>
      </c>
      <c r="M21" s="122">
        <v>4.6235999999999997</v>
      </c>
      <c r="N21" s="123"/>
      <c r="O21" s="122">
        <v>644.38608999999997</v>
      </c>
      <c r="P21" s="123">
        <v>5.2300000000000003E-4</v>
      </c>
      <c r="Q21" s="123">
        <v>1.0000000000000001E-5</v>
      </c>
    </row>
    <row r="22" spans="1:17" ht="15" customHeight="1">
      <c r="A22" s="121">
        <v>313</v>
      </c>
      <c r="B22" s="121">
        <v>313</v>
      </c>
      <c r="C22" s="120" t="s">
        <v>1216</v>
      </c>
      <c r="D22" s="120" t="s">
        <v>1217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1212</v>
      </c>
      <c r="L22" s="122">
        <v>38.280149999999999</v>
      </c>
      <c r="M22" s="122">
        <v>2.4674</v>
      </c>
      <c r="N22" s="123"/>
      <c r="O22" s="122">
        <v>94.452439999999996</v>
      </c>
      <c r="P22" s="123">
        <v>7.6000000000000004E-5</v>
      </c>
      <c r="Q22" s="123">
        <v>9.9999999999999995E-7</v>
      </c>
    </row>
    <row r="23" spans="1:17" ht="15" customHeight="1">
      <c r="A23" s="121">
        <v>313</v>
      </c>
      <c r="B23" s="121">
        <v>313</v>
      </c>
      <c r="C23" s="120" t="s">
        <v>1216</v>
      </c>
      <c r="D23" s="120" t="s">
        <v>1217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1225</v>
      </c>
      <c r="L23" s="122">
        <v>353.36182000000002</v>
      </c>
      <c r="M23" s="122">
        <v>4.6235999999999997</v>
      </c>
      <c r="N23" s="123"/>
      <c r="O23" s="122">
        <v>1633.8037099999999</v>
      </c>
      <c r="P23" s="123">
        <v>1.3259999999999999E-3</v>
      </c>
      <c r="Q23" s="123">
        <v>2.6999999999999999E-5</v>
      </c>
    </row>
    <row r="24" spans="1:17" ht="15" customHeight="1">
      <c r="A24" s="121">
        <v>313</v>
      </c>
      <c r="B24" s="121">
        <v>313</v>
      </c>
      <c r="C24" s="120" t="s">
        <v>1216</v>
      </c>
      <c r="D24" s="120" t="s">
        <v>1217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1226</v>
      </c>
      <c r="L24" s="122">
        <v>146.80459999999999</v>
      </c>
      <c r="M24" s="122">
        <v>4.2313999999999998</v>
      </c>
      <c r="N24" s="123"/>
      <c r="O24" s="122">
        <v>621.18897000000004</v>
      </c>
      <c r="P24" s="123">
        <v>5.04E-4</v>
      </c>
      <c r="Q24" s="123">
        <v>1.0000000000000001E-5</v>
      </c>
    </row>
    <row r="25" spans="1:17" ht="15" customHeight="1">
      <c r="A25" s="121">
        <v>313</v>
      </c>
      <c r="B25" s="121">
        <v>313</v>
      </c>
      <c r="C25" s="120" t="s">
        <v>1227</v>
      </c>
      <c r="D25" s="120" t="s">
        <v>1228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1222</v>
      </c>
      <c r="L25" s="122">
        <v>264.11453999999998</v>
      </c>
      <c r="M25" s="122">
        <v>3.3719999999999999</v>
      </c>
      <c r="N25" s="123"/>
      <c r="O25" s="122">
        <v>890.59423000000004</v>
      </c>
      <c r="P25" s="123">
        <v>7.2199999999999999E-4</v>
      </c>
      <c r="Q25" s="123">
        <v>1.4E-5</v>
      </c>
    </row>
    <row r="26" spans="1:17" ht="15" customHeight="1">
      <c r="A26" s="121">
        <v>313</v>
      </c>
      <c r="B26" s="121">
        <v>313</v>
      </c>
      <c r="C26" s="120" t="s">
        <v>1219</v>
      </c>
      <c r="D26" s="120" t="s">
        <v>1220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1212</v>
      </c>
      <c r="L26" s="122">
        <v>63.529760000000003</v>
      </c>
      <c r="M26" s="122">
        <v>2.4674</v>
      </c>
      <c r="N26" s="123"/>
      <c r="O26" s="122">
        <v>156.75333000000001</v>
      </c>
      <c r="P26" s="123">
        <v>1.27E-4</v>
      </c>
      <c r="Q26" s="123">
        <v>1.9999999999999999E-6</v>
      </c>
    </row>
    <row r="27" spans="1:17" ht="15" customHeight="1">
      <c r="A27" s="121">
        <v>313</v>
      </c>
      <c r="B27" s="121">
        <v>313</v>
      </c>
      <c r="C27" s="120" t="s">
        <v>1219</v>
      </c>
      <c r="D27" s="120" t="s">
        <v>1220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1225</v>
      </c>
      <c r="L27" s="122">
        <v>1609.0062399999999</v>
      </c>
      <c r="M27" s="122">
        <v>4.6235999999999997</v>
      </c>
      <c r="N27" s="123"/>
      <c r="O27" s="122">
        <v>7439.4012499999999</v>
      </c>
      <c r="P27" s="123">
        <v>6.038E-3</v>
      </c>
      <c r="Q27" s="123">
        <v>1.2300000000000001E-4</v>
      </c>
    </row>
    <row r="28" spans="1:17" ht="15" customHeight="1">
      <c r="A28" s="121">
        <v>313</v>
      </c>
      <c r="B28" s="121">
        <v>313</v>
      </c>
      <c r="C28" s="120" t="s">
        <v>1219</v>
      </c>
      <c r="D28" s="120" t="s">
        <v>1220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1226</v>
      </c>
      <c r="L28" s="122">
        <v>8.3590300000000006</v>
      </c>
      <c r="M28" s="122">
        <v>4.2313999999999998</v>
      </c>
      <c r="N28" s="123"/>
      <c r="O28" s="122">
        <v>35.370379999999997</v>
      </c>
      <c r="P28" s="123">
        <v>2.8E-5</v>
      </c>
      <c r="Q28" s="123">
        <v>0</v>
      </c>
    </row>
    <row r="29" spans="1:17" ht="15" customHeight="1">
      <c r="A29" s="121">
        <v>313</v>
      </c>
      <c r="B29" s="121">
        <v>313</v>
      </c>
      <c r="C29" s="120" t="s">
        <v>1216</v>
      </c>
      <c r="D29" s="120" t="s">
        <v>1217</v>
      </c>
      <c r="E29" s="120" t="s">
        <v>314</v>
      </c>
      <c r="F29" s="120" t="s">
        <v>942</v>
      </c>
      <c r="G29" s="120" t="s">
        <v>203</v>
      </c>
      <c r="H29" s="120" t="s">
        <v>338</v>
      </c>
      <c r="I29" s="120" t="s">
        <v>1211</v>
      </c>
      <c r="J29" s="120" t="s">
        <v>412</v>
      </c>
      <c r="K29" s="120" t="s">
        <v>1222</v>
      </c>
      <c r="L29" s="122">
        <v>13008.975340000001</v>
      </c>
      <c r="M29" s="122">
        <v>3.3719999999999999</v>
      </c>
      <c r="N29" s="123"/>
      <c r="O29" s="122">
        <v>43866.26485</v>
      </c>
      <c r="P29" s="123">
        <v>3.5607E-2</v>
      </c>
      <c r="Q29" s="123">
        <v>7.2999999999999996E-4</v>
      </c>
    </row>
    <row r="30" spans="1:17" ht="15" customHeight="1">
      <c r="A30" s="121">
        <v>313</v>
      </c>
      <c r="B30" s="121">
        <v>313</v>
      </c>
      <c r="C30" s="120" t="s">
        <v>1227</v>
      </c>
      <c r="D30" s="120" t="s">
        <v>1228</v>
      </c>
      <c r="E30" s="120" t="s">
        <v>314</v>
      </c>
      <c r="F30" s="120" t="s">
        <v>935</v>
      </c>
      <c r="G30" s="120" t="s">
        <v>203</v>
      </c>
      <c r="H30" s="120" t="s">
        <v>338</v>
      </c>
      <c r="I30" s="120" t="s">
        <v>1211</v>
      </c>
      <c r="J30" s="120" t="s">
        <v>412</v>
      </c>
      <c r="K30" s="120" t="s">
        <v>1218</v>
      </c>
      <c r="L30" s="122">
        <v>1016.16458</v>
      </c>
      <c r="M30" s="122">
        <v>1</v>
      </c>
      <c r="N30" s="123"/>
      <c r="O30" s="122">
        <v>1016.16458</v>
      </c>
      <c r="P30" s="123">
        <v>8.2399999999999997E-4</v>
      </c>
      <c r="Q30" s="123">
        <v>1.5999999999999999E-5</v>
      </c>
    </row>
    <row r="31" spans="1:17" ht="15" customHeight="1">
      <c r="A31" s="121">
        <v>313</v>
      </c>
      <c r="B31" s="121">
        <v>313</v>
      </c>
      <c r="C31" s="120" t="s">
        <v>1219</v>
      </c>
      <c r="D31" s="120" t="s">
        <v>1220</v>
      </c>
      <c r="E31" s="120" t="s">
        <v>314</v>
      </c>
      <c r="F31" s="120" t="s">
        <v>937</v>
      </c>
      <c r="G31" s="120" t="s">
        <v>203</v>
      </c>
      <c r="H31" s="120" t="s">
        <v>338</v>
      </c>
      <c r="I31" s="120" t="s">
        <v>1211</v>
      </c>
      <c r="J31" s="120" t="s">
        <v>412</v>
      </c>
      <c r="K31" s="120" t="s">
        <v>1221</v>
      </c>
      <c r="L31" s="122">
        <v>77.464230000000001</v>
      </c>
      <c r="M31" s="122">
        <v>0.53010000000000002</v>
      </c>
      <c r="N31" s="123"/>
      <c r="O31" s="122">
        <v>41.063789999999997</v>
      </c>
      <c r="P31" s="123">
        <v>3.3000000000000003E-5</v>
      </c>
      <c r="Q31" s="123">
        <v>0</v>
      </c>
    </row>
    <row r="32" spans="1:17" ht="15" customHeight="1">
      <c r="A32" s="121">
        <v>313</v>
      </c>
      <c r="B32" s="121">
        <v>313</v>
      </c>
      <c r="C32" s="120" t="s">
        <v>1219</v>
      </c>
      <c r="D32" s="120" t="s">
        <v>1220</v>
      </c>
      <c r="E32" s="120" t="s">
        <v>314</v>
      </c>
      <c r="F32" s="120" t="s">
        <v>937</v>
      </c>
      <c r="G32" s="120" t="s">
        <v>203</v>
      </c>
      <c r="H32" s="120" t="s">
        <v>338</v>
      </c>
      <c r="I32" s="120" t="s">
        <v>1211</v>
      </c>
      <c r="J32" s="120" t="s">
        <v>412</v>
      </c>
      <c r="K32" s="120" t="s">
        <v>1223</v>
      </c>
      <c r="L32" s="122">
        <v>5.6468800000000003</v>
      </c>
      <c r="M32" s="122">
        <v>2.2031999999999998</v>
      </c>
      <c r="N32" s="123"/>
      <c r="O32" s="122">
        <v>12.44121</v>
      </c>
      <c r="P32" s="123">
        <v>1.0000000000000001E-5</v>
      </c>
      <c r="Q32" s="123">
        <v>0</v>
      </c>
    </row>
    <row r="33" spans="1:17" ht="15" customHeight="1">
      <c r="A33" s="121">
        <v>313</v>
      </c>
      <c r="B33" s="121">
        <v>313</v>
      </c>
      <c r="C33" s="120" t="s">
        <v>1213</v>
      </c>
      <c r="D33" s="120" t="s">
        <v>1214</v>
      </c>
      <c r="E33" s="120" t="s">
        <v>314</v>
      </c>
      <c r="F33" s="120" t="s">
        <v>937</v>
      </c>
      <c r="G33" s="120" t="s">
        <v>203</v>
      </c>
      <c r="H33" s="120" t="s">
        <v>338</v>
      </c>
      <c r="I33" s="120" t="s">
        <v>1211</v>
      </c>
      <c r="J33" s="120" t="s">
        <v>412</v>
      </c>
      <c r="K33" s="120" t="s">
        <v>1222</v>
      </c>
      <c r="L33" s="122">
        <v>68.522210000000001</v>
      </c>
      <c r="M33" s="122">
        <v>3.3719999999999999</v>
      </c>
      <c r="N33" s="123"/>
      <c r="O33" s="122">
        <v>231.05689000000001</v>
      </c>
      <c r="P33" s="123">
        <v>1.8699999999999999E-4</v>
      </c>
      <c r="Q33" s="123">
        <v>3.0000000000000001E-6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4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1229</v>
      </c>
      <c r="D2" s="120" t="s">
        <v>1230</v>
      </c>
      <c r="E2" s="121" t="s">
        <v>1231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1232</v>
      </c>
      <c r="K2" s="120" t="s">
        <v>412</v>
      </c>
      <c r="L2" s="120" t="s">
        <v>1218</v>
      </c>
      <c r="M2" s="122">
        <v>14.71</v>
      </c>
      <c r="N2" s="124">
        <v>53782</v>
      </c>
      <c r="O2" s="123">
        <v>3.7499999999999999E-2</v>
      </c>
      <c r="P2" s="123">
        <v>4.4699999999999997E-2</v>
      </c>
      <c r="Q2" s="122"/>
      <c r="R2" s="122">
        <v>456691064</v>
      </c>
      <c r="S2" s="122">
        <v>1</v>
      </c>
      <c r="T2" s="122">
        <v>91.05</v>
      </c>
      <c r="U2" s="122">
        <v>415817.21376999997</v>
      </c>
      <c r="V2" s="122"/>
      <c r="W2" s="120"/>
      <c r="X2" s="123">
        <v>1.7399999999999999E-2</v>
      </c>
      <c r="Y2" s="123">
        <v>4.0355000000000002E-2</v>
      </c>
      <c r="Z2" s="123">
        <v>6.9239999999999996E-3</v>
      </c>
    </row>
    <row r="3" spans="1:26" ht="15" customHeight="1">
      <c r="A3" s="121">
        <v>313</v>
      </c>
      <c r="B3" s="121">
        <v>313</v>
      </c>
      <c r="C3" s="120" t="s">
        <v>1229</v>
      </c>
      <c r="D3" s="120" t="s">
        <v>1233</v>
      </c>
      <c r="E3" s="121" t="s">
        <v>1234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1232</v>
      </c>
      <c r="K3" s="120" t="s">
        <v>412</v>
      </c>
      <c r="L3" s="120" t="s">
        <v>1218</v>
      </c>
      <c r="M3" s="122">
        <v>1.08</v>
      </c>
      <c r="N3" s="124">
        <v>46234</v>
      </c>
      <c r="O3" s="123">
        <v>1E-3</v>
      </c>
      <c r="P3" s="123">
        <v>2.3300000000000001E-2</v>
      </c>
      <c r="Q3" s="120"/>
      <c r="R3" s="122">
        <v>57358181</v>
      </c>
      <c r="S3" s="122">
        <v>1</v>
      </c>
      <c r="T3" s="122">
        <v>114.5</v>
      </c>
      <c r="U3" s="122">
        <v>65675.117249999996</v>
      </c>
      <c r="V3" s="120"/>
      <c r="W3" s="120"/>
      <c r="X3" s="123">
        <v>2.8379999999999998E-3</v>
      </c>
      <c r="Y3" s="123">
        <v>6.3730000000000002E-3</v>
      </c>
      <c r="Z3" s="123">
        <v>1.093E-3</v>
      </c>
    </row>
    <row r="4" spans="1:26" ht="15" customHeight="1">
      <c r="A4" s="121">
        <v>313</v>
      </c>
      <c r="B4" s="121">
        <v>313</v>
      </c>
      <c r="C4" s="120" t="s">
        <v>1229</v>
      </c>
      <c r="D4" s="120" t="s">
        <v>1235</v>
      </c>
      <c r="E4" s="121" t="s">
        <v>1236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1232</v>
      </c>
      <c r="K4" s="120" t="s">
        <v>412</v>
      </c>
      <c r="L4" s="120" t="s">
        <v>1218</v>
      </c>
      <c r="M4" s="122">
        <v>7.78</v>
      </c>
      <c r="N4" s="124">
        <v>48883</v>
      </c>
      <c r="O4" s="123">
        <v>1.6E-2</v>
      </c>
      <c r="P4" s="123">
        <v>1.9699999999999999E-2</v>
      </c>
      <c r="Q4" s="120"/>
      <c r="R4" s="122">
        <v>162458000</v>
      </c>
      <c r="S4" s="122">
        <v>1</v>
      </c>
      <c r="T4" s="122">
        <v>103.3</v>
      </c>
      <c r="U4" s="122">
        <v>167819.114</v>
      </c>
      <c r="V4" s="120"/>
      <c r="W4" s="120"/>
      <c r="X4" s="123">
        <v>6.8630000000000002E-3</v>
      </c>
      <c r="Y4" s="123">
        <v>1.6286999999999999E-2</v>
      </c>
      <c r="Z4" s="123">
        <v>2.794E-3</v>
      </c>
    </row>
    <row r="5" spans="1:26" ht="15" customHeight="1">
      <c r="A5" s="121">
        <v>313</v>
      </c>
      <c r="B5" s="121">
        <v>313</v>
      </c>
      <c r="C5" s="120" t="s">
        <v>1229</v>
      </c>
      <c r="D5" s="120" t="s">
        <v>1237</v>
      </c>
      <c r="E5" s="121" t="s">
        <v>1238</v>
      </c>
      <c r="F5" s="120" t="s">
        <v>947</v>
      </c>
      <c r="G5" s="120" t="s">
        <v>203</v>
      </c>
      <c r="H5" s="120" t="s">
        <v>203</v>
      </c>
      <c r="I5" s="120" t="s">
        <v>339</v>
      </c>
      <c r="J5" s="120" t="s">
        <v>1232</v>
      </c>
      <c r="K5" s="120" t="s">
        <v>412</v>
      </c>
      <c r="L5" s="120" t="s">
        <v>1218</v>
      </c>
      <c r="M5" s="122">
        <v>1</v>
      </c>
      <c r="N5" s="124">
        <v>47816</v>
      </c>
      <c r="O5" s="123">
        <v>0</v>
      </c>
      <c r="P5" s="123">
        <v>4.53E-2</v>
      </c>
      <c r="Q5" s="120"/>
      <c r="R5" s="122">
        <v>1006241</v>
      </c>
      <c r="S5" s="122">
        <v>1</v>
      </c>
      <c r="T5" s="122">
        <v>98.36</v>
      </c>
      <c r="U5" s="122">
        <v>989.73865000000001</v>
      </c>
      <c r="V5" s="120"/>
      <c r="W5" s="120"/>
      <c r="X5" s="123">
        <v>3.0000000000000001E-5</v>
      </c>
      <c r="Y5" s="123">
        <v>9.6000000000000002E-5</v>
      </c>
      <c r="Z5" s="123">
        <v>1.5999999999999999E-5</v>
      </c>
    </row>
    <row r="6" spans="1:26" ht="15" customHeight="1">
      <c r="A6" s="121">
        <v>313</v>
      </c>
      <c r="B6" s="121">
        <v>313</v>
      </c>
      <c r="C6" s="120" t="s">
        <v>1229</v>
      </c>
      <c r="D6" s="120" t="s">
        <v>1239</v>
      </c>
      <c r="E6" s="121" t="s">
        <v>1240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1232</v>
      </c>
      <c r="K6" s="120" t="s">
        <v>412</v>
      </c>
      <c r="L6" s="120" t="s">
        <v>1218</v>
      </c>
      <c r="M6" s="122">
        <v>4.6399999999999997</v>
      </c>
      <c r="N6" s="124">
        <v>47573</v>
      </c>
      <c r="O6" s="123">
        <v>0.01</v>
      </c>
      <c r="P6" s="123">
        <v>3.9699999999999999E-2</v>
      </c>
      <c r="Q6" s="120"/>
      <c r="R6" s="122">
        <v>5757517</v>
      </c>
      <c r="S6" s="122">
        <v>1</v>
      </c>
      <c r="T6" s="122">
        <v>87.63</v>
      </c>
      <c r="U6" s="122">
        <v>5045.3121499999997</v>
      </c>
      <c r="V6" s="120"/>
      <c r="W6" s="120"/>
      <c r="X6" s="123">
        <v>1.5200000000000001E-4</v>
      </c>
      <c r="Y6" s="123">
        <v>4.8899999999999996E-4</v>
      </c>
      <c r="Z6" s="123">
        <v>8.3999999999999995E-5</v>
      </c>
    </row>
    <row r="7" spans="1:26" ht="15" customHeight="1">
      <c r="A7" s="121">
        <v>313</v>
      </c>
      <c r="B7" s="121">
        <v>313</v>
      </c>
      <c r="C7" s="120" t="s">
        <v>1229</v>
      </c>
      <c r="D7" s="120" t="s">
        <v>1241</v>
      </c>
      <c r="E7" s="121" t="s">
        <v>1242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1232</v>
      </c>
      <c r="K7" s="120" t="s">
        <v>412</v>
      </c>
      <c r="L7" s="120" t="s">
        <v>1218</v>
      </c>
      <c r="M7" s="122">
        <v>13.17</v>
      </c>
      <c r="N7" s="124">
        <v>51744</v>
      </c>
      <c r="O7" s="123">
        <v>2.75E-2</v>
      </c>
      <c r="P7" s="123">
        <v>1.9599999999999999E-2</v>
      </c>
      <c r="Q7" s="120"/>
      <c r="R7" s="122">
        <v>1936115187</v>
      </c>
      <c r="S7" s="122">
        <v>1</v>
      </c>
      <c r="T7" s="122">
        <v>141.80000000000001</v>
      </c>
      <c r="U7" s="122">
        <v>2745411.3351699999</v>
      </c>
      <c r="V7" s="120"/>
      <c r="W7" s="120"/>
      <c r="X7" s="123">
        <v>9.5968999999999999E-2</v>
      </c>
      <c r="Y7" s="123">
        <v>0.26644499999999999</v>
      </c>
      <c r="Z7" s="123">
        <v>4.5720999999999998E-2</v>
      </c>
    </row>
    <row r="8" spans="1:26" ht="15" customHeight="1">
      <c r="A8" s="121">
        <v>313</v>
      </c>
      <c r="B8" s="121">
        <v>313</v>
      </c>
      <c r="C8" s="120" t="s">
        <v>1229</v>
      </c>
      <c r="D8" s="120" t="s">
        <v>1243</v>
      </c>
      <c r="E8" s="121" t="s">
        <v>1244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1232</v>
      </c>
      <c r="K8" s="120" t="s">
        <v>412</v>
      </c>
      <c r="L8" s="120" t="s">
        <v>1218</v>
      </c>
      <c r="M8" s="122">
        <v>3.11</v>
      </c>
      <c r="N8" s="124">
        <v>47024</v>
      </c>
      <c r="O8" s="123">
        <v>2.2499999999999999E-2</v>
      </c>
      <c r="P8" s="123">
        <v>3.95E-2</v>
      </c>
      <c r="Q8" s="120"/>
      <c r="R8" s="122">
        <v>411486</v>
      </c>
      <c r="S8" s="122">
        <v>1</v>
      </c>
      <c r="T8" s="122">
        <v>96.6</v>
      </c>
      <c r="U8" s="122">
        <v>397.49547999999999</v>
      </c>
      <c r="V8" s="120"/>
      <c r="W8" s="120"/>
      <c r="X8" s="123">
        <v>1.1E-5</v>
      </c>
      <c r="Y8" s="123">
        <v>3.8000000000000002E-5</v>
      </c>
      <c r="Z8" s="123">
        <v>6.0000000000000002E-6</v>
      </c>
    </row>
    <row r="9" spans="1:26" ht="15" customHeight="1">
      <c r="A9" s="121">
        <v>313</v>
      </c>
      <c r="B9" s="121">
        <v>313</v>
      </c>
      <c r="C9" s="120" t="s">
        <v>1229</v>
      </c>
      <c r="D9" s="120" t="s">
        <v>1245</v>
      </c>
      <c r="E9" s="121" t="s">
        <v>1246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1232</v>
      </c>
      <c r="K9" s="120" t="s">
        <v>412</v>
      </c>
      <c r="L9" s="120" t="s">
        <v>1218</v>
      </c>
      <c r="M9" s="122">
        <v>0.9</v>
      </c>
      <c r="N9" s="124">
        <v>46173</v>
      </c>
      <c r="O9" s="123">
        <v>0</v>
      </c>
      <c r="P9" s="123">
        <v>4.3200000000000002E-2</v>
      </c>
      <c r="Q9" s="120"/>
      <c r="R9" s="122">
        <v>14557451</v>
      </c>
      <c r="S9" s="122">
        <v>1</v>
      </c>
      <c r="T9" s="122">
        <v>100.22</v>
      </c>
      <c r="U9" s="122">
        <v>14589.47739</v>
      </c>
      <c r="V9" s="120"/>
      <c r="W9" s="120"/>
      <c r="X9" s="123">
        <v>6.8599999999999998E-4</v>
      </c>
      <c r="Y9" s="123">
        <v>1.415E-3</v>
      </c>
      <c r="Z9" s="123">
        <v>2.42E-4</v>
      </c>
    </row>
    <row r="10" spans="1:26" ht="15" customHeight="1">
      <c r="A10" s="121">
        <v>313</v>
      </c>
      <c r="B10" s="121">
        <v>313</v>
      </c>
      <c r="C10" s="120" t="s">
        <v>1229</v>
      </c>
      <c r="D10" s="120" t="s">
        <v>1247</v>
      </c>
      <c r="E10" s="121" t="s">
        <v>1248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1232</v>
      </c>
      <c r="K10" s="120" t="s">
        <v>412</v>
      </c>
      <c r="L10" s="120" t="s">
        <v>1218</v>
      </c>
      <c r="M10" s="122">
        <v>17.940000000000001</v>
      </c>
      <c r="N10" s="124">
        <v>53113</v>
      </c>
      <c r="O10" s="123">
        <v>0.01</v>
      </c>
      <c r="P10" s="123">
        <v>2.0199999999999999E-2</v>
      </c>
      <c r="Q10" s="120"/>
      <c r="R10" s="122">
        <v>844989417</v>
      </c>
      <c r="S10" s="122">
        <v>1</v>
      </c>
      <c r="T10" s="122">
        <v>98.54</v>
      </c>
      <c r="U10" s="122">
        <v>832652.57151000004</v>
      </c>
      <c r="V10" s="120"/>
      <c r="W10" s="120"/>
      <c r="X10" s="123">
        <v>3.7007999999999999E-2</v>
      </c>
      <c r="Y10" s="123">
        <v>8.0809000000000006E-2</v>
      </c>
      <c r="Z10" s="123">
        <v>1.3866E-2</v>
      </c>
    </row>
    <row r="11" spans="1:26" ht="15" customHeight="1">
      <c r="A11" s="121">
        <v>313</v>
      </c>
      <c r="B11" s="121">
        <v>313</v>
      </c>
      <c r="C11" s="120" t="s">
        <v>1229</v>
      </c>
      <c r="D11" s="120" t="s">
        <v>1249</v>
      </c>
      <c r="E11" s="121" t="s">
        <v>1250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1232</v>
      </c>
      <c r="K11" s="120" t="s">
        <v>412</v>
      </c>
      <c r="L11" s="120" t="s">
        <v>1218</v>
      </c>
      <c r="M11" s="122">
        <v>1.73</v>
      </c>
      <c r="N11" s="124">
        <v>46477</v>
      </c>
      <c r="O11" s="123">
        <v>0.02</v>
      </c>
      <c r="P11" s="123">
        <v>0.04</v>
      </c>
      <c r="Q11" s="120"/>
      <c r="R11" s="122">
        <v>136289504</v>
      </c>
      <c r="S11" s="122">
        <v>1</v>
      </c>
      <c r="T11" s="122">
        <v>97.19</v>
      </c>
      <c r="U11" s="122">
        <v>132459.76894000001</v>
      </c>
      <c r="V11" s="120"/>
      <c r="W11" s="120"/>
      <c r="X11" s="123">
        <v>4.8279999999999998E-3</v>
      </c>
      <c r="Y11" s="123">
        <v>1.2855E-2</v>
      </c>
      <c r="Z11" s="123">
        <v>2.2049999999999999E-3</v>
      </c>
    </row>
    <row r="12" spans="1:26" ht="15" customHeight="1">
      <c r="A12" s="121">
        <v>313</v>
      </c>
      <c r="B12" s="121">
        <v>313</v>
      </c>
      <c r="C12" s="120" t="s">
        <v>1229</v>
      </c>
      <c r="D12" s="120" t="s">
        <v>1251</v>
      </c>
      <c r="E12" s="121" t="s">
        <v>1252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1232</v>
      </c>
      <c r="K12" s="120" t="s">
        <v>412</v>
      </c>
      <c r="L12" s="120" t="s">
        <v>1218</v>
      </c>
      <c r="M12" s="122">
        <v>17.52</v>
      </c>
      <c r="N12" s="124">
        <v>55852</v>
      </c>
      <c r="O12" s="123">
        <v>2.8000000000000001E-2</v>
      </c>
      <c r="P12" s="123">
        <v>4.5900000000000003E-2</v>
      </c>
      <c r="Q12" s="120"/>
      <c r="R12" s="122">
        <v>368946739</v>
      </c>
      <c r="S12" s="122">
        <v>1</v>
      </c>
      <c r="T12" s="122">
        <v>73.98</v>
      </c>
      <c r="U12" s="122">
        <v>272946.79751</v>
      </c>
      <c r="V12" s="120"/>
      <c r="W12" s="120"/>
      <c r="X12" s="123">
        <v>1.4336E-2</v>
      </c>
      <c r="Y12" s="123">
        <v>2.6488999999999999E-2</v>
      </c>
      <c r="Z12" s="123">
        <v>4.5450000000000004E-3</v>
      </c>
    </row>
    <row r="13" spans="1:26" ht="15" customHeight="1">
      <c r="A13" s="121">
        <v>313</v>
      </c>
      <c r="B13" s="121">
        <v>313</v>
      </c>
      <c r="C13" s="120" t="s">
        <v>1229</v>
      </c>
      <c r="D13" s="120" t="s">
        <v>1253</v>
      </c>
      <c r="E13" s="121" t="s">
        <v>1254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1232</v>
      </c>
      <c r="K13" s="120" t="s">
        <v>412</v>
      </c>
      <c r="L13" s="120" t="s">
        <v>1218</v>
      </c>
      <c r="M13" s="122">
        <v>6.4</v>
      </c>
      <c r="N13" s="124">
        <v>48182</v>
      </c>
      <c r="O13" s="123">
        <v>1E-3</v>
      </c>
      <c r="P13" s="123">
        <v>1.9699999999999999E-2</v>
      </c>
      <c r="Q13" s="120"/>
      <c r="R13" s="122">
        <v>863307423</v>
      </c>
      <c r="S13" s="122">
        <v>1</v>
      </c>
      <c r="T13" s="122">
        <v>104.14</v>
      </c>
      <c r="U13" s="122">
        <v>899048.35031000001</v>
      </c>
      <c r="V13" s="120"/>
      <c r="W13" s="120"/>
      <c r="X13" s="123">
        <v>2.5221E-2</v>
      </c>
      <c r="Y13" s="123">
        <v>8.7252999999999997E-2</v>
      </c>
      <c r="Z13" s="123">
        <v>1.4971999999999999E-2</v>
      </c>
    </row>
    <row r="14" spans="1:26" ht="15" customHeight="1">
      <c r="A14" s="121">
        <v>313</v>
      </c>
      <c r="B14" s="121">
        <v>313</v>
      </c>
      <c r="C14" s="120" t="s">
        <v>1229</v>
      </c>
      <c r="D14" s="120" t="s">
        <v>1255</v>
      </c>
      <c r="E14" s="121" t="s">
        <v>1256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1232</v>
      </c>
      <c r="K14" s="120" t="s">
        <v>412</v>
      </c>
      <c r="L14" s="120" t="s">
        <v>1218</v>
      </c>
      <c r="M14" s="122">
        <v>1.27</v>
      </c>
      <c r="N14" s="124">
        <v>46326</v>
      </c>
      <c r="O14" s="123">
        <v>6.25E-2</v>
      </c>
      <c r="P14" s="123">
        <v>3.9800000000000002E-2</v>
      </c>
      <c r="Q14" s="120"/>
      <c r="R14" s="122">
        <v>802443</v>
      </c>
      <c r="S14" s="122">
        <v>1</v>
      </c>
      <c r="T14" s="122">
        <v>107.04</v>
      </c>
      <c r="U14" s="122">
        <v>858.93498999999997</v>
      </c>
      <c r="V14" s="120"/>
      <c r="W14" s="120"/>
      <c r="X14" s="123">
        <v>5.3000000000000001E-5</v>
      </c>
      <c r="Y14" s="123">
        <v>8.2999999999999998E-5</v>
      </c>
      <c r="Z14" s="123">
        <v>1.4E-5</v>
      </c>
    </row>
    <row r="15" spans="1:26" ht="15" customHeight="1">
      <c r="A15" s="121">
        <v>313</v>
      </c>
      <c r="B15" s="121">
        <v>313</v>
      </c>
      <c r="C15" s="120" t="s">
        <v>1229</v>
      </c>
      <c r="D15" s="120" t="s">
        <v>1257</v>
      </c>
      <c r="E15" s="121" t="s">
        <v>1258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1232</v>
      </c>
      <c r="K15" s="120" t="s">
        <v>412</v>
      </c>
      <c r="L15" s="120" t="s">
        <v>1218</v>
      </c>
      <c r="M15" s="122">
        <v>9.2200000000000006</v>
      </c>
      <c r="N15" s="124">
        <v>49825</v>
      </c>
      <c r="O15" s="123">
        <v>0.04</v>
      </c>
      <c r="P15" s="123">
        <v>1.9400000000000001E-2</v>
      </c>
      <c r="Q15" s="120"/>
      <c r="R15" s="122">
        <v>1255525900</v>
      </c>
      <c r="S15" s="122">
        <v>1</v>
      </c>
      <c r="T15" s="122">
        <v>167.7</v>
      </c>
      <c r="U15" s="122">
        <v>2105516.934291</v>
      </c>
      <c r="V15" s="120"/>
      <c r="W15" s="120"/>
      <c r="X15" s="123">
        <v>7.8802999999999998E-2</v>
      </c>
      <c r="Y15" s="123">
        <v>0.204342</v>
      </c>
      <c r="Z15" s="123">
        <v>3.5062999999999997E-2</v>
      </c>
    </row>
    <row r="16" spans="1:26" ht="15" customHeight="1">
      <c r="A16" s="121">
        <v>313</v>
      </c>
      <c r="B16" s="121">
        <v>313</v>
      </c>
      <c r="C16" s="120" t="s">
        <v>1229</v>
      </c>
      <c r="D16" s="120" t="s">
        <v>1259</v>
      </c>
      <c r="E16" s="121" t="s">
        <v>1260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1232</v>
      </c>
      <c r="K16" s="120" t="s">
        <v>412</v>
      </c>
      <c r="L16" s="120" t="s">
        <v>1218</v>
      </c>
      <c r="M16" s="122">
        <v>24.26</v>
      </c>
      <c r="N16" s="124">
        <v>55487</v>
      </c>
      <c r="O16" s="123">
        <v>5.0000000000000001E-3</v>
      </c>
      <c r="P16" s="123">
        <v>2.1000000000000001E-2</v>
      </c>
      <c r="Q16" s="120"/>
      <c r="R16" s="122">
        <v>2431340202</v>
      </c>
      <c r="S16" s="122">
        <v>1</v>
      </c>
      <c r="T16" s="122">
        <v>79.599999999999994</v>
      </c>
      <c r="U16" s="122">
        <v>1935346.800791</v>
      </c>
      <c r="V16" s="120"/>
      <c r="W16" s="120"/>
      <c r="X16" s="123">
        <v>7.9770999999999995E-2</v>
      </c>
      <c r="Y16" s="123">
        <v>0.18782699999999999</v>
      </c>
      <c r="Z16" s="123">
        <v>3.2229000000000001E-2</v>
      </c>
    </row>
    <row r="17" spans="1:26" ht="15" customHeight="1">
      <c r="A17" s="121">
        <v>313</v>
      </c>
      <c r="B17" s="121">
        <v>313</v>
      </c>
      <c r="C17" s="120" t="s">
        <v>1229</v>
      </c>
      <c r="D17" s="120" t="s">
        <v>1261</v>
      </c>
      <c r="E17" s="121" t="s">
        <v>1262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1232</v>
      </c>
      <c r="K17" s="120" t="s">
        <v>412</v>
      </c>
      <c r="L17" s="120" t="s">
        <v>1218</v>
      </c>
      <c r="M17" s="122">
        <v>11.43</v>
      </c>
      <c r="N17" s="124">
        <v>51897</v>
      </c>
      <c r="O17" s="123">
        <v>5.5E-2</v>
      </c>
      <c r="P17" s="123">
        <v>4.3499999999999997E-2</v>
      </c>
      <c r="Q17" s="120"/>
      <c r="R17" s="122">
        <v>526987828</v>
      </c>
      <c r="S17" s="122">
        <v>1</v>
      </c>
      <c r="T17" s="122">
        <v>115.63</v>
      </c>
      <c r="U17" s="122">
        <v>609356.02552000002</v>
      </c>
      <c r="V17" s="120"/>
      <c r="W17" s="120"/>
      <c r="X17" s="123">
        <v>1.8350999999999999E-2</v>
      </c>
      <c r="Y17" s="123">
        <v>5.9138000000000003E-2</v>
      </c>
      <c r="Z17" s="123">
        <v>1.0148000000000001E-2</v>
      </c>
    </row>
    <row r="18" spans="1:26" ht="15" customHeight="1">
      <c r="A18" s="121">
        <v>313</v>
      </c>
      <c r="B18" s="121">
        <v>313</v>
      </c>
      <c r="C18" s="120" t="s">
        <v>1229</v>
      </c>
      <c r="D18" s="120" t="s">
        <v>1263</v>
      </c>
      <c r="E18" s="121" t="s">
        <v>1264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1232</v>
      </c>
      <c r="K18" s="120" t="s">
        <v>412</v>
      </c>
      <c r="L18" s="120" t="s">
        <v>1218</v>
      </c>
      <c r="M18" s="122">
        <v>10.81</v>
      </c>
      <c r="N18" s="124">
        <v>50191</v>
      </c>
      <c r="O18" s="123">
        <v>1.4999999999999999E-2</v>
      </c>
      <c r="P18" s="123">
        <v>4.2500000000000003E-2</v>
      </c>
      <c r="Q18" s="120"/>
      <c r="R18" s="122">
        <v>25100000</v>
      </c>
      <c r="S18" s="122">
        <v>1</v>
      </c>
      <c r="T18" s="122">
        <v>74.8</v>
      </c>
      <c r="U18" s="122">
        <v>18774.8</v>
      </c>
      <c r="V18" s="120"/>
      <c r="W18" s="120"/>
      <c r="X18" s="123">
        <v>6.6500000000000001E-4</v>
      </c>
      <c r="Y18" s="123">
        <v>1.8220000000000001E-3</v>
      </c>
      <c r="Z18" s="123">
        <v>3.1199999999999999E-4</v>
      </c>
    </row>
    <row r="19" spans="1:26" ht="15" customHeight="1">
      <c r="A19" s="121">
        <v>313</v>
      </c>
      <c r="B19" s="121">
        <v>313</v>
      </c>
      <c r="C19" s="120" t="s">
        <v>1229</v>
      </c>
      <c r="D19" s="120" t="s">
        <v>1265</v>
      </c>
      <c r="E19" s="121" t="s">
        <v>1266</v>
      </c>
      <c r="F19" s="120" t="s">
        <v>950</v>
      </c>
      <c r="G19" s="120" t="s">
        <v>203</v>
      </c>
      <c r="H19" s="120" t="s">
        <v>203</v>
      </c>
      <c r="I19" s="120" t="s">
        <v>339</v>
      </c>
      <c r="J19" s="120" t="s">
        <v>1232</v>
      </c>
      <c r="K19" s="120" t="s">
        <v>412</v>
      </c>
      <c r="L19" s="120" t="s">
        <v>1218</v>
      </c>
      <c r="M19" s="122">
        <v>0.26</v>
      </c>
      <c r="N19" s="124">
        <v>45933</v>
      </c>
      <c r="O19" s="123">
        <v>0</v>
      </c>
      <c r="P19" s="123">
        <v>4.3099999999999999E-2</v>
      </c>
      <c r="Q19" s="120"/>
      <c r="R19" s="122">
        <v>19100000</v>
      </c>
      <c r="S19" s="122">
        <v>1</v>
      </c>
      <c r="T19" s="122">
        <v>98.92</v>
      </c>
      <c r="U19" s="122">
        <v>18893.72</v>
      </c>
      <c r="V19" s="120"/>
      <c r="W19" s="120"/>
      <c r="X19" s="123">
        <v>1.364E-3</v>
      </c>
      <c r="Y19" s="123">
        <v>1.833E-3</v>
      </c>
      <c r="Z19" s="123">
        <v>3.1399999999999999E-4</v>
      </c>
    </row>
    <row r="20" spans="1:26" ht="15" customHeight="1">
      <c r="A20" s="121">
        <v>313</v>
      </c>
      <c r="B20" s="121">
        <v>313</v>
      </c>
      <c r="C20" s="120" t="s">
        <v>1229</v>
      </c>
      <c r="D20" s="120" t="s">
        <v>1267</v>
      </c>
      <c r="E20" s="121" t="s">
        <v>1268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1269</v>
      </c>
      <c r="K20" s="120" t="s">
        <v>430</v>
      </c>
      <c r="L20" s="120" t="s">
        <v>1222</v>
      </c>
      <c r="M20" s="122">
        <v>11.49</v>
      </c>
      <c r="N20" s="124">
        <v>52261</v>
      </c>
      <c r="O20" s="123">
        <v>4.4999999999999998E-2</v>
      </c>
      <c r="P20" s="123">
        <v>6.1899999999999997E-2</v>
      </c>
      <c r="Q20" s="120"/>
      <c r="R20" s="122">
        <v>4000000</v>
      </c>
      <c r="S20" s="122">
        <v>3.3719999999999999</v>
      </c>
      <c r="T20" s="122">
        <v>84.717500000000001</v>
      </c>
      <c r="U20" s="122">
        <v>11426.696400000001</v>
      </c>
      <c r="V20" s="120"/>
      <c r="W20" s="120"/>
      <c r="X20" s="123">
        <v>2.3519999999999999E-3</v>
      </c>
      <c r="Y20" s="123">
        <v>1.108E-3</v>
      </c>
      <c r="Z20" s="123">
        <v>1.9000000000000001E-4</v>
      </c>
    </row>
    <row r="21" spans="1:26" ht="15" customHeight="1">
      <c r="A21" s="121">
        <v>313</v>
      </c>
      <c r="B21" s="121">
        <v>313</v>
      </c>
      <c r="C21" s="120" t="s">
        <v>1270</v>
      </c>
      <c r="D21" s="120" t="s">
        <v>1271</v>
      </c>
      <c r="E21" s="121" t="s">
        <v>1272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1273</v>
      </c>
      <c r="K21" s="120" t="s">
        <v>430</v>
      </c>
      <c r="L21" s="120" t="s">
        <v>1222</v>
      </c>
      <c r="M21" s="122">
        <v>0.01</v>
      </c>
      <c r="N21" s="124">
        <v>45839</v>
      </c>
      <c r="O21" s="123">
        <v>0</v>
      </c>
      <c r="P21" s="123">
        <v>4.3200000000000002E-2</v>
      </c>
      <c r="Q21" s="120"/>
      <c r="R21" s="122">
        <v>2044000</v>
      </c>
      <c r="S21" s="122">
        <v>3.3719999999999999</v>
      </c>
      <c r="T21" s="122">
        <v>99.988399999999999</v>
      </c>
      <c r="U21" s="122">
        <v>6891.5687600000001</v>
      </c>
      <c r="V21" s="120"/>
      <c r="W21" s="120"/>
      <c r="X21" s="123">
        <v>3.3000000000000003E-5</v>
      </c>
      <c r="Y21" s="123">
        <v>6.6799999999999997E-4</v>
      </c>
      <c r="Z21" s="123">
        <v>1.1400000000000001E-4</v>
      </c>
    </row>
    <row r="22" spans="1:26" ht="15" customHeight="1">
      <c r="A22" s="121">
        <v>313</v>
      </c>
      <c r="B22" s="121">
        <v>313</v>
      </c>
      <c r="C22" s="120" t="s">
        <v>1270</v>
      </c>
      <c r="D22" s="120" t="s">
        <v>1274</v>
      </c>
      <c r="E22" s="121" t="s">
        <v>1275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1273</v>
      </c>
      <c r="K22" s="120" t="s">
        <v>430</v>
      </c>
      <c r="L22" s="120" t="s">
        <v>1222</v>
      </c>
      <c r="M22" s="122">
        <v>0.24</v>
      </c>
      <c r="N22" s="124">
        <v>45925</v>
      </c>
      <c r="O22" s="123">
        <v>0</v>
      </c>
      <c r="P22" s="123">
        <v>4.2900000000000001E-2</v>
      </c>
      <c r="Q22" s="120"/>
      <c r="R22" s="122">
        <v>5506000</v>
      </c>
      <c r="S22" s="122">
        <v>3.3719999999999999</v>
      </c>
      <c r="T22" s="122">
        <v>99.003299999999996</v>
      </c>
      <c r="U22" s="122">
        <v>18381.185310000001</v>
      </c>
      <c r="V22" s="120"/>
      <c r="W22" s="120"/>
      <c r="X22" s="123">
        <v>3.6999999999999998E-5</v>
      </c>
      <c r="Y22" s="123">
        <v>1.7830000000000001E-3</v>
      </c>
      <c r="Z22" s="123">
        <v>3.0600000000000001E-4</v>
      </c>
    </row>
    <row r="23" spans="1:26" ht="15" customHeight="1">
      <c r="A23" s="121">
        <v>313</v>
      </c>
      <c r="B23" s="121">
        <v>313</v>
      </c>
      <c r="C23" s="120" t="s">
        <v>1229</v>
      </c>
      <c r="D23" s="120" t="s">
        <v>1276</v>
      </c>
      <c r="E23" s="121" t="s">
        <v>1277</v>
      </c>
      <c r="F23" s="120" t="s">
        <v>951</v>
      </c>
      <c r="G23" s="120" t="s">
        <v>204</v>
      </c>
      <c r="H23" s="120" t="s">
        <v>203</v>
      </c>
      <c r="I23" s="120" t="s">
        <v>313</v>
      </c>
      <c r="J23" s="120" t="s">
        <v>1269</v>
      </c>
      <c r="K23" s="120" t="s">
        <v>430</v>
      </c>
      <c r="L23" s="120" t="s">
        <v>1222</v>
      </c>
      <c r="M23" s="122">
        <v>4.63</v>
      </c>
      <c r="N23" s="124">
        <v>47667</v>
      </c>
      <c r="O23" s="123">
        <v>2.75E-2</v>
      </c>
      <c r="P23" s="123">
        <v>5.0099999999999999E-2</v>
      </c>
      <c r="Q23" s="120"/>
      <c r="R23" s="122">
        <v>4932000</v>
      </c>
      <c r="S23" s="122">
        <v>3.3719999999999999</v>
      </c>
      <c r="T23" s="122">
        <v>91.681799999999996</v>
      </c>
      <c r="U23" s="122">
        <v>15247.32878</v>
      </c>
      <c r="V23" s="120"/>
      <c r="W23" s="120"/>
      <c r="X23" s="123">
        <v>2.4659999999999999E-3</v>
      </c>
      <c r="Y23" s="123">
        <v>1.4790000000000001E-3</v>
      </c>
      <c r="Z23" s="123">
        <v>2.5300000000000002E-4</v>
      </c>
    </row>
    <row r="24" spans="1:26" ht="15" customHeight="1">
      <c r="A24" s="121">
        <v>313</v>
      </c>
      <c r="B24" s="121">
        <v>313</v>
      </c>
      <c r="C24" s="120" t="s">
        <v>1270</v>
      </c>
      <c r="D24" s="120" t="s">
        <v>1278</v>
      </c>
      <c r="E24" s="121" t="s">
        <v>1279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1273</v>
      </c>
      <c r="K24" s="120" t="s">
        <v>430</v>
      </c>
      <c r="L24" s="120" t="s">
        <v>1222</v>
      </c>
      <c r="M24" s="122">
        <v>0.14000000000000001</v>
      </c>
      <c r="N24" s="124">
        <v>45890</v>
      </c>
      <c r="O24" s="123">
        <v>0</v>
      </c>
      <c r="P24" s="123">
        <v>4.3700000000000003E-2</v>
      </c>
      <c r="Q24" s="120"/>
      <c r="R24" s="122">
        <v>3074000</v>
      </c>
      <c r="S24" s="122">
        <v>3.3719999999999999</v>
      </c>
      <c r="T24" s="122">
        <v>99.392700000000005</v>
      </c>
      <c r="U24" s="122">
        <v>10302.57856</v>
      </c>
      <c r="V24" s="120"/>
      <c r="W24" s="120"/>
      <c r="X24" s="123">
        <v>4.1E-5</v>
      </c>
      <c r="Y24" s="123">
        <v>9.990000000000001E-4</v>
      </c>
      <c r="Z24" s="123">
        <v>1.7100000000000001E-4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313</v>
      </c>
      <c r="B2" s="121">
        <v>313</v>
      </c>
      <c r="C2" s="120" t="s">
        <v>1280</v>
      </c>
      <c r="D2" s="121">
        <v>520032046</v>
      </c>
      <c r="E2" s="120" t="s">
        <v>308</v>
      </c>
      <c r="F2" s="120" t="s">
        <v>1281</v>
      </c>
      <c r="G2" s="121" t="s">
        <v>1282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1211</v>
      </c>
      <c r="Q2" s="120" t="s">
        <v>412</v>
      </c>
      <c r="R2" s="120" t="s">
        <v>406</v>
      </c>
      <c r="S2" s="120" t="s">
        <v>1218</v>
      </c>
      <c r="T2" s="122">
        <v>0.98</v>
      </c>
      <c r="U2" s="124">
        <v>46196</v>
      </c>
      <c r="V2" s="123">
        <v>3.8E-3</v>
      </c>
      <c r="W2" s="123">
        <v>2.5499999999999998E-2</v>
      </c>
      <c r="X2" s="120" t="s">
        <v>411</v>
      </c>
      <c r="Y2" s="120"/>
      <c r="Z2" s="122">
        <v>10339000</v>
      </c>
      <c r="AA2" s="122">
        <v>1</v>
      </c>
      <c r="AB2" s="122">
        <v>112.93</v>
      </c>
      <c r="AC2" s="122"/>
      <c r="AD2" s="122">
        <v>11675.832700000001</v>
      </c>
      <c r="AE2" s="122"/>
      <c r="AF2" s="122"/>
      <c r="AG2" s="120"/>
      <c r="AH2" s="123">
        <v>3.4459999999999998E-3</v>
      </c>
      <c r="AI2" s="123">
        <v>1.3639E-2</v>
      </c>
      <c r="AJ2" s="123">
        <v>1.94E-4</v>
      </c>
    </row>
    <row r="3" spans="1:36" ht="15" customHeight="1">
      <c r="A3" s="121">
        <v>313</v>
      </c>
      <c r="B3" s="121">
        <v>313</v>
      </c>
      <c r="C3" s="120" t="s">
        <v>1209</v>
      </c>
      <c r="D3" s="121">
        <v>520000118</v>
      </c>
      <c r="E3" s="120" t="s">
        <v>308</v>
      </c>
      <c r="F3" s="120" t="s">
        <v>1283</v>
      </c>
      <c r="G3" s="121" t="s">
        <v>1284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1285</v>
      </c>
      <c r="Q3" s="120" t="s">
        <v>412</v>
      </c>
      <c r="R3" s="120" t="s">
        <v>406</v>
      </c>
      <c r="S3" s="120" t="s">
        <v>1218</v>
      </c>
      <c r="T3" s="122">
        <v>1.1000000000000001</v>
      </c>
      <c r="U3" s="124">
        <v>46251</v>
      </c>
      <c r="V3" s="123">
        <v>2.9700000000000001E-2</v>
      </c>
      <c r="W3" s="123">
        <v>3.0300000000000001E-2</v>
      </c>
      <c r="X3" s="120" t="s">
        <v>410</v>
      </c>
      <c r="Y3" s="120"/>
      <c r="Z3" s="122">
        <v>8450000</v>
      </c>
      <c r="AA3" s="122">
        <v>1</v>
      </c>
      <c r="AB3" s="122">
        <v>119.99</v>
      </c>
      <c r="AC3" s="122"/>
      <c r="AD3" s="122">
        <v>10139.155000000001</v>
      </c>
      <c r="AE3" s="120"/>
      <c r="AF3" s="120"/>
      <c r="AG3" s="120"/>
      <c r="AH3" s="123">
        <v>1.2071E-2</v>
      </c>
      <c r="AI3" s="123">
        <v>1.1844E-2</v>
      </c>
      <c r="AJ3" s="123">
        <v>1.6799999999999999E-4</v>
      </c>
    </row>
    <row r="4" spans="1:36" ht="15" customHeight="1">
      <c r="A4" s="121">
        <v>313</v>
      </c>
      <c r="B4" s="121">
        <v>313</v>
      </c>
      <c r="C4" s="120" t="s">
        <v>1280</v>
      </c>
      <c r="D4" s="121">
        <v>520032046</v>
      </c>
      <c r="E4" s="120" t="s">
        <v>308</v>
      </c>
      <c r="F4" s="120" t="s">
        <v>1286</v>
      </c>
      <c r="G4" s="121" t="s">
        <v>1287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1218</v>
      </c>
      <c r="T4" s="122">
        <v>4.2</v>
      </c>
      <c r="U4" s="124">
        <v>48938</v>
      </c>
      <c r="V4" s="123">
        <v>1.9900000000000001E-2</v>
      </c>
      <c r="W4" s="123">
        <v>2.58E-2</v>
      </c>
      <c r="X4" s="120" t="s">
        <v>411</v>
      </c>
      <c r="Y4" s="120"/>
      <c r="Z4" s="122">
        <v>19080000</v>
      </c>
      <c r="AA4" s="122">
        <v>1</v>
      </c>
      <c r="AB4" s="122">
        <v>103.57</v>
      </c>
      <c r="AC4" s="122"/>
      <c r="AD4" s="122">
        <v>19761.155999999999</v>
      </c>
      <c r="AE4" s="120"/>
      <c r="AF4" s="120"/>
      <c r="AG4" s="120"/>
      <c r="AH4" s="123">
        <v>7.8510000000000003E-3</v>
      </c>
      <c r="AI4" s="123">
        <v>2.3084E-2</v>
      </c>
      <c r="AJ4" s="123">
        <v>3.2899999999999997E-4</v>
      </c>
    </row>
    <row r="5" spans="1:36" ht="15" customHeight="1">
      <c r="A5" s="121">
        <v>313</v>
      </c>
      <c r="B5" s="121">
        <v>313</v>
      </c>
      <c r="C5" s="120" t="s">
        <v>1288</v>
      </c>
      <c r="D5" s="121">
        <v>520000472</v>
      </c>
      <c r="E5" s="120" t="s">
        <v>308</v>
      </c>
      <c r="F5" s="120" t="s">
        <v>1289</v>
      </c>
      <c r="G5" s="121" t="s">
        <v>1290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439</v>
      </c>
      <c r="O5" s="120" t="s">
        <v>338</v>
      </c>
      <c r="P5" s="120" t="s">
        <v>1211</v>
      </c>
      <c r="Q5" s="120" t="s">
        <v>412</v>
      </c>
      <c r="R5" s="120" t="s">
        <v>406</v>
      </c>
      <c r="S5" s="120" t="s">
        <v>1218</v>
      </c>
      <c r="T5" s="122">
        <v>5.12</v>
      </c>
      <c r="U5" s="124">
        <v>48112</v>
      </c>
      <c r="V5" s="123">
        <v>2.3900000000000001E-2</v>
      </c>
      <c r="W5" s="123">
        <v>2.6200000000000001E-2</v>
      </c>
      <c r="X5" s="120" t="s">
        <v>411</v>
      </c>
      <c r="Y5" s="120"/>
      <c r="Z5" s="122">
        <v>45802000</v>
      </c>
      <c r="AA5" s="122">
        <v>1</v>
      </c>
      <c r="AB5" s="122">
        <v>116.21</v>
      </c>
      <c r="AC5" s="122"/>
      <c r="AD5" s="122">
        <v>53226.504200000003</v>
      </c>
      <c r="AE5" s="120"/>
      <c r="AF5" s="120"/>
      <c r="AG5" s="120"/>
      <c r="AH5" s="123">
        <v>1.1776E-2</v>
      </c>
      <c r="AI5" s="123">
        <v>6.2177000000000003E-2</v>
      </c>
      <c r="AJ5" s="123">
        <v>8.8599999999999996E-4</v>
      </c>
    </row>
    <row r="6" spans="1:36" ht="15" customHeight="1">
      <c r="A6" s="121">
        <v>313</v>
      </c>
      <c r="B6" s="121">
        <v>313</v>
      </c>
      <c r="C6" s="120" t="s">
        <v>1291</v>
      </c>
      <c r="D6" s="121">
        <v>513834200</v>
      </c>
      <c r="E6" s="120" t="s">
        <v>308</v>
      </c>
      <c r="F6" s="120" t="s">
        <v>1292</v>
      </c>
      <c r="G6" s="121" t="s">
        <v>1293</v>
      </c>
      <c r="H6" s="120" t="s">
        <v>320</v>
      </c>
      <c r="I6" s="120" t="s">
        <v>952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444</v>
      </c>
      <c r="O6" s="120" t="s">
        <v>338</v>
      </c>
      <c r="P6" s="120" t="s">
        <v>1294</v>
      </c>
      <c r="Q6" s="120" t="s">
        <v>414</v>
      </c>
      <c r="R6" s="120" t="s">
        <v>406</v>
      </c>
      <c r="S6" s="120" t="s">
        <v>1218</v>
      </c>
      <c r="T6" s="122">
        <v>4.17</v>
      </c>
      <c r="U6" s="124">
        <v>47483</v>
      </c>
      <c r="V6" s="123">
        <v>3.95E-2</v>
      </c>
      <c r="W6" s="123">
        <v>4.48E-2</v>
      </c>
      <c r="X6" s="120" t="s">
        <v>410</v>
      </c>
      <c r="Y6" s="120"/>
      <c r="Z6" s="122">
        <v>6008662</v>
      </c>
      <c r="AA6" s="122">
        <v>1</v>
      </c>
      <c r="AB6" s="122">
        <v>98.06</v>
      </c>
      <c r="AC6" s="122"/>
      <c r="AD6" s="122">
        <v>5892.0939600000002</v>
      </c>
      <c r="AE6" s="120"/>
      <c r="AF6" s="120"/>
      <c r="AG6" s="120"/>
      <c r="AH6" s="123">
        <v>2.5035000000000002E-2</v>
      </c>
      <c r="AI6" s="123">
        <v>6.8820000000000001E-3</v>
      </c>
      <c r="AJ6" s="123">
        <v>9.7999999999999997E-5</v>
      </c>
    </row>
    <row r="7" spans="1:36" ht="15" customHeight="1">
      <c r="A7" s="121">
        <v>313</v>
      </c>
      <c r="B7" s="121">
        <v>313</v>
      </c>
      <c r="C7" s="120" t="s">
        <v>1295</v>
      </c>
      <c r="D7" s="121">
        <v>520018078</v>
      </c>
      <c r="E7" s="120" t="s">
        <v>308</v>
      </c>
      <c r="F7" s="120" t="s">
        <v>1296</v>
      </c>
      <c r="G7" s="121" t="s">
        <v>1297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1218</v>
      </c>
      <c r="T7" s="122">
        <v>1</v>
      </c>
      <c r="U7" s="124">
        <v>46203</v>
      </c>
      <c r="V7" s="123">
        <v>8.3000000000000001E-3</v>
      </c>
      <c r="W7" s="123">
        <v>2.4799999999999999E-2</v>
      </c>
      <c r="X7" s="120" t="s">
        <v>411</v>
      </c>
      <c r="Y7" s="120"/>
      <c r="Z7" s="122">
        <v>15500000</v>
      </c>
      <c r="AA7" s="122">
        <v>1</v>
      </c>
      <c r="AB7" s="122">
        <v>115.16</v>
      </c>
      <c r="AC7" s="122"/>
      <c r="AD7" s="122">
        <v>17849.8</v>
      </c>
      <c r="AE7" s="120"/>
      <c r="AF7" s="120"/>
      <c r="AG7" s="120"/>
      <c r="AH7" s="123">
        <v>1.0191E-2</v>
      </c>
      <c r="AI7" s="123">
        <v>2.0851000000000001E-2</v>
      </c>
      <c r="AJ7" s="123">
        <v>2.9700000000000001E-4</v>
      </c>
    </row>
    <row r="8" spans="1:36" ht="15" customHeight="1">
      <c r="A8" s="121">
        <v>313</v>
      </c>
      <c r="B8" s="121">
        <v>313</v>
      </c>
      <c r="C8" s="120" t="s">
        <v>1298</v>
      </c>
      <c r="D8" s="121">
        <v>520029935</v>
      </c>
      <c r="E8" s="120" t="s">
        <v>308</v>
      </c>
      <c r="F8" s="120" t="s">
        <v>1299</v>
      </c>
      <c r="G8" s="121" t="s">
        <v>1300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1211</v>
      </c>
      <c r="Q8" s="120" t="s">
        <v>412</v>
      </c>
      <c r="R8" s="120" t="s">
        <v>406</v>
      </c>
      <c r="S8" s="120" t="s">
        <v>1218</v>
      </c>
      <c r="T8" s="122">
        <v>4.8899999999999997</v>
      </c>
      <c r="U8" s="124">
        <v>49388</v>
      </c>
      <c r="V8" s="123">
        <v>2.1100000000000001E-2</v>
      </c>
      <c r="W8" s="123">
        <v>2.63E-2</v>
      </c>
      <c r="X8" s="120" t="s">
        <v>411</v>
      </c>
      <c r="Y8" s="120"/>
      <c r="Z8" s="122">
        <v>12922000</v>
      </c>
      <c r="AA8" s="122">
        <v>1</v>
      </c>
      <c r="AB8" s="122">
        <v>103.16</v>
      </c>
      <c r="AC8" s="122"/>
      <c r="AD8" s="122">
        <v>13330.3352</v>
      </c>
      <c r="AE8" s="120"/>
      <c r="AF8" s="120"/>
      <c r="AG8" s="120"/>
      <c r="AH8" s="123">
        <v>4.9659999999999999E-3</v>
      </c>
      <c r="AI8" s="123">
        <v>1.5572000000000001E-2</v>
      </c>
      <c r="AJ8" s="123">
        <v>2.2100000000000001E-4</v>
      </c>
    </row>
    <row r="9" spans="1:36" ht="15" customHeight="1">
      <c r="A9" s="121">
        <v>313</v>
      </c>
      <c r="B9" s="121">
        <v>313</v>
      </c>
      <c r="C9" s="120" t="s">
        <v>1301</v>
      </c>
      <c r="D9" s="121">
        <v>513893123</v>
      </c>
      <c r="E9" s="120" t="s">
        <v>308</v>
      </c>
      <c r="F9" s="120" t="s">
        <v>1302</v>
      </c>
      <c r="G9" s="121" t="s">
        <v>1303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442</v>
      </c>
      <c r="O9" s="120" t="s">
        <v>338</v>
      </c>
      <c r="P9" s="120" t="s">
        <v>1304</v>
      </c>
      <c r="Q9" s="120" t="s">
        <v>414</v>
      </c>
      <c r="R9" s="120" t="s">
        <v>406</v>
      </c>
      <c r="S9" s="120" t="s">
        <v>1218</v>
      </c>
      <c r="T9" s="122">
        <v>1.06</v>
      </c>
      <c r="U9" s="124">
        <v>46477</v>
      </c>
      <c r="V9" s="123">
        <v>3.5400000000000001E-2</v>
      </c>
      <c r="W9" s="123">
        <v>3.4200000000000001E-2</v>
      </c>
      <c r="X9" s="120" t="s">
        <v>411</v>
      </c>
      <c r="Y9" s="120"/>
      <c r="Z9" s="122">
        <v>3359675.7</v>
      </c>
      <c r="AA9" s="122">
        <v>1</v>
      </c>
      <c r="AB9" s="122">
        <v>109.8</v>
      </c>
      <c r="AC9" s="122"/>
      <c r="AD9" s="122">
        <v>3688.9239200000002</v>
      </c>
      <c r="AE9" s="120"/>
      <c r="AF9" s="120"/>
      <c r="AG9" s="120"/>
      <c r="AH9" s="123">
        <v>3.3409999999999998E-3</v>
      </c>
      <c r="AI9" s="123">
        <v>4.3090000000000003E-3</v>
      </c>
      <c r="AJ9" s="123">
        <v>6.0999999999999999E-5</v>
      </c>
    </row>
    <row r="10" spans="1:36" ht="15" customHeight="1">
      <c r="A10" s="121">
        <v>313</v>
      </c>
      <c r="B10" s="121">
        <v>313</v>
      </c>
      <c r="C10" s="120" t="s">
        <v>1209</v>
      </c>
      <c r="D10" s="121">
        <v>520000118</v>
      </c>
      <c r="E10" s="120" t="s">
        <v>308</v>
      </c>
      <c r="F10" s="120" t="s">
        <v>1305</v>
      </c>
      <c r="G10" s="121" t="s">
        <v>1306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1307</v>
      </c>
      <c r="Q10" s="120" t="s">
        <v>414</v>
      </c>
      <c r="R10" s="120" t="s">
        <v>406</v>
      </c>
      <c r="S10" s="120" t="s">
        <v>1218</v>
      </c>
      <c r="T10" s="122">
        <v>3.34</v>
      </c>
      <c r="U10" s="124">
        <v>48191</v>
      </c>
      <c r="V10" s="123">
        <v>1E-3</v>
      </c>
      <c r="W10" s="123">
        <v>2.5700000000000001E-2</v>
      </c>
      <c r="X10" s="120" t="s">
        <v>411</v>
      </c>
      <c r="Y10" s="120"/>
      <c r="Z10" s="122">
        <v>14046650.800000001</v>
      </c>
      <c r="AA10" s="122">
        <v>1</v>
      </c>
      <c r="AB10" s="122">
        <v>105.19</v>
      </c>
      <c r="AC10" s="122"/>
      <c r="AD10" s="122">
        <v>14775.671979999999</v>
      </c>
      <c r="AE10" s="120"/>
      <c r="AF10" s="120"/>
      <c r="AG10" s="120"/>
      <c r="AH10" s="123">
        <v>1.4272E-2</v>
      </c>
      <c r="AI10" s="123">
        <v>1.7260000000000001E-2</v>
      </c>
      <c r="AJ10" s="123">
        <v>2.4600000000000002E-4</v>
      </c>
    </row>
    <row r="11" spans="1:36" ht="15" customHeight="1">
      <c r="A11" s="121">
        <v>313</v>
      </c>
      <c r="B11" s="121">
        <v>313</v>
      </c>
      <c r="C11" s="120" t="s">
        <v>1288</v>
      </c>
      <c r="D11" s="121">
        <v>520000472</v>
      </c>
      <c r="E11" s="120" t="s">
        <v>308</v>
      </c>
      <c r="F11" s="120" t="s">
        <v>1308</v>
      </c>
      <c r="G11" s="121" t="s">
        <v>1309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1211</v>
      </c>
      <c r="Q11" s="120" t="s">
        <v>412</v>
      </c>
      <c r="R11" s="120" t="s">
        <v>406</v>
      </c>
      <c r="S11" s="120" t="s">
        <v>1218</v>
      </c>
      <c r="T11" s="122">
        <v>10.06</v>
      </c>
      <c r="U11" s="124">
        <v>50203</v>
      </c>
      <c r="V11" s="123">
        <v>3.2000000000000001E-2</v>
      </c>
      <c r="W11" s="123">
        <v>2.7900000000000001E-2</v>
      </c>
      <c r="X11" s="120" t="s">
        <v>411</v>
      </c>
      <c r="Y11" s="120"/>
      <c r="Z11" s="122">
        <v>9206000</v>
      </c>
      <c r="AA11" s="122">
        <v>1</v>
      </c>
      <c r="AB11" s="122">
        <v>110.87</v>
      </c>
      <c r="AC11" s="122"/>
      <c r="AD11" s="122">
        <v>10206.6922</v>
      </c>
      <c r="AE11" s="120"/>
      <c r="AF11" s="120"/>
      <c r="AG11" s="120"/>
      <c r="AH11" s="123">
        <v>1.869E-3</v>
      </c>
      <c r="AI11" s="123">
        <v>1.1923E-2</v>
      </c>
      <c r="AJ11" s="123">
        <v>1.6899999999999999E-4</v>
      </c>
    </row>
    <row r="12" spans="1:36" ht="15" customHeight="1">
      <c r="A12" s="121">
        <v>313</v>
      </c>
      <c r="B12" s="121">
        <v>313</v>
      </c>
      <c r="C12" s="120" t="s">
        <v>1209</v>
      </c>
      <c r="D12" s="121">
        <v>520000118</v>
      </c>
      <c r="E12" s="120" t="s">
        <v>308</v>
      </c>
      <c r="F12" s="120" t="s">
        <v>1310</v>
      </c>
      <c r="G12" s="121" t="s">
        <v>1311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1307</v>
      </c>
      <c r="Q12" s="120" t="s">
        <v>414</v>
      </c>
      <c r="R12" s="120" t="s">
        <v>406</v>
      </c>
      <c r="S12" s="120" t="s">
        <v>1218</v>
      </c>
      <c r="T12" s="122">
        <v>3.72</v>
      </c>
      <c r="U12" s="124">
        <v>48547</v>
      </c>
      <c r="V12" s="123">
        <v>1.3899999999999999E-2</v>
      </c>
      <c r="W12" s="123">
        <v>2.5100000000000001E-2</v>
      </c>
      <c r="X12" s="120" t="s">
        <v>411</v>
      </c>
      <c r="Y12" s="120"/>
      <c r="Z12" s="122">
        <v>1168800</v>
      </c>
      <c r="AA12" s="122">
        <v>1</v>
      </c>
      <c r="AB12" s="122">
        <v>105.13</v>
      </c>
      <c r="AC12" s="122"/>
      <c r="AD12" s="122">
        <v>1228.75944</v>
      </c>
      <c r="AE12" s="120"/>
      <c r="AF12" s="120"/>
      <c r="AG12" s="120"/>
      <c r="AH12" s="123">
        <v>7.2999999999999996E-4</v>
      </c>
      <c r="AI12" s="123">
        <v>1.4350000000000001E-3</v>
      </c>
      <c r="AJ12" s="123">
        <v>2.0000000000000002E-5</v>
      </c>
    </row>
    <row r="13" spans="1:36" ht="15" customHeight="1">
      <c r="A13" s="121">
        <v>313</v>
      </c>
      <c r="B13" s="121">
        <v>313</v>
      </c>
      <c r="C13" s="120" t="s">
        <v>1298</v>
      </c>
      <c r="D13" s="121">
        <v>520029935</v>
      </c>
      <c r="E13" s="120" t="s">
        <v>308</v>
      </c>
      <c r="F13" s="120" t="s">
        <v>1312</v>
      </c>
      <c r="G13" s="121" t="s">
        <v>1313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1218</v>
      </c>
      <c r="T13" s="122">
        <v>3.5</v>
      </c>
      <c r="U13" s="124">
        <v>48441</v>
      </c>
      <c r="V13" s="123">
        <v>2E-3</v>
      </c>
      <c r="W13" s="123">
        <v>2.5999999999999999E-2</v>
      </c>
      <c r="X13" s="120" t="s">
        <v>411</v>
      </c>
      <c r="Y13" s="120"/>
      <c r="Z13" s="122">
        <v>33329404.77</v>
      </c>
      <c r="AA13" s="122">
        <v>1</v>
      </c>
      <c r="AB13" s="122">
        <v>105.05</v>
      </c>
      <c r="AC13" s="122"/>
      <c r="AD13" s="122">
        <v>35012.539709999997</v>
      </c>
      <c r="AE13" s="120"/>
      <c r="AF13" s="120"/>
      <c r="AG13" s="120"/>
      <c r="AH13" s="123">
        <v>9.7769999999999992E-3</v>
      </c>
      <c r="AI13" s="123">
        <v>4.0899999999999999E-2</v>
      </c>
      <c r="AJ13" s="123">
        <v>5.8299999999999997E-4</v>
      </c>
    </row>
    <row r="14" spans="1:36" ht="15" customHeight="1">
      <c r="A14" s="121">
        <v>313</v>
      </c>
      <c r="B14" s="121">
        <v>313</v>
      </c>
      <c r="C14" s="120" t="s">
        <v>1280</v>
      </c>
      <c r="D14" s="121">
        <v>520032046</v>
      </c>
      <c r="E14" s="120" t="s">
        <v>308</v>
      </c>
      <c r="F14" s="120" t="s">
        <v>1314</v>
      </c>
      <c r="G14" s="121" t="s">
        <v>1315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1218</v>
      </c>
      <c r="T14" s="122">
        <v>2.21</v>
      </c>
      <c r="U14" s="124">
        <v>46658</v>
      </c>
      <c r="V14" s="123">
        <v>1.2200000000000001E-2</v>
      </c>
      <c r="W14" s="123">
        <v>2.5100000000000001E-2</v>
      </c>
      <c r="X14" s="120" t="s">
        <v>411</v>
      </c>
      <c r="Y14" s="120"/>
      <c r="Z14" s="122">
        <v>13789687</v>
      </c>
      <c r="AA14" s="122">
        <v>1</v>
      </c>
      <c r="AB14" s="122">
        <v>116.02</v>
      </c>
      <c r="AC14" s="122"/>
      <c r="AD14" s="122">
        <v>15998.79486</v>
      </c>
      <c r="AE14" s="120"/>
      <c r="AF14" s="120"/>
      <c r="AG14" s="120"/>
      <c r="AH14" s="123">
        <v>4.5719999999999997E-3</v>
      </c>
      <c r="AI14" s="123">
        <v>1.8689000000000001E-2</v>
      </c>
      <c r="AJ14" s="123">
        <v>2.6600000000000001E-4</v>
      </c>
    </row>
    <row r="15" spans="1:36" ht="15" customHeight="1">
      <c r="A15" s="121">
        <v>313</v>
      </c>
      <c r="B15" s="121">
        <v>313</v>
      </c>
      <c r="C15" s="120" t="s">
        <v>1295</v>
      </c>
      <c r="D15" s="121">
        <v>520018078</v>
      </c>
      <c r="E15" s="120" t="s">
        <v>308</v>
      </c>
      <c r="F15" s="120" t="s">
        <v>1316</v>
      </c>
      <c r="G15" s="121" t="s">
        <v>1317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1218</v>
      </c>
      <c r="T15" s="122">
        <v>4.3899999999999997</v>
      </c>
      <c r="U15" s="124">
        <v>47447</v>
      </c>
      <c r="V15" s="123">
        <v>1E-3</v>
      </c>
      <c r="W15" s="123">
        <v>2.58E-2</v>
      </c>
      <c r="X15" s="120" t="s">
        <v>411</v>
      </c>
      <c r="Y15" s="120"/>
      <c r="Z15" s="122">
        <v>33176567</v>
      </c>
      <c r="AA15" s="122">
        <v>1</v>
      </c>
      <c r="AB15" s="122">
        <v>102.6</v>
      </c>
      <c r="AC15" s="122"/>
      <c r="AD15" s="122">
        <v>34039.157740000002</v>
      </c>
      <c r="AE15" s="120"/>
      <c r="AF15" s="120"/>
      <c r="AG15" s="120"/>
      <c r="AH15" s="123">
        <v>7.737E-3</v>
      </c>
      <c r="AI15" s="123">
        <v>3.9763E-2</v>
      </c>
      <c r="AJ15" s="123">
        <v>5.6599999999999999E-4</v>
      </c>
    </row>
    <row r="16" spans="1:36" ht="15" customHeight="1">
      <c r="A16" s="121">
        <v>313</v>
      </c>
      <c r="B16" s="121">
        <v>313</v>
      </c>
      <c r="C16" s="120" t="s">
        <v>1291</v>
      </c>
      <c r="D16" s="121">
        <v>513834200</v>
      </c>
      <c r="E16" s="120" t="s">
        <v>308</v>
      </c>
      <c r="F16" s="120" t="s">
        <v>1318</v>
      </c>
      <c r="G16" s="121" t="s">
        <v>1319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444</v>
      </c>
      <c r="O16" s="120" t="s">
        <v>338</v>
      </c>
      <c r="P16" s="120" t="s">
        <v>1285</v>
      </c>
      <c r="Q16" s="120" t="s">
        <v>412</v>
      </c>
      <c r="R16" s="120" t="s">
        <v>406</v>
      </c>
      <c r="S16" s="120" t="s">
        <v>1218</v>
      </c>
      <c r="T16" s="122">
        <v>1.48</v>
      </c>
      <c r="U16" s="124">
        <v>46387</v>
      </c>
      <c r="V16" s="123">
        <v>2.4E-2</v>
      </c>
      <c r="W16" s="123">
        <v>2.52E-2</v>
      </c>
      <c r="X16" s="120" t="s">
        <v>410</v>
      </c>
      <c r="Y16" s="120"/>
      <c r="Z16" s="122">
        <v>10508860</v>
      </c>
      <c r="AA16" s="122">
        <v>1</v>
      </c>
      <c r="AB16" s="122">
        <v>116.85</v>
      </c>
      <c r="AC16" s="122"/>
      <c r="AD16" s="122">
        <v>12279.60291</v>
      </c>
      <c r="AE16" s="120"/>
      <c r="AF16" s="120"/>
      <c r="AG16" s="120"/>
      <c r="AH16" s="123">
        <v>3.56E-2</v>
      </c>
      <c r="AI16" s="123">
        <v>1.4344000000000001E-2</v>
      </c>
      <c r="AJ16" s="123">
        <v>2.04E-4</v>
      </c>
    </row>
    <row r="17" spans="1:36" ht="15" customHeight="1">
      <c r="A17" s="121">
        <v>313</v>
      </c>
      <c r="B17" s="121">
        <v>313</v>
      </c>
      <c r="C17" s="120" t="s">
        <v>1320</v>
      </c>
      <c r="D17" s="121">
        <v>510960719</v>
      </c>
      <c r="E17" s="120" t="s">
        <v>308</v>
      </c>
      <c r="F17" s="120" t="s">
        <v>1321</v>
      </c>
      <c r="G17" s="121" t="s">
        <v>1322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1323</v>
      </c>
      <c r="Q17" s="120" t="s">
        <v>414</v>
      </c>
      <c r="R17" s="120" t="s">
        <v>406</v>
      </c>
      <c r="S17" s="120" t="s">
        <v>1218</v>
      </c>
      <c r="T17" s="122">
        <v>11.94</v>
      </c>
      <c r="U17" s="124">
        <v>53329</v>
      </c>
      <c r="V17" s="123">
        <v>3.6700000000000003E-2</v>
      </c>
      <c r="W17" s="123">
        <v>3.1600000000000003E-2</v>
      </c>
      <c r="X17" s="120" t="s">
        <v>411</v>
      </c>
      <c r="Y17" s="120"/>
      <c r="Z17" s="122">
        <v>27040000</v>
      </c>
      <c r="AA17" s="122">
        <v>1</v>
      </c>
      <c r="AB17" s="122">
        <v>109.54</v>
      </c>
      <c r="AC17" s="122">
        <v>511.02877999999998</v>
      </c>
      <c r="AD17" s="122">
        <v>30130.644779999999</v>
      </c>
      <c r="AE17" s="120"/>
      <c r="AF17" s="120"/>
      <c r="AG17" s="120"/>
      <c r="AH17" s="123">
        <v>8.2369999999999995E-3</v>
      </c>
      <c r="AI17" s="123">
        <v>3.5195999999999998E-2</v>
      </c>
      <c r="AJ17" s="123">
        <v>5.0100000000000003E-4</v>
      </c>
    </row>
    <row r="18" spans="1:36" ht="15" customHeight="1">
      <c r="A18" s="121">
        <v>313</v>
      </c>
      <c r="B18" s="121">
        <v>313</v>
      </c>
      <c r="C18" s="120" t="s">
        <v>1320</v>
      </c>
      <c r="D18" s="121">
        <v>510960719</v>
      </c>
      <c r="E18" s="120" t="s">
        <v>308</v>
      </c>
      <c r="F18" s="120" t="s">
        <v>1324</v>
      </c>
      <c r="G18" s="121" t="s">
        <v>1325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338</v>
      </c>
      <c r="P18" s="120" t="s">
        <v>1323</v>
      </c>
      <c r="Q18" s="120" t="s">
        <v>414</v>
      </c>
      <c r="R18" s="120" t="s">
        <v>406</v>
      </c>
      <c r="S18" s="120" t="s">
        <v>1218</v>
      </c>
      <c r="T18" s="122">
        <v>1.96</v>
      </c>
      <c r="U18" s="124">
        <v>46934</v>
      </c>
      <c r="V18" s="123">
        <v>1.77E-2</v>
      </c>
      <c r="W18" s="123">
        <v>2.8199999999999999E-2</v>
      </c>
      <c r="X18" s="120" t="s">
        <v>411</v>
      </c>
      <c r="Y18" s="120"/>
      <c r="Z18" s="122">
        <v>13417500.01</v>
      </c>
      <c r="AA18" s="122">
        <v>1</v>
      </c>
      <c r="AB18" s="122">
        <v>114.73</v>
      </c>
      <c r="AC18" s="122"/>
      <c r="AD18" s="122">
        <v>15393.89776</v>
      </c>
      <c r="AE18" s="120"/>
      <c r="AF18" s="120"/>
      <c r="AG18" s="120"/>
      <c r="AH18" s="123">
        <v>5.5149999999999999E-3</v>
      </c>
      <c r="AI18" s="123">
        <v>1.7982000000000001E-2</v>
      </c>
      <c r="AJ18" s="123">
        <v>2.5599999999999999E-4</v>
      </c>
    </row>
    <row r="19" spans="1:36" ht="15" customHeight="1">
      <c r="A19" s="121">
        <v>313</v>
      </c>
      <c r="B19" s="121">
        <v>313</v>
      </c>
      <c r="C19" s="120" t="s">
        <v>1280</v>
      </c>
      <c r="D19" s="121">
        <v>520032046</v>
      </c>
      <c r="E19" s="120" t="s">
        <v>308</v>
      </c>
      <c r="F19" s="120" t="s">
        <v>1326</v>
      </c>
      <c r="G19" s="121" t="s">
        <v>1327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1211</v>
      </c>
      <c r="Q19" s="120" t="s">
        <v>412</v>
      </c>
      <c r="R19" s="120" t="s">
        <v>406</v>
      </c>
      <c r="S19" s="120" t="s">
        <v>1218</v>
      </c>
      <c r="T19" s="122">
        <v>3.28</v>
      </c>
      <c r="U19" s="124">
        <v>48190</v>
      </c>
      <c r="V19" s="123">
        <v>1.6400000000000001E-2</v>
      </c>
      <c r="W19" s="123">
        <v>2.6200000000000001E-2</v>
      </c>
      <c r="X19" s="120" t="s">
        <v>411</v>
      </c>
      <c r="Y19" s="120"/>
      <c r="Z19" s="122">
        <v>4550130</v>
      </c>
      <c r="AA19" s="122">
        <v>1</v>
      </c>
      <c r="AB19" s="122">
        <v>106.26</v>
      </c>
      <c r="AC19" s="122"/>
      <c r="AD19" s="122">
        <v>4834.9681399999999</v>
      </c>
      <c r="AE19" s="120"/>
      <c r="AF19" s="120"/>
      <c r="AG19" s="120"/>
      <c r="AH19" s="123">
        <v>4.8339999999999998E-3</v>
      </c>
      <c r="AI19" s="123">
        <v>5.6480000000000002E-3</v>
      </c>
      <c r="AJ19" s="123">
        <v>8.0000000000000007E-5</v>
      </c>
    </row>
    <row r="20" spans="1:36" ht="15" customHeight="1">
      <c r="A20" s="121">
        <v>313</v>
      </c>
      <c r="B20" s="121">
        <v>313</v>
      </c>
      <c r="C20" s="120" t="s">
        <v>1328</v>
      </c>
      <c r="D20" s="121">
        <v>514486042</v>
      </c>
      <c r="E20" s="120" t="s">
        <v>308</v>
      </c>
      <c r="F20" s="120" t="s">
        <v>1329</v>
      </c>
      <c r="G20" s="121" t="s">
        <v>1330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444</v>
      </c>
      <c r="O20" s="120" t="s">
        <v>338</v>
      </c>
      <c r="P20" s="120" t="s">
        <v>1331</v>
      </c>
      <c r="Q20" s="120" t="s">
        <v>414</v>
      </c>
      <c r="R20" s="120" t="s">
        <v>406</v>
      </c>
      <c r="S20" s="120" t="s">
        <v>1218</v>
      </c>
      <c r="T20" s="122">
        <v>0.4</v>
      </c>
      <c r="U20" s="124">
        <v>45976</v>
      </c>
      <c r="V20" s="123">
        <v>3.27E-2</v>
      </c>
      <c r="W20" s="123">
        <v>5.0700000000000002E-2</v>
      </c>
      <c r="X20" s="120" t="s">
        <v>410</v>
      </c>
      <c r="Y20" s="120"/>
      <c r="Z20" s="122">
        <v>7097000</v>
      </c>
      <c r="AA20" s="122">
        <v>1</v>
      </c>
      <c r="AB20" s="122">
        <v>99.72</v>
      </c>
      <c r="AC20" s="122"/>
      <c r="AD20" s="122">
        <v>7077.1283999999996</v>
      </c>
      <c r="AE20" s="120"/>
      <c r="AF20" s="120"/>
      <c r="AG20" s="120"/>
      <c r="AH20" s="123">
        <v>2.2487E-2</v>
      </c>
      <c r="AI20" s="123">
        <v>8.267E-3</v>
      </c>
      <c r="AJ20" s="123">
        <v>1.17E-4</v>
      </c>
    </row>
    <row r="21" spans="1:36" ht="15" customHeight="1">
      <c r="A21" s="121">
        <v>313</v>
      </c>
      <c r="B21" s="121">
        <v>313</v>
      </c>
      <c r="C21" s="120" t="s">
        <v>1332</v>
      </c>
      <c r="D21" s="121">
        <v>514290345</v>
      </c>
      <c r="E21" s="120" t="s">
        <v>308</v>
      </c>
      <c r="F21" s="120" t="s">
        <v>1333</v>
      </c>
      <c r="G21" s="121" t="s">
        <v>1334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444</v>
      </c>
      <c r="O21" s="120" t="s">
        <v>338</v>
      </c>
      <c r="P21" s="120" t="s">
        <v>1335</v>
      </c>
      <c r="Q21" s="120" t="s">
        <v>414</v>
      </c>
      <c r="R21" s="120" t="s">
        <v>406</v>
      </c>
      <c r="S21" s="120" t="s">
        <v>1218</v>
      </c>
      <c r="T21" s="122">
        <v>1.32</v>
      </c>
      <c r="U21" s="124">
        <v>46326</v>
      </c>
      <c r="V21" s="123">
        <v>2.2499999999999999E-2</v>
      </c>
      <c r="W21" s="123">
        <v>2.58E-2</v>
      </c>
      <c r="X21" s="120" t="s">
        <v>411</v>
      </c>
      <c r="Y21" s="120"/>
      <c r="Z21" s="122">
        <v>15485584</v>
      </c>
      <c r="AA21" s="122">
        <v>1</v>
      </c>
      <c r="AB21" s="122">
        <v>118.52</v>
      </c>
      <c r="AC21" s="122"/>
      <c r="AD21" s="122">
        <v>18353.514159999999</v>
      </c>
      <c r="AE21" s="120"/>
      <c r="AF21" s="120"/>
      <c r="AG21" s="120"/>
      <c r="AH21" s="123">
        <v>3.7851000000000003E-2</v>
      </c>
      <c r="AI21" s="123">
        <v>2.1440000000000001E-2</v>
      </c>
      <c r="AJ21" s="123">
        <v>3.0499999999999999E-4</v>
      </c>
    </row>
    <row r="22" spans="1:36" ht="15" customHeight="1">
      <c r="A22" s="121">
        <v>313</v>
      </c>
      <c r="B22" s="121">
        <v>313</v>
      </c>
      <c r="C22" s="120" t="s">
        <v>1336</v>
      </c>
      <c r="D22" s="121">
        <v>516269248</v>
      </c>
      <c r="E22" s="120" t="s">
        <v>308</v>
      </c>
      <c r="F22" s="120" t="s">
        <v>1337</v>
      </c>
      <c r="G22" s="121" t="s">
        <v>1338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484</v>
      </c>
      <c r="O22" s="120" t="s">
        <v>338</v>
      </c>
      <c r="P22" s="120" t="s">
        <v>1339</v>
      </c>
      <c r="Q22" s="120" t="s">
        <v>414</v>
      </c>
      <c r="R22" s="120" t="s">
        <v>406</v>
      </c>
      <c r="S22" s="120" t="s">
        <v>1218</v>
      </c>
      <c r="T22" s="122">
        <v>3.21</v>
      </c>
      <c r="U22" s="124">
        <v>48121</v>
      </c>
      <c r="V22" s="123">
        <v>1.7999999999999999E-2</v>
      </c>
      <c r="W22" s="123">
        <v>3.1E-2</v>
      </c>
      <c r="X22" s="120" t="s">
        <v>411</v>
      </c>
      <c r="Y22" s="120"/>
      <c r="Z22" s="122">
        <v>2907801.79</v>
      </c>
      <c r="AA22" s="122">
        <v>1</v>
      </c>
      <c r="AB22" s="122">
        <v>112.88</v>
      </c>
      <c r="AC22" s="122"/>
      <c r="AD22" s="122">
        <v>3282.3266600000002</v>
      </c>
      <c r="AE22" s="120"/>
      <c r="AF22" s="120"/>
      <c r="AG22" s="120"/>
      <c r="AH22" s="123">
        <v>3.2980000000000002E-3</v>
      </c>
      <c r="AI22" s="123">
        <v>3.8340000000000002E-3</v>
      </c>
      <c r="AJ22" s="123">
        <v>5.3999999999999998E-5</v>
      </c>
    </row>
    <row r="23" spans="1:36" ht="15" customHeight="1">
      <c r="A23" s="121">
        <v>313</v>
      </c>
      <c r="B23" s="121">
        <v>313</v>
      </c>
      <c r="C23" s="120" t="s">
        <v>1209</v>
      </c>
      <c r="D23" s="121">
        <v>520000118</v>
      </c>
      <c r="E23" s="120" t="s">
        <v>308</v>
      </c>
      <c r="F23" s="120" t="s">
        <v>1340</v>
      </c>
      <c r="G23" s="121" t="s">
        <v>1341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1307</v>
      </c>
      <c r="Q23" s="120" t="s">
        <v>414</v>
      </c>
      <c r="R23" s="120" t="s">
        <v>406</v>
      </c>
      <c r="S23" s="120" t="s">
        <v>1218</v>
      </c>
      <c r="T23" s="122">
        <v>1.81</v>
      </c>
      <c r="U23" s="124">
        <v>46872</v>
      </c>
      <c r="V23" s="123">
        <v>6.0000000000000001E-3</v>
      </c>
      <c r="W23" s="123">
        <v>2.47E-2</v>
      </c>
      <c r="X23" s="120" t="s">
        <v>411</v>
      </c>
      <c r="Y23" s="120"/>
      <c r="Z23" s="122">
        <v>12432023.26</v>
      </c>
      <c r="AA23" s="122">
        <v>1</v>
      </c>
      <c r="AB23" s="122">
        <v>114.32</v>
      </c>
      <c r="AC23" s="122"/>
      <c r="AD23" s="122">
        <v>14212.288989999999</v>
      </c>
      <c r="AE23" s="120"/>
      <c r="AF23" s="120"/>
      <c r="AG23" s="120"/>
      <c r="AH23" s="123">
        <v>1.8631000000000002E-2</v>
      </c>
      <c r="AI23" s="123">
        <v>1.6601999999999999E-2</v>
      </c>
      <c r="AJ23" s="123">
        <v>2.3599999999999999E-4</v>
      </c>
    </row>
    <row r="24" spans="1:36" ht="15" customHeight="1">
      <c r="A24" s="121">
        <v>313</v>
      </c>
      <c r="B24" s="121">
        <v>313</v>
      </c>
      <c r="C24" s="120" t="s">
        <v>1320</v>
      </c>
      <c r="D24" s="121">
        <v>510960719</v>
      </c>
      <c r="E24" s="120" t="s">
        <v>308</v>
      </c>
      <c r="F24" s="120" t="s">
        <v>1342</v>
      </c>
      <c r="G24" s="121" t="s">
        <v>1343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463</v>
      </c>
      <c r="O24" s="120" t="s">
        <v>338</v>
      </c>
      <c r="P24" s="120" t="s">
        <v>1323</v>
      </c>
      <c r="Q24" s="120" t="s">
        <v>414</v>
      </c>
      <c r="R24" s="120" t="s">
        <v>406</v>
      </c>
      <c r="S24" s="120" t="s">
        <v>1218</v>
      </c>
      <c r="T24" s="122">
        <v>2.68</v>
      </c>
      <c r="U24" s="124">
        <v>47669</v>
      </c>
      <c r="V24" s="123">
        <v>1.34E-2</v>
      </c>
      <c r="W24" s="123">
        <v>2.8000000000000001E-2</v>
      </c>
      <c r="X24" s="120" t="s">
        <v>411</v>
      </c>
      <c r="Y24" s="120"/>
      <c r="Z24" s="122">
        <v>898486.18</v>
      </c>
      <c r="AA24" s="122">
        <v>1</v>
      </c>
      <c r="AB24" s="122">
        <v>114.07</v>
      </c>
      <c r="AC24" s="122">
        <v>114.37981000000001</v>
      </c>
      <c r="AD24" s="122">
        <v>1139.2829999999999</v>
      </c>
      <c r="AE24" s="120"/>
      <c r="AF24" s="120"/>
      <c r="AG24" s="120"/>
      <c r="AH24" s="123">
        <v>4.06E-4</v>
      </c>
      <c r="AI24" s="123">
        <v>1.33E-3</v>
      </c>
      <c r="AJ24" s="123">
        <v>1.8E-5</v>
      </c>
    </row>
    <row r="25" spans="1:36" ht="15" customHeight="1">
      <c r="A25" s="121">
        <v>313</v>
      </c>
      <c r="B25" s="121">
        <v>313</v>
      </c>
      <c r="C25" s="120" t="s">
        <v>1280</v>
      </c>
      <c r="D25" s="121">
        <v>520032046</v>
      </c>
      <c r="E25" s="120" t="s">
        <v>308</v>
      </c>
      <c r="F25" s="120" t="s">
        <v>1344</v>
      </c>
      <c r="G25" s="121" t="s">
        <v>1345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1218</v>
      </c>
      <c r="T25" s="122">
        <v>4.22</v>
      </c>
      <c r="U25" s="124">
        <v>48742</v>
      </c>
      <c r="V25" s="123">
        <v>2.06E-2</v>
      </c>
      <c r="W25" s="123">
        <v>2.5899999999999999E-2</v>
      </c>
      <c r="X25" s="120" t="s">
        <v>411</v>
      </c>
      <c r="Y25" s="120"/>
      <c r="Z25" s="122">
        <v>14800000</v>
      </c>
      <c r="AA25" s="122">
        <v>1</v>
      </c>
      <c r="AB25" s="122">
        <v>103.97</v>
      </c>
      <c r="AC25" s="122"/>
      <c r="AD25" s="122">
        <v>15387.56</v>
      </c>
      <c r="AE25" s="120"/>
      <c r="AF25" s="120"/>
      <c r="AG25" s="120"/>
      <c r="AH25" s="123">
        <v>9.2490000000000003E-3</v>
      </c>
      <c r="AI25" s="123">
        <v>1.7975000000000001E-2</v>
      </c>
      <c r="AJ25" s="123">
        <v>2.5599999999999999E-4</v>
      </c>
    </row>
    <row r="26" spans="1:36" ht="15" customHeight="1">
      <c r="A26" s="121">
        <v>313</v>
      </c>
      <c r="B26" s="121">
        <v>313</v>
      </c>
      <c r="C26" s="120" t="s">
        <v>1288</v>
      </c>
      <c r="D26" s="121">
        <v>520000472</v>
      </c>
      <c r="E26" s="120" t="s">
        <v>308</v>
      </c>
      <c r="F26" s="120" t="s">
        <v>1346</v>
      </c>
      <c r="G26" s="121" t="s">
        <v>1347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439</v>
      </c>
      <c r="O26" s="120" t="s">
        <v>338</v>
      </c>
      <c r="P26" s="120" t="s">
        <v>1211</v>
      </c>
      <c r="Q26" s="120" t="s">
        <v>412</v>
      </c>
      <c r="R26" s="120" t="s">
        <v>406</v>
      </c>
      <c r="S26" s="120" t="s">
        <v>1218</v>
      </c>
      <c r="T26" s="122">
        <v>7.14</v>
      </c>
      <c r="U26" s="124">
        <v>48742</v>
      </c>
      <c r="V26" s="123">
        <v>0.03</v>
      </c>
      <c r="W26" s="123">
        <v>2.5999999999999999E-2</v>
      </c>
      <c r="X26" s="120" t="s">
        <v>411</v>
      </c>
      <c r="Y26" s="120"/>
      <c r="Z26" s="122">
        <v>13733000</v>
      </c>
      <c r="AA26" s="122">
        <v>1</v>
      </c>
      <c r="AB26" s="122">
        <v>109.5</v>
      </c>
      <c r="AC26" s="122"/>
      <c r="AD26" s="122">
        <v>15037.635</v>
      </c>
      <c r="AE26" s="120"/>
      <c r="AF26" s="120"/>
      <c r="AG26" s="120"/>
      <c r="AH26" s="123">
        <v>3.3660000000000001E-3</v>
      </c>
      <c r="AI26" s="123">
        <v>1.7565999999999998E-2</v>
      </c>
      <c r="AJ26" s="123">
        <v>2.5000000000000001E-4</v>
      </c>
    </row>
    <row r="27" spans="1:36" ht="15" customHeight="1">
      <c r="A27" s="121">
        <v>313</v>
      </c>
      <c r="B27" s="121">
        <v>313</v>
      </c>
      <c r="C27" s="120" t="s">
        <v>1295</v>
      </c>
      <c r="D27" s="121">
        <v>520018078</v>
      </c>
      <c r="E27" s="120" t="s">
        <v>308</v>
      </c>
      <c r="F27" s="120" t="s">
        <v>1348</v>
      </c>
      <c r="G27" s="121" t="s">
        <v>1349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1211</v>
      </c>
      <c r="Q27" s="120" t="s">
        <v>412</v>
      </c>
      <c r="R27" s="120" t="s">
        <v>406</v>
      </c>
      <c r="S27" s="120" t="s">
        <v>1218</v>
      </c>
      <c r="T27" s="122">
        <v>4.3899999999999997</v>
      </c>
      <c r="U27" s="124">
        <v>48913</v>
      </c>
      <c r="V27" s="123">
        <v>2.0199999999999999E-2</v>
      </c>
      <c r="W27" s="123">
        <v>2.63E-2</v>
      </c>
      <c r="X27" s="120" t="s">
        <v>411</v>
      </c>
      <c r="Y27" s="120"/>
      <c r="Z27" s="122">
        <v>21200000</v>
      </c>
      <c r="AA27" s="122">
        <v>1</v>
      </c>
      <c r="AB27" s="122">
        <v>102.52</v>
      </c>
      <c r="AC27" s="122"/>
      <c r="AD27" s="122">
        <v>21734.240000000002</v>
      </c>
      <c r="AE27" s="120"/>
      <c r="AF27" s="120"/>
      <c r="AG27" s="120"/>
      <c r="AH27" s="123">
        <v>5.9410000000000001E-3</v>
      </c>
      <c r="AI27" s="123">
        <v>2.5388999999999998E-2</v>
      </c>
      <c r="AJ27" s="123">
        <v>3.6099999999999999E-4</v>
      </c>
    </row>
    <row r="28" spans="1:36" ht="15" customHeight="1">
      <c r="A28" s="121">
        <v>313</v>
      </c>
      <c r="B28" s="121">
        <v>313</v>
      </c>
      <c r="C28" s="120" t="s">
        <v>1280</v>
      </c>
      <c r="D28" s="121">
        <v>520032046</v>
      </c>
      <c r="E28" s="120" t="s">
        <v>308</v>
      </c>
      <c r="F28" s="120" t="s">
        <v>1350</v>
      </c>
      <c r="G28" s="121" t="s">
        <v>1351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1211</v>
      </c>
      <c r="Q28" s="120" t="s">
        <v>412</v>
      </c>
      <c r="R28" s="120" t="s">
        <v>406</v>
      </c>
      <c r="S28" s="120" t="s">
        <v>1218</v>
      </c>
      <c r="T28" s="122">
        <v>4.9800000000000004</v>
      </c>
      <c r="U28" s="124">
        <v>47665</v>
      </c>
      <c r="V28" s="123">
        <v>2E-3</v>
      </c>
      <c r="W28" s="123">
        <v>2.6100000000000002E-2</v>
      </c>
      <c r="X28" s="120" t="s">
        <v>411</v>
      </c>
      <c r="Y28" s="120"/>
      <c r="Z28" s="122">
        <v>587500</v>
      </c>
      <c r="AA28" s="122">
        <v>1</v>
      </c>
      <c r="AB28" s="122">
        <v>104.05</v>
      </c>
      <c r="AC28" s="122">
        <v>1.3765700000000001</v>
      </c>
      <c r="AD28" s="122">
        <v>612.67031999999995</v>
      </c>
      <c r="AE28" s="120"/>
      <c r="AF28" s="120"/>
      <c r="AG28" s="120"/>
      <c r="AH28" s="123">
        <v>1.6899999999999999E-4</v>
      </c>
      <c r="AI28" s="123">
        <v>7.1500000000000003E-4</v>
      </c>
      <c r="AJ28" s="123">
        <v>1.0000000000000001E-5</v>
      </c>
    </row>
    <row r="29" spans="1:36" ht="15" customHeight="1">
      <c r="A29" s="121">
        <v>313</v>
      </c>
      <c r="B29" s="121">
        <v>313</v>
      </c>
      <c r="C29" s="120" t="s">
        <v>1352</v>
      </c>
      <c r="D29" s="121">
        <v>520027293</v>
      </c>
      <c r="E29" s="120" t="s">
        <v>308</v>
      </c>
      <c r="F29" s="120" t="s">
        <v>1353</v>
      </c>
      <c r="G29" s="121" t="s">
        <v>1354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439</v>
      </c>
      <c r="O29" s="120" t="s">
        <v>338</v>
      </c>
      <c r="P29" s="120" t="s">
        <v>1307</v>
      </c>
      <c r="Q29" s="120" t="s">
        <v>414</v>
      </c>
      <c r="R29" s="120" t="s">
        <v>406</v>
      </c>
      <c r="S29" s="120" t="s">
        <v>1218</v>
      </c>
      <c r="T29" s="122">
        <v>11.59</v>
      </c>
      <c r="U29" s="124">
        <v>55153</v>
      </c>
      <c r="V29" s="123">
        <v>3.2899999999999999E-2</v>
      </c>
      <c r="W29" s="123">
        <v>2.6700000000000002E-2</v>
      </c>
      <c r="X29" s="120" t="s">
        <v>411</v>
      </c>
      <c r="Y29" s="120"/>
      <c r="Z29" s="122">
        <v>18468000</v>
      </c>
      <c r="AA29" s="122">
        <v>1</v>
      </c>
      <c r="AB29" s="122">
        <v>109.05</v>
      </c>
      <c r="AC29" s="120"/>
      <c r="AD29" s="122">
        <v>20139.353999999999</v>
      </c>
      <c r="AE29" s="120"/>
      <c r="AF29" s="120"/>
      <c r="AG29" s="120"/>
      <c r="AH29" s="123">
        <v>3.6935999999999997E-2</v>
      </c>
      <c r="AI29" s="123">
        <v>2.3525999999999998E-2</v>
      </c>
      <c r="AJ29" s="123">
        <v>3.3500000000000001E-4</v>
      </c>
    </row>
    <row r="30" spans="1:36" ht="15" customHeight="1">
      <c r="A30" s="121">
        <v>313</v>
      </c>
      <c r="B30" s="121">
        <v>313</v>
      </c>
      <c r="C30" s="120" t="s">
        <v>1355</v>
      </c>
      <c r="D30" s="121">
        <v>520010869</v>
      </c>
      <c r="E30" s="120" t="s">
        <v>308</v>
      </c>
      <c r="F30" s="120" t="s">
        <v>1356</v>
      </c>
      <c r="G30" s="121" t="s">
        <v>1357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476</v>
      </c>
      <c r="O30" s="120" t="s">
        <v>338</v>
      </c>
      <c r="P30" s="120" t="s">
        <v>1211</v>
      </c>
      <c r="Q30" s="120" t="s">
        <v>412</v>
      </c>
      <c r="R30" s="120" t="s">
        <v>406</v>
      </c>
      <c r="S30" s="120" t="s">
        <v>1218</v>
      </c>
      <c r="T30" s="122">
        <v>11.73</v>
      </c>
      <c r="U30" s="124">
        <v>56249</v>
      </c>
      <c r="V30" s="123">
        <v>2.07E-2</v>
      </c>
      <c r="W30" s="123">
        <v>2.7699999999999999E-2</v>
      </c>
      <c r="X30" s="120" t="s">
        <v>411</v>
      </c>
      <c r="Y30" s="120"/>
      <c r="Z30" s="122">
        <v>129841554.05</v>
      </c>
      <c r="AA30" s="122">
        <v>1</v>
      </c>
      <c r="AB30" s="122">
        <v>106.32</v>
      </c>
      <c r="AC30" s="120"/>
      <c r="AD30" s="122">
        <v>138047.54027</v>
      </c>
      <c r="AE30" s="120"/>
      <c r="AF30" s="120"/>
      <c r="AG30" s="120"/>
      <c r="AH30" s="123">
        <v>2.3748999999999999E-2</v>
      </c>
      <c r="AI30" s="123">
        <v>0.16126299999999999</v>
      </c>
      <c r="AJ30" s="123">
        <v>2.2989999999999998E-3</v>
      </c>
    </row>
    <row r="31" spans="1:36" ht="15" customHeight="1">
      <c r="A31" s="121">
        <v>313</v>
      </c>
      <c r="B31" s="121">
        <v>313</v>
      </c>
      <c r="C31" s="120" t="s">
        <v>1280</v>
      </c>
      <c r="D31" s="121">
        <v>520032046</v>
      </c>
      <c r="E31" s="120" t="s">
        <v>308</v>
      </c>
      <c r="F31" s="120" t="s">
        <v>1358</v>
      </c>
      <c r="G31" s="121" t="s">
        <v>1359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447</v>
      </c>
      <c r="O31" s="120" t="s">
        <v>338</v>
      </c>
      <c r="P31" s="120" t="s">
        <v>1211</v>
      </c>
      <c r="Q31" s="120" t="s">
        <v>412</v>
      </c>
      <c r="R31" s="120" t="s">
        <v>406</v>
      </c>
      <c r="S31" s="120" t="s">
        <v>1218</v>
      </c>
      <c r="T31" s="122">
        <v>3.21</v>
      </c>
      <c r="U31" s="124">
        <v>47950</v>
      </c>
      <c r="V31" s="123">
        <v>1E-3</v>
      </c>
      <c r="W31" s="123">
        <v>2.58E-2</v>
      </c>
      <c r="X31" s="120" t="s">
        <v>411</v>
      </c>
      <c r="Y31" s="120"/>
      <c r="Z31" s="122">
        <v>10147174.01</v>
      </c>
      <c r="AA31" s="122">
        <v>1</v>
      </c>
      <c r="AB31" s="122">
        <v>104.36</v>
      </c>
      <c r="AC31" s="120"/>
      <c r="AD31" s="122">
        <v>10589.5908</v>
      </c>
      <c r="AE31" s="120"/>
      <c r="AF31" s="120"/>
      <c r="AG31" s="120"/>
      <c r="AH31" s="123">
        <v>4.5469999999999998E-3</v>
      </c>
      <c r="AI31" s="123">
        <v>1.2370000000000001E-2</v>
      </c>
      <c r="AJ31" s="123">
        <v>1.76E-4</v>
      </c>
    </row>
    <row r="32" spans="1:36" ht="15" customHeight="1">
      <c r="A32" s="121">
        <v>313</v>
      </c>
      <c r="B32" s="121">
        <v>313</v>
      </c>
      <c r="C32" s="120" t="s">
        <v>1209</v>
      </c>
      <c r="D32" s="121">
        <v>520000118</v>
      </c>
      <c r="E32" s="120" t="s">
        <v>308</v>
      </c>
      <c r="F32" s="120" t="s">
        <v>1360</v>
      </c>
      <c r="G32" s="121" t="s">
        <v>1361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1285</v>
      </c>
      <c r="Q32" s="120" t="s">
        <v>412</v>
      </c>
      <c r="R32" s="120" t="s">
        <v>406</v>
      </c>
      <c r="S32" s="120" t="s">
        <v>1218</v>
      </c>
      <c r="T32" s="122">
        <v>3.24</v>
      </c>
      <c r="U32" s="124">
        <v>47086</v>
      </c>
      <c r="V32" s="123">
        <v>3.09E-2</v>
      </c>
      <c r="W32" s="123">
        <v>2.98E-2</v>
      </c>
      <c r="X32" s="120" t="s">
        <v>410</v>
      </c>
      <c r="Y32" s="120"/>
      <c r="Z32" s="122">
        <v>8300000</v>
      </c>
      <c r="AA32" s="122">
        <v>1</v>
      </c>
      <c r="AB32" s="122">
        <v>110.98</v>
      </c>
      <c r="AC32" s="120"/>
      <c r="AD32" s="122">
        <v>9211.34</v>
      </c>
      <c r="AE32" s="120"/>
      <c r="AF32" s="120"/>
      <c r="AG32" s="120"/>
      <c r="AH32" s="123">
        <v>8.7360000000000007E-3</v>
      </c>
      <c r="AI32" s="123">
        <v>1.076E-2</v>
      </c>
      <c r="AJ32" s="123">
        <v>1.5300000000000001E-4</v>
      </c>
    </row>
    <row r="33" spans="1:36" ht="15" customHeight="1">
      <c r="A33" s="121">
        <v>313</v>
      </c>
      <c r="B33" s="121">
        <v>313</v>
      </c>
      <c r="C33" s="120" t="s">
        <v>1288</v>
      </c>
      <c r="D33" s="121">
        <v>520000472</v>
      </c>
      <c r="E33" s="120" t="s">
        <v>308</v>
      </c>
      <c r="F33" s="120" t="s">
        <v>1362</v>
      </c>
      <c r="G33" s="121" t="s">
        <v>1363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439</v>
      </c>
      <c r="O33" s="120" t="s">
        <v>338</v>
      </c>
      <c r="P33" s="120" t="s">
        <v>1211</v>
      </c>
      <c r="Q33" s="120" t="s">
        <v>412</v>
      </c>
      <c r="R33" s="120" t="s">
        <v>406</v>
      </c>
      <c r="S33" s="120" t="s">
        <v>1218</v>
      </c>
      <c r="T33" s="122">
        <v>2.77</v>
      </c>
      <c r="U33" s="124">
        <v>47220</v>
      </c>
      <c r="V33" s="123">
        <v>3.85E-2</v>
      </c>
      <c r="W33" s="123">
        <v>2.46E-2</v>
      </c>
      <c r="X33" s="120" t="s">
        <v>411</v>
      </c>
      <c r="Y33" s="120"/>
      <c r="Z33" s="122">
        <v>48330461.149999999</v>
      </c>
      <c r="AA33" s="122">
        <v>1</v>
      </c>
      <c r="AB33" s="122">
        <v>123.46</v>
      </c>
      <c r="AC33" s="120"/>
      <c r="AD33" s="122">
        <v>59668.787340000003</v>
      </c>
      <c r="AE33" s="120"/>
      <c r="AF33" s="120"/>
      <c r="AG33" s="120"/>
      <c r="AH33" s="123">
        <v>1.9123999999999999E-2</v>
      </c>
      <c r="AI33" s="123">
        <v>6.9703000000000001E-2</v>
      </c>
      <c r="AJ33" s="123">
        <v>9.9299999999999996E-4</v>
      </c>
    </row>
    <row r="34" spans="1:36" ht="15" customHeight="1">
      <c r="A34" s="121">
        <v>313</v>
      </c>
      <c r="B34" s="121">
        <v>313</v>
      </c>
      <c r="C34" s="120" t="s">
        <v>1364</v>
      </c>
      <c r="D34" s="121">
        <v>513141879</v>
      </c>
      <c r="E34" s="120" t="s">
        <v>308</v>
      </c>
      <c r="F34" s="120" t="s">
        <v>1365</v>
      </c>
      <c r="G34" s="121" t="s">
        <v>1366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412</v>
      </c>
      <c r="R34" s="120" t="s">
        <v>406</v>
      </c>
      <c r="S34" s="120" t="s">
        <v>1218</v>
      </c>
      <c r="T34" s="122">
        <v>0.19</v>
      </c>
      <c r="U34" s="124">
        <v>45910</v>
      </c>
      <c r="V34" s="123">
        <v>1E-3</v>
      </c>
      <c r="W34" s="123">
        <v>2.23E-2</v>
      </c>
      <c r="X34" s="120" t="s">
        <v>411</v>
      </c>
      <c r="Y34" s="120"/>
      <c r="Z34" s="122">
        <v>10919000</v>
      </c>
      <c r="AA34" s="122">
        <v>1</v>
      </c>
      <c r="AB34" s="122">
        <v>115.96</v>
      </c>
      <c r="AC34" s="120"/>
      <c r="AD34" s="122">
        <v>12661.672399999999</v>
      </c>
      <c r="AE34" s="120"/>
      <c r="AF34" s="120"/>
      <c r="AG34" s="120"/>
      <c r="AH34" s="123">
        <v>7.2789999999999999E-3</v>
      </c>
      <c r="AI34" s="123">
        <v>1.4789999999999999E-2</v>
      </c>
      <c r="AJ34" s="123">
        <v>2.1000000000000001E-4</v>
      </c>
    </row>
    <row r="35" spans="1:36" ht="15" customHeight="1">
      <c r="A35" s="121">
        <v>313</v>
      </c>
      <c r="B35" s="121">
        <v>313</v>
      </c>
      <c r="C35" s="120" t="s">
        <v>1355</v>
      </c>
      <c r="D35" s="121">
        <v>520010869</v>
      </c>
      <c r="E35" s="120" t="s">
        <v>308</v>
      </c>
      <c r="F35" s="120" t="s">
        <v>1367</v>
      </c>
      <c r="G35" s="121" t="s">
        <v>1368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476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1218</v>
      </c>
      <c r="T35" s="122">
        <v>1.48</v>
      </c>
      <c r="U35" s="124">
        <v>46752</v>
      </c>
      <c r="V35" s="123">
        <v>1E-3</v>
      </c>
      <c r="W35" s="123">
        <v>2.5999999999999999E-2</v>
      </c>
      <c r="X35" s="120" t="s">
        <v>411</v>
      </c>
      <c r="Y35" s="120"/>
      <c r="Z35" s="122">
        <v>12641400</v>
      </c>
      <c r="AA35" s="122">
        <v>1</v>
      </c>
      <c r="AB35" s="122">
        <v>111.15</v>
      </c>
      <c r="AC35" s="120"/>
      <c r="AD35" s="122">
        <v>14050.9161</v>
      </c>
      <c r="AE35" s="120"/>
      <c r="AF35" s="120"/>
      <c r="AG35" s="120"/>
      <c r="AH35" s="123">
        <v>1.9681000000000001E-2</v>
      </c>
      <c r="AI35" s="123">
        <v>1.6413000000000001E-2</v>
      </c>
      <c r="AJ35" s="123">
        <v>2.33E-4</v>
      </c>
    </row>
    <row r="36" spans="1:36" ht="15" customHeight="1">
      <c r="A36" s="121">
        <v>313</v>
      </c>
      <c r="B36" s="121">
        <v>313</v>
      </c>
      <c r="C36" s="120" t="s">
        <v>1369</v>
      </c>
      <c r="D36" s="121">
        <v>513436394</v>
      </c>
      <c r="E36" s="120" t="s">
        <v>308</v>
      </c>
      <c r="F36" s="120" t="s">
        <v>1370</v>
      </c>
      <c r="G36" s="121" t="s">
        <v>1371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476</v>
      </c>
      <c r="O36" s="120" t="s">
        <v>338</v>
      </c>
      <c r="P36" s="120" t="s">
        <v>1323</v>
      </c>
      <c r="Q36" s="120" t="s">
        <v>414</v>
      </c>
      <c r="R36" s="120" t="s">
        <v>406</v>
      </c>
      <c r="S36" s="120" t="s">
        <v>1218</v>
      </c>
      <c r="T36" s="122">
        <v>5.05</v>
      </c>
      <c r="U36" s="124">
        <v>48760</v>
      </c>
      <c r="V36" s="123">
        <v>2.9499999999999998E-2</v>
      </c>
      <c r="W36" s="123">
        <v>2.52E-2</v>
      </c>
      <c r="X36" s="120" t="s">
        <v>411</v>
      </c>
      <c r="Y36" s="120"/>
      <c r="Z36" s="122">
        <v>57725970.539999999</v>
      </c>
      <c r="AA36" s="122">
        <v>1</v>
      </c>
      <c r="AB36" s="122">
        <v>118.55</v>
      </c>
      <c r="AC36" s="120"/>
      <c r="AD36" s="122">
        <v>68434.138080000004</v>
      </c>
      <c r="AE36" s="120"/>
      <c r="AF36" s="120"/>
      <c r="AG36" s="120"/>
      <c r="AH36" s="123">
        <v>4.0627000000000003E-2</v>
      </c>
      <c r="AI36" s="123">
        <v>7.9941999999999999E-2</v>
      </c>
      <c r="AJ36" s="123">
        <v>1.139E-3</v>
      </c>
    </row>
    <row r="37" spans="1:36" ht="15" customHeight="1">
      <c r="A37" s="121">
        <v>313</v>
      </c>
      <c r="B37" s="121">
        <v>313</v>
      </c>
      <c r="C37" s="120" t="s">
        <v>1301</v>
      </c>
      <c r="D37" s="121">
        <v>513893123</v>
      </c>
      <c r="E37" s="120" t="s">
        <v>308</v>
      </c>
      <c r="F37" s="120" t="s">
        <v>1372</v>
      </c>
      <c r="G37" s="121" t="s">
        <v>1303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442</v>
      </c>
      <c r="O37" s="120" t="s">
        <v>338</v>
      </c>
      <c r="P37" s="120" t="s">
        <v>1304</v>
      </c>
      <c r="Q37" s="120" t="s">
        <v>414</v>
      </c>
      <c r="R37" s="120" t="s">
        <v>406</v>
      </c>
      <c r="S37" s="120" t="s">
        <v>1218</v>
      </c>
      <c r="T37" s="122">
        <v>1.04</v>
      </c>
      <c r="U37" s="124">
        <v>46477</v>
      </c>
      <c r="V37" s="123">
        <v>3.5400000000000001E-2</v>
      </c>
      <c r="W37" s="123">
        <v>0.1305</v>
      </c>
      <c r="X37" s="120" t="s">
        <v>411</v>
      </c>
      <c r="Y37" s="120"/>
      <c r="Z37" s="122">
        <v>-3272.5</v>
      </c>
      <c r="AA37" s="122">
        <v>1</v>
      </c>
      <c r="AB37" s="122">
        <v>100</v>
      </c>
      <c r="AC37" s="120"/>
      <c r="AD37" s="122">
        <v>-3.2725</v>
      </c>
      <c r="AE37" s="120"/>
      <c r="AF37" s="120"/>
      <c r="AG37" s="120"/>
      <c r="AH37" s="123">
        <v>-1.9999999999999999E-6</v>
      </c>
      <c r="AI37" s="123">
        <v>-3.0000000000000001E-6</v>
      </c>
      <c r="AJ37" s="123">
        <v>0</v>
      </c>
    </row>
    <row r="38" spans="1:36" ht="15" customHeight="1">
      <c r="A38" s="121">
        <v>313</v>
      </c>
      <c r="B38" s="121">
        <v>313</v>
      </c>
      <c r="C38" s="120" t="s">
        <v>1288</v>
      </c>
      <c r="D38" s="121">
        <v>520000472</v>
      </c>
      <c r="E38" s="120" t="s">
        <v>308</v>
      </c>
      <c r="F38" s="120" t="s">
        <v>1373</v>
      </c>
      <c r="G38" s="121" t="s">
        <v>1374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439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1218</v>
      </c>
      <c r="T38" s="122">
        <v>10.199999999999999</v>
      </c>
      <c r="U38" s="124">
        <v>49825</v>
      </c>
      <c r="V38" s="123">
        <v>1.2500000000000001E-2</v>
      </c>
      <c r="W38" s="123">
        <v>2.7900000000000001E-2</v>
      </c>
      <c r="X38" s="120" t="s">
        <v>411</v>
      </c>
      <c r="Y38" s="120"/>
      <c r="Z38" s="122">
        <v>1890000</v>
      </c>
      <c r="AA38" s="122">
        <v>1</v>
      </c>
      <c r="AB38" s="122">
        <v>98.88</v>
      </c>
      <c r="AC38" s="120"/>
      <c r="AD38" s="122">
        <v>1868.8320000000001</v>
      </c>
      <c r="AE38" s="120"/>
      <c r="AF38" s="120"/>
      <c r="AG38" s="120"/>
      <c r="AH38" s="123">
        <v>4.4000000000000002E-4</v>
      </c>
      <c r="AI38" s="123">
        <v>2.183E-3</v>
      </c>
      <c r="AJ38" s="123">
        <v>3.1000000000000001E-5</v>
      </c>
    </row>
    <row r="39" spans="1:36" ht="15" customHeight="1">
      <c r="A39" s="121">
        <v>313</v>
      </c>
      <c r="B39" s="121">
        <v>313</v>
      </c>
      <c r="C39" s="120" t="s">
        <v>1291</v>
      </c>
      <c r="D39" s="121">
        <v>513834200</v>
      </c>
      <c r="E39" s="120" t="s">
        <v>308</v>
      </c>
      <c r="F39" s="120" t="s">
        <v>1375</v>
      </c>
      <c r="G39" s="121" t="s">
        <v>1376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444</v>
      </c>
      <c r="O39" s="120" t="s">
        <v>338</v>
      </c>
      <c r="P39" s="120" t="s">
        <v>1294</v>
      </c>
      <c r="Q39" s="120" t="s">
        <v>414</v>
      </c>
      <c r="R39" s="120" t="s">
        <v>406</v>
      </c>
      <c r="S39" s="120" t="s">
        <v>1218</v>
      </c>
      <c r="T39" s="122">
        <v>0.5</v>
      </c>
      <c r="U39" s="124">
        <v>46022</v>
      </c>
      <c r="V39" s="123">
        <v>2.4E-2</v>
      </c>
      <c r="W39" s="123">
        <v>2.8799999999999999E-2</v>
      </c>
      <c r="X39" s="120" t="s">
        <v>410</v>
      </c>
      <c r="Y39" s="120"/>
      <c r="Z39" s="122">
        <v>5247380</v>
      </c>
      <c r="AA39" s="122">
        <v>1</v>
      </c>
      <c r="AB39" s="122">
        <v>116.76</v>
      </c>
      <c r="AC39" s="120"/>
      <c r="AD39" s="122">
        <v>6126.8408900000004</v>
      </c>
      <c r="AE39" s="120"/>
      <c r="AF39" s="120"/>
      <c r="AG39" s="120"/>
      <c r="AH39" s="123">
        <v>1.7776E-2</v>
      </c>
      <c r="AI39" s="123">
        <v>7.1570000000000002E-3</v>
      </c>
      <c r="AJ39" s="123">
        <v>1.02E-4</v>
      </c>
    </row>
    <row r="40" spans="1:36" ht="15" customHeight="1">
      <c r="A40" s="121">
        <v>313</v>
      </c>
      <c r="B40" s="121">
        <v>313</v>
      </c>
      <c r="C40" s="120" t="s">
        <v>1280</v>
      </c>
      <c r="D40" s="121">
        <v>520032046</v>
      </c>
      <c r="E40" s="120" t="s">
        <v>308</v>
      </c>
      <c r="F40" s="120" t="s">
        <v>1377</v>
      </c>
      <c r="G40" s="121" t="s">
        <v>1378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1218</v>
      </c>
      <c r="T40" s="122">
        <v>3.3</v>
      </c>
      <c r="U40" s="124">
        <v>47048</v>
      </c>
      <c r="V40" s="123">
        <v>1E-3</v>
      </c>
      <c r="W40" s="123">
        <v>2.58E-2</v>
      </c>
      <c r="X40" s="120" t="s">
        <v>411</v>
      </c>
      <c r="Y40" s="120"/>
      <c r="Z40" s="122">
        <v>6620582</v>
      </c>
      <c r="AA40" s="122">
        <v>1</v>
      </c>
      <c r="AB40" s="122">
        <v>105.48</v>
      </c>
      <c r="AC40" s="120"/>
      <c r="AD40" s="122">
        <v>6983.3898900000004</v>
      </c>
      <c r="AE40" s="120"/>
      <c r="AF40" s="120"/>
      <c r="AG40" s="120"/>
      <c r="AH40" s="123">
        <v>1.9599999999999999E-3</v>
      </c>
      <c r="AI40" s="123">
        <v>8.1569999999999993E-3</v>
      </c>
      <c r="AJ40" s="123">
        <v>1.16E-4</v>
      </c>
    </row>
    <row r="41" spans="1:36" ht="15" customHeight="1">
      <c r="A41" s="121">
        <v>313</v>
      </c>
      <c r="B41" s="121">
        <v>313</v>
      </c>
      <c r="C41" s="120" t="s">
        <v>1209</v>
      </c>
      <c r="D41" s="121">
        <v>520000118</v>
      </c>
      <c r="E41" s="120" t="s">
        <v>308</v>
      </c>
      <c r="F41" s="120" t="s">
        <v>1379</v>
      </c>
      <c r="G41" s="121" t="s">
        <v>1380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1307</v>
      </c>
      <c r="Q41" s="120" t="s">
        <v>414</v>
      </c>
      <c r="R41" s="120" t="s">
        <v>406</v>
      </c>
      <c r="S41" s="120" t="s">
        <v>1218</v>
      </c>
      <c r="T41" s="122">
        <v>2.81</v>
      </c>
      <c r="U41" s="124">
        <v>47819</v>
      </c>
      <c r="V41" s="123">
        <v>1.7500000000000002E-2</v>
      </c>
      <c r="W41" s="123">
        <v>2.4400000000000002E-2</v>
      </c>
      <c r="X41" s="120" t="s">
        <v>411</v>
      </c>
      <c r="Y41" s="120"/>
      <c r="Z41" s="122">
        <v>9822238.4100000001</v>
      </c>
      <c r="AA41" s="122">
        <v>1</v>
      </c>
      <c r="AB41" s="122">
        <v>115.29</v>
      </c>
      <c r="AC41" s="120"/>
      <c r="AD41" s="122">
        <v>11324.058660000001</v>
      </c>
      <c r="AE41" s="120"/>
      <c r="AF41" s="120"/>
      <c r="AG41" s="120"/>
      <c r="AH41" s="123">
        <v>4.4060000000000002E-3</v>
      </c>
      <c r="AI41" s="123">
        <v>1.3228E-2</v>
      </c>
      <c r="AJ41" s="123">
        <v>1.8799999999999999E-4</v>
      </c>
    </row>
    <row r="42" spans="1:36" ht="15" customHeight="1">
      <c r="A42" s="121">
        <v>313</v>
      </c>
      <c r="B42" s="121">
        <v>313</v>
      </c>
      <c r="C42" s="120" t="s">
        <v>1381</v>
      </c>
      <c r="D42" s="121" t="s">
        <v>1382</v>
      </c>
      <c r="E42" s="120" t="s">
        <v>312</v>
      </c>
      <c r="F42" s="120" t="s">
        <v>1383</v>
      </c>
      <c r="G42" s="121" t="s">
        <v>1384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313</v>
      </c>
      <c r="N42" s="120" t="s">
        <v>543</v>
      </c>
      <c r="O42" s="120" t="s">
        <v>338</v>
      </c>
      <c r="P42" s="120" t="s">
        <v>1385</v>
      </c>
      <c r="Q42" s="120" t="s">
        <v>430</v>
      </c>
      <c r="R42" s="120" t="s">
        <v>406</v>
      </c>
      <c r="S42" s="120" t="s">
        <v>1222</v>
      </c>
      <c r="T42" s="122">
        <v>5.51</v>
      </c>
      <c r="U42" s="124">
        <v>48014</v>
      </c>
      <c r="V42" s="123">
        <v>2.7E-2</v>
      </c>
      <c r="W42" s="123">
        <v>4.82E-2</v>
      </c>
      <c r="X42" s="120" t="s">
        <v>411</v>
      </c>
      <c r="Y42" s="120"/>
      <c r="Z42" s="122">
        <v>574000</v>
      </c>
      <c r="AA42" s="122">
        <v>3.3719999999999999</v>
      </c>
      <c r="AB42" s="122">
        <v>89.4923</v>
      </c>
      <c r="AC42" s="120"/>
      <c r="AD42" s="122">
        <v>1732.14852</v>
      </c>
      <c r="AE42" s="120"/>
      <c r="AF42" s="120"/>
      <c r="AG42" s="120"/>
      <c r="AH42" s="123">
        <v>7.6499999999999995E-4</v>
      </c>
      <c r="AI42" s="123">
        <v>2.0230000000000001E-3</v>
      </c>
      <c r="AJ42" s="123">
        <v>2.8E-5</v>
      </c>
    </row>
    <row r="43" spans="1:36" ht="15" customHeight="1">
      <c r="A43" s="121">
        <v>313</v>
      </c>
      <c r="B43" s="121">
        <v>313</v>
      </c>
      <c r="C43" s="120" t="s">
        <v>1288</v>
      </c>
      <c r="D43" s="121">
        <v>520000472</v>
      </c>
      <c r="E43" s="120" t="s">
        <v>308</v>
      </c>
      <c r="F43" s="120" t="s">
        <v>1386</v>
      </c>
      <c r="G43" s="121" t="s">
        <v>1387</v>
      </c>
      <c r="H43" s="120" t="s">
        <v>320</v>
      </c>
      <c r="I43" s="120" t="s">
        <v>754</v>
      </c>
      <c r="J43" s="120" t="s">
        <v>204</v>
      </c>
      <c r="K43" s="120" t="s">
        <v>203</v>
      </c>
      <c r="L43" s="120" t="s">
        <v>324</v>
      </c>
      <c r="M43" s="120" t="s">
        <v>313</v>
      </c>
      <c r="N43" s="120" t="s">
        <v>553</v>
      </c>
      <c r="O43" s="120" t="s">
        <v>338</v>
      </c>
      <c r="P43" s="120" t="s">
        <v>1388</v>
      </c>
      <c r="Q43" s="120" t="s">
        <v>430</v>
      </c>
      <c r="R43" s="120" t="s">
        <v>406</v>
      </c>
      <c r="S43" s="120" t="s">
        <v>1222</v>
      </c>
      <c r="T43" s="122">
        <v>16.39</v>
      </c>
      <c r="U43" s="124">
        <v>71939</v>
      </c>
      <c r="V43" s="123">
        <v>8.1000000000000003E-2</v>
      </c>
      <c r="W43" s="123">
        <v>6.2199999999999998E-2</v>
      </c>
      <c r="X43" s="120" t="s">
        <v>411</v>
      </c>
      <c r="Y43" s="120"/>
      <c r="Z43" s="122">
        <v>2845000</v>
      </c>
      <c r="AA43" s="122">
        <v>3.3719999999999999</v>
      </c>
      <c r="AB43" s="122">
        <v>132.12299999999999</v>
      </c>
      <c r="AC43" s="120"/>
      <c r="AD43" s="122">
        <v>12675.008610000001</v>
      </c>
      <c r="AE43" s="120"/>
      <c r="AF43" s="120"/>
      <c r="AG43" s="120"/>
      <c r="AH43" s="123">
        <v>2.2759999999999999E-2</v>
      </c>
      <c r="AI43" s="123">
        <v>1.4806E-2</v>
      </c>
      <c r="AJ43" s="123">
        <v>2.1100000000000001E-4</v>
      </c>
    </row>
    <row r="44" spans="1:36" ht="15" customHeight="1">
      <c r="A44" s="121">
        <v>313</v>
      </c>
      <c r="B44" s="121">
        <v>313</v>
      </c>
      <c r="C44" s="120" t="s">
        <v>1389</v>
      </c>
      <c r="D44" s="121" t="s">
        <v>1390</v>
      </c>
      <c r="E44" s="120" t="s">
        <v>312</v>
      </c>
      <c r="F44" s="120" t="s">
        <v>1391</v>
      </c>
      <c r="G44" s="121" t="s">
        <v>1392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313</v>
      </c>
      <c r="N44" s="120" t="s">
        <v>485</v>
      </c>
      <c r="O44" s="120" t="s">
        <v>338</v>
      </c>
      <c r="P44" s="120" t="s">
        <v>1393</v>
      </c>
      <c r="Q44" s="120" t="s">
        <v>432</v>
      </c>
      <c r="R44" s="120" t="s">
        <v>406</v>
      </c>
      <c r="S44" s="120" t="s">
        <v>1222</v>
      </c>
      <c r="T44" s="122">
        <v>4.68</v>
      </c>
      <c r="U44" s="124">
        <v>47757</v>
      </c>
      <c r="V44" s="123">
        <v>4.4999999999999998E-2</v>
      </c>
      <c r="W44" s="123">
        <v>5.2299999999999999E-2</v>
      </c>
      <c r="X44" s="120" t="s">
        <v>411</v>
      </c>
      <c r="Y44" s="120"/>
      <c r="Z44" s="122">
        <v>239000</v>
      </c>
      <c r="AA44" s="122">
        <v>3.3719999999999999</v>
      </c>
      <c r="AB44" s="122">
        <v>98.065299999999993</v>
      </c>
      <c r="AC44" s="120"/>
      <c r="AD44" s="122">
        <v>790.31610000000001</v>
      </c>
      <c r="AE44" s="120"/>
      <c r="AF44" s="120"/>
      <c r="AG44" s="120"/>
      <c r="AH44" s="123">
        <v>7.36E-4</v>
      </c>
      <c r="AI44" s="123">
        <v>9.2299999999999999E-4</v>
      </c>
      <c r="AJ44" s="123">
        <v>1.2999999999999999E-5</v>
      </c>
    </row>
    <row r="45" spans="1:36" ht="15" customHeight="1">
      <c r="A45" s="121">
        <v>313</v>
      </c>
      <c r="B45" s="121">
        <v>313</v>
      </c>
      <c r="C45" s="120" t="s">
        <v>1394</v>
      </c>
      <c r="D45" s="121" t="s">
        <v>1395</v>
      </c>
      <c r="E45" s="120" t="s">
        <v>312</v>
      </c>
      <c r="F45" s="120" t="s">
        <v>1396</v>
      </c>
      <c r="G45" s="121" t="s">
        <v>1397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545</v>
      </c>
      <c r="O45" s="120" t="s">
        <v>338</v>
      </c>
      <c r="P45" s="120" t="s">
        <v>1388</v>
      </c>
      <c r="Q45" s="120" t="s">
        <v>430</v>
      </c>
      <c r="R45" s="120" t="s">
        <v>406</v>
      </c>
      <c r="S45" s="120" t="s">
        <v>1222</v>
      </c>
      <c r="T45" s="122">
        <v>5.16</v>
      </c>
      <c r="U45" s="124">
        <v>47827</v>
      </c>
      <c r="V45" s="123">
        <v>0.02</v>
      </c>
      <c r="W45" s="123">
        <v>4.8599999999999997E-2</v>
      </c>
      <c r="X45" s="120" t="s">
        <v>411</v>
      </c>
      <c r="Y45" s="120"/>
      <c r="Z45" s="122">
        <v>809000</v>
      </c>
      <c r="AA45" s="122">
        <v>3.3719999999999999</v>
      </c>
      <c r="AB45" s="122">
        <v>86.800399999999996</v>
      </c>
      <c r="AC45" s="120"/>
      <c r="AD45" s="122">
        <v>2367.86978</v>
      </c>
      <c r="AE45" s="120"/>
      <c r="AF45" s="120"/>
      <c r="AG45" s="120"/>
      <c r="AH45" s="123">
        <v>2.0219999999999999E-3</v>
      </c>
      <c r="AI45" s="123">
        <v>2.7659999999999998E-3</v>
      </c>
      <c r="AJ45" s="123">
        <v>3.8999999999999999E-5</v>
      </c>
    </row>
    <row r="46" spans="1:36" ht="15" customHeight="1">
      <c r="A46" s="121">
        <v>313</v>
      </c>
      <c r="B46" s="121">
        <v>313</v>
      </c>
      <c r="C46" s="120" t="s">
        <v>1398</v>
      </c>
      <c r="D46" s="121" t="s">
        <v>1399</v>
      </c>
      <c r="E46" s="120" t="s">
        <v>312</v>
      </c>
      <c r="F46" s="120" t="s">
        <v>1400</v>
      </c>
      <c r="G46" s="121" t="s">
        <v>1401</v>
      </c>
      <c r="H46" s="120" t="s">
        <v>320</v>
      </c>
      <c r="I46" s="120" t="s">
        <v>754</v>
      </c>
      <c r="J46" s="120" t="s">
        <v>204</v>
      </c>
      <c r="K46" s="120" t="s">
        <v>295</v>
      </c>
      <c r="L46" s="120" t="s">
        <v>324</v>
      </c>
      <c r="M46" s="120" t="s">
        <v>391</v>
      </c>
      <c r="N46" s="120" t="s">
        <v>543</v>
      </c>
      <c r="O46" s="120" t="s">
        <v>338</v>
      </c>
      <c r="P46" s="120" t="s">
        <v>1402</v>
      </c>
      <c r="Q46" s="120" t="s">
        <v>432</v>
      </c>
      <c r="R46" s="120" t="s">
        <v>406</v>
      </c>
      <c r="S46" s="120" t="s">
        <v>1222</v>
      </c>
      <c r="T46" s="122">
        <v>0.98</v>
      </c>
      <c r="U46" s="124">
        <v>46196</v>
      </c>
      <c r="V46" s="123">
        <v>1.4999999999999999E-2</v>
      </c>
      <c r="W46" s="123">
        <v>4.65E-2</v>
      </c>
      <c r="X46" s="120" t="s">
        <v>411</v>
      </c>
      <c r="Y46" s="120"/>
      <c r="Z46" s="122">
        <v>400000</v>
      </c>
      <c r="AA46" s="122">
        <v>3.3719999999999999</v>
      </c>
      <c r="AB46" s="122">
        <v>97.088999999999999</v>
      </c>
      <c r="AC46" s="120"/>
      <c r="AD46" s="122">
        <v>1309.5364300000001</v>
      </c>
      <c r="AE46" s="120"/>
      <c r="AF46" s="120"/>
      <c r="AG46" s="120"/>
      <c r="AH46" s="123">
        <v>5.3300000000000005E-4</v>
      </c>
      <c r="AI46" s="123">
        <v>1.529E-3</v>
      </c>
      <c r="AJ46" s="123">
        <v>2.0999999999999999E-5</v>
      </c>
    </row>
    <row r="47" spans="1:36" ht="15" customHeight="1">
      <c r="A47" s="121">
        <v>313</v>
      </c>
      <c r="B47" s="121">
        <v>313</v>
      </c>
      <c r="C47" s="120" t="s">
        <v>1403</v>
      </c>
      <c r="D47" s="121" t="s">
        <v>1404</v>
      </c>
      <c r="E47" s="120" t="s">
        <v>312</v>
      </c>
      <c r="F47" s="120" t="s">
        <v>1405</v>
      </c>
      <c r="G47" s="121" t="s">
        <v>1406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545</v>
      </c>
      <c r="O47" s="120" t="s">
        <v>338</v>
      </c>
      <c r="P47" s="120" t="s">
        <v>1385</v>
      </c>
      <c r="Q47" s="120" t="s">
        <v>430</v>
      </c>
      <c r="R47" s="120" t="s">
        <v>406</v>
      </c>
      <c r="S47" s="120" t="s">
        <v>1222</v>
      </c>
      <c r="T47" s="122">
        <v>6.57</v>
      </c>
      <c r="U47" s="124">
        <v>48837</v>
      </c>
      <c r="V47" s="123">
        <v>5.8749999999999997E-2</v>
      </c>
      <c r="W47" s="123">
        <v>5.2400000000000002E-2</v>
      </c>
      <c r="X47" s="120" t="s">
        <v>411</v>
      </c>
      <c r="Y47" s="120"/>
      <c r="Z47" s="122">
        <v>396000</v>
      </c>
      <c r="AA47" s="122">
        <v>3.3719999999999999</v>
      </c>
      <c r="AB47" s="122">
        <v>106.29519999999999</v>
      </c>
      <c r="AC47" s="120"/>
      <c r="AD47" s="122">
        <v>1419.37256</v>
      </c>
      <c r="AE47" s="120"/>
      <c r="AF47" s="120"/>
      <c r="AG47" s="120"/>
      <c r="AH47" s="123">
        <v>4.4000000000000002E-4</v>
      </c>
      <c r="AI47" s="123">
        <v>1.658E-3</v>
      </c>
      <c r="AJ47" s="123">
        <v>2.3E-5</v>
      </c>
    </row>
    <row r="48" spans="1:36" ht="15" customHeight="1">
      <c r="A48" s="121">
        <v>313</v>
      </c>
      <c r="B48" s="121">
        <v>313</v>
      </c>
      <c r="C48" s="120" t="s">
        <v>1407</v>
      </c>
      <c r="D48" s="121" t="s">
        <v>1408</v>
      </c>
      <c r="E48" s="120" t="s">
        <v>312</v>
      </c>
      <c r="F48" s="120" t="s">
        <v>1409</v>
      </c>
      <c r="G48" s="121" t="s">
        <v>1410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509</v>
      </c>
      <c r="O48" s="120" t="s">
        <v>338</v>
      </c>
      <c r="P48" s="120" t="s">
        <v>1388</v>
      </c>
      <c r="Q48" s="120" t="s">
        <v>430</v>
      </c>
      <c r="R48" s="120" t="s">
        <v>406</v>
      </c>
      <c r="S48" s="120" t="s">
        <v>1222</v>
      </c>
      <c r="T48" s="122">
        <v>2.15</v>
      </c>
      <c r="U48" s="124">
        <v>46661</v>
      </c>
      <c r="V48" s="123">
        <v>4.2000000000000003E-2</v>
      </c>
      <c r="W48" s="123">
        <v>4.7100000000000003E-2</v>
      </c>
      <c r="X48" s="120" t="s">
        <v>411</v>
      </c>
      <c r="Y48" s="120"/>
      <c r="Z48" s="122">
        <v>598000</v>
      </c>
      <c r="AA48" s="122">
        <v>3.3719999999999999</v>
      </c>
      <c r="AB48" s="122">
        <v>100.0643</v>
      </c>
      <c r="AC48" s="120"/>
      <c r="AD48" s="122">
        <v>2017.7525800000001</v>
      </c>
      <c r="AE48" s="120"/>
      <c r="AF48" s="120"/>
      <c r="AG48" s="120"/>
      <c r="AH48" s="123">
        <v>7.9699999999999997E-4</v>
      </c>
      <c r="AI48" s="123">
        <v>2.3570000000000002E-3</v>
      </c>
      <c r="AJ48" s="123">
        <v>3.3000000000000003E-5</v>
      </c>
    </row>
    <row r="49" spans="1:36" ht="15" customHeight="1">
      <c r="A49" s="121">
        <v>313</v>
      </c>
      <c r="B49" s="121">
        <v>313</v>
      </c>
      <c r="C49" s="120" t="s">
        <v>1411</v>
      </c>
      <c r="D49" s="121" t="s">
        <v>1412</v>
      </c>
      <c r="E49" s="120" t="s">
        <v>312</v>
      </c>
      <c r="F49" s="120" t="s">
        <v>1413</v>
      </c>
      <c r="G49" s="121" t="s">
        <v>1414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527</v>
      </c>
      <c r="O49" s="120" t="s">
        <v>338</v>
      </c>
      <c r="P49" s="120" t="s">
        <v>1269</v>
      </c>
      <c r="Q49" s="120" t="s">
        <v>430</v>
      </c>
      <c r="R49" s="120" t="s">
        <v>406</v>
      </c>
      <c r="S49" s="120" t="s">
        <v>1222</v>
      </c>
      <c r="T49" s="122">
        <v>7.46</v>
      </c>
      <c r="U49" s="124">
        <v>49232</v>
      </c>
      <c r="V49" s="123">
        <v>0.05</v>
      </c>
      <c r="W49" s="123">
        <v>5.21E-2</v>
      </c>
      <c r="X49" s="120" t="s">
        <v>411</v>
      </c>
      <c r="Y49" s="120"/>
      <c r="Z49" s="122">
        <v>646000</v>
      </c>
      <c r="AA49" s="122">
        <v>3.3719999999999999</v>
      </c>
      <c r="AB49" s="122">
        <v>99.980400000000003</v>
      </c>
      <c r="AC49" s="120"/>
      <c r="AD49" s="122">
        <v>2177.8850499999999</v>
      </c>
      <c r="AE49" s="120"/>
      <c r="AF49" s="120"/>
      <c r="AG49" s="120"/>
      <c r="AH49" s="123">
        <v>9.2199999999999997E-4</v>
      </c>
      <c r="AI49" s="123">
        <v>2.5439999999999998E-3</v>
      </c>
      <c r="AJ49" s="123">
        <v>3.6000000000000001E-5</v>
      </c>
    </row>
    <row r="50" spans="1:36" ht="15" customHeight="1">
      <c r="A50" s="121">
        <v>313</v>
      </c>
      <c r="B50" s="121">
        <v>313</v>
      </c>
      <c r="C50" s="120" t="s">
        <v>1415</v>
      </c>
      <c r="D50" s="121" t="s">
        <v>1416</v>
      </c>
      <c r="E50" s="120" t="s">
        <v>312</v>
      </c>
      <c r="F50" s="120" t="s">
        <v>1417</v>
      </c>
      <c r="G50" s="121" t="s">
        <v>1418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509</v>
      </c>
      <c r="O50" s="120" t="s">
        <v>338</v>
      </c>
      <c r="P50" s="120" t="s">
        <v>1402</v>
      </c>
      <c r="Q50" s="120" t="s">
        <v>432</v>
      </c>
      <c r="R50" s="120" t="s">
        <v>406</v>
      </c>
      <c r="S50" s="120" t="s">
        <v>1222</v>
      </c>
      <c r="T50" s="122">
        <v>3.38</v>
      </c>
      <c r="U50" s="124">
        <v>47196</v>
      </c>
      <c r="V50" s="123">
        <v>5.3499999999999999E-2</v>
      </c>
      <c r="W50" s="123">
        <v>4.9099999999999998E-2</v>
      </c>
      <c r="X50" s="120" t="s">
        <v>411</v>
      </c>
      <c r="Y50" s="120"/>
      <c r="Z50" s="122">
        <v>282000</v>
      </c>
      <c r="AA50" s="122">
        <v>3.3719999999999999</v>
      </c>
      <c r="AB50" s="122">
        <v>103.18129999999999</v>
      </c>
      <c r="AC50" s="120"/>
      <c r="AD50" s="122">
        <v>981.15511000000004</v>
      </c>
      <c r="AE50" s="120"/>
      <c r="AF50" s="120"/>
      <c r="AG50" s="120"/>
      <c r="AH50" s="123">
        <v>5.6400000000000005E-4</v>
      </c>
      <c r="AI50" s="123">
        <v>1.1460000000000001E-3</v>
      </c>
      <c r="AJ50" s="123">
        <v>1.5999999999999999E-5</v>
      </c>
    </row>
    <row r="51" spans="1:36" ht="15" customHeight="1">
      <c r="A51" s="121">
        <v>313</v>
      </c>
      <c r="B51" s="121">
        <v>313</v>
      </c>
      <c r="C51" s="120" t="s">
        <v>1381</v>
      </c>
      <c r="D51" s="121" t="s">
        <v>1382</v>
      </c>
      <c r="E51" s="120" t="s">
        <v>312</v>
      </c>
      <c r="F51" s="120" t="s">
        <v>1419</v>
      </c>
      <c r="G51" s="121" t="s">
        <v>1420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548</v>
      </c>
      <c r="O51" s="120" t="s">
        <v>338</v>
      </c>
      <c r="P51" s="120" t="s">
        <v>1385</v>
      </c>
      <c r="Q51" s="120" t="s">
        <v>430</v>
      </c>
      <c r="R51" s="120" t="s">
        <v>406</v>
      </c>
      <c r="S51" s="120" t="s">
        <v>1222</v>
      </c>
      <c r="T51" s="122">
        <v>5.88</v>
      </c>
      <c r="U51" s="124">
        <v>48366</v>
      </c>
      <c r="V51" s="123">
        <v>5.2499999999999998E-2</v>
      </c>
      <c r="W51" s="123">
        <v>4.9799999999999997E-2</v>
      </c>
      <c r="X51" s="120" t="s">
        <v>411</v>
      </c>
      <c r="Y51" s="120"/>
      <c r="Z51" s="122">
        <v>387000</v>
      </c>
      <c r="AA51" s="122">
        <v>3.3719999999999999</v>
      </c>
      <c r="AB51" s="122">
        <v>102.3201</v>
      </c>
      <c r="AC51" s="120"/>
      <c r="AD51" s="122">
        <v>1335.24047</v>
      </c>
      <c r="AE51" s="120"/>
      <c r="AF51" s="120"/>
      <c r="AG51" s="120"/>
      <c r="AH51" s="123">
        <v>7.7399999999999995E-4</v>
      </c>
      <c r="AI51" s="123">
        <v>1.5590000000000001E-3</v>
      </c>
      <c r="AJ51" s="123">
        <v>2.1999999999999999E-5</v>
      </c>
    </row>
    <row r="52" spans="1:36" ht="15" customHeight="1">
      <c r="A52" s="121">
        <v>313</v>
      </c>
      <c r="B52" s="121">
        <v>313</v>
      </c>
      <c r="C52" s="120" t="s">
        <v>1421</v>
      </c>
      <c r="D52" s="121" t="s">
        <v>1422</v>
      </c>
      <c r="E52" s="120" t="s">
        <v>312</v>
      </c>
      <c r="F52" s="120" t="s">
        <v>1423</v>
      </c>
      <c r="G52" s="121" t="s">
        <v>1424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527</v>
      </c>
      <c r="O52" s="120" t="s">
        <v>338</v>
      </c>
      <c r="P52" s="120" t="s">
        <v>1425</v>
      </c>
      <c r="Q52" s="120" t="s">
        <v>432</v>
      </c>
      <c r="R52" s="120" t="s">
        <v>406</v>
      </c>
      <c r="S52" s="120" t="s">
        <v>1222</v>
      </c>
      <c r="T52" s="122">
        <v>1.94</v>
      </c>
      <c r="U52" s="124">
        <v>46583</v>
      </c>
      <c r="V52" s="123">
        <v>4.1250000000000002E-2</v>
      </c>
      <c r="W52" s="123">
        <v>4.5600000000000002E-2</v>
      </c>
      <c r="X52" s="120" t="s">
        <v>411</v>
      </c>
      <c r="Y52" s="120"/>
      <c r="Z52" s="122">
        <v>109000</v>
      </c>
      <c r="AA52" s="122">
        <v>3.3719999999999999</v>
      </c>
      <c r="AB52" s="122">
        <v>101.1551</v>
      </c>
      <c r="AC52" s="120"/>
      <c r="AD52" s="122">
        <v>371.79354999999998</v>
      </c>
      <c r="AE52" s="120"/>
      <c r="AF52" s="120"/>
      <c r="AG52" s="120"/>
      <c r="AH52" s="123">
        <v>2.7399999999999999E-4</v>
      </c>
      <c r="AI52" s="123">
        <v>4.3399999999999998E-4</v>
      </c>
      <c r="AJ52" s="123">
        <v>6.0000000000000002E-6</v>
      </c>
    </row>
    <row r="53" spans="1:36" ht="15" customHeight="1">
      <c r="A53" s="121">
        <v>313</v>
      </c>
      <c r="B53" s="121">
        <v>313</v>
      </c>
      <c r="C53" s="120" t="s">
        <v>1426</v>
      </c>
      <c r="D53" s="121" t="s">
        <v>1427</v>
      </c>
      <c r="E53" s="120" t="s">
        <v>312</v>
      </c>
      <c r="F53" s="120" t="s">
        <v>1428</v>
      </c>
      <c r="G53" s="121" t="s">
        <v>1429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485</v>
      </c>
      <c r="O53" s="120" t="s">
        <v>338</v>
      </c>
      <c r="P53" s="120" t="s">
        <v>1388</v>
      </c>
      <c r="Q53" s="120" t="s">
        <v>430</v>
      </c>
      <c r="R53" s="120" t="s">
        <v>406</v>
      </c>
      <c r="S53" s="120" t="s">
        <v>1222</v>
      </c>
      <c r="T53" s="122">
        <v>4.0999999999999996</v>
      </c>
      <c r="U53" s="124">
        <v>47529</v>
      </c>
      <c r="V53" s="123">
        <v>5.1499999999999997E-2</v>
      </c>
      <c r="W53" s="123">
        <v>4.6699999999999998E-2</v>
      </c>
      <c r="X53" s="120" t="s">
        <v>411</v>
      </c>
      <c r="Y53" s="120"/>
      <c r="Z53" s="122">
        <v>618000</v>
      </c>
      <c r="AA53" s="122">
        <v>3.3719999999999999</v>
      </c>
      <c r="AB53" s="122">
        <v>104.25069999999999</v>
      </c>
      <c r="AC53" s="120"/>
      <c r="AD53" s="122">
        <v>2172.4761699999999</v>
      </c>
      <c r="AE53" s="120"/>
      <c r="AF53" s="120"/>
      <c r="AG53" s="120"/>
      <c r="AH53" s="123">
        <v>9.5E-4</v>
      </c>
      <c r="AI53" s="123">
        <v>2.5370000000000002E-3</v>
      </c>
      <c r="AJ53" s="123">
        <v>3.6000000000000001E-5</v>
      </c>
    </row>
    <row r="54" spans="1:36" ht="15" customHeight="1">
      <c r="A54" s="121">
        <v>313</v>
      </c>
      <c r="B54" s="121">
        <v>313</v>
      </c>
      <c r="C54" s="120" t="s">
        <v>1421</v>
      </c>
      <c r="D54" s="121" t="s">
        <v>1422</v>
      </c>
      <c r="E54" s="120" t="s">
        <v>312</v>
      </c>
      <c r="F54" s="120" t="s">
        <v>1430</v>
      </c>
      <c r="G54" s="121" t="s">
        <v>1431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527</v>
      </c>
      <c r="O54" s="120" t="s">
        <v>338</v>
      </c>
      <c r="P54" s="120" t="s">
        <v>1425</v>
      </c>
      <c r="Q54" s="120" t="s">
        <v>432</v>
      </c>
      <c r="R54" s="120" t="s">
        <v>406</v>
      </c>
      <c r="S54" s="120" t="s">
        <v>1222</v>
      </c>
      <c r="T54" s="122">
        <v>6.02</v>
      </c>
      <c r="U54" s="124">
        <v>48288</v>
      </c>
      <c r="V54" s="123">
        <v>3.0499999999999999E-2</v>
      </c>
      <c r="W54" s="123">
        <v>4.9500000000000002E-2</v>
      </c>
      <c r="X54" s="120" t="s">
        <v>411</v>
      </c>
      <c r="Y54" s="120"/>
      <c r="Z54" s="122">
        <v>792000</v>
      </c>
      <c r="AA54" s="122">
        <v>3.3719999999999999</v>
      </c>
      <c r="AB54" s="122">
        <v>90.4542</v>
      </c>
      <c r="AC54" s="120"/>
      <c r="AD54" s="122">
        <v>2415.69157</v>
      </c>
      <c r="AE54" s="120"/>
      <c r="AF54" s="120"/>
      <c r="AG54" s="120"/>
      <c r="AH54" s="123">
        <v>1.5839999999999999E-3</v>
      </c>
      <c r="AI54" s="123">
        <v>2.8210000000000002E-3</v>
      </c>
      <c r="AJ54" s="123">
        <v>4.0000000000000003E-5</v>
      </c>
    </row>
    <row r="55" spans="1:36" ht="15" customHeight="1">
      <c r="A55" s="121">
        <v>313</v>
      </c>
      <c r="B55" s="121">
        <v>313</v>
      </c>
      <c r="C55" s="120" t="s">
        <v>1288</v>
      </c>
      <c r="D55" s="121">
        <v>520000472</v>
      </c>
      <c r="E55" s="120" t="s">
        <v>308</v>
      </c>
      <c r="F55" s="120" t="s">
        <v>1432</v>
      </c>
      <c r="G55" s="121" t="s">
        <v>1433</v>
      </c>
      <c r="H55" s="120" t="s">
        <v>320</v>
      </c>
      <c r="I55" s="120" t="s">
        <v>754</v>
      </c>
      <c r="J55" s="120" t="s">
        <v>204</v>
      </c>
      <c r="K55" s="120" t="s">
        <v>203</v>
      </c>
      <c r="L55" s="120" t="s">
        <v>324</v>
      </c>
      <c r="M55" s="120" t="s">
        <v>313</v>
      </c>
      <c r="N55" s="120" t="s">
        <v>553</v>
      </c>
      <c r="O55" s="120" t="s">
        <v>338</v>
      </c>
      <c r="P55" s="120" t="s">
        <v>1388</v>
      </c>
      <c r="Q55" s="120" t="s">
        <v>430</v>
      </c>
      <c r="R55" s="120" t="s">
        <v>406</v>
      </c>
      <c r="S55" s="120" t="s">
        <v>1222</v>
      </c>
      <c r="T55" s="122">
        <v>2.29</v>
      </c>
      <c r="U55" s="124">
        <v>46736</v>
      </c>
      <c r="V55" s="123">
        <v>7.7499999999999999E-2</v>
      </c>
      <c r="W55" s="123">
        <v>5.2400000000000002E-2</v>
      </c>
      <c r="X55" s="120" t="s">
        <v>411</v>
      </c>
      <c r="Y55" s="120"/>
      <c r="Z55" s="122">
        <v>11311000</v>
      </c>
      <c r="AA55" s="122">
        <v>3.3719999999999999</v>
      </c>
      <c r="AB55" s="122">
        <v>106.15949999999999</v>
      </c>
      <c r="AC55" s="120"/>
      <c r="AD55" s="122">
        <v>40489.967920000003</v>
      </c>
      <c r="AE55" s="120"/>
      <c r="AF55" s="120"/>
      <c r="AG55" s="120"/>
      <c r="AH55" s="123">
        <v>3.7703E-2</v>
      </c>
      <c r="AI55" s="123">
        <v>4.7299000000000001E-2</v>
      </c>
      <c r="AJ55" s="123">
        <v>6.7400000000000001E-4</v>
      </c>
    </row>
    <row r="56" spans="1:36" ht="15" customHeight="1">
      <c r="A56" s="121">
        <v>313</v>
      </c>
      <c r="B56" s="121">
        <v>313</v>
      </c>
      <c r="C56" s="120" t="s">
        <v>1434</v>
      </c>
      <c r="D56" s="121" t="s">
        <v>1435</v>
      </c>
      <c r="E56" s="120" t="s">
        <v>312</v>
      </c>
      <c r="F56" s="120" t="s">
        <v>1436</v>
      </c>
      <c r="G56" s="121" t="s">
        <v>1437</v>
      </c>
      <c r="H56" s="120" t="s">
        <v>320</v>
      </c>
      <c r="I56" s="120" t="s">
        <v>754</v>
      </c>
      <c r="J56" s="120" t="s">
        <v>204</v>
      </c>
      <c r="K56" s="120" t="s">
        <v>245</v>
      </c>
      <c r="L56" s="120" t="s">
        <v>324</v>
      </c>
      <c r="M56" s="120" t="s">
        <v>369</v>
      </c>
      <c r="N56" s="120" t="s">
        <v>568</v>
      </c>
      <c r="O56" s="120" t="s">
        <v>338</v>
      </c>
      <c r="P56" s="120" t="s">
        <v>1438</v>
      </c>
      <c r="Q56" s="120" t="s">
        <v>432</v>
      </c>
      <c r="R56" s="120" t="s">
        <v>406</v>
      </c>
      <c r="S56" s="120" t="s">
        <v>1222</v>
      </c>
      <c r="T56" s="122">
        <v>2.61</v>
      </c>
      <c r="U56" s="124">
        <v>46820</v>
      </c>
      <c r="V56" s="123">
        <v>2.4E-2</v>
      </c>
      <c r="W56" s="123">
        <v>4.7699999999999999E-2</v>
      </c>
      <c r="X56" s="120" t="s">
        <v>410</v>
      </c>
      <c r="Y56" s="120"/>
      <c r="Z56" s="122">
        <v>878000</v>
      </c>
      <c r="AA56" s="122">
        <v>3.3719999999999999</v>
      </c>
      <c r="AB56" s="122">
        <v>94.363</v>
      </c>
      <c r="AC56" s="120"/>
      <c r="AD56" s="122">
        <v>2793.7260799999999</v>
      </c>
      <c r="AE56" s="120"/>
      <c r="AF56" s="120"/>
      <c r="AG56" s="120"/>
      <c r="AH56" s="123">
        <v>1.17E-3</v>
      </c>
      <c r="AI56" s="123">
        <v>3.2629999999999998E-3</v>
      </c>
      <c r="AJ56" s="123">
        <v>4.6E-5</v>
      </c>
    </row>
    <row r="57" spans="1:36" ht="15" customHeight="1">
      <c r="A57" s="121">
        <v>313</v>
      </c>
      <c r="B57" s="121">
        <v>313</v>
      </c>
      <c r="C57" s="120" t="s">
        <v>1439</v>
      </c>
      <c r="D57" s="121" t="s">
        <v>1440</v>
      </c>
      <c r="E57" s="120" t="s">
        <v>312</v>
      </c>
      <c r="F57" s="120" t="s">
        <v>1441</v>
      </c>
      <c r="G57" s="121" t="s">
        <v>1442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553</v>
      </c>
      <c r="O57" s="120" t="s">
        <v>338</v>
      </c>
      <c r="P57" s="120" t="s">
        <v>1385</v>
      </c>
      <c r="Q57" s="120" t="s">
        <v>430</v>
      </c>
      <c r="R57" s="120" t="s">
        <v>406</v>
      </c>
      <c r="S57" s="120" t="s">
        <v>1222</v>
      </c>
      <c r="T57" s="122">
        <v>4.62</v>
      </c>
      <c r="U57" s="124">
        <v>47710</v>
      </c>
      <c r="V57" s="123">
        <v>3.875E-2</v>
      </c>
      <c r="W57" s="123">
        <v>5.0500000000000003E-2</v>
      </c>
      <c r="X57" s="120" t="s">
        <v>411</v>
      </c>
      <c r="Y57" s="120"/>
      <c r="Z57" s="122">
        <v>878000</v>
      </c>
      <c r="AA57" s="122">
        <v>3.3719999999999999</v>
      </c>
      <c r="AB57" s="122">
        <v>96.470299999999995</v>
      </c>
      <c r="AC57" s="120"/>
      <c r="AD57" s="122">
        <v>2856.1151399999999</v>
      </c>
      <c r="AE57" s="120"/>
      <c r="AF57" s="120"/>
      <c r="AG57" s="120"/>
      <c r="AH57" s="123">
        <v>1.3500000000000001E-3</v>
      </c>
      <c r="AI57" s="123">
        <v>3.336E-3</v>
      </c>
      <c r="AJ57" s="123">
        <v>4.6999999999999997E-5</v>
      </c>
    </row>
    <row r="58" spans="1:36" ht="15" customHeight="1">
      <c r="A58" s="121">
        <v>313</v>
      </c>
      <c r="B58" s="121">
        <v>313</v>
      </c>
      <c r="C58" s="120" t="s">
        <v>1443</v>
      </c>
      <c r="D58" s="121" t="s">
        <v>1444</v>
      </c>
      <c r="E58" s="120" t="s">
        <v>312</v>
      </c>
      <c r="F58" s="120" t="s">
        <v>1445</v>
      </c>
      <c r="G58" s="121" t="s">
        <v>1446</v>
      </c>
      <c r="H58" s="120" t="s">
        <v>320</v>
      </c>
      <c r="I58" s="120" t="s">
        <v>754</v>
      </c>
      <c r="J58" s="120" t="s">
        <v>204</v>
      </c>
      <c r="K58" s="120" t="s">
        <v>303</v>
      </c>
      <c r="L58" s="120" t="s">
        <v>324</v>
      </c>
      <c r="M58" s="120" t="s">
        <v>367</v>
      </c>
      <c r="N58" s="120" t="s">
        <v>490</v>
      </c>
      <c r="O58" s="120" t="s">
        <v>338</v>
      </c>
      <c r="P58" s="120" t="s">
        <v>1269</v>
      </c>
      <c r="Q58" s="120" t="s">
        <v>430</v>
      </c>
      <c r="R58" s="120" t="s">
        <v>406</v>
      </c>
      <c r="S58" s="120" t="s">
        <v>1222</v>
      </c>
      <c r="T58" s="122">
        <v>2.35</v>
      </c>
      <c r="U58" s="124">
        <v>46769</v>
      </c>
      <c r="V58" s="123">
        <v>5.7500000000000002E-2</v>
      </c>
      <c r="W58" s="123">
        <v>4.7300000000000002E-2</v>
      </c>
      <c r="X58" s="120" t="s">
        <v>411</v>
      </c>
      <c r="Y58" s="120"/>
      <c r="Z58" s="122">
        <v>562000</v>
      </c>
      <c r="AA58" s="122">
        <v>3.3719999999999999</v>
      </c>
      <c r="AB58" s="122">
        <v>105.14100000000001</v>
      </c>
      <c r="AC58" s="120"/>
      <c r="AD58" s="122">
        <v>1992.4892400000001</v>
      </c>
      <c r="AE58" s="120"/>
      <c r="AF58" s="120"/>
      <c r="AG58" s="120"/>
      <c r="AH58" s="123">
        <v>5.62E-4</v>
      </c>
      <c r="AI58" s="123">
        <v>2.3270000000000001E-3</v>
      </c>
      <c r="AJ58" s="123">
        <v>3.3000000000000003E-5</v>
      </c>
    </row>
    <row r="59" spans="1:36" ht="15" customHeight="1">
      <c r="A59" s="121">
        <v>313</v>
      </c>
      <c r="B59" s="121">
        <v>313</v>
      </c>
      <c r="C59" s="120" t="s">
        <v>1447</v>
      </c>
      <c r="D59" s="121" t="s">
        <v>1448</v>
      </c>
      <c r="E59" s="120" t="s">
        <v>312</v>
      </c>
      <c r="F59" s="120" t="s">
        <v>1449</v>
      </c>
      <c r="G59" s="121" t="s">
        <v>1450</v>
      </c>
      <c r="H59" s="120" t="s">
        <v>320</v>
      </c>
      <c r="I59" s="120" t="s">
        <v>754</v>
      </c>
      <c r="J59" s="120" t="s">
        <v>204</v>
      </c>
      <c r="K59" s="120" t="s">
        <v>267</v>
      </c>
      <c r="L59" s="120" t="s">
        <v>324</v>
      </c>
      <c r="M59" s="120" t="s">
        <v>391</v>
      </c>
      <c r="N59" s="120" t="s">
        <v>550</v>
      </c>
      <c r="O59" s="120" t="s">
        <v>338</v>
      </c>
      <c r="P59" s="120" t="s">
        <v>1451</v>
      </c>
      <c r="Q59" s="120" t="s">
        <v>432</v>
      </c>
      <c r="R59" s="120" t="s">
        <v>406</v>
      </c>
      <c r="S59" s="120" t="s">
        <v>1222</v>
      </c>
      <c r="T59" s="122">
        <v>7.83</v>
      </c>
      <c r="U59" s="124">
        <v>49455</v>
      </c>
      <c r="V59" s="123">
        <v>5.2499999999999998E-2</v>
      </c>
      <c r="W59" s="123">
        <v>5.16E-2</v>
      </c>
      <c r="X59" s="120" t="s">
        <v>411</v>
      </c>
      <c r="Y59" s="120"/>
      <c r="Z59" s="122">
        <v>494000</v>
      </c>
      <c r="AA59" s="122">
        <v>3.3719999999999999</v>
      </c>
      <c r="AB59" s="122">
        <v>101.6294</v>
      </c>
      <c r="AC59" s="120"/>
      <c r="AD59" s="122">
        <v>1692.91002</v>
      </c>
      <c r="AE59" s="120"/>
      <c r="AF59" s="120"/>
      <c r="AG59" s="120"/>
      <c r="AH59" s="123">
        <v>4.2900000000000002E-4</v>
      </c>
      <c r="AI59" s="123">
        <v>1.977E-3</v>
      </c>
      <c r="AJ59" s="123">
        <v>2.8E-5</v>
      </c>
    </row>
    <row r="60" spans="1:36" ht="15" customHeight="1">
      <c r="A60" s="121">
        <v>313</v>
      </c>
      <c r="B60" s="121">
        <v>313</v>
      </c>
      <c r="C60" s="120" t="s">
        <v>1452</v>
      </c>
      <c r="D60" s="121" t="s">
        <v>1453</v>
      </c>
      <c r="E60" s="120" t="s">
        <v>312</v>
      </c>
      <c r="F60" s="120" t="s">
        <v>1454</v>
      </c>
      <c r="G60" s="121" t="s">
        <v>1455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343</v>
      </c>
      <c r="N60" s="120" t="s">
        <v>543</v>
      </c>
      <c r="O60" s="120" t="s">
        <v>338</v>
      </c>
      <c r="P60" s="120" t="s">
        <v>1393</v>
      </c>
      <c r="Q60" s="120" t="s">
        <v>432</v>
      </c>
      <c r="R60" s="120" t="s">
        <v>406</v>
      </c>
      <c r="S60" s="120" t="s">
        <v>1222</v>
      </c>
      <c r="T60" s="122">
        <v>6.72</v>
      </c>
      <c r="U60" s="124">
        <v>48995</v>
      </c>
      <c r="V60" s="123">
        <v>6.3500000000000001E-2</v>
      </c>
      <c r="W60" s="123">
        <v>5.3900000000000003E-2</v>
      </c>
      <c r="X60" s="120" t="s">
        <v>411</v>
      </c>
      <c r="Y60" s="120"/>
      <c r="Z60" s="122">
        <v>480000</v>
      </c>
      <c r="AA60" s="122">
        <v>3.3719999999999999</v>
      </c>
      <c r="AB60" s="122">
        <v>109.28189999999999</v>
      </c>
      <c r="AC60" s="120"/>
      <c r="AD60" s="122">
        <v>1768.79312</v>
      </c>
      <c r="AE60" s="120"/>
      <c r="AF60" s="120"/>
      <c r="AG60" s="120"/>
      <c r="AH60" s="123">
        <v>9.6000000000000002E-4</v>
      </c>
      <c r="AI60" s="123">
        <v>2.0660000000000001E-3</v>
      </c>
      <c r="AJ60" s="123">
        <v>2.9E-5</v>
      </c>
    </row>
    <row r="61" spans="1:36" ht="15" customHeight="1">
      <c r="A61" s="121">
        <v>313</v>
      </c>
      <c r="B61" s="121">
        <v>313</v>
      </c>
      <c r="C61" s="120" t="s">
        <v>1456</v>
      </c>
      <c r="D61" s="121" t="s">
        <v>1457</v>
      </c>
      <c r="E61" s="120" t="s">
        <v>312</v>
      </c>
      <c r="F61" s="120" t="s">
        <v>1458</v>
      </c>
      <c r="G61" s="121" t="s">
        <v>1459</v>
      </c>
      <c r="H61" s="120" t="s">
        <v>320</v>
      </c>
      <c r="I61" s="120" t="s">
        <v>754</v>
      </c>
      <c r="J61" s="120" t="s">
        <v>204</v>
      </c>
      <c r="K61" s="120" t="s">
        <v>237</v>
      </c>
      <c r="L61" s="120" t="s">
        <v>324</v>
      </c>
      <c r="M61" s="120" t="s">
        <v>367</v>
      </c>
      <c r="N61" s="120" t="s">
        <v>548</v>
      </c>
      <c r="O61" s="120" t="s">
        <v>338</v>
      </c>
      <c r="P61" s="120" t="s">
        <v>1460</v>
      </c>
      <c r="Q61" s="120" t="s">
        <v>432</v>
      </c>
      <c r="R61" s="120" t="s">
        <v>406</v>
      </c>
      <c r="S61" s="120" t="s">
        <v>1222</v>
      </c>
      <c r="T61" s="122">
        <v>5.62</v>
      </c>
      <c r="U61" s="124">
        <v>48122</v>
      </c>
      <c r="V61" s="123">
        <v>3.2500000000000001E-2</v>
      </c>
      <c r="W61" s="123">
        <v>5.7299999999999997E-2</v>
      </c>
      <c r="X61" s="120" t="s">
        <v>411</v>
      </c>
      <c r="Y61" s="120"/>
      <c r="Z61" s="122">
        <v>952000</v>
      </c>
      <c r="AA61" s="122">
        <v>3.3719999999999999</v>
      </c>
      <c r="AB61" s="122">
        <v>88.274600000000007</v>
      </c>
      <c r="AC61" s="120"/>
      <c r="AD61" s="122">
        <v>2833.7417799999998</v>
      </c>
      <c r="AE61" s="120"/>
      <c r="AF61" s="120"/>
      <c r="AG61" s="120"/>
      <c r="AH61" s="123">
        <v>1.3600000000000001E-3</v>
      </c>
      <c r="AI61" s="123">
        <v>3.31E-3</v>
      </c>
      <c r="AJ61" s="123">
        <v>4.6999999999999997E-5</v>
      </c>
    </row>
    <row r="62" spans="1:36" ht="15" customHeight="1">
      <c r="A62" s="121">
        <v>313</v>
      </c>
      <c r="B62" s="121">
        <v>313</v>
      </c>
      <c r="C62" s="120" t="s">
        <v>1461</v>
      </c>
      <c r="D62" s="121" t="s">
        <v>1462</v>
      </c>
      <c r="E62" s="120" t="s">
        <v>312</v>
      </c>
      <c r="F62" s="120" t="s">
        <v>1463</v>
      </c>
      <c r="G62" s="121" t="s">
        <v>1464</v>
      </c>
      <c r="H62" s="120" t="s">
        <v>320</v>
      </c>
      <c r="I62" s="120" t="s">
        <v>754</v>
      </c>
      <c r="J62" s="120" t="s">
        <v>204</v>
      </c>
      <c r="K62" s="120" t="s">
        <v>267</v>
      </c>
      <c r="L62" s="120" t="s">
        <v>324</v>
      </c>
      <c r="M62" s="120" t="s">
        <v>369</v>
      </c>
      <c r="N62" s="120" t="s">
        <v>545</v>
      </c>
      <c r="O62" s="120" t="s">
        <v>338</v>
      </c>
      <c r="P62" s="120" t="s">
        <v>1425</v>
      </c>
      <c r="Q62" s="120" t="s">
        <v>432</v>
      </c>
      <c r="R62" s="120" t="s">
        <v>406</v>
      </c>
      <c r="S62" s="120" t="s">
        <v>1222</v>
      </c>
      <c r="T62" s="122">
        <v>4.88</v>
      </c>
      <c r="U62" s="124">
        <v>47789</v>
      </c>
      <c r="V62" s="123">
        <v>3.4209999999999997E-2</v>
      </c>
      <c r="W62" s="123">
        <v>4.9299999999999997E-2</v>
      </c>
      <c r="X62" s="120" t="s">
        <v>411</v>
      </c>
      <c r="Y62" s="120"/>
      <c r="Z62" s="122">
        <v>857000</v>
      </c>
      <c r="AA62" s="122">
        <v>3.3719999999999999</v>
      </c>
      <c r="AB62" s="122">
        <v>93.770099999999999</v>
      </c>
      <c r="AC62" s="120"/>
      <c r="AD62" s="122">
        <v>2709.7721000000001</v>
      </c>
      <c r="AE62" s="120"/>
      <c r="AF62" s="120"/>
      <c r="AG62" s="120"/>
      <c r="AH62" s="123">
        <v>8.5700000000000001E-4</v>
      </c>
      <c r="AI62" s="123">
        <v>3.1649999999999998E-3</v>
      </c>
      <c r="AJ62" s="123">
        <v>4.5000000000000003E-5</v>
      </c>
    </row>
    <row r="63" spans="1:36" ht="15" customHeight="1">
      <c r="A63" s="121">
        <v>313</v>
      </c>
      <c r="B63" s="121">
        <v>313</v>
      </c>
      <c r="C63" s="120" t="s">
        <v>1465</v>
      </c>
      <c r="D63" s="121" t="s">
        <v>1466</v>
      </c>
      <c r="E63" s="120" t="s">
        <v>312</v>
      </c>
      <c r="F63" s="120" t="s">
        <v>1467</v>
      </c>
      <c r="G63" s="121" t="s">
        <v>1468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324</v>
      </c>
      <c r="M63" s="120" t="s">
        <v>313</v>
      </c>
      <c r="N63" s="120" t="s">
        <v>515</v>
      </c>
      <c r="O63" s="120" t="s">
        <v>338</v>
      </c>
      <c r="P63" s="120" t="s">
        <v>1388</v>
      </c>
      <c r="Q63" s="120" t="s">
        <v>430</v>
      </c>
      <c r="R63" s="120" t="s">
        <v>406</v>
      </c>
      <c r="S63" s="120" t="s">
        <v>1222</v>
      </c>
      <c r="T63" s="122">
        <v>5.22</v>
      </c>
      <c r="U63" s="124">
        <v>47922</v>
      </c>
      <c r="V63" s="123">
        <v>2.9499999999999998E-2</v>
      </c>
      <c r="W63" s="123">
        <v>4.7500000000000001E-2</v>
      </c>
      <c r="X63" s="120" t="s">
        <v>411</v>
      </c>
      <c r="Y63" s="120"/>
      <c r="Z63" s="122">
        <v>557000</v>
      </c>
      <c r="AA63" s="122">
        <v>3.3719999999999999</v>
      </c>
      <c r="AB63" s="122">
        <v>92.1828</v>
      </c>
      <c r="AC63" s="120"/>
      <c r="AD63" s="122">
        <v>1731.38104</v>
      </c>
      <c r="AE63" s="120"/>
      <c r="AF63" s="120"/>
      <c r="AG63" s="120"/>
      <c r="AH63" s="123">
        <v>5.5900000000000004E-4</v>
      </c>
      <c r="AI63" s="123">
        <v>2.0219999999999999E-3</v>
      </c>
      <c r="AJ63" s="123">
        <v>2.8E-5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5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875" bestFit="1" customWidth="1"/>
    <col min="5" max="5" width="11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1469</v>
      </c>
      <c r="D2" s="121">
        <v>520044314</v>
      </c>
      <c r="E2" s="120" t="s">
        <v>308</v>
      </c>
      <c r="F2" s="120" t="s">
        <v>1469</v>
      </c>
      <c r="G2" s="121" t="s">
        <v>1470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461</v>
      </c>
      <c r="O2" s="120" t="s">
        <v>338</v>
      </c>
      <c r="P2" s="120" t="s">
        <v>1218</v>
      </c>
      <c r="Q2" s="122">
        <v>428251</v>
      </c>
      <c r="R2" s="122">
        <v>1</v>
      </c>
      <c r="S2" s="122">
        <v>2555</v>
      </c>
      <c r="T2" s="122"/>
      <c r="U2" s="122">
        <v>10941.813050000001</v>
      </c>
      <c r="V2" s="123">
        <v>2.2369999999999998E-3</v>
      </c>
      <c r="W2" s="123">
        <v>9.58E-3</v>
      </c>
      <c r="X2" s="123">
        <v>1.8200000000000001E-4</v>
      </c>
    </row>
    <row r="3" spans="1:26" ht="15" customHeight="1">
      <c r="A3" s="121">
        <v>313</v>
      </c>
      <c r="B3" s="121">
        <v>313</v>
      </c>
      <c r="C3" s="120" t="s">
        <v>1471</v>
      </c>
      <c r="D3" s="121">
        <v>520041997</v>
      </c>
      <c r="E3" s="120" t="s">
        <v>308</v>
      </c>
      <c r="F3" s="120" t="s">
        <v>1471</v>
      </c>
      <c r="G3" s="121" t="s">
        <v>1472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457</v>
      </c>
      <c r="O3" s="120" t="s">
        <v>338</v>
      </c>
      <c r="P3" s="120" t="s">
        <v>1218</v>
      </c>
      <c r="Q3" s="122">
        <v>62128.88</v>
      </c>
      <c r="R3" s="122">
        <v>1</v>
      </c>
      <c r="S3" s="122">
        <v>14620</v>
      </c>
      <c r="T3" s="122"/>
      <c r="U3" s="122">
        <v>9083.2422600000009</v>
      </c>
      <c r="V3" s="123">
        <v>5.5500000000000005E-4</v>
      </c>
      <c r="W3" s="123">
        <v>7.953E-3</v>
      </c>
      <c r="X3" s="123">
        <v>1.5100000000000001E-4</v>
      </c>
    </row>
    <row r="4" spans="1:26" ht="15" customHeight="1">
      <c r="A4" s="121">
        <v>313</v>
      </c>
      <c r="B4" s="121">
        <v>313</v>
      </c>
      <c r="C4" s="120" t="s">
        <v>1473</v>
      </c>
      <c r="D4" s="121">
        <v>511235434</v>
      </c>
      <c r="E4" s="120" t="s">
        <v>308</v>
      </c>
      <c r="F4" s="120" t="s">
        <v>1473</v>
      </c>
      <c r="G4" s="121" t="s">
        <v>1474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475</v>
      </c>
      <c r="O4" s="120" t="s">
        <v>338</v>
      </c>
      <c r="P4" s="120" t="s">
        <v>1218</v>
      </c>
      <c r="Q4" s="122">
        <v>36327</v>
      </c>
      <c r="R4" s="122">
        <v>1</v>
      </c>
      <c r="S4" s="122">
        <v>29040</v>
      </c>
      <c r="T4" s="122"/>
      <c r="U4" s="122">
        <v>10549.3608</v>
      </c>
      <c r="V4" s="123">
        <v>7.6499999999999995E-4</v>
      </c>
      <c r="W4" s="123">
        <v>9.2370000000000004E-3</v>
      </c>
      <c r="X4" s="123">
        <v>1.75E-4</v>
      </c>
    </row>
    <row r="5" spans="1:26" ht="15" customHeight="1">
      <c r="A5" s="121">
        <v>313</v>
      </c>
      <c r="B5" s="121">
        <v>313</v>
      </c>
      <c r="C5" s="120" t="s">
        <v>1475</v>
      </c>
      <c r="D5" s="121">
        <v>520013954</v>
      </c>
      <c r="E5" s="120" t="s">
        <v>308</v>
      </c>
      <c r="F5" s="120" t="s">
        <v>1475</v>
      </c>
      <c r="G5" s="121" t="s">
        <v>1476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466</v>
      </c>
      <c r="O5" s="120" t="s">
        <v>338</v>
      </c>
      <c r="P5" s="120" t="s">
        <v>1218</v>
      </c>
      <c r="Q5" s="122">
        <v>828043</v>
      </c>
      <c r="R5" s="122">
        <v>1</v>
      </c>
      <c r="S5" s="122">
        <v>5699</v>
      </c>
      <c r="T5" s="122"/>
      <c r="U5" s="122">
        <v>47190.170570000002</v>
      </c>
      <c r="V5" s="123">
        <v>6.6E-4</v>
      </c>
      <c r="W5" s="123">
        <v>4.1319000000000002E-2</v>
      </c>
      <c r="X5" s="123">
        <v>7.85E-4</v>
      </c>
    </row>
    <row r="6" spans="1:26" ht="15" customHeight="1">
      <c r="A6" s="121">
        <v>313</v>
      </c>
      <c r="B6" s="121">
        <v>313</v>
      </c>
      <c r="C6" s="120" t="s">
        <v>1477</v>
      </c>
      <c r="D6" s="121">
        <v>514892801</v>
      </c>
      <c r="E6" s="120" t="s">
        <v>308</v>
      </c>
      <c r="F6" s="120" t="s">
        <v>1477</v>
      </c>
      <c r="G6" s="121" t="s">
        <v>1478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462</v>
      </c>
      <c r="O6" s="120" t="s">
        <v>338</v>
      </c>
      <c r="P6" s="120" t="s">
        <v>1218</v>
      </c>
      <c r="Q6" s="122">
        <v>263470</v>
      </c>
      <c r="R6" s="122">
        <v>1</v>
      </c>
      <c r="S6" s="122">
        <v>3000</v>
      </c>
      <c r="T6" s="122"/>
      <c r="U6" s="122">
        <v>7904.1</v>
      </c>
      <c r="V6" s="123">
        <v>7.36E-4</v>
      </c>
      <c r="W6" s="123">
        <v>6.9199999999999999E-3</v>
      </c>
      <c r="X6" s="123">
        <v>1.3100000000000001E-4</v>
      </c>
    </row>
    <row r="7" spans="1:26" ht="15" customHeight="1">
      <c r="A7" s="121">
        <v>313</v>
      </c>
      <c r="B7" s="121">
        <v>313</v>
      </c>
      <c r="C7" s="120" t="s">
        <v>1479</v>
      </c>
      <c r="D7" s="121">
        <v>550013098</v>
      </c>
      <c r="E7" s="120" t="s">
        <v>308</v>
      </c>
      <c r="F7" s="120" t="s">
        <v>1480</v>
      </c>
      <c r="G7" s="121" t="s">
        <v>1481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1218</v>
      </c>
      <c r="Q7" s="122">
        <v>1050869</v>
      </c>
      <c r="R7" s="122">
        <v>1</v>
      </c>
      <c r="S7" s="122">
        <v>1656</v>
      </c>
      <c r="T7" s="122"/>
      <c r="U7" s="122">
        <v>17402.390640000001</v>
      </c>
      <c r="V7" s="123">
        <v>8.9499999999999996E-4</v>
      </c>
      <c r="W7" s="123">
        <v>1.5237000000000001E-2</v>
      </c>
      <c r="X7" s="123">
        <v>2.8899999999999998E-4</v>
      </c>
    </row>
    <row r="8" spans="1:26" ht="15" customHeight="1">
      <c r="A8" s="121">
        <v>313</v>
      </c>
      <c r="B8" s="121">
        <v>313</v>
      </c>
      <c r="C8" s="120" t="s">
        <v>1213</v>
      </c>
      <c r="D8" s="121">
        <v>520007030</v>
      </c>
      <c r="E8" s="120" t="s">
        <v>308</v>
      </c>
      <c r="F8" s="120" t="s">
        <v>1482</v>
      </c>
      <c r="G8" s="121" t="s">
        <v>1483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1218</v>
      </c>
      <c r="Q8" s="122">
        <v>2423627.81</v>
      </c>
      <c r="R8" s="122">
        <v>1</v>
      </c>
      <c r="S8" s="122">
        <v>3356</v>
      </c>
      <c r="T8" s="122"/>
      <c r="U8" s="122">
        <v>81336.949299999993</v>
      </c>
      <c r="V8" s="123">
        <v>1.9580000000000001E-3</v>
      </c>
      <c r="W8" s="123">
        <v>7.1218000000000004E-2</v>
      </c>
      <c r="X8" s="123">
        <v>1.354E-3</v>
      </c>
    </row>
    <row r="9" spans="1:26" ht="15" customHeight="1">
      <c r="A9" s="121">
        <v>313</v>
      </c>
      <c r="B9" s="121">
        <v>313</v>
      </c>
      <c r="C9" s="120" t="s">
        <v>1484</v>
      </c>
      <c r="D9" s="121">
        <v>520041146</v>
      </c>
      <c r="E9" s="120" t="s">
        <v>308</v>
      </c>
      <c r="F9" s="120" t="s">
        <v>1484</v>
      </c>
      <c r="G9" s="121" t="s">
        <v>1485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440</v>
      </c>
      <c r="O9" s="120" t="s">
        <v>338</v>
      </c>
      <c r="P9" s="120" t="s">
        <v>1218</v>
      </c>
      <c r="Q9" s="122">
        <v>104522.7</v>
      </c>
      <c r="R9" s="122">
        <v>1</v>
      </c>
      <c r="S9" s="122">
        <v>7640</v>
      </c>
      <c r="T9" s="122"/>
      <c r="U9" s="122">
        <v>7985.5342799999999</v>
      </c>
      <c r="V9" s="123">
        <v>8.7399999999999999E-4</v>
      </c>
      <c r="W9" s="123">
        <v>6.992E-3</v>
      </c>
      <c r="X9" s="123">
        <v>1.3200000000000001E-4</v>
      </c>
    </row>
    <row r="10" spans="1:26" ht="15" customHeight="1">
      <c r="A10" s="121">
        <v>313</v>
      </c>
      <c r="B10" s="121">
        <v>313</v>
      </c>
      <c r="C10" s="120" t="s">
        <v>1320</v>
      </c>
      <c r="D10" s="121">
        <v>510960719</v>
      </c>
      <c r="E10" s="120" t="s">
        <v>308</v>
      </c>
      <c r="F10" s="120" t="s">
        <v>1486</v>
      </c>
      <c r="G10" s="121" t="s">
        <v>1487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1218</v>
      </c>
      <c r="Q10" s="122">
        <v>67071</v>
      </c>
      <c r="R10" s="122">
        <v>1</v>
      </c>
      <c r="S10" s="122">
        <v>30970</v>
      </c>
      <c r="T10" s="122"/>
      <c r="U10" s="122">
        <v>20771.8887</v>
      </c>
      <c r="V10" s="123">
        <v>5.53E-4</v>
      </c>
      <c r="W10" s="123">
        <v>1.8186999999999998E-2</v>
      </c>
      <c r="X10" s="123">
        <v>3.4499999999999998E-4</v>
      </c>
    </row>
    <row r="11" spans="1:26" ht="15" customHeight="1">
      <c r="A11" s="121">
        <v>313</v>
      </c>
      <c r="B11" s="121">
        <v>313</v>
      </c>
      <c r="C11" s="120" t="s">
        <v>1488</v>
      </c>
      <c r="D11" s="121">
        <v>516537560</v>
      </c>
      <c r="E11" s="120" t="s">
        <v>308</v>
      </c>
      <c r="F11" s="120" t="s">
        <v>1489</v>
      </c>
      <c r="G11" s="121" t="s">
        <v>1490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440</v>
      </c>
      <c r="O11" s="120" t="s">
        <v>338</v>
      </c>
      <c r="P11" s="120" t="s">
        <v>1218</v>
      </c>
      <c r="Q11" s="122">
        <v>128448</v>
      </c>
      <c r="R11" s="122">
        <v>1</v>
      </c>
      <c r="S11" s="122">
        <v>1369</v>
      </c>
      <c r="T11" s="122"/>
      <c r="U11" s="122">
        <v>1758.4531199999999</v>
      </c>
      <c r="V11" s="123">
        <v>1.9750000000000002E-3</v>
      </c>
      <c r="W11" s="123">
        <v>1.539E-3</v>
      </c>
      <c r="X11" s="123">
        <v>2.9E-5</v>
      </c>
    </row>
    <row r="12" spans="1:26" ht="15" customHeight="1">
      <c r="A12" s="121">
        <v>313</v>
      </c>
      <c r="B12" s="121">
        <v>313</v>
      </c>
      <c r="C12" s="120" t="s">
        <v>1491</v>
      </c>
      <c r="D12" s="121">
        <v>550012777</v>
      </c>
      <c r="E12" s="120" t="s">
        <v>308</v>
      </c>
      <c r="F12" s="120" t="s">
        <v>1492</v>
      </c>
      <c r="G12" s="121" t="s">
        <v>1493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453</v>
      </c>
      <c r="O12" s="120" t="s">
        <v>338</v>
      </c>
      <c r="P12" s="120" t="s">
        <v>1218</v>
      </c>
      <c r="Q12" s="122">
        <v>1064924</v>
      </c>
      <c r="R12" s="122">
        <v>1</v>
      </c>
      <c r="S12" s="122">
        <v>483.9</v>
      </c>
      <c r="T12" s="122"/>
      <c r="U12" s="122">
        <v>5153.1672399999998</v>
      </c>
      <c r="V12" s="123">
        <v>9.4700000000000003E-4</v>
      </c>
      <c r="W12" s="123">
        <v>4.5120000000000004E-3</v>
      </c>
      <c r="X12" s="123">
        <v>8.5000000000000006E-5</v>
      </c>
    </row>
    <row r="13" spans="1:26" ht="15" customHeight="1">
      <c r="A13" s="121">
        <v>313</v>
      </c>
      <c r="B13" s="121">
        <v>313</v>
      </c>
      <c r="C13" s="120" t="s">
        <v>1494</v>
      </c>
      <c r="D13" s="121">
        <v>520044322</v>
      </c>
      <c r="E13" s="120" t="s">
        <v>308</v>
      </c>
      <c r="F13" s="120" t="s">
        <v>1495</v>
      </c>
      <c r="G13" s="121" t="s">
        <v>1496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453</v>
      </c>
      <c r="O13" s="120" t="s">
        <v>338</v>
      </c>
      <c r="P13" s="120" t="s">
        <v>1218</v>
      </c>
      <c r="Q13" s="122">
        <v>14232</v>
      </c>
      <c r="R13" s="122">
        <v>1</v>
      </c>
      <c r="S13" s="122">
        <v>69740</v>
      </c>
      <c r="T13" s="122"/>
      <c r="U13" s="122">
        <v>9925.3968000000004</v>
      </c>
      <c r="V13" s="123">
        <v>7.6499999999999995E-4</v>
      </c>
      <c r="W13" s="123">
        <v>8.6899999999999998E-3</v>
      </c>
      <c r="X13" s="123">
        <v>1.65E-4</v>
      </c>
    </row>
    <row r="14" spans="1:26" ht="15" customHeight="1">
      <c r="A14" s="121">
        <v>313</v>
      </c>
      <c r="B14" s="121">
        <v>313</v>
      </c>
      <c r="C14" s="120" t="s">
        <v>1497</v>
      </c>
      <c r="D14" s="121">
        <v>880326081</v>
      </c>
      <c r="E14" s="120" t="s">
        <v>308</v>
      </c>
      <c r="F14" s="120" t="s">
        <v>1498</v>
      </c>
      <c r="G14" s="121" t="s">
        <v>1499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440</v>
      </c>
      <c r="O14" s="120" t="s">
        <v>338</v>
      </c>
      <c r="P14" s="120" t="s">
        <v>1218</v>
      </c>
      <c r="Q14" s="122">
        <v>75996</v>
      </c>
      <c r="R14" s="122">
        <v>1</v>
      </c>
      <c r="S14" s="122">
        <v>27780</v>
      </c>
      <c r="T14" s="122"/>
      <c r="U14" s="122">
        <v>21111.6888</v>
      </c>
      <c r="V14" s="123">
        <v>1.3320000000000001E-3</v>
      </c>
      <c r="W14" s="123">
        <v>1.8485000000000001E-2</v>
      </c>
      <c r="X14" s="123">
        <v>3.5100000000000002E-4</v>
      </c>
    </row>
    <row r="15" spans="1:26" ht="15" customHeight="1">
      <c r="A15" s="121">
        <v>313</v>
      </c>
      <c r="B15" s="121">
        <v>313</v>
      </c>
      <c r="C15" s="120" t="s">
        <v>1500</v>
      </c>
      <c r="D15" s="121">
        <v>510381601</v>
      </c>
      <c r="E15" s="120" t="s">
        <v>308</v>
      </c>
      <c r="F15" s="120" t="s">
        <v>1501</v>
      </c>
      <c r="G15" s="121" t="s">
        <v>1502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446</v>
      </c>
      <c r="O15" s="120" t="s">
        <v>338</v>
      </c>
      <c r="P15" s="120" t="s">
        <v>1218</v>
      </c>
      <c r="Q15" s="122">
        <v>110572</v>
      </c>
      <c r="R15" s="122">
        <v>1</v>
      </c>
      <c r="S15" s="122">
        <v>7670</v>
      </c>
      <c r="T15" s="122"/>
      <c r="U15" s="122">
        <v>8480.8724000000002</v>
      </c>
      <c r="V15" s="123">
        <v>9.9099999999999991E-4</v>
      </c>
      <c r="W15" s="123">
        <v>7.4250000000000002E-3</v>
      </c>
      <c r="X15" s="123">
        <v>1.4100000000000001E-4</v>
      </c>
    </row>
    <row r="16" spans="1:26" ht="15" customHeight="1">
      <c r="A16" s="121">
        <v>313</v>
      </c>
      <c r="B16" s="121">
        <v>313</v>
      </c>
      <c r="C16" s="120" t="s">
        <v>1503</v>
      </c>
      <c r="D16" s="121">
        <v>520036872</v>
      </c>
      <c r="E16" s="120" t="s">
        <v>308</v>
      </c>
      <c r="F16" s="120" t="s">
        <v>1503</v>
      </c>
      <c r="G16" s="121" t="s">
        <v>1504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479</v>
      </c>
      <c r="O16" s="120" t="s">
        <v>338</v>
      </c>
      <c r="P16" s="120" t="s">
        <v>1218</v>
      </c>
      <c r="Q16" s="122">
        <v>100848</v>
      </c>
      <c r="R16" s="122">
        <v>1</v>
      </c>
      <c r="S16" s="122">
        <v>57150</v>
      </c>
      <c r="T16" s="122"/>
      <c r="U16" s="122">
        <v>57634.631999999998</v>
      </c>
      <c r="V16" s="123">
        <v>1.348E-3</v>
      </c>
      <c r="W16" s="123">
        <v>5.0465000000000003E-2</v>
      </c>
      <c r="X16" s="123">
        <v>9.59E-4</v>
      </c>
    </row>
    <row r="17" spans="1:24" ht="15" customHeight="1">
      <c r="A17" s="121">
        <v>313</v>
      </c>
      <c r="B17" s="121">
        <v>313</v>
      </c>
      <c r="C17" s="120" t="s">
        <v>1505</v>
      </c>
      <c r="D17" s="121">
        <v>513623314</v>
      </c>
      <c r="E17" s="120" t="s">
        <v>308</v>
      </c>
      <c r="F17" s="120" t="s">
        <v>1506</v>
      </c>
      <c r="G17" s="121" t="s">
        <v>1507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1218</v>
      </c>
      <c r="Q17" s="122">
        <v>27632</v>
      </c>
      <c r="R17" s="122">
        <v>1</v>
      </c>
      <c r="S17" s="122">
        <v>64490</v>
      </c>
      <c r="T17" s="122"/>
      <c r="U17" s="122">
        <v>17819.876799999998</v>
      </c>
      <c r="V17" s="123">
        <v>1.111E-3</v>
      </c>
      <c r="W17" s="123">
        <v>1.5603000000000001E-2</v>
      </c>
      <c r="X17" s="123">
        <v>2.9599999999999998E-4</v>
      </c>
    </row>
    <row r="18" spans="1:24" ht="15" customHeight="1">
      <c r="A18" s="121">
        <v>313</v>
      </c>
      <c r="B18" s="121">
        <v>313</v>
      </c>
      <c r="C18" s="120" t="s">
        <v>1508</v>
      </c>
      <c r="D18" s="121">
        <v>514454701</v>
      </c>
      <c r="E18" s="120" t="s">
        <v>308</v>
      </c>
      <c r="F18" s="120" t="s">
        <v>1509</v>
      </c>
      <c r="G18" s="121" t="s">
        <v>1510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445</v>
      </c>
      <c r="O18" s="120" t="s">
        <v>338</v>
      </c>
      <c r="P18" s="120" t="s">
        <v>1218</v>
      </c>
      <c r="Q18" s="122">
        <v>186000</v>
      </c>
      <c r="R18" s="122">
        <v>1</v>
      </c>
      <c r="S18" s="122">
        <v>1336</v>
      </c>
      <c r="T18" s="122"/>
      <c r="U18" s="122">
        <v>2484.96</v>
      </c>
      <c r="V18" s="123">
        <v>2.5079999999999998E-3</v>
      </c>
      <c r="W18" s="123">
        <v>2.1749999999999999E-3</v>
      </c>
      <c r="X18" s="123">
        <v>4.1E-5</v>
      </c>
    </row>
    <row r="19" spans="1:24" ht="15" customHeight="1">
      <c r="A19" s="121">
        <v>313</v>
      </c>
      <c r="B19" s="121">
        <v>313</v>
      </c>
      <c r="C19" s="120" t="s">
        <v>1511</v>
      </c>
      <c r="D19" s="121">
        <v>520036104</v>
      </c>
      <c r="E19" s="120" t="s">
        <v>308</v>
      </c>
      <c r="F19" s="120" t="s">
        <v>1511</v>
      </c>
      <c r="G19" s="121" t="s">
        <v>1512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446</v>
      </c>
      <c r="O19" s="120" t="s">
        <v>338</v>
      </c>
      <c r="P19" s="120" t="s">
        <v>1218</v>
      </c>
      <c r="Q19" s="122">
        <v>349321.3</v>
      </c>
      <c r="R19" s="122">
        <v>1</v>
      </c>
      <c r="S19" s="122">
        <v>1690</v>
      </c>
      <c r="T19" s="122"/>
      <c r="U19" s="122">
        <v>5903.5299699999996</v>
      </c>
      <c r="V19" s="123">
        <v>6.29E-4</v>
      </c>
      <c r="W19" s="123">
        <v>5.169E-3</v>
      </c>
      <c r="X19" s="123">
        <v>9.7999999999999997E-5</v>
      </c>
    </row>
    <row r="20" spans="1:24" ht="15" customHeight="1">
      <c r="A20" s="121">
        <v>313</v>
      </c>
      <c r="B20" s="121">
        <v>313</v>
      </c>
      <c r="C20" s="120" t="s">
        <v>1513</v>
      </c>
      <c r="D20" s="121">
        <v>511399388</v>
      </c>
      <c r="E20" s="120" t="s">
        <v>308</v>
      </c>
      <c r="F20" s="120" t="s">
        <v>1513</v>
      </c>
      <c r="G20" s="121" t="s">
        <v>1514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313</v>
      </c>
      <c r="O20" s="120" t="s">
        <v>338</v>
      </c>
      <c r="P20" s="120" t="s">
        <v>1218</v>
      </c>
      <c r="Q20" s="122">
        <v>15611</v>
      </c>
      <c r="R20" s="122">
        <v>1</v>
      </c>
      <c r="S20" s="122">
        <v>36740</v>
      </c>
      <c r="T20" s="122"/>
      <c r="U20" s="122">
        <v>5735.4813999999997</v>
      </c>
      <c r="V20" s="123">
        <v>7.4700000000000005E-4</v>
      </c>
      <c r="W20" s="123">
        <v>5.0220000000000004E-3</v>
      </c>
      <c r="X20" s="123">
        <v>9.5000000000000005E-5</v>
      </c>
    </row>
    <row r="21" spans="1:24" ht="15" customHeight="1">
      <c r="A21" s="121">
        <v>313</v>
      </c>
      <c r="B21" s="121">
        <v>313</v>
      </c>
      <c r="C21" s="120" t="s">
        <v>1515</v>
      </c>
      <c r="D21" s="121">
        <v>520033234</v>
      </c>
      <c r="E21" s="120" t="s">
        <v>308</v>
      </c>
      <c r="F21" s="120" t="s">
        <v>1516</v>
      </c>
      <c r="G21" s="121" t="s">
        <v>1517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464</v>
      </c>
      <c r="O21" s="120" t="s">
        <v>338</v>
      </c>
      <c r="P21" s="120" t="s">
        <v>1218</v>
      </c>
      <c r="Q21" s="122">
        <v>738614</v>
      </c>
      <c r="R21" s="122">
        <v>1</v>
      </c>
      <c r="S21" s="122">
        <v>1334</v>
      </c>
      <c r="T21" s="122"/>
      <c r="U21" s="122">
        <v>9853.1107599999996</v>
      </c>
      <c r="V21" s="123">
        <v>3.6830000000000001E-3</v>
      </c>
      <c r="W21" s="123">
        <v>8.6269999999999993E-3</v>
      </c>
      <c r="X21" s="123">
        <v>1.64E-4</v>
      </c>
    </row>
    <row r="22" spans="1:24" ht="15" customHeight="1">
      <c r="A22" s="121">
        <v>313</v>
      </c>
      <c r="B22" s="121">
        <v>313</v>
      </c>
      <c r="C22" s="120" t="s">
        <v>1518</v>
      </c>
      <c r="D22" s="121">
        <v>520024126</v>
      </c>
      <c r="E22" s="120" t="s">
        <v>308</v>
      </c>
      <c r="F22" s="120" t="s">
        <v>1519</v>
      </c>
      <c r="G22" s="121" t="s">
        <v>1520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463</v>
      </c>
      <c r="O22" s="120" t="s">
        <v>338</v>
      </c>
      <c r="P22" s="120" t="s">
        <v>1218</v>
      </c>
      <c r="Q22" s="122">
        <v>755559</v>
      </c>
      <c r="R22" s="122">
        <v>1</v>
      </c>
      <c r="S22" s="122">
        <v>1262</v>
      </c>
      <c r="T22" s="122"/>
      <c r="U22" s="122">
        <v>9535.1545800000004</v>
      </c>
      <c r="V22" s="123">
        <v>1.0349999999999999E-3</v>
      </c>
      <c r="W22" s="123">
        <v>8.3490000000000005E-3</v>
      </c>
      <c r="X22" s="123">
        <v>1.5799999999999999E-4</v>
      </c>
    </row>
    <row r="23" spans="1:24" ht="15" customHeight="1">
      <c r="A23" s="121">
        <v>313</v>
      </c>
      <c r="B23" s="121">
        <v>313</v>
      </c>
      <c r="C23" s="120" t="s">
        <v>1521</v>
      </c>
      <c r="D23" s="121">
        <v>520029083</v>
      </c>
      <c r="E23" s="120" t="s">
        <v>308</v>
      </c>
      <c r="F23" s="120" t="s">
        <v>1522</v>
      </c>
      <c r="G23" s="121" t="s">
        <v>1523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1218</v>
      </c>
      <c r="Q23" s="122">
        <v>67691</v>
      </c>
      <c r="R23" s="122">
        <v>1</v>
      </c>
      <c r="S23" s="122">
        <v>24370</v>
      </c>
      <c r="T23" s="122"/>
      <c r="U23" s="122">
        <v>16496.296699999999</v>
      </c>
      <c r="V23" s="123">
        <v>6.7400000000000001E-4</v>
      </c>
      <c r="W23" s="123">
        <v>1.4444E-2</v>
      </c>
      <c r="X23" s="123">
        <v>2.7399999999999999E-4</v>
      </c>
    </row>
    <row r="24" spans="1:24" ht="15" customHeight="1">
      <c r="A24" s="121">
        <v>313</v>
      </c>
      <c r="B24" s="121">
        <v>313</v>
      </c>
      <c r="C24" s="120" t="s">
        <v>1524</v>
      </c>
      <c r="D24" s="121">
        <v>520017450</v>
      </c>
      <c r="E24" s="120" t="s">
        <v>308</v>
      </c>
      <c r="F24" s="120" t="s">
        <v>1525</v>
      </c>
      <c r="G24" s="121" t="s">
        <v>1526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1218</v>
      </c>
      <c r="Q24" s="122">
        <v>373378</v>
      </c>
      <c r="R24" s="122">
        <v>1</v>
      </c>
      <c r="S24" s="122">
        <v>9745</v>
      </c>
      <c r="T24" s="122"/>
      <c r="U24" s="122">
        <v>36385.686099999999</v>
      </c>
      <c r="V24" s="123">
        <v>1.4189999999999999E-3</v>
      </c>
      <c r="W24" s="123">
        <v>3.1858999999999998E-2</v>
      </c>
      <c r="X24" s="123">
        <v>6.0499999999999996E-4</v>
      </c>
    </row>
    <row r="25" spans="1:24" ht="15" customHeight="1">
      <c r="A25" s="121">
        <v>313</v>
      </c>
      <c r="B25" s="121">
        <v>313</v>
      </c>
      <c r="C25" s="120" t="s">
        <v>1527</v>
      </c>
      <c r="D25" s="121">
        <v>520028010</v>
      </c>
      <c r="E25" s="120" t="s">
        <v>308</v>
      </c>
      <c r="F25" s="120" t="s">
        <v>1528</v>
      </c>
      <c r="G25" s="121" t="s">
        <v>1529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450</v>
      </c>
      <c r="O25" s="120" t="s">
        <v>338</v>
      </c>
      <c r="P25" s="120" t="s">
        <v>1218</v>
      </c>
      <c r="Q25" s="122">
        <v>14984</v>
      </c>
      <c r="R25" s="122">
        <v>1</v>
      </c>
      <c r="S25" s="122">
        <v>112370</v>
      </c>
      <c r="T25" s="122"/>
      <c r="U25" s="122">
        <v>16837.520799999998</v>
      </c>
      <c r="V25" s="123">
        <v>1.944E-3</v>
      </c>
      <c r="W25" s="123">
        <v>1.4742E-2</v>
      </c>
      <c r="X25" s="123">
        <v>2.7999999999999998E-4</v>
      </c>
    </row>
    <row r="26" spans="1:24" ht="15" customHeight="1">
      <c r="A26" s="121">
        <v>313</v>
      </c>
      <c r="B26" s="121">
        <v>313</v>
      </c>
      <c r="C26" s="120" t="s">
        <v>1530</v>
      </c>
      <c r="D26" s="121">
        <v>520033986</v>
      </c>
      <c r="E26" s="120" t="s">
        <v>308</v>
      </c>
      <c r="F26" s="120" t="s">
        <v>1530</v>
      </c>
      <c r="G26" s="121" t="s">
        <v>1531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1218</v>
      </c>
      <c r="Q26" s="122">
        <v>252549</v>
      </c>
      <c r="R26" s="122">
        <v>1</v>
      </c>
      <c r="S26" s="122">
        <v>9432</v>
      </c>
      <c r="T26" s="122"/>
      <c r="U26" s="122">
        <v>23820.421679999999</v>
      </c>
      <c r="V26" s="123">
        <v>1.122E-3</v>
      </c>
      <c r="W26" s="123">
        <v>2.0857000000000001E-2</v>
      </c>
      <c r="X26" s="123">
        <v>3.9599999999999998E-4</v>
      </c>
    </row>
    <row r="27" spans="1:24" ht="15" customHeight="1">
      <c r="A27" s="121">
        <v>313</v>
      </c>
      <c r="B27" s="121">
        <v>313</v>
      </c>
      <c r="C27" s="120" t="s">
        <v>1532</v>
      </c>
      <c r="D27" s="121">
        <v>520031931</v>
      </c>
      <c r="E27" s="120" t="s">
        <v>308</v>
      </c>
      <c r="F27" s="120" t="s">
        <v>1533</v>
      </c>
      <c r="G27" s="121" t="s">
        <v>1534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483</v>
      </c>
      <c r="O27" s="120" t="s">
        <v>338</v>
      </c>
      <c r="P27" s="120" t="s">
        <v>1218</v>
      </c>
      <c r="Q27" s="122">
        <v>3343370</v>
      </c>
      <c r="R27" s="122">
        <v>1</v>
      </c>
      <c r="S27" s="122">
        <v>575</v>
      </c>
      <c r="T27" s="122"/>
      <c r="U27" s="122">
        <v>19224.377499999999</v>
      </c>
      <c r="V27" s="123">
        <v>1.206E-3</v>
      </c>
      <c r="W27" s="123">
        <v>1.6832E-2</v>
      </c>
      <c r="X27" s="123">
        <v>3.2000000000000003E-4</v>
      </c>
    </row>
    <row r="28" spans="1:24" ht="15" customHeight="1">
      <c r="A28" s="121">
        <v>313</v>
      </c>
      <c r="B28" s="121">
        <v>313</v>
      </c>
      <c r="C28" s="120" t="s">
        <v>1209</v>
      </c>
      <c r="D28" s="121">
        <v>520000118</v>
      </c>
      <c r="E28" s="120" t="s">
        <v>308</v>
      </c>
      <c r="F28" s="120" t="s">
        <v>1535</v>
      </c>
      <c r="G28" s="121" t="s">
        <v>1536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1218</v>
      </c>
      <c r="Q28" s="122">
        <v>1262365.6100000001</v>
      </c>
      <c r="R28" s="122">
        <v>1</v>
      </c>
      <c r="S28" s="122">
        <v>6462</v>
      </c>
      <c r="T28" s="122"/>
      <c r="U28" s="122">
        <v>81574.065719999999</v>
      </c>
      <c r="V28" s="123">
        <v>9.4300000000000004E-4</v>
      </c>
      <c r="W28" s="123">
        <v>7.1426000000000003E-2</v>
      </c>
      <c r="X28" s="123">
        <v>1.358E-3</v>
      </c>
    </row>
    <row r="29" spans="1:24" ht="15" customHeight="1">
      <c r="A29" s="121">
        <v>313</v>
      </c>
      <c r="B29" s="121">
        <v>313</v>
      </c>
      <c r="C29" s="120" t="s">
        <v>1537</v>
      </c>
      <c r="D29" s="121">
        <v>550263107</v>
      </c>
      <c r="E29" s="120" t="s">
        <v>309</v>
      </c>
      <c r="F29" s="120" t="s">
        <v>1538</v>
      </c>
      <c r="G29" s="121" t="s">
        <v>1539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453</v>
      </c>
      <c r="O29" s="120" t="s">
        <v>338</v>
      </c>
      <c r="P29" s="120" t="s">
        <v>1218</v>
      </c>
      <c r="Q29" s="122">
        <v>156076</v>
      </c>
      <c r="R29" s="122">
        <v>1</v>
      </c>
      <c r="S29" s="122">
        <v>9900</v>
      </c>
      <c r="T29" s="122"/>
      <c r="U29" s="122">
        <v>15451.523999999999</v>
      </c>
      <c r="V29" s="123">
        <v>1.503E-3</v>
      </c>
      <c r="W29" s="123">
        <v>1.3528999999999999E-2</v>
      </c>
      <c r="X29" s="123">
        <v>2.5700000000000001E-4</v>
      </c>
    </row>
    <row r="30" spans="1:24" ht="15" customHeight="1">
      <c r="A30" s="121">
        <v>313</v>
      </c>
      <c r="B30" s="121">
        <v>313</v>
      </c>
      <c r="C30" s="120" t="s">
        <v>1540</v>
      </c>
      <c r="D30" s="121">
        <v>520000522</v>
      </c>
      <c r="E30" s="120" t="s">
        <v>308</v>
      </c>
      <c r="F30" s="120" t="s">
        <v>1541</v>
      </c>
      <c r="G30" s="121" t="s">
        <v>1542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1218</v>
      </c>
      <c r="Q30" s="122">
        <v>281494</v>
      </c>
      <c r="R30" s="122">
        <v>1</v>
      </c>
      <c r="S30" s="122">
        <v>21950</v>
      </c>
      <c r="T30" s="122"/>
      <c r="U30" s="122">
        <v>61787.932999999997</v>
      </c>
      <c r="V30" s="123">
        <v>1.085E-3</v>
      </c>
      <c r="W30" s="123">
        <v>5.4101000000000003E-2</v>
      </c>
      <c r="X30" s="123">
        <v>1.0280000000000001E-3</v>
      </c>
    </row>
    <row r="31" spans="1:24" ht="15" customHeight="1">
      <c r="A31" s="121">
        <v>313</v>
      </c>
      <c r="B31" s="121">
        <v>313</v>
      </c>
      <c r="C31" s="120" t="s">
        <v>1543</v>
      </c>
      <c r="D31" s="121">
        <v>520037789</v>
      </c>
      <c r="E31" s="120" t="s">
        <v>308</v>
      </c>
      <c r="F31" s="120" t="s">
        <v>1543</v>
      </c>
      <c r="G31" s="121" t="s">
        <v>1544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1218</v>
      </c>
      <c r="Q31" s="122">
        <v>29605</v>
      </c>
      <c r="R31" s="122">
        <v>1</v>
      </c>
      <c r="S31" s="122">
        <v>38400</v>
      </c>
      <c r="T31" s="122"/>
      <c r="U31" s="122">
        <v>11368.32</v>
      </c>
      <c r="V31" s="123">
        <v>6.2200000000000005E-4</v>
      </c>
      <c r="W31" s="123">
        <v>9.9539999999999993E-3</v>
      </c>
      <c r="X31" s="123">
        <v>1.8900000000000001E-4</v>
      </c>
    </row>
    <row r="32" spans="1:24" ht="15" customHeight="1">
      <c r="A32" s="121">
        <v>313</v>
      </c>
      <c r="B32" s="121">
        <v>313</v>
      </c>
      <c r="C32" s="120" t="s">
        <v>1545</v>
      </c>
      <c r="D32" s="121">
        <v>511930125</v>
      </c>
      <c r="E32" s="120" t="s">
        <v>308</v>
      </c>
      <c r="F32" s="120" t="s">
        <v>1546</v>
      </c>
      <c r="G32" s="121" t="s">
        <v>1547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461</v>
      </c>
      <c r="O32" s="120" t="s">
        <v>338</v>
      </c>
      <c r="P32" s="120" t="s">
        <v>1218</v>
      </c>
      <c r="Q32" s="122">
        <v>341309</v>
      </c>
      <c r="R32" s="122">
        <v>1</v>
      </c>
      <c r="S32" s="122">
        <v>2734</v>
      </c>
      <c r="T32" s="122"/>
      <c r="U32" s="122">
        <v>9331.3880599999993</v>
      </c>
      <c r="V32" s="123">
        <v>2.0409999999999998E-3</v>
      </c>
      <c r="W32" s="123">
        <v>8.1700000000000002E-3</v>
      </c>
      <c r="X32" s="123">
        <v>1.55E-4</v>
      </c>
    </row>
    <row r="33" spans="1:24" ht="15" customHeight="1">
      <c r="A33" s="121">
        <v>313</v>
      </c>
      <c r="B33" s="121">
        <v>313</v>
      </c>
      <c r="C33" s="120" t="s">
        <v>1548</v>
      </c>
      <c r="D33" s="121">
        <v>520027830</v>
      </c>
      <c r="E33" s="120" t="s">
        <v>308</v>
      </c>
      <c r="F33" s="120" t="s">
        <v>1549</v>
      </c>
      <c r="G33" s="121" t="s">
        <v>1550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455</v>
      </c>
      <c r="O33" s="120" t="s">
        <v>338</v>
      </c>
      <c r="P33" s="120" t="s">
        <v>1218</v>
      </c>
      <c r="Q33" s="122">
        <v>1728409</v>
      </c>
      <c r="R33" s="122">
        <v>1</v>
      </c>
      <c r="S33" s="122">
        <v>2309</v>
      </c>
      <c r="T33" s="122"/>
      <c r="U33" s="122">
        <v>39908.963810000001</v>
      </c>
      <c r="V33" s="123">
        <v>1.3140000000000001E-3</v>
      </c>
      <c r="W33" s="123">
        <v>3.4944000000000003E-2</v>
      </c>
      <c r="X33" s="123">
        <v>6.6399999999999999E-4</v>
      </c>
    </row>
    <row r="34" spans="1:24" ht="15" customHeight="1">
      <c r="A34" s="121">
        <v>313</v>
      </c>
      <c r="B34" s="121">
        <v>313</v>
      </c>
      <c r="C34" s="120" t="s">
        <v>1551</v>
      </c>
      <c r="D34" s="121">
        <v>520003781</v>
      </c>
      <c r="E34" s="120" t="s">
        <v>308</v>
      </c>
      <c r="F34" s="120" t="s">
        <v>1552</v>
      </c>
      <c r="G34" s="121" t="s">
        <v>1553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458</v>
      </c>
      <c r="O34" s="120" t="s">
        <v>338</v>
      </c>
      <c r="P34" s="120" t="s">
        <v>1218</v>
      </c>
      <c r="Q34" s="122">
        <v>160472</v>
      </c>
      <c r="R34" s="122">
        <v>1</v>
      </c>
      <c r="S34" s="122">
        <v>9235</v>
      </c>
      <c r="T34" s="122"/>
      <c r="U34" s="122">
        <v>14819.5892</v>
      </c>
      <c r="V34" s="123">
        <v>1.366E-3</v>
      </c>
      <c r="W34" s="123">
        <v>1.2976E-2</v>
      </c>
      <c r="X34" s="123">
        <v>2.4600000000000002E-4</v>
      </c>
    </row>
    <row r="35" spans="1:24" ht="15" customHeight="1">
      <c r="A35" s="121">
        <v>313</v>
      </c>
      <c r="B35" s="121">
        <v>313</v>
      </c>
      <c r="C35" s="120" t="s">
        <v>1554</v>
      </c>
      <c r="D35" s="121">
        <v>520007469</v>
      </c>
      <c r="E35" s="120" t="s">
        <v>308</v>
      </c>
      <c r="F35" s="120" t="s">
        <v>1554</v>
      </c>
      <c r="G35" s="121" t="s">
        <v>1555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444</v>
      </c>
      <c r="O35" s="120" t="s">
        <v>338</v>
      </c>
      <c r="P35" s="120" t="s">
        <v>1218</v>
      </c>
      <c r="Q35" s="122">
        <v>32359</v>
      </c>
      <c r="R35" s="122">
        <v>1</v>
      </c>
      <c r="S35" s="122">
        <v>26530</v>
      </c>
      <c r="T35" s="122"/>
      <c r="U35" s="122">
        <v>8584.8426999999992</v>
      </c>
      <c r="V35" s="123">
        <v>5.1099999999999995E-4</v>
      </c>
      <c r="W35" s="123">
        <v>7.5160000000000001E-3</v>
      </c>
      <c r="X35" s="123">
        <v>1.4200000000000001E-4</v>
      </c>
    </row>
    <row r="36" spans="1:24" ht="15" customHeight="1">
      <c r="A36" s="121">
        <v>313</v>
      </c>
      <c r="B36" s="121">
        <v>313</v>
      </c>
      <c r="C36" s="120" t="s">
        <v>1556</v>
      </c>
      <c r="D36" s="121">
        <v>520026683</v>
      </c>
      <c r="E36" s="120" t="s">
        <v>308</v>
      </c>
      <c r="F36" s="120" t="s">
        <v>1557</v>
      </c>
      <c r="G36" s="121" t="s">
        <v>1558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1218</v>
      </c>
      <c r="Q36" s="122">
        <v>540750</v>
      </c>
      <c r="R36" s="122">
        <v>1</v>
      </c>
      <c r="S36" s="122">
        <v>2281</v>
      </c>
      <c r="T36" s="122"/>
      <c r="U36" s="122">
        <v>12334.5075</v>
      </c>
      <c r="V36" s="123">
        <v>1.1460000000000001E-3</v>
      </c>
      <c r="W36" s="123">
        <v>1.0800000000000001E-2</v>
      </c>
      <c r="X36" s="123">
        <v>2.05E-4</v>
      </c>
    </row>
    <row r="37" spans="1:24" ht="15" customHeight="1">
      <c r="A37" s="121">
        <v>313</v>
      </c>
      <c r="B37" s="121">
        <v>313</v>
      </c>
      <c r="C37" s="120" t="s">
        <v>1559</v>
      </c>
      <c r="D37" s="121">
        <v>513821488</v>
      </c>
      <c r="E37" s="120" t="s">
        <v>308</v>
      </c>
      <c r="F37" s="120" t="s">
        <v>1559</v>
      </c>
      <c r="G37" s="121" t="s">
        <v>1560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1218</v>
      </c>
      <c r="Q37" s="122">
        <v>284886</v>
      </c>
      <c r="R37" s="122">
        <v>1</v>
      </c>
      <c r="S37" s="122">
        <v>2261</v>
      </c>
      <c r="T37" s="122"/>
      <c r="U37" s="122">
        <v>6441.2724600000001</v>
      </c>
      <c r="V37" s="123">
        <v>1.4599999999999999E-3</v>
      </c>
      <c r="W37" s="123">
        <v>5.6389999999999999E-3</v>
      </c>
      <c r="X37" s="123">
        <v>1.07E-4</v>
      </c>
    </row>
    <row r="38" spans="1:24" ht="15" customHeight="1">
      <c r="A38" s="121">
        <v>313</v>
      </c>
      <c r="B38" s="121">
        <v>313</v>
      </c>
      <c r="C38" s="120" t="s">
        <v>1561</v>
      </c>
      <c r="D38" s="121">
        <v>514401702</v>
      </c>
      <c r="E38" s="120" t="s">
        <v>308</v>
      </c>
      <c r="F38" s="120" t="s">
        <v>1561</v>
      </c>
      <c r="G38" s="121" t="s">
        <v>1562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439</v>
      </c>
      <c r="O38" s="120" t="s">
        <v>338</v>
      </c>
      <c r="P38" s="120" t="s">
        <v>1218</v>
      </c>
      <c r="Q38" s="122">
        <v>233351.85</v>
      </c>
      <c r="R38" s="122">
        <v>1</v>
      </c>
      <c r="S38" s="122">
        <v>4100</v>
      </c>
      <c r="T38" s="122"/>
      <c r="U38" s="122">
        <v>9567.4258499999996</v>
      </c>
      <c r="V38" s="123">
        <v>8.4199999999999998E-4</v>
      </c>
      <c r="W38" s="123">
        <v>8.3770000000000008E-3</v>
      </c>
      <c r="X38" s="123">
        <v>1.5899999999999999E-4</v>
      </c>
    </row>
    <row r="39" spans="1:24" ht="15" customHeight="1">
      <c r="A39" s="121">
        <v>313</v>
      </c>
      <c r="B39" s="121">
        <v>313</v>
      </c>
      <c r="C39" s="120" t="s">
        <v>1563</v>
      </c>
      <c r="D39" s="121">
        <v>512607888</v>
      </c>
      <c r="E39" s="120" t="s">
        <v>308</v>
      </c>
      <c r="F39" s="120" t="s">
        <v>1563</v>
      </c>
      <c r="G39" s="121" t="s">
        <v>1564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460</v>
      </c>
      <c r="O39" s="120" t="s">
        <v>338</v>
      </c>
      <c r="P39" s="120" t="s">
        <v>1218</v>
      </c>
      <c r="Q39" s="122">
        <v>16704</v>
      </c>
      <c r="R39" s="122">
        <v>1</v>
      </c>
      <c r="S39" s="122">
        <v>58480</v>
      </c>
      <c r="T39" s="122"/>
      <c r="U39" s="122">
        <v>9768.4992000000002</v>
      </c>
      <c r="V39" s="123">
        <v>1.0139999999999999E-3</v>
      </c>
      <c r="W39" s="123">
        <v>8.5529999999999998E-3</v>
      </c>
      <c r="X39" s="123">
        <v>1.6200000000000001E-4</v>
      </c>
    </row>
    <row r="40" spans="1:24" ht="15" customHeight="1">
      <c r="A40" s="121">
        <v>313</v>
      </c>
      <c r="B40" s="121">
        <v>313</v>
      </c>
      <c r="C40" s="120" t="s">
        <v>1565</v>
      </c>
      <c r="D40" s="121">
        <v>520036120</v>
      </c>
      <c r="E40" s="120" t="s">
        <v>308</v>
      </c>
      <c r="F40" s="120" t="s">
        <v>1566</v>
      </c>
      <c r="G40" s="121" t="s">
        <v>1567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444</v>
      </c>
      <c r="O40" s="120" t="s">
        <v>338</v>
      </c>
      <c r="P40" s="120" t="s">
        <v>1218</v>
      </c>
      <c r="Q40" s="122">
        <v>110289</v>
      </c>
      <c r="R40" s="122">
        <v>1</v>
      </c>
      <c r="S40" s="122">
        <v>14880</v>
      </c>
      <c r="T40" s="122"/>
      <c r="U40" s="122">
        <v>16411.003199999999</v>
      </c>
      <c r="V40" s="123">
        <v>1.3849999999999999E-3</v>
      </c>
      <c r="W40" s="123">
        <v>1.4369E-2</v>
      </c>
      <c r="X40" s="123">
        <v>2.7300000000000002E-4</v>
      </c>
    </row>
    <row r="41" spans="1:24" ht="15" customHeight="1">
      <c r="A41" s="121">
        <v>313</v>
      </c>
      <c r="B41" s="121">
        <v>313</v>
      </c>
      <c r="C41" s="120" t="s">
        <v>1568</v>
      </c>
      <c r="D41" s="121">
        <v>520043027</v>
      </c>
      <c r="E41" s="120" t="s">
        <v>308</v>
      </c>
      <c r="F41" s="120" t="s">
        <v>1568</v>
      </c>
      <c r="G41" s="121" t="s">
        <v>1569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445</v>
      </c>
      <c r="O41" s="120" t="s">
        <v>338</v>
      </c>
      <c r="P41" s="120" t="s">
        <v>1218</v>
      </c>
      <c r="Q41" s="122">
        <v>41920</v>
      </c>
      <c r="R41" s="122">
        <v>1</v>
      </c>
      <c r="S41" s="122">
        <v>149800</v>
      </c>
      <c r="T41" s="122">
        <v>85.642560000000003</v>
      </c>
      <c r="U41" s="122">
        <v>62881.802559999996</v>
      </c>
      <c r="V41" s="123">
        <v>9.0399999999999996E-4</v>
      </c>
      <c r="W41" s="123">
        <v>5.5058000000000003E-2</v>
      </c>
      <c r="X41" s="123">
        <v>1.0460000000000001E-3</v>
      </c>
    </row>
    <row r="42" spans="1:24" ht="15" customHeight="1">
      <c r="A42" s="121">
        <v>313</v>
      </c>
      <c r="B42" s="121">
        <v>313</v>
      </c>
      <c r="C42" s="120" t="s">
        <v>1570</v>
      </c>
      <c r="D42" s="121">
        <v>520022732</v>
      </c>
      <c r="E42" s="120" t="s">
        <v>308</v>
      </c>
      <c r="F42" s="120" t="s">
        <v>1570</v>
      </c>
      <c r="G42" s="121" t="s">
        <v>1571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474</v>
      </c>
      <c r="O42" s="120" t="s">
        <v>338</v>
      </c>
      <c r="P42" s="120" t="s">
        <v>1218</v>
      </c>
      <c r="Q42" s="122">
        <v>241389</v>
      </c>
      <c r="R42" s="122">
        <v>1</v>
      </c>
      <c r="S42" s="122">
        <v>3869</v>
      </c>
      <c r="T42" s="122"/>
      <c r="U42" s="122">
        <v>9339.3404100000007</v>
      </c>
      <c r="V42" s="123">
        <v>8.7600000000000004E-4</v>
      </c>
      <c r="W42" s="123">
        <v>8.1770000000000002E-3</v>
      </c>
      <c r="X42" s="123">
        <v>1.55E-4</v>
      </c>
    </row>
    <row r="43" spans="1:24" ht="15" customHeight="1">
      <c r="A43" s="121">
        <v>313</v>
      </c>
      <c r="B43" s="121">
        <v>313</v>
      </c>
      <c r="C43" s="120" t="s">
        <v>1295</v>
      </c>
      <c r="D43" s="121">
        <v>520018078</v>
      </c>
      <c r="E43" s="120" t="s">
        <v>308</v>
      </c>
      <c r="F43" s="120" t="s">
        <v>1295</v>
      </c>
      <c r="G43" s="121" t="s">
        <v>1572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447</v>
      </c>
      <c r="O43" s="120" t="s">
        <v>338</v>
      </c>
      <c r="P43" s="120" t="s">
        <v>1218</v>
      </c>
      <c r="Q43" s="122">
        <v>1217087.01</v>
      </c>
      <c r="R43" s="122">
        <v>1</v>
      </c>
      <c r="S43" s="122">
        <v>6262</v>
      </c>
      <c r="T43" s="122"/>
      <c r="U43" s="122">
        <v>76213.988570000001</v>
      </c>
      <c r="V43" s="123">
        <v>7.5299999999999998E-4</v>
      </c>
      <c r="W43" s="123">
        <v>6.6733000000000001E-2</v>
      </c>
      <c r="X43" s="123">
        <v>1.2689999999999999E-3</v>
      </c>
    </row>
    <row r="44" spans="1:24" ht="15" customHeight="1">
      <c r="A44" s="121">
        <v>313</v>
      </c>
      <c r="B44" s="121">
        <v>313</v>
      </c>
      <c r="C44" s="120" t="s">
        <v>1573</v>
      </c>
      <c r="D44" s="121">
        <v>560033185</v>
      </c>
      <c r="E44" s="120" t="s">
        <v>308</v>
      </c>
      <c r="F44" s="120" t="s">
        <v>1574</v>
      </c>
      <c r="G44" s="121" t="s">
        <v>1575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453</v>
      </c>
      <c r="O44" s="120" t="s">
        <v>338</v>
      </c>
      <c r="P44" s="120" t="s">
        <v>1218</v>
      </c>
      <c r="Q44" s="122">
        <v>150079</v>
      </c>
      <c r="R44" s="122">
        <v>1</v>
      </c>
      <c r="S44" s="122">
        <v>4272</v>
      </c>
      <c r="T44" s="122">
        <v>166.11787000000001</v>
      </c>
      <c r="U44" s="122">
        <v>6577.4927500000003</v>
      </c>
      <c r="V44" s="123">
        <v>8.1400000000000005E-4</v>
      </c>
      <c r="W44" s="123">
        <v>5.7580000000000001E-3</v>
      </c>
      <c r="X44" s="123">
        <v>1.08E-4</v>
      </c>
    </row>
    <row r="45" spans="1:24" ht="15" customHeight="1">
      <c r="A45" s="121">
        <v>313</v>
      </c>
      <c r="B45" s="121">
        <v>313</v>
      </c>
      <c r="C45" s="120" t="s">
        <v>1576</v>
      </c>
      <c r="D45" s="121">
        <v>511812463</v>
      </c>
      <c r="E45" s="120" t="s">
        <v>308</v>
      </c>
      <c r="F45" s="120" t="s">
        <v>1577</v>
      </c>
      <c r="G45" s="121" t="s">
        <v>1578</v>
      </c>
      <c r="H45" s="120" t="s">
        <v>320</v>
      </c>
      <c r="I45" s="120" t="s">
        <v>918</v>
      </c>
      <c r="J45" s="120" t="s">
        <v>203</v>
      </c>
      <c r="K45" s="120" t="s">
        <v>203</v>
      </c>
      <c r="L45" s="120" t="s">
        <v>324</v>
      </c>
      <c r="M45" s="120" t="s">
        <v>339</v>
      </c>
      <c r="N45" s="120" t="s">
        <v>457</v>
      </c>
      <c r="O45" s="120" t="s">
        <v>338</v>
      </c>
      <c r="P45" s="120" t="s">
        <v>1218</v>
      </c>
      <c r="Q45" s="122">
        <v>41211</v>
      </c>
      <c r="R45" s="122">
        <v>1</v>
      </c>
      <c r="S45" s="122">
        <v>95280</v>
      </c>
      <c r="T45" s="122"/>
      <c r="U45" s="122">
        <v>39265.840799999998</v>
      </c>
      <c r="V45" s="123">
        <v>1.4059999999999999E-3</v>
      </c>
      <c r="W45" s="123">
        <v>3.4381000000000002E-2</v>
      </c>
      <c r="X45" s="123">
        <v>6.5300000000000004E-4</v>
      </c>
    </row>
    <row r="46" spans="1:24" ht="15" customHeight="1">
      <c r="A46" s="121">
        <v>313</v>
      </c>
      <c r="B46" s="121">
        <v>313</v>
      </c>
      <c r="C46" s="120" t="s">
        <v>1579</v>
      </c>
      <c r="D46" s="121" t="s">
        <v>1580</v>
      </c>
      <c r="E46" s="120" t="s">
        <v>312</v>
      </c>
      <c r="F46" s="120" t="s">
        <v>1581</v>
      </c>
      <c r="G46" s="121" t="s">
        <v>1582</v>
      </c>
      <c r="H46" s="120" t="s">
        <v>320</v>
      </c>
      <c r="I46" s="120" t="s">
        <v>918</v>
      </c>
      <c r="J46" s="120" t="s">
        <v>204</v>
      </c>
      <c r="K46" s="120" t="s">
        <v>292</v>
      </c>
      <c r="L46" s="120" t="s">
        <v>324</v>
      </c>
      <c r="M46" s="120" t="s">
        <v>313</v>
      </c>
      <c r="N46" s="120" t="s">
        <v>545</v>
      </c>
      <c r="O46" s="120" t="s">
        <v>338</v>
      </c>
      <c r="P46" s="120" t="s">
        <v>1215</v>
      </c>
      <c r="Q46" s="122">
        <v>1320</v>
      </c>
      <c r="R46" s="122">
        <v>3.9552</v>
      </c>
      <c r="S46" s="122">
        <v>67760</v>
      </c>
      <c r="T46" s="122"/>
      <c r="U46" s="122">
        <v>3537.6574500000002</v>
      </c>
      <c r="V46" s="123">
        <v>3.0000000000000001E-6</v>
      </c>
      <c r="W46" s="123">
        <v>3.0969999999999999E-3</v>
      </c>
      <c r="X46" s="123">
        <v>5.8E-5</v>
      </c>
    </row>
    <row r="47" spans="1:24" ht="15" customHeight="1">
      <c r="A47" s="121">
        <v>313</v>
      </c>
      <c r="B47" s="121">
        <v>313</v>
      </c>
      <c r="C47" s="120" t="s">
        <v>1497</v>
      </c>
      <c r="D47" s="121">
        <v>880326081</v>
      </c>
      <c r="E47" s="120" t="s">
        <v>308</v>
      </c>
      <c r="F47" s="120" t="s">
        <v>1583</v>
      </c>
      <c r="G47" s="121" t="s">
        <v>1499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485</v>
      </c>
      <c r="O47" s="120" t="s">
        <v>338</v>
      </c>
      <c r="P47" s="120" t="s">
        <v>1222</v>
      </c>
      <c r="Q47" s="122">
        <v>41825</v>
      </c>
      <c r="R47" s="122">
        <v>3.3719999999999999</v>
      </c>
      <c r="S47" s="122">
        <v>8376</v>
      </c>
      <c r="T47" s="122"/>
      <c r="U47" s="122">
        <v>11812.999460000001</v>
      </c>
      <c r="V47" s="123">
        <v>6.8900000000000005E-4</v>
      </c>
      <c r="W47" s="123">
        <v>1.0343E-2</v>
      </c>
      <c r="X47" s="123">
        <v>1.9599999999999999E-4</v>
      </c>
    </row>
    <row r="48" spans="1:24" ht="15" customHeight="1">
      <c r="A48" s="121">
        <v>313</v>
      </c>
      <c r="B48" s="121">
        <v>313</v>
      </c>
      <c r="C48" s="120" t="s">
        <v>1584</v>
      </c>
      <c r="D48" s="121" t="s">
        <v>1585</v>
      </c>
      <c r="E48" s="120" t="s">
        <v>312</v>
      </c>
      <c r="F48" s="120" t="s">
        <v>1586</v>
      </c>
      <c r="G48" s="121" t="s">
        <v>1587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490</v>
      </c>
      <c r="O48" s="120" t="s">
        <v>338</v>
      </c>
      <c r="P48" s="120" t="s">
        <v>1222</v>
      </c>
      <c r="Q48" s="122">
        <v>13637</v>
      </c>
      <c r="R48" s="122">
        <v>3.3719999999999999</v>
      </c>
      <c r="S48" s="122">
        <v>4335</v>
      </c>
      <c r="T48" s="122"/>
      <c r="U48" s="122">
        <v>1993.4048399999999</v>
      </c>
      <c r="V48" s="123">
        <v>9.0000000000000002E-6</v>
      </c>
      <c r="W48" s="123">
        <v>1.745E-3</v>
      </c>
      <c r="X48" s="123">
        <v>3.3000000000000003E-5</v>
      </c>
    </row>
    <row r="49" spans="1:24" ht="15" customHeight="1">
      <c r="A49" s="121">
        <v>313</v>
      </c>
      <c r="B49" s="121">
        <v>313</v>
      </c>
      <c r="C49" s="120" t="s">
        <v>1473</v>
      </c>
      <c r="D49" s="121">
        <v>511235434</v>
      </c>
      <c r="E49" s="120" t="s">
        <v>308</v>
      </c>
      <c r="F49" s="120" t="s">
        <v>1588</v>
      </c>
      <c r="G49" s="121" t="s">
        <v>1474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547</v>
      </c>
      <c r="O49" s="120" t="s">
        <v>338</v>
      </c>
      <c r="P49" s="120" t="s">
        <v>1222</v>
      </c>
      <c r="Q49" s="122">
        <v>5989</v>
      </c>
      <c r="R49" s="122">
        <v>3.3719999999999999</v>
      </c>
      <c r="S49" s="122">
        <v>8456</v>
      </c>
      <c r="T49" s="122"/>
      <c r="U49" s="122">
        <v>1707.6814199999999</v>
      </c>
      <c r="V49" s="123">
        <v>1.3100000000000001E-4</v>
      </c>
      <c r="W49" s="123">
        <v>1.495E-3</v>
      </c>
      <c r="X49" s="123">
        <v>2.8E-5</v>
      </c>
    </row>
    <row r="50" spans="1:24" ht="15" customHeight="1">
      <c r="A50" s="121">
        <v>313</v>
      </c>
      <c r="B50" s="121">
        <v>313</v>
      </c>
      <c r="C50" s="120" t="s">
        <v>1589</v>
      </c>
      <c r="D50" s="121" t="s">
        <v>1590</v>
      </c>
      <c r="E50" s="120" t="s">
        <v>312</v>
      </c>
      <c r="F50" s="120" t="s">
        <v>1591</v>
      </c>
      <c r="G50" s="121" t="s">
        <v>1592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535</v>
      </c>
      <c r="O50" s="120" t="s">
        <v>338</v>
      </c>
      <c r="P50" s="120" t="s">
        <v>1222</v>
      </c>
      <c r="Q50" s="122">
        <v>3219</v>
      </c>
      <c r="R50" s="122">
        <v>3.3719999999999999</v>
      </c>
      <c r="S50" s="122">
        <v>70775</v>
      </c>
      <c r="T50" s="122"/>
      <c r="U50" s="122">
        <v>7682.2497300000005</v>
      </c>
      <c r="V50" s="123">
        <v>1.0000000000000001E-5</v>
      </c>
      <c r="W50" s="123">
        <v>6.7260000000000002E-3</v>
      </c>
      <c r="X50" s="123">
        <v>1.27E-4</v>
      </c>
    </row>
    <row r="51" spans="1:24" ht="15" customHeight="1">
      <c r="A51" s="121">
        <v>313</v>
      </c>
      <c r="B51" s="121">
        <v>313</v>
      </c>
      <c r="C51" s="120" t="s">
        <v>1593</v>
      </c>
      <c r="D51" s="121" t="s">
        <v>1594</v>
      </c>
      <c r="E51" s="120" t="s">
        <v>312</v>
      </c>
      <c r="F51" s="120" t="s">
        <v>1595</v>
      </c>
      <c r="G51" s="121" t="s">
        <v>1596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1222</v>
      </c>
      <c r="Q51" s="122">
        <v>10997</v>
      </c>
      <c r="R51" s="122">
        <v>3.3719999999999999</v>
      </c>
      <c r="S51" s="122">
        <v>9734</v>
      </c>
      <c r="T51" s="122">
        <v>2.5293000000000001</v>
      </c>
      <c r="U51" s="122">
        <v>3618.0793899999999</v>
      </c>
      <c r="V51" s="123">
        <v>7.9999999999999996E-6</v>
      </c>
      <c r="W51" s="123">
        <v>3.1670000000000001E-3</v>
      </c>
      <c r="X51" s="123">
        <v>6.0000000000000002E-5</v>
      </c>
    </row>
    <row r="52" spans="1:24" ht="15" customHeight="1">
      <c r="A52" s="121">
        <v>313</v>
      </c>
      <c r="B52" s="121">
        <v>313</v>
      </c>
      <c r="C52" s="120" t="s">
        <v>1475</v>
      </c>
      <c r="D52" s="121">
        <v>520013954</v>
      </c>
      <c r="E52" s="120" t="s">
        <v>308</v>
      </c>
      <c r="F52" s="120" t="s">
        <v>1597</v>
      </c>
      <c r="G52" s="121" t="s">
        <v>1598</v>
      </c>
      <c r="H52" s="120" t="s">
        <v>320</v>
      </c>
      <c r="I52" s="120" t="s">
        <v>918</v>
      </c>
      <c r="J52" s="120" t="s">
        <v>204</v>
      </c>
      <c r="K52" s="120" t="s">
        <v>203</v>
      </c>
      <c r="L52" s="120" t="s">
        <v>324</v>
      </c>
      <c r="M52" s="120" t="s">
        <v>343</v>
      </c>
      <c r="N52" s="120" t="s">
        <v>533</v>
      </c>
      <c r="O52" s="120" t="s">
        <v>338</v>
      </c>
      <c r="P52" s="120" t="s">
        <v>1222</v>
      </c>
      <c r="Q52" s="122">
        <v>335213</v>
      </c>
      <c r="R52" s="122">
        <v>3.3719999999999999</v>
      </c>
      <c r="S52" s="122">
        <v>1676</v>
      </c>
      <c r="T52" s="122"/>
      <c r="U52" s="122">
        <v>18944.468840000001</v>
      </c>
      <c r="V52" s="123">
        <v>2.92E-4</v>
      </c>
      <c r="W52" s="123">
        <v>1.6587000000000001E-2</v>
      </c>
      <c r="X52" s="123">
        <v>3.1500000000000001E-4</v>
      </c>
    </row>
    <row r="53" spans="1:24" ht="15" customHeight="1">
      <c r="A53" s="121">
        <v>313</v>
      </c>
      <c r="B53" s="121">
        <v>313</v>
      </c>
      <c r="C53" s="120" t="s">
        <v>1599</v>
      </c>
      <c r="D53" s="121" t="s">
        <v>1600</v>
      </c>
      <c r="E53" s="120" t="s">
        <v>312</v>
      </c>
      <c r="F53" s="120" t="s">
        <v>1601</v>
      </c>
      <c r="G53" s="121" t="s">
        <v>1602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548</v>
      </c>
      <c r="O53" s="120" t="s">
        <v>338</v>
      </c>
      <c r="P53" s="120" t="s">
        <v>1222</v>
      </c>
      <c r="Q53" s="122">
        <v>13745</v>
      </c>
      <c r="R53" s="122">
        <v>3.3719999999999999</v>
      </c>
      <c r="S53" s="122">
        <v>17739</v>
      </c>
      <c r="T53" s="122"/>
      <c r="U53" s="122">
        <v>8221.6965500000006</v>
      </c>
      <c r="V53" s="123">
        <v>1.9999999999999999E-6</v>
      </c>
      <c r="W53" s="123">
        <v>7.1980000000000004E-3</v>
      </c>
      <c r="X53" s="123">
        <v>1.36E-4</v>
      </c>
    </row>
    <row r="54" spans="1:24" ht="15" customHeight="1">
      <c r="A54" s="121">
        <v>313</v>
      </c>
      <c r="B54" s="121">
        <v>313</v>
      </c>
      <c r="C54" s="120" t="s">
        <v>1576</v>
      </c>
      <c r="D54" s="121">
        <v>511812463</v>
      </c>
      <c r="E54" s="120" t="s">
        <v>308</v>
      </c>
      <c r="F54" s="120" t="s">
        <v>1603</v>
      </c>
      <c r="G54" s="121" t="s">
        <v>1578</v>
      </c>
      <c r="H54" s="120" t="s">
        <v>320</v>
      </c>
      <c r="I54" s="120" t="s">
        <v>918</v>
      </c>
      <c r="J54" s="120" t="s">
        <v>204</v>
      </c>
      <c r="K54" s="120" t="s">
        <v>203</v>
      </c>
      <c r="L54" s="120" t="s">
        <v>324</v>
      </c>
      <c r="M54" s="120" t="s">
        <v>345</v>
      </c>
      <c r="N54" s="120" t="s">
        <v>547</v>
      </c>
      <c r="O54" s="120" t="s">
        <v>338</v>
      </c>
      <c r="P54" s="120" t="s">
        <v>1222</v>
      </c>
      <c r="Q54" s="122">
        <v>27795</v>
      </c>
      <c r="R54" s="122">
        <v>3.3719999999999999</v>
      </c>
      <c r="S54" s="122">
        <v>27520</v>
      </c>
      <c r="T54" s="122"/>
      <c r="U54" s="122">
        <v>25793.048449999998</v>
      </c>
      <c r="V54" s="123">
        <v>9.4899999999999997E-4</v>
      </c>
      <c r="W54" s="123">
        <v>2.2584E-2</v>
      </c>
      <c r="X54" s="123">
        <v>4.2900000000000002E-4</v>
      </c>
    </row>
    <row r="55" spans="1:24" ht="15" customHeight="1">
      <c r="A55" s="121">
        <v>313</v>
      </c>
      <c r="B55" s="121">
        <v>313</v>
      </c>
      <c r="C55" s="120" t="s">
        <v>1604</v>
      </c>
      <c r="D55" s="121" t="s">
        <v>1605</v>
      </c>
      <c r="E55" s="120" t="s">
        <v>312</v>
      </c>
      <c r="F55" s="120" t="s">
        <v>1606</v>
      </c>
      <c r="G55" s="121" t="s">
        <v>1607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530</v>
      </c>
      <c r="O55" s="120" t="s">
        <v>338</v>
      </c>
      <c r="P55" s="120" t="s">
        <v>1222</v>
      </c>
      <c r="Q55" s="122">
        <v>92987</v>
      </c>
      <c r="R55" s="122">
        <v>3.3719999999999999</v>
      </c>
      <c r="S55" s="122">
        <v>1444</v>
      </c>
      <c r="T55" s="122"/>
      <c r="U55" s="122">
        <v>4527.6932500000003</v>
      </c>
      <c r="V55" s="123">
        <v>1.4710000000000001E-3</v>
      </c>
      <c r="W55" s="123">
        <v>3.9639999999999996E-3</v>
      </c>
      <c r="X55" s="123">
        <v>7.4999999999999993E-5</v>
      </c>
    </row>
    <row r="56" spans="1:24" ht="15" customHeight="1">
      <c r="A56" s="121">
        <v>313</v>
      </c>
      <c r="B56" s="121">
        <v>313</v>
      </c>
      <c r="C56" s="120" t="s">
        <v>1608</v>
      </c>
      <c r="D56" s="121" t="s">
        <v>1609</v>
      </c>
      <c r="E56" s="120" t="s">
        <v>312</v>
      </c>
      <c r="F56" s="120" t="s">
        <v>1610</v>
      </c>
      <c r="G56" s="121" t="s">
        <v>1611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545</v>
      </c>
      <c r="O56" s="120" t="s">
        <v>338</v>
      </c>
      <c r="P56" s="120" t="s">
        <v>1222</v>
      </c>
      <c r="Q56" s="122">
        <v>81362</v>
      </c>
      <c r="R56" s="122">
        <v>3.3719999999999999</v>
      </c>
      <c r="S56" s="122">
        <v>2040</v>
      </c>
      <c r="T56" s="122"/>
      <c r="U56" s="122">
        <v>5596.7943500000001</v>
      </c>
      <c r="V56" s="123">
        <v>1.377E-3</v>
      </c>
      <c r="W56" s="123">
        <v>4.8999999999999998E-3</v>
      </c>
      <c r="X56" s="123">
        <v>9.2999999999999997E-5</v>
      </c>
    </row>
    <row r="57" spans="1:24" ht="15" customHeight="1">
      <c r="A57" s="121">
        <v>313</v>
      </c>
      <c r="B57" s="121">
        <v>313</v>
      </c>
      <c r="C57" s="120" t="s">
        <v>1484</v>
      </c>
      <c r="D57" s="121">
        <v>520041146</v>
      </c>
      <c r="E57" s="120" t="s">
        <v>308</v>
      </c>
      <c r="F57" s="120" t="s">
        <v>1612</v>
      </c>
      <c r="G57" s="121" t="s">
        <v>1485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324</v>
      </c>
      <c r="M57" s="120" t="s">
        <v>345</v>
      </c>
      <c r="N57" s="120" t="s">
        <v>485</v>
      </c>
      <c r="O57" s="120" t="s">
        <v>338</v>
      </c>
      <c r="P57" s="120" t="s">
        <v>1222</v>
      </c>
      <c r="Q57" s="122">
        <v>46495</v>
      </c>
      <c r="R57" s="122">
        <v>3.3719999999999999</v>
      </c>
      <c r="S57" s="122">
        <v>2273</v>
      </c>
      <c r="T57" s="122"/>
      <c r="U57" s="122">
        <v>3563.6353100000001</v>
      </c>
      <c r="V57" s="123">
        <v>3.8900000000000002E-4</v>
      </c>
      <c r="W57" s="123">
        <v>3.1199999999999999E-3</v>
      </c>
      <c r="X57" s="123">
        <v>5.8999999999999998E-5</v>
      </c>
    </row>
    <row r="58" spans="1:24" ht="15" customHeight="1">
      <c r="A58" s="121">
        <v>313</v>
      </c>
      <c r="B58" s="121">
        <v>313</v>
      </c>
      <c r="C58" s="120" t="s">
        <v>1471</v>
      </c>
      <c r="D58" s="121">
        <v>520041997</v>
      </c>
      <c r="E58" s="120" t="s">
        <v>308</v>
      </c>
      <c r="F58" s="120" t="s">
        <v>1613</v>
      </c>
      <c r="G58" s="121" t="s">
        <v>1472</v>
      </c>
      <c r="H58" s="120" t="s">
        <v>320</v>
      </c>
      <c r="I58" s="120" t="s">
        <v>918</v>
      </c>
      <c r="J58" s="120" t="s">
        <v>204</v>
      </c>
      <c r="K58" s="120" t="s">
        <v>203</v>
      </c>
      <c r="L58" s="120" t="s">
        <v>324</v>
      </c>
      <c r="M58" s="120" t="s">
        <v>345</v>
      </c>
      <c r="N58" s="120" t="s">
        <v>547</v>
      </c>
      <c r="O58" s="120" t="s">
        <v>338</v>
      </c>
      <c r="P58" s="120" t="s">
        <v>1222</v>
      </c>
      <c r="Q58" s="122">
        <v>163295</v>
      </c>
      <c r="R58" s="122">
        <v>3.3719999999999999</v>
      </c>
      <c r="S58" s="122">
        <v>4335</v>
      </c>
      <c r="T58" s="122"/>
      <c r="U58" s="122">
        <v>23869.84258</v>
      </c>
      <c r="V58" s="123">
        <v>1.4610000000000001E-3</v>
      </c>
      <c r="W58" s="123">
        <v>2.0899999999999998E-2</v>
      </c>
      <c r="X58" s="123">
        <v>3.97E-4</v>
      </c>
    </row>
    <row r="59" spans="1:24" ht="15" customHeight="1">
      <c r="A59" s="121">
        <v>313</v>
      </c>
      <c r="B59" s="121">
        <v>313</v>
      </c>
      <c r="C59" s="120" t="s">
        <v>1614</v>
      </c>
      <c r="D59" s="121" t="s">
        <v>1615</v>
      </c>
      <c r="E59" s="120" t="s">
        <v>312</v>
      </c>
      <c r="F59" s="120" t="s">
        <v>1616</v>
      </c>
      <c r="G59" s="121" t="s">
        <v>1617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343</v>
      </c>
      <c r="N59" s="120" t="s">
        <v>496</v>
      </c>
      <c r="O59" s="120" t="s">
        <v>338</v>
      </c>
      <c r="P59" s="120" t="s">
        <v>1222</v>
      </c>
      <c r="Q59" s="122">
        <v>7118</v>
      </c>
      <c r="R59" s="122">
        <v>3.3719999999999999</v>
      </c>
      <c r="S59" s="122">
        <v>12841</v>
      </c>
      <c r="T59" s="122"/>
      <c r="U59" s="122">
        <v>3082.08347</v>
      </c>
      <c r="V59" s="123">
        <v>1.8E-5</v>
      </c>
      <c r="W59" s="123">
        <v>2.6979999999999999E-3</v>
      </c>
      <c r="X59" s="123">
        <v>5.1E-5</v>
      </c>
    </row>
    <row r="60" spans="1:24" ht="15" customHeight="1">
      <c r="A60" s="121">
        <v>313</v>
      </c>
      <c r="B60" s="121">
        <v>313</v>
      </c>
      <c r="C60" s="120" t="s">
        <v>1618</v>
      </c>
      <c r="D60" s="121" t="s">
        <v>1619</v>
      </c>
      <c r="E60" s="120" t="s">
        <v>312</v>
      </c>
      <c r="F60" s="120" t="s">
        <v>1620</v>
      </c>
      <c r="G60" s="121" t="s">
        <v>1621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550</v>
      </c>
      <c r="O60" s="120" t="s">
        <v>338</v>
      </c>
      <c r="P60" s="120" t="s">
        <v>1222</v>
      </c>
      <c r="Q60" s="122">
        <v>6162</v>
      </c>
      <c r="R60" s="122">
        <v>3.3719999999999999</v>
      </c>
      <c r="S60" s="122">
        <v>73809</v>
      </c>
      <c r="T60" s="122"/>
      <c r="U60" s="122">
        <v>15336.228880000001</v>
      </c>
      <c r="V60" s="123">
        <v>1.9999999999999999E-6</v>
      </c>
      <c r="W60" s="123">
        <v>1.3428000000000001E-2</v>
      </c>
      <c r="X60" s="123">
        <v>2.5500000000000002E-4</v>
      </c>
    </row>
    <row r="61" spans="1:24" ht="15" customHeight="1">
      <c r="A61" s="121">
        <v>313</v>
      </c>
      <c r="B61" s="121">
        <v>313</v>
      </c>
      <c r="C61" s="120" t="s">
        <v>1622</v>
      </c>
      <c r="D61" s="121" t="s">
        <v>1623</v>
      </c>
      <c r="E61" s="120" t="s">
        <v>312</v>
      </c>
      <c r="F61" s="120" t="s">
        <v>1624</v>
      </c>
      <c r="G61" s="121" t="s">
        <v>1625</v>
      </c>
      <c r="H61" s="120" t="s">
        <v>320</v>
      </c>
      <c r="I61" s="120" t="s">
        <v>918</v>
      </c>
      <c r="J61" s="120" t="s">
        <v>204</v>
      </c>
      <c r="K61" s="120" t="s">
        <v>295</v>
      </c>
      <c r="L61" s="120" t="s">
        <v>324</v>
      </c>
      <c r="M61" s="120" t="s">
        <v>343</v>
      </c>
      <c r="N61" s="120" t="s">
        <v>547</v>
      </c>
      <c r="O61" s="120" t="s">
        <v>338</v>
      </c>
      <c r="P61" s="120" t="s">
        <v>1222</v>
      </c>
      <c r="Q61" s="122">
        <v>9729</v>
      </c>
      <c r="R61" s="122">
        <v>3.3719999999999999</v>
      </c>
      <c r="S61" s="122">
        <v>22649</v>
      </c>
      <c r="T61" s="122">
        <v>7.3160299999999996</v>
      </c>
      <c r="U61" s="122">
        <v>7454.9431699999996</v>
      </c>
      <c r="V61" s="123">
        <v>9.9999999999999995E-7</v>
      </c>
      <c r="W61" s="123">
        <v>6.5259999999999997E-3</v>
      </c>
      <c r="X61" s="123">
        <v>1.2300000000000001E-4</v>
      </c>
    </row>
    <row r="62" spans="1:24" ht="15" customHeight="1">
      <c r="A62" s="121">
        <v>313</v>
      </c>
      <c r="B62" s="121">
        <v>313</v>
      </c>
      <c r="C62" s="120" t="s">
        <v>1626</v>
      </c>
      <c r="D62" s="121" t="s">
        <v>1627</v>
      </c>
      <c r="E62" s="120" t="s">
        <v>312</v>
      </c>
      <c r="F62" s="120" t="s">
        <v>1628</v>
      </c>
      <c r="G62" s="121" t="s">
        <v>1629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345</v>
      </c>
      <c r="N62" s="120" t="s">
        <v>547</v>
      </c>
      <c r="O62" s="120" t="s">
        <v>338</v>
      </c>
      <c r="P62" s="120" t="s">
        <v>1222</v>
      </c>
      <c r="Q62" s="122">
        <v>12695</v>
      </c>
      <c r="R62" s="122">
        <v>3.3719999999999999</v>
      </c>
      <c r="S62" s="122">
        <v>15799</v>
      </c>
      <c r="T62" s="122">
        <v>0.12695000000000001</v>
      </c>
      <c r="U62" s="122">
        <v>6763.5913200000005</v>
      </c>
      <c r="V62" s="123">
        <v>0</v>
      </c>
      <c r="W62" s="123">
        <v>5.921E-3</v>
      </c>
      <c r="X62" s="123">
        <v>1.12E-4</v>
      </c>
    </row>
    <row r="63" spans="1:24" ht="15" customHeight="1">
      <c r="A63" s="121">
        <v>313</v>
      </c>
      <c r="B63" s="121">
        <v>313</v>
      </c>
      <c r="C63" s="120" t="s">
        <v>1503</v>
      </c>
      <c r="D63" s="121">
        <v>520036872</v>
      </c>
      <c r="E63" s="120" t="s">
        <v>308</v>
      </c>
      <c r="F63" s="120" t="s">
        <v>1630</v>
      </c>
      <c r="G63" s="121" t="s">
        <v>1631</v>
      </c>
      <c r="H63" s="120" t="s">
        <v>320</v>
      </c>
      <c r="I63" s="120" t="s">
        <v>918</v>
      </c>
      <c r="J63" s="120" t="s">
        <v>204</v>
      </c>
      <c r="K63" s="120" t="s">
        <v>203</v>
      </c>
      <c r="L63" s="120" t="s">
        <v>324</v>
      </c>
      <c r="M63" s="120" t="s">
        <v>345</v>
      </c>
      <c r="N63" s="120" t="s">
        <v>543</v>
      </c>
      <c r="O63" s="120" t="s">
        <v>338</v>
      </c>
      <c r="P63" s="120" t="s">
        <v>1222</v>
      </c>
      <c r="Q63" s="122">
        <v>12905</v>
      </c>
      <c r="R63" s="122">
        <v>3.3719999999999999</v>
      </c>
      <c r="S63" s="122">
        <v>16891</v>
      </c>
      <c r="T63" s="120"/>
      <c r="U63" s="122">
        <v>7350.2301299999999</v>
      </c>
      <c r="V63" s="123">
        <v>2.04E-4</v>
      </c>
      <c r="W63" s="123">
        <v>6.4349999999999997E-3</v>
      </c>
      <c r="X63" s="123">
        <v>1.22E-4</v>
      </c>
    </row>
    <row r="64" spans="1:24" ht="15" customHeight="1">
      <c r="A64" s="121">
        <v>313</v>
      </c>
      <c r="B64" s="121">
        <v>313</v>
      </c>
      <c r="C64" s="120" t="s">
        <v>1632</v>
      </c>
      <c r="D64" s="121" t="s">
        <v>1633</v>
      </c>
      <c r="E64" s="120" t="s">
        <v>312</v>
      </c>
      <c r="F64" s="120" t="s">
        <v>1634</v>
      </c>
      <c r="G64" s="121" t="s">
        <v>1635</v>
      </c>
      <c r="H64" s="120" t="s">
        <v>320</v>
      </c>
      <c r="I64" s="120" t="s">
        <v>918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485</v>
      </c>
      <c r="O64" s="120" t="s">
        <v>338</v>
      </c>
      <c r="P64" s="120" t="s">
        <v>1222</v>
      </c>
      <c r="Q64" s="122">
        <v>5734</v>
      </c>
      <c r="R64" s="122">
        <v>3.3719999999999999</v>
      </c>
      <c r="S64" s="122">
        <v>24352</v>
      </c>
      <c r="T64" s="120"/>
      <c r="U64" s="122">
        <v>4708.4708899999996</v>
      </c>
      <c r="V64" s="123">
        <v>2.5000000000000001E-5</v>
      </c>
      <c r="W64" s="123">
        <v>4.1219999999999998E-3</v>
      </c>
      <c r="X64" s="123">
        <v>7.7999999999999999E-5</v>
      </c>
    </row>
    <row r="65" spans="1:24" ht="15" customHeight="1">
      <c r="A65" s="121">
        <v>313</v>
      </c>
      <c r="B65" s="121">
        <v>313</v>
      </c>
      <c r="C65" s="120" t="s">
        <v>1636</v>
      </c>
      <c r="D65" s="121" t="s">
        <v>1637</v>
      </c>
      <c r="E65" s="120" t="s">
        <v>312</v>
      </c>
      <c r="F65" s="120" t="s">
        <v>1638</v>
      </c>
      <c r="G65" s="121" t="s">
        <v>1639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345</v>
      </c>
      <c r="N65" s="120" t="s">
        <v>509</v>
      </c>
      <c r="O65" s="120" t="s">
        <v>338</v>
      </c>
      <c r="P65" s="120" t="s">
        <v>1222</v>
      </c>
      <c r="Q65" s="122">
        <v>3316</v>
      </c>
      <c r="R65" s="122">
        <v>3.3719999999999999</v>
      </c>
      <c r="S65" s="122">
        <v>31766</v>
      </c>
      <c r="T65" s="120"/>
      <c r="U65" s="122">
        <v>3551.93181</v>
      </c>
      <c r="V65" s="123">
        <v>9.9999999999999995E-7</v>
      </c>
      <c r="W65" s="123">
        <v>3.1099999999999999E-3</v>
      </c>
      <c r="X65" s="123">
        <v>5.8999999999999998E-5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6.1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1640</v>
      </c>
      <c r="D2" s="121">
        <v>510938608</v>
      </c>
      <c r="E2" s="120" t="s">
        <v>308</v>
      </c>
      <c r="F2" s="120" t="s">
        <v>1641</v>
      </c>
      <c r="G2" s="121" t="s">
        <v>1642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1218</v>
      </c>
      <c r="P2" s="122">
        <v>162819.07</v>
      </c>
      <c r="Q2" s="122">
        <v>1</v>
      </c>
      <c r="R2" s="122">
        <v>3896.38</v>
      </c>
      <c r="S2" s="122"/>
      <c r="T2" s="122">
        <v>6344.0496800000001</v>
      </c>
      <c r="U2" s="123">
        <v>3.1199999999999999E-3</v>
      </c>
      <c r="V2" s="123">
        <v>1.9610000000000001E-3</v>
      </c>
      <c r="W2" s="123">
        <v>1.05E-4</v>
      </c>
    </row>
    <row r="3" spans="1:26" ht="15" customHeight="1">
      <c r="A3" s="121">
        <v>313</v>
      </c>
      <c r="B3" s="121">
        <v>313</v>
      </c>
      <c r="C3" s="120" t="s">
        <v>1643</v>
      </c>
      <c r="D3" s="121">
        <v>511303661</v>
      </c>
      <c r="E3" s="120" t="s">
        <v>308</v>
      </c>
      <c r="F3" s="120" t="s">
        <v>1644</v>
      </c>
      <c r="G3" s="121" t="s">
        <v>1645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1218</v>
      </c>
      <c r="P3" s="122">
        <v>180305</v>
      </c>
      <c r="Q3" s="122">
        <v>1</v>
      </c>
      <c r="R3" s="122">
        <v>3968</v>
      </c>
      <c r="S3" s="120"/>
      <c r="T3" s="122">
        <v>7154.5024000000003</v>
      </c>
      <c r="U3" s="123">
        <v>2.575E-3</v>
      </c>
      <c r="V3" s="123">
        <v>2.2109999999999999E-3</v>
      </c>
      <c r="W3" s="123">
        <v>1.1900000000000001E-4</v>
      </c>
    </row>
    <row r="4" spans="1:26" ht="15" customHeight="1">
      <c r="A4" s="121">
        <v>313</v>
      </c>
      <c r="B4" s="121">
        <v>313</v>
      </c>
      <c r="C4" s="120" t="s">
        <v>1643</v>
      </c>
      <c r="D4" s="121">
        <v>511303661</v>
      </c>
      <c r="E4" s="120" t="s">
        <v>308</v>
      </c>
      <c r="F4" s="120" t="s">
        <v>1646</v>
      </c>
      <c r="G4" s="121" t="s">
        <v>1647</v>
      </c>
      <c r="H4" s="120" t="s">
        <v>320</v>
      </c>
      <c r="I4" s="120" t="s">
        <v>967</v>
      </c>
      <c r="J4" s="120" t="s">
        <v>203</v>
      </c>
      <c r="K4" s="120" t="s">
        <v>203</v>
      </c>
      <c r="L4" s="120" t="s">
        <v>339</v>
      </c>
      <c r="M4" s="130" t="s">
        <v>572</v>
      </c>
      <c r="N4" s="120" t="s">
        <v>338</v>
      </c>
      <c r="O4" s="120" t="s">
        <v>1218</v>
      </c>
      <c r="P4" s="122">
        <v>906000</v>
      </c>
      <c r="Q4" s="122">
        <v>1</v>
      </c>
      <c r="R4" s="122">
        <v>486.63</v>
      </c>
      <c r="S4" s="120"/>
      <c r="T4" s="122">
        <v>4408.8678</v>
      </c>
      <c r="U4" s="123">
        <v>3.7910000000000001E-3</v>
      </c>
      <c r="V4" s="123">
        <v>1.3630000000000001E-3</v>
      </c>
      <c r="W4" s="123">
        <v>7.2999999999999999E-5</v>
      </c>
    </row>
    <row r="5" spans="1:26" ht="15" customHeight="1">
      <c r="A5" s="121">
        <v>313</v>
      </c>
      <c r="B5" s="121">
        <v>313</v>
      </c>
      <c r="C5" s="120" t="s">
        <v>1640</v>
      </c>
      <c r="D5" s="121">
        <v>510938608</v>
      </c>
      <c r="E5" s="120" t="s">
        <v>308</v>
      </c>
      <c r="F5" s="120" t="s">
        <v>1648</v>
      </c>
      <c r="G5" s="121" t="s">
        <v>1649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1218</v>
      </c>
      <c r="P5" s="122">
        <v>59326.400000000001</v>
      </c>
      <c r="Q5" s="122">
        <v>1</v>
      </c>
      <c r="R5" s="122">
        <v>28980</v>
      </c>
      <c r="S5" s="120"/>
      <c r="T5" s="122">
        <v>17192.790720000001</v>
      </c>
      <c r="U5" s="123">
        <v>3.0660000000000001E-3</v>
      </c>
      <c r="V5" s="123">
        <v>5.3150000000000003E-3</v>
      </c>
      <c r="W5" s="123">
        <v>2.8600000000000001E-4</v>
      </c>
    </row>
    <row r="6" spans="1:26" ht="15" customHeight="1">
      <c r="A6" s="121">
        <v>313</v>
      </c>
      <c r="B6" s="121">
        <v>313</v>
      </c>
      <c r="C6" s="120" t="s">
        <v>1650</v>
      </c>
      <c r="D6" s="121">
        <v>511776783</v>
      </c>
      <c r="E6" s="120" t="s">
        <v>308</v>
      </c>
      <c r="F6" s="120" t="s">
        <v>1651</v>
      </c>
      <c r="G6" s="121" t="s">
        <v>1652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1218</v>
      </c>
      <c r="P6" s="122">
        <v>1883400</v>
      </c>
      <c r="Q6" s="122">
        <v>1</v>
      </c>
      <c r="R6" s="122">
        <v>393.25</v>
      </c>
      <c r="S6" s="120"/>
      <c r="T6" s="122">
        <v>7406.4705000000004</v>
      </c>
      <c r="U6" s="123">
        <v>7.7250000000000001E-3</v>
      </c>
      <c r="V6" s="123">
        <v>2.2889999999999998E-3</v>
      </c>
      <c r="W6" s="123">
        <v>1.2300000000000001E-4</v>
      </c>
    </row>
    <row r="7" spans="1:26" ht="15" customHeight="1">
      <c r="A7" s="121">
        <v>313</v>
      </c>
      <c r="B7" s="121">
        <v>313</v>
      </c>
      <c r="C7" s="120" t="s">
        <v>1653</v>
      </c>
      <c r="D7" s="121">
        <v>513534974</v>
      </c>
      <c r="E7" s="120" t="s">
        <v>308</v>
      </c>
      <c r="F7" s="120" t="s">
        <v>1654</v>
      </c>
      <c r="G7" s="121" t="s">
        <v>1655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1218</v>
      </c>
      <c r="P7" s="122">
        <v>157622</v>
      </c>
      <c r="Q7" s="122">
        <v>1</v>
      </c>
      <c r="R7" s="122">
        <v>2913</v>
      </c>
      <c r="S7" s="120"/>
      <c r="T7" s="122">
        <v>4591.5288600000003</v>
      </c>
      <c r="U7" s="123">
        <v>6.1399999999999996E-4</v>
      </c>
      <c r="V7" s="123">
        <v>1.4189999999999999E-3</v>
      </c>
      <c r="W7" s="123">
        <v>7.6000000000000004E-5</v>
      </c>
    </row>
    <row r="8" spans="1:26" ht="15" customHeight="1">
      <c r="A8" s="121">
        <v>313</v>
      </c>
      <c r="B8" s="121">
        <v>313</v>
      </c>
      <c r="C8" s="120" t="s">
        <v>1656</v>
      </c>
      <c r="D8" s="121" t="s">
        <v>1657</v>
      </c>
      <c r="E8" s="120" t="s">
        <v>312</v>
      </c>
      <c r="F8" s="120" t="s">
        <v>1658</v>
      </c>
      <c r="G8" s="121" t="s">
        <v>1659</v>
      </c>
      <c r="H8" s="120" t="s">
        <v>320</v>
      </c>
      <c r="I8" s="120" t="s">
        <v>966</v>
      </c>
      <c r="J8" s="120" t="s">
        <v>204</v>
      </c>
      <c r="K8" s="120" t="s">
        <v>302</v>
      </c>
      <c r="L8" s="120" t="s">
        <v>367</v>
      </c>
      <c r="M8" s="130" t="s">
        <v>734</v>
      </c>
      <c r="N8" s="120" t="s">
        <v>338</v>
      </c>
      <c r="O8" s="120" t="s">
        <v>1215</v>
      </c>
      <c r="P8" s="122">
        <v>724826</v>
      </c>
      <c r="Q8" s="122">
        <v>3.9552</v>
      </c>
      <c r="R8" s="122">
        <v>9757</v>
      </c>
      <c r="S8" s="120"/>
      <c r="T8" s="122">
        <v>279716.77825999999</v>
      </c>
      <c r="U8" s="123">
        <v>1.3443E-2</v>
      </c>
      <c r="V8" s="123">
        <v>8.6481000000000002E-2</v>
      </c>
      <c r="W8" s="123">
        <v>4.6579999999999998E-3</v>
      </c>
    </row>
    <row r="9" spans="1:26" ht="15" customHeight="1">
      <c r="A9" s="121">
        <v>313</v>
      </c>
      <c r="B9" s="121">
        <v>313</v>
      </c>
      <c r="C9" s="120" t="s">
        <v>1656</v>
      </c>
      <c r="D9" s="121" t="s">
        <v>1657</v>
      </c>
      <c r="E9" s="120" t="s">
        <v>312</v>
      </c>
      <c r="F9" s="120" t="s">
        <v>1660</v>
      </c>
      <c r="G9" s="121" t="s">
        <v>1661</v>
      </c>
      <c r="H9" s="120" t="s">
        <v>320</v>
      </c>
      <c r="I9" s="120" t="s">
        <v>966</v>
      </c>
      <c r="J9" s="120" t="s">
        <v>204</v>
      </c>
      <c r="K9" s="120" t="s">
        <v>223</v>
      </c>
      <c r="L9" s="120" t="s">
        <v>379</v>
      </c>
      <c r="M9" s="130" t="s">
        <v>734</v>
      </c>
      <c r="N9" s="120" t="s">
        <v>338</v>
      </c>
      <c r="O9" s="120" t="s">
        <v>1222</v>
      </c>
      <c r="P9" s="122">
        <v>484114</v>
      </c>
      <c r="Q9" s="122">
        <v>3.3719999999999999</v>
      </c>
      <c r="R9" s="122">
        <v>18163</v>
      </c>
      <c r="S9" s="120"/>
      <c r="T9" s="122">
        <v>296498.69826999999</v>
      </c>
      <c r="U9" s="123">
        <v>8.8269999999999998E-3</v>
      </c>
      <c r="V9" s="123">
        <v>9.1669E-2</v>
      </c>
      <c r="W9" s="123">
        <v>4.9370000000000004E-3</v>
      </c>
    </row>
    <row r="10" spans="1:26" ht="15" customHeight="1">
      <c r="A10" s="121">
        <v>313</v>
      </c>
      <c r="B10" s="121">
        <v>313</v>
      </c>
      <c r="C10" s="120" t="s">
        <v>1662</v>
      </c>
      <c r="D10" s="121" t="s">
        <v>1663</v>
      </c>
      <c r="E10" s="120" t="s">
        <v>312</v>
      </c>
      <c r="F10" s="120" t="s">
        <v>1664</v>
      </c>
      <c r="G10" s="121" t="s">
        <v>1665</v>
      </c>
      <c r="H10" s="120" t="s">
        <v>320</v>
      </c>
      <c r="I10" s="120" t="s">
        <v>966</v>
      </c>
      <c r="J10" s="120" t="s">
        <v>204</v>
      </c>
      <c r="K10" s="120" t="s">
        <v>223</v>
      </c>
      <c r="L10" s="120" t="s">
        <v>343</v>
      </c>
      <c r="M10" s="130" t="s">
        <v>734</v>
      </c>
      <c r="N10" s="120" t="s">
        <v>338</v>
      </c>
      <c r="O10" s="120" t="s">
        <v>1222</v>
      </c>
      <c r="P10" s="122">
        <v>72489</v>
      </c>
      <c r="Q10" s="122">
        <v>3.3719999999999999</v>
      </c>
      <c r="R10" s="122">
        <v>25323</v>
      </c>
      <c r="S10" s="120"/>
      <c r="T10" s="122">
        <v>61897.745289999999</v>
      </c>
      <c r="U10" s="123">
        <v>2.2900000000000001E-4</v>
      </c>
      <c r="V10" s="123">
        <v>1.9137000000000001E-2</v>
      </c>
      <c r="W10" s="123">
        <v>1.0300000000000001E-3</v>
      </c>
    </row>
    <row r="11" spans="1:26" ht="15" customHeight="1">
      <c r="A11" s="121">
        <v>313</v>
      </c>
      <c r="B11" s="121">
        <v>313</v>
      </c>
      <c r="C11" s="120" t="s">
        <v>1662</v>
      </c>
      <c r="D11" s="121" t="s">
        <v>1663</v>
      </c>
      <c r="E11" s="120" t="s">
        <v>312</v>
      </c>
      <c r="F11" s="120" t="s">
        <v>1666</v>
      </c>
      <c r="G11" s="121" t="s">
        <v>1667</v>
      </c>
      <c r="H11" s="120" t="s">
        <v>320</v>
      </c>
      <c r="I11" s="120" t="s">
        <v>966</v>
      </c>
      <c r="J11" s="120" t="s">
        <v>204</v>
      </c>
      <c r="K11" s="120" t="s">
        <v>288</v>
      </c>
      <c r="L11" s="120" t="s">
        <v>379</v>
      </c>
      <c r="M11" s="130" t="s">
        <v>734</v>
      </c>
      <c r="N11" s="120" t="s">
        <v>338</v>
      </c>
      <c r="O11" s="120" t="s">
        <v>1222</v>
      </c>
      <c r="P11" s="122">
        <v>2903027</v>
      </c>
      <c r="Q11" s="122">
        <v>3.3719999999999999</v>
      </c>
      <c r="R11" s="122">
        <v>4296.25</v>
      </c>
      <c r="S11" s="120"/>
      <c r="T11" s="122">
        <v>420560.21513000003</v>
      </c>
      <c r="U11" s="123">
        <v>9.7990000000000004E-3</v>
      </c>
      <c r="V11" s="123">
        <v>0.130026</v>
      </c>
      <c r="W11" s="123">
        <v>7.0029999999999997E-3</v>
      </c>
    </row>
    <row r="12" spans="1:26" ht="15" customHeight="1">
      <c r="A12" s="121">
        <v>313</v>
      </c>
      <c r="B12" s="121">
        <v>313</v>
      </c>
      <c r="C12" s="120" t="s">
        <v>1662</v>
      </c>
      <c r="D12" s="121" t="s">
        <v>1663</v>
      </c>
      <c r="E12" s="120" t="s">
        <v>312</v>
      </c>
      <c r="F12" s="120" t="s">
        <v>1668</v>
      </c>
      <c r="G12" s="121" t="s">
        <v>1669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343</v>
      </c>
      <c r="M12" s="130" t="s">
        <v>734</v>
      </c>
      <c r="N12" s="120" t="s">
        <v>338</v>
      </c>
      <c r="O12" s="120" t="s">
        <v>1222</v>
      </c>
      <c r="P12" s="122">
        <v>46383</v>
      </c>
      <c r="Q12" s="122">
        <v>3.3719999999999999</v>
      </c>
      <c r="R12" s="122">
        <v>10853</v>
      </c>
      <c r="S12" s="120"/>
      <c r="T12" s="122">
        <v>16974.469249999998</v>
      </c>
      <c r="U12" s="123">
        <v>2.0799999999999999E-4</v>
      </c>
      <c r="V12" s="123">
        <v>5.2480000000000001E-3</v>
      </c>
      <c r="W12" s="123">
        <v>2.8200000000000002E-4</v>
      </c>
    </row>
    <row r="13" spans="1:26" ht="15" customHeight="1">
      <c r="A13" s="121">
        <v>313</v>
      </c>
      <c r="B13" s="121">
        <v>313</v>
      </c>
      <c r="C13" s="120" t="s">
        <v>1662</v>
      </c>
      <c r="D13" s="121" t="s">
        <v>1663</v>
      </c>
      <c r="E13" s="120" t="s">
        <v>312</v>
      </c>
      <c r="F13" s="120" t="s">
        <v>1670</v>
      </c>
      <c r="G13" s="121" t="s">
        <v>1671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343</v>
      </c>
      <c r="M13" s="130" t="s">
        <v>734</v>
      </c>
      <c r="N13" s="120" t="s">
        <v>338</v>
      </c>
      <c r="O13" s="120" t="s">
        <v>1222</v>
      </c>
      <c r="P13" s="122">
        <v>6205</v>
      </c>
      <c r="Q13" s="122">
        <v>3.3719999999999999</v>
      </c>
      <c r="R13" s="122">
        <v>21733</v>
      </c>
      <c r="S13" s="120"/>
      <c r="T13" s="122">
        <v>4547.2520999999997</v>
      </c>
      <c r="U13" s="123">
        <v>5.8999999999999998E-5</v>
      </c>
      <c r="V13" s="123">
        <v>1.405E-3</v>
      </c>
      <c r="W13" s="123">
        <v>7.4999999999999993E-5</v>
      </c>
    </row>
    <row r="14" spans="1:26" ht="15" customHeight="1">
      <c r="A14" s="121">
        <v>313</v>
      </c>
      <c r="B14" s="121">
        <v>313</v>
      </c>
      <c r="C14" s="120" t="s">
        <v>1672</v>
      </c>
      <c r="D14" s="121" t="s">
        <v>1673</v>
      </c>
      <c r="E14" s="120" t="s">
        <v>312</v>
      </c>
      <c r="F14" s="120" t="s">
        <v>1674</v>
      </c>
      <c r="G14" s="121" t="s">
        <v>1675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345</v>
      </c>
      <c r="M14" s="130" t="s">
        <v>734</v>
      </c>
      <c r="N14" s="120" t="s">
        <v>338</v>
      </c>
      <c r="O14" s="120" t="s">
        <v>1222</v>
      </c>
      <c r="P14" s="122">
        <v>12284</v>
      </c>
      <c r="Q14" s="122">
        <v>3.3719999999999999</v>
      </c>
      <c r="R14" s="122">
        <v>27888</v>
      </c>
      <c r="S14" s="120"/>
      <c r="T14" s="122">
        <v>11551.669190000001</v>
      </c>
      <c r="U14" s="123">
        <v>1.2999999999999999E-4</v>
      </c>
      <c r="V14" s="123">
        <v>3.571E-3</v>
      </c>
      <c r="W14" s="123">
        <v>1.92E-4</v>
      </c>
    </row>
    <row r="15" spans="1:26" ht="15" customHeight="1">
      <c r="A15" s="121">
        <v>313</v>
      </c>
      <c r="B15" s="121">
        <v>313</v>
      </c>
      <c r="C15" s="120" t="s">
        <v>1676</v>
      </c>
      <c r="D15" s="121" t="s">
        <v>1677</v>
      </c>
      <c r="E15" s="120" t="s">
        <v>312</v>
      </c>
      <c r="F15" s="120" t="s">
        <v>1678</v>
      </c>
      <c r="G15" s="121" t="s">
        <v>1679</v>
      </c>
      <c r="H15" s="120" t="s">
        <v>320</v>
      </c>
      <c r="I15" s="120" t="s">
        <v>966</v>
      </c>
      <c r="J15" s="120" t="s">
        <v>204</v>
      </c>
      <c r="K15" s="120" t="s">
        <v>288</v>
      </c>
      <c r="L15" s="120" t="s">
        <v>379</v>
      </c>
      <c r="M15" s="130" t="s">
        <v>734</v>
      </c>
      <c r="N15" s="120" t="s">
        <v>338</v>
      </c>
      <c r="O15" s="120" t="s">
        <v>1222</v>
      </c>
      <c r="P15" s="122">
        <v>395905</v>
      </c>
      <c r="Q15" s="122">
        <v>3.3719999999999999</v>
      </c>
      <c r="R15" s="122">
        <v>12626</v>
      </c>
      <c r="S15" s="120"/>
      <c r="T15" s="122">
        <v>168556.04699</v>
      </c>
      <c r="U15" s="123">
        <v>7.2350000000000001E-3</v>
      </c>
      <c r="V15" s="123">
        <v>5.2113E-2</v>
      </c>
      <c r="W15" s="123">
        <v>2.807E-3</v>
      </c>
    </row>
    <row r="16" spans="1:26" ht="15" customHeight="1">
      <c r="A16" s="121">
        <v>313</v>
      </c>
      <c r="B16" s="121">
        <v>313</v>
      </c>
      <c r="C16" s="120" t="s">
        <v>1680</v>
      </c>
      <c r="D16" s="121" t="s">
        <v>1681</v>
      </c>
      <c r="E16" s="120" t="s">
        <v>312</v>
      </c>
      <c r="F16" s="120" t="s">
        <v>1682</v>
      </c>
      <c r="G16" s="121" t="s">
        <v>1683</v>
      </c>
      <c r="H16" s="120" t="s">
        <v>320</v>
      </c>
      <c r="I16" s="120" t="s">
        <v>966</v>
      </c>
      <c r="J16" s="120" t="s">
        <v>204</v>
      </c>
      <c r="K16" s="120" t="s">
        <v>250</v>
      </c>
      <c r="L16" s="120" t="s">
        <v>399</v>
      </c>
      <c r="M16" s="130" t="s">
        <v>734</v>
      </c>
      <c r="N16" s="120" t="s">
        <v>338</v>
      </c>
      <c r="O16" s="120" t="s">
        <v>1224</v>
      </c>
      <c r="P16" s="122">
        <v>1477537</v>
      </c>
      <c r="Q16" s="122">
        <v>2.3369000000000001E-2</v>
      </c>
      <c r="R16" s="122">
        <v>40830</v>
      </c>
      <c r="S16" s="120"/>
      <c r="T16" s="122">
        <v>14098.012339999999</v>
      </c>
      <c r="U16" s="123">
        <v>2.9250000000000001E-3</v>
      </c>
      <c r="V16" s="123">
        <v>4.3579999999999999E-3</v>
      </c>
      <c r="W16" s="123">
        <v>2.34E-4</v>
      </c>
    </row>
    <row r="17" spans="1:23" ht="15" customHeight="1">
      <c r="A17" s="121">
        <v>313</v>
      </c>
      <c r="B17" s="121">
        <v>313</v>
      </c>
      <c r="C17" s="120" t="s">
        <v>1662</v>
      </c>
      <c r="D17" s="121" t="s">
        <v>1663</v>
      </c>
      <c r="E17" s="120" t="s">
        <v>312</v>
      </c>
      <c r="F17" s="120" t="s">
        <v>1684</v>
      </c>
      <c r="G17" s="121" t="s">
        <v>1685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343</v>
      </c>
      <c r="M17" s="130" t="s">
        <v>734</v>
      </c>
      <c r="N17" s="120" t="s">
        <v>338</v>
      </c>
      <c r="O17" s="120" t="s">
        <v>1222</v>
      </c>
      <c r="P17" s="122">
        <v>44725</v>
      </c>
      <c r="Q17" s="122">
        <v>3.3719999999999999</v>
      </c>
      <c r="R17" s="122">
        <v>13479</v>
      </c>
      <c r="S17" s="120"/>
      <c r="T17" s="122">
        <v>20328.043829999999</v>
      </c>
      <c r="U17" s="123">
        <v>1.75E-4</v>
      </c>
      <c r="V17" s="123">
        <v>6.2839999999999997E-3</v>
      </c>
      <c r="W17" s="123">
        <v>3.3799999999999998E-4</v>
      </c>
    </row>
    <row r="18" spans="1:23" ht="15" customHeight="1">
      <c r="A18" s="121">
        <v>313</v>
      </c>
      <c r="B18" s="121">
        <v>313</v>
      </c>
      <c r="C18" s="120" t="s">
        <v>1686</v>
      </c>
      <c r="D18" s="121" t="s">
        <v>1687</v>
      </c>
      <c r="E18" s="120" t="s">
        <v>313</v>
      </c>
      <c r="F18" s="120" t="s">
        <v>1688</v>
      </c>
      <c r="G18" s="121" t="s">
        <v>1689</v>
      </c>
      <c r="H18" s="120" t="s">
        <v>320</v>
      </c>
      <c r="I18" s="120" t="s">
        <v>966</v>
      </c>
      <c r="J18" s="120" t="s">
        <v>204</v>
      </c>
      <c r="K18" s="120" t="s">
        <v>302</v>
      </c>
      <c r="L18" s="120" t="s">
        <v>313</v>
      </c>
      <c r="M18" s="130" t="s">
        <v>734</v>
      </c>
      <c r="N18" s="120" t="s">
        <v>338</v>
      </c>
      <c r="O18" s="120" t="s">
        <v>1215</v>
      </c>
      <c r="P18" s="122">
        <v>14607</v>
      </c>
      <c r="Q18" s="122">
        <v>3.9552</v>
      </c>
      <c r="R18" s="122">
        <v>13245.5</v>
      </c>
      <c r="S18" s="120"/>
      <c r="T18" s="122">
        <v>7652.4030400000001</v>
      </c>
      <c r="U18" s="123">
        <v>1.0395E-2</v>
      </c>
      <c r="V18" s="123">
        <v>2.3649999999999999E-3</v>
      </c>
      <c r="W18" s="123">
        <v>1.27E-4</v>
      </c>
    </row>
    <row r="19" spans="1:23" ht="15" customHeight="1">
      <c r="A19" s="121">
        <v>313</v>
      </c>
      <c r="B19" s="121">
        <v>313</v>
      </c>
      <c r="C19" s="120" t="s">
        <v>1690</v>
      </c>
      <c r="D19" s="121" t="s">
        <v>1691</v>
      </c>
      <c r="E19" s="120" t="s">
        <v>312</v>
      </c>
      <c r="F19" s="120" t="s">
        <v>1692</v>
      </c>
      <c r="G19" s="121" t="s">
        <v>1693</v>
      </c>
      <c r="H19" s="120" t="s">
        <v>320</v>
      </c>
      <c r="I19" s="120" t="s">
        <v>313</v>
      </c>
      <c r="J19" s="120" t="s">
        <v>204</v>
      </c>
      <c r="K19" s="120" t="s">
        <v>295</v>
      </c>
      <c r="L19" s="120" t="s">
        <v>379</v>
      </c>
      <c r="M19" s="130" t="s">
        <v>677</v>
      </c>
      <c r="N19" s="120" t="s">
        <v>338</v>
      </c>
      <c r="O19" s="120" t="s">
        <v>1222</v>
      </c>
      <c r="P19" s="122">
        <v>11120</v>
      </c>
      <c r="Q19" s="122">
        <v>3.3719999999999999</v>
      </c>
      <c r="R19" s="122">
        <v>10036</v>
      </c>
      <c r="S19" s="120"/>
      <c r="T19" s="122">
        <v>3763.1627899999999</v>
      </c>
      <c r="U19" s="123">
        <v>4.4799999999999999E-4</v>
      </c>
      <c r="V19" s="123">
        <v>1.163E-3</v>
      </c>
      <c r="W19" s="123">
        <v>6.2000000000000003E-5</v>
      </c>
    </row>
    <row r="20" spans="1:23" ht="15" customHeight="1">
      <c r="A20" s="121">
        <v>313</v>
      </c>
      <c r="B20" s="121">
        <v>313</v>
      </c>
      <c r="C20" s="120" t="s">
        <v>1694</v>
      </c>
      <c r="D20" s="121" t="s">
        <v>1677</v>
      </c>
      <c r="E20" s="120" t="s">
        <v>312</v>
      </c>
      <c r="F20" s="120" t="s">
        <v>1695</v>
      </c>
      <c r="G20" s="121" t="s">
        <v>1696</v>
      </c>
      <c r="H20" s="120" t="s">
        <v>320</v>
      </c>
      <c r="I20" s="120" t="s">
        <v>313</v>
      </c>
      <c r="J20" s="120" t="s">
        <v>204</v>
      </c>
      <c r="K20" s="120" t="s">
        <v>223</v>
      </c>
      <c r="L20" s="120" t="s">
        <v>379</v>
      </c>
      <c r="M20" s="130" t="s">
        <v>677</v>
      </c>
      <c r="N20" s="120" t="s">
        <v>338</v>
      </c>
      <c r="O20" s="120" t="s">
        <v>1222</v>
      </c>
      <c r="P20" s="122">
        <v>149400</v>
      </c>
      <c r="Q20" s="122">
        <v>3.3719999999999999</v>
      </c>
      <c r="R20" s="122">
        <v>3180</v>
      </c>
      <c r="S20" s="120"/>
      <c r="T20" s="122">
        <v>16020.10224</v>
      </c>
      <c r="U20" s="123">
        <v>0.199572</v>
      </c>
      <c r="V20" s="123">
        <v>4.9529999999999999E-3</v>
      </c>
      <c r="W20" s="123">
        <v>2.6600000000000001E-4</v>
      </c>
    </row>
    <row r="21" spans="1:23" ht="15" customHeight="1">
      <c r="A21" s="121">
        <v>313</v>
      </c>
      <c r="B21" s="121">
        <v>313</v>
      </c>
      <c r="C21" s="120" t="s">
        <v>1697</v>
      </c>
      <c r="D21" s="121" t="s">
        <v>1698</v>
      </c>
      <c r="E21" s="120" t="s">
        <v>312</v>
      </c>
      <c r="F21" s="120" t="s">
        <v>1699</v>
      </c>
      <c r="G21" s="121" t="s">
        <v>1700</v>
      </c>
      <c r="H21" s="120" t="s">
        <v>320</v>
      </c>
      <c r="I21" s="120" t="s">
        <v>313</v>
      </c>
      <c r="J21" s="120" t="s">
        <v>204</v>
      </c>
      <c r="K21" s="120" t="s">
        <v>292</v>
      </c>
      <c r="L21" s="120" t="s">
        <v>395</v>
      </c>
      <c r="M21" s="130" t="s">
        <v>677</v>
      </c>
      <c r="N21" s="120" t="s">
        <v>338</v>
      </c>
      <c r="O21" s="120" t="s">
        <v>1222</v>
      </c>
      <c r="P21" s="122">
        <v>533040</v>
      </c>
      <c r="Q21" s="122">
        <v>3.3719999999999999</v>
      </c>
      <c r="R21" s="122">
        <v>1109.9000000000001</v>
      </c>
      <c r="S21" s="120"/>
      <c r="T21" s="122">
        <v>19949.463360000002</v>
      </c>
      <c r="U21" s="123">
        <v>3.5300000000000002E-4</v>
      </c>
      <c r="V21" s="123">
        <v>6.1669999999999997E-3</v>
      </c>
      <c r="W21" s="123">
        <v>3.3199999999999999E-4</v>
      </c>
    </row>
    <row r="22" spans="1:23" ht="15" customHeight="1">
      <c r="A22" s="121">
        <v>313</v>
      </c>
      <c r="B22" s="121">
        <v>313</v>
      </c>
      <c r="C22" s="120" t="s">
        <v>1701</v>
      </c>
      <c r="D22" s="121" t="s">
        <v>1702</v>
      </c>
      <c r="E22" s="120" t="s">
        <v>312</v>
      </c>
      <c r="F22" s="120" t="s">
        <v>1703</v>
      </c>
      <c r="G22" s="121" t="s">
        <v>1704</v>
      </c>
      <c r="H22" s="120" t="s">
        <v>320</v>
      </c>
      <c r="I22" s="120" t="s">
        <v>966</v>
      </c>
      <c r="J22" s="120" t="s">
        <v>204</v>
      </c>
      <c r="K22" s="120" t="s">
        <v>302</v>
      </c>
      <c r="L22" s="120" t="s">
        <v>343</v>
      </c>
      <c r="M22" s="130" t="s">
        <v>734</v>
      </c>
      <c r="N22" s="120" t="s">
        <v>338</v>
      </c>
      <c r="O22" s="120" t="s">
        <v>1215</v>
      </c>
      <c r="P22" s="122">
        <v>15089</v>
      </c>
      <c r="Q22" s="122">
        <v>3.9552</v>
      </c>
      <c r="R22" s="122">
        <v>36108.519999999997</v>
      </c>
      <c r="S22" s="120"/>
      <c r="T22" s="122">
        <v>21549.569299999999</v>
      </c>
      <c r="U22" s="123">
        <v>2.696E-3</v>
      </c>
      <c r="V22" s="123">
        <v>6.6620000000000004E-3</v>
      </c>
      <c r="W22" s="123">
        <v>3.5799999999999997E-4</v>
      </c>
    </row>
    <row r="23" spans="1:23" ht="15" customHeight="1">
      <c r="A23" s="121">
        <v>313</v>
      </c>
      <c r="B23" s="121">
        <v>313</v>
      </c>
      <c r="C23" s="120" t="s">
        <v>1705</v>
      </c>
      <c r="D23" s="121" t="s">
        <v>1706</v>
      </c>
      <c r="E23" s="120" t="s">
        <v>312</v>
      </c>
      <c r="F23" s="120" t="s">
        <v>1707</v>
      </c>
      <c r="G23" s="121" t="s">
        <v>1708</v>
      </c>
      <c r="H23" s="120" t="s">
        <v>320</v>
      </c>
      <c r="I23" s="120" t="s">
        <v>313</v>
      </c>
      <c r="J23" s="120" t="s">
        <v>204</v>
      </c>
      <c r="K23" s="120" t="s">
        <v>288</v>
      </c>
      <c r="L23" s="120" t="s">
        <v>379</v>
      </c>
      <c r="M23" s="130" t="s">
        <v>677</v>
      </c>
      <c r="N23" s="120" t="s">
        <v>338</v>
      </c>
      <c r="O23" s="120" t="s">
        <v>1222</v>
      </c>
      <c r="P23" s="122">
        <v>216760</v>
      </c>
      <c r="Q23" s="122">
        <v>3.3719999999999999</v>
      </c>
      <c r="R23" s="122">
        <v>775.1</v>
      </c>
      <c r="S23" s="120"/>
      <c r="T23" s="122">
        <v>5665.31999</v>
      </c>
      <c r="U23" s="123">
        <v>1.1218000000000001E-2</v>
      </c>
      <c r="V23" s="123">
        <v>1.751E-3</v>
      </c>
      <c r="W23" s="123">
        <v>9.3999999999999994E-5</v>
      </c>
    </row>
    <row r="24" spans="1:23" ht="15" customHeight="1">
      <c r="A24" s="121">
        <v>313</v>
      </c>
      <c r="B24" s="121">
        <v>313</v>
      </c>
      <c r="C24" s="120" t="s">
        <v>1690</v>
      </c>
      <c r="D24" s="121" t="s">
        <v>1691</v>
      </c>
      <c r="E24" s="120" t="s">
        <v>312</v>
      </c>
      <c r="F24" s="120" t="s">
        <v>1709</v>
      </c>
      <c r="G24" s="121" t="s">
        <v>1710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313</v>
      </c>
      <c r="M24" s="130" t="s">
        <v>734</v>
      </c>
      <c r="N24" s="120" t="s">
        <v>338</v>
      </c>
      <c r="O24" s="120" t="s">
        <v>1222</v>
      </c>
      <c r="P24" s="122">
        <v>3024717</v>
      </c>
      <c r="Q24" s="122">
        <v>3.3719999999999999</v>
      </c>
      <c r="R24" s="122">
        <v>1023.58</v>
      </c>
      <c r="S24" s="120"/>
      <c r="T24" s="122">
        <v>104398.46296</v>
      </c>
      <c r="U24" s="123">
        <v>3.3409999999999998E-3</v>
      </c>
      <c r="V24" s="123">
        <v>3.2277E-2</v>
      </c>
      <c r="W24" s="123">
        <v>1.738E-3</v>
      </c>
    </row>
    <row r="25" spans="1:23" ht="15" customHeight="1">
      <c r="A25" s="121">
        <v>313</v>
      </c>
      <c r="B25" s="121">
        <v>313</v>
      </c>
      <c r="C25" s="120" t="s">
        <v>1694</v>
      </c>
      <c r="D25" s="121" t="s">
        <v>1677</v>
      </c>
      <c r="E25" s="120" t="s">
        <v>312</v>
      </c>
      <c r="F25" s="120" t="s">
        <v>1711</v>
      </c>
      <c r="G25" s="121" t="s">
        <v>1712</v>
      </c>
      <c r="H25" s="120" t="s">
        <v>320</v>
      </c>
      <c r="I25" s="120" t="s">
        <v>966</v>
      </c>
      <c r="J25" s="120" t="s">
        <v>204</v>
      </c>
      <c r="K25" s="120" t="s">
        <v>292</v>
      </c>
      <c r="L25" s="120" t="s">
        <v>313</v>
      </c>
      <c r="M25" s="130" t="s">
        <v>734</v>
      </c>
      <c r="N25" s="120" t="s">
        <v>338</v>
      </c>
      <c r="O25" s="120" t="s">
        <v>1215</v>
      </c>
      <c r="P25" s="122">
        <v>93114</v>
      </c>
      <c r="Q25" s="122">
        <v>3.9552</v>
      </c>
      <c r="R25" s="122">
        <v>5051</v>
      </c>
      <c r="S25" s="120"/>
      <c r="T25" s="122">
        <v>18602.049729999999</v>
      </c>
      <c r="U25" s="123">
        <v>2.8410000000000002E-3</v>
      </c>
      <c r="V25" s="123">
        <v>5.751E-3</v>
      </c>
      <c r="W25" s="123">
        <v>3.0899999999999998E-4</v>
      </c>
    </row>
    <row r="26" spans="1:23" ht="15" customHeight="1">
      <c r="A26" s="121">
        <v>313</v>
      </c>
      <c r="B26" s="121">
        <v>313</v>
      </c>
      <c r="C26" s="120" t="s">
        <v>1690</v>
      </c>
      <c r="D26" s="121" t="s">
        <v>1691</v>
      </c>
      <c r="E26" s="120" t="s">
        <v>312</v>
      </c>
      <c r="F26" s="120" t="s">
        <v>1713</v>
      </c>
      <c r="G26" s="121" t="s">
        <v>1714</v>
      </c>
      <c r="H26" s="120" t="s">
        <v>320</v>
      </c>
      <c r="I26" s="120" t="s">
        <v>966</v>
      </c>
      <c r="J26" s="120" t="s">
        <v>204</v>
      </c>
      <c r="K26" s="120" t="s">
        <v>223</v>
      </c>
      <c r="L26" s="120" t="s">
        <v>313</v>
      </c>
      <c r="M26" s="130" t="s">
        <v>734</v>
      </c>
      <c r="N26" s="120" t="s">
        <v>338</v>
      </c>
      <c r="O26" s="120" t="s">
        <v>1222</v>
      </c>
      <c r="P26" s="122">
        <v>9171436</v>
      </c>
      <c r="Q26" s="122">
        <v>3.3719999999999999</v>
      </c>
      <c r="R26" s="122">
        <v>842.93</v>
      </c>
      <c r="S26" s="120"/>
      <c r="T26" s="122">
        <v>260685.22461999999</v>
      </c>
      <c r="U26" s="123">
        <v>5.0914000000000001E-2</v>
      </c>
      <c r="V26" s="123">
        <v>8.0597000000000002E-2</v>
      </c>
      <c r="W26" s="123">
        <v>4.3410000000000002E-3</v>
      </c>
    </row>
    <row r="27" spans="1:23" ht="15" customHeight="1">
      <c r="A27" s="121">
        <v>313</v>
      </c>
      <c r="B27" s="121">
        <v>313</v>
      </c>
      <c r="C27" s="120" t="s">
        <v>1690</v>
      </c>
      <c r="D27" s="121" t="s">
        <v>1691</v>
      </c>
      <c r="E27" s="120" t="s">
        <v>312</v>
      </c>
      <c r="F27" s="120" t="s">
        <v>1715</v>
      </c>
      <c r="G27" s="121" t="s">
        <v>1716</v>
      </c>
      <c r="H27" s="120" t="s">
        <v>320</v>
      </c>
      <c r="I27" s="120" t="s">
        <v>966</v>
      </c>
      <c r="J27" s="120" t="s">
        <v>204</v>
      </c>
      <c r="K27" s="120" t="s">
        <v>267</v>
      </c>
      <c r="L27" s="120" t="s">
        <v>343</v>
      </c>
      <c r="M27" s="130" t="s">
        <v>734</v>
      </c>
      <c r="N27" s="120" t="s">
        <v>338</v>
      </c>
      <c r="O27" s="120" t="s">
        <v>1222</v>
      </c>
      <c r="P27" s="122">
        <v>179974</v>
      </c>
      <c r="Q27" s="122">
        <v>3.3719999999999999</v>
      </c>
      <c r="R27" s="122">
        <v>3676</v>
      </c>
      <c r="S27" s="120"/>
      <c r="T27" s="122">
        <v>22308.626779999999</v>
      </c>
      <c r="U27" s="123">
        <v>1.0640000000000001E-3</v>
      </c>
      <c r="V27" s="123">
        <v>6.8970000000000004E-3</v>
      </c>
      <c r="W27" s="123">
        <v>3.7100000000000002E-4</v>
      </c>
    </row>
    <row r="28" spans="1:23" ht="15" customHeight="1">
      <c r="A28" s="121">
        <v>313</v>
      </c>
      <c r="B28" s="121">
        <v>313</v>
      </c>
      <c r="C28" s="120" t="s">
        <v>1676</v>
      </c>
      <c r="D28" s="121" t="s">
        <v>1677</v>
      </c>
      <c r="E28" s="120" t="s">
        <v>312</v>
      </c>
      <c r="F28" s="120" t="s">
        <v>1717</v>
      </c>
      <c r="G28" s="121" t="s">
        <v>1718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379</v>
      </c>
      <c r="M28" s="130" t="s">
        <v>734</v>
      </c>
      <c r="N28" s="120" t="s">
        <v>338</v>
      </c>
      <c r="O28" s="120" t="s">
        <v>1222</v>
      </c>
      <c r="P28" s="122">
        <v>40419</v>
      </c>
      <c r="Q28" s="122">
        <v>3.3719999999999999</v>
      </c>
      <c r="R28" s="122">
        <v>122758</v>
      </c>
      <c r="S28" s="120"/>
      <c r="T28" s="122">
        <v>167310.3989</v>
      </c>
      <c r="U28" s="123">
        <v>1.5640000000000001E-3</v>
      </c>
      <c r="V28" s="123">
        <v>5.1728000000000003E-2</v>
      </c>
      <c r="W28" s="123">
        <v>2.7859999999999998E-3</v>
      </c>
    </row>
    <row r="29" spans="1:23" ht="15" customHeight="1">
      <c r="A29" s="121">
        <v>313</v>
      </c>
      <c r="B29" s="121">
        <v>313</v>
      </c>
      <c r="C29" s="120" t="s">
        <v>1662</v>
      </c>
      <c r="D29" s="121" t="s">
        <v>1663</v>
      </c>
      <c r="E29" s="120" t="s">
        <v>312</v>
      </c>
      <c r="F29" s="120" t="s">
        <v>1719</v>
      </c>
      <c r="G29" s="121" t="s">
        <v>1720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1222</v>
      </c>
      <c r="P29" s="122">
        <v>127770</v>
      </c>
      <c r="Q29" s="122">
        <v>3.3719999999999999</v>
      </c>
      <c r="R29" s="122">
        <v>5237</v>
      </c>
      <c r="S29" s="120"/>
      <c r="T29" s="122">
        <v>22563.113840000002</v>
      </c>
      <c r="U29" s="123">
        <v>1.3300000000000001E-4</v>
      </c>
      <c r="V29" s="123">
        <v>6.9750000000000003E-3</v>
      </c>
      <c r="W29" s="123">
        <v>3.7500000000000001E-4</v>
      </c>
    </row>
    <row r="30" spans="1:23" ht="15" customHeight="1">
      <c r="A30" s="121">
        <v>313</v>
      </c>
      <c r="B30" s="121">
        <v>313</v>
      </c>
      <c r="C30" s="120" t="s">
        <v>1662</v>
      </c>
      <c r="D30" s="121" t="s">
        <v>1663</v>
      </c>
      <c r="E30" s="120" t="s">
        <v>312</v>
      </c>
      <c r="F30" s="120" t="s">
        <v>1721</v>
      </c>
      <c r="G30" s="121" t="s">
        <v>1722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1222</v>
      </c>
      <c r="P30" s="122">
        <v>12426</v>
      </c>
      <c r="Q30" s="122">
        <v>3.3719999999999999</v>
      </c>
      <c r="R30" s="122">
        <v>8166</v>
      </c>
      <c r="S30" s="120"/>
      <c r="T30" s="122">
        <v>3421.5925400000001</v>
      </c>
      <c r="U30" s="123">
        <v>5.3000000000000001E-5</v>
      </c>
      <c r="V30" s="123">
        <v>1.057E-3</v>
      </c>
      <c r="W30" s="123">
        <v>5.5999999999999999E-5</v>
      </c>
    </row>
    <row r="31" spans="1:23" ht="15" customHeight="1">
      <c r="A31" s="121">
        <v>313</v>
      </c>
      <c r="B31" s="121">
        <v>313</v>
      </c>
      <c r="C31" s="120" t="s">
        <v>1656</v>
      </c>
      <c r="D31" s="121" t="s">
        <v>1657</v>
      </c>
      <c r="E31" s="120" t="s">
        <v>312</v>
      </c>
      <c r="F31" s="120" t="s">
        <v>1723</v>
      </c>
      <c r="G31" s="121" t="s">
        <v>1724</v>
      </c>
      <c r="H31" s="120" t="s">
        <v>320</v>
      </c>
      <c r="I31" s="120" t="s">
        <v>966</v>
      </c>
      <c r="J31" s="120" t="s">
        <v>204</v>
      </c>
      <c r="K31" s="120" t="s">
        <v>250</v>
      </c>
      <c r="L31" s="120" t="s">
        <v>367</v>
      </c>
      <c r="M31" s="130" t="s">
        <v>734</v>
      </c>
      <c r="N31" s="120" t="s">
        <v>338</v>
      </c>
      <c r="O31" s="120" t="s">
        <v>1215</v>
      </c>
      <c r="P31" s="122">
        <v>219270</v>
      </c>
      <c r="Q31" s="122">
        <v>3.9552</v>
      </c>
      <c r="R31" s="122">
        <v>2459</v>
      </c>
      <c r="S31" s="120"/>
      <c r="T31" s="122">
        <v>21325.842349999999</v>
      </c>
      <c r="U31" s="123">
        <v>4.156E-3</v>
      </c>
      <c r="V31" s="123">
        <v>6.5929999999999999E-3</v>
      </c>
      <c r="W31" s="123">
        <v>3.5500000000000001E-4</v>
      </c>
    </row>
    <row r="32" spans="1:23" ht="15" customHeight="1">
      <c r="A32" s="121">
        <v>313</v>
      </c>
      <c r="B32" s="121">
        <v>313</v>
      </c>
      <c r="C32" s="120" t="s">
        <v>1701</v>
      </c>
      <c r="D32" s="121" t="s">
        <v>1702</v>
      </c>
      <c r="E32" s="120" t="s">
        <v>312</v>
      </c>
      <c r="F32" s="120" t="s">
        <v>1725</v>
      </c>
      <c r="G32" s="121" t="s">
        <v>1726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379</v>
      </c>
      <c r="M32" s="130" t="s">
        <v>734</v>
      </c>
      <c r="N32" s="120" t="s">
        <v>338</v>
      </c>
      <c r="O32" s="120" t="s">
        <v>1222</v>
      </c>
      <c r="P32" s="122">
        <v>203318</v>
      </c>
      <c r="Q32" s="122">
        <v>3.3719999999999999</v>
      </c>
      <c r="R32" s="122">
        <v>44471</v>
      </c>
      <c r="S32" s="120"/>
      <c r="T32" s="122">
        <v>304887.97110999998</v>
      </c>
      <c r="U32" s="123">
        <v>7.8150000000000008E-3</v>
      </c>
      <c r="V32" s="123">
        <v>9.4263E-2</v>
      </c>
      <c r="W32" s="123">
        <v>5.0769999999999999E-3</v>
      </c>
    </row>
    <row r="33" spans="1:23" ht="15" customHeight="1">
      <c r="A33" s="121">
        <v>313</v>
      </c>
      <c r="B33" s="121">
        <v>313</v>
      </c>
      <c r="C33" s="120" t="s">
        <v>1727</v>
      </c>
      <c r="D33" s="121" t="s">
        <v>1728</v>
      </c>
      <c r="E33" s="120" t="s">
        <v>312</v>
      </c>
      <c r="F33" s="120" t="s">
        <v>1729</v>
      </c>
      <c r="G33" s="121" t="s">
        <v>1730</v>
      </c>
      <c r="H33" s="120" t="s">
        <v>320</v>
      </c>
      <c r="I33" s="120" t="s">
        <v>966</v>
      </c>
      <c r="J33" s="120" t="s">
        <v>204</v>
      </c>
      <c r="K33" s="120" t="s">
        <v>223</v>
      </c>
      <c r="L33" s="120" t="s">
        <v>379</v>
      </c>
      <c r="M33" s="130" t="s">
        <v>734</v>
      </c>
      <c r="N33" s="120" t="s">
        <v>338</v>
      </c>
      <c r="O33" s="120" t="s">
        <v>1222</v>
      </c>
      <c r="P33" s="122">
        <v>1066209</v>
      </c>
      <c r="Q33" s="122">
        <v>3.3719999999999999</v>
      </c>
      <c r="R33" s="122">
        <v>2485.44</v>
      </c>
      <c r="S33" s="120"/>
      <c r="T33" s="122">
        <v>89357.94932</v>
      </c>
      <c r="U33" s="123">
        <v>8.4370000000000001E-3</v>
      </c>
      <c r="V33" s="123">
        <v>2.7626999999999999E-2</v>
      </c>
      <c r="W33" s="123">
        <v>1.488E-3</v>
      </c>
    </row>
    <row r="34" spans="1:23" ht="15" customHeight="1">
      <c r="A34" s="121">
        <v>313</v>
      </c>
      <c r="B34" s="121">
        <v>313</v>
      </c>
      <c r="C34" s="120" t="s">
        <v>1731</v>
      </c>
      <c r="D34" s="121" t="s">
        <v>1732</v>
      </c>
      <c r="E34" s="120" t="s">
        <v>312</v>
      </c>
      <c r="F34" s="120" t="s">
        <v>1733</v>
      </c>
      <c r="G34" s="121" t="s">
        <v>1734</v>
      </c>
      <c r="H34" s="120" t="s">
        <v>320</v>
      </c>
      <c r="I34" s="120" t="s">
        <v>966</v>
      </c>
      <c r="J34" s="120" t="s">
        <v>204</v>
      </c>
      <c r="K34" s="120" t="s">
        <v>295</v>
      </c>
      <c r="L34" s="120" t="s">
        <v>313</v>
      </c>
      <c r="M34" s="130" t="s">
        <v>734</v>
      </c>
      <c r="N34" s="120" t="s">
        <v>338</v>
      </c>
      <c r="O34" s="120" t="s">
        <v>1222</v>
      </c>
      <c r="P34" s="122">
        <v>25281</v>
      </c>
      <c r="Q34" s="122">
        <v>3.3719999999999999</v>
      </c>
      <c r="R34" s="122">
        <v>13902</v>
      </c>
      <c r="S34" s="120"/>
      <c r="T34" s="122">
        <v>11851.1119</v>
      </c>
      <c r="U34" s="123">
        <v>1.3619999999999999E-3</v>
      </c>
      <c r="V34" s="123">
        <v>3.6640000000000002E-3</v>
      </c>
      <c r="W34" s="123">
        <v>1.9699999999999999E-4</v>
      </c>
    </row>
    <row r="35" spans="1:23" ht="15" customHeight="1">
      <c r="A35" s="121">
        <v>313</v>
      </c>
      <c r="B35" s="121">
        <v>313</v>
      </c>
      <c r="C35" s="120" t="s">
        <v>1694</v>
      </c>
      <c r="D35" s="121" t="s">
        <v>1677</v>
      </c>
      <c r="E35" s="120" t="s">
        <v>312</v>
      </c>
      <c r="F35" s="120" t="s">
        <v>1735</v>
      </c>
      <c r="G35" s="121" t="s">
        <v>1736</v>
      </c>
      <c r="H35" s="120" t="s">
        <v>320</v>
      </c>
      <c r="I35" s="120" t="s">
        <v>966</v>
      </c>
      <c r="J35" s="120" t="s">
        <v>204</v>
      </c>
      <c r="K35" s="120" t="s">
        <v>223</v>
      </c>
      <c r="L35" s="120" t="s">
        <v>343</v>
      </c>
      <c r="M35" s="130" t="s">
        <v>734</v>
      </c>
      <c r="N35" s="120" t="s">
        <v>338</v>
      </c>
      <c r="O35" s="120" t="s">
        <v>1222</v>
      </c>
      <c r="P35" s="122">
        <v>14439</v>
      </c>
      <c r="Q35" s="122">
        <v>3.3719999999999999</v>
      </c>
      <c r="R35" s="122">
        <v>14169</v>
      </c>
      <c r="S35" s="120"/>
      <c r="T35" s="122">
        <v>6898.6463599999997</v>
      </c>
      <c r="U35" s="123">
        <v>3.57E-4</v>
      </c>
      <c r="V35" s="123">
        <v>2.1320000000000002E-3</v>
      </c>
      <c r="W35" s="123">
        <v>1.1400000000000001E-4</v>
      </c>
    </row>
    <row r="36" spans="1:23" ht="15" customHeight="1">
      <c r="A36" s="121">
        <v>313</v>
      </c>
      <c r="B36" s="121">
        <v>313</v>
      </c>
      <c r="C36" s="120" t="s">
        <v>1737</v>
      </c>
      <c r="D36" s="121" t="s">
        <v>1738</v>
      </c>
      <c r="E36" s="120" t="s">
        <v>312</v>
      </c>
      <c r="F36" s="120" t="s">
        <v>1739</v>
      </c>
      <c r="G36" s="121" t="s">
        <v>1740</v>
      </c>
      <c r="H36" s="120" t="s">
        <v>320</v>
      </c>
      <c r="I36" s="120" t="s">
        <v>966</v>
      </c>
      <c r="J36" s="120" t="s">
        <v>204</v>
      </c>
      <c r="K36" s="120" t="s">
        <v>281</v>
      </c>
      <c r="L36" s="120" t="s">
        <v>401</v>
      </c>
      <c r="M36" s="130" t="s">
        <v>734</v>
      </c>
      <c r="N36" s="120" t="s">
        <v>338</v>
      </c>
      <c r="O36" s="120" t="s">
        <v>1212</v>
      </c>
      <c r="P36" s="122">
        <v>448765</v>
      </c>
      <c r="Q36" s="122">
        <v>2.4674</v>
      </c>
      <c r="R36" s="122">
        <v>7056</v>
      </c>
      <c r="S36" s="120"/>
      <c r="T36" s="122">
        <v>78129.871620000005</v>
      </c>
      <c r="U36" s="123">
        <v>7.5440000000000004E-3</v>
      </c>
      <c r="V36" s="123">
        <v>2.4154999999999999E-2</v>
      </c>
      <c r="W36" s="123">
        <v>1.3010000000000001E-3</v>
      </c>
    </row>
    <row r="37" spans="1:23" ht="15" customHeight="1">
      <c r="A37" s="121">
        <v>313</v>
      </c>
      <c r="B37" s="121">
        <v>313</v>
      </c>
      <c r="C37" s="120" t="s">
        <v>1656</v>
      </c>
      <c r="D37" s="121" t="s">
        <v>1657</v>
      </c>
      <c r="E37" s="120" t="s">
        <v>312</v>
      </c>
      <c r="F37" s="120" t="s">
        <v>1741</v>
      </c>
      <c r="G37" s="121" t="s">
        <v>1742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379</v>
      </c>
      <c r="M37" s="130" t="s">
        <v>734</v>
      </c>
      <c r="N37" s="120" t="s">
        <v>338</v>
      </c>
      <c r="O37" s="120" t="s">
        <v>1222</v>
      </c>
      <c r="P37" s="122">
        <v>360725</v>
      </c>
      <c r="Q37" s="122">
        <v>3.3719999999999999</v>
      </c>
      <c r="R37" s="122">
        <v>12361</v>
      </c>
      <c r="S37" s="120"/>
      <c r="T37" s="122">
        <v>150354.84057</v>
      </c>
      <c r="U37" s="123">
        <v>1.0399E-2</v>
      </c>
      <c r="V37" s="123">
        <v>4.6484999999999999E-2</v>
      </c>
      <c r="W37" s="123">
        <v>2.503E-3</v>
      </c>
    </row>
    <row r="38" spans="1:23" ht="15" customHeight="1">
      <c r="A38" s="121">
        <v>313</v>
      </c>
      <c r="B38" s="121">
        <v>313</v>
      </c>
      <c r="C38" s="120" t="s">
        <v>1701</v>
      </c>
      <c r="D38" s="121" t="s">
        <v>1702</v>
      </c>
      <c r="E38" s="120" t="s">
        <v>312</v>
      </c>
      <c r="F38" s="120" t="s">
        <v>1743</v>
      </c>
      <c r="G38" s="121" t="s">
        <v>1744</v>
      </c>
      <c r="H38" s="120" t="s">
        <v>320</v>
      </c>
      <c r="I38" s="120" t="s">
        <v>966</v>
      </c>
      <c r="J38" s="120" t="s">
        <v>204</v>
      </c>
      <c r="K38" s="120" t="s">
        <v>295</v>
      </c>
      <c r="L38" s="120" t="s">
        <v>379</v>
      </c>
      <c r="M38" s="130" t="s">
        <v>734</v>
      </c>
      <c r="N38" s="120" t="s">
        <v>338</v>
      </c>
      <c r="O38" s="120" t="s">
        <v>1222</v>
      </c>
      <c r="P38" s="122">
        <v>1807361</v>
      </c>
      <c r="Q38" s="122">
        <v>3.3719999999999999</v>
      </c>
      <c r="R38" s="122">
        <v>5416</v>
      </c>
      <c r="S38" s="120"/>
      <c r="T38" s="122">
        <v>330073.85716999997</v>
      </c>
      <c r="U38" s="123">
        <v>3.0276000000000001E-2</v>
      </c>
      <c r="V38" s="123">
        <v>0.10205</v>
      </c>
      <c r="W38" s="123">
        <v>5.496E-3</v>
      </c>
    </row>
    <row r="39" spans="1:23" ht="15" customHeight="1">
      <c r="A39" s="121">
        <v>313</v>
      </c>
      <c r="B39" s="121">
        <v>313</v>
      </c>
      <c r="C39" s="120" t="s">
        <v>1680</v>
      </c>
      <c r="D39" s="121" t="s">
        <v>1681</v>
      </c>
      <c r="E39" s="120" t="s">
        <v>312</v>
      </c>
      <c r="F39" s="120" t="s">
        <v>1745</v>
      </c>
      <c r="G39" s="121" t="s">
        <v>1746</v>
      </c>
      <c r="H39" s="120" t="s">
        <v>320</v>
      </c>
      <c r="I39" s="120" t="s">
        <v>966</v>
      </c>
      <c r="J39" s="120" t="s">
        <v>204</v>
      </c>
      <c r="K39" s="120" t="s">
        <v>250</v>
      </c>
      <c r="L39" s="120" t="s">
        <v>399</v>
      </c>
      <c r="M39" s="130" t="s">
        <v>734</v>
      </c>
      <c r="N39" s="120" t="s">
        <v>338</v>
      </c>
      <c r="O39" s="120" t="s">
        <v>1224</v>
      </c>
      <c r="P39" s="122">
        <v>232215</v>
      </c>
      <c r="Q39" s="122">
        <v>2.3369000000000001E-2</v>
      </c>
      <c r="R39" s="122">
        <v>303000</v>
      </c>
      <c r="S39" s="120"/>
      <c r="T39" s="122">
        <v>16442.69598</v>
      </c>
      <c r="U39" s="123">
        <v>2.8E-5</v>
      </c>
      <c r="V39" s="123">
        <v>5.0829999999999998E-3</v>
      </c>
      <c r="W39" s="123">
        <v>2.7300000000000002E-4</v>
      </c>
    </row>
    <row r="40" spans="1:23" ht="15" customHeight="1">
      <c r="A40" s="121">
        <v>313</v>
      </c>
      <c r="B40" s="121">
        <v>313</v>
      </c>
      <c r="C40" s="120" t="s">
        <v>1656</v>
      </c>
      <c r="D40" s="121" t="s">
        <v>1657</v>
      </c>
      <c r="E40" s="120" t="s">
        <v>312</v>
      </c>
      <c r="F40" s="120" t="s">
        <v>1747</v>
      </c>
      <c r="G40" s="121" t="s">
        <v>1748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379</v>
      </c>
      <c r="M40" s="130" t="s">
        <v>734</v>
      </c>
      <c r="N40" s="120" t="s">
        <v>338</v>
      </c>
      <c r="O40" s="120" t="s">
        <v>1222</v>
      </c>
      <c r="P40" s="122">
        <v>337086</v>
      </c>
      <c r="Q40" s="122">
        <v>3.3719999999999999</v>
      </c>
      <c r="R40" s="122">
        <v>18421</v>
      </c>
      <c r="S40" s="120"/>
      <c r="T40" s="122">
        <v>209383.03187000001</v>
      </c>
      <c r="U40" s="123">
        <v>1.4532E-2</v>
      </c>
      <c r="V40" s="123">
        <v>6.4735000000000001E-2</v>
      </c>
      <c r="W40" s="123">
        <v>3.4870000000000001E-3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0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1749</v>
      </c>
      <c r="D2" s="121" t="s">
        <v>1681</v>
      </c>
      <c r="E2" s="120" t="s">
        <v>312</v>
      </c>
      <c r="F2" s="120" t="s">
        <v>1750</v>
      </c>
      <c r="G2" s="121" t="s">
        <v>1751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1222</v>
      </c>
      <c r="Q2" s="122">
        <v>35390</v>
      </c>
      <c r="R2" s="122">
        <v>3.3719999999999999</v>
      </c>
      <c r="S2" s="122">
        <v>41914.19</v>
      </c>
      <c r="T2" s="122">
        <v>50018.332170000001</v>
      </c>
      <c r="U2" s="123">
        <v>1.351E-3</v>
      </c>
      <c r="V2" s="123">
        <v>8.8887999999999995E-2</v>
      </c>
      <c r="W2" s="123">
        <v>8.3199999999999995E-4</v>
      </c>
    </row>
    <row r="3" spans="1:26" ht="15" customHeight="1">
      <c r="A3" s="121">
        <v>313</v>
      </c>
      <c r="B3" s="121">
        <v>313</v>
      </c>
      <c r="C3" s="120" t="s">
        <v>1752</v>
      </c>
      <c r="D3" s="121" t="s">
        <v>1753</v>
      </c>
      <c r="E3" s="120" t="s">
        <v>312</v>
      </c>
      <c r="F3" s="120" t="s">
        <v>1754</v>
      </c>
      <c r="G3" s="121" t="s">
        <v>1755</v>
      </c>
      <c r="H3" s="120" t="s">
        <v>320</v>
      </c>
      <c r="I3" s="120" t="s">
        <v>918</v>
      </c>
      <c r="J3" s="120" t="s">
        <v>204</v>
      </c>
      <c r="K3" s="120" t="s">
        <v>295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1222</v>
      </c>
      <c r="Q3" s="122">
        <v>31088</v>
      </c>
      <c r="R3" s="122">
        <v>3.3719999999999999</v>
      </c>
      <c r="S3" s="122">
        <v>27787</v>
      </c>
      <c r="T3" s="122">
        <v>29128.760869999998</v>
      </c>
      <c r="U3" s="123">
        <v>0</v>
      </c>
      <c r="V3" s="123">
        <v>5.1764999999999999E-2</v>
      </c>
      <c r="W3" s="123">
        <v>4.8500000000000003E-4</v>
      </c>
    </row>
    <row r="4" spans="1:26" ht="15" customHeight="1">
      <c r="A4" s="121">
        <v>313</v>
      </c>
      <c r="B4" s="121">
        <v>313</v>
      </c>
      <c r="C4" s="120" t="s">
        <v>1756</v>
      </c>
      <c r="D4" s="121" t="s">
        <v>1757</v>
      </c>
      <c r="E4" s="120" t="s">
        <v>312</v>
      </c>
      <c r="F4" s="120" t="s">
        <v>1758</v>
      </c>
      <c r="G4" s="121" t="s">
        <v>1759</v>
      </c>
      <c r="H4" s="120" t="s">
        <v>320</v>
      </c>
      <c r="I4" s="120" t="s">
        <v>918</v>
      </c>
      <c r="J4" s="120" t="s">
        <v>204</v>
      </c>
      <c r="K4" s="120" t="s">
        <v>250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1224</v>
      </c>
      <c r="Q4" s="122">
        <v>36242</v>
      </c>
      <c r="R4" s="122">
        <v>2.3369000000000001E-2</v>
      </c>
      <c r="S4" s="122">
        <v>2010600</v>
      </c>
      <c r="T4" s="122">
        <v>17028.561529999999</v>
      </c>
      <c r="U4" s="123">
        <v>7.535E-3</v>
      </c>
      <c r="V4" s="123">
        <v>3.0261E-2</v>
      </c>
      <c r="W4" s="123">
        <v>2.8299999999999999E-4</v>
      </c>
    </row>
    <row r="5" spans="1:26" ht="15" customHeight="1">
      <c r="A5" s="121">
        <v>313</v>
      </c>
      <c r="B5" s="121">
        <v>313</v>
      </c>
      <c r="C5" s="120" t="s">
        <v>1760</v>
      </c>
      <c r="D5" s="121" t="s">
        <v>1761</v>
      </c>
      <c r="E5" s="120" t="s">
        <v>312</v>
      </c>
      <c r="F5" s="120" t="s">
        <v>1762</v>
      </c>
      <c r="G5" s="121" t="s">
        <v>1763</v>
      </c>
      <c r="H5" s="120" t="s">
        <v>320</v>
      </c>
      <c r="I5" s="120" t="s">
        <v>918</v>
      </c>
      <c r="J5" s="120" t="s">
        <v>204</v>
      </c>
      <c r="K5" s="120" t="s">
        <v>250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1224</v>
      </c>
      <c r="Q5" s="122">
        <v>41451</v>
      </c>
      <c r="R5" s="122">
        <v>2.3369000000000001E-2</v>
      </c>
      <c r="S5" s="122">
        <v>1453342.78</v>
      </c>
      <c r="T5" s="122">
        <v>14078.072529999999</v>
      </c>
      <c r="U5" s="123">
        <v>4.1306000000000002E-2</v>
      </c>
      <c r="V5" s="123">
        <v>2.5017999999999999E-2</v>
      </c>
      <c r="W5" s="123">
        <v>2.34E-4</v>
      </c>
    </row>
    <row r="6" spans="1:26" ht="15" customHeight="1">
      <c r="A6" s="121">
        <v>313</v>
      </c>
      <c r="B6" s="121">
        <v>313</v>
      </c>
      <c r="C6" s="120" t="s">
        <v>1764</v>
      </c>
      <c r="D6" s="121" t="s">
        <v>1765</v>
      </c>
      <c r="E6" s="120" t="s">
        <v>312</v>
      </c>
      <c r="F6" s="120" t="s">
        <v>1766</v>
      </c>
      <c r="G6" s="121" t="s">
        <v>1767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1222</v>
      </c>
      <c r="Q6" s="122">
        <v>2383533</v>
      </c>
      <c r="R6" s="122">
        <v>3.3719999999999999</v>
      </c>
      <c r="S6" s="122">
        <v>164.88</v>
      </c>
      <c r="T6" s="122">
        <v>13251.856180000001</v>
      </c>
      <c r="U6" s="123">
        <v>3.9482000000000003E-2</v>
      </c>
      <c r="V6" s="123">
        <v>2.3550000000000001E-2</v>
      </c>
      <c r="W6" s="123">
        <v>2.2000000000000001E-4</v>
      </c>
    </row>
    <row r="7" spans="1:26" ht="15" customHeight="1">
      <c r="A7" s="121">
        <v>313</v>
      </c>
      <c r="B7" s="121">
        <v>313</v>
      </c>
      <c r="C7" s="120" t="s">
        <v>1768</v>
      </c>
      <c r="D7" s="121" t="s">
        <v>1769</v>
      </c>
      <c r="E7" s="120" t="s">
        <v>312</v>
      </c>
      <c r="F7" s="120" t="s">
        <v>1770</v>
      </c>
      <c r="G7" s="121" t="s">
        <v>1771</v>
      </c>
      <c r="H7" s="120" t="s">
        <v>320</v>
      </c>
      <c r="I7" s="120" t="s">
        <v>918</v>
      </c>
      <c r="J7" s="120" t="s">
        <v>204</v>
      </c>
      <c r="K7" s="120" t="s">
        <v>295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1222</v>
      </c>
      <c r="Q7" s="122">
        <v>29958</v>
      </c>
      <c r="R7" s="122">
        <v>3.3719999999999999</v>
      </c>
      <c r="S7" s="122">
        <v>12994</v>
      </c>
      <c r="T7" s="122">
        <v>13126.32778</v>
      </c>
      <c r="U7" s="123">
        <v>3.8330000000000003E-2</v>
      </c>
      <c r="V7" s="123">
        <v>2.3327000000000001E-2</v>
      </c>
      <c r="W7" s="123">
        <v>2.1800000000000001E-4</v>
      </c>
    </row>
    <row r="8" spans="1:26" ht="15" customHeight="1">
      <c r="A8" s="121">
        <v>313</v>
      </c>
      <c r="B8" s="121">
        <v>313</v>
      </c>
      <c r="C8" s="120" t="s">
        <v>1772</v>
      </c>
      <c r="D8" s="121" t="s">
        <v>1773</v>
      </c>
      <c r="E8" s="120" t="s">
        <v>312</v>
      </c>
      <c r="F8" s="120" t="s">
        <v>1774</v>
      </c>
      <c r="G8" s="121" t="s">
        <v>1775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373</v>
      </c>
      <c r="N8" s="130" t="s">
        <v>677</v>
      </c>
      <c r="O8" s="120" t="s">
        <v>338</v>
      </c>
      <c r="P8" s="120" t="s">
        <v>1222</v>
      </c>
      <c r="Q8" s="122">
        <v>29494.78</v>
      </c>
      <c r="R8" s="122">
        <v>3.3719999999999999</v>
      </c>
      <c r="S8" s="122">
        <v>12289</v>
      </c>
      <c r="T8" s="122">
        <v>12222.19677</v>
      </c>
      <c r="U8" s="123">
        <v>3.6999999999999998E-5</v>
      </c>
      <c r="V8" s="123">
        <v>2.172E-2</v>
      </c>
      <c r="W8" s="123">
        <v>2.03E-4</v>
      </c>
    </row>
    <row r="9" spans="1:26" ht="15" customHeight="1">
      <c r="A9" s="121">
        <v>313</v>
      </c>
      <c r="B9" s="121">
        <v>313</v>
      </c>
      <c r="C9" s="120" t="s">
        <v>1701</v>
      </c>
      <c r="D9" s="121" t="s">
        <v>1702</v>
      </c>
      <c r="E9" s="120" t="s">
        <v>312</v>
      </c>
      <c r="F9" s="120" t="s">
        <v>1776</v>
      </c>
      <c r="G9" s="121" t="s">
        <v>1777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1222</v>
      </c>
      <c r="Q9" s="122">
        <v>3090</v>
      </c>
      <c r="R9" s="122">
        <v>3.3719999999999999</v>
      </c>
      <c r="S9" s="122">
        <v>144220</v>
      </c>
      <c r="T9" s="122">
        <v>15026.97406</v>
      </c>
      <c r="U9" s="123">
        <v>3.8640000000000001E-2</v>
      </c>
      <c r="V9" s="123">
        <v>2.6703999999999999E-2</v>
      </c>
      <c r="W9" s="123">
        <v>2.5000000000000001E-4</v>
      </c>
    </row>
    <row r="10" spans="1:26" ht="15" customHeight="1">
      <c r="A10" s="121">
        <v>313</v>
      </c>
      <c r="B10" s="121">
        <v>313</v>
      </c>
      <c r="C10" s="120" t="s">
        <v>1778</v>
      </c>
      <c r="D10" s="121" t="s">
        <v>1779</v>
      </c>
      <c r="E10" s="120" t="s">
        <v>312</v>
      </c>
      <c r="F10" s="120" t="s">
        <v>1780</v>
      </c>
      <c r="G10" s="121" t="s">
        <v>1781</v>
      </c>
      <c r="H10" s="120" t="s">
        <v>320</v>
      </c>
      <c r="I10" s="120" t="s">
        <v>918</v>
      </c>
      <c r="J10" s="120" t="s">
        <v>204</v>
      </c>
      <c r="K10" s="120" t="s">
        <v>250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1224</v>
      </c>
      <c r="Q10" s="122">
        <v>48657</v>
      </c>
      <c r="R10" s="122">
        <v>2.3369000000000001E-2</v>
      </c>
      <c r="S10" s="122">
        <v>2244699</v>
      </c>
      <c r="T10" s="122">
        <v>25523.696400000001</v>
      </c>
      <c r="U10" s="123">
        <v>6.472E-2</v>
      </c>
      <c r="V10" s="123">
        <v>4.5358000000000002E-2</v>
      </c>
      <c r="W10" s="123">
        <v>4.2499999999999998E-4</v>
      </c>
    </row>
    <row r="11" spans="1:26" ht="15" customHeight="1">
      <c r="A11" s="121">
        <v>313</v>
      </c>
      <c r="B11" s="121">
        <v>313</v>
      </c>
      <c r="C11" s="120" t="s">
        <v>1782</v>
      </c>
      <c r="D11" s="121" t="s">
        <v>1783</v>
      </c>
      <c r="E11" s="120" t="s">
        <v>312</v>
      </c>
      <c r="F11" s="120" t="s">
        <v>1784</v>
      </c>
      <c r="G11" s="121" t="s">
        <v>1785</v>
      </c>
      <c r="H11" s="120" t="s">
        <v>320</v>
      </c>
      <c r="I11" s="120" t="s">
        <v>970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677</v>
      </c>
      <c r="O11" s="120" t="s">
        <v>338</v>
      </c>
      <c r="P11" s="120" t="s">
        <v>1222</v>
      </c>
      <c r="Q11" s="122">
        <v>60590</v>
      </c>
      <c r="R11" s="122">
        <v>3.3719999999999999</v>
      </c>
      <c r="S11" s="122">
        <v>10704.66</v>
      </c>
      <c r="T11" s="122">
        <v>21870.635180000001</v>
      </c>
      <c r="U11" s="123">
        <v>2.5999999999999998E-5</v>
      </c>
      <c r="V11" s="123">
        <v>3.8865999999999998E-2</v>
      </c>
      <c r="W11" s="123">
        <v>3.6400000000000001E-4</v>
      </c>
    </row>
    <row r="12" spans="1:26" ht="15" customHeight="1">
      <c r="A12" s="121">
        <v>313</v>
      </c>
      <c r="B12" s="121">
        <v>313</v>
      </c>
      <c r="C12" s="120" t="s">
        <v>1786</v>
      </c>
      <c r="D12" s="121" t="s">
        <v>1787</v>
      </c>
      <c r="E12" s="120" t="s">
        <v>312</v>
      </c>
      <c r="F12" s="120" t="s">
        <v>1788</v>
      </c>
      <c r="G12" s="121" t="s">
        <v>1789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1225</v>
      </c>
      <c r="Q12" s="122">
        <v>5623076</v>
      </c>
      <c r="R12" s="122">
        <v>4.6235999999999997</v>
      </c>
      <c r="S12" s="122">
        <v>145.78</v>
      </c>
      <c r="T12" s="122">
        <v>37900.704299999998</v>
      </c>
      <c r="U12" s="123">
        <v>1.0865E-2</v>
      </c>
      <c r="V12" s="123">
        <v>6.7352999999999996E-2</v>
      </c>
      <c r="W12" s="123">
        <v>6.3100000000000005E-4</v>
      </c>
    </row>
    <row r="13" spans="1:26" ht="15" customHeight="1">
      <c r="A13" s="121">
        <v>313</v>
      </c>
      <c r="B13" s="121">
        <v>313</v>
      </c>
      <c r="C13" s="120" t="s">
        <v>1790</v>
      </c>
      <c r="D13" s="121" t="s">
        <v>1791</v>
      </c>
      <c r="E13" s="120" t="s">
        <v>312</v>
      </c>
      <c r="F13" s="120" t="s">
        <v>1792</v>
      </c>
      <c r="G13" s="121" t="s">
        <v>1793</v>
      </c>
      <c r="H13" s="120" t="s">
        <v>320</v>
      </c>
      <c r="I13" s="120" t="s">
        <v>918</v>
      </c>
      <c r="J13" s="120" t="s">
        <v>204</v>
      </c>
      <c r="K13" s="120" t="s">
        <v>303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1222</v>
      </c>
      <c r="Q13" s="122">
        <v>31040</v>
      </c>
      <c r="R13" s="122">
        <v>3.3719999999999999</v>
      </c>
      <c r="S13" s="122">
        <v>62135</v>
      </c>
      <c r="T13" s="122">
        <v>65034.765890000002</v>
      </c>
      <c r="U13" s="123">
        <v>2.9E-4</v>
      </c>
      <c r="V13" s="123">
        <v>0.115574</v>
      </c>
      <c r="W13" s="123">
        <v>1.083E-3</v>
      </c>
    </row>
    <row r="14" spans="1:26" ht="15" customHeight="1">
      <c r="A14" s="121">
        <v>313</v>
      </c>
      <c r="B14" s="121">
        <v>313</v>
      </c>
      <c r="C14" s="120" t="s">
        <v>1794</v>
      </c>
      <c r="D14" s="121" t="s">
        <v>1795</v>
      </c>
      <c r="E14" s="120" t="s">
        <v>312</v>
      </c>
      <c r="F14" s="120" t="s">
        <v>1796</v>
      </c>
      <c r="G14" s="121" t="s">
        <v>1797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1222</v>
      </c>
      <c r="Q14" s="122">
        <v>124935.28</v>
      </c>
      <c r="R14" s="122">
        <v>3.3719999999999999</v>
      </c>
      <c r="S14" s="122">
        <v>2925</v>
      </c>
      <c r="T14" s="122">
        <v>12322.491599999999</v>
      </c>
      <c r="U14" s="123">
        <v>2.3959999999999999E-2</v>
      </c>
      <c r="V14" s="123">
        <v>2.1898000000000001E-2</v>
      </c>
      <c r="W14" s="123">
        <v>2.05E-4</v>
      </c>
    </row>
    <row r="15" spans="1:26" ht="15" customHeight="1">
      <c r="A15" s="121">
        <v>313</v>
      </c>
      <c r="B15" s="121">
        <v>313</v>
      </c>
      <c r="C15" s="120" t="s">
        <v>1798</v>
      </c>
      <c r="D15" s="121" t="s">
        <v>1799</v>
      </c>
      <c r="E15" s="120" t="s">
        <v>312</v>
      </c>
      <c r="F15" s="120" t="s">
        <v>1800</v>
      </c>
      <c r="G15" s="121" t="s">
        <v>1801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677</v>
      </c>
      <c r="O15" s="120" t="s">
        <v>338</v>
      </c>
      <c r="P15" s="120" t="s">
        <v>1222</v>
      </c>
      <c r="Q15" s="122">
        <v>134390</v>
      </c>
      <c r="R15" s="122">
        <v>3.3719999999999999</v>
      </c>
      <c r="S15" s="122">
        <v>15062.3</v>
      </c>
      <c r="T15" s="122">
        <v>68256.782600000006</v>
      </c>
      <c r="U15" s="123">
        <v>4.0299999999999998E-4</v>
      </c>
      <c r="V15" s="123">
        <v>0.12130000000000001</v>
      </c>
      <c r="W15" s="123">
        <v>1.1360000000000001E-3</v>
      </c>
    </row>
    <row r="16" spans="1:26" ht="15" customHeight="1">
      <c r="A16" s="121">
        <v>313</v>
      </c>
      <c r="B16" s="121">
        <v>313</v>
      </c>
      <c r="C16" s="120" t="s">
        <v>1802</v>
      </c>
      <c r="D16" s="121" t="s">
        <v>1803</v>
      </c>
      <c r="E16" s="120" t="s">
        <v>312</v>
      </c>
      <c r="F16" s="120" t="s">
        <v>1804</v>
      </c>
      <c r="G16" s="121" t="s">
        <v>1805</v>
      </c>
      <c r="H16" s="120" t="s">
        <v>320</v>
      </c>
      <c r="I16" s="120" t="s">
        <v>970</v>
      </c>
      <c r="J16" s="120" t="s">
        <v>204</v>
      </c>
      <c r="K16" s="120" t="s">
        <v>295</v>
      </c>
      <c r="L16" s="120" t="s">
        <v>325</v>
      </c>
      <c r="M16" s="120" t="s">
        <v>313</v>
      </c>
      <c r="N16" s="130" t="s">
        <v>677</v>
      </c>
      <c r="O16" s="120" t="s">
        <v>338</v>
      </c>
      <c r="P16" s="120" t="s">
        <v>1222</v>
      </c>
      <c r="Q16" s="122">
        <v>1101397.31</v>
      </c>
      <c r="R16" s="122">
        <v>3.3719999999999999</v>
      </c>
      <c r="S16" s="122">
        <v>1618</v>
      </c>
      <c r="T16" s="122">
        <v>60091.091780000002</v>
      </c>
      <c r="U16" s="123">
        <v>0.20980699999999999</v>
      </c>
      <c r="V16" s="123">
        <v>0.10678799999999999</v>
      </c>
      <c r="W16" s="123">
        <v>1E-3</v>
      </c>
    </row>
    <row r="17" spans="1:23" ht="15" customHeight="1">
      <c r="A17" s="121">
        <v>313</v>
      </c>
      <c r="B17" s="121">
        <v>313</v>
      </c>
      <c r="C17" s="120" t="s">
        <v>1806</v>
      </c>
      <c r="D17" s="121" t="s">
        <v>1807</v>
      </c>
      <c r="E17" s="120" t="s">
        <v>312</v>
      </c>
      <c r="F17" s="120" t="s">
        <v>1808</v>
      </c>
      <c r="G17" s="121" t="s">
        <v>1809</v>
      </c>
      <c r="H17" s="120" t="s">
        <v>320</v>
      </c>
      <c r="I17" s="120" t="s">
        <v>918</v>
      </c>
      <c r="J17" s="120" t="s">
        <v>204</v>
      </c>
      <c r="K17" s="120" t="s">
        <v>250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1222</v>
      </c>
      <c r="Q17" s="122">
        <v>632810</v>
      </c>
      <c r="R17" s="122">
        <v>3.3719999999999999</v>
      </c>
      <c r="S17" s="122">
        <v>1489.18</v>
      </c>
      <c r="T17" s="122">
        <v>31776.648819999999</v>
      </c>
      <c r="U17" s="123">
        <v>2.5770999999999999E-2</v>
      </c>
      <c r="V17" s="123">
        <v>5.6469999999999999E-2</v>
      </c>
      <c r="W17" s="123">
        <v>5.2899999999999996E-4</v>
      </c>
    </row>
    <row r="18" spans="1:23" ht="15" customHeight="1">
      <c r="A18" s="121">
        <v>313</v>
      </c>
      <c r="B18" s="121">
        <v>313</v>
      </c>
      <c r="C18" s="120" t="s">
        <v>1810</v>
      </c>
      <c r="D18" s="121" t="s">
        <v>1811</v>
      </c>
      <c r="E18" s="120" t="s">
        <v>312</v>
      </c>
      <c r="F18" s="120" t="s">
        <v>1812</v>
      </c>
      <c r="G18" s="121" t="s">
        <v>1813</v>
      </c>
      <c r="H18" s="120" t="s">
        <v>320</v>
      </c>
      <c r="I18" s="120" t="s">
        <v>970</v>
      </c>
      <c r="J18" s="120" t="s">
        <v>204</v>
      </c>
      <c r="K18" s="120" t="s">
        <v>295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1222</v>
      </c>
      <c r="Q18" s="122">
        <v>284800</v>
      </c>
      <c r="R18" s="122">
        <v>3.3719999999999999</v>
      </c>
      <c r="S18" s="122">
        <v>1193.2</v>
      </c>
      <c r="T18" s="122">
        <v>11458.843699999999</v>
      </c>
      <c r="U18" s="123">
        <v>0.21378</v>
      </c>
      <c r="V18" s="123">
        <v>2.0362999999999999E-2</v>
      </c>
      <c r="W18" s="123">
        <v>1.9000000000000001E-4</v>
      </c>
    </row>
    <row r="19" spans="1:23" ht="15" customHeight="1">
      <c r="A19" s="121">
        <v>313</v>
      </c>
      <c r="B19" s="121">
        <v>313</v>
      </c>
      <c r="C19" s="120" t="s">
        <v>1814</v>
      </c>
      <c r="D19" s="121" t="s">
        <v>1815</v>
      </c>
      <c r="E19" s="120" t="s">
        <v>312</v>
      </c>
      <c r="F19" s="120" t="s">
        <v>1816</v>
      </c>
      <c r="G19" s="121" t="s">
        <v>1817</v>
      </c>
      <c r="H19" s="120" t="s">
        <v>320</v>
      </c>
      <c r="I19" s="120" t="s">
        <v>970</v>
      </c>
      <c r="J19" s="120" t="s">
        <v>204</v>
      </c>
      <c r="K19" s="120" t="s">
        <v>223</v>
      </c>
      <c r="L19" s="120" t="s">
        <v>324</v>
      </c>
      <c r="M19" s="120" t="s">
        <v>313</v>
      </c>
      <c r="N19" s="130" t="s">
        <v>677</v>
      </c>
      <c r="O19" s="120" t="s">
        <v>338</v>
      </c>
      <c r="P19" s="120" t="s">
        <v>1222</v>
      </c>
      <c r="Q19" s="122">
        <v>964127.53</v>
      </c>
      <c r="R19" s="122">
        <v>3.3719999999999999</v>
      </c>
      <c r="S19" s="122">
        <v>1409.78</v>
      </c>
      <c r="T19" s="122">
        <v>45832.483959999998</v>
      </c>
      <c r="U19" s="123">
        <v>1.1313E-2</v>
      </c>
      <c r="V19" s="123">
        <v>8.1448999999999994E-2</v>
      </c>
      <c r="W19" s="123">
        <v>7.6300000000000001E-4</v>
      </c>
    </row>
    <row r="20" spans="1:23" ht="15" customHeight="1">
      <c r="A20" s="121">
        <v>313</v>
      </c>
      <c r="B20" s="121">
        <v>313</v>
      </c>
      <c r="C20" s="120" t="s">
        <v>1810</v>
      </c>
      <c r="D20" s="121" t="s">
        <v>1811</v>
      </c>
      <c r="E20" s="120" t="s">
        <v>312</v>
      </c>
      <c r="F20" s="120" t="s">
        <v>1818</v>
      </c>
      <c r="G20" s="121" t="s">
        <v>1819</v>
      </c>
      <c r="H20" s="120" t="s">
        <v>320</v>
      </c>
      <c r="I20" s="120" t="s">
        <v>970</v>
      </c>
      <c r="J20" s="120" t="s">
        <v>204</v>
      </c>
      <c r="K20" s="120" t="s">
        <v>295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1222</v>
      </c>
      <c r="Q20" s="122">
        <v>307120</v>
      </c>
      <c r="R20" s="122">
        <v>3.3719999999999999</v>
      </c>
      <c r="S20" s="122">
        <v>1068</v>
      </c>
      <c r="T20" s="122">
        <v>11060.300279999999</v>
      </c>
      <c r="U20" s="123">
        <v>0.22953999999999999</v>
      </c>
      <c r="V20" s="123">
        <v>1.9654999999999999E-2</v>
      </c>
      <c r="W20" s="123">
        <v>1.84E-4</v>
      </c>
    </row>
    <row r="21" spans="1:23" ht="15" customHeight="1">
      <c r="A21" s="121">
        <v>313</v>
      </c>
      <c r="B21" s="121">
        <v>313</v>
      </c>
      <c r="C21" s="120" t="s">
        <v>1810</v>
      </c>
      <c r="D21" s="121" t="s">
        <v>1811</v>
      </c>
      <c r="E21" s="120" t="s">
        <v>312</v>
      </c>
      <c r="F21" s="120" t="s">
        <v>1820</v>
      </c>
      <c r="G21" s="121" t="s">
        <v>1821</v>
      </c>
      <c r="H21" s="120" t="s">
        <v>320</v>
      </c>
      <c r="I21" s="120" t="s">
        <v>970</v>
      </c>
      <c r="J21" s="120" t="s">
        <v>204</v>
      </c>
      <c r="K21" s="120" t="s">
        <v>295</v>
      </c>
      <c r="L21" s="120" t="s">
        <v>324</v>
      </c>
      <c r="M21" s="120" t="s">
        <v>313</v>
      </c>
      <c r="N21" s="130" t="s">
        <v>677</v>
      </c>
      <c r="O21" s="120" t="s">
        <v>338</v>
      </c>
      <c r="P21" s="120" t="s">
        <v>1222</v>
      </c>
      <c r="Q21" s="122">
        <v>136900</v>
      </c>
      <c r="R21" s="122">
        <v>3.3719999999999999</v>
      </c>
      <c r="S21" s="122">
        <v>1668</v>
      </c>
      <c r="T21" s="122">
        <v>7699.9350199999999</v>
      </c>
      <c r="U21" s="123">
        <v>6.1100000000000002E-2</v>
      </c>
      <c r="V21" s="123">
        <v>1.3683000000000001E-2</v>
      </c>
      <c r="W21" s="123">
        <v>1.2799999999999999E-4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Y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</row>
    <row r="2" spans="1:25" ht="15" customHeight="1">
      <c r="A2" s="121">
        <v>313</v>
      </c>
      <c r="B2" s="121">
        <v>313</v>
      </c>
      <c r="C2" s="120" t="s">
        <v>1488</v>
      </c>
      <c r="D2" s="121">
        <v>516537560</v>
      </c>
      <c r="E2" s="120" t="s">
        <v>308</v>
      </c>
      <c r="F2" s="120" t="s">
        <v>1822</v>
      </c>
      <c r="G2" s="121" t="s">
        <v>1823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1490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97750</v>
      </c>
      <c r="U2" s="122">
        <v>1</v>
      </c>
      <c r="V2" s="122">
        <v>347.1</v>
      </c>
      <c r="W2" s="122">
        <v>339.29025000000001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313</v>
      </c>
      <c r="B2" s="121">
        <v>313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984</v>
      </c>
      <c r="D2" s="120" t="s">
        <v>1824</v>
      </c>
      <c r="E2" s="121">
        <v>8288516</v>
      </c>
      <c r="F2" s="124">
        <v>42887</v>
      </c>
      <c r="G2" s="122">
        <v>6.05</v>
      </c>
      <c r="H2" s="120" t="s">
        <v>753</v>
      </c>
      <c r="I2" s="124">
        <v>48366</v>
      </c>
      <c r="J2" s="123">
        <v>4.8000000000000001E-2</v>
      </c>
      <c r="K2" s="123">
        <v>1.9599999999999999E-2</v>
      </c>
      <c r="L2" s="122">
        <v>127416000</v>
      </c>
      <c r="M2" s="122">
        <v>140.17789999999999</v>
      </c>
      <c r="N2" s="122">
        <v>178609.10185000001</v>
      </c>
      <c r="O2" s="122"/>
      <c r="P2" s="120"/>
      <c r="Q2" s="123">
        <v>1.0822E-2</v>
      </c>
      <c r="R2" s="123">
        <v>2.9740000000000001E-3</v>
      </c>
    </row>
    <row r="3" spans="1:26" ht="15" customHeight="1">
      <c r="A3" s="121">
        <v>313</v>
      </c>
      <c r="B3" s="121">
        <v>313</v>
      </c>
      <c r="C3" s="120" t="s">
        <v>984</v>
      </c>
      <c r="D3" s="120" t="s">
        <v>1825</v>
      </c>
      <c r="E3" s="121">
        <v>8288722</v>
      </c>
      <c r="F3" s="124">
        <v>43525</v>
      </c>
      <c r="G3" s="122">
        <v>7.27</v>
      </c>
      <c r="H3" s="120" t="s">
        <v>753</v>
      </c>
      <c r="I3" s="124">
        <v>49004</v>
      </c>
      <c r="J3" s="123">
        <v>4.8000000000000001E-2</v>
      </c>
      <c r="K3" s="123">
        <v>1.95E-2</v>
      </c>
      <c r="L3" s="122">
        <v>169331000</v>
      </c>
      <c r="M3" s="122">
        <v>145.61009999999999</v>
      </c>
      <c r="N3" s="122">
        <v>246563.05035999999</v>
      </c>
      <c r="O3" s="120"/>
      <c r="P3" s="120"/>
      <c r="Q3" s="123">
        <v>1.494E-2</v>
      </c>
      <c r="R3" s="123">
        <v>4.1060000000000003E-3</v>
      </c>
    </row>
    <row r="4" spans="1:26" ht="15" customHeight="1">
      <c r="A4" s="121">
        <v>313</v>
      </c>
      <c r="B4" s="121">
        <v>313</v>
      </c>
      <c r="C4" s="120" t="s">
        <v>984</v>
      </c>
      <c r="D4" s="120" t="s">
        <v>1826</v>
      </c>
      <c r="E4" s="121">
        <v>8288250</v>
      </c>
      <c r="F4" s="124">
        <v>42095</v>
      </c>
      <c r="G4" s="122">
        <v>4.3</v>
      </c>
      <c r="H4" s="120" t="s">
        <v>753</v>
      </c>
      <c r="I4" s="124">
        <v>47574</v>
      </c>
      <c r="J4" s="123">
        <v>4.8000000000000001E-2</v>
      </c>
      <c r="K4" s="123">
        <v>1.9900000000000001E-2</v>
      </c>
      <c r="L4" s="122">
        <v>478975000</v>
      </c>
      <c r="M4" s="122">
        <v>135.46619999999999</v>
      </c>
      <c r="N4" s="122">
        <v>648849.14254000003</v>
      </c>
      <c r="O4" s="120"/>
      <c r="P4" s="120"/>
      <c r="Q4" s="123">
        <v>3.9316999999999998E-2</v>
      </c>
      <c r="R4" s="123">
        <v>1.0805E-2</v>
      </c>
    </row>
    <row r="5" spans="1:26" ht="15" customHeight="1">
      <c r="A5" s="121">
        <v>313</v>
      </c>
      <c r="B5" s="121">
        <v>313</v>
      </c>
      <c r="C5" s="120" t="s">
        <v>984</v>
      </c>
      <c r="D5" s="120" t="s">
        <v>1827</v>
      </c>
      <c r="E5" s="121">
        <v>8288391</v>
      </c>
      <c r="F5" s="124">
        <v>42522</v>
      </c>
      <c r="G5" s="122">
        <v>5.27</v>
      </c>
      <c r="H5" s="120" t="s">
        <v>753</v>
      </c>
      <c r="I5" s="124">
        <v>48000</v>
      </c>
      <c r="J5" s="123">
        <v>4.8000000000000001E-2</v>
      </c>
      <c r="K5" s="123">
        <v>1.9699999999999999E-2</v>
      </c>
      <c r="L5" s="122">
        <v>145761000</v>
      </c>
      <c r="M5" s="122">
        <v>138.13300000000001</v>
      </c>
      <c r="N5" s="122">
        <v>201344.09646</v>
      </c>
      <c r="O5" s="120"/>
      <c r="P5" s="120"/>
      <c r="Q5" s="123">
        <v>1.2200000000000001E-2</v>
      </c>
      <c r="R5" s="123">
        <v>3.3530000000000001E-3</v>
      </c>
    </row>
    <row r="6" spans="1:26" ht="15" customHeight="1">
      <c r="A6" s="121">
        <v>313</v>
      </c>
      <c r="B6" s="121">
        <v>313</v>
      </c>
      <c r="C6" s="120" t="s">
        <v>984</v>
      </c>
      <c r="D6" s="120" t="s">
        <v>1828</v>
      </c>
      <c r="E6" s="121">
        <v>8288961</v>
      </c>
      <c r="F6" s="124">
        <v>44287</v>
      </c>
      <c r="G6" s="122">
        <v>8.75</v>
      </c>
      <c r="H6" s="120" t="s">
        <v>753</v>
      </c>
      <c r="I6" s="124">
        <v>49766</v>
      </c>
      <c r="J6" s="123">
        <v>4.8000000000000001E-2</v>
      </c>
      <c r="K6" s="123">
        <v>1.9400000000000001E-2</v>
      </c>
      <c r="L6" s="122">
        <v>89141000</v>
      </c>
      <c r="M6" s="122">
        <v>150.7518</v>
      </c>
      <c r="N6" s="122">
        <v>134381.64113</v>
      </c>
      <c r="O6" s="120"/>
      <c r="P6" s="120"/>
      <c r="Q6" s="123">
        <v>8.1419999999999999E-3</v>
      </c>
      <c r="R6" s="123">
        <v>2.2369999999999998E-3</v>
      </c>
    </row>
    <row r="7" spans="1:26" ht="15" customHeight="1">
      <c r="A7" s="121">
        <v>313</v>
      </c>
      <c r="B7" s="121">
        <v>313</v>
      </c>
      <c r="C7" s="120" t="s">
        <v>984</v>
      </c>
      <c r="D7" s="120" t="s">
        <v>1829</v>
      </c>
      <c r="E7" s="121">
        <v>8288672</v>
      </c>
      <c r="F7" s="124">
        <v>43375</v>
      </c>
      <c r="G7" s="122">
        <v>7.01</v>
      </c>
      <c r="H7" s="120" t="s">
        <v>753</v>
      </c>
      <c r="I7" s="124">
        <v>48856</v>
      </c>
      <c r="J7" s="123">
        <v>4.8000000000000001E-2</v>
      </c>
      <c r="K7" s="123">
        <v>1.95E-2</v>
      </c>
      <c r="L7" s="122">
        <v>74289000</v>
      </c>
      <c r="M7" s="122">
        <v>143.50219999999999</v>
      </c>
      <c r="N7" s="122">
        <v>106606.36545</v>
      </c>
      <c r="O7" s="120"/>
      <c r="P7" s="120"/>
      <c r="Q7" s="123">
        <v>6.4590000000000003E-3</v>
      </c>
      <c r="R7" s="123">
        <v>1.7750000000000001E-3</v>
      </c>
    </row>
    <row r="8" spans="1:26" ht="15" customHeight="1">
      <c r="A8" s="121">
        <v>313</v>
      </c>
      <c r="B8" s="121">
        <v>313</v>
      </c>
      <c r="C8" s="120" t="s">
        <v>984</v>
      </c>
      <c r="D8" s="120" t="s">
        <v>1830</v>
      </c>
      <c r="E8" s="121">
        <v>8288805</v>
      </c>
      <c r="F8" s="124">
        <v>43770</v>
      </c>
      <c r="G8" s="122">
        <v>7.8</v>
      </c>
      <c r="H8" s="120" t="s">
        <v>753</v>
      </c>
      <c r="I8" s="124">
        <v>49249</v>
      </c>
      <c r="J8" s="123">
        <v>4.8000000000000001E-2</v>
      </c>
      <c r="K8" s="123">
        <v>1.95E-2</v>
      </c>
      <c r="L8" s="122">
        <v>113780000</v>
      </c>
      <c r="M8" s="122">
        <v>145.54839999999999</v>
      </c>
      <c r="N8" s="122">
        <v>165605.02585999999</v>
      </c>
      <c r="O8" s="120"/>
      <c r="P8" s="120"/>
      <c r="Q8" s="123">
        <v>1.0034E-2</v>
      </c>
      <c r="R8" s="123">
        <v>2.7569999999999999E-3</v>
      </c>
    </row>
    <row r="9" spans="1:26" ht="15" customHeight="1">
      <c r="A9" s="121">
        <v>313</v>
      </c>
      <c r="B9" s="121">
        <v>313</v>
      </c>
      <c r="C9" s="120" t="s">
        <v>984</v>
      </c>
      <c r="D9" s="120" t="s">
        <v>1831</v>
      </c>
      <c r="E9" s="121">
        <v>8288078</v>
      </c>
      <c r="F9" s="124">
        <v>41548</v>
      </c>
      <c r="G9" s="122">
        <v>3.03</v>
      </c>
      <c r="H9" s="120" t="s">
        <v>753</v>
      </c>
      <c r="I9" s="124">
        <v>47027</v>
      </c>
      <c r="J9" s="123">
        <v>4.8000000000000001E-2</v>
      </c>
      <c r="K9" s="123">
        <v>2.0199999999999999E-2</v>
      </c>
      <c r="L9" s="122">
        <v>54292000</v>
      </c>
      <c r="M9" s="122">
        <v>128.37219999999999</v>
      </c>
      <c r="N9" s="122">
        <v>69695.85497</v>
      </c>
      <c r="O9" s="120"/>
      <c r="P9" s="120"/>
      <c r="Q9" s="123">
        <v>4.2230000000000002E-3</v>
      </c>
      <c r="R9" s="123">
        <v>1.16E-3</v>
      </c>
    </row>
    <row r="10" spans="1:26" ht="15" customHeight="1">
      <c r="A10" s="121">
        <v>313</v>
      </c>
      <c r="B10" s="121">
        <v>313</v>
      </c>
      <c r="C10" s="120" t="s">
        <v>984</v>
      </c>
      <c r="D10" s="120" t="s">
        <v>1832</v>
      </c>
      <c r="E10" s="121">
        <v>8288227</v>
      </c>
      <c r="F10" s="124">
        <v>42005</v>
      </c>
      <c r="G10" s="122">
        <v>4.05</v>
      </c>
      <c r="H10" s="120" t="s">
        <v>753</v>
      </c>
      <c r="I10" s="124">
        <v>47484</v>
      </c>
      <c r="J10" s="123">
        <v>4.8000000000000001E-2</v>
      </c>
      <c r="K10" s="123">
        <v>1.9900000000000001E-2</v>
      </c>
      <c r="L10" s="122">
        <v>173964000</v>
      </c>
      <c r="M10" s="122">
        <v>133.9332</v>
      </c>
      <c r="N10" s="122">
        <v>232995.54269999999</v>
      </c>
      <c r="O10" s="120"/>
      <c r="P10" s="120"/>
      <c r="Q10" s="123">
        <v>1.4118E-2</v>
      </c>
      <c r="R10" s="123">
        <v>3.8800000000000002E-3</v>
      </c>
    </row>
    <row r="11" spans="1:26" ht="15" customHeight="1">
      <c r="A11" s="121">
        <v>313</v>
      </c>
      <c r="B11" s="121">
        <v>313</v>
      </c>
      <c r="C11" s="120" t="s">
        <v>984</v>
      </c>
      <c r="D11" s="120" t="s">
        <v>1833</v>
      </c>
      <c r="E11" s="121">
        <v>8288730</v>
      </c>
      <c r="F11" s="124">
        <v>43556</v>
      </c>
      <c r="G11" s="122">
        <v>7.36</v>
      </c>
      <c r="H11" s="120" t="s">
        <v>753</v>
      </c>
      <c r="I11" s="124">
        <v>49035</v>
      </c>
      <c r="J11" s="123">
        <v>4.8000000000000001E-2</v>
      </c>
      <c r="K11" s="123">
        <v>1.95E-2</v>
      </c>
      <c r="L11" s="122">
        <v>125469000</v>
      </c>
      <c r="M11" s="122">
        <v>145.23490000000001</v>
      </c>
      <c r="N11" s="122">
        <v>182224.75109000001</v>
      </c>
      <c r="O11" s="120"/>
      <c r="P11" s="120"/>
      <c r="Q11" s="123">
        <v>1.1042E-2</v>
      </c>
      <c r="R11" s="123">
        <v>3.0339999999999998E-3</v>
      </c>
    </row>
    <row r="12" spans="1:26" ht="15" customHeight="1">
      <c r="A12" s="121">
        <v>313</v>
      </c>
      <c r="B12" s="121">
        <v>313</v>
      </c>
      <c r="C12" s="120" t="s">
        <v>984</v>
      </c>
      <c r="D12" s="120" t="s">
        <v>1834</v>
      </c>
      <c r="E12" s="121">
        <v>8288334</v>
      </c>
      <c r="F12" s="124">
        <v>42339</v>
      </c>
      <c r="G12" s="122">
        <v>4.87</v>
      </c>
      <c r="H12" s="120" t="s">
        <v>753</v>
      </c>
      <c r="I12" s="124">
        <v>47818</v>
      </c>
      <c r="J12" s="123">
        <v>4.8000000000000001E-2</v>
      </c>
      <c r="K12" s="123">
        <v>1.9800000000000002E-2</v>
      </c>
      <c r="L12" s="122">
        <v>249089000</v>
      </c>
      <c r="M12" s="122">
        <v>135.08269999999999</v>
      </c>
      <c r="N12" s="122">
        <v>336476.20598999999</v>
      </c>
      <c r="O12" s="120"/>
      <c r="P12" s="120"/>
      <c r="Q12" s="123">
        <v>2.0388E-2</v>
      </c>
      <c r="R12" s="123">
        <v>5.6030000000000003E-3</v>
      </c>
    </row>
    <row r="13" spans="1:26" ht="15" customHeight="1">
      <c r="A13" s="121">
        <v>313</v>
      </c>
      <c r="B13" s="121">
        <v>313</v>
      </c>
      <c r="C13" s="120" t="s">
        <v>984</v>
      </c>
      <c r="D13" s="120" t="s">
        <v>1835</v>
      </c>
      <c r="E13" s="121">
        <v>8288946</v>
      </c>
      <c r="F13" s="124">
        <v>44228</v>
      </c>
      <c r="G13" s="122">
        <v>8.59</v>
      </c>
      <c r="H13" s="120" t="s">
        <v>753</v>
      </c>
      <c r="I13" s="124">
        <v>49706</v>
      </c>
      <c r="J13" s="123">
        <v>4.8000000000000001E-2</v>
      </c>
      <c r="K13" s="123">
        <v>1.9400000000000001E-2</v>
      </c>
      <c r="L13" s="122">
        <v>103416000</v>
      </c>
      <c r="M13" s="122">
        <v>151.51050000000001</v>
      </c>
      <c r="N13" s="122">
        <v>156686.12052999999</v>
      </c>
      <c r="O13" s="120"/>
      <c r="P13" s="120"/>
      <c r="Q13" s="123">
        <v>9.4940000000000007E-3</v>
      </c>
      <c r="R13" s="123">
        <v>2.6090000000000002E-3</v>
      </c>
    </row>
    <row r="14" spans="1:26" ht="15" customHeight="1">
      <c r="A14" s="121">
        <v>313</v>
      </c>
      <c r="B14" s="121">
        <v>313</v>
      </c>
      <c r="C14" s="120" t="s">
        <v>984</v>
      </c>
      <c r="D14" s="120" t="s">
        <v>1836</v>
      </c>
      <c r="E14" s="121">
        <v>8288797</v>
      </c>
      <c r="F14" s="124">
        <v>43740</v>
      </c>
      <c r="G14" s="122">
        <v>7.72</v>
      </c>
      <c r="H14" s="120" t="s">
        <v>753</v>
      </c>
      <c r="I14" s="124">
        <v>49219</v>
      </c>
      <c r="J14" s="123">
        <v>4.8000000000000001E-2</v>
      </c>
      <c r="K14" s="123">
        <v>1.95E-2</v>
      </c>
      <c r="L14" s="122">
        <v>141669000</v>
      </c>
      <c r="M14" s="122">
        <v>145.49260000000001</v>
      </c>
      <c r="N14" s="122">
        <v>206117.97093000001</v>
      </c>
      <c r="O14" s="120"/>
      <c r="P14" s="120"/>
      <c r="Q14" s="123">
        <v>1.2489E-2</v>
      </c>
      <c r="R14" s="123">
        <v>3.4320000000000002E-3</v>
      </c>
    </row>
    <row r="15" spans="1:26" ht="15" customHeight="1">
      <c r="A15" s="121">
        <v>313</v>
      </c>
      <c r="B15" s="121">
        <v>313</v>
      </c>
      <c r="C15" s="120" t="s">
        <v>984</v>
      </c>
      <c r="D15" s="120" t="s">
        <v>1837</v>
      </c>
      <c r="E15" s="121">
        <v>8288102</v>
      </c>
      <c r="F15" s="124">
        <v>41640</v>
      </c>
      <c r="G15" s="122">
        <v>3.21</v>
      </c>
      <c r="H15" s="120" t="s">
        <v>753</v>
      </c>
      <c r="I15" s="124">
        <v>47119</v>
      </c>
      <c r="J15" s="123">
        <v>4.8000000000000001E-2</v>
      </c>
      <c r="K15" s="123">
        <v>2.0199999999999999E-2</v>
      </c>
      <c r="L15" s="122">
        <v>172703000</v>
      </c>
      <c r="M15" s="122">
        <v>130.6875</v>
      </c>
      <c r="N15" s="122">
        <v>225701.20983000001</v>
      </c>
      <c r="O15" s="120"/>
      <c r="P15" s="120"/>
      <c r="Q15" s="123">
        <v>1.3676000000000001E-2</v>
      </c>
      <c r="R15" s="123">
        <v>3.7580000000000001E-3</v>
      </c>
    </row>
    <row r="16" spans="1:26" ht="15" customHeight="1">
      <c r="A16" s="121">
        <v>313</v>
      </c>
      <c r="B16" s="121">
        <v>313</v>
      </c>
      <c r="C16" s="120" t="s">
        <v>984</v>
      </c>
      <c r="D16" s="120" t="s">
        <v>1838</v>
      </c>
      <c r="E16" s="121">
        <v>8288193</v>
      </c>
      <c r="F16" s="124">
        <v>41913</v>
      </c>
      <c r="G16" s="122">
        <v>3.89</v>
      </c>
      <c r="H16" s="120" t="s">
        <v>753</v>
      </c>
      <c r="I16" s="124">
        <v>47393</v>
      </c>
      <c r="J16" s="123">
        <v>4.8000000000000001E-2</v>
      </c>
      <c r="K16" s="123">
        <v>0.02</v>
      </c>
      <c r="L16" s="122">
        <v>393023000</v>
      </c>
      <c r="M16" s="122">
        <v>131.4914</v>
      </c>
      <c r="N16" s="122">
        <v>516791.50676999998</v>
      </c>
      <c r="O16" s="120"/>
      <c r="P16" s="120"/>
      <c r="Q16" s="123">
        <v>3.1315000000000003E-2</v>
      </c>
      <c r="R16" s="123">
        <v>8.6060000000000008E-3</v>
      </c>
    </row>
    <row r="17" spans="1:18" ht="15" customHeight="1">
      <c r="A17" s="121">
        <v>313</v>
      </c>
      <c r="B17" s="121">
        <v>313</v>
      </c>
      <c r="C17" s="120" t="s">
        <v>984</v>
      </c>
      <c r="D17" s="120" t="s">
        <v>1839</v>
      </c>
      <c r="E17" s="121">
        <v>8288482</v>
      </c>
      <c r="F17" s="124">
        <v>42795</v>
      </c>
      <c r="G17" s="122">
        <v>5.8</v>
      </c>
      <c r="H17" s="120" t="s">
        <v>753</v>
      </c>
      <c r="I17" s="124">
        <v>48274</v>
      </c>
      <c r="J17" s="123">
        <v>4.8000000000000001E-2</v>
      </c>
      <c r="K17" s="123">
        <v>1.9699999999999999E-2</v>
      </c>
      <c r="L17" s="122">
        <v>67665000</v>
      </c>
      <c r="M17" s="122">
        <v>141.55340000000001</v>
      </c>
      <c r="N17" s="122">
        <v>95782.101160000006</v>
      </c>
      <c r="O17" s="120"/>
      <c r="P17" s="120"/>
      <c r="Q17" s="123">
        <v>5.803E-3</v>
      </c>
      <c r="R17" s="123">
        <v>1.5950000000000001E-3</v>
      </c>
    </row>
    <row r="18" spans="1:18" ht="15" customHeight="1">
      <c r="A18" s="121">
        <v>313</v>
      </c>
      <c r="B18" s="121">
        <v>313</v>
      </c>
      <c r="C18" s="120" t="s">
        <v>984</v>
      </c>
      <c r="D18" s="120" t="s">
        <v>1840</v>
      </c>
      <c r="E18" s="121">
        <v>8288177</v>
      </c>
      <c r="F18" s="124">
        <v>41852</v>
      </c>
      <c r="G18" s="122">
        <v>3.72</v>
      </c>
      <c r="H18" s="120" t="s">
        <v>753</v>
      </c>
      <c r="I18" s="124">
        <v>47331</v>
      </c>
      <c r="J18" s="123">
        <v>4.8000000000000001E-2</v>
      </c>
      <c r="K18" s="123">
        <v>0.02</v>
      </c>
      <c r="L18" s="122">
        <v>54684000</v>
      </c>
      <c r="M18" s="122">
        <v>131.90809999999999</v>
      </c>
      <c r="N18" s="122">
        <v>72132.652369999996</v>
      </c>
      <c r="O18" s="120"/>
      <c r="P18" s="120"/>
      <c r="Q18" s="123">
        <v>4.3699999999999998E-3</v>
      </c>
      <c r="R18" s="123">
        <v>1.201E-3</v>
      </c>
    </row>
    <row r="19" spans="1:18" ht="15" customHeight="1">
      <c r="A19" s="121">
        <v>313</v>
      </c>
      <c r="B19" s="121">
        <v>313</v>
      </c>
      <c r="C19" s="120" t="s">
        <v>984</v>
      </c>
      <c r="D19" s="120" t="s">
        <v>1841</v>
      </c>
      <c r="E19" s="121">
        <v>8288904</v>
      </c>
      <c r="F19" s="124">
        <v>44105</v>
      </c>
      <c r="G19" s="122">
        <v>8.41</v>
      </c>
      <c r="H19" s="120" t="s">
        <v>753</v>
      </c>
      <c r="I19" s="124">
        <v>49583</v>
      </c>
      <c r="J19" s="123">
        <v>4.8000000000000001E-2</v>
      </c>
      <c r="K19" s="123">
        <v>1.9400000000000001E-2</v>
      </c>
      <c r="L19" s="122">
        <v>184538000</v>
      </c>
      <c r="M19" s="122">
        <v>149.50489999999999</v>
      </c>
      <c r="N19" s="122">
        <v>275893.3947</v>
      </c>
      <c r="O19" s="120"/>
      <c r="P19" s="120"/>
      <c r="Q19" s="123">
        <v>1.6716999999999999E-2</v>
      </c>
      <c r="R19" s="123">
        <v>4.594E-3</v>
      </c>
    </row>
    <row r="20" spans="1:18" ht="15" customHeight="1">
      <c r="A20" s="121">
        <v>313</v>
      </c>
      <c r="B20" s="121">
        <v>313</v>
      </c>
      <c r="C20" s="120" t="s">
        <v>984</v>
      </c>
      <c r="D20" s="120" t="s">
        <v>1842</v>
      </c>
      <c r="E20" s="121">
        <v>8288284</v>
      </c>
      <c r="F20" s="124">
        <v>42186</v>
      </c>
      <c r="G20" s="122">
        <v>4.45</v>
      </c>
      <c r="H20" s="120" t="s">
        <v>753</v>
      </c>
      <c r="I20" s="124">
        <v>47665</v>
      </c>
      <c r="J20" s="123">
        <v>4.8000000000000001E-2</v>
      </c>
      <c r="K20" s="123">
        <v>1.9900000000000001E-2</v>
      </c>
      <c r="L20" s="122">
        <v>1884000</v>
      </c>
      <c r="M20" s="122">
        <v>136.1567</v>
      </c>
      <c r="N20" s="122">
        <v>2565.1921900000002</v>
      </c>
      <c r="O20" s="120"/>
      <c r="P20" s="120"/>
      <c r="Q20" s="123">
        <v>1.55E-4</v>
      </c>
      <c r="R20" s="123">
        <v>4.1999999999999998E-5</v>
      </c>
    </row>
    <row r="21" spans="1:18" ht="15" customHeight="1">
      <c r="A21" s="121">
        <v>313</v>
      </c>
      <c r="B21" s="121">
        <v>313</v>
      </c>
      <c r="C21" s="120" t="s">
        <v>984</v>
      </c>
      <c r="D21" s="120" t="s">
        <v>1843</v>
      </c>
      <c r="E21" s="121">
        <v>8289043</v>
      </c>
      <c r="F21" s="124">
        <v>44531</v>
      </c>
      <c r="G21" s="122">
        <v>9.25</v>
      </c>
      <c r="H21" s="120" t="s">
        <v>753</v>
      </c>
      <c r="I21" s="124">
        <v>50010</v>
      </c>
      <c r="J21" s="123">
        <v>4.8000000000000001E-2</v>
      </c>
      <c r="K21" s="123">
        <v>1.9300000000000001E-2</v>
      </c>
      <c r="L21" s="122">
        <v>49117000</v>
      </c>
      <c r="M21" s="122">
        <v>148.10400000000001</v>
      </c>
      <c r="N21" s="122">
        <v>72744.243709999995</v>
      </c>
      <c r="O21" s="120"/>
      <c r="P21" s="120"/>
      <c r="Q21" s="123">
        <v>4.4070000000000003E-3</v>
      </c>
      <c r="R21" s="123">
        <v>1.2110000000000001E-3</v>
      </c>
    </row>
    <row r="22" spans="1:18" ht="15" customHeight="1">
      <c r="A22" s="121">
        <v>313</v>
      </c>
      <c r="B22" s="121">
        <v>313</v>
      </c>
      <c r="C22" s="120" t="s">
        <v>984</v>
      </c>
      <c r="D22" s="120" t="s">
        <v>1844</v>
      </c>
      <c r="E22" s="121">
        <v>8288490</v>
      </c>
      <c r="F22" s="124">
        <v>42827</v>
      </c>
      <c r="G22" s="122">
        <v>5.88</v>
      </c>
      <c r="H22" s="120" t="s">
        <v>753</v>
      </c>
      <c r="I22" s="124">
        <v>48306</v>
      </c>
      <c r="J22" s="123">
        <v>4.8000000000000001E-2</v>
      </c>
      <c r="K22" s="123">
        <v>1.9699999999999999E-2</v>
      </c>
      <c r="L22" s="122">
        <v>97727000</v>
      </c>
      <c r="M22" s="122">
        <v>141.3117</v>
      </c>
      <c r="N22" s="122">
        <v>138099.69420999999</v>
      </c>
      <c r="O22" s="120"/>
      <c r="P22" s="120"/>
      <c r="Q22" s="123">
        <v>8.3680000000000004E-3</v>
      </c>
      <c r="R22" s="123">
        <v>2.2989999999999998E-3</v>
      </c>
    </row>
    <row r="23" spans="1:18" ht="15" customHeight="1">
      <c r="A23" s="121">
        <v>313</v>
      </c>
      <c r="B23" s="121">
        <v>313</v>
      </c>
      <c r="C23" s="120" t="s">
        <v>984</v>
      </c>
      <c r="D23" s="120" t="s">
        <v>1845</v>
      </c>
      <c r="E23" s="121">
        <v>8288417</v>
      </c>
      <c r="F23" s="124">
        <v>42583</v>
      </c>
      <c r="G23" s="122">
        <v>5.33</v>
      </c>
      <c r="H23" s="120" t="s">
        <v>753</v>
      </c>
      <c r="I23" s="124">
        <v>48061</v>
      </c>
      <c r="J23" s="123">
        <v>4.8000000000000001E-2</v>
      </c>
      <c r="K23" s="123">
        <v>1.9699999999999999E-2</v>
      </c>
      <c r="L23" s="122">
        <v>68423000</v>
      </c>
      <c r="M23" s="122">
        <v>139.67740000000001</v>
      </c>
      <c r="N23" s="122">
        <v>95571.446620000002</v>
      </c>
      <c r="O23" s="120"/>
      <c r="P23" s="120"/>
      <c r="Q23" s="123">
        <v>5.7910000000000001E-3</v>
      </c>
      <c r="R23" s="123">
        <v>1.591E-3</v>
      </c>
    </row>
    <row r="24" spans="1:18" ht="15" customHeight="1">
      <c r="A24" s="121">
        <v>313</v>
      </c>
      <c r="B24" s="121">
        <v>313</v>
      </c>
      <c r="C24" s="120" t="s">
        <v>984</v>
      </c>
      <c r="D24" s="120" t="s">
        <v>1846</v>
      </c>
      <c r="E24" s="121">
        <v>8288375</v>
      </c>
      <c r="F24" s="124">
        <v>42461</v>
      </c>
      <c r="G24" s="122">
        <v>5.0999999999999996</v>
      </c>
      <c r="H24" s="120" t="s">
        <v>753</v>
      </c>
      <c r="I24" s="124">
        <v>47939</v>
      </c>
      <c r="J24" s="123">
        <v>4.8000000000000001E-2</v>
      </c>
      <c r="K24" s="123">
        <v>1.9800000000000002E-2</v>
      </c>
      <c r="L24" s="122">
        <v>145936000</v>
      </c>
      <c r="M24" s="122">
        <v>138.84639999999999</v>
      </c>
      <c r="N24" s="122">
        <v>202626.88282</v>
      </c>
      <c r="O24" s="120"/>
      <c r="P24" s="120"/>
      <c r="Q24" s="123">
        <v>1.2278000000000001E-2</v>
      </c>
      <c r="R24" s="123">
        <v>3.3739999999999998E-3</v>
      </c>
    </row>
    <row r="25" spans="1:18" ht="15" customHeight="1">
      <c r="A25" s="121">
        <v>313</v>
      </c>
      <c r="B25" s="121">
        <v>313</v>
      </c>
      <c r="C25" s="120" t="s">
        <v>984</v>
      </c>
      <c r="D25" s="120" t="s">
        <v>1847</v>
      </c>
      <c r="E25" s="121">
        <v>8288045</v>
      </c>
      <c r="F25" s="124">
        <v>41456</v>
      </c>
      <c r="G25" s="122">
        <v>2.78</v>
      </c>
      <c r="H25" s="120" t="s">
        <v>753</v>
      </c>
      <c r="I25" s="124">
        <v>46936</v>
      </c>
      <c r="J25" s="123">
        <v>4.8000000000000001E-2</v>
      </c>
      <c r="K25" s="123">
        <v>2.0299999999999999E-2</v>
      </c>
      <c r="L25" s="122">
        <v>162167000</v>
      </c>
      <c r="M25" s="122">
        <v>130.66030000000001</v>
      </c>
      <c r="N25" s="122">
        <v>211887.84742999999</v>
      </c>
      <c r="O25" s="120"/>
      <c r="P25" s="120"/>
      <c r="Q25" s="123">
        <v>1.2839E-2</v>
      </c>
      <c r="R25" s="123">
        <v>3.5279999999999999E-3</v>
      </c>
    </row>
    <row r="26" spans="1:18" ht="15" customHeight="1">
      <c r="A26" s="121">
        <v>313</v>
      </c>
      <c r="B26" s="121">
        <v>313</v>
      </c>
      <c r="C26" s="120" t="s">
        <v>984</v>
      </c>
      <c r="D26" s="120" t="s">
        <v>1848</v>
      </c>
      <c r="E26" s="121">
        <v>8288995</v>
      </c>
      <c r="F26" s="124">
        <v>44378</v>
      </c>
      <c r="G26" s="122">
        <v>8.84</v>
      </c>
      <c r="H26" s="120" t="s">
        <v>753</v>
      </c>
      <c r="I26" s="124">
        <v>49857</v>
      </c>
      <c r="J26" s="123">
        <v>4.8000000000000001E-2</v>
      </c>
      <c r="K26" s="123">
        <v>1.9400000000000001E-2</v>
      </c>
      <c r="L26" s="122">
        <v>118587000</v>
      </c>
      <c r="M26" s="122">
        <v>150.8895</v>
      </c>
      <c r="N26" s="122">
        <v>178935.27913000001</v>
      </c>
      <c r="O26" s="120"/>
      <c r="P26" s="120"/>
      <c r="Q26" s="123">
        <v>1.0841999999999999E-2</v>
      </c>
      <c r="R26" s="123">
        <v>2.9789999999999999E-3</v>
      </c>
    </row>
    <row r="27" spans="1:18" ht="15" customHeight="1">
      <c r="A27" s="121">
        <v>313</v>
      </c>
      <c r="B27" s="121">
        <v>313</v>
      </c>
      <c r="C27" s="120" t="s">
        <v>984</v>
      </c>
      <c r="D27" s="120" t="s">
        <v>1849</v>
      </c>
      <c r="E27" s="121">
        <v>8288458</v>
      </c>
      <c r="F27" s="124">
        <v>42705</v>
      </c>
      <c r="G27" s="122">
        <v>5.66</v>
      </c>
      <c r="H27" s="120" t="s">
        <v>753</v>
      </c>
      <c r="I27" s="124">
        <v>48183</v>
      </c>
      <c r="J27" s="123">
        <v>4.8000000000000001E-2</v>
      </c>
      <c r="K27" s="123">
        <v>1.9699999999999999E-2</v>
      </c>
      <c r="L27" s="122">
        <v>38553000</v>
      </c>
      <c r="M27" s="122">
        <v>138.53200000000001</v>
      </c>
      <c r="N27" s="122">
        <v>53408.244169999998</v>
      </c>
      <c r="O27" s="120"/>
      <c r="P27" s="120"/>
      <c r="Q27" s="123">
        <v>3.2360000000000002E-3</v>
      </c>
      <c r="R27" s="123">
        <v>8.8900000000000003E-4</v>
      </c>
    </row>
    <row r="28" spans="1:18" ht="15" customHeight="1">
      <c r="A28" s="121">
        <v>313</v>
      </c>
      <c r="B28" s="121">
        <v>313</v>
      </c>
      <c r="C28" s="120" t="s">
        <v>984</v>
      </c>
      <c r="D28" s="120" t="s">
        <v>1850</v>
      </c>
      <c r="E28" s="121">
        <v>8288094</v>
      </c>
      <c r="F28" s="124">
        <v>41609</v>
      </c>
      <c r="G28" s="122">
        <v>3.2</v>
      </c>
      <c r="H28" s="120" t="s">
        <v>753</v>
      </c>
      <c r="I28" s="124">
        <v>47088</v>
      </c>
      <c r="J28" s="123">
        <v>4.8000000000000001E-2</v>
      </c>
      <c r="K28" s="123">
        <v>2.01E-2</v>
      </c>
      <c r="L28" s="122">
        <v>174736000</v>
      </c>
      <c r="M28" s="122">
        <v>127.5992</v>
      </c>
      <c r="N28" s="122">
        <v>222961.73439</v>
      </c>
      <c r="O28" s="120"/>
      <c r="P28" s="120"/>
      <c r="Q28" s="123">
        <v>1.3509999999999999E-2</v>
      </c>
      <c r="R28" s="123">
        <v>3.7130000000000002E-3</v>
      </c>
    </row>
    <row r="29" spans="1:18" ht="15" customHeight="1">
      <c r="A29" s="121">
        <v>313</v>
      </c>
      <c r="B29" s="121">
        <v>313</v>
      </c>
      <c r="C29" s="120" t="s">
        <v>984</v>
      </c>
      <c r="D29" s="120" t="s">
        <v>1851</v>
      </c>
      <c r="E29" s="121">
        <v>8288367</v>
      </c>
      <c r="F29" s="124">
        <v>42430</v>
      </c>
      <c r="G29" s="122">
        <v>5.0199999999999996</v>
      </c>
      <c r="H29" s="120" t="s">
        <v>753</v>
      </c>
      <c r="I29" s="124">
        <v>47909</v>
      </c>
      <c r="J29" s="123">
        <v>4.8000000000000001E-2</v>
      </c>
      <c r="K29" s="123">
        <v>1.9800000000000002E-2</v>
      </c>
      <c r="L29" s="122">
        <v>56102000</v>
      </c>
      <c r="M29" s="122">
        <v>138.6634</v>
      </c>
      <c r="N29" s="122">
        <v>77792.937569999995</v>
      </c>
      <c r="O29" s="120"/>
      <c r="P29" s="120"/>
      <c r="Q29" s="123">
        <v>4.7130000000000002E-3</v>
      </c>
      <c r="R29" s="123">
        <v>1.2949999999999999E-3</v>
      </c>
    </row>
    <row r="30" spans="1:18" ht="15" customHeight="1">
      <c r="A30" s="121">
        <v>313</v>
      </c>
      <c r="B30" s="121">
        <v>313</v>
      </c>
      <c r="C30" s="120" t="s">
        <v>984</v>
      </c>
      <c r="D30" s="120" t="s">
        <v>1852</v>
      </c>
      <c r="E30" s="121">
        <v>8288029</v>
      </c>
      <c r="F30" s="124">
        <v>41395</v>
      </c>
      <c r="G30" s="122">
        <v>2.68</v>
      </c>
      <c r="H30" s="120" t="s">
        <v>753</v>
      </c>
      <c r="I30" s="124">
        <v>46874</v>
      </c>
      <c r="J30" s="123">
        <v>4.8000000000000001E-2</v>
      </c>
      <c r="K30" s="123">
        <v>2.0400000000000001E-2</v>
      </c>
      <c r="L30" s="122">
        <v>63867000</v>
      </c>
      <c r="M30" s="122">
        <v>128.84639999999999</v>
      </c>
      <c r="N30" s="122">
        <v>82290.354399999997</v>
      </c>
      <c r="O30" s="120"/>
      <c r="P30" s="120"/>
      <c r="Q30" s="123">
        <v>4.986E-3</v>
      </c>
      <c r="R30" s="123">
        <v>1.3699999999999999E-3</v>
      </c>
    </row>
    <row r="31" spans="1:18" ht="15" customHeight="1">
      <c r="A31" s="121">
        <v>313</v>
      </c>
      <c r="B31" s="121">
        <v>313</v>
      </c>
      <c r="C31" s="120" t="s">
        <v>984</v>
      </c>
      <c r="D31" s="120" t="s">
        <v>1853</v>
      </c>
      <c r="E31" s="121">
        <v>8288474</v>
      </c>
      <c r="F31" s="124">
        <v>42767</v>
      </c>
      <c r="G31" s="122">
        <v>5.72</v>
      </c>
      <c r="H31" s="120" t="s">
        <v>753</v>
      </c>
      <c r="I31" s="124">
        <v>48245</v>
      </c>
      <c r="J31" s="123">
        <v>4.8000000000000001E-2</v>
      </c>
      <c r="K31" s="123">
        <v>1.9699999999999999E-2</v>
      </c>
      <c r="L31" s="122">
        <v>183980000</v>
      </c>
      <c r="M31" s="122">
        <v>141.46809999999999</v>
      </c>
      <c r="N31" s="122">
        <v>260272.98537000001</v>
      </c>
      <c r="O31" s="120"/>
      <c r="P31" s="120"/>
      <c r="Q31" s="123">
        <v>1.5771E-2</v>
      </c>
      <c r="R31" s="123">
        <v>4.3340000000000002E-3</v>
      </c>
    </row>
    <row r="32" spans="1:18" ht="15" customHeight="1">
      <c r="A32" s="121">
        <v>313</v>
      </c>
      <c r="B32" s="121">
        <v>313</v>
      </c>
      <c r="C32" s="120" t="s">
        <v>984</v>
      </c>
      <c r="D32" s="120" t="s">
        <v>1854</v>
      </c>
      <c r="E32" s="121">
        <v>8288151</v>
      </c>
      <c r="F32" s="124">
        <v>41791</v>
      </c>
      <c r="G32" s="122">
        <v>3.63</v>
      </c>
      <c r="H32" s="120" t="s">
        <v>753</v>
      </c>
      <c r="I32" s="124">
        <v>47270</v>
      </c>
      <c r="J32" s="123">
        <v>4.8000000000000001E-2</v>
      </c>
      <c r="K32" s="123">
        <v>0.02</v>
      </c>
      <c r="L32" s="122">
        <v>72671000</v>
      </c>
      <c r="M32" s="122">
        <v>130.04929999999999</v>
      </c>
      <c r="N32" s="122">
        <v>94508.116269999999</v>
      </c>
      <c r="O32" s="120"/>
      <c r="P32" s="120"/>
      <c r="Q32" s="123">
        <v>5.7260000000000002E-3</v>
      </c>
      <c r="R32" s="123">
        <v>1.573E-3</v>
      </c>
    </row>
    <row r="33" spans="1:18" ht="15" customHeight="1">
      <c r="A33" s="121">
        <v>313</v>
      </c>
      <c r="B33" s="121">
        <v>313</v>
      </c>
      <c r="C33" s="120" t="s">
        <v>984</v>
      </c>
      <c r="D33" s="120" t="s">
        <v>1855</v>
      </c>
      <c r="E33" s="121">
        <v>8288599</v>
      </c>
      <c r="F33" s="124">
        <v>43132</v>
      </c>
      <c r="G33" s="122">
        <v>6.47</v>
      </c>
      <c r="H33" s="120" t="s">
        <v>753</v>
      </c>
      <c r="I33" s="124">
        <v>48611</v>
      </c>
      <c r="J33" s="123">
        <v>4.8000000000000001E-2</v>
      </c>
      <c r="K33" s="123">
        <v>1.9599999999999999E-2</v>
      </c>
      <c r="L33" s="122">
        <v>174443000</v>
      </c>
      <c r="M33" s="122">
        <v>143.88509999999999</v>
      </c>
      <c r="N33" s="122">
        <v>250997.51298</v>
      </c>
      <c r="O33" s="120"/>
      <c r="P33" s="120"/>
      <c r="Q33" s="123">
        <v>1.5209E-2</v>
      </c>
      <c r="R33" s="123">
        <v>4.1799999999999997E-3</v>
      </c>
    </row>
    <row r="34" spans="1:18" ht="15" customHeight="1">
      <c r="A34" s="121">
        <v>313</v>
      </c>
      <c r="B34" s="121">
        <v>313</v>
      </c>
      <c r="C34" s="120" t="s">
        <v>984</v>
      </c>
      <c r="D34" s="120" t="s">
        <v>1856</v>
      </c>
      <c r="E34" s="121">
        <v>8289050</v>
      </c>
      <c r="F34" s="124">
        <v>44563</v>
      </c>
      <c r="G34" s="122">
        <v>9.17</v>
      </c>
      <c r="H34" s="120" t="s">
        <v>753</v>
      </c>
      <c r="I34" s="124">
        <v>50042</v>
      </c>
      <c r="J34" s="123">
        <v>4.8000000000000001E-2</v>
      </c>
      <c r="K34" s="123">
        <v>1.9300000000000001E-2</v>
      </c>
      <c r="L34" s="122">
        <v>77264000</v>
      </c>
      <c r="M34" s="122">
        <v>150.7423</v>
      </c>
      <c r="N34" s="122">
        <v>116469.49622</v>
      </c>
      <c r="O34" s="120"/>
      <c r="P34" s="120"/>
      <c r="Q34" s="123">
        <v>7.0569999999999999E-3</v>
      </c>
      <c r="R34" s="123">
        <v>1.939E-3</v>
      </c>
    </row>
    <row r="35" spans="1:18" ht="15" customHeight="1">
      <c r="A35" s="121">
        <v>313</v>
      </c>
      <c r="B35" s="121">
        <v>313</v>
      </c>
      <c r="C35" s="120" t="s">
        <v>984</v>
      </c>
      <c r="D35" s="120" t="s">
        <v>1857</v>
      </c>
      <c r="E35" s="121">
        <v>8288631</v>
      </c>
      <c r="F35" s="124">
        <v>43252</v>
      </c>
      <c r="G35" s="122">
        <v>6.8</v>
      </c>
      <c r="H35" s="120" t="s">
        <v>753</v>
      </c>
      <c r="I35" s="124">
        <v>48731</v>
      </c>
      <c r="J35" s="123">
        <v>4.8000000000000001E-2</v>
      </c>
      <c r="K35" s="123">
        <v>1.9599999999999999E-2</v>
      </c>
      <c r="L35" s="122">
        <v>121863000</v>
      </c>
      <c r="M35" s="122">
        <v>142.58330000000001</v>
      </c>
      <c r="N35" s="122">
        <v>173756.29123</v>
      </c>
      <c r="O35" s="120"/>
      <c r="P35" s="120"/>
      <c r="Q35" s="123">
        <v>1.0527999999999999E-2</v>
      </c>
      <c r="R35" s="123">
        <v>2.8930000000000002E-3</v>
      </c>
    </row>
    <row r="36" spans="1:18" ht="15" customHeight="1">
      <c r="A36" s="121">
        <v>313</v>
      </c>
      <c r="B36" s="121">
        <v>313</v>
      </c>
      <c r="C36" s="120" t="s">
        <v>984</v>
      </c>
      <c r="D36" s="120" t="s">
        <v>1858</v>
      </c>
      <c r="E36" s="121">
        <v>8288359</v>
      </c>
      <c r="F36" s="124">
        <v>42401</v>
      </c>
      <c r="G36" s="122">
        <v>4.9400000000000004</v>
      </c>
      <c r="H36" s="120" t="s">
        <v>753</v>
      </c>
      <c r="I36" s="124">
        <v>47880</v>
      </c>
      <c r="J36" s="123">
        <v>4.8000000000000001E-2</v>
      </c>
      <c r="K36" s="123">
        <v>1.9800000000000002E-2</v>
      </c>
      <c r="L36" s="122">
        <v>73139000</v>
      </c>
      <c r="M36" s="122">
        <v>138.1515</v>
      </c>
      <c r="N36" s="122">
        <v>101042.64943999999</v>
      </c>
      <c r="O36" s="120"/>
      <c r="P36" s="120"/>
      <c r="Q36" s="123">
        <v>6.1219999999999998E-3</v>
      </c>
      <c r="R36" s="123">
        <v>1.6819999999999999E-3</v>
      </c>
    </row>
    <row r="37" spans="1:18" ht="15" customHeight="1">
      <c r="A37" s="121">
        <v>313</v>
      </c>
      <c r="B37" s="121">
        <v>313</v>
      </c>
      <c r="C37" s="120" t="s">
        <v>984</v>
      </c>
      <c r="D37" s="120" t="s">
        <v>1859</v>
      </c>
      <c r="E37" s="121">
        <v>8288557</v>
      </c>
      <c r="F37" s="124">
        <v>43009</v>
      </c>
      <c r="G37" s="122">
        <v>6.26</v>
      </c>
      <c r="H37" s="120" t="s">
        <v>753</v>
      </c>
      <c r="I37" s="124">
        <v>48488</v>
      </c>
      <c r="J37" s="123">
        <v>4.8000000000000001E-2</v>
      </c>
      <c r="K37" s="123">
        <v>1.9599999999999999E-2</v>
      </c>
      <c r="L37" s="122">
        <v>166887000</v>
      </c>
      <c r="M37" s="122">
        <v>142.24969999999999</v>
      </c>
      <c r="N37" s="122">
        <v>237396.33827000001</v>
      </c>
      <c r="O37" s="120"/>
      <c r="P37" s="120"/>
      <c r="Q37" s="123">
        <v>1.4385E-2</v>
      </c>
      <c r="R37" s="123">
        <v>3.9529999999999999E-3</v>
      </c>
    </row>
    <row r="38" spans="1:18" ht="15" customHeight="1">
      <c r="A38" s="121">
        <v>313</v>
      </c>
      <c r="B38" s="121">
        <v>313</v>
      </c>
      <c r="C38" s="120" t="s">
        <v>984</v>
      </c>
      <c r="D38" s="120" t="s">
        <v>1860</v>
      </c>
      <c r="E38" s="121">
        <v>8288219</v>
      </c>
      <c r="F38" s="124">
        <v>41974</v>
      </c>
      <c r="G38" s="122">
        <v>4.05</v>
      </c>
      <c r="H38" s="120" t="s">
        <v>753</v>
      </c>
      <c r="I38" s="124">
        <v>47454</v>
      </c>
      <c r="J38" s="123">
        <v>4.8000000000000001E-2</v>
      </c>
      <c r="K38" s="123">
        <v>1.9900000000000001E-2</v>
      </c>
      <c r="L38" s="122">
        <v>242178000</v>
      </c>
      <c r="M38" s="122">
        <v>131.0968</v>
      </c>
      <c r="N38" s="122">
        <v>317487.60025999998</v>
      </c>
      <c r="O38" s="120"/>
      <c r="P38" s="120"/>
      <c r="Q38" s="123">
        <v>1.9238000000000002E-2</v>
      </c>
      <c r="R38" s="123">
        <v>5.287E-3</v>
      </c>
    </row>
    <row r="39" spans="1:18" ht="15" customHeight="1">
      <c r="A39" s="121">
        <v>313</v>
      </c>
      <c r="B39" s="121">
        <v>313</v>
      </c>
      <c r="C39" s="120" t="s">
        <v>984</v>
      </c>
      <c r="D39" s="120" t="s">
        <v>1861</v>
      </c>
      <c r="E39" s="121">
        <v>8288839</v>
      </c>
      <c r="F39" s="124">
        <v>43863</v>
      </c>
      <c r="G39" s="122">
        <v>7.9</v>
      </c>
      <c r="H39" s="120" t="s">
        <v>753</v>
      </c>
      <c r="I39" s="124">
        <v>49342</v>
      </c>
      <c r="J39" s="123">
        <v>4.8000000000000001E-2</v>
      </c>
      <c r="K39" s="123">
        <v>1.95E-2</v>
      </c>
      <c r="L39" s="122">
        <v>155474000</v>
      </c>
      <c r="M39" s="122">
        <v>147.6421</v>
      </c>
      <c r="N39" s="122">
        <v>229545.12716</v>
      </c>
      <c r="O39" s="120"/>
      <c r="P39" s="120"/>
      <c r="Q39" s="123">
        <v>1.3908999999999999E-2</v>
      </c>
      <c r="R39" s="123">
        <v>3.8219999999999999E-3</v>
      </c>
    </row>
    <row r="40" spans="1:18" ht="15" customHeight="1">
      <c r="A40" s="121">
        <v>313</v>
      </c>
      <c r="B40" s="121">
        <v>313</v>
      </c>
      <c r="C40" s="120" t="s">
        <v>984</v>
      </c>
      <c r="D40" s="120" t="s">
        <v>1862</v>
      </c>
      <c r="E40" s="121">
        <v>8288169</v>
      </c>
      <c r="F40" s="124">
        <v>41821</v>
      </c>
      <c r="G40" s="122">
        <v>3.63</v>
      </c>
      <c r="H40" s="120" t="s">
        <v>753</v>
      </c>
      <c r="I40" s="124">
        <v>47300</v>
      </c>
      <c r="J40" s="123">
        <v>4.8000000000000001E-2</v>
      </c>
      <c r="K40" s="123">
        <v>0.02</v>
      </c>
      <c r="L40" s="122">
        <v>420374000</v>
      </c>
      <c r="M40" s="122">
        <v>132.52019999999999</v>
      </c>
      <c r="N40" s="122">
        <v>557080.58625000005</v>
      </c>
      <c r="O40" s="120"/>
      <c r="P40" s="120"/>
      <c r="Q40" s="123">
        <v>3.3756000000000001E-2</v>
      </c>
      <c r="R40" s="123">
        <v>9.2770000000000005E-3</v>
      </c>
    </row>
    <row r="41" spans="1:18" ht="15" customHeight="1">
      <c r="A41" s="121">
        <v>313</v>
      </c>
      <c r="B41" s="121">
        <v>313</v>
      </c>
      <c r="C41" s="120" t="s">
        <v>984</v>
      </c>
      <c r="D41" s="120" t="s">
        <v>1863</v>
      </c>
      <c r="E41" s="121">
        <v>8288136</v>
      </c>
      <c r="F41" s="124">
        <v>41730</v>
      </c>
      <c r="G41" s="122">
        <v>3.46</v>
      </c>
      <c r="H41" s="120" t="s">
        <v>753</v>
      </c>
      <c r="I41" s="124">
        <v>47209</v>
      </c>
      <c r="J41" s="123">
        <v>4.8000000000000001E-2</v>
      </c>
      <c r="K41" s="123">
        <v>2.01E-2</v>
      </c>
      <c r="L41" s="122">
        <v>365624000</v>
      </c>
      <c r="M41" s="122">
        <v>130.95400000000001</v>
      </c>
      <c r="N41" s="122">
        <v>478799.26994999999</v>
      </c>
      <c r="O41" s="120"/>
      <c r="P41" s="120"/>
      <c r="Q41" s="123">
        <v>2.9013000000000001E-2</v>
      </c>
      <c r="R41" s="123">
        <v>7.9729999999999992E-3</v>
      </c>
    </row>
    <row r="42" spans="1:18" ht="15" customHeight="1">
      <c r="A42" s="121">
        <v>313</v>
      </c>
      <c r="B42" s="121">
        <v>313</v>
      </c>
      <c r="C42" s="120" t="s">
        <v>984</v>
      </c>
      <c r="D42" s="120" t="s">
        <v>1864</v>
      </c>
      <c r="E42" s="121">
        <v>8288664</v>
      </c>
      <c r="F42" s="124">
        <v>43345</v>
      </c>
      <c r="G42" s="122">
        <v>6.92</v>
      </c>
      <c r="H42" s="120" t="s">
        <v>753</v>
      </c>
      <c r="I42" s="124">
        <v>48824</v>
      </c>
      <c r="J42" s="123">
        <v>4.8000000000000001E-2</v>
      </c>
      <c r="K42" s="123">
        <v>1.95E-2</v>
      </c>
      <c r="L42" s="122">
        <v>174122000</v>
      </c>
      <c r="M42" s="122">
        <v>143.8586</v>
      </c>
      <c r="N42" s="122">
        <v>250489.53938999999</v>
      </c>
      <c r="O42" s="120"/>
      <c r="P42" s="120"/>
      <c r="Q42" s="123">
        <v>1.5178000000000001E-2</v>
      </c>
      <c r="R42" s="123">
        <v>4.1710000000000002E-3</v>
      </c>
    </row>
    <row r="43" spans="1:18" ht="15" customHeight="1">
      <c r="A43" s="121">
        <v>313</v>
      </c>
      <c r="B43" s="121">
        <v>313</v>
      </c>
      <c r="C43" s="120" t="s">
        <v>984</v>
      </c>
      <c r="D43" s="120" t="s">
        <v>1865</v>
      </c>
      <c r="E43" s="121">
        <v>8288938</v>
      </c>
      <c r="F43" s="124">
        <v>44197</v>
      </c>
      <c r="G43" s="122">
        <v>8.5</v>
      </c>
      <c r="H43" s="120" t="s">
        <v>753</v>
      </c>
      <c r="I43" s="124">
        <v>49675</v>
      </c>
      <c r="J43" s="123">
        <v>4.8000000000000001E-2</v>
      </c>
      <c r="K43" s="123">
        <v>1.9400000000000001E-2</v>
      </c>
      <c r="L43" s="122">
        <v>143909000</v>
      </c>
      <c r="M43" s="122">
        <v>151.60929999999999</v>
      </c>
      <c r="N43" s="122">
        <v>218179.42202</v>
      </c>
      <c r="O43" s="120"/>
      <c r="P43" s="120"/>
      <c r="Q43" s="123">
        <v>1.3220000000000001E-2</v>
      </c>
      <c r="R43" s="123">
        <v>3.6329999999999999E-3</v>
      </c>
    </row>
    <row r="44" spans="1:18" ht="15" customHeight="1">
      <c r="A44" s="121">
        <v>313</v>
      </c>
      <c r="B44" s="121">
        <v>313</v>
      </c>
      <c r="C44" s="120" t="s">
        <v>984</v>
      </c>
      <c r="D44" s="120" t="s">
        <v>1866</v>
      </c>
      <c r="E44" s="121">
        <v>8288789</v>
      </c>
      <c r="F44" s="124">
        <v>43709</v>
      </c>
      <c r="G44" s="122">
        <v>7.63</v>
      </c>
      <c r="H44" s="120" t="s">
        <v>753</v>
      </c>
      <c r="I44" s="124">
        <v>49188</v>
      </c>
      <c r="J44" s="123">
        <v>4.8000000000000001E-2</v>
      </c>
      <c r="K44" s="123">
        <v>1.95E-2</v>
      </c>
      <c r="L44" s="122">
        <v>201319000</v>
      </c>
      <c r="M44" s="122">
        <v>146.02260000000001</v>
      </c>
      <c r="N44" s="122">
        <v>293971.14879000001</v>
      </c>
      <c r="O44" s="120"/>
      <c r="P44" s="120"/>
      <c r="Q44" s="123">
        <v>1.7812999999999999E-2</v>
      </c>
      <c r="R44" s="123">
        <v>4.895E-3</v>
      </c>
    </row>
    <row r="45" spans="1:18" ht="15" customHeight="1">
      <c r="A45" s="121">
        <v>313</v>
      </c>
      <c r="B45" s="121">
        <v>313</v>
      </c>
      <c r="C45" s="120" t="s">
        <v>984</v>
      </c>
      <c r="D45" s="120" t="s">
        <v>1867</v>
      </c>
      <c r="E45" s="121">
        <v>8288607</v>
      </c>
      <c r="F45" s="124">
        <v>43161</v>
      </c>
      <c r="G45" s="122">
        <v>6.55</v>
      </c>
      <c r="H45" s="120" t="s">
        <v>753</v>
      </c>
      <c r="I45" s="124">
        <v>48640</v>
      </c>
      <c r="J45" s="123">
        <v>4.8000000000000001E-2</v>
      </c>
      <c r="K45" s="123">
        <v>1.9599999999999999E-2</v>
      </c>
      <c r="L45" s="122">
        <v>192477000</v>
      </c>
      <c r="M45" s="122">
        <v>144.4014</v>
      </c>
      <c r="N45" s="122">
        <v>277939.56121000001</v>
      </c>
      <c r="O45" s="120"/>
      <c r="P45" s="120"/>
      <c r="Q45" s="123">
        <v>1.6840999999999998E-2</v>
      </c>
      <c r="R45" s="123">
        <v>4.6280000000000002E-3</v>
      </c>
    </row>
    <row r="46" spans="1:18" ht="15" customHeight="1">
      <c r="A46" s="121">
        <v>313</v>
      </c>
      <c r="B46" s="121">
        <v>313</v>
      </c>
      <c r="C46" s="120" t="s">
        <v>984</v>
      </c>
      <c r="D46" s="120" t="s">
        <v>1868</v>
      </c>
      <c r="E46" s="121">
        <v>8288276</v>
      </c>
      <c r="F46" s="124">
        <v>42156</v>
      </c>
      <c r="G46" s="122">
        <v>4.47</v>
      </c>
      <c r="H46" s="120" t="s">
        <v>753</v>
      </c>
      <c r="I46" s="124">
        <v>47636</v>
      </c>
      <c r="J46" s="123">
        <v>4.8000000000000001E-2</v>
      </c>
      <c r="K46" s="123">
        <v>1.9900000000000001E-2</v>
      </c>
      <c r="L46" s="122">
        <v>100159000</v>
      </c>
      <c r="M46" s="122">
        <v>133.8289</v>
      </c>
      <c r="N46" s="122">
        <v>134041.67624</v>
      </c>
      <c r="O46" s="120"/>
      <c r="P46" s="120"/>
      <c r="Q46" s="123">
        <v>8.1220000000000007E-3</v>
      </c>
      <c r="R46" s="123">
        <v>2.232E-3</v>
      </c>
    </row>
    <row r="47" spans="1:18" ht="15" customHeight="1">
      <c r="A47" s="121">
        <v>313</v>
      </c>
      <c r="B47" s="121">
        <v>313</v>
      </c>
      <c r="C47" s="120" t="s">
        <v>984</v>
      </c>
      <c r="D47" s="120" t="s">
        <v>1869</v>
      </c>
      <c r="E47" s="121">
        <v>8288441</v>
      </c>
      <c r="F47" s="124">
        <v>42675</v>
      </c>
      <c r="G47" s="122">
        <v>5.58</v>
      </c>
      <c r="H47" s="120" t="s">
        <v>753</v>
      </c>
      <c r="I47" s="124">
        <v>48154</v>
      </c>
      <c r="J47" s="123">
        <v>4.8000000000000001E-2</v>
      </c>
      <c r="K47" s="123">
        <v>1.9699999999999999E-2</v>
      </c>
      <c r="L47" s="122">
        <v>25938000</v>
      </c>
      <c r="M47" s="122">
        <v>139.0213</v>
      </c>
      <c r="N47" s="122">
        <v>36059.356610000003</v>
      </c>
      <c r="O47" s="120"/>
      <c r="P47" s="120"/>
      <c r="Q47" s="123">
        <v>2.1849999999999999E-3</v>
      </c>
      <c r="R47" s="123">
        <v>5.9999999999999995E-4</v>
      </c>
    </row>
    <row r="48" spans="1:18" ht="15" customHeight="1">
      <c r="A48" s="121">
        <v>313</v>
      </c>
      <c r="B48" s="121">
        <v>313</v>
      </c>
      <c r="C48" s="120" t="s">
        <v>984</v>
      </c>
      <c r="D48" s="120" t="s">
        <v>1870</v>
      </c>
      <c r="E48" s="121">
        <v>8288847</v>
      </c>
      <c r="F48" s="124">
        <v>43891</v>
      </c>
      <c r="G48" s="122">
        <v>7.98</v>
      </c>
      <c r="H48" s="120" t="s">
        <v>753</v>
      </c>
      <c r="I48" s="124">
        <v>49369</v>
      </c>
      <c r="J48" s="123">
        <v>4.8000000000000001E-2</v>
      </c>
      <c r="K48" s="123">
        <v>1.9400000000000001E-2</v>
      </c>
      <c r="L48" s="122">
        <v>70656000</v>
      </c>
      <c r="M48" s="122">
        <v>148.03829999999999</v>
      </c>
      <c r="N48" s="122">
        <v>104597.92496</v>
      </c>
      <c r="O48" s="120"/>
      <c r="P48" s="120"/>
      <c r="Q48" s="123">
        <v>6.3379999999999999E-3</v>
      </c>
      <c r="R48" s="123">
        <v>1.7409999999999999E-3</v>
      </c>
    </row>
    <row r="49" spans="1:18" ht="15" customHeight="1">
      <c r="A49" s="121">
        <v>313</v>
      </c>
      <c r="B49" s="121">
        <v>313</v>
      </c>
      <c r="C49" s="120" t="s">
        <v>984</v>
      </c>
      <c r="D49" s="120" t="s">
        <v>1871</v>
      </c>
      <c r="E49" s="121">
        <v>8288128</v>
      </c>
      <c r="F49" s="124">
        <v>41700</v>
      </c>
      <c r="G49" s="122">
        <v>3.38</v>
      </c>
      <c r="H49" s="120" t="s">
        <v>753</v>
      </c>
      <c r="I49" s="124">
        <v>47179</v>
      </c>
      <c r="J49" s="123">
        <v>4.8000000000000001E-2</v>
      </c>
      <c r="K49" s="123">
        <v>2.01E-2</v>
      </c>
      <c r="L49" s="122">
        <v>114469000</v>
      </c>
      <c r="M49" s="122">
        <v>130.9263</v>
      </c>
      <c r="N49" s="122">
        <v>149870.08267</v>
      </c>
      <c r="O49" s="120"/>
      <c r="P49" s="120"/>
      <c r="Q49" s="123">
        <v>9.0810000000000005E-3</v>
      </c>
      <c r="R49" s="123">
        <v>2.4949999999999998E-3</v>
      </c>
    </row>
    <row r="50" spans="1:18" ht="15" customHeight="1">
      <c r="A50" s="121">
        <v>313</v>
      </c>
      <c r="B50" s="121">
        <v>313</v>
      </c>
      <c r="C50" s="120" t="s">
        <v>984</v>
      </c>
      <c r="D50" s="120" t="s">
        <v>1872</v>
      </c>
      <c r="E50" s="121">
        <v>8288896</v>
      </c>
      <c r="F50" s="124">
        <v>44075</v>
      </c>
      <c r="G50" s="122">
        <v>8.33</v>
      </c>
      <c r="H50" s="120" t="s">
        <v>753</v>
      </c>
      <c r="I50" s="124">
        <v>49553</v>
      </c>
      <c r="J50" s="123">
        <v>4.8000000000000001E-2</v>
      </c>
      <c r="K50" s="123">
        <v>1.9400000000000001E-2</v>
      </c>
      <c r="L50" s="122">
        <v>152948000</v>
      </c>
      <c r="M50" s="122">
        <v>149.75149999999999</v>
      </c>
      <c r="N50" s="122">
        <v>229041.86574000001</v>
      </c>
      <c r="O50" s="120"/>
      <c r="P50" s="120"/>
      <c r="Q50" s="123">
        <v>1.3878E-2</v>
      </c>
      <c r="R50" s="123">
        <v>3.8140000000000001E-3</v>
      </c>
    </row>
    <row r="51" spans="1:18" ht="15" customHeight="1">
      <c r="A51" s="121">
        <v>313</v>
      </c>
      <c r="B51" s="121">
        <v>313</v>
      </c>
      <c r="C51" s="120" t="s">
        <v>984</v>
      </c>
      <c r="D51" s="120" t="s">
        <v>1873</v>
      </c>
      <c r="E51" s="121">
        <v>8288037</v>
      </c>
      <c r="F51" s="124">
        <v>41427</v>
      </c>
      <c r="G51" s="122">
        <v>2.77</v>
      </c>
      <c r="H51" s="120" t="s">
        <v>753</v>
      </c>
      <c r="I51" s="124">
        <v>46906</v>
      </c>
      <c r="J51" s="123">
        <v>4.8000000000000001E-2</v>
      </c>
      <c r="K51" s="123">
        <v>2.0299999999999999E-2</v>
      </c>
      <c r="L51" s="122">
        <v>170930000</v>
      </c>
      <c r="M51" s="122">
        <v>128.18219999999999</v>
      </c>
      <c r="N51" s="122">
        <v>219101.89975000001</v>
      </c>
      <c r="O51" s="120"/>
      <c r="P51" s="120"/>
      <c r="Q51" s="123">
        <v>1.3276E-2</v>
      </c>
      <c r="R51" s="123">
        <v>3.6480000000000002E-3</v>
      </c>
    </row>
    <row r="52" spans="1:18" ht="15" customHeight="1">
      <c r="A52" s="121">
        <v>313</v>
      </c>
      <c r="B52" s="121">
        <v>313</v>
      </c>
      <c r="C52" s="120" t="s">
        <v>984</v>
      </c>
      <c r="D52" s="120" t="s">
        <v>1874</v>
      </c>
      <c r="E52" s="121">
        <v>8288342</v>
      </c>
      <c r="F52" s="124">
        <v>42370</v>
      </c>
      <c r="G52" s="122">
        <v>4.8499999999999996</v>
      </c>
      <c r="H52" s="120" t="s">
        <v>753</v>
      </c>
      <c r="I52" s="124">
        <v>47849</v>
      </c>
      <c r="J52" s="123">
        <v>4.8000000000000001E-2</v>
      </c>
      <c r="K52" s="123">
        <v>1.9800000000000002E-2</v>
      </c>
      <c r="L52" s="122">
        <v>32212000</v>
      </c>
      <c r="M52" s="122">
        <v>138.23509999999999</v>
      </c>
      <c r="N52" s="122">
        <v>44528.294249999999</v>
      </c>
      <c r="O52" s="120"/>
      <c r="P52" s="120"/>
      <c r="Q52" s="123">
        <v>2.6979999999999999E-3</v>
      </c>
      <c r="R52" s="123">
        <v>7.4100000000000001E-4</v>
      </c>
    </row>
    <row r="53" spans="1:18" ht="15" customHeight="1">
      <c r="A53" s="121">
        <v>313</v>
      </c>
      <c r="B53" s="121">
        <v>313</v>
      </c>
      <c r="C53" s="120" t="s">
        <v>984</v>
      </c>
      <c r="D53" s="120" t="s">
        <v>1875</v>
      </c>
      <c r="E53" s="121">
        <v>8288409</v>
      </c>
      <c r="F53" s="124">
        <v>42552</v>
      </c>
      <c r="G53" s="122">
        <v>5.24</v>
      </c>
      <c r="H53" s="120" t="s">
        <v>753</v>
      </c>
      <c r="I53" s="124">
        <v>48030</v>
      </c>
      <c r="J53" s="123">
        <v>4.8000000000000001E-2</v>
      </c>
      <c r="K53" s="123">
        <v>1.9699999999999999E-2</v>
      </c>
      <c r="L53" s="122">
        <v>149872000</v>
      </c>
      <c r="M53" s="122">
        <v>140.3356</v>
      </c>
      <c r="N53" s="122">
        <v>210323.78651999999</v>
      </c>
      <c r="O53" s="120"/>
      <c r="P53" s="120"/>
      <c r="Q53" s="123">
        <v>1.2744E-2</v>
      </c>
      <c r="R53" s="123">
        <v>3.5019999999999999E-3</v>
      </c>
    </row>
    <row r="54" spans="1:18" ht="15" customHeight="1">
      <c r="A54" s="121">
        <v>313</v>
      </c>
      <c r="B54" s="121">
        <v>313</v>
      </c>
      <c r="C54" s="120" t="s">
        <v>984</v>
      </c>
      <c r="D54" s="120" t="s">
        <v>1876</v>
      </c>
      <c r="E54" s="121">
        <v>8288201</v>
      </c>
      <c r="F54" s="124">
        <v>41945</v>
      </c>
      <c r="G54" s="122">
        <v>3.97</v>
      </c>
      <c r="H54" s="120" t="s">
        <v>753</v>
      </c>
      <c r="I54" s="124">
        <v>47424</v>
      </c>
      <c r="J54" s="123">
        <v>4.8000000000000001E-2</v>
      </c>
      <c r="K54" s="123">
        <v>0.02</v>
      </c>
      <c r="L54" s="122">
        <v>188700000</v>
      </c>
      <c r="M54" s="122">
        <v>131.65600000000001</v>
      </c>
      <c r="N54" s="122">
        <v>248434.96011000001</v>
      </c>
      <c r="O54" s="120"/>
      <c r="P54" s="120"/>
      <c r="Q54" s="123">
        <v>1.5054E-2</v>
      </c>
      <c r="R54" s="123">
        <v>4.1370000000000001E-3</v>
      </c>
    </row>
    <row r="55" spans="1:18" ht="15" customHeight="1">
      <c r="A55" s="121">
        <v>313</v>
      </c>
      <c r="B55" s="121">
        <v>313</v>
      </c>
      <c r="C55" s="120" t="s">
        <v>984</v>
      </c>
      <c r="D55" s="120" t="s">
        <v>1877</v>
      </c>
      <c r="E55" s="121">
        <v>8288110</v>
      </c>
      <c r="F55" s="124">
        <v>41672</v>
      </c>
      <c r="G55" s="122">
        <v>3.3</v>
      </c>
      <c r="H55" s="120" t="s">
        <v>753</v>
      </c>
      <c r="I55" s="124">
        <v>47151</v>
      </c>
      <c r="J55" s="123">
        <v>4.8000000000000001E-2</v>
      </c>
      <c r="K55" s="123">
        <v>2.0199999999999999E-2</v>
      </c>
      <c r="L55" s="122">
        <v>116320000</v>
      </c>
      <c r="M55" s="122">
        <v>130.33070000000001</v>
      </c>
      <c r="N55" s="122">
        <v>151600.64207999999</v>
      </c>
      <c r="O55" s="120"/>
      <c r="P55" s="120"/>
      <c r="Q55" s="123">
        <v>9.1859999999999997E-3</v>
      </c>
      <c r="R55" s="123">
        <v>2.5240000000000002E-3</v>
      </c>
    </row>
    <row r="56" spans="1:18" ht="15" customHeight="1">
      <c r="A56" s="121">
        <v>313</v>
      </c>
      <c r="B56" s="121">
        <v>313</v>
      </c>
      <c r="C56" s="120" t="s">
        <v>984</v>
      </c>
      <c r="D56" s="120" t="s">
        <v>1878</v>
      </c>
      <c r="E56" s="121">
        <v>8288086</v>
      </c>
      <c r="F56" s="124">
        <v>41579</v>
      </c>
      <c r="G56" s="122">
        <v>3.12</v>
      </c>
      <c r="H56" s="120" t="s">
        <v>753</v>
      </c>
      <c r="I56" s="124">
        <v>47058</v>
      </c>
      <c r="J56" s="123">
        <v>4.8000000000000001E-2</v>
      </c>
      <c r="K56" s="123">
        <v>2.0199999999999999E-2</v>
      </c>
      <c r="L56" s="122">
        <v>267636000</v>
      </c>
      <c r="M56" s="122">
        <v>128.154</v>
      </c>
      <c r="N56" s="122">
        <v>342986.27142</v>
      </c>
      <c r="O56" s="120"/>
      <c r="P56" s="120"/>
      <c r="Q56" s="123">
        <v>2.0782999999999999E-2</v>
      </c>
      <c r="R56" s="123">
        <v>5.7109999999999999E-3</v>
      </c>
    </row>
    <row r="57" spans="1:18" ht="15" customHeight="1">
      <c r="A57" s="121">
        <v>313</v>
      </c>
      <c r="B57" s="121">
        <v>313</v>
      </c>
      <c r="C57" s="120" t="s">
        <v>984</v>
      </c>
      <c r="D57" s="120" t="s">
        <v>1879</v>
      </c>
      <c r="E57" s="121">
        <v>8289068</v>
      </c>
      <c r="F57" s="124">
        <v>44593</v>
      </c>
      <c r="G57" s="122">
        <v>9.25</v>
      </c>
      <c r="H57" s="120" t="s">
        <v>753</v>
      </c>
      <c r="I57" s="124">
        <v>50072</v>
      </c>
      <c r="J57" s="123">
        <v>4.8000000000000001E-2</v>
      </c>
      <c r="K57" s="123">
        <v>1.9300000000000001E-2</v>
      </c>
      <c r="L57" s="122">
        <v>14473000</v>
      </c>
      <c r="M57" s="122">
        <v>150.0624</v>
      </c>
      <c r="N57" s="122">
        <v>21718.526760000001</v>
      </c>
      <c r="O57" s="120"/>
      <c r="P57" s="120"/>
      <c r="Q57" s="123">
        <v>1.3159999999999999E-3</v>
      </c>
      <c r="R57" s="123">
        <v>3.6099999999999999E-4</v>
      </c>
    </row>
    <row r="58" spans="1:18" ht="15" customHeight="1">
      <c r="A58" s="121">
        <v>313</v>
      </c>
      <c r="B58" s="121">
        <v>313</v>
      </c>
      <c r="C58" s="120" t="s">
        <v>984</v>
      </c>
      <c r="D58" s="120" t="s">
        <v>1880</v>
      </c>
      <c r="E58" s="121">
        <v>8288649</v>
      </c>
      <c r="F58" s="124">
        <v>43282</v>
      </c>
      <c r="G58" s="122">
        <v>6.75</v>
      </c>
      <c r="H58" s="120" t="s">
        <v>753</v>
      </c>
      <c r="I58" s="124">
        <v>48761</v>
      </c>
      <c r="J58" s="123">
        <v>4.8000000000000001E-2</v>
      </c>
      <c r="K58" s="123">
        <v>1.9599999999999999E-2</v>
      </c>
      <c r="L58" s="122">
        <v>49008000</v>
      </c>
      <c r="M58" s="122">
        <v>144.45930000000001</v>
      </c>
      <c r="N58" s="122">
        <v>70796.632320000004</v>
      </c>
      <c r="O58" s="120"/>
      <c r="P58" s="120"/>
      <c r="Q58" s="123">
        <v>4.2890000000000003E-3</v>
      </c>
      <c r="R58" s="123">
        <v>1.1789999999999999E-3</v>
      </c>
    </row>
    <row r="59" spans="1:18" ht="15" customHeight="1">
      <c r="A59" s="121">
        <v>313</v>
      </c>
      <c r="B59" s="121">
        <v>313</v>
      </c>
      <c r="C59" s="120" t="s">
        <v>984</v>
      </c>
      <c r="D59" s="120" t="s">
        <v>1881</v>
      </c>
      <c r="E59" s="121">
        <v>8288821</v>
      </c>
      <c r="F59" s="124">
        <v>43831</v>
      </c>
      <c r="G59" s="122">
        <v>7.82</v>
      </c>
      <c r="H59" s="120" t="s">
        <v>753</v>
      </c>
      <c r="I59" s="124">
        <v>49310</v>
      </c>
      <c r="J59" s="123">
        <v>4.8000000000000001E-2</v>
      </c>
      <c r="K59" s="123">
        <v>1.95E-2</v>
      </c>
      <c r="L59" s="122">
        <v>8943000</v>
      </c>
      <c r="M59" s="122">
        <v>147.89410000000001</v>
      </c>
      <c r="N59" s="122">
        <v>13226.17051</v>
      </c>
      <c r="O59" s="120"/>
      <c r="P59" s="120"/>
      <c r="Q59" s="123">
        <v>8.0099999999999995E-4</v>
      </c>
      <c r="R59" s="123">
        <v>2.2000000000000001E-4</v>
      </c>
    </row>
    <row r="60" spans="1:18" ht="15" customHeight="1">
      <c r="A60" s="121">
        <v>313</v>
      </c>
      <c r="B60" s="121">
        <v>313</v>
      </c>
      <c r="C60" s="120" t="s">
        <v>984</v>
      </c>
      <c r="D60" s="120" t="s">
        <v>1882</v>
      </c>
      <c r="E60" s="121">
        <v>8288185</v>
      </c>
      <c r="F60" s="124">
        <v>41883</v>
      </c>
      <c r="G60" s="122">
        <v>3.8</v>
      </c>
      <c r="H60" s="120" t="s">
        <v>753</v>
      </c>
      <c r="I60" s="124">
        <v>47363</v>
      </c>
      <c r="J60" s="123">
        <v>4.8000000000000001E-2</v>
      </c>
      <c r="K60" s="123">
        <v>0.02</v>
      </c>
      <c r="L60" s="122">
        <v>123187000</v>
      </c>
      <c r="M60" s="122">
        <v>131.59379999999999</v>
      </c>
      <c r="N60" s="122">
        <v>162106.42131999999</v>
      </c>
      <c r="O60" s="120"/>
      <c r="P60" s="120"/>
      <c r="Q60" s="123">
        <v>9.8219999999999991E-3</v>
      </c>
      <c r="R60" s="123">
        <v>2.699E-3</v>
      </c>
    </row>
    <row r="61" spans="1:18" ht="15" customHeight="1">
      <c r="A61" s="121">
        <v>313</v>
      </c>
      <c r="B61" s="121">
        <v>313</v>
      </c>
      <c r="C61" s="120" t="s">
        <v>984</v>
      </c>
      <c r="D61" s="120" t="s">
        <v>1883</v>
      </c>
      <c r="E61" s="121">
        <v>8288268</v>
      </c>
      <c r="F61" s="124">
        <v>42125</v>
      </c>
      <c r="G61" s="122">
        <v>4.38</v>
      </c>
      <c r="H61" s="120" t="s">
        <v>753</v>
      </c>
      <c r="I61" s="124">
        <v>47604</v>
      </c>
      <c r="J61" s="123">
        <v>4.8000000000000001E-2</v>
      </c>
      <c r="K61" s="123">
        <v>1.9900000000000001E-2</v>
      </c>
      <c r="L61" s="122">
        <v>163992000</v>
      </c>
      <c r="M61" s="122">
        <v>134.83420000000001</v>
      </c>
      <c r="N61" s="122">
        <v>221117.30223</v>
      </c>
      <c r="O61" s="120"/>
      <c r="P61" s="120"/>
      <c r="Q61" s="123">
        <v>1.3398E-2</v>
      </c>
      <c r="R61" s="123">
        <v>3.6819999999999999E-3</v>
      </c>
    </row>
    <row r="62" spans="1:18" ht="15" customHeight="1">
      <c r="A62" s="121">
        <v>313</v>
      </c>
      <c r="B62" s="121">
        <v>313</v>
      </c>
      <c r="C62" s="120" t="s">
        <v>984</v>
      </c>
      <c r="D62" s="120" t="s">
        <v>1884</v>
      </c>
      <c r="E62" s="121">
        <v>8288425</v>
      </c>
      <c r="F62" s="124">
        <v>42614</v>
      </c>
      <c r="G62" s="122">
        <v>5.41</v>
      </c>
      <c r="H62" s="120" t="s">
        <v>753</v>
      </c>
      <c r="I62" s="124">
        <v>48092</v>
      </c>
      <c r="J62" s="123">
        <v>4.8000000000000001E-2</v>
      </c>
      <c r="K62" s="123">
        <v>1.9699999999999999E-2</v>
      </c>
      <c r="L62" s="122">
        <v>262938000</v>
      </c>
      <c r="M62" s="122">
        <v>138.90989999999999</v>
      </c>
      <c r="N62" s="122">
        <v>365246.86528000003</v>
      </c>
      <c r="O62" s="120"/>
      <c r="P62" s="120"/>
      <c r="Q62" s="123">
        <v>2.2131999999999999E-2</v>
      </c>
      <c r="R62" s="123">
        <v>6.0819999999999997E-3</v>
      </c>
    </row>
    <row r="63" spans="1:18" ht="15" customHeight="1">
      <c r="A63" s="121">
        <v>313</v>
      </c>
      <c r="B63" s="121">
        <v>313</v>
      </c>
      <c r="C63" s="120" t="s">
        <v>984</v>
      </c>
      <c r="D63" s="120" t="s">
        <v>1885</v>
      </c>
      <c r="E63" s="121">
        <v>8288813</v>
      </c>
      <c r="F63" s="124">
        <v>43800</v>
      </c>
      <c r="G63" s="122">
        <v>7.88</v>
      </c>
      <c r="H63" s="120" t="s">
        <v>753</v>
      </c>
      <c r="I63" s="124">
        <v>49279</v>
      </c>
      <c r="J63" s="123">
        <v>4.8000000000000001E-2</v>
      </c>
      <c r="K63" s="123">
        <v>1.9400000000000001E-2</v>
      </c>
      <c r="L63" s="122">
        <v>153643000</v>
      </c>
      <c r="M63" s="122">
        <v>144.7655</v>
      </c>
      <c r="N63" s="122">
        <v>222422.00911000001</v>
      </c>
      <c r="O63" s="120"/>
      <c r="P63" s="120"/>
      <c r="Q63" s="123">
        <v>1.3476999999999999E-2</v>
      </c>
      <c r="R63" s="123">
        <v>3.7039999999999998E-3</v>
      </c>
    </row>
    <row r="64" spans="1:18" ht="15" customHeight="1">
      <c r="A64" s="121">
        <v>313</v>
      </c>
      <c r="B64" s="121">
        <v>313</v>
      </c>
      <c r="C64" s="120" t="s">
        <v>984</v>
      </c>
      <c r="D64" s="120" t="s">
        <v>1886</v>
      </c>
      <c r="E64" s="121">
        <v>8289019</v>
      </c>
      <c r="F64" s="124">
        <v>44440</v>
      </c>
      <c r="G64" s="122">
        <v>9</v>
      </c>
      <c r="H64" s="120" t="s">
        <v>753</v>
      </c>
      <c r="I64" s="124">
        <v>49919</v>
      </c>
      <c r="J64" s="123">
        <v>4.8000000000000001E-2</v>
      </c>
      <c r="K64" s="123">
        <v>1.9400000000000001E-2</v>
      </c>
      <c r="L64" s="122">
        <v>79465000</v>
      </c>
      <c r="M64" s="122">
        <v>149.68</v>
      </c>
      <c r="N64" s="122">
        <v>118943.23477</v>
      </c>
      <c r="O64" s="120"/>
      <c r="P64" s="120"/>
      <c r="Q64" s="123">
        <v>7.2069999999999999E-3</v>
      </c>
      <c r="R64" s="123">
        <v>1.98E-3</v>
      </c>
    </row>
    <row r="65" spans="1:18" ht="15" customHeight="1">
      <c r="A65" s="121">
        <v>313</v>
      </c>
      <c r="B65" s="121">
        <v>313</v>
      </c>
      <c r="C65" s="120" t="s">
        <v>984</v>
      </c>
      <c r="D65" s="120" t="s">
        <v>1887</v>
      </c>
      <c r="E65" s="121">
        <v>8288144</v>
      </c>
      <c r="F65" s="124">
        <v>41760</v>
      </c>
      <c r="G65" s="122">
        <v>3.54</v>
      </c>
      <c r="H65" s="120" t="s">
        <v>753</v>
      </c>
      <c r="I65" s="124">
        <v>47239</v>
      </c>
      <c r="J65" s="123">
        <v>4.8000000000000001E-2</v>
      </c>
      <c r="K65" s="123">
        <v>2.01E-2</v>
      </c>
      <c r="L65" s="122">
        <v>220135000</v>
      </c>
      <c r="M65" s="122">
        <v>130.369</v>
      </c>
      <c r="N65" s="122">
        <v>286987.87465000001</v>
      </c>
      <c r="O65" s="120"/>
      <c r="P65" s="120"/>
      <c r="Q65" s="123">
        <v>1.7389999999999999E-2</v>
      </c>
      <c r="R65" s="123">
        <v>4.7790000000000003E-3</v>
      </c>
    </row>
    <row r="66" spans="1:18" ht="15" customHeight="1">
      <c r="A66" s="121">
        <v>313</v>
      </c>
      <c r="B66" s="121">
        <v>313</v>
      </c>
      <c r="C66" s="120" t="s">
        <v>984</v>
      </c>
      <c r="D66" s="120" t="s">
        <v>1888</v>
      </c>
      <c r="E66" s="121">
        <v>8288987</v>
      </c>
      <c r="F66" s="124">
        <v>44348</v>
      </c>
      <c r="G66" s="122">
        <v>8.92</v>
      </c>
      <c r="H66" s="120" t="s">
        <v>753</v>
      </c>
      <c r="I66" s="124">
        <v>49827</v>
      </c>
      <c r="J66" s="123">
        <v>4.8000000000000001E-2</v>
      </c>
      <c r="K66" s="123">
        <v>1.9400000000000001E-2</v>
      </c>
      <c r="L66" s="122">
        <v>40743000</v>
      </c>
      <c r="M66" s="122">
        <v>148.95230000000001</v>
      </c>
      <c r="N66" s="122">
        <v>60687.639710000003</v>
      </c>
      <c r="O66" s="120"/>
      <c r="P66" s="120"/>
      <c r="Q66" s="123">
        <v>3.6770000000000001E-3</v>
      </c>
      <c r="R66" s="123">
        <v>1.01E-3</v>
      </c>
    </row>
    <row r="67" spans="1:18" ht="15" customHeight="1">
      <c r="A67" s="121">
        <v>313</v>
      </c>
      <c r="B67" s="121">
        <v>313</v>
      </c>
      <c r="C67" s="120" t="s">
        <v>984</v>
      </c>
      <c r="D67" s="120" t="s">
        <v>1889</v>
      </c>
      <c r="E67" s="121">
        <v>8288573</v>
      </c>
      <c r="F67" s="124">
        <v>43070</v>
      </c>
      <c r="G67" s="122">
        <v>6.43</v>
      </c>
      <c r="H67" s="120" t="s">
        <v>753</v>
      </c>
      <c r="I67" s="124">
        <v>48549</v>
      </c>
      <c r="J67" s="123">
        <v>4.8000000000000001E-2</v>
      </c>
      <c r="K67" s="123">
        <v>1.9599999999999999E-2</v>
      </c>
      <c r="L67" s="122">
        <v>100503000</v>
      </c>
      <c r="M67" s="122">
        <v>141.24549999999999</v>
      </c>
      <c r="N67" s="122">
        <v>141955.94081</v>
      </c>
      <c r="O67" s="120"/>
      <c r="P67" s="120"/>
      <c r="Q67" s="123">
        <v>8.6009999999999993E-3</v>
      </c>
      <c r="R67" s="123">
        <v>2.3640000000000002E-3</v>
      </c>
    </row>
    <row r="68" spans="1:18" ht="15" customHeight="1">
      <c r="A68" s="121">
        <v>313</v>
      </c>
      <c r="B68" s="121">
        <v>313</v>
      </c>
      <c r="C68" s="120" t="s">
        <v>984</v>
      </c>
      <c r="D68" s="120" t="s">
        <v>1890</v>
      </c>
      <c r="E68" s="121">
        <v>8288771</v>
      </c>
      <c r="F68" s="124">
        <v>43678</v>
      </c>
      <c r="G68" s="122">
        <v>7.55</v>
      </c>
      <c r="H68" s="120" t="s">
        <v>753</v>
      </c>
      <c r="I68" s="124">
        <v>49157</v>
      </c>
      <c r="J68" s="123">
        <v>4.8000000000000001E-2</v>
      </c>
      <c r="K68" s="123">
        <v>1.95E-2</v>
      </c>
      <c r="L68" s="122">
        <v>127090000</v>
      </c>
      <c r="M68" s="122">
        <v>145.8015</v>
      </c>
      <c r="N68" s="122">
        <v>185299.14442</v>
      </c>
      <c r="O68" s="120"/>
      <c r="P68" s="120"/>
      <c r="Q68" s="123">
        <v>1.1228E-2</v>
      </c>
      <c r="R68" s="123">
        <v>3.0850000000000001E-3</v>
      </c>
    </row>
    <row r="69" spans="1:18" ht="15" customHeight="1">
      <c r="A69" s="121">
        <v>313</v>
      </c>
      <c r="B69" s="121">
        <v>313</v>
      </c>
      <c r="C69" s="120" t="s">
        <v>984</v>
      </c>
      <c r="D69" s="120" t="s">
        <v>1891</v>
      </c>
      <c r="E69" s="121">
        <v>8289001</v>
      </c>
      <c r="F69" s="124">
        <v>44409</v>
      </c>
      <c r="G69" s="122">
        <v>8.92</v>
      </c>
      <c r="H69" s="120" t="s">
        <v>753</v>
      </c>
      <c r="I69" s="124">
        <v>49888</v>
      </c>
      <c r="J69" s="123">
        <v>4.8000000000000001E-2</v>
      </c>
      <c r="K69" s="123">
        <v>1.9400000000000001E-2</v>
      </c>
      <c r="L69" s="122">
        <v>65973000</v>
      </c>
      <c r="M69" s="122">
        <v>150.4923</v>
      </c>
      <c r="N69" s="122">
        <v>99284.311809999999</v>
      </c>
      <c r="O69" s="120"/>
      <c r="P69" s="120"/>
      <c r="Q69" s="123">
        <v>6.0159999999999996E-3</v>
      </c>
      <c r="R69" s="123">
        <v>1.653E-3</v>
      </c>
    </row>
    <row r="70" spans="1:18" ht="15" customHeight="1">
      <c r="A70" s="121">
        <v>313</v>
      </c>
      <c r="B70" s="121">
        <v>313</v>
      </c>
      <c r="C70" s="120" t="s">
        <v>984</v>
      </c>
      <c r="D70" s="120" t="s">
        <v>1892</v>
      </c>
      <c r="E70" s="121">
        <v>8288540</v>
      </c>
      <c r="F70" s="124">
        <v>42979</v>
      </c>
      <c r="G70" s="122">
        <v>6.18</v>
      </c>
      <c r="H70" s="120" t="s">
        <v>753</v>
      </c>
      <c r="I70" s="124">
        <v>48458</v>
      </c>
      <c r="J70" s="123">
        <v>4.8000000000000001E-2</v>
      </c>
      <c r="K70" s="123">
        <v>1.9599999999999999E-2</v>
      </c>
      <c r="L70" s="122">
        <v>298621000</v>
      </c>
      <c r="M70" s="122">
        <v>142.90790000000001</v>
      </c>
      <c r="N70" s="122">
        <v>426753.08944000001</v>
      </c>
      <c r="O70" s="120"/>
      <c r="P70" s="120"/>
      <c r="Q70" s="123">
        <v>2.5859E-2</v>
      </c>
      <c r="R70" s="123">
        <v>7.1069999999999996E-3</v>
      </c>
    </row>
    <row r="71" spans="1:18" ht="15" customHeight="1">
      <c r="A71" s="121">
        <v>313</v>
      </c>
      <c r="B71" s="121">
        <v>313</v>
      </c>
      <c r="C71" s="120" t="s">
        <v>984</v>
      </c>
      <c r="D71" s="120" t="s">
        <v>1893</v>
      </c>
      <c r="E71" s="121">
        <v>8288565</v>
      </c>
      <c r="F71" s="124">
        <v>43040</v>
      </c>
      <c r="G71" s="122">
        <v>6.34</v>
      </c>
      <c r="H71" s="120" t="s">
        <v>753</v>
      </c>
      <c r="I71" s="124">
        <v>48519</v>
      </c>
      <c r="J71" s="123">
        <v>4.8000000000000001E-2</v>
      </c>
      <c r="K71" s="123">
        <v>1.9599999999999999E-2</v>
      </c>
      <c r="L71" s="122">
        <v>38378000</v>
      </c>
      <c r="M71" s="122">
        <v>141.87299999999999</v>
      </c>
      <c r="N71" s="122">
        <v>54448.00619</v>
      </c>
      <c r="O71" s="120"/>
      <c r="P71" s="120"/>
      <c r="Q71" s="123">
        <v>3.2989999999999998E-3</v>
      </c>
      <c r="R71" s="123">
        <v>9.0600000000000001E-4</v>
      </c>
    </row>
    <row r="72" spans="1:18" ht="15" customHeight="1">
      <c r="A72" s="121">
        <v>313</v>
      </c>
      <c r="B72" s="121">
        <v>313</v>
      </c>
      <c r="C72" s="120" t="s">
        <v>984</v>
      </c>
      <c r="D72" s="120" t="s">
        <v>1894</v>
      </c>
      <c r="E72" s="121">
        <v>8288524</v>
      </c>
      <c r="F72" s="124">
        <v>42918</v>
      </c>
      <c r="G72" s="122">
        <v>6.01</v>
      </c>
      <c r="H72" s="120" t="s">
        <v>753</v>
      </c>
      <c r="I72" s="124">
        <v>48397</v>
      </c>
      <c r="J72" s="123">
        <v>4.8000000000000001E-2</v>
      </c>
      <c r="K72" s="123">
        <v>1.9599999999999999E-2</v>
      </c>
      <c r="L72" s="122">
        <v>110899000</v>
      </c>
      <c r="M72" s="122">
        <v>142.2106</v>
      </c>
      <c r="N72" s="122">
        <v>157710.08463999999</v>
      </c>
      <c r="O72" s="120"/>
      <c r="P72" s="120"/>
      <c r="Q72" s="123">
        <v>9.5560000000000003E-3</v>
      </c>
      <c r="R72" s="123">
        <v>2.6259999999999999E-3</v>
      </c>
    </row>
    <row r="73" spans="1:18" ht="15" customHeight="1">
      <c r="A73" s="121">
        <v>313</v>
      </c>
      <c r="B73" s="121">
        <v>313</v>
      </c>
      <c r="C73" s="120" t="s">
        <v>984</v>
      </c>
      <c r="D73" s="120" t="s">
        <v>1895</v>
      </c>
      <c r="E73" s="121">
        <v>8288888</v>
      </c>
      <c r="F73" s="124">
        <v>44045</v>
      </c>
      <c r="G73" s="122">
        <v>8.25</v>
      </c>
      <c r="H73" s="120" t="s">
        <v>753</v>
      </c>
      <c r="I73" s="124">
        <v>49523</v>
      </c>
      <c r="J73" s="123">
        <v>4.8000000000000001E-2</v>
      </c>
      <c r="K73" s="123">
        <v>1.9400000000000001E-2</v>
      </c>
      <c r="L73" s="122">
        <v>24984000</v>
      </c>
      <c r="M73" s="122">
        <v>150.2533</v>
      </c>
      <c r="N73" s="122">
        <v>37539.286520000001</v>
      </c>
      <c r="O73" s="120"/>
      <c r="P73" s="120"/>
      <c r="Q73" s="123">
        <v>2.274E-3</v>
      </c>
      <c r="R73" s="123">
        <v>6.2500000000000001E-4</v>
      </c>
    </row>
    <row r="74" spans="1:18" ht="15" customHeight="1">
      <c r="A74" s="121">
        <v>313</v>
      </c>
      <c r="B74" s="121">
        <v>313</v>
      </c>
      <c r="C74" s="120" t="s">
        <v>984</v>
      </c>
      <c r="D74" s="120" t="s">
        <v>1896</v>
      </c>
      <c r="E74" s="121">
        <v>8288532</v>
      </c>
      <c r="F74" s="124">
        <v>42949</v>
      </c>
      <c r="G74" s="122">
        <v>6.1</v>
      </c>
      <c r="H74" s="120" t="s">
        <v>753</v>
      </c>
      <c r="I74" s="124">
        <v>48428</v>
      </c>
      <c r="J74" s="123">
        <v>4.8000000000000001E-2</v>
      </c>
      <c r="K74" s="123">
        <v>1.9599999999999999E-2</v>
      </c>
      <c r="L74" s="122">
        <v>5823000</v>
      </c>
      <c r="M74" s="122">
        <v>142.9684</v>
      </c>
      <c r="N74" s="122">
        <v>8325.0526399999999</v>
      </c>
      <c r="O74" s="120"/>
      <c r="P74" s="120"/>
      <c r="Q74" s="123">
        <v>5.04E-4</v>
      </c>
      <c r="R74" s="123">
        <v>1.3799999999999999E-4</v>
      </c>
    </row>
    <row r="75" spans="1:18" ht="15" customHeight="1">
      <c r="A75" s="121">
        <v>313</v>
      </c>
      <c r="B75" s="121">
        <v>313</v>
      </c>
      <c r="C75" s="120" t="s">
        <v>984</v>
      </c>
      <c r="D75" s="120" t="s">
        <v>1897</v>
      </c>
      <c r="E75" s="121">
        <v>8288581</v>
      </c>
      <c r="F75" s="124">
        <v>43101</v>
      </c>
      <c r="G75" s="122">
        <v>6.39</v>
      </c>
      <c r="H75" s="120" t="s">
        <v>753</v>
      </c>
      <c r="I75" s="124">
        <v>48580</v>
      </c>
      <c r="J75" s="123">
        <v>4.8000000000000001E-2</v>
      </c>
      <c r="K75" s="123">
        <v>1.9599999999999999E-2</v>
      </c>
      <c r="L75" s="122">
        <v>60045000</v>
      </c>
      <c r="M75" s="122">
        <v>144.27629999999999</v>
      </c>
      <c r="N75" s="122">
        <v>86630.68118</v>
      </c>
      <c r="O75" s="120"/>
      <c r="P75" s="120"/>
      <c r="Q75" s="123">
        <v>5.2490000000000002E-3</v>
      </c>
      <c r="R75" s="123">
        <v>1.4419999999999999E-3</v>
      </c>
    </row>
    <row r="76" spans="1:18" ht="15" customHeight="1">
      <c r="A76" s="121">
        <v>313</v>
      </c>
      <c r="B76" s="121">
        <v>313</v>
      </c>
      <c r="C76" s="120" t="s">
        <v>984</v>
      </c>
      <c r="D76" s="120" t="s">
        <v>1898</v>
      </c>
      <c r="E76" s="121">
        <v>8288755</v>
      </c>
      <c r="F76" s="124">
        <v>43618</v>
      </c>
      <c r="G76" s="122">
        <v>7.53</v>
      </c>
      <c r="H76" s="120" t="s">
        <v>753</v>
      </c>
      <c r="I76" s="124">
        <v>49097</v>
      </c>
      <c r="J76" s="123">
        <v>4.8000000000000001E-2</v>
      </c>
      <c r="K76" s="123">
        <v>1.95E-2</v>
      </c>
      <c r="L76" s="122">
        <v>125021000</v>
      </c>
      <c r="M76" s="122">
        <v>143.62389999999999</v>
      </c>
      <c r="N76" s="122">
        <v>179560.06985</v>
      </c>
      <c r="O76" s="120"/>
      <c r="P76" s="120"/>
      <c r="Q76" s="123">
        <v>1.0880000000000001E-2</v>
      </c>
      <c r="R76" s="123">
        <v>2.99E-3</v>
      </c>
    </row>
    <row r="77" spans="1:18" ht="15" customHeight="1">
      <c r="A77" s="121">
        <v>313</v>
      </c>
      <c r="B77" s="121">
        <v>313</v>
      </c>
      <c r="C77" s="120" t="s">
        <v>984</v>
      </c>
      <c r="D77" s="120" t="s">
        <v>1899</v>
      </c>
      <c r="E77" s="121">
        <v>8288953</v>
      </c>
      <c r="F77" s="124">
        <v>44256</v>
      </c>
      <c r="G77" s="122">
        <v>8.67</v>
      </c>
      <c r="H77" s="120" t="s">
        <v>753</v>
      </c>
      <c r="I77" s="124">
        <v>49735</v>
      </c>
      <c r="J77" s="123">
        <v>4.8000000000000001E-2</v>
      </c>
      <c r="K77" s="123">
        <v>1.9400000000000001E-2</v>
      </c>
      <c r="L77" s="122">
        <v>111334000</v>
      </c>
      <c r="M77" s="122">
        <v>151.45949999999999</v>
      </c>
      <c r="N77" s="122">
        <v>168625.88024999999</v>
      </c>
      <c r="O77" s="120"/>
      <c r="P77" s="120"/>
      <c r="Q77" s="123">
        <v>1.0217E-2</v>
      </c>
      <c r="R77" s="123">
        <v>2.8080000000000002E-3</v>
      </c>
    </row>
    <row r="78" spans="1:18" ht="15" customHeight="1">
      <c r="A78" s="121">
        <v>313</v>
      </c>
      <c r="B78" s="121">
        <v>313</v>
      </c>
      <c r="C78" s="120" t="s">
        <v>984</v>
      </c>
      <c r="D78" s="120" t="s">
        <v>1900</v>
      </c>
      <c r="E78" s="121">
        <v>8288243</v>
      </c>
      <c r="F78" s="124">
        <v>42064</v>
      </c>
      <c r="G78" s="122">
        <v>4.21</v>
      </c>
      <c r="H78" s="120" t="s">
        <v>753</v>
      </c>
      <c r="I78" s="124">
        <v>47543</v>
      </c>
      <c r="J78" s="123">
        <v>4.8000000000000001E-2</v>
      </c>
      <c r="K78" s="123">
        <v>1.9900000000000001E-2</v>
      </c>
      <c r="L78" s="122">
        <v>266971000</v>
      </c>
      <c r="M78" s="122">
        <v>134.73580000000001</v>
      </c>
      <c r="N78" s="122">
        <v>359705.63244000002</v>
      </c>
      <c r="O78" s="120"/>
      <c r="P78" s="120"/>
      <c r="Q78" s="123">
        <v>2.1795999999999999E-2</v>
      </c>
      <c r="R78" s="123">
        <v>5.9899999999999997E-3</v>
      </c>
    </row>
    <row r="79" spans="1:18" ht="15" customHeight="1">
      <c r="A79" s="121">
        <v>313</v>
      </c>
      <c r="B79" s="121">
        <v>313</v>
      </c>
      <c r="C79" s="120" t="s">
        <v>984</v>
      </c>
      <c r="D79" s="120" t="s">
        <v>1901</v>
      </c>
      <c r="E79" s="121">
        <v>8288656</v>
      </c>
      <c r="F79" s="124">
        <v>43313</v>
      </c>
      <c r="G79" s="122">
        <v>6.83</v>
      </c>
      <c r="H79" s="120" t="s">
        <v>753</v>
      </c>
      <c r="I79" s="124">
        <v>48792</v>
      </c>
      <c r="J79" s="123">
        <v>4.8000000000000001E-2</v>
      </c>
      <c r="K79" s="123">
        <v>1.9599999999999999E-2</v>
      </c>
      <c r="L79" s="122">
        <v>65929000</v>
      </c>
      <c r="M79" s="122">
        <v>144.07740000000001</v>
      </c>
      <c r="N79" s="122">
        <v>94988.811270000006</v>
      </c>
      <c r="O79" s="120"/>
      <c r="P79" s="120"/>
      <c r="Q79" s="123">
        <v>5.7549999999999997E-3</v>
      </c>
      <c r="R79" s="123">
        <v>1.5809999999999999E-3</v>
      </c>
    </row>
    <row r="80" spans="1:18" ht="15" customHeight="1">
      <c r="A80" s="121">
        <v>313</v>
      </c>
      <c r="B80" s="121">
        <v>313</v>
      </c>
      <c r="C80" s="120" t="s">
        <v>984</v>
      </c>
      <c r="D80" s="120" t="s">
        <v>1902</v>
      </c>
      <c r="E80" s="121">
        <v>8288383</v>
      </c>
      <c r="F80" s="124">
        <v>42491</v>
      </c>
      <c r="G80" s="122">
        <v>5.18</v>
      </c>
      <c r="H80" s="120" t="s">
        <v>753</v>
      </c>
      <c r="I80" s="124">
        <v>47969</v>
      </c>
      <c r="J80" s="123">
        <v>4.8000000000000001E-2</v>
      </c>
      <c r="K80" s="123">
        <v>1.9800000000000002E-2</v>
      </c>
      <c r="L80" s="122">
        <v>191668000</v>
      </c>
      <c r="M80" s="122">
        <v>138.9033</v>
      </c>
      <c r="N80" s="122">
        <v>266233.14104999998</v>
      </c>
      <c r="O80" s="120"/>
      <c r="P80" s="120"/>
      <c r="Q80" s="123">
        <v>1.6132000000000001E-2</v>
      </c>
      <c r="R80" s="123">
        <v>4.4330000000000003E-3</v>
      </c>
    </row>
    <row r="81" spans="1:18" ht="15" customHeight="1">
      <c r="A81" s="121">
        <v>313</v>
      </c>
      <c r="B81" s="121">
        <v>313</v>
      </c>
      <c r="C81" s="120" t="s">
        <v>984</v>
      </c>
      <c r="D81" s="120" t="s">
        <v>1903</v>
      </c>
      <c r="E81" s="121">
        <v>8288615</v>
      </c>
      <c r="F81" s="124">
        <v>43191</v>
      </c>
      <c r="G81" s="122">
        <v>6.63</v>
      </c>
      <c r="H81" s="120" t="s">
        <v>753</v>
      </c>
      <c r="I81" s="124">
        <v>48670</v>
      </c>
      <c r="J81" s="123">
        <v>4.8000000000000001E-2</v>
      </c>
      <c r="K81" s="123">
        <v>1.9599999999999999E-2</v>
      </c>
      <c r="L81" s="122">
        <v>14480000</v>
      </c>
      <c r="M81" s="122">
        <v>144.02719999999999</v>
      </c>
      <c r="N81" s="122">
        <v>20855.135999999999</v>
      </c>
      <c r="O81" s="120"/>
      <c r="P81" s="120"/>
      <c r="Q81" s="123">
        <v>1.263E-3</v>
      </c>
      <c r="R81" s="123">
        <v>3.4699999999999998E-4</v>
      </c>
    </row>
    <row r="82" spans="1:18" ht="15" customHeight="1">
      <c r="A82" s="121">
        <v>313</v>
      </c>
      <c r="B82" s="121">
        <v>313</v>
      </c>
      <c r="C82" s="120" t="s">
        <v>984</v>
      </c>
      <c r="D82" s="120" t="s">
        <v>1904</v>
      </c>
      <c r="E82" s="121">
        <v>8289027</v>
      </c>
      <c r="F82" s="124">
        <v>44470</v>
      </c>
      <c r="G82" s="122">
        <v>9.09</v>
      </c>
      <c r="H82" s="120" t="s">
        <v>753</v>
      </c>
      <c r="I82" s="124">
        <v>49949</v>
      </c>
      <c r="J82" s="123">
        <v>4.8000000000000001E-2</v>
      </c>
      <c r="K82" s="123">
        <v>1.9400000000000001E-2</v>
      </c>
      <c r="L82" s="122">
        <v>142454000</v>
      </c>
      <c r="M82" s="122">
        <v>149.0102</v>
      </c>
      <c r="N82" s="122">
        <v>212270.95668999999</v>
      </c>
      <c r="O82" s="120"/>
      <c r="P82" s="120"/>
      <c r="Q82" s="123">
        <v>1.2862E-2</v>
      </c>
      <c r="R82" s="123">
        <v>3.5349999999999999E-3</v>
      </c>
    </row>
    <row r="83" spans="1:18" ht="15" customHeight="1">
      <c r="A83" s="121">
        <v>313</v>
      </c>
      <c r="B83" s="121">
        <v>313</v>
      </c>
      <c r="C83" s="120" t="s">
        <v>984</v>
      </c>
      <c r="D83" s="120" t="s">
        <v>1905</v>
      </c>
      <c r="E83" s="121">
        <v>8288433</v>
      </c>
      <c r="F83" s="124">
        <v>42645</v>
      </c>
      <c r="G83" s="122">
        <v>5.5</v>
      </c>
      <c r="H83" s="120" t="s">
        <v>753</v>
      </c>
      <c r="I83" s="124">
        <v>48123</v>
      </c>
      <c r="J83" s="123">
        <v>4.8000000000000001E-2</v>
      </c>
      <c r="K83" s="123">
        <v>1.9699999999999999E-2</v>
      </c>
      <c r="L83" s="122">
        <v>36593000</v>
      </c>
      <c r="M83" s="122">
        <v>139.1054</v>
      </c>
      <c r="N83" s="122">
        <v>50902.848050000001</v>
      </c>
      <c r="O83" s="120"/>
      <c r="P83" s="120"/>
      <c r="Q83" s="123">
        <v>3.0839999999999999E-3</v>
      </c>
      <c r="R83" s="123">
        <v>8.4699999999999999E-4</v>
      </c>
    </row>
    <row r="84" spans="1:18" ht="15" customHeight="1">
      <c r="A84" s="121">
        <v>313</v>
      </c>
      <c r="B84" s="121">
        <v>313</v>
      </c>
      <c r="C84" s="120" t="s">
        <v>984</v>
      </c>
      <c r="D84" s="120" t="s">
        <v>1906</v>
      </c>
      <c r="E84" s="121">
        <v>8288508</v>
      </c>
      <c r="F84" s="124">
        <v>42856</v>
      </c>
      <c r="G84" s="122">
        <v>5.96</v>
      </c>
      <c r="H84" s="120" t="s">
        <v>753</v>
      </c>
      <c r="I84" s="124">
        <v>48336</v>
      </c>
      <c r="J84" s="123">
        <v>4.8000000000000001E-2</v>
      </c>
      <c r="K84" s="123">
        <v>1.9699999999999999E-2</v>
      </c>
      <c r="L84" s="122">
        <v>109070000</v>
      </c>
      <c r="M84" s="122">
        <v>140.6754</v>
      </c>
      <c r="N84" s="122">
        <v>153434.63131999999</v>
      </c>
      <c r="O84" s="120"/>
      <c r="P84" s="120"/>
      <c r="Q84" s="123">
        <v>9.2969999999999997E-3</v>
      </c>
      <c r="R84" s="123">
        <v>2.555E-3</v>
      </c>
    </row>
    <row r="85" spans="1:18" ht="15" customHeight="1">
      <c r="A85" s="121">
        <v>313</v>
      </c>
      <c r="B85" s="121">
        <v>313</v>
      </c>
      <c r="C85" s="120" t="s">
        <v>984</v>
      </c>
      <c r="D85" s="120" t="s">
        <v>1907</v>
      </c>
      <c r="E85" s="121">
        <v>8288680</v>
      </c>
      <c r="F85" s="124">
        <v>43405</v>
      </c>
      <c r="G85" s="122">
        <v>7.08</v>
      </c>
      <c r="H85" s="120" t="s">
        <v>753</v>
      </c>
      <c r="I85" s="124">
        <v>48884</v>
      </c>
      <c r="J85" s="123">
        <v>4.8000000000000001E-2</v>
      </c>
      <c r="K85" s="123">
        <v>1.95E-2</v>
      </c>
      <c r="L85" s="122">
        <v>47451000</v>
      </c>
      <c r="M85" s="122">
        <v>143.11529999999999</v>
      </c>
      <c r="N85" s="122">
        <v>67909.636899999998</v>
      </c>
      <c r="O85" s="120"/>
      <c r="P85" s="120"/>
      <c r="Q85" s="123">
        <v>4.1149999999999997E-3</v>
      </c>
      <c r="R85" s="123">
        <v>1.1299999999999999E-3</v>
      </c>
    </row>
    <row r="86" spans="1:18" ht="15" customHeight="1">
      <c r="A86" s="121">
        <v>313</v>
      </c>
      <c r="B86" s="121">
        <v>313</v>
      </c>
      <c r="C86" s="120" t="s">
        <v>984</v>
      </c>
      <c r="D86" s="120" t="s">
        <v>1908</v>
      </c>
      <c r="E86" s="121">
        <v>8288748</v>
      </c>
      <c r="F86" s="124">
        <v>43586</v>
      </c>
      <c r="G86" s="122">
        <v>7.44</v>
      </c>
      <c r="H86" s="120" t="s">
        <v>753</v>
      </c>
      <c r="I86" s="124">
        <v>49065</v>
      </c>
      <c r="J86" s="123">
        <v>4.8000000000000001E-2</v>
      </c>
      <c r="K86" s="123">
        <v>1.95E-2</v>
      </c>
      <c r="L86" s="122">
        <v>246134000</v>
      </c>
      <c r="M86" s="122">
        <v>144.27189999999999</v>
      </c>
      <c r="N86" s="122">
        <v>355102.1974</v>
      </c>
      <c r="O86" s="120"/>
      <c r="P86" s="120"/>
      <c r="Q86" s="123">
        <v>2.1517000000000001E-2</v>
      </c>
      <c r="R86" s="123">
        <v>5.9129999999999999E-3</v>
      </c>
    </row>
    <row r="87" spans="1:18" ht="15" customHeight="1">
      <c r="A87" s="121">
        <v>313</v>
      </c>
      <c r="B87" s="121">
        <v>313</v>
      </c>
      <c r="C87" s="120" t="s">
        <v>984</v>
      </c>
      <c r="D87" s="120" t="s">
        <v>1909</v>
      </c>
      <c r="E87" s="121">
        <v>8288060</v>
      </c>
      <c r="F87" s="124">
        <v>41518</v>
      </c>
      <c r="G87" s="122">
        <v>2.95</v>
      </c>
      <c r="H87" s="120" t="s">
        <v>753</v>
      </c>
      <c r="I87" s="124">
        <v>46999</v>
      </c>
      <c r="J87" s="123">
        <v>4.8000000000000001E-2</v>
      </c>
      <c r="K87" s="123">
        <v>2.0199999999999999E-2</v>
      </c>
      <c r="L87" s="122">
        <v>193288000</v>
      </c>
      <c r="M87" s="122">
        <v>128.8366</v>
      </c>
      <c r="N87" s="122">
        <v>249025.63870000001</v>
      </c>
      <c r="O87" s="120"/>
      <c r="P87" s="120"/>
      <c r="Q87" s="123">
        <v>1.5089E-2</v>
      </c>
      <c r="R87" s="123">
        <v>4.1469999999999996E-3</v>
      </c>
    </row>
    <row r="88" spans="1:18" ht="15" customHeight="1">
      <c r="A88" s="121">
        <v>313</v>
      </c>
      <c r="B88" s="121">
        <v>313</v>
      </c>
      <c r="C88" s="120" t="s">
        <v>984</v>
      </c>
      <c r="D88" s="120" t="s">
        <v>1910</v>
      </c>
      <c r="E88" s="121">
        <v>8288623</v>
      </c>
      <c r="F88" s="124">
        <v>43221</v>
      </c>
      <c r="G88" s="122">
        <v>6.71</v>
      </c>
      <c r="H88" s="120" t="s">
        <v>753</v>
      </c>
      <c r="I88" s="124">
        <v>48700</v>
      </c>
      <c r="J88" s="123">
        <v>4.8000000000000001E-2</v>
      </c>
      <c r="K88" s="123">
        <v>1.9599999999999999E-2</v>
      </c>
      <c r="L88" s="122">
        <v>88852000</v>
      </c>
      <c r="M88" s="122">
        <v>143.36410000000001</v>
      </c>
      <c r="N88" s="122">
        <v>127381.90474</v>
      </c>
      <c r="O88" s="120"/>
      <c r="P88" s="120"/>
      <c r="Q88" s="123">
        <v>7.718E-3</v>
      </c>
      <c r="R88" s="123">
        <v>2.1210000000000001E-3</v>
      </c>
    </row>
    <row r="89" spans="1:18" ht="15" customHeight="1">
      <c r="A89" s="121">
        <v>313</v>
      </c>
      <c r="B89" s="121">
        <v>313</v>
      </c>
      <c r="C89" s="120" t="s">
        <v>984</v>
      </c>
      <c r="D89" s="120" t="s">
        <v>1911</v>
      </c>
      <c r="E89" s="121">
        <v>8288979</v>
      </c>
      <c r="F89" s="124">
        <v>44318</v>
      </c>
      <c r="G89" s="122">
        <v>8.84</v>
      </c>
      <c r="H89" s="120" t="s">
        <v>753</v>
      </c>
      <c r="I89" s="124">
        <v>49797</v>
      </c>
      <c r="J89" s="123">
        <v>4.8000000000000001E-2</v>
      </c>
      <c r="K89" s="123">
        <v>1.9400000000000001E-2</v>
      </c>
      <c r="L89" s="122">
        <v>224457000</v>
      </c>
      <c r="M89" s="122">
        <v>149.60310000000001</v>
      </c>
      <c r="N89" s="122">
        <v>335794.67580999999</v>
      </c>
      <c r="O89" s="120"/>
      <c r="P89" s="120"/>
      <c r="Q89" s="123">
        <v>2.0347000000000001E-2</v>
      </c>
      <c r="R89" s="123">
        <v>5.5919999999999997E-3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0" hidden="1" customWidth="1"/>
    <col min="40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313</v>
      </c>
      <c r="B2" s="121">
        <v>313</v>
      </c>
      <c r="C2" s="120" t="s">
        <v>1912</v>
      </c>
      <c r="D2" s="121">
        <v>513502229</v>
      </c>
      <c r="E2" s="120" t="s">
        <v>308</v>
      </c>
      <c r="F2" s="120" t="s">
        <v>1913</v>
      </c>
      <c r="G2" s="121" t="s">
        <v>1914</v>
      </c>
      <c r="H2" s="120" t="s">
        <v>320</v>
      </c>
      <c r="I2" s="120" t="s">
        <v>754</v>
      </c>
      <c r="J2" s="120" t="s">
        <v>203</v>
      </c>
      <c r="K2" s="120" t="s">
        <v>203</v>
      </c>
      <c r="L2" s="120" t="s">
        <v>325</v>
      </c>
      <c r="M2" s="120" t="s">
        <v>450</v>
      </c>
      <c r="N2" s="120" t="s">
        <v>338</v>
      </c>
      <c r="O2" s="124">
        <v>38118</v>
      </c>
      <c r="P2" s="120" t="s">
        <v>1323</v>
      </c>
      <c r="Q2" s="120" t="s">
        <v>414</v>
      </c>
      <c r="R2" s="120" t="s">
        <v>406</v>
      </c>
      <c r="S2" s="120" t="s">
        <v>1222</v>
      </c>
      <c r="T2" s="122">
        <v>0.99</v>
      </c>
      <c r="U2" s="124">
        <v>46571</v>
      </c>
      <c r="V2" s="123">
        <v>4.9200000000000001E-2</v>
      </c>
      <c r="W2" s="123">
        <v>7.9699999999999993E-2</v>
      </c>
      <c r="X2" s="120" t="s">
        <v>411</v>
      </c>
      <c r="Y2" s="120"/>
      <c r="Z2" s="120" t="s">
        <v>887</v>
      </c>
      <c r="AA2" s="120" t="s">
        <v>890</v>
      </c>
      <c r="AB2" s="124">
        <v>45838</v>
      </c>
      <c r="AC2" s="124"/>
      <c r="AD2" s="122">
        <v>4961419.3600000003</v>
      </c>
      <c r="AE2" s="122">
        <v>3.3719999999999999</v>
      </c>
      <c r="AF2" s="122">
        <v>107.01</v>
      </c>
      <c r="AG2" s="122">
        <v>17902.672500000001</v>
      </c>
      <c r="AH2" s="122"/>
      <c r="AI2" s="122"/>
      <c r="AJ2" s="120"/>
      <c r="AK2" s="123">
        <v>3.7744E-2</v>
      </c>
      <c r="AL2" s="123">
        <v>2.9799999999999998E-4</v>
      </c>
    </row>
    <row r="3" spans="1:38" ht="15" customHeight="1">
      <c r="A3" s="121">
        <v>313</v>
      </c>
      <c r="B3" s="121">
        <v>313</v>
      </c>
      <c r="C3" s="120" t="s">
        <v>1915</v>
      </c>
      <c r="D3" s="121">
        <v>517014023</v>
      </c>
      <c r="E3" s="120" t="s">
        <v>308</v>
      </c>
      <c r="F3" s="120" t="s">
        <v>1916</v>
      </c>
      <c r="G3" s="121" t="s">
        <v>1917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463</v>
      </c>
      <c r="N3" s="120" t="s">
        <v>338</v>
      </c>
      <c r="O3" s="124">
        <v>45652</v>
      </c>
      <c r="P3" s="120" t="s">
        <v>1323</v>
      </c>
      <c r="Q3" s="120" t="s">
        <v>414</v>
      </c>
      <c r="R3" s="120" t="s">
        <v>406</v>
      </c>
      <c r="S3" s="120" t="s">
        <v>1218</v>
      </c>
      <c r="T3" s="122">
        <v>10.63</v>
      </c>
      <c r="U3" s="124">
        <v>56300</v>
      </c>
      <c r="V3" s="123">
        <v>4.4999999999999998E-2</v>
      </c>
      <c r="W3" s="123">
        <v>0.05</v>
      </c>
      <c r="X3" s="120" t="s">
        <v>411</v>
      </c>
      <c r="Y3" s="120"/>
      <c r="Z3" s="120" t="s">
        <v>887</v>
      </c>
      <c r="AA3" s="120" t="s">
        <v>890</v>
      </c>
      <c r="AB3" s="124">
        <v>45838</v>
      </c>
      <c r="AC3" s="120"/>
      <c r="AD3" s="122">
        <v>2173950.2999999998</v>
      </c>
      <c r="AE3" s="122">
        <v>1</v>
      </c>
      <c r="AF3" s="122">
        <v>108.11</v>
      </c>
      <c r="AG3" s="122">
        <v>2350.25767</v>
      </c>
      <c r="AH3" s="120"/>
      <c r="AI3" s="120"/>
      <c r="AJ3" s="120"/>
      <c r="AK3" s="123">
        <v>4.9550000000000002E-3</v>
      </c>
      <c r="AL3" s="123">
        <v>3.8999999999999999E-5</v>
      </c>
    </row>
    <row r="4" spans="1:38" ht="15" customHeight="1">
      <c r="A4" s="121">
        <v>313</v>
      </c>
      <c r="B4" s="121">
        <v>313</v>
      </c>
      <c r="C4" s="120" t="s">
        <v>1918</v>
      </c>
      <c r="D4" s="121">
        <v>516041118</v>
      </c>
      <c r="E4" s="120" t="s">
        <v>308</v>
      </c>
      <c r="F4" s="120" t="s">
        <v>1919</v>
      </c>
      <c r="G4" s="121" t="s">
        <v>1920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45153</v>
      </c>
      <c r="P4" s="120" t="s">
        <v>1285</v>
      </c>
      <c r="Q4" s="120" t="s">
        <v>412</v>
      </c>
      <c r="R4" s="120" t="s">
        <v>406</v>
      </c>
      <c r="S4" s="120" t="s">
        <v>1218</v>
      </c>
      <c r="T4" s="122">
        <v>2.5499999999999998</v>
      </c>
      <c r="U4" s="124">
        <v>47483</v>
      </c>
      <c r="V4" s="123">
        <v>3.2800000000000003E-2</v>
      </c>
      <c r="W4" s="123">
        <v>3.6400000000000002E-2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45838</v>
      </c>
      <c r="AC4" s="120"/>
      <c r="AD4" s="122">
        <v>13685000</v>
      </c>
      <c r="AE4" s="122">
        <v>1</v>
      </c>
      <c r="AF4" s="122">
        <v>106.67</v>
      </c>
      <c r="AG4" s="122">
        <v>14597.789500000001</v>
      </c>
      <c r="AH4" s="120"/>
      <c r="AI4" s="120"/>
      <c r="AJ4" s="120"/>
      <c r="AK4" s="123">
        <v>3.0776999999999999E-2</v>
      </c>
      <c r="AL4" s="123">
        <v>2.43E-4</v>
      </c>
    </row>
    <row r="5" spans="1:38" ht="15" customHeight="1">
      <c r="A5" s="121">
        <v>313</v>
      </c>
      <c r="B5" s="121">
        <v>313</v>
      </c>
      <c r="C5" s="120" t="s">
        <v>1921</v>
      </c>
      <c r="D5" s="121">
        <v>500102868</v>
      </c>
      <c r="E5" s="120" t="s">
        <v>308</v>
      </c>
      <c r="F5" s="120" t="s">
        <v>1922</v>
      </c>
      <c r="G5" s="121" t="s">
        <v>1923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44740</v>
      </c>
      <c r="P5" s="120" t="s">
        <v>1307</v>
      </c>
      <c r="Q5" s="120" t="s">
        <v>414</v>
      </c>
      <c r="R5" s="120" t="s">
        <v>406</v>
      </c>
      <c r="S5" s="120" t="s">
        <v>1218</v>
      </c>
      <c r="T5" s="122">
        <v>6.42</v>
      </c>
      <c r="U5" s="124">
        <v>50040</v>
      </c>
      <c r="V5" s="123">
        <v>2.81E-2</v>
      </c>
      <c r="W5" s="123">
        <v>1.7500000000000002E-2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45838</v>
      </c>
      <c r="AC5" s="120"/>
      <c r="AD5" s="122">
        <v>13939200.01</v>
      </c>
      <c r="AE5" s="122">
        <v>1</v>
      </c>
      <c r="AF5" s="122">
        <v>103.68</v>
      </c>
      <c r="AG5" s="122">
        <v>14452.16257</v>
      </c>
      <c r="AH5" s="120"/>
      <c r="AI5" s="120"/>
      <c r="AJ5" s="120"/>
      <c r="AK5" s="123">
        <v>3.0470000000000001E-2</v>
      </c>
      <c r="AL5" s="123">
        <v>2.4000000000000001E-4</v>
      </c>
    </row>
    <row r="6" spans="1:38" ht="15" customHeight="1">
      <c r="A6" s="121">
        <v>313</v>
      </c>
      <c r="B6" s="121">
        <v>313</v>
      </c>
      <c r="C6" s="120" t="s">
        <v>1921</v>
      </c>
      <c r="D6" s="121">
        <v>500102868</v>
      </c>
      <c r="E6" s="120" t="s">
        <v>308</v>
      </c>
      <c r="F6" s="120" t="s">
        <v>1924</v>
      </c>
      <c r="G6" s="121" t="s">
        <v>1925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476</v>
      </c>
      <c r="N6" s="120" t="s">
        <v>338</v>
      </c>
      <c r="O6" s="124">
        <v>44740</v>
      </c>
      <c r="P6" s="120" t="s">
        <v>1307</v>
      </c>
      <c r="Q6" s="120" t="s">
        <v>414</v>
      </c>
      <c r="R6" s="120" t="s">
        <v>406</v>
      </c>
      <c r="S6" s="120" t="s">
        <v>1218</v>
      </c>
      <c r="T6" s="122">
        <v>3.51</v>
      </c>
      <c r="U6" s="124">
        <v>48213</v>
      </c>
      <c r="V6" s="123">
        <v>2.8299999999999999E-2</v>
      </c>
      <c r="W6" s="123">
        <v>1.55E-2</v>
      </c>
      <c r="X6" s="120" t="s">
        <v>411</v>
      </c>
      <c r="Y6" s="120"/>
      <c r="Z6" s="120" t="s">
        <v>887</v>
      </c>
      <c r="AA6" s="120" t="s">
        <v>890</v>
      </c>
      <c r="AB6" s="124">
        <v>45838</v>
      </c>
      <c r="AC6" s="120"/>
      <c r="AD6" s="122">
        <v>15400000.01</v>
      </c>
      <c r="AE6" s="122">
        <v>1</v>
      </c>
      <c r="AF6" s="122">
        <v>106.05</v>
      </c>
      <c r="AG6" s="122">
        <v>16331.70001</v>
      </c>
      <c r="AH6" s="120"/>
      <c r="AI6" s="120"/>
      <c r="AJ6" s="120"/>
      <c r="AK6" s="123">
        <v>3.4431999999999997E-2</v>
      </c>
      <c r="AL6" s="123">
        <v>2.7099999999999997E-4</v>
      </c>
    </row>
    <row r="7" spans="1:38" ht="15" customHeight="1">
      <c r="A7" s="121">
        <v>313</v>
      </c>
      <c r="B7" s="121">
        <v>313</v>
      </c>
      <c r="C7" s="120" t="s">
        <v>1926</v>
      </c>
      <c r="D7" s="121">
        <v>510905847</v>
      </c>
      <c r="E7" s="120" t="s">
        <v>308</v>
      </c>
      <c r="F7" s="120" t="s">
        <v>1927</v>
      </c>
      <c r="G7" s="121" t="s">
        <v>1928</v>
      </c>
      <c r="H7" s="120" t="s">
        <v>320</v>
      </c>
      <c r="I7" s="120" t="s">
        <v>754</v>
      </c>
      <c r="J7" s="120" t="s">
        <v>203</v>
      </c>
      <c r="K7" s="120" t="s">
        <v>203</v>
      </c>
      <c r="L7" s="120" t="s">
        <v>325</v>
      </c>
      <c r="M7" s="120" t="s">
        <v>453</v>
      </c>
      <c r="N7" s="120" t="s">
        <v>338</v>
      </c>
      <c r="O7" s="124">
        <v>44279</v>
      </c>
      <c r="P7" s="120" t="s">
        <v>1929</v>
      </c>
      <c r="Q7" s="120" t="s">
        <v>412</v>
      </c>
      <c r="R7" s="120" t="s">
        <v>406</v>
      </c>
      <c r="S7" s="120" t="s">
        <v>1222</v>
      </c>
      <c r="T7" s="122">
        <v>2.56</v>
      </c>
      <c r="U7" s="124">
        <v>46842</v>
      </c>
      <c r="V7" s="123">
        <v>6.6799999999999998E-2</v>
      </c>
      <c r="W7" s="123">
        <v>5.3749999999999999E-2</v>
      </c>
      <c r="X7" s="120" t="s">
        <v>411</v>
      </c>
      <c r="Y7" s="120"/>
      <c r="Z7" s="120" t="s">
        <v>887</v>
      </c>
      <c r="AA7" s="120" t="s">
        <v>890</v>
      </c>
      <c r="AB7" s="124">
        <v>45838</v>
      </c>
      <c r="AC7" s="120"/>
      <c r="AD7" s="122">
        <v>4000000</v>
      </c>
      <c r="AE7" s="122">
        <v>3.3719999999999999</v>
      </c>
      <c r="AF7" s="122">
        <v>98.35</v>
      </c>
      <c r="AG7" s="122">
        <v>13265.448</v>
      </c>
      <c r="AH7" s="120"/>
      <c r="AI7" s="120"/>
      <c r="AJ7" s="120"/>
      <c r="AK7" s="123">
        <v>2.7968E-2</v>
      </c>
      <c r="AL7" s="123">
        <v>2.2000000000000001E-4</v>
      </c>
    </row>
    <row r="8" spans="1:38" ht="15" customHeight="1">
      <c r="A8" s="121">
        <v>313</v>
      </c>
      <c r="B8" s="121">
        <v>313</v>
      </c>
      <c r="C8" s="120" t="s">
        <v>1926</v>
      </c>
      <c r="D8" s="121">
        <v>510905847</v>
      </c>
      <c r="E8" s="120" t="s">
        <v>308</v>
      </c>
      <c r="F8" s="120" t="s">
        <v>1930</v>
      </c>
      <c r="G8" s="121" t="s">
        <v>1931</v>
      </c>
      <c r="H8" s="120" t="s">
        <v>320</v>
      </c>
      <c r="I8" s="120" t="s">
        <v>754</v>
      </c>
      <c r="J8" s="120" t="s">
        <v>203</v>
      </c>
      <c r="K8" s="120" t="s">
        <v>203</v>
      </c>
      <c r="L8" s="120" t="s">
        <v>325</v>
      </c>
      <c r="M8" s="120" t="s">
        <v>453</v>
      </c>
      <c r="N8" s="120" t="s">
        <v>338</v>
      </c>
      <c r="O8" s="124">
        <v>44279</v>
      </c>
      <c r="P8" s="120" t="s">
        <v>1929</v>
      </c>
      <c r="Q8" s="120" t="s">
        <v>412</v>
      </c>
      <c r="R8" s="120" t="s">
        <v>406</v>
      </c>
      <c r="S8" s="120" t="s">
        <v>1222</v>
      </c>
      <c r="T8" s="122">
        <v>0.74</v>
      </c>
      <c r="U8" s="124">
        <v>46111</v>
      </c>
      <c r="V8" s="123">
        <v>7.1199999999999999E-2</v>
      </c>
      <c r="W8" s="123">
        <v>4.8750000000000002E-2</v>
      </c>
      <c r="X8" s="120" t="s">
        <v>411</v>
      </c>
      <c r="Y8" s="120"/>
      <c r="Z8" s="120" t="s">
        <v>887</v>
      </c>
      <c r="AA8" s="120" t="s">
        <v>890</v>
      </c>
      <c r="AB8" s="124">
        <v>45838</v>
      </c>
      <c r="AC8" s="120"/>
      <c r="AD8" s="122">
        <v>6500000</v>
      </c>
      <c r="AE8" s="122">
        <v>3.3719999999999999</v>
      </c>
      <c r="AF8" s="122">
        <v>99.7</v>
      </c>
      <c r="AG8" s="122">
        <v>21852.245999999999</v>
      </c>
      <c r="AH8" s="120"/>
      <c r="AI8" s="120"/>
      <c r="AJ8" s="120"/>
      <c r="AK8" s="123">
        <v>4.6072000000000002E-2</v>
      </c>
      <c r="AL8" s="123">
        <v>3.6299999999999999E-4</v>
      </c>
    </row>
    <row r="9" spans="1:38" ht="15" customHeight="1">
      <c r="A9" s="121">
        <v>313</v>
      </c>
      <c r="B9" s="121">
        <v>313</v>
      </c>
      <c r="C9" s="120" t="s">
        <v>1497</v>
      </c>
      <c r="D9" s="121">
        <v>880326081</v>
      </c>
      <c r="E9" s="120" t="s">
        <v>308</v>
      </c>
      <c r="F9" s="120" t="s">
        <v>1932</v>
      </c>
      <c r="G9" s="121" t="s">
        <v>1933</v>
      </c>
      <c r="H9" s="120" t="s">
        <v>320</v>
      </c>
      <c r="I9" s="120" t="s">
        <v>952</v>
      </c>
      <c r="J9" s="120" t="s">
        <v>203</v>
      </c>
      <c r="K9" s="120" t="s">
        <v>203</v>
      </c>
      <c r="L9" s="120" t="s">
        <v>325</v>
      </c>
      <c r="M9" s="120" t="s">
        <v>440</v>
      </c>
      <c r="N9" s="120" t="s">
        <v>338</v>
      </c>
      <c r="O9" s="124">
        <v>44014</v>
      </c>
      <c r="P9" s="120" t="s">
        <v>1285</v>
      </c>
      <c r="Q9" s="120" t="s">
        <v>412</v>
      </c>
      <c r="R9" s="120" t="s">
        <v>406</v>
      </c>
      <c r="S9" s="120" t="s">
        <v>1218</v>
      </c>
      <c r="T9" s="122">
        <v>3.2</v>
      </c>
      <c r="U9" s="124">
        <v>48014</v>
      </c>
      <c r="V9" s="123">
        <v>5.1200000000000002E-2</v>
      </c>
      <c r="W9" s="123">
        <v>3.3500000000000002E-2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45838</v>
      </c>
      <c r="AC9" s="120"/>
      <c r="AD9" s="122">
        <v>2942190</v>
      </c>
      <c r="AE9" s="122">
        <v>1</v>
      </c>
      <c r="AF9" s="122">
        <v>94.87</v>
      </c>
      <c r="AG9" s="122">
        <v>2791.2556500000001</v>
      </c>
      <c r="AH9" s="120"/>
      <c r="AI9" s="120"/>
      <c r="AJ9" s="120"/>
      <c r="AK9" s="123">
        <v>5.8840000000000003E-3</v>
      </c>
      <c r="AL9" s="123">
        <v>4.6E-5</v>
      </c>
    </row>
    <row r="10" spans="1:38" ht="15" customHeight="1">
      <c r="A10" s="121">
        <v>313</v>
      </c>
      <c r="B10" s="121">
        <v>313</v>
      </c>
      <c r="C10" s="120" t="s">
        <v>1934</v>
      </c>
      <c r="D10" s="121">
        <v>540333101</v>
      </c>
      <c r="E10" s="120" t="s">
        <v>309</v>
      </c>
      <c r="F10" s="120" t="s">
        <v>1935</v>
      </c>
      <c r="G10" s="121" t="s">
        <v>1936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454</v>
      </c>
      <c r="N10" s="120" t="s">
        <v>338</v>
      </c>
      <c r="O10" s="124">
        <v>45656</v>
      </c>
      <c r="P10" s="120" t="s">
        <v>1331</v>
      </c>
      <c r="Q10" s="120" t="s">
        <v>414</v>
      </c>
      <c r="R10" s="120" t="s">
        <v>406</v>
      </c>
      <c r="S10" s="120" t="s">
        <v>1218</v>
      </c>
      <c r="T10" s="122">
        <v>8.2200000000000006</v>
      </c>
      <c r="U10" s="124">
        <v>52596</v>
      </c>
      <c r="V10" s="123">
        <v>3.7100000000000001E-2</v>
      </c>
      <c r="W10" s="123">
        <v>3.9E-2</v>
      </c>
      <c r="X10" s="120" t="s">
        <v>411</v>
      </c>
      <c r="Y10" s="120"/>
      <c r="Z10" s="120" t="s">
        <v>887</v>
      </c>
      <c r="AA10" s="120" t="s">
        <v>890</v>
      </c>
      <c r="AB10" s="124">
        <v>45838</v>
      </c>
      <c r="AC10" s="120"/>
      <c r="AD10" s="122">
        <v>18595500</v>
      </c>
      <c r="AE10" s="122">
        <v>1</v>
      </c>
      <c r="AF10" s="122">
        <v>103.42</v>
      </c>
      <c r="AG10" s="122">
        <v>19231.466100000001</v>
      </c>
      <c r="AH10" s="120"/>
      <c r="AI10" s="120"/>
      <c r="AJ10" s="120"/>
      <c r="AK10" s="123">
        <v>4.0545999999999999E-2</v>
      </c>
      <c r="AL10" s="123">
        <v>3.2000000000000003E-4</v>
      </c>
    </row>
    <row r="11" spans="1:38" ht="15" customHeight="1">
      <c r="A11" s="121">
        <v>313</v>
      </c>
      <c r="B11" s="121">
        <v>313</v>
      </c>
      <c r="C11" s="120" t="s">
        <v>1937</v>
      </c>
      <c r="D11" s="121">
        <v>510687403</v>
      </c>
      <c r="E11" s="120" t="s">
        <v>308</v>
      </c>
      <c r="F11" s="120" t="s">
        <v>1938</v>
      </c>
      <c r="G11" s="121" t="s">
        <v>1939</v>
      </c>
      <c r="H11" s="120" t="s">
        <v>320</v>
      </c>
      <c r="I11" s="120" t="s">
        <v>952</v>
      </c>
      <c r="J11" s="120" t="s">
        <v>203</v>
      </c>
      <c r="K11" s="120" t="s">
        <v>203</v>
      </c>
      <c r="L11" s="120" t="s">
        <v>325</v>
      </c>
      <c r="M11" s="120" t="s">
        <v>463</v>
      </c>
      <c r="N11" s="120" t="s">
        <v>338</v>
      </c>
      <c r="O11" s="124">
        <v>42598</v>
      </c>
      <c r="P11" s="120" t="s">
        <v>1940</v>
      </c>
      <c r="Q11" s="120" t="s">
        <v>412</v>
      </c>
      <c r="R11" s="120" t="s">
        <v>406</v>
      </c>
      <c r="S11" s="120" t="s">
        <v>1218</v>
      </c>
      <c r="T11" s="122">
        <v>1.46</v>
      </c>
      <c r="U11" s="124">
        <v>46568</v>
      </c>
      <c r="V11" s="123">
        <v>4.6300000000000001E-2</v>
      </c>
      <c r="W11" s="123">
        <v>3.1E-2</v>
      </c>
      <c r="X11" s="120" t="s">
        <v>411</v>
      </c>
      <c r="Y11" s="120"/>
      <c r="Z11" s="120" t="s">
        <v>887</v>
      </c>
      <c r="AA11" s="120" t="s">
        <v>890</v>
      </c>
      <c r="AB11" s="124">
        <v>45838</v>
      </c>
      <c r="AC11" s="120"/>
      <c r="AD11" s="122">
        <v>12264000.17</v>
      </c>
      <c r="AE11" s="122">
        <v>1</v>
      </c>
      <c r="AF11" s="122">
        <v>97.91</v>
      </c>
      <c r="AG11" s="122">
        <v>12007.682570000001</v>
      </c>
      <c r="AH11" s="120"/>
      <c r="AI11" s="120"/>
      <c r="AJ11" s="120"/>
      <c r="AK11" s="123">
        <v>2.5316000000000002E-2</v>
      </c>
      <c r="AL11" s="123">
        <v>1.9900000000000001E-4</v>
      </c>
    </row>
    <row r="12" spans="1:38" ht="15" customHeight="1">
      <c r="A12" s="121">
        <v>313</v>
      </c>
      <c r="B12" s="121">
        <v>313</v>
      </c>
      <c r="C12" s="120" t="s">
        <v>1369</v>
      </c>
      <c r="D12" s="121">
        <v>513436394</v>
      </c>
      <c r="E12" s="120" t="s">
        <v>308</v>
      </c>
      <c r="F12" s="120" t="s">
        <v>1941</v>
      </c>
      <c r="G12" s="121" t="s">
        <v>1942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40910</v>
      </c>
      <c r="P12" s="120" t="s">
        <v>1323</v>
      </c>
      <c r="Q12" s="120" t="s">
        <v>414</v>
      </c>
      <c r="R12" s="120" t="s">
        <v>406</v>
      </c>
      <c r="S12" s="120" t="s">
        <v>1218</v>
      </c>
      <c r="T12" s="122">
        <v>3.29</v>
      </c>
      <c r="U12" s="124">
        <v>48213</v>
      </c>
      <c r="V12" s="123">
        <v>2.86E-2</v>
      </c>
      <c r="W12" s="123">
        <v>4.8000000000000001E-2</v>
      </c>
      <c r="X12" s="120" t="s">
        <v>411</v>
      </c>
      <c r="Y12" s="120"/>
      <c r="Z12" s="120" t="s">
        <v>887</v>
      </c>
      <c r="AA12" s="120" t="s">
        <v>890</v>
      </c>
      <c r="AB12" s="124">
        <v>45838</v>
      </c>
      <c r="AC12" s="120"/>
      <c r="AD12" s="122">
        <v>22489421</v>
      </c>
      <c r="AE12" s="122">
        <v>1</v>
      </c>
      <c r="AF12" s="122">
        <v>128.66999999999999</v>
      </c>
      <c r="AG12" s="122">
        <v>28937.137999999999</v>
      </c>
      <c r="AH12" s="120"/>
      <c r="AI12" s="120"/>
      <c r="AJ12" s="120"/>
      <c r="AK12" s="123">
        <v>6.1009000000000001E-2</v>
      </c>
      <c r="AL12" s="123">
        <v>4.8099999999999998E-4</v>
      </c>
    </row>
    <row r="13" spans="1:38" ht="15" customHeight="1">
      <c r="A13" s="121">
        <v>313</v>
      </c>
      <c r="B13" s="121">
        <v>313</v>
      </c>
      <c r="C13" s="120" t="s">
        <v>1355</v>
      </c>
      <c r="D13" s="121">
        <v>520010869</v>
      </c>
      <c r="E13" s="120" t="s">
        <v>308</v>
      </c>
      <c r="F13" s="120" t="s">
        <v>1943</v>
      </c>
      <c r="G13" s="121" t="s">
        <v>1944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40738</v>
      </c>
      <c r="P13" s="120" t="s">
        <v>1211</v>
      </c>
      <c r="Q13" s="120" t="s">
        <v>412</v>
      </c>
      <c r="R13" s="120" t="s">
        <v>406</v>
      </c>
      <c r="S13" s="120" t="s">
        <v>1218</v>
      </c>
      <c r="T13" s="122">
        <v>8.8800000000000008</v>
      </c>
      <c r="U13" s="124">
        <v>54253</v>
      </c>
      <c r="V13" s="123">
        <v>3.0800000000000001E-2</v>
      </c>
      <c r="W13" s="123">
        <v>4.1000000000000002E-2</v>
      </c>
      <c r="X13" s="120" t="s">
        <v>411</v>
      </c>
      <c r="Y13" s="120"/>
      <c r="Z13" s="120" t="s">
        <v>887</v>
      </c>
      <c r="AA13" s="120" t="s">
        <v>890</v>
      </c>
      <c r="AB13" s="124">
        <v>45838</v>
      </c>
      <c r="AC13" s="120"/>
      <c r="AD13" s="122">
        <v>118770840.17</v>
      </c>
      <c r="AE13" s="122">
        <v>1</v>
      </c>
      <c r="AF13" s="122">
        <v>137.31</v>
      </c>
      <c r="AG13" s="122">
        <v>163084.24064</v>
      </c>
      <c r="AH13" s="120"/>
      <c r="AI13" s="120"/>
      <c r="AJ13" s="120"/>
      <c r="AK13" s="123">
        <v>0.343837</v>
      </c>
      <c r="AL13" s="123">
        <v>2.715E-3</v>
      </c>
    </row>
    <row r="14" spans="1:38" ht="15" customHeight="1">
      <c r="A14" s="121">
        <v>313</v>
      </c>
      <c r="B14" s="121">
        <v>313</v>
      </c>
      <c r="C14" s="120" t="s">
        <v>1369</v>
      </c>
      <c r="D14" s="121">
        <v>513436394</v>
      </c>
      <c r="E14" s="120" t="s">
        <v>308</v>
      </c>
      <c r="F14" s="120" t="s">
        <v>1945</v>
      </c>
      <c r="G14" s="121" t="s">
        <v>1946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476</v>
      </c>
      <c r="N14" s="120" t="s">
        <v>338</v>
      </c>
      <c r="O14" s="124">
        <v>39084</v>
      </c>
      <c r="P14" s="120" t="s">
        <v>1323</v>
      </c>
      <c r="Q14" s="120" t="s">
        <v>414</v>
      </c>
      <c r="R14" s="120" t="s">
        <v>406</v>
      </c>
      <c r="S14" s="120" t="s">
        <v>1218</v>
      </c>
      <c r="T14" s="122">
        <v>0.83</v>
      </c>
      <c r="U14" s="124">
        <v>46385</v>
      </c>
      <c r="V14" s="123">
        <v>2.8899999999999999E-2</v>
      </c>
      <c r="W14" s="123">
        <v>5.6000000000000001E-2</v>
      </c>
      <c r="X14" s="120" t="s">
        <v>411</v>
      </c>
      <c r="Y14" s="120"/>
      <c r="Z14" s="120" t="s">
        <v>887</v>
      </c>
      <c r="AA14" s="120" t="s">
        <v>890</v>
      </c>
      <c r="AB14" s="124">
        <v>45838</v>
      </c>
      <c r="AC14" s="120"/>
      <c r="AD14" s="122">
        <v>3366728.29</v>
      </c>
      <c r="AE14" s="122">
        <v>1</v>
      </c>
      <c r="AF14" s="122">
        <v>144.6</v>
      </c>
      <c r="AG14" s="122">
        <v>4868.2891099999997</v>
      </c>
      <c r="AH14" s="120"/>
      <c r="AI14" s="120"/>
      <c r="AJ14" s="120"/>
      <c r="AK14" s="123">
        <v>1.0264000000000001E-2</v>
      </c>
      <c r="AL14" s="123">
        <v>8.1000000000000004E-5</v>
      </c>
    </row>
    <row r="15" spans="1:38" ht="15" customHeight="1">
      <c r="A15" s="121">
        <v>313</v>
      </c>
      <c r="B15" s="121">
        <v>313</v>
      </c>
      <c r="C15" s="120" t="s">
        <v>1355</v>
      </c>
      <c r="D15" s="121">
        <v>520010869</v>
      </c>
      <c r="E15" s="120" t="s">
        <v>308</v>
      </c>
      <c r="F15" s="120" t="s">
        <v>1947</v>
      </c>
      <c r="G15" s="121" t="s">
        <v>1948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39076</v>
      </c>
      <c r="P15" s="120" t="s">
        <v>1211</v>
      </c>
      <c r="Q15" s="120" t="s">
        <v>412</v>
      </c>
      <c r="R15" s="120" t="s">
        <v>406</v>
      </c>
      <c r="S15" s="120" t="s">
        <v>1218</v>
      </c>
      <c r="T15" s="122">
        <v>5.24</v>
      </c>
      <c r="U15" s="124">
        <v>50034</v>
      </c>
      <c r="V15" s="123">
        <v>2.7E-2</v>
      </c>
      <c r="W15" s="123">
        <v>4.9000000000000002E-2</v>
      </c>
      <c r="X15" s="120" t="s">
        <v>411</v>
      </c>
      <c r="Y15" s="120"/>
      <c r="Z15" s="120" t="s">
        <v>887</v>
      </c>
      <c r="AA15" s="120" t="s">
        <v>890</v>
      </c>
      <c r="AB15" s="124">
        <v>45838</v>
      </c>
      <c r="AC15" s="120"/>
      <c r="AD15" s="122">
        <v>33741207.469999999</v>
      </c>
      <c r="AE15" s="122">
        <v>1</v>
      </c>
      <c r="AF15" s="122">
        <v>161.44999999999999</v>
      </c>
      <c r="AG15" s="122">
        <v>54475.179459999999</v>
      </c>
      <c r="AH15" s="120"/>
      <c r="AI15" s="120"/>
      <c r="AJ15" s="120"/>
      <c r="AK15" s="123">
        <v>0.114852</v>
      </c>
      <c r="AL15" s="123">
        <v>9.0700000000000004E-4</v>
      </c>
    </row>
    <row r="16" spans="1:38" ht="15" customHeight="1">
      <c r="A16" s="121">
        <v>313</v>
      </c>
      <c r="B16" s="121">
        <v>313</v>
      </c>
      <c r="C16" s="120" t="s">
        <v>1288</v>
      </c>
      <c r="D16" s="121">
        <v>520000472</v>
      </c>
      <c r="E16" s="120" t="s">
        <v>308</v>
      </c>
      <c r="F16" s="120" t="s">
        <v>1949</v>
      </c>
      <c r="G16" s="121" t="s">
        <v>1950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439</v>
      </c>
      <c r="N16" s="120" t="s">
        <v>338</v>
      </c>
      <c r="O16" s="124">
        <v>41766</v>
      </c>
      <c r="P16" s="120" t="s">
        <v>1211</v>
      </c>
      <c r="Q16" s="120" t="s">
        <v>412</v>
      </c>
      <c r="R16" s="120" t="s">
        <v>406</v>
      </c>
      <c r="S16" s="120" t="s">
        <v>1218</v>
      </c>
      <c r="T16" s="122">
        <v>2.2200000000000002</v>
      </c>
      <c r="U16" s="124">
        <v>47245</v>
      </c>
      <c r="V16" s="123">
        <v>2.75E-2</v>
      </c>
      <c r="W16" s="123">
        <v>0.06</v>
      </c>
      <c r="X16" s="120" t="s">
        <v>411</v>
      </c>
      <c r="Y16" s="120"/>
      <c r="Z16" s="120" t="s">
        <v>887</v>
      </c>
      <c r="AA16" s="120" t="s">
        <v>890</v>
      </c>
      <c r="AB16" s="124">
        <v>45838</v>
      </c>
      <c r="AC16" s="120"/>
      <c r="AD16" s="122">
        <v>29460599.010000002</v>
      </c>
      <c r="AE16" s="122">
        <v>1</v>
      </c>
      <c r="AF16" s="122">
        <v>127.02</v>
      </c>
      <c r="AG16" s="122">
        <v>37420.852859999999</v>
      </c>
      <c r="AH16" s="120"/>
      <c r="AI16" s="120"/>
      <c r="AJ16" s="120"/>
      <c r="AK16" s="123">
        <v>7.8895999999999994E-2</v>
      </c>
      <c r="AL16" s="123">
        <v>6.2299999999999996E-4</v>
      </c>
    </row>
    <row r="17" spans="1:38" ht="15" customHeight="1">
      <c r="A17" s="121">
        <v>313</v>
      </c>
      <c r="B17" s="121">
        <v>313</v>
      </c>
      <c r="C17" s="120" t="s">
        <v>1521</v>
      </c>
      <c r="D17" s="121">
        <v>520029083</v>
      </c>
      <c r="E17" s="120" t="s">
        <v>308</v>
      </c>
      <c r="F17" s="120" t="s">
        <v>1951</v>
      </c>
      <c r="G17" s="121">
        <v>6014211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447</v>
      </c>
      <c r="N17" s="120" t="s">
        <v>338</v>
      </c>
      <c r="O17" s="124">
        <v>40625</v>
      </c>
      <c r="P17" s="120" t="s">
        <v>1952</v>
      </c>
      <c r="Q17" s="120" t="s">
        <v>412</v>
      </c>
      <c r="R17" s="120" t="s">
        <v>406</v>
      </c>
      <c r="S17" s="120" t="s">
        <v>1218</v>
      </c>
      <c r="T17" s="122">
        <v>0.73</v>
      </c>
      <c r="U17" s="124">
        <v>46104</v>
      </c>
      <c r="V17" s="123">
        <v>2.47E-2</v>
      </c>
      <c r="W17" s="123">
        <v>3.95E-2</v>
      </c>
      <c r="X17" s="120" t="s">
        <v>411</v>
      </c>
      <c r="Y17" s="120"/>
      <c r="Z17" s="120" t="s">
        <v>887</v>
      </c>
      <c r="AA17" s="120" t="s">
        <v>890</v>
      </c>
      <c r="AB17" s="124">
        <v>45838</v>
      </c>
      <c r="AC17" s="120"/>
      <c r="AD17" s="122">
        <v>1500000</v>
      </c>
      <c r="AE17" s="122">
        <v>1</v>
      </c>
      <c r="AF17" s="122">
        <v>125.47</v>
      </c>
      <c r="AG17" s="122">
        <v>1882.05</v>
      </c>
      <c r="AH17" s="120"/>
      <c r="AI17" s="120"/>
      <c r="AJ17" s="120"/>
      <c r="AK17" s="123">
        <v>3.9680000000000002E-3</v>
      </c>
      <c r="AL17" s="123">
        <v>3.1000000000000001E-5</v>
      </c>
    </row>
    <row r="18" spans="1:38" ht="15" customHeight="1">
      <c r="A18" s="121">
        <v>313</v>
      </c>
      <c r="B18" s="121">
        <v>313</v>
      </c>
      <c r="C18" s="120" t="s">
        <v>1953</v>
      </c>
      <c r="D18" s="121">
        <v>510155625</v>
      </c>
      <c r="E18" s="120" t="s">
        <v>308</v>
      </c>
      <c r="F18" s="120" t="s">
        <v>1954</v>
      </c>
      <c r="G18" s="121">
        <v>1126770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461</v>
      </c>
      <c r="N18" s="120" t="s">
        <v>338</v>
      </c>
      <c r="O18" s="124">
        <v>39443</v>
      </c>
      <c r="P18" s="120" t="s">
        <v>409</v>
      </c>
      <c r="Q18" s="120" t="s">
        <v>409</v>
      </c>
      <c r="R18" s="120" t="s">
        <v>409</v>
      </c>
      <c r="S18" s="120" t="s">
        <v>1218</v>
      </c>
      <c r="T18" s="122">
        <v>9.9999999999999995E-7</v>
      </c>
      <c r="U18" s="124">
        <v>42855</v>
      </c>
      <c r="V18" s="123">
        <v>0</v>
      </c>
      <c r="W18" s="123">
        <v>9.9000000000000005E-2</v>
      </c>
      <c r="X18" s="120" t="s">
        <v>411</v>
      </c>
      <c r="Y18" s="120"/>
      <c r="Z18" s="120" t="s">
        <v>887</v>
      </c>
      <c r="AA18" s="120" t="s">
        <v>890</v>
      </c>
      <c r="AB18" s="124">
        <v>45838</v>
      </c>
      <c r="AC18" s="120"/>
      <c r="AD18" s="122">
        <v>287224.40999999997</v>
      </c>
      <c r="AE18" s="122">
        <v>1</v>
      </c>
      <c r="AF18" s="122">
        <v>9.9999999999999995E-7</v>
      </c>
      <c r="AG18" s="122">
        <v>9.9999999999999995E-7</v>
      </c>
      <c r="AH18" s="120"/>
      <c r="AI18" s="120"/>
      <c r="AJ18" s="120"/>
      <c r="AK18" s="123">
        <v>0</v>
      </c>
      <c r="AL18" s="123">
        <v>0</v>
      </c>
    </row>
    <row r="19" spans="1:38" ht="15" customHeight="1">
      <c r="A19" s="121">
        <v>313</v>
      </c>
      <c r="B19" s="121">
        <v>313</v>
      </c>
      <c r="C19" s="120" t="s">
        <v>1295</v>
      </c>
      <c r="D19" s="121">
        <v>520018078</v>
      </c>
      <c r="E19" s="120" t="s">
        <v>308</v>
      </c>
      <c r="F19" s="120" t="s">
        <v>1955</v>
      </c>
      <c r="G19" s="121">
        <v>6020903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447</v>
      </c>
      <c r="N19" s="120" t="s">
        <v>338</v>
      </c>
      <c r="O19" s="124">
        <v>36489</v>
      </c>
      <c r="P19" s="120" t="s">
        <v>1940</v>
      </c>
      <c r="Q19" s="120" t="s">
        <v>412</v>
      </c>
      <c r="R19" s="120" t="s">
        <v>406</v>
      </c>
      <c r="S19" s="120" t="s">
        <v>1218</v>
      </c>
      <c r="T19" s="122">
        <v>2.2000000000000002</v>
      </c>
      <c r="U19" s="124">
        <v>47447</v>
      </c>
      <c r="V19" s="123">
        <v>2.35E-2</v>
      </c>
      <c r="W19" s="123">
        <v>6.0499999999999998E-2</v>
      </c>
      <c r="X19" s="120" t="s">
        <v>411</v>
      </c>
      <c r="Y19" s="120"/>
      <c r="Z19" s="120" t="s">
        <v>887</v>
      </c>
      <c r="AA19" s="120" t="s">
        <v>890</v>
      </c>
      <c r="AB19" s="124">
        <v>45838</v>
      </c>
      <c r="AC19" s="120"/>
      <c r="AD19" s="122">
        <v>162500</v>
      </c>
      <c r="AE19" s="122">
        <v>1</v>
      </c>
      <c r="AF19" s="122">
        <v>173.15</v>
      </c>
      <c r="AG19" s="122">
        <v>281.36874999999998</v>
      </c>
      <c r="AH19" s="120"/>
      <c r="AI19" s="120"/>
      <c r="AJ19" s="120"/>
      <c r="AK19" s="123">
        <v>5.9299999999999999E-4</v>
      </c>
      <c r="AL19" s="123">
        <v>3.9999999999999998E-6</v>
      </c>
    </row>
    <row r="20" spans="1:38" ht="15" customHeight="1">
      <c r="A20" s="121">
        <v>313</v>
      </c>
      <c r="B20" s="121">
        <v>313</v>
      </c>
      <c r="C20" s="120" t="s">
        <v>1953</v>
      </c>
      <c r="D20" s="121">
        <v>510155625</v>
      </c>
      <c r="E20" s="120" t="s">
        <v>308</v>
      </c>
      <c r="F20" s="120" t="s">
        <v>1956</v>
      </c>
      <c r="G20" s="121">
        <v>1109180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461</v>
      </c>
      <c r="N20" s="120" t="s">
        <v>338</v>
      </c>
      <c r="O20" s="124">
        <v>39443</v>
      </c>
      <c r="P20" s="120" t="s">
        <v>409</v>
      </c>
      <c r="Q20" s="120" t="s">
        <v>409</v>
      </c>
      <c r="R20" s="120" t="s">
        <v>409</v>
      </c>
      <c r="S20" s="120" t="s">
        <v>1218</v>
      </c>
      <c r="T20" s="122">
        <v>9.9999999999999995E-7</v>
      </c>
      <c r="U20" s="124">
        <v>42855</v>
      </c>
      <c r="V20" s="123">
        <v>0</v>
      </c>
      <c r="W20" s="123">
        <v>9.9000000000000005E-2</v>
      </c>
      <c r="X20" s="120" t="s">
        <v>411</v>
      </c>
      <c r="Y20" s="120"/>
      <c r="Z20" s="120" t="s">
        <v>887</v>
      </c>
      <c r="AA20" s="120" t="s">
        <v>890</v>
      </c>
      <c r="AB20" s="124">
        <v>45838</v>
      </c>
      <c r="AC20" s="120"/>
      <c r="AD20" s="122">
        <v>1436122.07</v>
      </c>
      <c r="AE20" s="122">
        <v>1</v>
      </c>
      <c r="AF20" s="122">
        <v>9.9999999999999995E-7</v>
      </c>
      <c r="AG20" s="122">
        <v>1.0000000000000001E-5</v>
      </c>
      <c r="AH20" s="120"/>
      <c r="AI20" s="120"/>
      <c r="AJ20" s="120"/>
      <c r="AK20" s="123">
        <v>0</v>
      </c>
      <c r="AL20" s="123">
        <v>0</v>
      </c>
    </row>
    <row r="21" spans="1:38" ht="15" customHeight="1">
      <c r="A21" s="121">
        <v>313</v>
      </c>
      <c r="B21" s="121">
        <v>313</v>
      </c>
      <c r="C21" s="120" t="s">
        <v>1957</v>
      </c>
      <c r="D21" s="121">
        <v>513102384</v>
      </c>
      <c r="E21" s="120" t="s">
        <v>308</v>
      </c>
      <c r="F21" s="120" t="s">
        <v>1958</v>
      </c>
      <c r="G21" s="121">
        <v>1097997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477</v>
      </c>
      <c r="N21" s="120" t="s">
        <v>338</v>
      </c>
      <c r="O21" s="124">
        <v>38829</v>
      </c>
      <c r="P21" s="120" t="s">
        <v>1952</v>
      </c>
      <c r="Q21" s="120" t="s">
        <v>412</v>
      </c>
      <c r="R21" s="120" t="s">
        <v>406</v>
      </c>
      <c r="S21" s="120" t="s">
        <v>1218</v>
      </c>
      <c r="T21" s="122">
        <v>0.19</v>
      </c>
      <c r="U21" s="124">
        <v>45952</v>
      </c>
      <c r="V21" s="123">
        <v>2.9499999999999998E-2</v>
      </c>
      <c r="W21" s="123">
        <v>7.7499999999999999E-2</v>
      </c>
      <c r="X21" s="120" t="s">
        <v>411</v>
      </c>
      <c r="Y21" s="120"/>
      <c r="Z21" s="120" t="s">
        <v>887</v>
      </c>
      <c r="AA21" s="120" t="s">
        <v>890</v>
      </c>
      <c r="AB21" s="124">
        <v>45838</v>
      </c>
      <c r="AC21" s="120"/>
      <c r="AD21" s="122">
        <v>104068.4</v>
      </c>
      <c r="AE21" s="122">
        <v>1</v>
      </c>
      <c r="AF21" s="122">
        <v>147.99</v>
      </c>
      <c r="AG21" s="122">
        <v>154.01083</v>
      </c>
      <c r="AH21" s="120"/>
      <c r="AI21" s="120"/>
      <c r="AJ21" s="120"/>
      <c r="AK21" s="123">
        <v>3.2400000000000001E-4</v>
      </c>
      <c r="AL21" s="123">
        <v>1.9999999999999999E-6</v>
      </c>
    </row>
    <row r="22" spans="1:38" ht="15" customHeight="1">
      <c r="A22" s="121">
        <v>313</v>
      </c>
      <c r="B22" s="121">
        <v>313</v>
      </c>
      <c r="C22" s="120" t="s">
        <v>1959</v>
      </c>
      <c r="D22" s="121">
        <v>513937714</v>
      </c>
      <c r="E22" s="120" t="s">
        <v>308</v>
      </c>
      <c r="F22" s="120" t="s">
        <v>1960</v>
      </c>
      <c r="G22" s="121">
        <v>1131911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444</v>
      </c>
      <c r="N22" s="120" t="s">
        <v>338</v>
      </c>
      <c r="O22" s="124">
        <v>41731</v>
      </c>
      <c r="P22" s="120" t="s">
        <v>1323</v>
      </c>
      <c r="Q22" s="120" t="s">
        <v>414</v>
      </c>
      <c r="R22" s="120" t="s">
        <v>406</v>
      </c>
      <c r="S22" s="120" t="s">
        <v>1218</v>
      </c>
      <c r="T22" s="122">
        <v>2.1800000000000002</v>
      </c>
      <c r="U22" s="124">
        <v>46661</v>
      </c>
      <c r="V22" s="123">
        <v>2.3900000000000001E-2</v>
      </c>
      <c r="W22" s="123">
        <v>3.3000000000000002E-2</v>
      </c>
      <c r="X22" s="120" t="s">
        <v>411</v>
      </c>
      <c r="Y22" s="120"/>
      <c r="Z22" s="120" t="s">
        <v>887</v>
      </c>
      <c r="AA22" s="120" t="s">
        <v>890</v>
      </c>
      <c r="AB22" s="124">
        <v>45838</v>
      </c>
      <c r="AC22" s="120"/>
      <c r="AD22" s="122">
        <v>40000000</v>
      </c>
      <c r="AE22" s="122">
        <v>1</v>
      </c>
      <c r="AF22" s="122">
        <v>121.05</v>
      </c>
      <c r="AG22" s="122">
        <v>48420</v>
      </c>
      <c r="AH22" s="120"/>
      <c r="AI22" s="120"/>
      <c r="AJ22" s="120"/>
      <c r="AK22" s="123">
        <v>0.102086</v>
      </c>
      <c r="AL22" s="123">
        <v>8.0599999999999997E-4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1"/>
  <sheetViews>
    <sheetView rightToLeft="1" zoomScale="90" zoomScaleNormal="9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1961</v>
      </c>
      <c r="D2" s="121">
        <v>520020405</v>
      </c>
      <c r="E2" s="120" t="s">
        <v>308</v>
      </c>
      <c r="F2" s="120" t="s">
        <v>1962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1218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313</v>
      </c>
      <c r="B3" s="121">
        <v>313</v>
      </c>
      <c r="C3" s="120" t="s">
        <v>1963</v>
      </c>
      <c r="D3" s="121">
        <v>520025495</v>
      </c>
      <c r="E3" s="120" t="s">
        <v>308</v>
      </c>
      <c r="F3" s="120" t="s">
        <v>1964</v>
      </c>
      <c r="G3" s="121">
        <v>729996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1218</v>
      </c>
      <c r="Q3" s="120" t="s">
        <v>313</v>
      </c>
      <c r="R3" s="120" t="s">
        <v>890</v>
      </c>
      <c r="S3" s="124">
        <v>45657</v>
      </c>
      <c r="T3" s="120"/>
      <c r="U3" s="122">
        <v>815</v>
      </c>
      <c r="V3" s="122">
        <v>1</v>
      </c>
      <c r="W3" s="122">
        <v>9.9999999999999995E-7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313</v>
      </c>
      <c r="B4" s="121">
        <v>313</v>
      </c>
      <c r="C4" s="120" t="s">
        <v>1965</v>
      </c>
      <c r="D4" s="121">
        <v>520039017</v>
      </c>
      <c r="E4" s="120" t="s">
        <v>308</v>
      </c>
      <c r="F4" s="120" t="s">
        <v>1966</v>
      </c>
      <c r="G4" s="121">
        <v>415018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446</v>
      </c>
      <c r="N4" s="120" t="s">
        <v>338</v>
      </c>
      <c r="O4" s="124">
        <v>24473</v>
      </c>
      <c r="P4" s="120" t="s">
        <v>1218</v>
      </c>
      <c r="Q4" s="120" t="s">
        <v>313</v>
      </c>
      <c r="R4" s="120" t="s">
        <v>890</v>
      </c>
      <c r="S4" s="124">
        <v>45657</v>
      </c>
      <c r="T4" s="120"/>
      <c r="U4" s="122">
        <v>358053</v>
      </c>
      <c r="V4" s="122">
        <v>1</v>
      </c>
      <c r="W4" s="122">
        <v>9.9999999999999995E-7</v>
      </c>
      <c r="X4" s="122">
        <v>9.9999999999999995E-7</v>
      </c>
      <c r="Y4" s="123">
        <v>0</v>
      </c>
      <c r="Z4" s="123">
        <v>0</v>
      </c>
    </row>
    <row r="5" spans="1:26" ht="15" customHeight="1">
      <c r="A5" s="121">
        <v>313</v>
      </c>
      <c r="B5" s="121">
        <v>313</v>
      </c>
      <c r="C5" s="120" t="s">
        <v>1967</v>
      </c>
      <c r="D5" s="121">
        <v>8357</v>
      </c>
      <c r="E5" s="120" t="s">
        <v>308</v>
      </c>
      <c r="F5" s="120" t="s">
        <v>1968</v>
      </c>
      <c r="G5" s="121">
        <v>7520026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35124</v>
      </c>
      <c r="P5" s="120" t="s">
        <v>1218</v>
      </c>
      <c r="Q5" s="120" t="s">
        <v>313</v>
      </c>
      <c r="R5" s="120" t="s">
        <v>890</v>
      </c>
      <c r="S5" s="124">
        <v>45657</v>
      </c>
      <c r="T5" s="120"/>
      <c r="U5" s="122">
        <v>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313</v>
      </c>
      <c r="B6" s="121">
        <v>313</v>
      </c>
      <c r="C6" s="120" t="s">
        <v>1969</v>
      </c>
      <c r="D6" s="121">
        <v>515136034</v>
      </c>
      <c r="E6" s="120" t="s">
        <v>308</v>
      </c>
      <c r="F6" s="120" t="s">
        <v>1970</v>
      </c>
      <c r="G6" s="121">
        <v>45161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337</v>
      </c>
      <c r="O6" s="124">
        <v>41942</v>
      </c>
      <c r="P6" s="120" t="s">
        <v>1218</v>
      </c>
      <c r="Q6" s="120" t="s">
        <v>313</v>
      </c>
      <c r="R6" s="120" t="s">
        <v>890</v>
      </c>
      <c r="S6" s="124">
        <v>45657</v>
      </c>
      <c r="T6" s="120"/>
      <c r="U6" s="122">
        <v>100</v>
      </c>
      <c r="V6" s="122">
        <v>1</v>
      </c>
      <c r="W6" s="122">
        <v>0.01</v>
      </c>
      <c r="X6" s="122">
        <v>1.0000000000000001E-5</v>
      </c>
      <c r="Y6" s="123">
        <v>0</v>
      </c>
      <c r="Z6" s="123">
        <v>0</v>
      </c>
    </row>
    <row r="7" spans="1:26" ht="15" customHeight="1">
      <c r="A7" s="121">
        <v>313</v>
      </c>
      <c r="B7" s="121">
        <v>313</v>
      </c>
      <c r="C7" s="120" t="s">
        <v>1971</v>
      </c>
      <c r="D7" s="121">
        <v>520025495</v>
      </c>
      <c r="E7" s="120" t="s">
        <v>308</v>
      </c>
      <c r="F7" s="120" t="s">
        <v>1972</v>
      </c>
      <c r="G7" s="121">
        <v>73008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1218</v>
      </c>
      <c r="Q7" s="120" t="s">
        <v>313</v>
      </c>
      <c r="R7" s="120" t="s">
        <v>890</v>
      </c>
      <c r="S7" s="124">
        <v>45657</v>
      </c>
      <c r="T7" s="120"/>
      <c r="U7" s="122">
        <v>2.59</v>
      </c>
      <c r="V7" s="122">
        <v>1</v>
      </c>
      <c r="W7" s="122">
        <v>0.01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313</v>
      </c>
      <c r="B8" s="121">
        <v>313</v>
      </c>
      <c r="C8" s="120" t="s">
        <v>1973</v>
      </c>
      <c r="D8" s="121">
        <v>520030990</v>
      </c>
      <c r="E8" s="120" t="s">
        <v>308</v>
      </c>
      <c r="F8" s="120" t="s">
        <v>1973</v>
      </c>
      <c r="G8" s="121">
        <v>52001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35124</v>
      </c>
      <c r="P8" s="120" t="s">
        <v>1218</v>
      </c>
      <c r="Q8" s="120" t="s">
        <v>313</v>
      </c>
      <c r="R8" s="120" t="s">
        <v>890</v>
      </c>
      <c r="S8" s="124">
        <v>45657</v>
      </c>
      <c r="T8" s="120"/>
      <c r="U8" s="122">
        <v>8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313</v>
      </c>
      <c r="B9" s="121">
        <v>313</v>
      </c>
      <c r="C9" s="120" t="s">
        <v>1971</v>
      </c>
      <c r="D9" s="121">
        <v>520025495</v>
      </c>
      <c r="E9" s="120" t="s">
        <v>308</v>
      </c>
      <c r="F9" s="120" t="s">
        <v>1974</v>
      </c>
      <c r="G9" s="121">
        <v>73006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1218</v>
      </c>
      <c r="Q9" s="120" t="s">
        <v>313</v>
      </c>
      <c r="R9" s="120" t="s">
        <v>890</v>
      </c>
      <c r="S9" s="124">
        <v>45657</v>
      </c>
      <c r="T9" s="120"/>
      <c r="U9" s="122">
        <v>2.83</v>
      </c>
      <c r="V9" s="122">
        <v>1</v>
      </c>
      <c r="W9" s="122">
        <v>0.01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313</v>
      </c>
      <c r="B10" s="121">
        <v>313</v>
      </c>
      <c r="C10" s="120" t="s">
        <v>1975</v>
      </c>
      <c r="D10" s="121">
        <v>520012915</v>
      </c>
      <c r="E10" s="120" t="s">
        <v>308</v>
      </c>
      <c r="F10" s="120" t="s">
        <v>1975</v>
      </c>
      <c r="G10" s="121">
        <v>52020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458</v>
      </c>
      <c r="N10" s="120" t="s">
        <v>338</v>
      </c>
      <c r="O10" s="124">
        <v>45312</v>
      </c>
      <c r="P10" s="120" t="s">
        <v>1218</v>
      </c>
      <c r="Q10" s="120" t="s">
        <v>313</v>
      </c>
      <c r="R10" s="120" t="s">
        <v>890</v>
      </c>
      <c r="S10" s="124">
        <v>45657</v>
      </c>
      <c r="T10" s="120"/>
      <c r="U10" s="122">
        <v>435298</v>
      </c>
      <c r="V10" s="122">
        <v>1</v>
      </c>
      <c r="W10" s="122">
        <v>9228.4516000000003</v>
      </c>
      <c r="X10" s="122">
        <v>40171.265249999997</v>
      </c>
      <c r="Y10" s="123">
        <v>7.0998000000000006E-2</v>
      </c>
      <c r="Z10" s="123">
        <v>6.6799999999999997E-4</v>
      </c>
    </row>
    <row r="11" spans="1:26" ht="15" customHeight="1">
      <c r="A11" s="121">
        <v>313</v>
      </c>
      <c r="B11" s="121">
        <v>313</v>
      </c>
      <c r="C11" s="120" t="s">
        <v>1971</v>
      </c>
      <c r="D11" s="121">
        <v>520025495</v>
      </c>
      <c r="E11" s="120" t="s">
        <v>308</v>
      </c>
      <c r="F11" s="120" t="s">
        <v>1976</v>
      </c>
      <c r="G11" s="121">
        <v>73005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1218</v>
      </c>
      <c r="Q11" s="120" t="s">
        <v>313</v>
      </c>
      <c r="R11" s="120" t="s">
        <v>890</v>
      </c>
      <c r="S11" s="124">
        <v>45657</v>
      </c>
      <c r="T11" s="120"/>
      <c r="U11" s="122">
        <v>4.28</v>
      </c>
      <c r="V11" s="122">
        <v>1</v>
      </c>
      <c r="W11" s="122">
        <v>0.01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313</v>
      </c>
      <c r="B12" s="121">
        <v>313</v>
      </c>
      <c r="C12" s="120" t="s">
        <v>1977</v>
      </c>
      <c r="D12" s="121">
        <v>520033861</v>
      </c>
      <c r="E12" s="120" t="s">
        <v>308</v>
      </c>
      <c r="F12" s="120" t="s">
        <v>1978</v>
      </c>
      <c r="G12" s="121">
        <v>618033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25934</v>
      </c>
      <c r="P12" s="120" t="s">
        <v>1218</v>
      </c>
      <c r="Q12" s="120" t="s">
        <v>313</v>
      </c>
      <c r="R12" s="120" t="s">
        <v>890</v>
      </c>
      <c r="S12" s="124">
        <v>45657</v>
      </c>
      <c r="T12" s="120"/>
      <c r="U12" s="122">
        <v>1.61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313</v>
      </c>
      <c r="B13" s="121">
        <v>313</v>
      </c>
      <c r="C13" s="120" t="s">
        <v>1971</v>
      </c>
      <c r="D13" s="121">
        <v>520025495</v>
      </c>
      <c r="E13" s="120" t="s">
        <v>308</v>
      </c>
      <c r="F13" s="120" t="s">
        <v>1979</v>
      </c>
      <c r="G13" s="121">
        <v>73004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1218</v>
      </c>
      <c r="Q13" s="120" t="s">
        <v>313</v>
      </c>
      <c r="R13" s="120" t="s">
        <v>890</v>
      </c>
      <c r="S13" s="124">
        <v>45657</v>
      </c>
      <c r="T13" s="120"/>
      <c r="U13" s="122">
        <v>30</v>
      </c>
      <c r="V13" s="122">
        <v>1</v>
      </c>
      <c r="W13" s="122">
        <v>0.01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313</v>
      </c>
      <c r="B14" s="121">
        <v>313</v>
      </c>
      <c r="C14" s="120" t="s">
        <v>1977</v>
      </c>
      <c r="D14" s="121">
        <v>520033861</v>
      </c>
      <c r="E14" s="120" t="s">
        <v>308</v>
      </c>
      <c r="F14" s="120" t="s">
        <v>1980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1218</v>
      </c>
      <c r="Q14" s="120" t="s">
        <v>313</v>
      </c>
      <c r="R14" s="120" t="s">
        <v>890</v>
      </c>
      <c r="S14" s="124">
        <v>45657</v>
      </c>
      <c r="T14" s="120"/>
      <c r="U14" s="122">
        <v>3.23</v>
      </c>
      <c r="V14" s="122">
        <v>1</v>
      </c>
      <c r="W14" s="122">
        <v>0.01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313</v>
      </c>
      <c r="B15" s="121">
        <v>313</v>
      </c>
      <c r="C15" s="120" t="s">
        <v>1971</v>
      </c>
      <c r="D15" s="121">
        <v>520025495</v>
      </c>
      <c r="E15" s="120" t="s">
        <v>308</v>
      </c>
      <c r="F15" s="120" t="s">
        <v>1981</v>
      </c>
      <c r="G15" s="121">
        <v>73003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1218</v>
      </c>
      <c r="Q15" s="120" t="s">
        <v>313</v>
      </c>
      <c r="R15" s="120" t="s">
        <v>890</v>
      </c>
      <c r="S15" s="124">
        <v>45657</v>
      </c>
      <c r="T15" s="120"/>
      <c r="U15" s="122">
        <v>17.57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313</v>
      </c>
      <c r="B16" s="121">
        <v>313</v>
      </c>
      <c r="C16" s="120" t="s">
        <v>1971</v>
      </c>
      <c r="D16" s="121">
        <v>520025495</v>
      </c>
      <c r="E16" s="120" t="s">
        <v>308</v>
      </c>
      <c r="F16" s="120" t="s">
        <v>1982</v>
      </c>
      <c r="G16" s="121">
        <v>73002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1218</v>
      </c>
      <c r="Q16" s="120" t="s">
        <v>313</v>
      </c>
      <c r="R16" s="120" t="s">
        <v>890</v>
      </c>
      <c r="S16" s="124">
        <v>45657</v>
      </c>
      <c r="T16" s="120"/>
      <c r="U16" s="122">
        <v>3.33</v>
      </c>
      <c r="V16" s="122">
        <v>1</v>
      </c>
      <c r="W16" s="122">
        <v>0.01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1983</v>
      </c>
      <c r="D17" s="121">
        <v>516581741</v>
      </c>
      <c r="E17" s="120" t="s">
        <v>308</v>
      </c>
      <c r="F17" s="120" t="s">
        <v>1984</v>
      </c>
      <c r="G17" s="121">
        <v>78990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337</v>
      </c>
      <c r="O17" s="124">
        <v>44635</v>
      </c>
      <c r="P17" s="120" t="s">
        <v>1218</v>
      </c>
      <c r="Q17" s="120" t="s">
        <v>313</v>
      </c>
      <c r="R17" s="120" t="s">
        <v>890</v>
      </c>
      <c r="S17" s="124">
        <v>45657</v>
      </c>
      <c r="T17" s="120"/>
      <c r="U17" s="122">
        <v>13652000</v>
      </c>
      <c r="V17" s="122">
        <v>1</v>
      </c>
      <c r="W17" s="122">
        <v>113.6611</v>
      </c>
      <c r="X17" s="122">
        <v>15517.013370000001</v>
      </c>
      <c r="Y17" s="123">
        <v>2.7424E-2</v>
      </c>
      <c r="Z17" s="123">
        <v>2.5799999999999998E-4</v>
      </c>
    </row>
    <row r="18" spans="1:26" ht="15" customHeight="1">
      <c r="A18" s="121">
        <v>313</v>
      </c>
      <c r="B18" s="121">
        <v>313</v>
      </c>
      <c r="C18" s="120" t="s">
        <v>1985</v>
      </c>
      <c r="D18" s="121">
        <v>520025495</v>
      </c>
      <c r="E18" s="120" t="s">
        <v>308</v>
      </c>
      <c r="F18" s="120" t="s">
        <v>1986</v>
      </c>
      <c r="G18" s="121">
        <v>729715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338</v>
      </c>
      <c r="O18" s="124">
        <v>24473</v>
      </c>
      <c r="P18" s="120" t="s">
        <v>1218</v>
      </c>
      <c r="Q18" s="120" t="s">
        <v>313</v>
      </c>
      <c r="R18" s="120" t="s">
        <v>890</v>
      </c>
      <c r="S18" s="124">
        <v>45657</v>
      </c>
      <c r="T18" s="120"/>
      <c r="U18" s="122">
        <v>0.74</v>
      </c>
      <c r="V18" s="122">
        <v>1</v>
      </c>
      <c r="W18" s="122">
        <v>0.01</v>
      </c>
      <c r="X18" s="122">
        <v>9.9999999999999995E-7</v>
      </c>
      <c r="Y18" s="123">
        <v>0</v>
      </c>
      <c r="Z18" s="123">
        <v>0</v>
      </c>
    </row>
    <row r="19" spans="1:26" ht="15" customHeight="1">
      <c r="A19" s="121">
        <v>313</v>
      </c>
      <c r="B19" s="121">
        <v>313</v>
      </c>
      <c r="C19" s="120" t="s">
        <v>1971</v>
      </c>
      <c r="D19" s="121">
        <v>520025495</v>
      </c>
      <c r="E19" s="120" t="s">
        <v>308</v>
      </c>
      <c r="F19" s="120" t="s">
        <v>1987</v>
      </c>
      <c r="G19" s="121">
        <v>790006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24473</v>
      </c>
      <c r="P19" s="120" t="s">
        <v>1218</v>
      </c>
      <c r="Q19" s="120" t="s">
        <v>313</v>
      </c>
      <c r="R19" s="120" t="s">
        <v>890</v>
      </c>
      <c r="S19" s="124">
        <v>45657</v>
      </c>
      <c r="T19" s="120"/>
      <c r="U19" s="122">
        <v>10750.99</v>
      </c>
      <c r="V19" s="122">
        <v>1</v>
      </c>
      <c r="W19" s="122">
        <v>1E-4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313</v>
      </c>
      <c r="B20" s="121">
        <v>313</v>
      </c>
      <c r="C20" s="120" t="s">
        <v>1988</v>
      </c>
      <c r="D20" s="121">
        <v>570009852</v>
      </c>
      <c r="E20" s="120" t="s">
        <v>308</v>
      </c>
      <c r="F20" s="120" t="s">
        <v>1989</v>
      </c>
      <c r="G20" s="121">
        <v>62004300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43067</v>
      </c>
      <c r="P20" s="120" t="s">
        <v>1222</v>
      </c>
      <c r="Q20" s="120" t="s">
        <v>313</v>
      </c>
      <c r="R20" s="120" t="s">
        <v>890</v>
      </c>
      <c r="S20" s="124">
        <v>45657</v>
      </c>
      <c r="T20" s="120"/>
      <c r="U20" s="122">
        <v>1953140.62</v>
      </c>
      <c r="V20" s="122">
        <v>3.3719999999999999</v>
      </c>
      <c r="W20" s="122">
        <v>95.701700000000002</v>
      </c>
      <c r="X20" s="122">
        <v>6302.9072800000004</v>
      </c>
      <c r="Y20" s="123">
        <v>1.1139E-2</v>
      </c>
      <c r="Z20" s="123">
        <v>1.0399999999999999E-4</v>
      </c>
    </row>
    <row r="21" spans="1:26" ht="15" customHeight="1">
      <c r="A21" s="121">
        <v>313</v>
      </c>
      <c r="B21" s="121">
        <v>313</v>
      </c>
      <c r="C21" s="120" t="s">
        <v>1990</v>
      </c>
      <c r="D21" s="121" t="s">
        <v>1991</v>
      </c>
      <c r="E21" s="120" t="s">
        <v>312</v>
      </c>
      <c r="F21" s="120" t="s">
        <v>1992</v>
      </c>
      <c r="G21" s="121">
        <v>62021812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313</v>
      </c>
      <c r="N21" s="120" t="s">
        <v>338</v>
      </c>
      <c r="O21" s="124">
        <v>45491</v>
      </c>
      <c r="P21" s="120" t="s">
        <v>1222</v>
      </c>
      <c r="Q21" s="120" t="s">
        <v>313</v>
      </c>
      <c r="R21" s="120" t="s">
        <v>890</v>
      </c>
      <c r="S21" s="124">
        <v>45838</v>
      </c>
      <c r="T21" s="120"/>
      <c r="U21" s="122">
        <v>8941356.9700000007</v>
      </c>
      <c r="V21" s="122">
        <v>3.3719999999999999</v>
      </c>
      <c r="W21" s="122">
        <v>91.302599999999998</v>
      </c>
      <c r="X21" s="122">
        <v>27527.967359999999</v>
      </c>
      <c r="Y21" s="123">
        <v>4.8652000000000001E-2</v>
      </c>
      <c r="Z21" s="123">
        <v>4.5800000000000002E-4</v>
      </c>
    </row>
    <row r="22" spans="1:26" ht="15" customHeight="1">
      <c r="A22" s="121">
        <v>313</v>
      </c>
      <c r="B22" s="121">
        <v>313</v>
      </c>
      <c r="C22" s="120" t="s">
        <v>1988</v>
      </c>
      <c r="D22" s="121">
        <v>570009852</v>
      </c>
      <c r="E22" s="120" t="s">
        <v>308</v>
      </c>
      <c r="F22" s="120" t="s">
        <v>1993</v>
      </c>
      <c r="G22" s="121">
        <v>62004328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43067</v>
      </c>
      <c r="P22" s="120" t="s">
        <v>1222</v>
      </c>
      <c r="Q22" s="120" t="s">
        <v>313</v>
      </c>
      <c r="R22" s="120" t="s">
        <v>890</v>
      </c>
      <c r="S22" s="124">
        <v>45657</v>
      </c>
      <c r="T22" s="120"/>
      <c r="U22" s="122">
        <v>4557328.13</v>
      </c>
      <c r="V22" s="122">
        <v>3.3719999999999999</v>
      </c>
      <c r="W22" s="122">
        <v>100</v>
      </c>
      <c r="X22" s="122">
        <v>15367.310450000001</v>
      </c>
      <c r="Y22" s="123">
        <v>2.7158999999999999E-2</v>
      </c>
      <c r="Z22" s="123">
        <v>2.5500000000000002E-4</v>
      </c>
    </row>
    <row r="23" spans="1:26" ht="15" customHeight="1">
      <c r="A23" s="121">
        <v>313</v>
      </c>
      <c r="B23" s="121">
        <v>313</v>
      </c>
      <c r="C23" s="120" t="s">
        <v>1969</v>
      </c>
      <c r="D23" s="121">
        <v>515136034</v>
      </c>
      <c r="E23" s="120" t="s">
        <v>308</v>
      </c>
      <c r="F23" s="120" t="s">
        <v>1994</v>
      </c>
      <c r="G23" s="121">
        <v>7894578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42991</v>
      </c>
      <c r="P23" s="120" t="s">
        <v>1222</v>
      </c>
      <c r="Q23" s="120" t="s">
        <v>313</v>
      </c>
      <c r="R23" s="120" t="s">
        <v>890</v>
      </c>
      <c r="S23" s="124">
        <v>45657</v>
      </c>
      <c r="T23" s="120"/>
      <c r="U23" s="122">
        <v>11229211.720000001</v>
      </c>
      <c r="V23" s="122">
        <v>3.3719999999999999</v>
      </c>
      <c r="W23" s="122">
        <v>92.1584</v>
      </c>
      <c r="X23" s="122">
        <v>34895.701269999998</v>
      </c>
      <c r="Y23" s="123">
        <v>6.1674E-2</v>
      </c>
      <c r="Z23" s="123">
        <v>5.8100000000000003E-4</v>
      </c>
    </row>
    <row r="24" spans="1:26" ht="15" customHeight="1">
      <c r="A24" s="121">
        <v>313</v>
      </c>
      <c r="B24" s="121">
        <v>313</v>
      </c>
      <c r="C24" s="120" t="s">
        <v>1995</v>
      </c>
      <c r="D24" s="121">
        <v>570009852</v>
      </c>
      <c r="E24" s="120" t="s">
        <v>308</v>
      </c>
      <c r="F24" s="120" t="s">
        <v>1995</v>
      </c>
      <c r="G24" s="121">
        <v>62008651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43313</v>
      </c>
      <c r="P24" s="120" t="s">
        <v>1222</v>
      </c>
      <c r="Q24" s="120" t="s">
        <v>313</v>
      </c>
      <c r="R24" s="120" t="s">
        <v>890</v>
      </c>
      <c r="S24" s="124">
        <v>45657</v>
      </c>
      <c r="T24" s="120"/>
      <c r="U24" s="122">
        <v>119582376.58</v>
      </c>
      <c r="V24" s="122">
        <v>3.3719999999999999</v>
      </c>
      <c r="W24" s="122">
        <v>9.9999999999999995E-7</v>
      </c>
      <c r="X24" s="122">
        <v>4.0299999999999997E-3</v>
      </c>
      <c r="Y24" s="123">
        <v>0</v>
      </c>
      <c r="Z24" s="123">
        <v>0</v>
      </c>
    </row>
    <row r="25" spans="1:26" ht="15" customHeight="1">
      <c r="A25" s="121">
        <v>313</v>
      </c>
      <c r="B25" s="121">
        <v>313</v>
      </c>
      <c r="C25" s="120" t="s">
        <v>1969</v>
      </c>
      <c r="D25" s="121">
        <v>515136034</v>
      </c>
      <c r="E25" s="120" t="s">
        <v>308</v>
      </c>
      <c r="F25" s="120" t="s">
        <v>1996</v>
      </c>
      <c r="G25" s="121">
        <v>7894564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41976</v>
      </c>
      <c r="P25" s="120" t="s">
        <v>1218</v>
      </c>
      <c r="Q25" s="120" t="s">
        <v>313</v>
      </c>
      <c r="R25" s="120" t="s">
        <v>890</v>
      </c>
      <c r="S25" s="124">
        <v>45657</v>
      </c>
      <c r="T25" s="120"/>
      <c r="U25" s="122">
        <v>14587454.189999999</v>
      </c>
      <c r="V25" s="122">
        <v>1</v>
      </c>
      <c r="W25" s="122">
        <v>9.9999999999999995E-7</v>
      </c>
      <c r="X25" s="122">
        <v>1.4999999999999999E-4</v>
      </c>
      <c r="Y25" s="123">
        <v>0</v>
      </c>
      <c r="Z25" s="123">
        <v>0</v>
      </c>
    </row>
    <row r="26" spans="1:26" ht="15" customHeight="1">
      <c r="A26" s="121">
        <v>313</v>
      </c>
      <c r="B26" s="121">
        <v>313</v>
      </c>
      <c r="C26" s="120" t="s">
        <v>1997</v>
      </c>
      <c r="D26" s="121">
        <v>570009852</v>
      </c>
      <c r="E26" s="120" t="s">
        <v>308</v>
      </c>
      <c r="F26" s="120" t="s">
        <v>1998</v>
      </c>
      <c r="G26" s="121">
        <v>62008649</v>
      </c>
      <c r="H26" s="120" t="s">
        <v>311</v>
      </c>
      <c r="I26" s="120" t="s">
        <v>764</v>
      </c>
      <c r="J26" s="120" t="s">
        <v>204</v>
      </c>
      <c r="K26" s="120" t="s">
        <v>281</v>
      </c>
      <c r="L26" s="120" t="s">
        <v>325</v>
      </c>
      <c r="M26" s="120" t="s">
        <v>567</v>
      </c>
      <c r="N26" s="120" t="s">
        <v>338</v>
      </c>
      <c r="O26" s="124">
        <v>43879</v>
      </c>
      <c r="P26" s="120" t="s">
        <v>1212</v>
      </c>
      <c r="Q26" s="120" t="s">
        <v>313</v>
      </c>
      <c r="R26" s="120" t="s">
        <v>890</v>
      </c>
      <c r="S26" s="124">
        <v>45657</v>
      </c>
      <c r="T26" s="120"/>
      <c r="U26" s="122">
        <v>14283615.289999999</v>
      </c>
      <c r="V26" s="122">
        <v>2.4674</v>
      </c>
      <c r="W26" s="122">
        <v>9.9999999999999995E-7</v>
      </c>
      <c r="X26" s="122">
        <v>3.5E-4</v>
      </c>
      <c r="Y26" s="123">
        <v>0</v>
      </c>
      <c r="Z26" s="123">
        <v>0</v>
      </c>
    </row>
    <row r="27" spans="1:26" ht="15" customHeight="1">
      <c r="A27" s="121">
        <v>313</v>
      </c>
      <c r="B27" s="121">
        <v>313</v>
      </c>
      <c r="C27" s="120" t="s">
        <v>1969</v>
      </c>
      <c r="D27" s="121">
        <v>515136034</v>
      </c>
      <c r="E27" s="120" t="s">
        <v>308</v>
      </c>
      <c r="F27" s="120" t="s">
        <v>1999</v>
      </c>
      <c r="G27" s="121">
        <v>7894562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1218</v>
      </c>
      <c r="Q27" s="120" t="s">
        <v>313</v>
      </c>
      <c r="R27" s="120" t="s">
        <v>890</v>
      </c>
      <c r="S27" s="124">
        <v>45657</v>
      </c>
      <c r="T27" s="120"/>
      <c r="U27" s="122">
        <v>14628047.890000001</v>
      </c>
      <c r="V27" s="122">
        <v>1</v>
      </c>
      <c r="W27" s="122">
        <v>9.9999999999999995E-7</v>
      </c>
      <c r="X27" s="122">
        <v>1.4999999999999999E-4</v>
      </c>
      <c r="Y27" s="123">
        <v>0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1995</v>
      </c>
      <c r="D28" s="121">
        <v>570009852</v>
      </c>
      <c r="E28" s="120" t="s">
        <v>308</v>
      </c>
      <c r="F28" s="120" t="s">
        <v>2000</v>
      </c>
      <c r="G28" s="121">
        <v>62008652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43636</v>
      </c>
      <c r="P28" s="120" t="s">
        <v>1222</v>
      </c>
      <c r="Q28" s="120" t="s">
        <v>313</v>
      </c>
      <c r="R28" s="120" t="s">
        <v>890</v>
      </c>
      <c r="S28" s="124">
        <v>45657</v>
      </c>
      <c r="T28" s="120"/>
      <c r="U28" s="122">
        <v>902629.37</v>
      </c>
      <c r="V28" s="122">
        <v>3.3719999999999999</v>
      </c>
      <c r="W28" s="122">
        <v>110.654</v>
      </c>
      <c r="X28" s="122">
        <v>3367.93712</v>
      </c>
      <c r="Y28" s="123">
        <v>5.9519999999999998E-3</v>
      </c>
      <c r="Z28" s="123">
        <v>5.5999999999999999E-5</v>
      </c>
    </row>
    <row r="29" spans="1:26" ht="15" customHeight="1">
      <c r="A29" s="121">
        <v>313</v>
      </c>
      <c r="B29" s="121">
        <v>313</v>
      </c>
      <c r="C29" s="120" t="s">
        <v>2001</v>
      </c>
      <c r="D29" s="121">
        <v>570009852</v>
      </c>
      <c r="E29" s="120" t="s">
        <v>308</v>
      </c>
      <c r="F29" s="120" t="s">
        <v>2001</v>
      </c>
      <c r="G29" s="121">
        <v>62009980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43418</v>
      </c>
      <c r="P29" s="120" t="s">
        <v>1222</v>
      </c>
      <c r="Q29" s="120" t="s">
        <v>313</v>
      </c>
      <c r="R29" s="120" t="s">
        <v>890</v>
      </c>
      <c r="S29" s="124">
        <v>45657</v>
      </c>
      <c r="T29" s="120"/>
      <c r="U29" s="122">
        <v>27977751.510000002</v>
      </c>
      <c r="V29" s="122">
        <v>3.3719999999999999</v>
      </c>
      <c r="W29" s="122">
        <v>9.9999999999999995E-7</v>
      </c>
      <c r="X29" s="122">
        <v>9.3999999999999997E-4</v>
      </c>
      <c r="Y29" s="123">
        <v>0</v>
      </c>
      <c r="Z29" s="123">
        <v>0</v>
      </c>
    </row>
    <row r="30" spans="1:26" ht="15" customHeight="1">
      <c r="A30" s="121">
        <v>313</v>
      </c>
      <c r="B30" s="121">
        <v>313</v>
      </c>
      <c r="C30" s="120" t="s">
        <v>1988</v>
      </c>
      <c r="D30" s="121">
        <v>570009852</v>
      </c>
      <c r="E30" s="120" t="s">
        <v>308</v>
      </c>
      <c r="F30" s="120" t="s">
        <v>2002</v>
      </c>
      <c r="G30" s="121">
        <v>62004471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43069</v>
      </c>
      <c r="P30" s="120" t="s">
        <v>1222</v>
      </c>
      <c r="Q30" s="120" t="s">
        <v>313</v>
      </c>
      <c r="R30" s="120" t="s">
        <v>890</v>
      </c>
      <c r="S30" s="124">
        <v>45657</v>
      </c>
      <c r="T30" s="120"/>
      <c r="U30" s="122">
        <v>1184991.32</v>
      </c>
      <c r="V30" s="122">
        <v>3.3719999999999999</v>
      </c>
      <c r="W30" s="122">
        <v>100</v>
      </c>
      <c r="X30" s="122">
        <v>3995.7907300000002</v>
      </c>
      <c r="Y30" s="123">
        <v>7.0619999999999997E-3</v>
      </c>
      <c r="Z30" s="123">
        <v>6.6000000000000005E-5</v>
      </c>
    </row>
    <row r="31" spans="1:26" ht="15" customHeight="1">
      <c r="A31" s="121">
        <v>313</v>
      </c>
      <c r="B31" s="121">
        <v>313</v>
      </c>
      <c r="C31" s="120" t="s">
        <v>2003</v>
      </c>
      <c r="D31" s="121">
        <v>570009852</v>
      </c>
      <c r="E31" s="120" t="s">
        <v>308</v>
      </c>
      <c r="F31" s="120" t="s">
        <v>2003</v>
      </c>
      <c r="G31" s="121">
        <v>62009990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567</v>
      </c>
      <c r="N31" s="120" t="s">
        <v>338</v>
      </c>
      <c r="O31" s="124">
        <v>44481</v>
      </c>
      <c r="P31" s="120" t="s">
        <v>1222</v>
      </c>
      <c r="Q31" s="120" t="s">
        <v>313</v>
      </c>
      <c r="R31" s="120" t="s">
        <v>890</v>
      </c>
      <c r="S31" s="124">
        <v>45657</v>
      </c>
      <c r="T31" s="120"/>
      <c r="U31" s="122">
        <v>4515460.33</v>
      </c>
      <c r="V31" s="122">
        <v>3.3719999999999999</v>
      </c>
      <c r="W31" s="122">
        <v>11.369899999999999</v>
      </c>
      <c r="X31" s="122">
        <v>1731.1944599999999</v>
      </c>
      <c r="Y31" s="123">
        <v>3.0590000000000001E-3</v>
      </c>
      <c r="Z31" s="123">
        <v>2.8E-5</v>
      </c>
    </row>
    <row r="32" spans="1:26" ht="15" customHeight="1">
      <c r="A32" s="121">
        <v>313</v>
      </c>
      <c r="B32" s="121">
        <v>313</v>
      </c>
      <c r="C32" s="120" t="s">
        <v>2004</v>
      </c>
      <c r="D32" s="121">
        <v>570009852</v>
      </c>
      <c r="E32" s="120" t="s">
        <v>308</v>
      </c>
      <c r="F32" s="120" t="s">
        <v>2005</v>
      </c>
      <c r="G32" s="121">
        <v>61001905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42370</v>
      </c>
      <c r="P32" s="120" t="s">
        <v>1222</v>
      </c>
      <c r="Q32" s="120" t="s">
        <v>313</v>
      </c>
      <c r="R32" s="120" t="s">
        <v>890</v>
      </c>
      <c r="S32" s="124">
        <v>45657</v>
      </c>
      <c r="T32" s="120"/>
      <c r="U32" s="122">
        <v>4919839.25</v>
      </c>
      <c r="V32" s="122">
        <v>3.3719999999999999</v>
      </c>
      <c r="W32" s="122">
        <v>9.9999999999999995E-7</v>
      </c>
      <c r="X32" s="122">
        <v>1.7000000000000001E-4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2003</v>
      </c>
      <c r="D33" s="121">
        <v>570009852</v>
      </c>
      <c r="E33" s="120" t="s">
        <v>308</v>
      </c>
      <c r="F33" s="120" t="s">
        <v>2006</v>
      </c>
      <c r="G33" s="121">
        <v>62009991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44481</v>
      </c>
      <c r="P33" s="120" t="s">
        <v>1222</v>
      </c>
      <c r="Q33" s="120" t="s">
        <v>313</v>
      </c>
      <c r="R33" s="120" t="s">
        <v>890</v>
      </c>
      <c r="S33" s="124">
        <v>45657</v>
      </c>
      <c r="T33" s="120"/>
      <c r="U33" s="122">
        <v>5586337.7599999998</v>
      </c>
      <c r="V33" s="122">
        <v>3.3719999999999999</v>
      </c>
      <c r="W33" s="122">
        <v>100</v>
      </c>
      <c r="X33" s="122">
        <v>18837.130929999999</v>
      </c>
      <c r="Y33" s="123">
        <v>3.3292000000000002E-2</v>
      </c>
      <c r="Z33" s="123">
        <v>3.1300000000000002E-4</v>
      </c>
    </row>
    <row r="34" spans="1:26" ht="15" customHeight="1">
      <c r="A34" s="121">
        <v>313</v>
      </c>
      <c r="B34" s="121">
        <v>313</v>
      </c>
      <c r="C34" s="120" t="s">
        <v>2007</v>
      </c>
      <c r="D34" s="121">
        <v>570009852</v>
      </c>
      <c r="E34" s="120" t="s">
        <v>308</v>
      </c>
      <c r="F34" s="120" t="s">
        <v>2008</v>
      </c>
      <c r="G34" s="121">
        <v>60418993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42705</v>
      </c>
      <c r="P34" s="120" t="s">
        <v>1222</v>
      </c>
      <c r="Q34" s="120" t="s">
        <v>313</v>
      </c>
      <c r="R34" s="120" t="s">
        <v>890</v>
      </c>
      <c r="S34" s="124">
        <v>45657</v>
      </c>
      <c r="T34" s="120"/>
      <c r="U34" s="122">
        <v>11404382</v>
      </c>
      <c r="V34" s="122">
        <v>3.3719999999999999</v>
      </c>
      <c r="W34" s="122">
        <v>102.00700000000001</v>
      </c>
      <c r="X34" s="122">
        <v>39227.376120000001</v>
      </c>
      <c r="Y34" s="123">
        <v>6.9329000000000002E-2</v>
      </c>
      <c r="Z34" s="123">
        <v>6.5300000000000004E-4</v>
      </c>
    </row>
    <row r="35" spans="1:26" ht="15" customHeight="1">
      <c r="A35" s="121">
        <v>313</v>
      </c>
      <c r="B35" s="121">
        <v>313</v>
      </c>
      <c r="C35" s="120" t="s">
        <v>2003</v>
      </c>
      <c r="D35" s="121">
        <v>570009852</v>
      </c>
      <c r="E35" s="120" t="s">
        <v>308</v>
      </c>
      <c r="F35" s="120" t="s">
        <v>2009</v>
      </c>
      <c r="G35" s="121">
        <v>62009992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44561</v>
      </c>
      <c r="P35" s="120" t="s">
        <v>1222</v>
      </c>
      <c r="Q35" s="120" t="s">
        <v>313</v>
      </c>
      <c r="R35" s="120" t="s">
        <v>890</v>
      </c>
      <c r="S35" s="124">
        <v>45657</v>
      </c>
      <c r="T35" s="120"/>
      <c r="U35" s="122">
        <v>1272622.3999999999</v>
      </c>
      <c r="V35" s="122">
        <v>3.3719999999999999</v>
      </c>
      <c r="W35" s="122">
        <v>100</v>
      </c>
      <c r="X35" s="122">
        <v>4291.2827299999999</v>
      </c>
      <c r="Y35" s="123">
        <v>7.5839999999999996E-3</v>
      </c>
      <c r="Z35" s="123">
        <v>7.1000000000000005E-5</v>
      </c>
    </row>
    <row r="36" spans="1:26" ht="15" customHeight="1">
      <c r="A36" s="121">
        <v>313</v>
      </c>
      <c r="B36" s="121">
        <v>313</v>
      </c>
      <c r="C36" s="120" t="s">
        <v>2010</v>
      </c>
      <c r="D36" s="121">
        <v>570009852</v>
      </c>
      <c r="E36" s="120" t="s">
        <v>308</v>
      </c>
      <c r="F36" s="120" t="s">
        <v>2010</v>
      </c>
      <c r="G36" s="121">
        <v>62009282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43843</v>
      </c>
      <c r="P36" s="120" t="s">
        <v>1222</v>
      </c>
      <c r="Q36" s="120" t="s">
        <v>313</v>
      </c>
      <c r="R36" s="120" t="s">
        <v>890</v>
      </c>
      <c r="S36" s="124">
        <v>45657</v>
      </c>
      <c r="T36" s="120"/>
      <c r="U36" s="122">
        <v>37201326</v>
      </c>
      <c r="V36" s="122">
        <v>3.3719999999999999</v>
      </c>
      <c r="W36" s="122">
        <v>85.242800000000003</v>
      </c>
      <c r="X36" s="122">
        <v>106931.01964</v>
      </c>
      <c r="Y36" s="123">
        <v>0.18898799999999999</v>
      </c>
      <c r="Z36" s="123">
        <v>1.7799999999999999E-3</v>
      </c>
    </row>
    <row r="37" spans="1:26" ht="15" customHeight="1">
      <c r="A37" s="121">
        <v>313</v>
      </c>
      <c r="B37" s="121">
        <v>313</v>
      </c>
      <c r="C37" s="120" t="s">
        <v>2011</v>
      </c>
      <c r="D37" s="121">
        <v>570009852</v>
      </c>
      <c r="E37" s="120" t="s">
        <v>308</v>
      </c>
      <c r="F37" s="120" t="s">
        <v>2012</v>
      </c>
      <c r="G37" s="121">
        <v>62009998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44679</v>
      </c>
      <c r="P37" s="120" t="s">
        <v>1222</v>
      </c>
      <c r="Q37" s="120" t="s">
        <v>313</v>
      </c>
      <c r="R37" s="120" t="s">
        <v>890</v>
      </c>
      <c r="S37" s="124">
        <v>45657</v>
      </c>
      <c r="T37" s="120"/>
      <c r="U37" s="122">
        <v>20749524</v>
      </c>
      <c r="V37" s="122">
        <v>3.3719999999999999</v>
      </c>
      <c r="W37" s="122">
        <v>99.7774</v>
      </c>
      <c r="X37" s="122">
        <v>69811.664369999999</v>
      </c>
      <c r="Y37" s="123">
        <v>0.12338399999999999</v>
      </c>
      <c r="Z37" s="123">
        <v>1.1620000000000001E-3</v>
      </c>
    </row>
    <row r="38" spans="1:26" ht="15" customHeight="1">
      <c r="A38" s="121">
        <v>313</v>
      </c>
      <c r="B38" s="121">
        <v>313</v>
      </c>
      <c r="C38" s="120" t="s">
        <v>2013</v>
      </c>
      <c r="D38" s="121">
        <v>570009852</v>
      </c>
      <c r="E38" s="120" t="s">
        <v>308</v>
      </c>
      <c r="F38" s="120" t="s">
        <v>2014</v>
      </c>
      <c r="G38" s="121">
        <v>60418985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42709</v>
      </c>
      <c r="P38" s="120" t="s">
        <v>1222</v>
      </c>
      <c r="Q38" s="120" t="s">
        <v>313</v>
      </c>
      <c r="R38" s="120" t="s">
        <v>890</v>
      </c>
      <c r="S38" s="124">
        <v>45657</v>
      </c>
      <c r="T38" s="120"/>
      <c r="U38" s="122">
        <v>5000000</v>
      </c>
      <c r="V38" s="122">
        <v>3.3719999999999999</v>
      </c>
      <c r="W38" s="122">
        <v>142.90979999999999</v>
      </c>
      <c r="X38" s="122">
        <v>24094.592049999999</v>
      </c>
      <c r="Y38" s="123">
        <v>4.2583999999999997E-2</v>
      </c>
      <c r="Z38" s="123">
        <v>4.0099999999999999E-4</v>
      </c>
    </row>
    <row r="39" spans="1:26" ht="15" customHeight="1">
      <c r="A39" s="121">
        <v>313</v>
      </c>
      <c r="B39" s="121">
        <v>313</v>
      </c>
      <c r="C39" s="120" t="s">
        <v>2015</v>
      </c>
      <c r="D39" s="121">
        <v>570009852</v>
      </c>
      <c r="E39" s="120" t="s">
        <v>308</v>
      </c>
      <c r="F39" s="120" t="s">
        <v>2016</v>
      </c>
      <c r="G39" s="121">
        <v>62009999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45097</v>
      </c>
      <c r="P39" s="120" t="s">
        <v>1222</v>
      </c>
      <c r="Q39" s="120" t="s">
        <v>313</v>
      </c>
      <c r="R39" s="120" t="s">
        <v>890</v>
      </c>
      <c r="S39" s="124">
        <v>45657</v>
      </c>
      <c r="T39" s="120"/>
      <c r="U39" s="122">
        <v>7009995.4299999997</v>
      </c>
      <c r="V39" s="122">
        <v>3.3719999999999999</v>
      </c>
      <c r="W39" s="122">
        <v>96.406099999999995</v>
      </c>
      <c r="X39" s="122">
        <v>22788.186760000001</v>
      </c>
      <c r="Y39" s="123">
        <v>4.0274999999999998E-2</v>
      </c>
      <c r="Z39" s="123">
        <v>3.79E-4</v>
      </c>
    </row>
    <row r="40" spans="1:26" ht="15" customHeight="1">
      <c r="A40" s="121">
        <v>313</v>
      </c>
      <c r="B40" s="121">
        <v>313</v>
      </c>
      <c r="C40" s="120" t="s">
        <v>2017</v>
      </c>
      <c r="D40" s="121">
        <v>570009852</v>
      </c>
      <c r="E40" s="120" t="s">
        <v>308</v>
      </c>
      <c r="F40" s="120" t="s">
        <v>2017</v>
      </c>
      <c r="G40" s="121">
        <v>60418898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43571</v>
      </c>
      <c r="P40" s="120" t="s">
        <v>1222</v>
      </c>
      <c r="Q40" s="120" t="s">
        <v>313</v>
      </c>
      <c r="R40" s="120" t="s">
        <v>890</v>
      </c>
      <c r="S40" s="124">
        <v>45657</v>
      </c>
      <c r="T40" s="120"/>
      <c r="U40" s="122">
        <v>3782957</v>
      </c>
      <c r="V40" s="122">
        <v>3.3719999999999999</v>
      </c>
      <c r="W40" s="122">
        <v>150.39099999999999</v>
      </c>
      <c r="X40" s="122">
        <v>19184.078850000002</v>
      </c>
      <c r="Y40" s="123">
        <v>3.3904999999999998E-2</v>
      </c>
      <c r="Z40" s="123">
        <v>3.19E-4</v>
      </c>
    </row>
    <row r="41" spans="1:26" ht="15" customHeight="1">
      <c r="A41" s="121">
        <v>313</v>
      </c>
      <c r="B41" s="121">
        <v>313</v>
      </c>
      <c r="C41" s="120" t="s">
        <v>2018</v>
      </c>
      <c r="D41" s="132" t="s">
        <v>2632</v>
      </c>
      <c r="E41" s="120" t="s">
        <v>310</v>
      </c>
      <c r="F41" s="120" t="s">
        <v>2019</v>
      </c>
      <c r="G41" s="121">
        <v>62017272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313</v>
      </c>
      <c r="N41" s="120" t="s">
        <v>338</v>
      </c>
      <c r="O41" s="124">
        <v>44047</v>
      </c>
      <c r="P41" s="120" t="s">
        <v>1222</v>
      </c>
      <c r="Q41" s="120" t="s">
        <v>313</v>
      </c>
      <c r="R41" s="120" t="s">
        <v>890</v>
      </c>
      <c r="S41" s="124">
        <v>45657</v>
      </c>
      <c r="T41" s="120"/>
      <c r="U41" s="122">
        <v>10859303</v>
      </c>
      <c r="V41" s="122">
        <v>3.3719999999999999</v>
      </c>
      <c r="W41" s="122">
        <v>104.0102</v>
      </c>
      <c r="X41" s="122">
        <v>38086.0075</v>
      </c>
      <c r="Y41" s="123">
        <v>6.7311999999999997E-2</v>
      </c>
      <c r="Z41" s="123">
        <v>6.3400000000000001E-4</v>
      </c>
    </row>
    <row r="42" spans="1:26" ht="15" customHeight="1">
      <c r="A42" s="121">
        <v>313</v>
      </c>
      <c r="B42" s="121">
        <v>313</v>
      </c>
      <c r="C42" s="120" t="s">
        <v>2020</v>
      </c>
      <c r="D42" s="121">
        <v>570009852</v>
      </c>
      <c r="E42" s="120" t="s">
        <v>308</v>
      </c>
      <c r="F42" s="120" t="s">
        <v>2021</v>
      </c>
      <c r="G42" s="121">
        <v>60413291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42613</v>
      </c>
      <c r="P42" s="120" t="s">
        <v>1222</v>
      </c>
      <c r="Q42" s="120" t="s">
        <v>313</v>
      </c>
      <c r="R42" s="120" t="s">
        <v>890</v>
      </c>
      <c r="S42" s="124">
        <v>45657</v>
      </c>
      <c r="T42" s="120"/>
      <c r="U42" s="122">
        <v>1106123.7</v>
      </c>
      <c r="V42" s="122">
        <v>3.3719999999999999</v>
      </c>
      <c r="W42" s="122">
        <v>100</v>
      </c>
      <c r="X42" s="122">
        <v>3729.8491199999999</v>
      </c>
      <c r="Y42" s="123">
        <v>6.5919999999999998E-3</v>
      </c>
      <c r="Z42" s="123">
        <v>6.2000000000000003E-5</v>
      </c>
    </row>
    <row r="43" spans="1:26" ht="15" customHeight="1">
      <c r="A43" s="121">
        <v>313</v>
      </c>
      <c r="B43" s="121">
        <v>313</v>
      </c>
      <c r="C43" s="120" t="s">
        <v>2022</v>
      </c>
      <c r="D43" s="121">
        <v>570009852</v>
      </c>
      <c r="E43" s="120" t="s">
        <v>308</v>
      </c>
      <c r="F43" s="120" t="s">
        <v>2023</v>
      </c>
      <c r="G43" s="121">
        <v>62021412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337</v>
      </c>
      <c r="O43" s="124">
        <v>45419</v>
      </c>
      <c r="P43" s="120" t="s">
        <v>1222</v>
      </c>
      <c r="Q43" s="120" t="s">
        <v>313</v>
      </c>
      <c r="R43" s="120" t="s">
        <v>890</v>
      </c>
      <c r="S43" s="124">
        <v>45838</v>
      </c>
      <c r="T43" s="120"/>
      <c r="U43" s="122">
        <v>1918212</v>
      </c>
      <c r="V43" s="122">
        <v>3.3719999999999999</v>
      </c>
      <c r="W43" s="122">
        <v>116.16670000000001</v>
      </c>
      <c r="X43" s="122">
        <v>7513.9071100000001</v>
      </c>
      <c r="Y43" s="123">
        <v>1.3278999999999999E-2</v>
      </c>
      <c r="Z43" s="123">
        <v>1.25E-4</v>
      </c>
    </row>
    <row r="44" spans="1:26" ht="15" customHeight="1">
      <c r="A44" s="121">
        <v>313</v>
      </c>
      <c r="B44" s="121">
        <v>313</v>
      </c>
      <c r="C44" s="120" t="s">
        <v>2018</v>
      </c>
      <c r="D44" s="132" t="s">
        <v>2633</v>
      </c>
      <c r="E44" s="120" t="s">
        <v>310</v>
      </c>
      <c r="F44" s="120" t="s">
        <v>2024</v>
      </c>
      <c r="G44" s="121">
        <v>60409422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313</v>
      </c>
      <c r="N44" s="120" t="s">
        <v>338</v>
      </c>
      <c r="O44" s="124">
        <v>42506</v>
      </c>
      <c r="P44" s="120" t="s">
        <v>1222</v>
      </c>
      <c r="Q44" s="120" t="s">
        <v>313</v>
      </c>
      <c r="R44" s="120" t="s">
        <v>890</v>
      </c>
      <c r="S44" s="124">
        <v>45657</v>
      </c>
      <c r="T44" s="120"/>
      <c r="U44" s="122">
        <v>12427949</v>
      </c>
      <c r="V44" s="122">
        <v>3.3719999999999999</v>
      </c>
      <c r="W44" s="122">
        <v>42.9482</v>
      </c>
      <c r="X44" s="122">
        <v>17998.321080000002</v>
      </c>
      <c r="Y44" s="123">
        <v>3.1808999999999997E-2</v>
      </c>
      <c r="Z44" s="123">
        <v>2.99E-4</v>
      </c>
    </row>
    <row r="45" spans="1:26" ht="15" customHeight="1">
      <c r="A45" s="121">
        <v>313</v>
      </c>
      <c r="B45" s="121">
        <v>313</v>
      </c>
      <c r="C45" s="120" t="s">
        <v>1990</v>
      </c>
      <c r="D45" s="121" t="s">
        <v>1991</v>
      </c>
      <c r="E45" s="120" t="s">
        <v>312</v>
      </c>
      <c r="F45" s="120" t="s">
        <v>2025</v>
      </c>
      <c r="G45" s="121">
        <v>62021828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313</v>
      </c>
      <c r="N45" s="120" t="s">
        <v>338</v>
      </c>
      <c r="O45" s="124">
        <v>45820</v>
      </c>
      <c r="P45" s="120" t="s">
        <v>1222</v>
      </c>
      <c r="Q45" s="120" t="s">
        <v>313</v>
      </c>
      <c r="R45" s="120" t="s">
        <v>890</v>
      </c>
      <c r="S45" s="124">
        <v>45838</v>
      </c>
      <c r="T45" s="120"/>
      <c r="U45" s="122">
        <v>2186128.89</v>
      </c>
      <c r="V45" s="122">
        <v>3.3719999999999999</v>
      </c>
      <c r="W45" s="122">
        <v>97.9161</v>
      </c>
      <c r="X45" s="122">
        <v>7218.00929</v>
      </c>
      <c r="Y45" s="123">
        <v>1.2756999999999999E-2</v>
      </c>
      <c r="Z45" s="123">
        <v>1.2E-4</v>
      </c>
    </row>
    <row r="46" spans="1:26" ht="15" customHeight="1">
      <c r="A46" s="121">
        <v>313</v>
      </c>
      <c r="B46" s="121">
        <v>313</v>
      </c>
      <c r="C46" s="120" t="s">
        <v>2026</v>
      </c>
      <c r="D46" s="121">
        <v>570009852</v>
      </c>
      <c r="E46" s="120" t="s">
        <v>308</v>
      </c>
      <c r="F46" s="120" t="s">
        <v>2027</v>
      </c>
      <c r="G46" s="121">
        <v>60409380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42536</v>
      </c>
      <c r="P46" s="120" t="s">
        <v>1222</v>
      </c>
      <c r="Q46" s="120" t="s">
        <v>313</v>
      </c>
      <c r="R46" s="120" t="s">
        <v>890</v>
      </c>
      <c r="S46" s="124">
        <v>45657</v>
      </c>
      <c r="T46" s="120"/>
      <c r="U46" s="122">
        <v>4515482.59</v>
      </c>
      <c r="V46" s="122">
        <v>3.3719999999999999</v>
      </c>
      <c r="W46" s="122">
        <v>9.9999999999999995E-7</v>
      </c>
      <c r="X46" s="122">
        <v>1.4999999999999999E-4</v>
      </c>
      <c r="Y46" s="123">
        <v>0</v>
      </c>
      <c r="Z46" s="123">
        <v>0</v>
      </c>
    </row>
    <row r="47" spans="1:26" ht="15" customHeight="1">
      <c r="A47" s="121">
        <v>313</v>
      </c>
      <c r="B47" s="121">
        <v>313</v>
      </c>
      <c r="C47" s="120" t="s">
        <v>2010</v>
      </c>
      <c r="D47" s="121">
        <v>570009852</v>
      </c>
      <c r="E47" s="120" t="s">
        <v>308</v>
      </c>
      <c r="F47" s="120" t="s">
        <v>2028</v>
      </c>
      <c r="G47" s="121">
        <v>62009290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337</v>
      </c>
      <c r="O47" s="124">
        <v>44013</v>
      </c>
      <c r="P47" s="120" t="s">
        <v>1222</v>
      </c>
      <c r="Q47" s="120" t="s">
        <v>313</v>
      </c>
      <c r="R47" s="120" t="s">
        <v>890</v>
      </c>
      <c r="S47" s="124">
        <v>45657</v>
      </c>
      <c r="T47" s="120"/>
      <c r="U47" s="122">
        <v>2798674</v>
      </c>
      <c r="V47" s="122">
        <v>3.3719999999999999</v>
      </c>
      <c r="W47" s="122">
        <v>9.9999999999999995E-7</v>
      </c>
      <c r="X47" s="122">
        <v>9.3999999999999997E-4</v>
      </c>
      <c r="Y47" s="123">
        <v>0</v>
      </c>
      <c r="Z47" s="123">
        <v>0</v>
      </c>
    </row>
    <row r="48" spans="1:26" ht="15" customHeight="1">
      <c r="A48" s="121">
        <v>313</v>
      </c>
      <c r="B48" s="121">
        <v>313</v>
      </c>
      <c r="C48" s="120" t="s">
        <v>2020</v>
      </c>
      <c r="D48" s="121">
        <v>570009852</v>
      </c>
      <c r="E48" s="120" t="s">
        <v>308</v>
      </c>
      <c r="F48" s="120" t="s">
        <v>2029</v>
      </c>
      <c r="G48" s="121">
        <v>60390366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338</v>
      </c>
      <c r="O48" s="124">
        <v>42192</v>
      </c>
      <c r="P48" s="120" t="s">
        <v>1222</v>
      </c>
      <c r="Q48" s="120" t="s">
        <v>313</v>
      </c>
      <c r="R48" s="120" t="s">
        <v>890</v>
      </c>
      <c r="S48" s="124">
        <v>45657</v>
      </c>
      <c r="T48" s="120"/>
      <c r="U48" s="122">
        <v>1647969.5</v>
      </c>
      <c r="V48" s="122">
        <v>3.3719999999999999</v>
      </c>
      <c r="W48" s="122">
        <v>-262.52859999999998</v>
      </c>
      <c r="X48" s="122">
        <v>-14588.59146</v>
      </c>
      <c r="Y48" s="123">
        <v>-2.5783E-2</v>
      </c>
      <c r="Z48" s="123">
        <v>-2.42E-4</v>
      </c>
    </row>
    <row r="49" spans="1:26" ht="15" customHeight="1">
      <c r="A49" s="121">
        <v>313</v>
      </c>
      <c r="B49" s="121">
        <v>313</v>
      </c>
      <c r="C49" s="120" t="s">
        <v>2020</v>
      </c>
      <c r="D49" s="121">
        <v>570009852</v>
      </c>
      <c r="E49" s="120" t="s">
        <v>308</v>
      </c>
      <c r="F49" s="120" t="s">
        <v>2030</v>
      </c>
      <c r="G49" s="121">
        <v>60390358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338</v>
      </c>
      <c r="O49" s="124">
        <v>42192</v>
      </c>
      <c r="P49" s="120" t="s">
        <v>1222</v>
      </c>
      <c r="Q49" s="120" t="s">
        <v>313</v>
      </c>
      <c r="R49" s="120" t="s">
        <v>890</v>
      </c>
      <c r="S49" s="124">
        <v>45657</v>
      </c>
      <c r="T49" s="120"/>
      <c r="U49" s="122">
        <v>3397287.89</v>
      </c>
      <c r="V49" s="122">
        <v>3.3719999999999999</v>
      </c>
      <c r="W49" s="122">
        <v>100</v>
      </c>
      <c r="X49" s="122">
        <v>11455.654769999999</v>
      </c>
      <c r="Y49" s="123">
        <v>2.0246E-2</v>
      </c>
      <c r="Z49" s="123">
        <v>1.9000000000000001E-4</v>
      </c>
    </row>
    <row r="50" spans="1:26" ht="15" customHeight="1">
      <c r="A50" s="121">
        <v>313</v>
      </c>
      <c r="B50" s="121">
        <v>313</v>
      </c>
      <c r="C50" s="120" t="s">
        <v>2004</v>
      </c>
      <c r="D50" s="121">
        <v>570009852</v>
      </c>
      <c r="E50" s="120" t="s">
        <v>308</v>
      </c>
      <c r="F50" s="120" t="s">
        <v>2031</v>
      </c>
      <c r="G50" s="121">
        <v>61001889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42370</v>
      </c>
      <c r="P50" s="120" t="s">
        <v>1222</v>
      </c>
      <c r="Q50" s="120" t="s">
        <v>313</v>
      </c>
      <c r="R50" s="120" t="s">
        <v>890</v>
      </c>
      <c r="S50" s="124">
        <v>45657</v>
      </c>
      <c r="T50" s="120"/>
      <c r="U50" s="122">
        <v>1637962.49</v>
      </c>
      <c r="V50" s="122">
        <v>3.3719999999999999</v>
      </c>
      <c r="W50" s="122">
        <v>9.9999999999999995E-7</v>
      </c>
      <c r="X50" s="122">
        <v>6.0000000000000002E-5</v>
      </c>
      <c r="Y50" s="123">
        <v>0</v>
      </c>
      <c r="Z50" s="123">
        <v>0</v>
      </c>
    </row>
    <row r="51" spans="1:26" ht="15" customHeight="1">
      <c r="A51" s="121">
        <v>313</v>
      </c>
      <c r="B51" s="121">
        <v>313</v>
      </c>
      <c r="C51" s="120" t="s">
        <v>2032</v>
      </c>
      <c r="D51" s="121">
        <v>570009852</v>
      </c>
      <c r="E51" s="120" t="s">
        <v>308</v>
      </c>
      <c r="F51" s="120" t="s">
        <v>2033</v>
      </c>
      <c r="G51" s="121">
        <v>62009285</v>
      </c>
      <c r="H51" s="120" t="s">
        <v>311</v>
      </c>
      <c r="I51" s="120" t="s">
        <v>764</v>
      </c>
      <c r="J51" s="120" t="s">
        <v>204</v>
      </c>
      <c r="K51" s="120" t="s">
        <v>223</v>
      </c>
      <c r="L51" s="120" t="s">
        <v>325</v>
      </c>
      <c r="M51" s="120" t="s">
        <v>567</v>
      </c>
      <c r="N51" s="120" t="s">
        <v>337</v>
      </c>
      <c r="O51" s="124">
        <v>43879</v>
      </c>
      <c r="P51" s="120" t="s">
        <v>1212</v>
      </c>
      <c r="Q51" s="120" t="s">
        <v>313</v>
      </c>
      <c r="R51" s="120" t="s">
        <v>890</v>
      </c>
      <c r="S51" s="124">
        <v>45657</v>
      </c>
      <c r="T51" s="120"/>
      <c r="U51" s="122">
        <v>16534319.109999999</v>
      </c>
      <c r="V51" s="122">
        <v>2.4674</v>
      </c>
      <c r="W51" s="122">
        <v>98.909099999999995</v>
      </c>
      <c r="X51" s="122">
        <v>40351.733540000001</v>
      </c>
      <c r="Y51" s="123">
        <v>7.1317000000000005E-2</v>
      </c>
      <c r="Z51" s="123">
        <v>6.7199999999999996E-4</v>
      </c>
    </row>
  </sheetData>
  <conditionalFormatting sqref="D41">
    <cfRule type="duplicateValues" dxfId="22" priority="2"/>
  </conditionalFormatting>
  <conditionalFormatting sqref="D44">
    <cfRule type="duplicateValues" dxfId="21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406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7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87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313</v>
      </c>
      <c r="B2" s="121">
        <v>313</v>
      </c>
      <c r="C2" s="120" t="s">
        <v>2034</v>
      </c>
      <c r="D2" s="121"/>
      <c r="E2" s="120"/>
      <c r="F2" s="120" t="s">
        <v>2035</v>
      </c>
      <c r="G2" s="121">
        <v>38043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41906</v>
      </c>
      <c r="Q2" s="120" t="s">
        <v>1218</v>
      </c>
      <c r="R2" s="120" t="s">
        <v>886</v>
      </c>
      <c r="S2" s="120" t="s">
        <v>890</v>
      </c>
      <c r="T2" s="124">
        <v>45838</v>
      </c>
      <c r="U2" s="122">
        <v>1</v>
      </c>
      <c r="V2" s="122">
        <v>52783.358999999997</v>
      </c>
      <c r="W2" s="122">
        <v>52783.358999999997</v>
      </c>
      <c r="X2" s="123">
        <v>2.3991999999999999E-2</v>
      </c>
      <c r="Y2" s="123">
        <v>8.6459999999999992E-3</v>
      </c>
      <c r="Z2" s="123">
        <v>8.7900000000000001E-4</v>
      </c>
    </row>
    <row r="3" spans="1:27" ht="15" customHeight="1">
      <c r="A3" s="121">
        <v>313</v>
      </c>
      <c r="B3" s="121">
        <v>313</v>
      </c>
      <c r="C3" s="120" t="s">
        <v>2036</v>
      </c>
      <c r="D3" s="121"/>
      <c r="E3" s="120"/>
      <c r="F3" s="120" t="s">
        <v>2037</v>
      </c>
      <c r="G3" s="121">
        <v>60405917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42460</v>
      </c>
      <c r="Q3" s="120" t="s">
        <v>1222</v>
      </c>
      <c r="R3" s="120" t="s">
        <v>886</v>
      </c>
      <c r="S3" s="120" t="s">
        <v>890</v>
      </c>
      <c r="T3" s="124">
        <v>45838</v>
      </c>
      <c r="U3" s="122">
        <v>3.3719999999999999</v>
      </c>
      <c r="V3" s="122">
        <v>21101.951710000001</v>
      </c>
      <c r="W3" s="122">
        <v>71155.781170000002</v>
      </c>
      <c r="X3" s="123">
        <v>0.105309</v>
      </c>
      <c r="Y3" s="123">
        <v>1.1656E-2</v>
      </c>
      <c r="Z3" s="123">
        <v>1.1850000000000001E-3</v>
      </c>
    </row>
    <row r="4" spans="1:27" ht="15" customHeight="1">
      <c r="A4" s="121">
        <v>313</v>
      </c>
      <c r="B4" s="121">
        <v>313</v>
      </c>
      <c r="C4" s="120" t="s">
        <v>2038</v>
      </c>
      <c r="D4" s="121"/>
      <c r="E4" s="120"/>
      <c r="F4" s="120" t="s">
        <v>2039</v>
      </c>
      <c r="G4" s="121">
        <v>60400892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43266</v>
      </c>
      <c r="Q4" s="120" t="s">
        <v>1222</v>
      </c>
      <c r="R4" s="120" t="s">
        <v>886</v>
      </c>
      <c r="S4" s="120" t="s">
        <v>890</v>
      </c>
      <c r="T4" s="124">
        <v>45838</v>
      </c>
      <c r="U4" s="122">
        <v>3.3719999999999999</v>
      </c>
      <c r="V4" s="122">
        <v>13708.52181</v>
      </c>
      <c r="W4" s="122">
        <v>46225.13553</v>
      </c>
      <c r="X4" s="123">
        <v>1.2462000000000001E-2</v>
      </c>
      <c r="Y4" s="123">
        <v>7.5719999999999997E-3</v>
      </c>
      <c r="Z4" s="123">
        <v>7.6900000000000004E-4</v>
      </c>
    </row>
    <row r="5" spans="1:27" ht="15" customHeight="1">
      <c r="A5" s="121">
        <v>313</v>
      </c>
      <c r="B5" s="121">
        <v>313</v>
      </c>
      <c r="C5" s="120" t="s">
        <v>2040</v>
      </c>
      <c r="D5" s="121"/>
      <c r="E5" s="120"/>
      <c r="F5" s="120" t="s">
        <v>2041</v>
      </c>
      <c r="G5" s="121">
        <v>62003142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43227</v>
      </c>
      <c r="Q5" s="120" t="s">
        <v>1222</v>
      </c>
      <c r="R5" s="120" t="s">
        <v>886</v>
      </c>
      <c r="S5" s="120" t="s">
        <v>890</v>
      </c>
      <c r="T5" s="124">
        <v>45838</v>
      </c>
      <c r="U5" s="122">
        <v>3.3719999999999999</v>
      </c>
      <c r="V5" s="122">
        <v>8859.6516900000006</v>
      </c>
      <c r="W5" s="122">
        <v>29874.745500000001</v>
      </c>
      <c r="X5" s="123">
        <v>4.2188000000000003E-2</v>
      </c>
      <c r="Y5" s="123">
        <v>4.8939999999999999E-3</v>
      </c>
      <c r="Z5" s="123">
        <v>4.9700000000000005E-4</v>
      </c>
    </row>
    <row r="6" spans="1:27" ht="15" customHeight="1">
      <c r="A6" s="121">
        <v>313</v>
      </c>
      <c r="B6" s="121">
        <v>313</v>
      </c>
      <c r="C6" s="120" t="s">
        <v>2042</v>
      </c>
      <c r="D6" s="121"/>
      <c r="E6" s="120"/>
      <c r="F6" s="120" t="s">
        <v>2043</v>
      </c>
      <c r="G6" s="121">
        <v>78984</v>
      </c>
      <c r="H6" s="120" t="s">
        <v>311</v>
      </c>
      <c r="I6" s="120" t="s">
        <v>1004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43734</v>
      </c>
      <c r="Q6" s="120" t="s">
        <v>1218</v>
      </c>
      <c r="R6" s="120" t="s">
        <v>886</v>
      </c>
      <c r="S6" s="120" t="s">
        <v>890</v>
      </c>
      <c r="T6" s="124">
        <v>45838</v>
      </c>
      <c r="U6" s="122">
        <v>1</v>
      </c>
      <c r="V6" s="122">
        <v>24086.54868</v>
      </c>
      <c r="W6" s="122">
        <v>24086.54868</v>
      </c>
      <c r="X6" s="123">
        <v>1.1037999999999999E-2</v>
      </c>
      <c r="Y6" s="123">
        <v>3.9449999999999997E-3</v>
      </c>
      <c r="Z6" s="123">
        <v>4.0099999999999999E-4</v>
      </c>
    </row>
    <row r="7" spans="1:27" ht="15" customHeight="1">
      <c r="A7" s="121">
        <v>313</v>
      </c>
      <c r="B7" s="121">
        <v>313</v>
      </c>
      <c r="C7" s="120" t="s">
        <v>2044</v>
      </c>
      <c r="D7" s="121"/>
      <c r="E7" s="120"/>
      <c r="F7" s="120" t="s">
        <v>2045</v>
      </c>
      <c r="G7" s="121">
        <v>60297512</v>
      </c>
      <c r="H7" s="120" t="s">
        <v>311</v>
      </c>
      <c r="I7" s="120" t="s">
        <v>1006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41128</v>
      </c>
      <c r="Q7" s="120" t="s">
        <v>1222</v>
      </c>
      <c r="R7" s="120" t="s">
        <v>886</v>
      </c>
      <c r="S7" s="120" t="s">
        <v>890</v>
      </c>
      <c r="T7" s="124">
        <v>45838</v>
      </c>
      <c r="U7" s="122">
        <v>3.3719999999999999</v>
      </c>
      <c r="V7" s="122">
        <v>303.17905999999999</v>
      </c>
      <c r="W7" s="122">
        <v>1022.31979</v>
      </c>
      <c r="X7" s="123">
        <v>3.7980000000000002E-3</v>
      </c>
      <c r="Y7" s="123">
        <v>1.6699999999999999E-4</v>
      </c>
      <c r="Z7" s="123">
        <v>1.7E-5</v>
      </c>
    </row>
    <row r="8" spans="1:27" ht="15" customHeight="1">
      <c r="A8" s="121">
        <v>313</v>
      </c>
      <c r="B8" s="121">
        <v>313</v>
      </c>
      <c r="C8" s="120" t="s">
        <v>2046</v>
      </c>
      <c r="D8" s="121"/>
      <c r="E8" s="120"/>
      <c r="F8" s="120" t="s">
        <v>2047</v>
      </c>
      <c r="G8" s="121">
        <v>62008450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45223</v>
      </c>
      <c r="Q8" s="120" t="s">
        <v>1218</v>
      </c>
      <c r="R8" s="120" t="s">
        <v>886</v>
      </c>
      <c r="S8" s="120" t="s">
        <v>890</v>
      </c>
      <c r="T8" s="124">
        <v>45838</v>
      </c>
      <c r="U8" s="122">
        <v>1</v>
      </c>
      <c r="V8" s="122">
        <v>8732.1916799999999</v>
      </c>
      <c r="W8" s="122">
        <v>8732.1916799999999</v>
      </c>
      <c r="X8" s="123">
        <v>1.5876000000000001E-2</v>
      </c>
      <c r="Y8" s="123">
        <v>1.4300000000000001E-3</v>
      </c>
      <c r="Z8" s="123">
        <v>1.45E-4</v>
      </c>
    </row>
    <row r="9" spans="1:27" ht="15" customHeight="1">
      <c r="A9" s="121">
        <v>313</v>
      </c>
      <c r="B9" s="121">
        <v>313</v>
      </c>
      <c r="C9" s="120" t="s">
        <v>2044</v>
      </c>
      <c r="D9" s="121"/>
      <c r="E9" s="120"/>
      <c r="F9" s="120" t="s">
        <v>2048</v>
      </c>
      <c r="G9" s="121">
        <v>9840861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39364</v>
      </c>
      <c r="Q9" s="120" t="s">
        <v>1222</v>
      </c>
      <c r="R9" s="120" t="s">
        <v>886</v>
      </c>
      <c r="S9" s="120" t="s">
        <v>890</v>
      </c>
      <c r="T9" s="124">
        <v>45838</v>
      </c>
      <c r="U9" s="122">
        <v>3.3719999999999999</v>
      </c>
      <c r="V9" s="122">
        <v>278.72730999999999</v>
      </c>
      <c r="W9" s="122">
        <v>939.86847</v>
      </c>
      <c r="X9" s="123">
        <v>2.2290000000000001E-3</v>
      </c>
      <c r="Y9" s="123">
        <v>1.5300000000000001E-4</v>
      </c>
      <c r="Z9" s="123">
        <v>1.5E-5</v>
      </c>
    </row>
    <row r="10" spans="1:27" ht="15" customHeight="1">
      <c r="A10" s="121">
        <v>313</v>
      </c>
      <c r="B10" s="121">
        <v>313</v>
      </c>
      <c r="C10" s="120" t="s">
        <v>2038</v>
      </c>
      <c r="D10" s="121"/>
      <c r="E10" s="120"/>
      <c r="F10" s="120" t="s">
        <v>2049</v>
      </c>
      <c r="G10" s="121">
        <v>9840908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43266</v>
      </c>
      <c r="Q10" s="120" t="s">
        <v>1222</v>
      </c>
      <c r="R10" s="120" t="s">
        <v>886</v>
      </c>
      <c r="S10" s="120" t="s">
        <v>890</v>
      </c>
      <c r="T10" s="124">
        <v>45838</v>
      </c>
      <c r="U10" s="122">
        <v>3.3719999999999999</v>
      </c>
      <c r="V10" s="122">
        <v>38.389449999999997</v>
      </c>
      <c r="W10" s="122">
        <v>129.44920999999999</v>
      </c>
      <c r="X10" s="123">
        <v>7.4999999999999993E-5</v>
      </c>
      <c r="Y10" s="123">
        <v>2.0999999999999999E-5</v>
      </c>
      <c r="Z10" s="123">
        <v>1.9999999999999999E-6</v>
      </c>
    </row>
    <row r="11" spans="1:27" ht="15" customHeight="1">
      <c r="A11" s="121">
        <v>313</v>
      </c>
      <c r="B11" s="121">
        <v>313</v>
      </c>
      <c r="C11" s="120" t="s">
        <v>2050</v>
      </c>
      <c r="D11" s="121"/>
      <c r="E11" s="120"/>
      <c r="F11" s="120" t="s">
        <v>2051</v>
      </c>
      <c r="G11" s="121">
        <v>51080</v>
      </c>
      <c r="H11" s="120" t="s">
        <v>311</v>
      </c>
      <c r="I11" s="120" t="s">
        <v>1002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43091</v>
      </c>
      <c r="Q11" s="120" t="s">
        <v>1218</v>
      </c>
      <c r="R11" s="120" t="s">
        <v>886</v>
      </c>
      <c r="S11" s="120" t="s">
        <v>890</v>
      </c>
      <c r="T11" s="124">
        <v>45838</v>
      </c>
      <c r="U11" s="122">
        <v>1</v>
      </c>
      <c r="V11" s="122">
        <v>12694.2773</v>
      </c>
      <c r="W11" s="122">
        <v>12694.2773</v>
      </c>
      <c r="X11" s="123">
        <v>5.0574000000000001E-2</v>
      </c>
      <c r="Y11" s="123">
        <v>2.0790000000000001E-3</v>
      </c>
      <c r="Z11" s="123">
        <v>2.1100000000000001E-4</v>
      </c>
    </row>
    <row r="12" spans="1:27" ht="15" customHeight="1">
      <c r="A12" s="121">
        <v>313</v>
      </c>
      <c r="B12" s="121">
        <v>313</v>
      </c>
      <c r="C12" s="120" t="s">
        <v>2052</v>
      </c>
      <c r="D12" s="121"/>
      <c r="E12" s="120"/>
      <c r="F12" s="120" t="s">
        <v>2052</v>
      </c>
      <c r="G12" s="121">
        <v>62018123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223</v>
      </c>
      <c r="O12" s="120" t="s">
        <v>338</v>
      </c>
      <c r="P12" s="124">
        <v>45717</v>
      </c>
      <c r="Q12" s="120" t="s">
        <v>1222</v>
      </c>
      <c r="R12" s="120" t="s">
        <v>886</v>
      </c>
      <c r="S12" s="120" t="s">
        <v>890</v>
      </c>
      <c r="T12" s="124">
        <v>45838</v>
      </c>
      <c r="U12" s="122">
        <v>3.3719999999999999</v>
      </c>
      <c r="V12" s="122">
        <v>1.7000000000000001E-4</v>
      </c>
      <c r="W12" s="122">
        <v>9.9999999999999995E-7</v>
      </c>
      <c r="X12" s="123">
        <v>0</v>
      </c>
      <c r="Y12" s="123">
        <v>0</v>
      </c>
      <c r="Z12" s="123">
        <v>0</v>
      </c>
    </row>
    <row r="13" spans="1:27" ht="15" customHeight="1">
      <c r="A13" s="121">
        <v>313</v>
      </c>
      <c r="B13" s="121">
        <v>313</v>
      </c>
      <c r="C13" s="120" t="s">
        <v>2036</v>
      </c>
      <c r="D13" s="121"/>
      <c r="E13" s="120"/>
      <c r="F13" s="120" t="s">
        <v>2053</v>
      </c>
      <c r="G13" s="121">
        <v>60370269</v>
      </c>
      <c r="H13" s="120" t="s">
        <v>311</v>
      </c>
      <c r="I13" s="120" t="s">
        <v>1006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41904</v>
      </c>
      <c r="Q13" s="120" t="s">
        <v>1222</v>
      </c>
      <c r="R13" s="120" t="s">
        <v>886</v>
      </c>
      <c r="S13" s="120" t="s">
        <v>890</v>
      </c>
      <c r="T13" s="124">
        <v>45838</v>
      </c>
      <c r="U13" s="122">
        <v>3.3719999999999999</v>
      </c>
      <c r="V13" s="122">
        <v>34891.97739</v>
      </c>
      <c r="W13" s="122">
        <v>117655.74776</v>
      </c>
      <c r="X13" s="123">
        <v>0.24165900000000001</v>
      </c>
      <c r="Y13" s="123">
        <v>1.9273999999999999E-2</v>
      </c>
      <c r="Z13" s="123">
        <v>1.9589999999999998E-3</v>
      </c>
    </row>
    <row r="14" spans="1:27" ht="15" customHeight="1">
      <c r="A14" s="121">
        <v>313</v>
      </c>
      <c r="B14" s="121">
        <v>313</v>
      </c>
      <c r="C14" s="120" t="s">
        <v>2054</v>
      </c>
      <c r="D14" s="121"/>
      <c r="E14" s="120"/>
      <c r="F14" s="120" t="s">
        <v>2055</v>
      </c>
      <c r="G14" s="121">
        <v>26054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43052</v>
      </c>
      <c r="Q14" s="120" t="s">
        <v>1218</v>
      </c>
      <c r="R14" s="120" t="s">
        <v>886</v>
      </c>
      <c r="S14" s="120" t="s">
        <v>890</v>
      </c>
      <c r="T14" s="124">
        <v>45838</v>
      </c>
      <c r="U14" s="122">
        <v>1</v>
      </c>
      <c r="V14" s="122">
        <v>10.86063</v>
      </c>
      <c r="W14" s="122">
        <v>10.86063</v>
      </c>
      <c r="X14" s="123">
        <v>2.1999999999999999E-5</v>
      </c>
      <c r="Y14" s="123">
        <v>9.9999999999999995E-7</v>
      </c>
      <c r="Z14" s="123">
        <v>0</v>
      </c>
    </row>
    <row r="15" spans="1:27" ht="15" customHeight="1">
      <c r="A15" s="121">
        <v>313</v>
      </c>
      <c r="B15" s="121">
        <v>313</v>
      </c>
      <c r="C15" s="120" t="s">
        <v>2042</v>
      </c>
      <c r="D15" s="121"/>
      <c r="E15" s="120"/>
      <c r="F15" s="120" t="s">
        <v>2056</v>
      </c>
      <c r="G15" s="121">
        <v>78972</v>
      </c>
      <c r="H15" s="120" t="s">
        <v>311</v>
      </c>
      <c r="I15" s="120" t="s">
        <v>1004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43095</v>
      </c>
      <c r="Q15" s="120" t="s">
        <v>1218</v>
      </c>
      <c r="R15" s="120" t="s">
        <v>886</v>
      </c>
      <c r="S15" s="120" t="s">
        <v>890</v>
      </c>
      <c r="T15" s="124">
        <v>45838</v>
      </c>
      <c r="U15" s="122">
        <v>1</v>
      </c>
      <c r="V15" s="122">
        <v>12989.58777</v>
      </c>
      <c r="W15" s="122">
        <v>12989.58777</v>
      </c>
      <c r="X15" s="123">
        <v>1.2989000000000001E-2</v>
      </c>
      <c r="Y15" s="123">
        <v>2.127E-3</v>
      </c>
      <c r="Z15" s="123">
        <v>2.1599999999999999E-4</v>
      </c>
    </row>
    <row r="16" spans="1:27" ht="15" customHeight="1">
      <c r="A16" s="121">
        <v>313</v>
      </c>
      <c r="B16" s="121">
        <v>313</v>
      </c>
      <c r="C16" s="120" t="s">
        <v>2044</v>
      </c>
      <c r="D16" s="121"/>
      <c r="E16" s="120"/>
      <c r="F16" s="120" t="s">
        <v>2057</v>
      </c>
      <c r="G16" s="121">
        <v>62017786</v>
      </c>
      <c r="H16" s="120" t="s">
        <v>311</v>
      </c>
      <c r="I16" s="120" t="s">
        <v>1006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45645</v>
      </c>
      <c r="Q16" s="120" t="s">
        <v>1222</v>
      </c>
      <c r="R16" s="120" t="s">
        <v>886</v>
      </c>
      <c r="S16" s="120" t="s">
        <v>890</v>
      </c>
      <c r="T16" s="124">
        <v>45838</v>
      </c>
      <c r="U16" s="122">
        <v>3.3719999999999999</v>
      </c>
      <c r="V16" s="122">
        <v>-5.5753000000000004</v>
      </c>
      <c r="W16" s="122">
        <v>-18.799910000000001</v>
      </c>
      <c r="X16" s="123">
        <v>0</v>
      </c>
      <c r="Y16" s="123">
        <v>-3.0000000000000001E-6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2058</v>
      </c>
      <c r="D17" s="121"/>
      <c r="E17" s="120"/>
      <c r="F17" s="120" t="s">
        <v>2059</v>
      </c>
      <c r="G17" s="121">
        <v>60283058</v>
      </c>
      <c r="H17" s="120" t="s">
        <v>311</v>
      </c>
      <c r="I17" s="120" t="s">
        <v>1002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41453</v>
      </c>
      <c r="Q17" s="120" t="s">
        <v>1222</v>
      </c>
      <c r="R17" s="120" t="s">
        <v>886</v>
      </c>
      <c r="S17" s="120" t="s">
        <v>890</v>
      </c>
      <c r="T17" s="124">
        <v>45838</v>
      </c>
      <c r="U17" s="122">
        <v>3.3719999999999999</v>
      </c>
      <c r="V17" s="122">
        <v>58.156399999999998</v>
      </c>
      <c r="W17" s="122">
        <v>196.10338999999999</v>
      </c>
      <c r="X17" s="123">
        <v>2.9E-4</v>
      </c>
      <c r="Y17" s="123">
        <v>3.1999999999999999E-5</v>
      </c>
      <c r="Z17" s="123">
        <v>3.0000000000000001E-6</v>
      </c>
    </row>
    <row r="18" spans="1:26" ht="15" customHeight="1">
      <c r="A18" s="121">
        <v>313</v>
      </c>
      <c r="B18" s="121">
        <v>313</v>
      </c>
      <c r="C18" s="120" t="s">
        <v>2060</v>
      </c>
      <c r="D18" s="121"/>
      <c r="E18" s="120"/>
      <c r="F18" s="120" t="s">
        <v>2061</v>
      </c>
      <c r="G18" s="121">
        <v>62008551</v>
      </c>
      <c r="H18" s="120" t="s">
        <v>311</v>
      </c>
      <c r="I18" s="120" t="s">
        <v>1001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45223</v>
      </c>
      <c r="Q18" s="120" t="s">
        <v>1222</v>
      </c>
      <c r="R18" s="120" t="s">
        <v>886</v>
      </c>
      <c r="S18" s="120" t="s">
        <v>890</v>
      </c>
      <c r="T18" s="124">
        <v>45838</v>
      </c>
      <c r="U18" s="122">
        <v>3.3719999999999999</v>
      </c>
      <c r="V18" s="122">
        <v>2033.0231000000001</v>
      </c>
      <c r="W18" s="122">
        <v>6855.3538799999997</v>
      </c>
      <c r="X18" s="123">
        <v>1.22E-4</v>
      </c>
      <c r="Y18" s="123">
        <v>1.1230000000000001E-3</v>
      </c>
      <c r="Z18" s="123">
        <v>1.1400000000000001E-4</v>
      </c>
    </row>
    <row r="19" spans="1:26" ht="15" customHeight="1">
      <c r="A19" s="121">
        <v>313</v>
      </c>
      <c r="B19" s="121">
        <v>313</v>
      </c>
      <c r="C19" s="120" t="s">
        <v>2062</v>
      </c>
      <c r="D19" s="121"/>
      <c r="E19" s="120"/>
      <c r="F19" s="120" t="s">
        <v>2063</v>
      </c>
      <c r="G19" s="121">
        <v>60375078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42355</v>
      </c>
      <c r="Q19" s="120" t="s">
        <v>1222</v>
      </c>
      <c r="R19" s="120" t="s">
        <v>886</v>
      </c>
      <c r="S19" s="120" t="s">
        <v>890</v>
      </c>
      <c r="T19" s="124">
        <v>45838</v>
      </c>
      <c r="U19" s="122">
        <v>3.3719999999999999</v>
      </c>
      <c r="V19" s="122">
        <v>7451.0801600000004</v>
      </c>
      <c r="W19" s="122">
        <v>25125.042310000001</v>
      </c>
      <c r="X19" s="123">
        <v>1.4772E-2</v>
      </c>
      <c r="Y19" s="123">
        <v>4.1149999999999997E-3</v>
      </c>
      <c r="Z19" s="123">
        <v>4.1800000000000002E-4</v>
      </c>
    </row>
    <row r="20" spans="1:26" ht="15" customHeight="1">
      <c r="A20" s="121">
        <v>313</v>
      </c>
      <c r="B20" s="121">
        <v>313</v>
      </c>
      <c r="C20" s="120" t="s">
        <v>2064</v>
      </c>
      <c r="D20" s="121"/>
      <c r="E20" s="120"/>
      <c r="F20" s="120" t="s">
        <v>2065</v>
      </c>
      <c r="G20" s="121">
        <v>9840689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43095</v>
      </c>
      <c r="Q20" s="120" t="s">
        <v>1222</v>
      </c>
      <c r="R20" s="120" t="s">
        <v>886</v>
      </c>
      <c r="S20" s="120" t="s">
        <v>890</v>
      </c>
      <c r="T20" s="124">
        <v>45838</v>
      </c>
      <c r="U20" s="122">
        <v>3.3719999999999999</v>
      </c>
      <c r="V20" s="122">
        <v>198.36000999999999</v>
      </c>
      <c r="W20" s="122">
        <v>668.86994000000004</v>
      </c>
      <c r="X20" s="123">
        <v>1.5009999999999999E-3</v>
      </c>
      <c r="Y20" s="123">
        <v>1.0900000000000001E-4</v>
      </c>
      <c r="Z20" s="123">
        <v>1.1E-5</v>
      </c>
    </row>
    <row r="21" spans="1:26" ht="15" customHeight="1">
      <c r="A21" s="121">
        <v>313</v>
      </c>
      <c r="B21" s="121">
        <v>313</v>
      </c>
      <c r="C21" s="120" t="s">
        <v>2044</v>
      </c>
      <c r="D21" s="121"/>
      <c r="E21" s="120"/>
      <c r="F21" s="120" t="s">
        <v>2066</v>
      </c>
      <c r="G21" s="121">
        <v>62017775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295</v>
      </c>
      <c r="O21" s="120" t="s">
        <v>338</v>
      </c>
      <c r="P21" s="124">
        <v>44824</v>
      </c>
      <c r="Q21" s="120" t="s">
        <v>1222</v>
      </c>
      <c r="R21" s="120" t="s">
        <v>886</v>
      </c>
      <c r="S21" s="120" t="s">
        <v>890</v>
      </c>
      <c r="T21" s="124">
        <v>45838</v>
      </c>
      <c r="U21" s="122">
        <v>3.3719999999999999</v>
      </c>
      <c r="V21" s="122">
        <v>1122.67328</v>
      </c>
      <c r="W21" s="122">
        <v>3785.6543000000001</v>
      </c>
      <c r="X21" s="123">
        <v>5.6129999999999999E-3</v>
      </c>
      <c r="Y21" s="123">
        <v>6.2E-4</v>
      </c>
      <c r="Z21" s="123">
        <v>6.3E-5</v>
      </c>
    </row>
    <row r="22" spans="1:26" ht="15" customHeight="1">
      <c r="A22" s="121">
        <v>313</v>
      </c>
      <c r="B22" s="121">
        <v>313</v>
      </c>
      <c r="C22" s="120" t="s">
        <v>2067</v>
      </c>
      <c r="D22" s="121"/>
      <c r="E22" s="120"/>
      <c r="F22" s="120" t="s">
        <v>2068</v>
      </c>
      <c r="G22" s="121">
        <v>62008354</v>
      </c>
      <c r="H22" s="120" t="s">
        <v>311</v>
      </c>
      <c r="I22" s="120" t="s">
        <v>1006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41376</v>
      </c>
      <c r="Q22" s="120" t="s">
        <v>1222</v>
      </c>
      <c r="R22" s="120" t="s">
        <v>886</v>
      </c>
      <c r="S22" s="120" t="s">
        <v>890</v>
      </c>
      <c r="T22" s="124">
        <v>45838</v>
      </c>
      <c r="U22" s="122">
        <v>3.3719999999999999</v>
      </c>
      <c r="V22" s="122">
        <v>3827.9785299999999</v>
      </c>
      <c r="W22" s="122">
        <v>12907.94361</v>
      </c>
      <c r="X22" s="123">
        <v>1.2759E-2</v>
      </c>
      <c r="Y22" s="123">
        <v>2.114E-3</v>
      </c>
      <c r="Z22" s="123">
        <v>2.14E-4</v>
      </c>
    </row>
    <row r="23" spans="1:26" ht="15" customHeight="1">
      <c r="A23" s="121">
        <v>313</v>
      </c>
      <c r="B23" s="121">
        <v>313</v>
      </c>
      <c r="C23" s="120" t="s">
        <v>2069</v>
      </c>
      <c r="D23" s="121"/>
      <c r="E23" s="120"/>
      <c r="F23" s="120" t="s">
        <v>2070</v>
      </c>
      <c r="G23" s="121">
        <v>60289795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44754</v>
      </c>
      <c r="Q23" s="120" t="s">
        <v>1222</v>
      </c>
      <c r="R23" s="120" t="s">
        <v>886</v>
      </c>
      <c r="S23" s="120" t="s">
        <v>890</v>
      </c>
      <c r="T23" s="124">
        <v>45838</v>
      </c>
      <c r="U23" s="122">
        <v>3.3719999999999999</v>
      </c>
      <c r="V23" s="122">
        <v>7301.4221399999997</v>
      </c>
      <c r="W23" s="122">
        <v>24620.39545</v>
      </c>
      <c r="X23" s="123">
        <v>7.3010000000000002E-3</v>
      </c>
      <c r="Y23" s="123">
        <v>4.0330000000000001E-3</v>
      </c>
      <c r="Z23" s="123">
        <v>4.0999999999999999E-4</v>
      </c>
    </row>
    <row r="24" spans="1:26" ht="15" customHeight="1">
      <c r="A24" s="121">
        <v>313</v>
      </c>
      <c r="B24" s="121">
        <v>313</v>
      </c>
      <c r="C24" s="120" t="s">
        <v>2034</v>
      </c>
      <c r="D24" s="121"/>
      <c r="E24" s="120"/>
      <c r="F24" s="120" t="s">
        <v>2071</v>
      </c>
      <c r="G24" s="121">
        <v>38044</v>
      </c>
      <c r="H24" s="120" t="s">
        <v>311</v>
      </c>
      <c r="I24" s="120" t="s">
        <v>1002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45545</v>
      </c>
      <c r="Q24" s="120" t="s">
        <v>1218</v>
      </c>
      <c r="R24" s="120" t="s">
        <v>886</v>
      </c>
      <c r="S24" s="120" t="s">
        <v>890</v>
      </c>
      <c r="T24" s="124">
        <v>45838</v>
      </c>
      <c r="U24" s="122">
        <v>1</v>
      </c>
      <c r="V24" s="122">
        <v>4021.35016</v>
      </c>
      <c r="W24" s="122">
        <v>4021.35016</v>
      </c>
      <c r="X24" s="123">
        <v>1.6080000000000001E-3</v>
      </c>
      <c r="Y24" s="123">
        <v>6.5799999999999995E-4</v>
      </c>
      <c r="Z24" s="123">
        <v>6.6000000000000005E-5</v>
      </c>
    </row>
    <row r="25" spans="1:26" ht="15" customHeight="1">
      <c r="A25" s="121">
        <v>313</v>
      </c>
      <c r="B25" s="121">
        <v>313</v>
      </c>
      <c r="C25" s="120" t="s">
        <v>2072</v>
      </c>
      <c r="D25" s="121"/>
      <c r="E25" s="120"/>
      <c r="F25" s="120" t="s">
        <v>2073</v>
      </c>
      <c r="G25" s="121">
        <v>60353281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43748</v>
      </c>
      <c r="Q25" s="120" t="s">
        <v>1222</v>
      </c>
      <c r="R25" s="120" t="s">
        <v>886</v>
      </c>
      <c r="S25" s="120" t="s">
        <v>890</v>
      </c>
      <c r="T25" s="124">
        <v>45838</v>
      </c>
      <c r="U25" s="122">
        <v>3.3719999999999999</v>
      </c>
      <c r="V25" s="122">
        <v>1574.20236</v>
      </c>
      <c r="W25" s="122">
        <v>5308.2103699999998</v>
      </c>
      <c r="X25" s="123">
        <v>6.2960000000000004E-3</v>
      </c>
      <c r="Y25" s="123">
        <v>8.6899999999999998E-4</v>
      </c>
      <c r="Z25" s="123">
        <v>8.7999999999999998E-5</v>
      </c>
    </row>
    <row r="26" spans="1:26" ht="15" customHeight="1">
      <c r="A26" s="121">
        <v>313</v>
      </c>
      <c r="B26" s="121">
        <v>313</v>
      </c>
      <c r="C26" s="120" t="s">
        <v>2034</v>
      </c>
      <c r="D26" s="121"/>
      <c r="E26" s="120"/>
      <c r="F26" s="120" t="s">
        <v>2074</v>
      </c>
      <c r="G26" s="121">
        <v>38042</v>
      </c>
      <c r="H26" s="120" t="s">
        <v>311</v>
      </c>
      <c r="I26" s="120" t="s">
        <v>1002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43154</v>
      </c>
      <c r="Q26" s="120" t="s">
        <v>1218</v>
      </c>
      <c r="R26" s="120" t="s">
        <v>886</v>
      </c>
      <c r="S26" s="120" t="s">
        <v>890</v>
      </c>
      <c r="T26" s="124">
        <v>45838</v>
      </c>
      <c r="U26" s="122">
        <v>1</v>
      </c>
      <c r="V26" s="122">
        <v>31302.404920000001</v>
      </c>
      <c r="W26" s="122">
        <v>31302.404920000001</v>
      </c>
      <c r="X26" s="123">
        <v>1.9564000000000002E-2</v>
      </c>
      <c r="Y26" s="123">
        <v>5.1269999999999996E-3</v>
      </c>
      <c r="Z26" s="123">
        <v>5.2099999999999998E-4</v>
      </c>
    </row>
    <row r="27" spans="1:26" ht="15" customHeight="1">
      <c r="A27" s="121">
        <v>313</v>
      </c>
      <c r="B27" s="121">
        <v>313</v>
      </c>
      <c r="C27" s="120" t="s">
        <v>2075</v>
      </c>
      <c r="D27" s="121"/>
      <c r="E27" s="120"/>
      <c r="F27" s="120" t="s">
        <v>2076</v>
      </c>
      <c r="G27" s="121">
        <v>18995</v>
      </c>
      <c r="H27" s="120" t="s">
        <v>311</v>
      </c>
      <c r="I27" s="120" t="s">
        <v>1004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44280</v>
      </c>
      <c r="Q27" s="120" t="s">
        <v>1218</v>
      </c>
      <c r="R27" s="120" t="s">
        <v>886</v>
      </c>
      <c r="S27" s="120" t="s">
        <v>890</v>
      </c>
      <c r="T27" s="124">
        <v>45838</v>
      </c>
      <c r="U27" s="122">
        <v>1</v>
      </c>
      <c r="V27" s="122">
        <v>25810.718550000001</v>
      </c>
      <c r="W27" s="122">
        <v>25810.718550000001</v>
      </c>
      <c r="X27" s="123">
        <v>1.7207E-2</v>
      </c>
      <c r="Y27" s="123">
        <v>4.228E-3</v>
      </c>
      <c r="Z27" s="123">
        <v>4.2900000000000002E-4</v>
      </c>
    </row>
    <row r="28" spans="1:26" ht="15" customHeight="1">
      <c r="A28" s="121">
        <v>313</v>
      </c>
      <c r="B28" s="121">
        <v>313</v>
      </c>
      <c r="C28" s="120" t="s">
        <v>2038</v>
      </c>
      <c r="D28" s="121"/>
      <c r="E28" s="120"/>
      <c r="F28" s="120" t="s">
        <v>2077</v>
      </c>
      <c r="G28" s="121">
        <v>60400893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38515</v>
      </c>
      <c r="Q28" s="120" t="s">
        <v>1222</v>
      </c>
      <c r="R28" s="120" t="s">
        <v>886</v>
      </c>
      <c r="S28" s="120" t="s">
        <v>890</v>
      </c>
      <c r="T28" s="124">
        <v>45838</v>
      </c>
      <c r="U28" s="122">
        <v>3.3719999999999999</v>
      </c>
      <c r="V28" s="122">
        <v>9090.6445600000006</v>
      </c>
      <c r="W28" s="122">
        <v>30653.653470000001</v>
      </c>
      <c r="X28" s="123">
        <v>1.8704999999999999E-2</v>
      </c>
      <c r="Y28" s="123">
        <v>5.0210000000000003E-3</v>
      </c>
      <c r="Z28" s="123">
        <v>5.1000000000000004E-4</v>
      </c>
    </row>
    <row r="29" spans="1:26" ht="15" customHeight="1">
      <c r="A29" s="121">
        <v>313</v>
      </c>
      <c r="B29" s="121">
        <v>313</v>
      </c>
      <c r="C29" s="120" t="s">
        <v>2078</v>
      </c>
      <c r="D29" s="121"/>
      <c r="E29" s="120"/>
      <c r="F29" s="120" t="s">
        <v>2079</v>
      </c>
      <c r="G29" s="121">
        <v>20347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44666</v>
      </c>
      <c r="Q29" s="120" t="s">
        <v>1218</v>
      </c>
      <c r="R29" s="120" t="s">
        <v>886</v>
      </c>
      <c r="S29" s="120" t="s">
        <v>890</v>
      </c>
      <c r="T29" s="124">
        <v>45838</v>
      </c>
      <c r="U29" s="122">
        <v>1</v>
      </c>
      <c r="V29" s="122">
        <v>4828.3587200000002</v>
      </c>
      <c r="W29" s="122">
        <v>4828.3587200000002</v>
      </c>
      <c r="X29" s="123">
        <v>5.6730000000000001E-3</v>
      </c>
      <c r="Y29" s="123">
        <v>7.9000000000000001E-4</v>
      </c>
      <c r="Z29" s="123">
        <v>8.0000000000000007E-5</v>
      </c>
    </row>
    <row r="30" spans="1:26" ht="15" customHeight="1">
      <c r="A30" s="121">
        <v>313</v>
      </c>
      <c r="B30" s="121">
        <v>313</v>
      </c>
      <c r="C30" s="120" t="s">
        <v>2080</v>
      </c>
      <c r="D30" s="121"/>
      <c r="E30" s="120"/>
      <c r="F30" s="120" t="s">
        <v>2081</v>
      </c>
      <c r="G30" s="121">
        <v>60337284</v>
      </c>
      <c r="H30" s="120" t="s">
        <v>311</v>
      </c>
      <c r="I30" s="120" t="s">
        <v>1006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41654</v>
      </c>
      <c r="Q30" s="120" t="s">
        <v>1222</v>
      </c>
      <c r="R30" s="120" t="s">
        <v>886</v>
      </c>
      <c r="S30" s="120" t="s">
        <v>890</v>
      </c>
      <c r="T30" s="124">
        <v>45838</v>
      </c>
      <c r="U30" s="122">
        <v>3.3719999999999999</v>
      </c>
      <c r="V30" s="122">
        <v>3133.10293</v>
      </c>
      <c r="W30" s="122">
        <v>10564.82308</v>
      </c>
      <c r="X30" s="123">
        <v>1.6115999999999998E-2</v>
      </c>
      <c r="Y30" s="123">
        <v>1.73E-3</v>
      </c>
      <c r="Z30" s="123">
        <v>1.75E-4</v>
      </c>
    </row>
    <row r="31" spans="1:26" ht="15" customHeight="1">
      <c r="A31" s="121">
        <v>313</v>
      </c>
      <c r="B31" s="121">
        <v>313</v>
      </c>
      <c r="C31" s="120" t="s">
        <v>2044</v>
      </c>
      <c r="D31" s="121"/>
      <c r="E31" s="120"/>
      <c r="F31" s="120" t="s">
        <v>2082</v>
      </c>
      <c r="G31" s="121">
        <v>62010061</v>
      </c>
      <c r="H31" s="120" t="s">
        <v>311</v>
      </c>
      <c r="I31" s="120" t="s">
        <v>1006</v>
      </c>
      <c r="J31" s="120"/>
      <c r="K31" s="120" t="s">
        <v>203</v>
      </c>
      <c r="L31" s="120"/>
      <c r="M31" s="120"/>
      <c r="N31" s="120" t="s">
        <v>223</v>
      </c>
      <c r="O31" s="120" t="s">
        <v>338</v>
      </c>
      <c r="P31" s="124">
        <v>43418</v>
      </c>
      <c r="Q31" s="120" t="s">
        <v>1222</v>
      </c>
      <c r="R31" s="120" t="s">
        <v>886</v>
      </c>
      <c r="S31" s="120" t="s">
        <v>890</v>
      </c>
      <c r="T31" s="124">
        <v>45838</v>
      </c>
      <c r="U31" s="122">
        <v>3.3719999999999999</v>
      </c>
      <c r="V31" s="122">
        <v>4061.1406000000002</v>
      </c>
      <c r="W31" s="122">
        <v>13694.1661</v>
      </c>
      <c r="X31" s="123">
        <v>7.2520000000000001E-2</v>
      </c>
      <c r="Y31" s="123">
        <v>2.2430000000000002E-3</v>
      </c>
      <c r="Z31" s="123">
        <v>2.2800000000000001E-4</v>
      </c>
    </row>
    <row r="32" spans="1:26" ht="15" customHeight="1">
      <c r="A32" s="121">
        <v>313</v>
      </c>
      <c r="B32" s="121">
        <v>313</v>
      </c>
      <c r="C32" s="120" t="s">
        <v>2083</v>
      </c>
      <c r="D32" s="121"/>
      <c r="E32" s="120"/>
      <c r="F32" s="120" t="s">
        <v>2084</v>
      </c>
      <c r="G32" s="121">
        <v>9840776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41964</v>
      </c>
      <c r="Q32" s="120" t="s">
        <v>1222</v>
      </c>
      <c r="R32" s="120" t="s">
        <v>886</v>
      </c>
      <c r="S32" s="120" t="s">
        <v>890</v>
      </c>
      <c r="T32" s="124">
        <v>45838</v>
      </c>
      <c r="U32" s="122">
        <v>3.3719999999999999</v>
      </c>
      <c r="V32" s="122">
        <v>100.63167</v>
      </c>
      <c r="W32" s="122">
        <v>339.32999000000001</v>
      </c>
      <c r="X32" s="123">
        <v>1.84E-4</v>
      </c>
      <c r="Y32" s="123">
        <v>5.5000000000000002E-5</v>
      </c>
      <c r="Z32" s="123">
        <v>5.0000000000000004E-6</v>
      </c>
    </row>
    <row r="33" spans="1:26" ht="15" customHeight="1">
      <c r="A33" s="121">
        <v>313</v>
      </c>
      <c r="B33" s="121">
        <v>313</v>
      </c>
      <c r="C33" s="120" t="s">
        <v>2044</v>
      </c>
      <c r="D33" s="121"/>
      <c r="E33" s="120"/>
      <c r="F33" s="120" t="s">
        <v>2085</v>
      </c>
      <c r="G33" s="121">
        <v>62017785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45645</v>
      </c>
      <c r="Q33" s="120" t="s">
        <v>1222</v>
      </c>
      <c r="R33" s="120" t="s">
        <v>886</v>
      </c>
      <c r="S33" s="120" t="s">
        <v>890</v>
      </c>
      <c r="T33" s="124">
        <v>45838</v>
      </c>
      <c r="U33" s="122">
        <v>3.3719999999999999</v>
      </c>
      <c r="V33" s="122">
        <v>24.24</v>
      </c>
      <c r="W33" s="122">
        <v>81.737279999999998</v>
      </c>
      <c r="X33" s="123">
        <v>3.2299999999999999E-4</v>
      </c>
      <c r="Y33" s="123">
        <v>1.2999999999999999E-5</v>
      </c>
      <c r="Z33" s="123">
        <v>9.9999999999999995E-7</v>
      </c>
    </row>
    <row r="34" spans="1:26" ht="15" customHeight="1">
      <c r="A34" s="121">
        <v>313</v>
      </c>
      <c r="B34" s="121">
        <v>313</v>
      </c>
      <c r="C34" s="120" t="s">
        <v>2086</v>
      </c>
      <c r="D34" s="121"/>
      <c r="E34" s="120"/>
      <c r="F34" s="120" t="s">
        <v>2087</v>
      </c>
      <c r="G34" s="121">
        <v>9840803</v>
      </c>
      <c r="H34" s="120" t="s">
        <v>311</v>
      </c>
      <c r="I34" s="120" t="s">
        <v>1006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44174</v>
      </c>
      <c r="Q34" s="120" t="s">
        <v>1222</v>
      </c>
      <c r="R34" s="120" t="s">
        <v>886</v>
      </c>
      <c r="S34" s="120" t="s">
        <v>890</v>
      </c>
      <c r="T34" s="124">
        <v>45838</v>
      </c>
      <c r="U34" s="122">
        <v>3.3719999999999999</v>
      </c>
      <c r="V34" s="122">
        <v>269.17200000000003</v>
      </c>
      <c r="W34" s="122">
        <v>907.64797999999996</v>
      </c>
      <c r="X34" s="123">
        <v>1.5E-3</v>
      </c>
      <c r="Y34" s="123">
        <v>1.4799999999999999E-4</v>
      </c>
      <c r="Z34" s="123">
        <v>1.5E-5</v>
      </c>
    </row>
    <row r="35" spans="1:26" ht="15" customHeight="1">
      <c r="A35" s="121">
        <v>313</v>
      </c>
      <c r="B35" s="121">
        <v>313</v>
      </c>
      <c r="C35" s="120" t="s">
        <v>2088</v>
      </c>
      <c r="D35" s="121"/>
      <c r="E35" s="120"/>
      <c r="F35" s="120" t="s">
        <v>2089</v>
      </c>
      <c r="G35" s="121">
        <v>60100</v>
      </c>
      <c r="H35" s="120" t="s">
        <v>311</v>
      </c>
      <c r="I35" s="120" t="s">
        <v>1002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45744</v>
      </c>
      <c r="Q35" s="120" t="s">
        <v>1218</v>
      </c>
      <c r="R35" s="120" t="s">
        <v>886</v>
      </c>
      <c r="S35" s="120" t="s">
        <v>890</v>
      </c>
      <c r="T35" s="124">
        <v>45838</v>
      </c>
      <c r="U35" s="122">
        <v>1</v>
      </c>
      <c r="V35" s="122">
        <v>8002.0298000000003</v>
      </c>
      <c r="W35" s="122">
        <v>8002.0298000000003</v>
      </c>
      <c r="X35" s="123">
        <v>2.69E-2</v>
      </c>
      <c r="Y35" s="123">
        <v>1.31E-3</v>
      </c>
      <c r="Z35" s="123">
        <v>1.3300000000000001E-4</v>
      </c>
    </row>
    <row r="36" spans="1:26" ht="15" customHeight="1">
      <c r="A36" s="121">
        <v>313</v>
      </c>
      <c r="B36" s="121">
        <v>313</v>
      </c>
      <c r="C36" s="120" t="s">
        <v>2034</v>
      </c>
      <c r="D36" s="121"/>
      <c r="E36" s="120"/>
      <c r="F36" s="120" t="s">
        <v>2090</v>
      </c>
      <c r="G36" s="121">
        <v>36749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44377</v>
      </c>
      <c r="Q36" s="120" t="s">
        <v>1218</v>
      </c>
      <c r="R36" s="120" t="s">
        <v>886</v>
      </c>
      <c r="S36" s="120" t="s">
        <v>890</v>
      </c>
      <c r="T36" s="124">
        <v>45838</v>
      </c>
      <c r="U36" s="122">
        <v>1</v>
      </c>
      <c r="V36" s="122">
        <v>20991.257000000001</v>
      </c>
      <c r="W36" s="122">
        <v>20991.257000000001</v>
      </c>
      <c r="X36" s="123">
        <v>1.6792999999999999E-2</v>
      </c>
      <c r="Y36" s="123">
        <v>3.4380000000000001E-3</v>
      </c>
      <c r="Z36" s="123">
        <v>3.4900000000000003E-4</v>
      </c>
    </row>
    <row r="37" spans="1:26" ht="15" customHeight="1">
      <c r="A37" s="121">
        <v>313</v>
      </c>
      <c r="B37" s="121">
        <v>313</v>
      </c>
      <c r="C37" s="120" t="s">
        <v>2091</v>
      </c>
      <c r="D37" s="121"/>
      <c r="E37" s="120"/>
      <c r="F37" s="120" t="s">
        <v>2092</v>
      </c>
      <c r="G37" s="121">
        <v>62018232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45767</v>
      </c>
      <c r="Q37" s="120" t="s">
        <v>1222</v>
      </c>
      <c r="R37" s="120" t="s">
        <v>886</v>
      </c>
      <c r="S37" s="120" t="s">
        <v>890</v>
      </c>
      <c r="T37" s="124">
        <v>45838</v>
      </c>
      <c r="U37" s="122">
        <v>3.3719999999999999</v>
      </c>
      <c r="V37" s="122">
        <v>1.7000000000000001E-4</v>
      </c>
      <c r="W37" s="122">
        <v>9.9999999999999995E-7</v>
      </c>
      <c r="X37" s="123">
        <v>0</v>
      </c>
      <c r="Y37" s="123">
        <v>0</v>
      </c>
      <c r="Z37" s="123">
        <v>0</v>
      </c>
    </row>
    <row r="38" spans="1:26" ht="15" customHeight="1">
      <c r="A38" s="121">
        <v>313</v>
      </c>
      <c r="B38" s="121">
        <v>313</v>
      </c>
      <c r="C38" s="120" t="s">
        <v>2093</v>
      </c>
      <c r="D38" s="121"/>
      <c r="E38" s="120"/>
      <c r="F38" s="120" t="s">
        <v>2094</v>
      </c>
      <c r="G38" s="121">
        <v>9840949</v>
      </c>
      <c r="H38" s="120" t="s">
        <v>311</v>
      </c>
      <c r="I38" s="120" t="s">
        <v>1002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39934</v>
      </c>
      <c r="Q38" s="120" t="s">
        <v>1222</v>
      </c>
      <c r="R38" s="120" t="s">
        <v>886</v>
      </c>
      <c r="S38" s="120" t="s">
        <v>890</v>
      </c>
      <c r="T38" s="124">
        <v>45838</v>
      </c>
      <c r="U38" s="122">
        <v>3.3719999999999999</v>
      </c>
      <c r="V38" s="122">
        <v>12.398099999999999</v>
      </c>
      <c r="W38" s="122">
        <v>41.80639</v>
      </c>
      <c r="X38" s="123">
        <v>1.3799999999999999E-4</v>
      </c>
      <c r="Y38" s="123">
        <v>6.0000000000000002E-6</v>
      </c>
      <c r="Z38" s="123">
        <v>0</v>
      </c>
    </row>
    <row r="39" spans="1:26" ht="15" customHeight="1">
      <c r="A39" s="121">
        <v>313</v>
      </c>
      <c r="B39" s="121">
        <v>313</v>
      </c>
      <c r="C39" s="120" t="s">
        <v>2095</v>
      </c>
      <c r="D39" s="121"/>
      <c r="E39" s="120"/>
      <c r="F39" s="120" t="s">
        <v>2095</v>
      </c>
      <c r="G39" s="121">
        <v>51078</v>
      </c>
      <c r="H39" s="120" t="s">
        <v>311</v>
      </c>
      <c r="I39" s="120" t="s">
        <v>1002</v>
      </c>
      <c r="J39" s="120"/>
      <c r="K39" s="120" t="s">
        <v>203</v>
      </c>
      <c r="L39" s="120"/>
      <c r="M39" s="120"/>
      <c r="N39" s="120" t="s">
        <v>203</v>
      </c>
      <c r="O39" s="120" t="s">
        <v>337</v>
      </c>
      <c r="P39" s="124">
        <v>43255</v>
      </c>
      <c r="Q39" s="120" t="s">
        <v>1218</v>
      </c>
      <c r="R39" s="120" t="s">
        <v>886</v>
      </c>
      <c r="S39" s="120" t="s">
        <v>890</v>
      </c>
      <c r="T39" s="124">
        <v>45838</v>
      </c>
      <c r="U39" s="122">
        <v>1</v>
      </c>
      <c r="V39" s="122">
        <v>66851.507500000007</v>
      </c>
      <c r="W39" s="122">
        <v>66851.507500000007</v>
      </c>
      <c r="X39" s="123">
        <v>0.111419</v>
      </c>
      <c r="Y39" s="123">
        <v>1.0951000000000001E-2</v>
      </c>
      <c r="Z39" s="123">
        <v>1.1130000000000001E-3</v>
      </c>
    </row>
    <row r="40" spans="1:26" ht="15" customHeight="1">
      <c r="A40" s="121">
        <v>313</v>
      </c>
      <c r="B40" s="121">
        <v>313</v>
      </c>
      <c r="C40" s="120" t="s">
        <v>2096</v>
      </c>
      <c r="D40" s="121"/>
      <c r="E40" s="120"/>
      <c r="F40" s="120" t="s">
        <v>2097</v>
      </c>
      <c r="G40" s="121">
        <v>62011336</v>
      </c>
      <c r="H40" s="120" t="s">
        <v>311</v>
      </c>
      <c r="I40" s="120" t="s">
        <v>1006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41753</v>
      </c>
      <c r="Q40" s="120" t="s">
        <v>1222</v>
      </c>
      <c r="R40" s="120" t="s">
        <v>886</v>
      </c>
      <c r="S40" s="120" t="s">
        <v>890</v>
      </c>
      <c r="T40" s="124">
        <v>45838</v>
      </c>
      <c r="U40" s="122">
        <v>3.3719999999999999</v>
      </c>
      <c r="V40" s="122">
        <v>9006.3395099999998</v>
      </c>
      <c r="W40" s="122">
        <v>30369.376830000001</v>
      </c>
      <c r="X40" s="123">
        <v>2.2318000000000001E-2</v>
      </c>
      <c r="Y40" s="123">
        <v>4.9750000000000003E-3</v>
      </c>
      <c r="Z40" s="123">
        <v>5.0500000000000002E-4</v>
      </c>
    </row>
    <row r="41" spans="1:26" ht="15" customHeight="1">
      <c r="A41" s="121">
        <v>313</v>
      </c>
      <c r="B41" s="121">
        <v>313</v>
      </c>
      <c r="C41" s="120" t="s">
        <v>2044</v>
      </c>
      <c r="D41" s="121"/>
      <c r="E41" s="120"/>
      <c r="F41" s="120" t="s">
        <v>2098</v>
      </c>
      <c r="G41" s="121">
        <v>62010060</v>
      </c>
      <c r="H41" s="120" t="s">
        <v>311</v>
      </c>
      <c r="I41" s="120" t="s">
        <v>1006</v>
      </c>
      <c r="J41" s="120"/>
      <c r="K41" s="120" t="s">
        <v>203</v>
      </c>
      <c r="L41" s="120"/>
      <c r="M41" s="120"/>
      <c r="N41" s="120" t="s">
        <v>223</v>
      </c>
      <c r="O41" s="120" t="s">
        <v>338</v>
      </c>
      <c r="P41" s="124">
        <v>44362</v>
      </c>
      <c r="Q41" s="120" t="s">
        <v>1222</v>
      </c>
      <c r="R41" s="120" t="s">
        <v>886</v>
      </c>
      <c r="S41" s="120" t="s">
        <v>890</v>
      </c>
      <c r="T41" s="124">
        <v>45838</v>
      </c>
      <c r="U41" s="122">
        <v>3.3719999999999999</v>
      </c>
      <c r="V41" s="122">
        <v>2534.38517</v>
      </c>
      <c r="W41" s="122">
        <v>8545.94679</v>
      </c>
      <c r="X41" s="123">
        <v>3.7859999999999998E-2</v>
      </c>
      <c r="Y41" s="123">
        <v>1.3990000000000001E-3</v>
      </c>
      <c r="Z41" s="123">
        <v>1.4200000000000001E-4</v>
      </c>
    </row>
    <row r="42" spans="1:26" ht="15" customHeight="1">
      <c r="A42" s="121">
        <v>313</v>
      </c>
      <c r="B42" s="121">
        <v>313</v>
      </c>
      <c r="C42" s="120" t="s">
        <v>2099</v>
      </c>
      <c r="D42" s="121"/>
      <c r="E42" s="120"/>
      <c r="F42" s="120" t="s">
        <v>2099</v>
      </c>
      <c r="G42" s="121">
        <v>53020</v>
      </c>
      <c r="H42" s="120" t="s">
        <v>311</v>
      </c>
      <c r="I42" s="120" t="s">
        <v>1004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44574</v>
      </c>
      <c r="Q42" s="120" t="s">
        <v>1218</v>
      </c>
      <c r="R42" s="120" t="s">
        <v>886</v>
      </c>
      <c r="S42" s="120" t="s">
        <v>890</v>
      </c>
      <c r="T42" s="124">
        <v>45838</v>
      </c>
      <c r="U42" s="122">
        <v>1</v>
      </c>
      <c r="V42" s="122">
        <v>26976.451400000002</v>
      </c>
      <c r="W42" s="122">
        <v>26976.451400000002</v>
      </c>
      <c r="X42" s="123">
        <v>4.6510999999999997E-2</v>
      </c>
      <c r="Y42" s="123">
        <v>4.4190000000000002E-3</v>
      </c>
      <c r="Z42" s="123">
        <v>4.4900000000000002E-4</v>
      </c>
    </row>
    <row r="43" spans="1:26" ht="15" customHeight="1">
      <c r="A43" s="121">
        <v>313</v>
      </c>
      <c r="B43" s="121">
        <v>313</v>
      </c>
      <c r="C43" s="120" t="s">
        <v>2100</v>
      </c>
      <c r="D43" s="121"/>
      <c r="E43" s="120"/>
      <c r="F43" s="120" t="s">
        <v>2101</v>
      </c>
      <c r="G43" s="121">
        <v>62018045</v>
      </c>
      <c r="H43" s="120" t="s">
        <v>311</v>
      </c>
      <c r="I43" s="120" t="s">
        <v>1006</v>
      </c>
      <c r="J43" s="120"/>
      <c r="K43" s="120" t="s">
        <v>203</v>
      </c>
      <c r="L43" s="120"/>
      <c r="M43" s="120"/>
      <c r="N43" s="120" t="s">
        <v>223</v>
      </c>
      <c r="O43" s="120" t="s">
        <v>338</v>
      </c>
      <c r="P43" s="124">
        <v>45229</v>
      </c>
      <c r="Q43" s="120" t="s">
        <v>1222</v>
      </c>
      <c r="R43" s="120" t="s">
        <v>886</v>
      </c>
      <c r="S43" s="120" t="s">
        <v>890</v>
      </c>
      <c r="T43" s="124">
        <v>45838</v>
      </c>
      <c r="U43" s="122">
        <v>3.3719999999999999</v>
      </c>
      <c r="V43" s="122">
        <v>2641.05026</v>
      </c>
      <c r="W43" s="122">
        <v>8905.6214600000003</v>
      </c>
      <c r="X43" s="123">
        <v>3.6000000000000001E-5</v>
      </c>
      <c r="Y43" s="123">
        <v>1.4580000000000001E-3</v>
      </c>
      <c r="Z43" s="123">
        <v>1.4799999999999999E-4</v>
      </c>
    </row>
    <row r="44" spans="1:26" ht="15" customHeight="1">
      <c r="A44" s="121">
        <v>313</v>
      </c>
      <c r="B44" s="121">
        <v>313</v>
      </c>
      <c r="C44" s="120" t="s">
        <v>2102</v>
      </c>
      <c r="D44" s="121"/>
      <c r="E44" s="120"/>
      <c r="F44" s="120" t="s">
        <v>2103</v>
      </c>
      <c r="G44" s="121">
        <v>60356391</v>
      </c>
      <c r="H44" s="120" t="s">
        <v>311</v>
      </c>
      <c r="I44" s="120" t="s">
        <v>1001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44357</v>
      </c>
      <c r="Q44" s="120" t="s">
        <v>1222</v>
      </c>
      <c r="R44" s="120" t="s">
        <v>886</v>
      </c>
      <c r="S44" s="120" t="s">
        <v>890</v>
      </c>
      <c r="T44" s="124">
        <v>45838</v>
      </c>
      <c r="U44" s="122">
        <v>3.3719999999999999</v>
      </c>
      <c r="V44" s="122">
        <v>6808.04727</v>
      </c>
      <c r="W44" s="122">
        <v>22956.735410000001</v>
      </c>
      <c r="X44" s="123">
        <v>6.8080000000000002E-2</v>
      </c>
      <c r="Y44" s="123">
        <v>3.7599999999999999E-3</v>
      </c>
      <c r="Z44" s="123">
        <v>3.8200000000000002E-4</v>
      </c>
    </row>
    <row r="45" spans="1:26" ht="15" customHeight="1">
      <c r="A45" s="121">
        <v>313</v>
      </c>
      <c r="B45" s="121">
        <v>313</v>
      </c>
      <c r="C45" s="120" t="s">
        <v>2088</v>
      </c>
      <c r="D45" s="121"/>
      <c r="E45" s="120"/>
      <c r="F45" s="120" t="s">
        <v>2104</v>
      </c>
      <c r="G45" s="121">
        <v>60101</v>
      </c>
      <c r="H45" s="120" t="s">
        <v>311</v>
      </c>
      <c r="I45" s="120" t="s">
        <v>1002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45744</v>
      </c>
      <c r="Q45" s="120" t="s">
        <v>1218</v>
      </c>
      <c r="R45" s="120" t="s">
        <v>886</v>
      </c>
      <c r="S45" s="120" t="s">
        <v>890</v>
      </c>
      <c r="T45" s="124">
        <v>45838</v>
      </c>
      <c r="U45" s="122">
        <v>1</v>
      </c>
      <c r="V45" s="122">
        <v>2561.68696</v>
      </c>
      <c r="W45" s="122">
        <v>2561.68696</v>
      </c>
      <c r="X45" s="123">
        <v>8.6110000000000006E-3</v>
      </c>
      <c r="Y45" s="123">
        <v>4.1899999999999999E-4</v>
      </c>
      <c r="Z45" s="123">
        <v>4.1999999999999998E-5</v>
      </c>
    </row>
    <row r="46" spans="1:26" ht="15" customHeight="1">
      <c r="A46" s="121">
        <v>313</v>
      </c>
      <c r="B46" s="121">
        <v>313</v>
      </c>
      <c r="C46" s="120" t="s">
        <v>2105</v>
      </c>
      <c r="D46" s="121"/>
      <c r="E46" s="120"/>
      <c r="F46" s="120" t="s">
        <v>2106</v>
      </c>
      <c r="G46" s="121">
        <v>62008453</v>
      </c>
      <c r="H46" s="120" t="s">
        <v>311</v>
      </c>
      <c r="I46" s="120" t="s">
        <v>1001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45560</v>
      </c>
      <c r="Q46" s="120" t="s">
        <v>1218</v>
      </c>
      <c r="R46" s="120" t="s">
        <v>886</v>
      </c>
      <c r="S46" s="120" t="s">
        <v>890</v>
      </c>
      <c r="T46" s="124">
        <v>45838</v>
      </c>
      <c r="U46" s="122">
        <v>1</v>
      </c>
      <c r="V46" s="122">
        <v>6787.7272700000003</v>
      </c>
      <c r="W46" s="122">
        <v>6787.7272700000003</v>
      </c>
      <c r="X46" s="123">
        <v>5.0412999999999999E-2</v>
      </c>
      <c r="Y46" s="123">
        <v>1.111E-3</v>
      </c>
      <c r="Z46" s="123">
        <v>1.13E-4</v>
      </c>
    </row>
    <row r="47" spans="1:26" ht="15" customHeight="1">
      <c r="A47" s="121">
        <v>313</v>
      </c>
      <c r="B47" s="121">
        <v>313</v>
      </c>
      <c r="C47" s="120" t="s">
        <v>2107</v>
      </c>
      <c r="D47" s="121"/>
      <c r="E47" s="120"/>
      <c r="F47" s="120" t="s">
        <v>2108</v>
      </c>
      <c r="G47" s="121">
        <v>36842</v>
      </c>
      <c r="H47" s="120" t="s">
        <v>311</v>
      </c>
      <c r="I47" s="120" t="s">
        <v>1001</v>
      </c>
      <c r="J47" s="120"/>
      <c r="K47" s="120" t="s">
        <v>203</v>
      </c>
      <c r="L47" s="120"/>
      <c r="M47" s="120"/>
      <c r="N47" s="120" t="s">
        <v>295</v>
      </c>
      <c r="O47" s="120" t="s">
        <v>338</v>
      </c>
      <c r="P47" s="124">
        <v>43650</v>
      </c>
      <c r="Q47" s="120" t="s">
        <v>1218</v>
      </c>
      <c r="R47" s="120" t="s">
        <v>886</v>
      </c>
      <c r="S47" s="120" t="s">
        <v>890</v>
      </c>
      <c r="T47" s="124">
        <v>45838</v>
      </c>
      <c r="U47" s="122">
        <v>1</v>
      </c>
      <c r="V47" s="122">
        <v>9248.8303599999999</v>
      </c>
      <c r="W47" s="122">
        <v>9248.8303599999999</v>
      </c>
      <c r="X47" s="123">
        <v>3.699E-3</v>
      </c>
      <c r="Y47" s="123">
        <v>1.5150000000000001E-3</v>
      </c>
      <c r="Z47" s="123">
        <v>1.54E-4</v>
      </c>
    </row>
    <row r="48" spans="1:26" ht="15" customHeight="1">
      <c r="A48" s="121">
        <v>313</v>
      </c>
      <c r="B48" s="121">
        <v>313</v>
      </c>
      <c r="C48" s="120" t="s">
        <v>2093</v>
      </c>
      <c r="D48" s="121"/>
      <c r="E48" s="120"/>
      <c r="F48" s="120" t="s">
        <v>2109</v>
      </c>
      <c r="G48" s="121">
        <v>6387</v>
      </c>
      <c r="H48" s="120" t="s">
        <v>311</v>
      </c>
      <c r="I48" s="120" t="s">
        <v>1002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41449</v>
      </c>
      <c r="Q48" s="120" t="s">
        <v>1218</v>
      </c>
      <c r="R48" s="120" t="s">
        <v>886</v>
      </c>
      <c r="S48" s="120" t="s">
        <v>890</v>
      </c>
      <c r="T48" s="124">
        <v>45838</v>
      </c>
      <c r="U48" s="122">
        <v>1</v>
      </c>
      <c r="V48" s="122">
        <v>28634.128349999999</v>
      </c>
      <c r="W48" s="122">
        <v>28634.128349999999</v>
      </c>
      <c r="X48" s="123">
        <v>2.0900000000000001E-4</v>
      </c>
      <c r="Y48" s="123">
        <v>4.6899999999999997E-3</v>
      </c>
      <c r="Z48" s="123">
        <v>4.7600000000000002E-4</v>
      </c>
    </row>
    <row r="49" spans="1:26" ht="15" customHeight="1">
      <c r="A49" s="121">
        <v>313</v>
      </c>
      <c r="B49" s="121">
        <v>313</v>
      </c>
      <c r="C49" s="120" t="s">
        <v>2102</v>
      </c>
      <c r="D49" s="121"/>
      <c r="E49" s="120"/>
      <c r="F49" s="120" t="s">
        <v>2110</v>
      </c>
      <c r="G49" s="121">
        <v>60346087</v>
      </c>
      <c r="H49" s="120" t="s">
        <v>311</v>
      </c>
      <c r="I49" s="120" t="s">
        <v>1001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42969</v>
      </c>
      <c r="Q49" s="120" t="s">
        <v>1222</v>
      </c>
      <c r="R49" s="120" t="s">
        <v>886</v>
      </c>
      <c r="S49" s="120" t="s">
        <v>890</v>
      </c>
      <c r="T49" s="124">
        <v>45838</v>
      </c>
      <c r="U49" s="122">
        <v>3.3719999999999999</v>
      </c>
      <c r="V49" s="122">
        <v>9511.7123800000008</v>
      </c>
      <c r="W49" s="122">
        <v>32073.494159999998</v>
      </c>
      <c r="X49" s="123">
        <v>3.5021999999999998E-2</v>
      </c>
      <c r="Y49" s="123">
        <v>5.254E-3</v>
      </c>
      <c r="Z49" s="123">
        <v>5.3399999999999997E-4</v>
      </c>
    </row>
    <row r="50" spans="1:26" ht="15" customHeight="1">
      <c r="A50" s="121">
        <v>313</v>
      </c>
      <c r="B50" s="121">
        <v>313</v>
      </c>
      <c r="C50" s="120" t="s">
        <v>2044</v>
      </c>
      <c r="D50" s="121"/>
      <c r="E50" s="120"/>
      <c r="F50" s="120" t="s">
        <v>2111</v>
      </c>
      <c r="G50" s="121">
        <v>62017787</v>
      </c>
      <c r="H50" s="120" t="s">
        <v>311</v>
      </c>
      <c r="I50" s="120" t="s">
        <v>1006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45645</v>
      </c>
      <c r="Q50" s="120" t="s">
        <v>1222</v>
      </c>
      <c r="R50" s="120" t="s">
        <v>886</v>
      </c>
      <c r="S50" s="120" t="s">
        <v>890</v>
      </c>
      <c r="T50" s="124">
        <v>45838</v>
      </c>
      <c r="U50" s="122">
        <v>3.3719999999999999</v>
      </c>
      <c r="V50" s="122">
        <v>1.7000000000000001E-4</v>
      </c>
      <c r="W50" s="122">
        <v>9.9999999999999995E-7</v>
      </c>
      <c r="X50" s="123">
        <v>0</v>
      </c>
      <c r="Y50" s="123">
        <v>0</v>
      </c>
      <c r="Z50" s="123">
        <v>0</v>
      </c>
    </row>
    <row r="51" spans="1:26" ht="15" customHeight="1">
      <c r="A51" s="121">
        <v>313</v>
      </c>
      <c r="B51" s="121">
        <v>313</v>
      </c>
      <c r="C51" s="120" t="s">
        <v>2112</v>
      </c>
      <c r="D51" s="121"/>
      <c r="E51" s="120"/>
      <c r="F51" s="120" t="s">
        <v>2113</v>
      </c>
      <c r="G51" s="121">
        <v>50007970</v>
      </c>
      <c r="H51" s="120" t="s">
        <v>311</v>
      </c>
      <c r="I51" s="120" t="s">
        <v>1004</v>
      </c>
      <c r="J51" s="120"/>
      <c r="K51" s="120" t="s">
        <v>203</v>
      </c>
      <c r="L51" s="120"/>
      <c r="M51" s="120"/>
      <c r="N51" s="120" t="s">
        <v>295</v>
      </c>
      <c r="O51" s="120" t="s">
        <v>338</v>
      </c>
      <c r="P51" s="124">
        <v>42692</v>
      </c>
      <c r="Q51" s="120" t="s">
        <v>1218</v>
      </c>
      <c r="R51" s="120" t="s">
        <v>886</v>
      </c>
      <c r="S51" s="120" t="s">
        <v>890</v>
      </c>
      <c r="T51" s="124">
        <v>45838</v>
      </c>
      <c r="U51" s="122">
        <v>1</v>
      </c>
      <c r="V51" s="122">
        <v>20539.46</v>
      </c>
      <c r="W51" s="122">
        <v>20539.46</v>
      </c>
      <c r="X51" s="123">
        <v>7.8989999999999998E-3</v>
      </c>
      <c r="Y51" s="123">
        <v>3.3639999999999998E-3</v>
      </c>
      <c r="Z51" s="123">
        <v>3.4200000000000002E-4</v>
      </c>
    </row>
    <row r="52" spans="1:26" ht="15" customHeight="1">
      <c r="A52" s="121">
        <v>313</v>
      </c>
      <c r="B52" s="121">
        <v>313</v>
      </c>
      <c r="C52" s="120" t="s">
        <v>2093</v>
      </c>
      <c r="D52" s="121"/>
      <c r="E52" s="120"/>
      <c r="F52" s="120" t="s">
        <v>2114</v>
      </c>
      <c r="G52" s="121">
        <v>6254</v>
      </c>
      <c r="H52" s="120" t="s">
        <v>311</v>
      </c>
      <c r="I52" s="120" t="s">
        <v>1002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40542</v>
      </c>
      <c r="Q52" s="120" t="s">
        <v>1218</v>
      </c>
      <c r="R52" s="120" t="s">
        <v>886</v>
      </c>
      <c r="S52" s="120" t="s">
        <v>890</v>
      </c>
      <c r="T52" s="124">
        <v>45838</v>
      </c>
      <c r="U52" s="122">
        <v>1</v>
      </c>
      <c r="V52" s="122">
        <v>34327.08812</v>
      </c>
      <c r="W52" s="122">
        <v>34327.08812</v>
      </c>
      <c r="X52" s="123">
        <v>2.5000000000000001E-4</v>
      </c>
      <c r="Y52" s="123">
        <v>5.6230000000000004E-3</v>
      </c>
      <c r="Z52" s="123">
        <v>5.71E-4</v>
      </c>
    </row>
    <row r="53" spans="1:26" ht="15" customHeight="1">
      <c r="A53" s="121">
        <v>313</v>
      </c>
      <c r="B53" s="121">
        <v>313</v>
      </c>
      <c r="C53" s="120" t="s">
        <v>2044</v>
      </c>
      <c r="D53" s="121"/>
      <c r="E53" s="120"/>
      <c r="F53" s="120" t="s">
        <v>2115</v>
      </c>
      <c r="G53" s="121">
        <v>62017780</v>
      </c>
      <c r="H53" s="120" t="s">
        <v>311</v>
      </c>
      <c r="I53" s="120" t="s">
        <v>1006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44824</v>
      </c>
      <c r="Q53" s="120" t="s">
        <v>1222</v>
      </c>
      <c r="R53" s="120" t="s">
        <v>886</v>
      </c>
      <c r="S53" s="120" t="s">
        <v>890</v>
      </c>
      <c r="T53" s="124">
        <v>45838</v>
      </c>
      <c r="U53" s="122">
        <v>3.3719999999999999</v>
      </c>
      <c r="V53" s="122">
        <v>1154.5152499999999</v>
      </c>
      <c r="W53" s="122">
        <v>3893.0254199999999</v>
      </c>
      <c r="X53" s="123">
        <v>1.1545E-2</v>
      </c>
      <c r="Y53" s="123">
        <v>6.3699999999999998E-4</v>
      </c>
      <c r="Z53" s="123">
        <v>6.3999999999999997E-5</v>
      </c>
    </row>
    <row r="54" spans="1:26" ht="15" customHeight="1">
      <c r="A54" s="121">
        <v>313</v>
      </c>
      <c r="B54" s="121">
        <v>313</v>
      </c>
      <c r="C54" s="120" t="s">
        <v>2038</v>
      </c>
      <c r="D54" s="121"/>
      <c r="E54" s="120"/>
      <c r="F54" s="120" t="s">
        <v>2116</v>
      </c>
      <c r="G54" s="121">
        <v>60305448</v>
      </c>
      <c r="H54" s="120" t="s">
        <v>311</v>
      </c>
      <c r="I54" s="120" t="s">
        <v>1001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39489</v>
      </c>
      <c r="Q54" s="120" t="s">
        <v>1222</v>
      </c>
      <c r="R54" s="120" t="s">
        <v>886</v>
      </c>
      <c r="S54" s="120" t="s">
        <v>890</v>
      </c>
      <c r="T54" s="124">
        <v>45838</v>
      </c>
      <c r="U54" s="122">
        <v>3.3719999999999999</v>
      </c>
      <c r="V54" s="122">
        <v>2715.1763500000002</v>
      </c>
      <c r="W54" s="122">
        <v>9155.57467</v>
      </c>
      <c r="X54" s="123">
        <v>3.3019999999999998E-3</v>
      </c>
      <c r="Y54" s="123">
        <v>1.4989999999999999E-3</v>
      </c>
      <c r="Z54" s="123">
        <v>1.5200000000000001E-4</v>
      </c>
    </row>
    <row r="55" spans="1:26" ht="15" customHeight="1">
      <c r="A55" s="121">
        <v>313</v>
      </c>
      <c r="B55" s="121">
        <v>313</v>
      </c>
      <c r="C55" s="120" t="s">
        <v>2117</v>
      </c>
      <c r="D55" s="121"/>
      <c r="E55" s="120"/>
      <c r="F55" s="120" t="s">
        <v>2118</v>
      </c>
      <c r="G55" s="121">
        <v>9840693</v>
      </c>
      <c r="H55" s="120" t="s">
        <v>311</v>
      </c>
      <c r="I55" s="120" t="s">
        <v>1005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40299</v>
      </c>
      <c r="Q55" s="120" t="s">
        <v>1222</v>
      </c>
      <c r="R55" s="120" t="s">
        <v>886</v>
      </c>
      <c r="S55" s="120" t="s">
        <v>890</v>
      </c>
      <c r="T55" s="124">
        <v>45838</v>
      </c>
      <c r="U55" s="122">
        <v>3.3719999999999999</v>
      </c>
      <c r="V55" s="122">
        <v>111.789</v>
      </c>
      <c r="W55" s="122">
        <v>376.95251000000002</v>
      </c>
      <c r="X55" s="123">
        <v>1.242E-3</v>
      </c>
      <c r="Y55" s="123">
        <v>6.0999999999999999E-5</v>
      </c>
      <c r="Z55" s="123">
        <v>6.0000000000000002E-6</v>
      </c>
    </row>
    <row r="56" spans="1:26" ht="15" customHeight="1">
      <c r="A56" s="121">
        <v>313</v>
      </c>
      <c r="B56" s="121">
        <v>313</v>
      </c>
      <c r="C56" s="120" t="s">
        <v>2119</v>
      </c>
      <c r="D56" s="121"/>
      <c r="E56" s="120"/>
      <c r="F56" s="120" t="s">
        <v>2120</v>
      </c>
      <c r="G56" s="121">
        <v>18994</v>
      </c>
      <c r="H56" s="120" t="s">
        <v>311</v>
      </c>
      <c r="I56" s="120" t="s">
        <v>1004</v>
      </c>
      <c r="J56" s="120"/>
      <c r="K56" s="120" t="s">
        <v>203</v>
      </c>
      <c r="L56" s="120"/>
      <c r="M56" s="120"/>
      <c r="N56" s="120" t="s">
        <v>203</v>
      </c>
      <c r="O56" s="120" t="s">
        <v>338</v>
      </c>
      <c r="P56" s="124">
        <v>42969</v>
      </c>
      <c r="Q56" s="120" t="s">
        <v>1218</v>
      </c>
      <c r="R56" s="120" t="s">
        <v>886</v>
      </c>
      <c r="S56" s="120" t="s">
        <v>890</v>
      </c>
      <c r="T56" s="124">
        <v>45838</v>
      </c>
      <c r="U56" s="122">
        <v>1</v>
      </c>
      <c r="V56" s="122">
        <v>12070.929910000001</v>
      </c>
      <c r="W56" s="122">
        <v>12070.929910000001</v>
      </c>
      <c r="X56" s="123">
        <v>1.1776E-2</v>
      </c>
      <c r="Y56" s="123">
        <v>1.977E-3</v>
      </c>
      <c r="Z56" s="123">
        <v>2.0100000000000001E-4</v>
      </c>
    </row>
    <row r="57" spans="1:26" ht="15" customHeight="1">
      <c r="A57" s="121">
        <v>313</v>
      </c>
      <c r="B57" s="121">
        <v>313</v>
      </c>
      <c r="C57" s="120" t="s">
        <v>2044</v>
      </c>
      <c r="D57" s="121"/>
      <c r="E57" s="120"/>
      <c r="F57" s="120" t="s">
        <v>2121</v>
      </c>
      <c r="G57" s="121">
        <v>9840774</v>
      </c>
      <c r="H57" s="120" t="s">
        <v>311</v>
      </c>
      <c r="I57" s="120" t="s">
        <v>1006</v>
      </c>
      <c r="J57" s="120"/>
      <c r="K57" s="120" t="s">
        <v>203</v>
      </c>
      <c r="L57" s="120"/>
      <c r="M57" s="120"/>
      <c r="N57" s="120" t="s">
        <v>203</v>
      </c>
      <c r="O57" s="120" t="s">
        <v>338</v>
      </c>
      <c r="P57" s="124">
        <v>39904</v>
      </c>
      <c r="Q57" s="120" t="s">
        <v>1222</v>
      </c>
      <c r="R57" s="120" t="s">
        <v>886</v>
      </c>
      <c r="S57" s="120" t="s">
        <v>890</v>
      </c>
      <c r="T57" s="124">
        <v>45838</v>
      </c>
      <c r="U57" s="122">
        <v>3.3719999999999999</v>
      </c>
      <c r="V57" s="122">
        <v>1750.2217800000001</v>
      </c>
      <c r="W57" s="122">
        <v>5901.7478300000002</v>
      </c>
      <c r="X57" s="123">
        <v>1.9040000000000001E-2</v>
      </c>
      <c r="Y57" s="123">
        <v>9.6599999999999995E-4</v>
      </c>
      <c r="Z57" s="123">
        <v>9.7999999999999997E-5</v>
      </c>
    </row>
    <row r="58" spans="1:26" ht="15" customHeight="1">
      <c r="A58" s="121">
        <v>313</v>
      </c>
      <c r="B58" s="121">
        <v>313</v>
      </c>
      <c r="C58" s="120" t="s">
        <v>2044</v>
      </c>
      <c r="D58" s="121"/>
      <c r="E58" s="120"/>
      <c r="F58" s="120" t="s">
        <v>2122</v>
      </c>
      <c r="G58" s="121">
        <v>9840860</v>
      </c>
      <c r="H58" s="120" t="s">
        <v>311</v>
      </c>
      <c r="I58" s="120" t="s">
        <v>1006</v>
      </c>
      <c r="J58" s="120"/>
      <c r="K58" s="120" t="s">
        <v>203</v>
      </c>
      <c r="L58" s="120"/>
      <c r="M58" s="120"/>
      <c r="N58" s="120" t="s">
        <v>203</v>
      </c>
      <c r="O58" s="120" t="s">
        <v>338</v>
      </c>
      <c r="P58" s="124">
        <v>38818</v>
      </c>
      <c r="Q58" s="120" t="s">
        <v>1222</v>
      </c>
      <c r="R58" s="120" t="s">
        <v>886</v>
      </c>
      <c r="S58" s="120" t="s">
        <v>890</v>
      </c>
      <c r="T58" s="124">
        <v>45838</v>
      </c>
      <c r="U58" s="122">
        <v>3.3719999999999999</v>
      </c>
      <c r="V58" s="122">
        <v>1237.9197899999999</v>
      </c>
      <c r="W58" s="122">
        <v>4174.2655400000003</v>
      </c>
      <c r="X58" s="123">
        <v>1.6504999999999999E-2</v>
      </c>
      <c r="Y58" s="123">
        <v>6.8300000000000001E-4</v>
      </c>
      <c r="Z58" s="123">
        <v>6.8999999999999997E-5</v>
      </c>
    </row>
    <row r="59" spans="1:26" ht="15" customHeight="1">
      <c r="A59" s="121">
        <v>313</v>
      </c>
      <c r="B59" s="121">
        <v>313</v>
      </c>
      <c r="C59" s="120" t="s">
        <v>2040</v>
      </c>
      <c r="D59" s="121"/>
      <c r="E59" s="120"/>
      <c r="F59" s="120" t="s">
        <v>2123</v>
      </c>
      <c r="G59" s="121">
        <v>62003141</v>
      </c>
      <c r="H59" s="120" t="s">
        <v>311</v>
      </c>
      <c r="I59" s="120" t="s">
        <v>1001</v>
      </c>
      <c r="J59" s="120"/>
      <c r="K59" s="120" t="s">
        <v>203</v>
      </c>
      <c r="L59" s="120"/>
      <c r="M59" s="120"/>
      <c r="N59" s="120" t="s">
        <v>203</v>
      </c>
      <c r="O59" s="120" t="s">
        <v>338</v>
      </c>
      <c r="P59" s="124">
        <v>44883</v>
      </c>
      <c r="Q59" s="120" t="s">
        <v>1222</v>
      </c>
      <c r="R59" s="120" t="s">
        <v>886</v>
      </c>
      <c r="S59" s="120" t="s">
        <v>890</v>
      </c>
      <c r="T59" s="124">
        <v>45838</v>
      </c>
      <c r="U59" s="122">
        <v>3.3719999999999999</v>
      </c>
      <c r="V59" s="122">
        <v>9621.6035400000001</v>
      </c>
      <c r="W59" s="122">
        <v>32444.047129999999</v>
      </c>
      <c r="X59" s="123">
        <v>2.3018E-2</v>
      </c>
      <c r="Y59" s="123">
        <v>5.3140000000000001E-3</v>
      </c>
      <c r="Z59" s="123">
        <v>5.4000000000000001E-4</v>
      </c>
    </row>
    <row r="60" spans="1:26" ht="15" customHeight="1">
      <c r="A60" s="121">
        <v>313</v>
      </c>
      <c r="B60" s="121">
        <v>313</v>
      </c>
      <c r="C60" s="120" t="s">
        <v>2069</v>
      </c>
      <c r="D60" s="121"/>
      <c r="E60" s="120"/>
      <c r="F60" s="120" t="s">
        <v>2124</v>
      </c>
      <c r="G60" s="121">
        <v>60289790</v>
      </c>
      <c r="H60" s="120" t="s">
        <v>311</v>
      </c>
      <c r="I60" s="120" t="s">
        <v>1001</v>
      </c>
      <c r="J60" s="120"/>
      <c r="K60" s="120" t="s">
        <v>203</v>
      </c>
      <c r="L60" s="120"/>
      <c r="M60" s="120"/>
      <c r="N60" s="120" t="s">
        <v>203</v>
      </c>
      <c r="O60" s="120" t="s">
        <v>338</v>
      </c>
      <c r="P60" s="124">
        <v>39845</v>
      </c>
      <c r="Q60" s="120" t="s">
        <v>1222</v>
      </c>
      <c r="R60" s="120" t="s">
        <v>886</v>
      </c>
      <c r="S60" s="120" t="s">
        <v>890</v>
      </c>
      <c r="T60" s="124">
        <v>45838</v>
      </c>
      <c r="U60" s="122">
        <v>3.3719999999999999</v>
      </c>
      <c r="V60" s="122">
        <v>1179.11348</v>
      </c>
      <c r="W60" s="122">
        <v>3975.97066</v>
      </c>
      <c r="X60" s="123">
        <v>4.4489999999999998E-3</v>
      </c>
      <c r="Y60" s="123">
        <v>6.5099999999999999E-4</v>
      </c>
      <c r="Z60" s="123">
        <v>6.6000000000000005E-5</v>
      </c>
    </row>
    <row r="61" spans="1:26" ht="15" customHeight="1">
      <c r="A61" s="121">
        <v>313</v>
      </c>
      <c r="B61" s="121">
        <v>313</v>
      </c>
      <c r="C61" s="120" t="s">
        <v>2125</v>
      </c>
      <c r="D61" s="121"/>
      <c r="E61" s="120"/>
      <c r="F61" s="120" t="s">
        <v>2126</v>
      </c>
      <c r="G61" s="121">
        <v>62021701</v>
      </c>
      <c r="H61" s="120" t="s">
        <v>311</v>
      </c>
      <c r="I61" s="120" t="s">
        <v>1004</v>
      </c>
      <c r="J61" s="120"/>
      <c r="K61" s="120" t="s">
        <v>203</v>
      </c>
      <c r="L61" s="120"/>
      <c r="M61" s="120"/>
      <c r="N61" s="120" t="s">
        <v>203</v>
      </c>
      <c r="O61" s="120" t="s">
        <v>338</v>
      </c>
      <c r="P61" s="124">
        <v>45462</v>
      </c>
      <c r="Q61" s="120" t="s">
        <v>1218</v>
      </c>
      <c r="R61" s="120" t="s">
        <v>886</v>
      </c>
      <c r="S61" s="120" t="s">
        <v>890</v>
      </c>
      <c r="T61" s="124">
        <v>45838</v>
      </c>
      <c r="U61" s="122">
        <v>1</v>
      </c>
      <c r="V61" s="122">
        <v>5350.5283099999997</v>
      </c>
      <c r="W61" s="122">
        <v>5350.5283099999997</v>
      </c>
      <c r="X61" s="123">
        <v>5.5729999999999998E-3</v>
      </c>
      <c r="Y61" s="123">
        <v>8.7600000000000004E-4</v>
      </c>
      <c r="Z61" s="123">
        <v>8.8999999999999995E-5</v>
      </c>
    </row>
    <row r="62" spans="1:26" ht="15" customHeight="1">
      <c r="A62" s="121">
        <v>313</v>
      </c>
      <c r="B62" s="121">
        <v>313</v>
      </c>
      <c r="C62" s="120" t="s">
        <v>2127</v>
      </c>
      <c r="D62" s="121"/>
      <c r="E62" s="120"/>
      <c r="F62" s="120" t="s">
        <v>2128</v>
      </c>
      <c r="G62" s="121">
        <v>79005</v>
      </c>
      <c r="H62" s="120" t="s">
        <v>311</v>
      </c>
      <c r="I62" s="120" t="s">
        <v>1005</v>
      </c>
      <c r="J62" s="120"/>
      <c r="K62" s="120" t="s">
        <v>203</v>
      </c>
      <c r="L62" s="120"/>
      <c r="M62" s="120"/>
      <c r="N62" s="120" t="s">
        <v>203</v>
      </c>
      <c r="O62" s="120" t="s">
        <v>338</v>
      </c>
      <c r="P62" s="124">
        <v>44119</v>
      </c>
      <c r="Q62" s="120" t="s">
        <v>1218</v>
      </c>
      <c r="R62" s="120" t="s">
        <v>886</v>
      </c>
      <c r="S62" s="120" t="s">
        <v>890</v>
      </c>
      <c r="T62" s="124">
        <v>45838</v>
      </c>
      <c r="U62" s="122">
        <v>1</v>
      </c>
      <c r="V62" s="122">
        <v>4166.1904400000003</v>
      </c>
      <c r="W62" s="122">
        <v>4166.1904400000003</v>
      </c>
      <c r="X62" s="123">
        <v>2.0830000000000002E-3</v>
      </c>
      <c r="Y62" s="123">
        <v>6.8199999999999999E-4</v>
      </c>
      <c r="Z62" s="123">
        <v>6.8999999999999997E-5</v>
      </c>
    </row>
    <row r="63" spans="1:26" ht="15" customHeight="1">
      <c r="A63" s="121">
        <v>313</v>
      </c>
      <c r="B63" s="121">
        <v>313</v>
      </c>
      <c r="C63" s="120" t="s">
        <v>2042</v>
      </c>
      <c r="D63" s="121"/>
      <c r="E63" s="120"/>
      <c r="F63" s="120" t="s">
        <v>2129</v>
      </c>
      <c r="G63" s="121">
        <v>92817</v>
      </c>
      <c r="H63" s="120" t="s">
        <v>311</v>
      </c>
      <c r="I63" s="120" t="s">
        <v>1004</v>
      </c>
      <c r="J63" s="120"/>
      <c r="K63" s="120" t="s">
        <v>203</v>
      </c>
      <c r="L63" s="120"/>
      <c r="M63" s="120"/>
      <c r="N63" s="120" t="s">
        <v>203</v>
      </c>
      <c r="O63" s="120" t="s">
        <v>338</v>
      </c>
      <c r="P63" s="124">
        <v>42015</v>
      </c>
      <c r="Q63" s="120" t="s">
        <v>1218</v>
      </c>
      <c r="R63" s="120" t="s">
        <v>886</v>
      </c>
      <c r="S63" s="120" t="s">
        <v>890</v>
      </c>
      <c r="T63" s="124">
        <v>45838</v>
      </c>
      <c r="U63" s="122">
        <v>1</v>
      </c>
      <c r="V63" s="122">
        <v>76.174999999999997</v>
      </c>
      <c r="W63" s="122">
        <v>76.174999999999997</v>
      </c>
      <c r="X63" s="123">
        <v>2.5399999999999999E-4</v>
      </c>
      <c r="Y63" s="123">
        <v>1.2E-5</v>
      </c>
      <c r="Z63" s="123">
        <v>9.9999999999999995E-7</v>
      </c>
    </row>
    <row r="64" spans="1:26" ht="15" customHeight="1">
      <c r="A64" s="121">
        <v>313</v>
      </c>
      <c r="B64" s="121">
        <v>313</v>
      </c>
      <c r="C64" s="120" t="s">
        <v>2130</v>
      </c>
      <c r="D64" s="121"/>
      <c r="E64" s="120"/>
      <c r="F64" s="120" t="s">
        <v>2131</v>
      </c>
      <c r="G64" s="121">
        <v>78995</v>
      </c>
      <c r="H64" s="120" t="s">
        <v>311</v>
      </c>
      <c r="I64" s="120" t="s">
        <v>1005</v>
      </c>
      <c r="J64" s="120"/>
      <c r="K64" s="120" t="s">
        <v>203</v>
      </c>
      <c r="L64" s="120"/>
      <c r="M64" s="120"/>
      <c r="N64" s="120" t="s">
        <v>203</v>
      </c>
      <c r="O64" s="120" t="s">
        <v>338</v>
      </c>
      <c r="P64" s="124">
        <v>44825</v>
      </c>
      <c r="Q64" s="120" t="s">
        <v>1218</v>
      </c>
      <c r="R64" s="120" t="s">
        <v>886</v>
      </c>
      <c r="S64" s="120" t="s">
        <v>890</v>
      </c>
      <c r="T64" s="124">
        <v>45838</v>
      </c>
      <c r="U64" s="122">
        <v>1</v>
      </c>
      <c r="V64" s="122">
        <v>13577.48669</v>
      </c>
      <c r="W64" s="122">
        <v>13577.48669</v>
      </c>
      <c r="X64" s="123">
        <v>3.0294999999999999E-2</v>
      </c>
      <c r="Y64" s="123">
        <v>2.2239999999999998E-3</v>
      </c>
      <c r="Z64" s="123">
        <v>2.2599999999999999E-4</v>
      </c>
    </row>
    <row r="65" spans="1:26" ht="15" customHeight="1">
      <c r="A65" s="121">
        <v>313</v>
      </c>
      <c r="B65" s="121">
        <v>313</v>
      </c>
      <c r="C65" s="120" t="s">
        <v>2132</v>
      </c>
      <c r="D65" s="121"/>
      <c r="E65" s="120"/>
      <c r="F65" s="120" t="s">
        <v>2133</v>
      </c>
      <c r="G65" s="121">
        <v>60395761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295</v>
      </c>
      <c r="O65" s="120" t="s">
        <v>338</v>
      </c>
      <c r="P65" s="124">
        <v>40786</v>
      </c>
      <c r="Q65" s="120" t="s">
        <v>1222</v>
      </c>
      <c r="R65" s="120" t="s">
        <v>886</v>
      </c>
      <c r="S65" s="120" t="s">
        <v>890</v>
      </c>
      <c r="T65" s="124">
        <v>45838</v>
      </c>
      <c r="U65" s="122">
        <v>3.3719999999999999</v>
      </c>
      <c r="V65" s="122">
        <v>1.7000000000000001E-4</v>
      </c>
      <c r="W65" s="122">
        <v>5.6999999999999998E-4</v>
      </c>
      <c r="X65" s="123">
        <v>0</v>
      </c>
      <c r="Y65" s="123">
        <v>0</v>
      </c>
      <c r="Z65" s="123">
        <v>0</v>
      </c>
    </row>
    <row r="66" spans="1:26" ht="15" customHeight="1">
      <c r="A66" s="121">
        <v>313</v>
      </c>
      <c r="B66" s="121">
        <v>313</v>
      </c>
      <c r="C66" s="120" t="s">
        <v>2134</v>
      </c>
      <c r="D66" s="121"/>
      <c r="E66" s="120"/>
      <c r="F66" s="120" t="s">
        <v>2135</v>
      </c>
      <c r="G66" s="121">
        <v>62006978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288</v>
      </c>
      <c r="O66" s="120" t="s">
        <v>338</v>
      </c>
      <c r="P66" s="124">
        <v>44778</v>
      </c>
      <c r="Q66" s="120" t="s">
        <v>1222</v>
      </c>
      <c r="R66" s="120" t="s">
        <v>886</v>
      </c>
      <c r="S66" s="120" t="s">
        <v>890</v>
      </c>
      <c r="T66" s="124">
        <v>45838</v>
      </c>
      <c r="U66" s="122">
        <v>3.3719999999999999</v>
      </c>
      <c r="V66" s="122">
        <v>943.54423999999995</v>
      </c>
      <c r="W66" s="122">
        <v>3181.6311900000001</v>
      </c>
      <c r="X66" s="123">
        <v>2.5079999999999998E-3</v>
      </c>
      <c r="Y66" s="123">
        <v>5.2099999999999998E-4</v>
      </c>
      <c r="Z66" s="123">
        <v>5.1999999999999997E-5</v>
      </c>
    </row>
    <row r="67" spans="1:26" ht="15" customHeight="1">
      <c r="A67" s="121">
        <v>313</v>
      </c>
      <c r="B67" s="121">
        <v>313</v>
      </c>
      <c r="C67" s="120" t="s">
        <v>2136</v>
      </c>
      <c r="D67" s="121"/>
      <c r="E67" s="120"/>
      <c r="F67" s="120" t="s">
        <v>2137</v>
      </c>
      <c r="G67" s="121">
        <v>62010088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242</v>
      </c>
      <c r="O67" s="120" t="s">
        <v>338</v>
      </c>
      <c r="P67" s="124">
        <v>44923</v>
      </c>
      <c r="Q67" s="120" t="s">
        <v>1222</v>
      </c>
      <c r="R67" s="120" t="s">
        <v>886</v>
      </c>
      <c r="S67" s="120" t="s">
        <v>890</v>
      </c>
      <c r="T67" s="124">
        <v>45838</v>
      </c>
      <c r="U67" s="122">
        <v>3.3719999999999999</v>
      </c>
      <c r="V67" s="122">
        <v>687.42156</v>
      </c>
      <c r="W67" s="122">
        <v>2317.9854999999998</v>
      </c>
      <c r="X67" s="123">
        <v>1.0369999999999999E-3</v>
      </c>
      <c r="Y67" s="123">
        <v>3.79E-4</v>
      </c>
      <c r="Z67" s="123">
        <v>3.8000000000000002E-5</v>
      </c>
    </row>
    <row r="68" spans="1:26" ht="15" customHeight="1">
      <c r="A68" s="121">
        <v>313</v>
      </c>
      <c r="B68" s="121">
        <v>313</v>
      </c>
      <c r="C68" s="120" t="s">
        <v>2138</v>
      </c>
      <c r="D68" s="121"/>
      <c r="E68" s="120"/>
      <c r="F68" s="120" t="s">
        <v>2139</v>
      </c>
      <c r="G68" s="121">
        <v>44000107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237</v>
      </c>
      <c r="O68" s="120" t="s">
        <v>338</v>
      </c>
      <c r="P68" s="124">
        <v>44946</v>
      </c>
      <c r="Q68" s="120" t="s">
        <v>1222</v>
      </c>
      <c r="R68" s="120" t="s">
        <v>886</v>
      </c>
      <c r="S68" s="120" t="s">
        <v>890</v>
      </c>
      <c r="T68" s="124">
        <v>45838</v>
      </c>
      <c r="U68" s="122">
        <v>3.3719999999999999</v>
      </c>
      <c r="V68" s="122">
        <v>7071.1638599999997</v>
      </c>
      <c r="W68" s="122">
        <v>23843.964540000001</v>
      </c>
      <c r="X68" s="123">
        <v>2.3570000000000002E-3</v>
      </c>
      <c r="Y68" s="123">
        <v>3.9060000000000002E-3</v>
      </c>
      <c r="Z68" s="123">
        <v>3.97E-4</v>
      </c>
    </row>
    <row r="69" spans="1:26" ht="15" customHeight="1">
      <c r="A69" s="121">
        <v>313</v>
      </c>
      <c r="B69" s="121">
        <v>313</v>
      </c>
      <c r="C69" s="120" t="s">
        <v>2140</v>
      </c>
      <c r="D69" s="121"/>
      <c r="E69" s="120"/>
      <c r="F69" s="120" t="s">
        <v>2141</v>
      </c>
      <c r="G69" s="121">
        <v>40000507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43513</v>
      </c>
      <c r="Q69" s="120" t="s">
        <v>1215</v>
      </c>
      <c r="R69" s="120" t="s">
        <v>886</v>
      </c>
      <c r="S69" s="120" t="s">
        <v>890</v>
      </c>
      <c r="T69" s="124">
        <v>45838</v>
      </c>
      <c r="U69" s="122">
        <v>3.9552</v>
      </c>
      <c r="V69" s="122">
        <v>852.43499999999995</v>
      </c>
      <c r="W69" s="122">
        <v>3371.5509099999999</v>
      </c>
      <c r="X69" s="123">
        <v>8.52E-4</v>
      </c>
      <c r="Y69" s="123">
        <v>5.5199999999999997E-4</v>
      </c>
      <c r="Z69" s="123">
        <v>5.5999999999999999E-5</v>
      </c>
    </row>
    <row r="70" spans="1:26" ht="15" customHeight="1">
      <c r="A70" s="121">
        <v>313</v>
      </c>
      <c r="B70" s="121">
        <v>313</v>
      </c>
      <c r="C70" s="120" t="s">
        <v>2142</v>
      </c>
      <c r="D70" s="121"/>
      <c r="E70" s="120"/>
      <c r="F70" s="120" t="s">
        <v>2143</v>
      </c>
      <c r="G70" s="121">
        <v>9988965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295</v>
      </c>
      <c r="O70" s="120" t="s">
        <v>338</v>
      </c>
      <c r="P70" s="124">
        <v>40848</v>
      </c>
      <c r="Q70" s="120" t="s">
        <v>1222</v>
      </c>
      <c r="R70" s="120" t="s">
        <v>886</v>
      </c>
      <c r="S70" s="120" t="s">
        <v>890</v>
      </c>
      <c r="T70" s="124">
        <v>45838</v>
      </c>
      <c r="U70" s="122">
        <v>3.3719999999999999</v>
      </c>
      <c r="V70" s="122">
        <v>30.18929</v>
      </c>
      <c r="W70" s="122">
        <v>101.79827</v>
      </c>
      <c r="X70" s="123">
        <v>1.4E-5</v>
      </c>
      <c r="Y70" s="123">
        <v>1.5999999999999999E-5</v>
      </c>
      <c r="Z70" s="123">
        <v>9.9999999999999995E-7</v>
      </c>
    </row>
    <row r="71" spans="1:26" ht="15" customHeight="1">
      <c r="A71" s="121">
        <v>313</v>
      </c>
      <c r="B71" s="121">
        <v>313</v>
      </c>
      <c r="C71" s="120" t="s">
        <v>2134</v>
      </c>
      <c r="D71" s="121"/>
      <c r="E71" s="120"/>
      <c r="F71" s="120" t="s">
        <v>2144</v>
      </c>
      <c r="G71" s="121">
        <v>62012257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40385</v>
      </c>
      <c r="Q71" s="120" t="s">
        <v>1222</v>
      </c>
      <c r="R71" s="120" t="s">
        <v>886</v>
      </c>
      <c r="S71" s="120" t="s">
        <v>890</v>
      </c>
      <c r="T71" s="124">
        <v>45838</v>
      </c>
      <c r="U71" s="122">
        <v>3.3719999999999999</v>
      </c>
      <c r="V71" s="122">
        <v>7926.5255100000004</v>
      </c>
      <c r="W71" s="122">
        <v>26728.244019999998</v>
      </c>
      <c r="X71" s="123">
        <v>3.2299999999999999E-4</v>
      </c>
      <c r="Y71" s="123">
        <v>4.3779999999999999E-3</v>
      </c>
      <c r="Z71" s="123">
        <v>4.4499999999999997E-4</v>
      </c>
    </row>
    <row r="72" spans="1:26" ht="15" customHeight="1">
      <c r="A72" s="121">
        <v>313</v>
      </c>
      <c r="B72" s="121">
        <v>313</v>
      </c>
      <c r="C72" s="120" t="s">
        <v>2145</v>
      </c>
      <c r="D72" s="121"/>
      <c r="E72" s="120"/>
      <c r="F72" s="120" t="s">
        <v>2146</v>
      </c>
      <c r="G72" s="121">
        <v>62019542</v>
      </c>
      <c r="H72" s="120" t="s">
        <v>311</v>
      </c>
      <c r="I72" s="120" t="s">
        <v>1005</v>
      </c>
      <c r="J72" s="120"/>
      <c r="K72" s="120" t="s">
        <v>204</v>
      </c>
      <c r="L72" s="120"/>
      <c r="M72" s="120"/>
      <c r="N72" s="120" t="s">
        <v>292</v>
      </c>
      <c r="O72" s="120" t="s">
        <v>338</v>
      </c>
      <c r="P72" s="124">
        <v>42194</v>
      </c>
      <c r="Q72" s="120" t="s">
        <v>1215</v>
      </c>
      <c r="R72" s="120" t="s">
        <v>886</v>
      </c>
      <c r="S72" s="120" t="s">
        <v>890</v>
      </c>
      <c r="T72" s="124">
        <v>45838</v>
      </c>
      <c r="U72" s="122">
        <v>3.9552</v>
      </c>
      <c r="V72" s="122">
        <v>20824.218570000001</v>
      </c>
      <c r="W72" s="122">
        <v>82363.949290000004</v>
      </c>
      <c r="X72" s="123">
        <v>1.5351999999999999E-2</v>
      </c>
      <c r="Y72" s="123">
        <v>1.3492000000000001E-2</v>
      </c>
      <c r="Z72" s="123">
        <v>1.371E-3</v>
      </c>
    </row>
    <row r="73" spans="1:26" ht="15" customHeight="1">
      <c r="A73" s="121">
        <v>313</v>
      </c>
      <c r="B73" s="121">
        <v>313</v>
      </c>
      <c r="C73" s="120" t="s">
        <v>2147</v>
      </c>
      <c r="D73" s="121"/>
      <c r="E73" s="120"/>
      <c r="F73" s="120" t="s">
        <v>2148</v>
      </c>
      <c r="G73" s="121">
        <v>41000798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292</v>
      </c>
      <c r="O73" s="120" t="s">
        <v>338</v>
      </c>
      <c r="P73" s="124">
        <v>43513</v>
      </c>
      <c r="Q73" s="120" t="s">
        <v>1215</v>
      </c>
      <c r="R73" s="120" t="s">
        <v>886</v>
      </c>
      <c r="S73" s="120" t="s">
        <v>890</v>
      </c>
      <c r="T73" s="124">
        <v>45838</v>
      </c>
      <c r="U73" s="122">
        <v>3.9552</v>
      </c>
      <c r="V73" s="122">
        <v>-6983.0267999999996</v>
      </c>
      <c r="W73" s="122">
        <v>-27619.267599999999</v>
      </c>
      <c r="X73" s="123"/>
      <c r="Y73" s="123">
        <v>-4.5240000000000002E-3</v>
      </c>
      <c r="Z73" s="123">
        <v>-4.5899999999999999E-4</v>
      </c>
    </row>
    <row r="74" spans="1:26" ht="15" customHeight="1">
      <c r="A74" s="121">
        <v>313</v>
      </c>
      <c r="B74" s="121">
        <v>313</v>
      </c>
      <c r="C74" s="120" t="s">
        <v>2138</v>
      </c>
      <c r="D74" s="121"/>
      <c r="E74" s="120"/>
      <c r="F74" s="120" t="s">
        <v>2149</v>
      </c>
      <c r="G74" s="121">
        <v>44000103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244</v>
      </c>
      <c r="O74" s="120" t="s">
        <v>338</v>
      </c>
      <c r="P74" s="124">
        <v>44946</v>
      </c>
      <c r="Q74" s="120" t="s">
        <v>1222</v>
      </c>
      <c r="R74" s="120" t="s">
        <v>886</v>
      </c>
      <c r="S74" s="120" t="s">
        <v>890</v>
      </c>
      <c r="T74" s="124">
        <v>45838</v>
      </c>
      <c r="U74" s="122">
        <v>3.3719999999999999</v>
      </c>
      <c r="V74" s="122">
        <v>2365.20199</v>
      </c>
      <c r="W74" s="122">
        <v>7975.4611100000002</v>
      </c>
      <c r="X74" s="123">
        <v>7.8799999999999996E-4</v>
      </c>
      <c r="Y74" s="123">
        <v>1.3060000000000001E-3</v>
      </c>
      <c r="Z74" s="123">
        <v>1.3200000000000001E-4</v>
      </c>
    </row>
    <row r="75" spans="1:26" ht="15" customHeight="1">
      <c r="A75" s="121">
        <v>313</v>
      </c>
      <c r="B75" s="121">
        <v>313</v>
      </c>
      <c r="C75" s="120" t="s">
        <v>2150</v>
      </c>
      <c r="D75" s="121"/>
      <c r="E75" s="120"/>
      <c r="F75" s="120" t="s">
        <v>2151</v>
      </c>
      <c r="G75" s="121">
        <v>60400215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295</v>
      </c>
      <c r="O75" s="120" t="s">
        <v>338</v>
      </c>
      <c r="P75" s="124">
        <v>40113</v>
      </c>
      <c r="Q75" s="120" t="s">
        <v>1222</v>
      </c>
      <c r="R75" s="120" t="s">
        <v>886</v>
      </c>
      <c r="S75" s="120" t="s">
        <v>890</v>
      </c>
      <c r="T75" s="124">
        <v>45838</v>
      </c>
      <c r="U75" s="122">
        <v>3.3719999999999999</v>
      </c>
      <c r="V75" s="122">
        <v>2393.90807</v>
      </c>
      <c r="W75" s="122">
        <v>8072.2580099999996</v>
      </c>
      <c r="X75" s="123">
        <v>2.3240000000000001E-3</v>
      </c>
      <c r="Y75" s="123">
        <v>1.322E-3</v>
      </c>
      <c r="Z75" s="123">
        <v>1.34E-4</v>
      </c>
    </row>
    <row r="76" spans="1:26" ht="15" customHeight="1">
      <c r="A76" s="121">
        <v>313</v>
      </c>
      <c r="B76" s="121">
        <v>313</v>
      </c>
      <c r="C76" s="120" t="s">
        <v>2152</v>
      </c>
      <c r="D76" s="121"/>
      <c r="E76" s="120"/>
      <c r="F76" s="120" t="s">
        <v>2153</v>
      </c>
      <c r="G76" s="121">
        <v>60398860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43851</v>
      </c>
      <c r="Q76" s="120" t="s">
        <v>1222</v>
      </c>
      <c r="R76" s="120" t="s">
        <v>886</v>
      </c>
      <c r="S76" s="120" t="s">
        <v>890</v>
      </c>
      <c r="T76" s="124">
        <v>45838</v>
      </c>
      <c r="U76" s="122">
        <v>3.3719999999999999</v>
      </c>
      <c r="V76" s="122">
        <v>2949.9121</v>
      </c>
      <c r="W76" s="122">
        <v>9947.1036100000001</v>
      </c>
      <c r="X76" s="123">
        <v>6.3000000000000003E-4</v>
      </c>
      <c r="Y76" s="123">
        <v>1.629E-3</v>
      </c>
      <c r="Z76" s="123">
        <v>1.65E-4</v>
      </c>
    </row>
    <row r="77" spans="1:26" ht="15" customHeight="1">
      <c r="A77" s="121">
        <v>313</v>
      </c>
      <c r="B77" s="121">
        <v>313</v>
      </c>
      <c r="C77" s="120" t="s">
        <v>2036</v>
      </c>
      <c r="D77" s="121"/>
      <c r="E77" s="120"/>
      <c r="F77" s="120" t="s">
        <v>2154</v>
      </c>
      <c r="G77" s="121">
        <v>62010083</v>
      </c>
      <c r="H77" s="120" t="s">
        <v>311</v>
      </c>
      <c r="I77" s="120" t="s">
        <v>1006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43485</v>
      </c>
      <c r="Q77" s="120" t="s">
        <v>1222</v>
      </c>
      <c r="R77" s="120" t="s">
        <v>886</v>
      </c>
      <c r="S77" s="120" t="s">
        <v>890</v>
      </c>
      <c r="T77" s="124">
        <v>45838</v>
      </c>
      <c r="U77" s="122">
        <v>3.3719999999999999</v>
      </c>
      <c r="V77" s="122">
        <v>17718.86492</v>
      </c>
      <c r="W77" s="122">
        <v>59748.01251</v>
      </c>
      <c r="X77" s="123">
        <v>0.18804799999999999</v>
      </c>
      <c r="Y77" s="123">
        <v>9.7870000000000006E-3</v>
      </c>
      <c r="Z77" s="123">
        <v>9.9500000000000001E-4</v>
      </c>
    </row>
    <row r="78" spans="1:26" ht="15" customHeight="1">
      <c r="A78" s="121">
        <v>313</v>
      </c>
      <c r="B78" s="121">
        <v>313</v>
      </c>
      <c r="C78" s="120" t="s">
        <v>2138</v>
      </c>
      <c r="D78" s="121"/>
      <c r="E78" s="120"/>
      <c r="F78" s="120" t="s">
        <v>2155</v>
      </c>
      <c r="G78" s="121">
        <v>44000101</v>
      </c>
      <c r="H78" s="120" t="s">
        <v>311</v>
      </c>
      <c r="I78" s="120" t="s">
        <v>849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44946</v>
      </c>
      <c r="Q78" s="120" t="s">
        <v>1222</v>
      </c>
      <c r="R78" s="120" t="s">
        <v>886</v>
      </c>
      <c r="S78" s="120" t="s">
        <v>890</v>
      </c>
      <c r="T78" s="124">
        <v>45838</v>
      </c>
      <c r="U78" s="122">
        <v>3.3719999999999999</v>
      </c>
      <c r="V78" s="122">
        <v>-6378.6397100000004</v>
      </c>
      <c r="W78" s="122">
        <v>-21508.773099999999</v>
      </c>
      <c r="X78" s="123">
        <v>0</v>
      </c>
      <c r="Y78" s="123">
        <v>-3.5230000000000001E-3</v>
      </c>
      <c r="Z78" s="123">
        <v>-3.5799999999999997E-4</v>
      </c>
    </row>
    <row r="79" spans="1:26" ht="15" customHeight="1">
      <c r="A79" s="121">
        <v>313</v>
      </c>
      <c r="B79" s="121">
        <v>313</v>
      </c>
      <c r="C79" s="120" t="s">
        <v>2156</v>
      </c>
      <c r="D79" s="121"/>
      <c r="E79" s="120"/>
      <c r="F79" s="120" t="s">
        <v>2157</v>
      </c>
      <c r="G79" s="121">
        <v>42000900</v>
      </c>
      <c r="H79" s="120" t="s">
        <v>311</v>
      </c>
      <c r="I79" s="120" t="s">
        <v>1006</v>
      </c>
      <c r="J79" s="120"/>
      <c r="K79" s="120" t="s">
        <v>204</v>
      </c>
      <c r="L79" s="120"/>
      <c r="M79" s="120"/>
      <c r="N79" s="120" t="s">
        <v>223</v>
      </c>
      <c r="O79" s="120" t="s">
        <v>338</v>
      </c>
      <c r="P79" s="124">
        <v>43601</v>
      </c>
      <c r="Q79" s="120" t="s">
        <v>1222</v>
      </c>
      <c r="R79" s="120" t="s">
        <v>886</v>
      </c>
      <c r="S79" s="120" t="s">
        <v>890</v>
      </c>
      <c r="T79" s="124">
        <v>45838</v>
      </c>
      <c r="U79" s="122">
        <v>3.3719999999999999</v>
      </c>
      <c r="V79" s="122">
        <v>-17718.86492</v>
      </c>
      <c r="W79" s="122">
        <v>-59748.01251</v>
      </c>
      <c r="X79" s="123"/>
      <c r="Y79" s="123">
        <v>-9.7870000000000006E-3</v>
      </c>
      <c r="Z79" s="123">
        <v>-9.9500000000000001E-4</v>
      </c>
    </row>
    <row r="80" spans="1:26" ht="15" customHeight="1">
      <c r="A80" s="121">
        <v>313</v>
      </c>
      <c r="B80" s="121">
        <v>313</v>
      </c>
      <c r="C80" s="120" t="s">
        <v>2158</v>
      </c>
      <c r="D80" s="121"/>
      <c r="E80" s="120"/>
      <c r="F80" s="120" t="s">
        <v>2159</v>
      </c>
      <c r="G80" s="121">
        <v>62001232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295</v>
      </c>
      <c r="O80" s="120" t="s">
        <v>338</v>
      </c>
      <c r="P80" s="124">
        <v>42828</v>
      </c>
      <c r="Q80" s="120" t="s">
        <v>1222</v>
      </c>
      <c r="R80" s="120" t="s">
        <v>886</v>
      </c>
      <c r="S80" s="120" t="s">
        <v>890</v>
      </c>
      <c r="T80" s="124">
        <v>45838</v>
      </c>
      <c r="U80" s="122">
        <v>3.3719999999999999</v>
      </c>
      <c r="V80" s="122">
        <v>2150.00126</v>
      </c>
      <c r="W80" s="122">
        <v>7249.8042599999999</v>
      </c>
      <c r="X80" s="123">
        <v>3.8049999999999998E-3</v>
      </c>
      <c r="Y80" s="123">
        <v>1.1869999999999999E-3</v>
      </c>
      <c r="Z80" s="123">
        <v>1.2E-4</v>
      </c>
    </row>
    <row r="81" spans="1:26" ht="15" customHeight="1">
      <c r="A81" s="121">
        <v>313</v>
      </c>
      <c r="B81" s="121">
        <v>313</v>
      </c>
      <c r="C81" s="120" t="s">
        <v>2160</v>
      </c>
      <c r="D81" s="121"/>
      <c r="E81" s="120"/>
      <c r="F81" s="120" t="s">
        <v>2161</v>
      </c>
      <c r="G81" s="121">
        <v>62021820</v>
      </c>
      <c r="H81" s="120" t="s">
        <v>311</v>
      </c>
      <c r="I81" s="120" t="s">
        <v>1005</v>
      </c>
      <c r="J81" s="120"/>
      <c r="K81" s="120" t="s">
        <v>204</v>
      </c>
      <c r="L81" s="120"/>
      <c r="M81" s="120"/>
      <c r="N81" s="120" t="s">
        <v>223</v>
      </c>
      <c r="O81" s="120" t="s">
        <v>338</v>
      </c>
      <c r="P81" s="124">
        <v>45511</v>
      </c>
      <c r="Q81" s="120" t="s">
        <v>1222</v>
      </c>
      <c r="R81" s="120" t="s">
        <v>886</v>
      </c>
      <c r="S81" s="120" t="s">
        <v>890</v>
      </c>
      <c r="T81" s="124">
        <v>45838</v>
      </c>
      <c r="U81" s="122">
        <v>3.3719999999999999</v>
      </c>
      <c r="V81" s="122">
        <v>39.513559999999998</v>
      </c>
      <c r="W81" s="122">
        <v>133.23973000000001</v>
      </c>
      <c r="X81" s="123">
        <v>3.8000000000000002E-5</v>
      </c>
      <c r="Y81" s="123">
        <v>2.0999999999999999E-5</v>
      </c>
      <c r="Z81" s="123">
        <v>1.9999999999999999E-6</v>
      </c>
    </row>
    <row r="82" spans="1:26" ht="15" customHeight="1">
      <c r="A82" s="121">
        <v>313</v>
      </c>
      <c r="B82" s="121">
        <v>313</v>
      </c>
      <c r="C82" s="120" t="s">
        <v>2162</v>
      </c>
      <c r="D82" s="121"/>
      <c r="E82" s="120"/>
      <c r="F82" s="120" t="s">
        <v>2163</v>
      </c>
      <c r="G82" s="121">
        <v>60333663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223</v>
      </c>
      <c r="O82" s="120" t="s">
        <v>338</v>
      </c>
      <c r="P82" s="124">
        <v>44529</v>
      </c>
      <c r="Q82" s="120" t="s">
        <v>1222</v>
      </c>
      <c r="R82" s="120" t="s">
        <v>886</v>
      </c>
      <c r="S82" s="120" t="s">
        <v>890</v>
      </c>
      <c r="T82" s="124">
        <v>45838</v>
      </c>
      <c r="U82" s="122">
        <v>3.3719999999999999</v>
      </c>
      <c r="V82" s="122">
        <v>171.3622</v>
      </c>
      <c r="W82" s="122">
        <v>577.83334000000002</v>
      </c>
      <c r="X82" s="123">
        <v>1.0399999999999999E-4</v>
      </c>
      <c r="Y82" s="123">
        <v>9.3999999999999994E-5</v>
      </c>
      <c r="Z82" s="123">
        <v>9.0000000000000002E-6</v>
      </c>
    </row>
    <row r="83" spans="1:26" ht="15" customHeight="1">
      <c r="A83" s="121">
        <v>313</v>
      </c>
      <c r="B83" s="121">
        <v>313</v>
      </c>
      <c r="C83" s="120" t="s">
        <v>2156</v>
      </c>
      <c r="D83" s="121"/>
      <c r="E83" s="120"/>
      <c r="F83" s="120" t="s">
        <v>2164</v>
      </c>
      <c r="G83" s="121">
        <v>42000918</v>
      </c>
      <c r="H83" s="120" t="s">
        <v>311</v>
      </c>
      <c r="I83" s="120" t="s">
        <v>1006</v>
      </c>
      <c r="J83" s="120"/>
      <c r="K83" s="120" t="s">
        <v>204</v>
      </c>
      <c r="L83" s="120"/>
      <c r="M83" s="120"/>
      <c r="N83" s="120" t="s">
        <v>295</v>
      </c>
      <c r="O83" s="120" t="s">
        <v>338</v>
      </c>
      <c r="P83" s="124">
        <v>43601</v>
      </c>
      <c r="Q83" s="120" t="s">
        <v>1222</v>
      </c>
      <c r="R83" s="120" t="s">
        <v>886</v>
      </c>
      <c r="S83" s="120" t="s">
        <v>890</v>
      </c>
      <c r="T83" s="124">
        <v>45838</v>
      </c>
      <c r="U83" s="122">
        <v>3.3719999999999999</v>
      </c>
      <c r="V83" s="122">
        <v>178.18260000000001</v>
      </c>
      <c r="W83" s="122">
        <v>600.83172999999999</v>
      </c>
      <c r="X83" s="123">
        <v>5.8999999999999998E-5</v>
      </c>
      <c r="Y83" s="123">
        <v>9.7999999999999997E-5</v>
      </c>
      <c r="Z83" s="123">
        <v>1.0000000000000001E-5</v>
      </c>
    </row>
    <row r="84" spans="1:26" ht="15" customHeight="1">
      <c r="A84" s="121">
        <v>313</v>
      </c>
      <c r="B84" s="121">
        <v>313</v>
      </c>
      <c r="C84" s="120" t="s">
        <v>2165</v>
      </c>
      <c r="D84" s="121"/>
      <c r="E84" s="120"/>
      <c r="F84" s="120" t="s">
        <v>2166</v>
      </c>
      <c r="G84" s="121">
        <v>60334695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41470</v>
      </c>
      <c r="Q84" s="120" t="s">
        <v>1222</v>
      </c>
      <c r="R84" s="120" t="s">
        <v>886</v>
      </c>
      <c r="S84" s="120" t="s">
        <v>890</v>
      </c>
      <c r="T84" s="124">
        <v>45838</v>
      </c>
      <c r="U84" s="122">
        <v>3.3719999999999999</v>
      </c>
      <c r="V84" s="122">
        <v>4552.1999400000004</v>
      </c>
      <c r="W84" s="122">
        <v>15350.01821</v>
      </c>
      <c r="X84" s="123">
        <v>1.2303E-2</v>
      </c>
      <c r="Y84" s="123">
        <v>2.5140000000000002E-3</v>
      </c>
      <c r="Z84" s="123">
        <v>2.5500000000000002E-4</v>
      </c>
    </row>
    <row r="85" spans="1:26" ht="15" customHeight="1">
      <c r="A85" s="121">
        <v>313</v>
      </c>
      <c r="B85" s="121">
        <v>313</v>
      </c>
      <c r="C85" s="120" t="s">
        <v>2156</v>
      </c>
      <c r="D85" s="121"/>
      <c r="E85" s="120"/>
      <c r="F85" s="120" t="s">
        <v>2167</v>
      </c>
      <c r="G85" s="121">
        <v>42000905</v>
      </c>
      <c r="H85" s="120" t="s">
        <v>311</v>
      </c>
      <c r="I85" s="120" t="s">
        <v>1006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43601</v>
      </c>
      <c r="Q85" s="120" t="s">
        <v>1222</v>
      </c>
      <c r="R85" s="120" t="s">
        <v>886</v>
      </c>
      <c r="S85" s="120" t="s">
        <v>890</v>
      </c>
      <c r="T85" s="124">
        <v>45838</v>
      </c>
      <c r="U85" s="122">
        <v>3.3719999999999999</v>
      </c>
      <c r="V85" s="122">
        <v>1201.2148</v>
      </c>
      <c r="W85" s="122">
        <v>4050.49631</v>
      </c>
      <c r="X85" s="123">
        <v>4.0000000000000002E-4</v>
      </c>
      <c r="Y85" s="123">
        <v>6.6299999999999996E-4</v>
      </c>
      <c r="Z85" s="123">
        <v>6.7000000000000002E-5</v>
      </c>
    </row>
    <row r="86" spans="1:26" ht="15" customHeight="1">
      <c r="A86" s="121">
        <v>313</v>
      </c>
      <c r="B86" s="121">
        <v>313</v>
      </c>
      <c r="C86" s="120" t="s">
        <v>2156</v>
      </c>
      <c r="D86" s="121"/>
      <c r="E86" s="120"/>
      <c r="F86" s="120" t="s">
        <v>2168</v>
      </c>
      <c r="G86" s="121">
        <v>42000915</v>
      </c>
      <c r="H86" s="120" t="s">
        <v>311</v>
      </c>
      <c r="I86" s="120" t="s">
        <v>1006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43601</v>
      </c>
      <c r="Q86" s="120" t="s">
        <v>1222</v>
      </c>
      <c r="R86" s="120" t="s">
        <v>886</v>
      </c>
      <c r="S86" s="120" t="s">
        <v>890</v>
      </c>
      <c r="T86" s="124">
        <v>45838</v>
      </c>
      <c r="U86" s="122">
        <v>3.3719999999999999</v>
      </c>
      <c r="V86" s="122">
        <v>1484.9059999999999</v>
      </c>
      <c r="W86" s="122">
        <v>5007.1030300000002</v>
      </c>
      <c r="X86" s="123">
        <v>4.9399999999999997E-4</v>
      </c>
      <c r="Y86" s="123">
        <v>8.1999999999999998E-4</v>
      </c>
      <c r="Z86" s="123">
        <v>8.2999999999999998E-5</v>
      </c>
    </row>
    <row r="87" spans="1:26" ht="15" customHeight="1">
      <c r="A87" s="121">
        <v>313</v>
      </c>
      <c r="B87" s="121">
        <v>313</v>
      </c>
      <c r="C87" s="120" t="s">
        <v>2169</v>
      </c>
      <c r="D87" s="121"/>
      <c r="E87" s="120"/>
      <c r="F87" s="120" t="s">
        <v>2170</v>
      </c>
      <c r="G87" s="121">
        <v>62021738</v>
      </c>
      <c r="H87" s="120" t="s">
        <v>311</v>
      </c>
      <c r="I87" s="120" t="s">
        <v>1002</v>
      </c>
      <c r="J87" s="120"/>
      <c r="K87" s="120" t="s">
        <v>204</v>
      </c>
      <c r="L87" s="120"/>
      <c r="M87" s="120"/>
      <c r="N87" s="120" t="s">
        <v>223</v>
      </c>
      <c r="O87" s="120" t="s">
        <v>338</v>
      </c>
      <c r="P87" s="124">
        <v>45505</v>
      </c>
      <c r="Q87" s="120" t="s">
        <v>1222</v>
      </c>
      <c r="R87" s="120" t="s">
        <v>886</v>
      </c>
      <c r="S87" s="120" t="s">
        <v>890</v>
      </c>
      <c r="T87" s="124">
        <v>45838</v>
      </c>
      <c r="U87" s="122">
        <v>3.3719999999999999</v>
      </c>
      <c r="V87" s="122">
        <v>5805.8248700000004</v>
      </c>
      <c r="W87" s="122">
        <v>19577.241470000001</v>
      </c>
      <c r="X87" s="123">
        <v>5.1599999999999997E-4</v>
      </c>
      <c r="Y87" s="123">
        <v>3.2070000000000002E-3</v>
      </c>
      <c r="Z87" s="123">
        <v>3.2600000000000001E-4</v>
      </c>
    </row>
    <row r="88" spans="1:26" ht="15" customHeight="1">
      <c r="A88" s="121">
        <v>313</v>
      </c>
      <c r="B88" s="121">
        <v>313</v>
      </c>
      <c r="C88" s="120" t="s">
        <v>2171</v>
      </c>
      <c r="D88" s="121"/>
      <c r="E88" s="120"/>
      <c r="F88" s="120" t="s">
        <v>2172</v>
      </c>
      <c r="G88" s="121">
        <v>62012078</v>
      </c>
      <c r="H88" s="120" t="s">
        <v>311</v>
      </c>
      <c r="I88" s="120" t="s">
        <v>1005</v>
      </c>
      <c r="J88" s="120"/>
      <c r="K88" s="120" t="s">
        <v>204</v>
      </c>
      <c r="L88" s="120"/>
      <c r="M88" s="120"/>
      <c r="N88" s="120" t="s">
        <v>281</v>
      </c>
      <c r="O88" s="120" t="s">
        <v>338</v>
      </c>
      <c r="P88" s="124">
        <v>39904</v>
      </c>
      <c r="Q88" s="120" t="s">
        <v>1212</v>
      </c>
      <c r="R88" s="120" t="s">
        <v>886</v>
      </c>
      <c r="S88" s="120" t="s">
        <v>890</v>
      </c>
      <c r="T88" s="124">
        <v>45838</v>
      </c>
      <c r="U88" s="122">
        <v>2.4674</v>
      </c>
      <c r="V88" s="122">
        <v>4966.5419099999999</v>
      </c>
      <c r="W88" s="122">
        <v>12254.44551</v>
      </c>
      <c r="X88" s="123">
        <v>4.9659999999999999E-3</v>
      </c>
      <c r="Y88" s="123">
        <v>2.0070000000000001E-3</v>
      </c>
      <c r="Z88" s="123">
        <v>2.04E-4</v>
      </c>
    </row>
    <row r="89" spans="1:26" ht="15" customHeight="1">
      <c r="A89" s="121">
        <v>313</v>
      </c>
      <c r="B89" s="121">
        <v>313</v>
      </c>
      <c r="C89" s="120" t="s">
        <v>2173</v>
      </c>
      <c r="D89" s="121"/>
      <c r="E89" s="120"/>
      <c r="F89" s="120" t="s">
        <v>2174</v>
      </c>
      <c r="G89" s="121">
        <v>62019780</v>
      </c>
      <c r="H89" s="120" t="s">
        <v>311</v>
      </c>
      <c r="I89" s="120" t="s">
        <v>1002</v>
      </c>
      <c r="J89" s="120"/>
      <c r="K89" s="120" t="s">
        <v>204</v>
      </c>
      <c r="L89" s="120"/>
      <c r="M89" s="120"/>
      <c r="N89" s="120" t="s">
        <v>223</v>
      </c>
      <c r="O89" s="120" t="s">
        <v>338</v>
      </c>
      <c r="P89" s="124">
        <v>45649</v>
      </c>
      <c r="Q89" s="120" t="s">
        <v>1222</v>
      </c>
      <c r="R89" s="120" t="s">
        <v>886</v>
      </c>
      <c r="S89" s="120" t="s">
        <v>890</v>
      </c>
      <c r="T89" s="124">
        <v>45838</v>
      </c>
      <c r="U89" s="122">
        <v>3.3719999999999999</v>
      </c>
      <c r="V89" s="122">
        <v>58.35</v>
      </c>
      <c r="W89" s="122">
        <v>196.75620000000001</v>
      </c>
      <c r="X89" s="123">
        <v>7.7800000000000005E-4</v>
      </c>
      <c r="Y89" s="123">
        <v>3.1999999999999999E-5</v>
      </c>
      <c r="Z89" s="123">
        <v>3.0000000000000001E-6</v>
      </c>
    </row>
    <row r="90" spans="1:26" ht="15" customHeight="1">
      <c r="A90" s="121">
        <v>313</v>
      </c>
      <c r="B90" s="121">
        <v>313</v>
      </c>
      <c r="C90" s="120" t="s">
        <v>2107</v>
      </c>
      <c r="D90" s="121"/>
      <c r="E90" s="120"/>
      <c r="F90" s="120" t="s">
        <v>2175</v>
      </c>
      <c r="G90" s="121">
        <v>36731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203</v>
      </c>
      <c r="O90" s="120" t="s">
        <v>338</v>
      </c>
      <c r="P90" s="124">
        <v>43917</v>
      </c>
      <c r="Q90" s="120" t="s">
        <v>1218</v>
      </c>
      <c r="R90" s="120" t="s">
        <v>886</v>
      </c>
      <c r="S90" s="120" t="s">
        <v>890</v>
      </c>
      <c r="T90" s="124">
        <v>45838</v>
      </c>
      <c r="U90" s="122">
        <v>1</v>
      </c>
      <c r="V90" s="122">
        <v>192.28417999999999</v>
      </c>
      <c r="W90" s="122">
        <v>192.28417999999999</v>
      </c>
      <c r="X90" s="123">
        <v>1.92E-4</v>
      </c>
      <c r="Y90" s="123">
        <v>3.1000000000000001E-5</v>
      </c>
      <c r="Z90" s="123">
        <v>3.0000000000000001E-6</v>
      </c>
    </row>
    <row r="91" spans="1:26" ht="15" customHeight="1">
      <c r="A91" s="121">
        <v>313</v>
      </c>
      <c r="B91" s="121">
        <v>313</v>
      </c>
      <c r="C91" s="120" t="s">
        <v>2176</v>
      </c>
      <c r="D91" s="121"/>
      <c r="E91" s="120"/>
      <c r="F91" s="120" t="s">
        <v>2177</v>
      </c>
      <c r="G91" s="121">
        <v>41000866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43513</v>
      </c>
      <c r="Q91" s="120" t="s">
        <v>1215</v>
      </c>
      <c r="R91" s="120" t="s">
        <v>886</v>
      </c>
      <c r="S91" s="120" t="s">
        <v>890</v>
      </c>
      <c r="T91" s="124">
        <v>45838</v>
      </c>
      <c r="U91" s="122">
        <v>3.9552</v>
      </c>
      <c r="V91" s="122">
        <v>1229.8579999999999</v>
      </c>
      <c r="W91" s="122">
        <v>4864.3343599999998</v>
      </c>
      <c r="X91" s="123">
        <v>6.1399999999999996E-4</v>
      </c>
      <c r="Y91" s="123">
        <v>7.9600000000000005E-4</v>
      </c>
      <c r="Z91" s="123">
        <v>8.1000000000000004E-5</v>
      </c>
    </row>
    <row r="92" spans="1:26" ht="15" customHeight="1">
      <c r="A92" s="121">
        <v>313</v>
      </c>
      <c r="B92" s="121">
        <v>313</v>
      </c>
      <c r="C92" s="120" t="s">
        <v>2138</v>
      </c>
      <c r="D92" s="121"/>
      <c r="E92" s="120"/>
      <c r="F92" s="120" t="s">
        <v>2178</v>
      </c>
      <c r="G92" s="121">
        <v>44000111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206</v>
      </c>
      <c r="O92" s="120" t="s">
        <v>338</v>
      </c>
      <c r="P92" s="124">
        <v>45657</v>
      </c>
      <c r="Q92" s="120" t="s">
        <v>1222</v>
      </c>
      <c r="R92" s="120" t="s">
        <v>886</v>
      </c>
      <c r="S92" s="120" t="s">
        <v>890</v>
      </c>
      <c r="T92" s="124">
        <v>45838</v>
      </c>
      <c r="U92" s="122">
        <v>3.3719999999999999</v>
      </c>
      <c r="V92" s="122">
        <v>4288.5919299999996</v>
      </c>
      <c r="W92" s="122">
        <v>14461.13199</v>
      </c>
      <c r="X92" s="123">
        <v>1.4289999999999999E-3</v>
      </c>
      <c r="Y92" s="123">
        <v>2.369E-3</v>
      </c>
      <c r="Z92" s="123">
        <v>2.4000000000000001E-4</v>
      </c>
    </row>
    <row r="93" spans="1:26" ht="15" customHeight="1">
      <c r="A93" s="121">
        <v>313</v>
      </c>
      <c r="B93" s="121">
        <v>313</v>
      </c>
      <c r="C93" s="120" t="s">
        <v>2179</v>
      </c>
      <c r="D93" s="121"/>
      <c r="E93" s="120"/>
      <c r="F93" s="120" t="s">
        <v>2180</v>
      </c>
      <c r="G93" s="121">
        <v>62021514</v>
      </c>
      <c r="H93" s="120" t="s">
        <v>311</v>
      </c>
      <c r="I93" s="120" t="s">
        <v>1004</v>
      </c>
      <c r="J93" s="120"/>
      <c r="K93" s="120" t="s">
        <v>204</v>
      </c>
      <c r="L93" s="120"/>
      <c r="M93" s="120"/>
      <c r="N93" s="120" t="s">
        <v>223</v>
      </c>
      <c r="O93" s="120" t="s">
        <v>338</v>
      </c>
      <c r="P93" s="124">
        <v>45261</v>
      </c>
      <c r="Q93" s="120" t="s">
        <v>1222</v>
      </c>
      <c r="R93" s="120" t="s">
        <v>886</v>
      </c>
      <c r="S93" s="120" t="s">
        <v>890</v>
      </c>
      <c r="T93" s="124">
        <v>45838</v>
      </c>
      <c r="U93" s="122">
        <v>3.3719999999999999</v>
      </c>
      <c r="V93" s="122">
        <v>13700.8521</v>
      </c>
      <c r="W93" s="122">
        <v>46199.273280000001</v>
      </c>
      <c r="X93" s="123">
        <v>2.3E-5</v>
      </c>
      <c r="Y93" s="123">
        <v>7.5680000000000001E-3</v>
      </c>
      <c r="Z93" s="123">
        <v>7.6900000000000004E-4</v>
      </c>
    </row>
    <row r="94" spans="1:26" ht="15" customHeight="1">
      <c r="A94" s="121">
        <v>313</v>
      </c>
      <c r="B94" s="121">
        <v>313</v>
      </c>
      <c r="C94" s="120" t="s">
        <v>2181</v>
      </c>
      <c r="D94" s="121"/>
      <c r="E94" s="120"/>
      <c r="F94" s="120" t="s">
        <v>2182</v>
      </c>
      <c r="G94" s="121">
        <v>60388675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295</v>
      </c>
      <c r="O94" s="120" t="s">
        <v>338</v>
      </c>
      <c r="P94" s="124">
        <v>43251</v>
      </c>
      <c r="Q94" s="120" t="s">
        <v>1222</v>
      </c>
      <c r="R94" s="120" t="s">
        <v>886</v>
      </c>
      <c r="S94" s="120" t="s">
        <v>890</v>
      </c>
      <c r="T94" s="124">
        <v>45838</v>
      </c>
      <c r="U94" s="122">
        <v>3.3719999999999999</v>
      </c>
      <c r="V94" s="122">
        <v>5198.0653700000003</v>
      </c>
      <c r="W94" s="122">
        <v>17527.87644</v>
      </c>
      <c r="X94" s="123">
        <v>2.8800000000000001E-4</v>
      </c>
      <c r="Y94" s="123">
        <v>2.8709999999999999E-3</v>
      </c>
      <c r="Z94" s="123">
        <v>2.9100000000000003E-4</v>
      </c>
    </row>
    <row r="95" spans="1:26" ht="15" customHeight="1">
      <c r="A95" s="121">
        <v>313</v>
      </c>
      <c r="B95" s="121">
        <v>313</v>
      </c>
      <c r="C95" s="120" t="s">
        <v>2183</v>
      </c>
      <c r="D95" s="121"/>
      <c r="E95" s="120"/>
      <c r="F95" s="120" t="s">
        <v>2184</v>
      </c>
      <c r="G95" s="121">
        <v>62018181</v>
      </c>
      <c r="H95" s="120" t="s">
        <v>311</v>
      </c>
      <c r="I95" s="120" t="s">
        <v>1002</v>
      </c>
      <c r="J95" s="120"/>
      <c r="K95" s="120" t="s">
        <v>204</v>
      </c>
      <c r="L95" s="120"/>
      <c r="M95" s="120"/>
      <c r="N95" s="120" t="s">
        <v>232</v>
      </c>
      <c r="O95" s="120" t="s">
        <v>338</v>
      </c>
      <c r="P95" s="124">
        <v>44784</v>
      </c>
      <c r="Q95" s="120" t="s">
        <v>1222</v>
      </c>
      <c r="R95" s="120" t="s">
        <v>886</v>
      </c>
      <c r="S95" s="120" t="s">
        <v>890</v>
      </c>
      <c r="T95" s="124">
        <v>45838</v>
      </c>
      <c r="U95" s="122">
        <v>3.3719999999999999</v>
      </c>
      <c r="V95" s="122">
        <v>3333.1743000000001</v>
      </c>
      <c r="W95" s="122">
        <v>11239.463739999999</v>
      </c>
      <c r="X95" s="123">
        <v>4.0409E-2</v>
      </c>
      <c r="Y95" s="123">
        <v>1.841E-3</v>
      </c>
      <c r="Z95" s="123">
        <v>1.8699999999999999E-4</v>
      </c>
    </row>
    <row r="96" spans="1:26" ht="15" customHeight="1">
      <c r="A96" s="121">
        <v>313</v>
      </c>
      <c r="B96" s="121">
        <v>313</v>
      </c>
      <c r="C96" s="120" t="s">
        <v>2185</v>
      </c>
      <c r="D96" s="121"/>
      <c r="E96" s="120"/>
      <c r="F96" s="120" t="s">
        <v>2186</v>
      </c>
      <c r="G96" s="121">
        <v>60414935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44266</v>
      </c>
      <c r="Q96" s="120" t="s">
        <v>1222</v>
      </c>
      <c r="R96" s="120" t="s">
        <v>886</v>
      </c>
      <c r="S96" s="120" t="s">
        <v>890</v>
      </c>
      <c r="T96" s="124">
        <v>45838</v>
      </c>
      <c r="U96" s="122">
        <v>3.3719999999999999</v>
      </c>
      <c r="V96" s="122">
        <v>5858.7677400000002</v>
      </c>
      <c r="W96" s="122">
        <v>19755.76483</v>
      </c>
      <c r="X96" s="123">
        <v>2.6250000000000002E-3</v>
      </c>
      <c r="Y96" s="123">
        <v>3.2360000000000002E-3</v>
      </c>
      <c r="Z96" s="123">
        <v>3.2899999999999997E-4</v>
      </c>
    </row>
    <row r="97" spans="1:26" ht="15" customHeight="1">
      <c r="A97" s="121">
        <v>313</v>
      </c>
      <c r="B97" s="121">
        <v>313</v>
      </c>
      <c r="C97" s="120" t="s">
        <v>2187</v>
      </c>
      <c r="D97" s="121"/>
      <c r="E97" s="120"/>
      <c r="F97" s="120" t="s">
        <v>2188</v>
      </c>
      <c r="G97" s="121">
        <v>62017801</v>
      </c>
      <c r="H97" s="120" t="s">
        <v>311</v>
      </c>
      <c r="I97" s="120" t="s">
        <v>1002</v>
      </c>
      <c r="J97" s="120"/>
      <c r="K97" s="120" t="s">
        <v>204</v>
      </c>
      <c r="L97" s="120"/>
      <c r="M97" s="120"/>
      <c r="N97" s="120" t="s">
        <v>295</v>
      </c>
      <c r="O97" s="120" t="s">
        <v>338</v>
      </c>
      <c r="P97" s="124">
        <v>41529</v>
      </c>
      <c r="Q97" s="120" t="s">
        <v>1222</v>
      </c>
      <c r="R97" s="120" t="s">
        <v>886</v>
      </c>
      <c r="S97" s="120" t="s">
        <v>890</v>
      </c>
      <c r="T97" s="124">
        <v>45838</v>
      </c>
      <c r="U97" s="122">
        <v>3.3719999999999999</v>
      </c>
      <c r="V97" s="122">
        <v>9522.1215300000003</v>
      </c>
      <c r="W97" s="122">
        <v>32108.593799999999</v>
      </c>
      <c r="X97" s="123">
        <v>7.5299999999999998E-4</v>
      </c>
      <c r="Y97" s="123">
        <v>5.2599999999999999E-3</v>
      </c>
      <c r="Z97" s="123">
        <v>5.3399999999999997E-4</v>
      </c>
    </row>
    <row r="98" spans="1:26" ht="15" customHeight="1">
      <c r="A98" s="121">
        <v>313</v>
      </c>
      <c r="B98" s="121">
        <v>313</v>
      </c>
      <c r="C98" s="120" t="s">
        <v>2176</v>
      </c>
      <c r="D98" s="121"/>
      <c r="E98" s="120"/>
      <c r="F98" s="120" t="s">
        <v>2189</v>
      </c>
      <c r="G98" s="121">
        <v>41000864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292</v>
      </c>
      <c r="O98" s="120" t="s">
        <v>338</v>
      </c>
      <c r="P98" s="124">
        <v>43513</v>
      </c>
      <c r="Q98" s="120" t="s">
        <v>1215</v>
      </c>
      <c r="R98" s="120" t="s">
        <v>886</v>
      </c>
      <c r="S98" s="120" t="s">
        <v>890</v>
      </c>
      <c r="T98" s="124">
        <v>45838</v>
      </c>
      <c r="U98" s="122">
        <v>3.9552</v>
      </c>
      <c r="V98" s="122">
        <v>621.09100000000001</v>
      </c>
      <c r="W98" s="122">
        <v>2456.5391199999999</v>
      </c>
      <c r="X98" s="123">
        <v>3.1E-4</v>
      </c>
      <c r="Y98" s="123">
        <v>4.0200000000000001E-4</v>
      </c>
      <c r="Z98" s="123">
        <v>4.0000000000000003E-5</v>
      </c>
    </row>
    <row r="99" spans="1:26" ht="15" customHeight="1">
      <c r="A99" s="121">
        <v>313</v>
      </c>
      <c r="B99" s="121">
        <v>313</v>
      </c>
      <c r="C99" s="120" t="s">
        <v>2134</v>
      </c>
      <c r="D99" s="121"/>
      <c r="E99" s="120"/>
      <c r="F99" s="120" t="s">
        <v>2190</v>
      </c>
      <c r="G99" s="121">
        <v>62005723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223</v>
      </c>
      <c r="O99" s="120" t="s">
        <v>338</v>
      </c>
      <c r="P99" s="124">
        <v>41128</v>
      </c>
      <c r="Q99" s="120" t="s">
        <v>1222</v>
      </c>
      <c r="R99" s="120" t="s">
        <v>886</v>
      </c>
      <c r="S99" s="120" t="s">
        <v>890</v>
      </c>
      <c r="T99" s="124">
        <v>45838</v>
      </c>
      <c r="U99" s="122">
        <v>3.3719999999999999</v>
      </c>
      <c r="V99" s="122">
        <v>1852.8064099999999</v>
      </c>
      <c r="W99" s="122">
        <v>6247.6632200000004</v>
      </c>
      <c r="X99" s="123">
        <v>1.2290000000000001E-3</v>
      </c>
      <c r="Y99" s="123">
        <v>1.023E-3</v>
      </c>
      <c r="Z99" s="123">
        <v>1.0399999999999999E-4</v>
      </c>
    </row>
    <row r="100" spans="1:26" ht="15" customHeight="1">
      <c r="A100" s="121">
        <v>313</v>
      </c>
      <c r="B100" s="121">
        <v>313</v>
      </c>
      <c r="C100" s="120" t="s">
        <v>2191</v>
      </c>
      <c r="D100" s="121"/>
      <c r="E100" s="120"/>
      <c r="F100" s="120" t="s">
        <v>2192</v>
      </c>
      <c r="G100" s="121">
        <v>41000857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43513</v>
      </c>
      <c r="Q100" s="120" t="s">
        <v>1215</v>
      </c>
      <c r="R100" s="120" t="s">
        <v>886</v>
      </c>
      <c r="S100" s="120" t="s">
        <v>890</v>
      </c>
      <c r="T100" s="124">
        <v>45838</v>
      </c>
      <c r="U100" s="122">
        <v>3.9552</v>
      </c>
      <c r="V100" s="122">
        <v>540.57399999999996</v>
      </c>
      <c r="W100" s="122">
        <v>2138.0782800000002</v>
      </c>
      <c r="X100" s="123">
        <v>2.7E-4</v>
      </c>
      <c r="Y100" s="123">
        <v>3.5E-4</v>
      </c>
      <c r="Z100" s="123">
        <v>3.4999999999999997E-5</v>
      </c>
    </row>
    <row r="101" spans="1:26" ht="15" customHeight="1">
      <c r="A101" s="121">
        <v>313</v>
      </c>
      <c r="B101" s="121">
        <v>313</v>
      </c>
      <c r="C101" s="120" t="s">
        <v>2138</v>
      </c>
      <c r="D101" s="121"/>
      <c r="E101" s="120"/>
      <c r="F101" s="120" t="s">
        <v>2193</v>
      </c>
      <c r="G101" s="121">
        <v>43000914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44054</v>
      </c>
      <c r="Q101" s="120" t="s">
        <v>1222</v>
      </c>
      <c r="R101" s="120" t="s">
        <v>886</v>
      </c>
      <c r="S101" s="120" t="s">
        <v>890</v>
      </c>
      <c r="T101" s="124">
        <v>45838</v>
      </c>
      <c r="U101" s="122">
        <v>3.3719999999999999</v>
      </c>
      <c r="V101" s="122">
        <v>2901.346</v>
      </c>
      <c r="W101" s="122">
        <v>9783.33871</v>
      </c>
      <c r="X101" s="123">
        <v>1.4499999999999999E-3</v>
      </c>
      <c r="Y101" s="123">
        <v>1.6019999999999999E-3</v>
      </c>
      <c r="Z101" s="123">
        <v>1.6200000000000001E-4</v>
      </c>
    </row>
    <row r="102" spans="1:26" ht="15" customHeight="1">
      <c r="A102" s="121">
        <v>313</v>
      </c>
      <c r="B102" s="121">
        <v>313</v>
      </c>
      <c r="C102" s="120" t="s">
        <v>2194</v>
      </c>
      <c r="D102" s="121"/>
      <c r="E102" s="120"/>
      <c r="F102" s="120" t="s">
        <v>2195</v>
      </c>
      <c r="G102" s="121">
        <v>62013817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42174</v>
      </c>
      <c r="Q102" s="120" t="s">
        <v>1222</v>
      </c>
      <c r="R102" s="120" t="s">
        <v>886</v>
      </c>
      <c r="S102" s="120" t="s">
        <v>890</v>
      </c>
      <c r="T102" s="124">
        <v>45838</v>
      </c>
      <c r="U102" s="122">
        <v>3.3719999999999999</v>
      </c>
      <c r="V102" s="122">
        <v>6704.8903700000001</v>
      </c>
      <c r="W102" s="122">
        <v>22608.890329999998</v>
      </c>
      <c r="X102" s="123">
        <v>5.2119999999999996E-3</v>
      </c>
      <c r="Y102" s="123">
        <v>3.7030000000000001E-3</v>
      </c>
      <c r="Z102" s="123">
        <v>3.7599999999999998E-4</v>
      </c>
    </row>
    <row r="103" spans="1:26" ht="15" customHeight="1">
      <c r="A103" s="121">
        <v>313</v>
      </c>
      <c r="B103" s="121">
        <v>313</v>
      </c>
      <c r="C103" s="120" t="s">
        <v>2036</v>
      </c>
      <c r="D103" s="121"/>
      <c r="E103" s="120"/>
      <c r="F103" s="120" t="s">
        <v>2196</v>
      </c>
      <c r="G103" s="121">
        <v>62009675</v>
      </c>
      <c r="H103" s="120" t="s">
        <v>311</v>
      </c>
      <c r="I103" s="120" t="s">
        <v>1006</v>
      </c>
      <c r="J103" s="120"/>
      <c r="K103" s="120" t="s">
        <v>204</v>
      </c>
      <c r="L103" s="120"/>
      <c r="M103" s="120"/>
      <c r="N103" s="120" t="s">
        <v>223</v>
      </c>
      <c r="O103" s="120" t="s">
        <v>338</v>
      </c>
      <c r="P103" s="124">
        <v>43283</v>
      </c>
      <c r="Q103" s="120" t="s">
        <v>1222</v>
      </c>
      <c r="R103" s="120" t="s">
        <v>886</v>
      </c>
      <c r="S103" s="120" t="s">
        <v>890</v>
      </c>
      <c r="T103" s="124">
        <v>45838</v>
      </c>
      <c r="U103" s="122">
        <v>3.3719999999999999</v>
      </c>
      <c r="V103" s="122">
        <v>13248.79904</v>
      </c>
      <c r="W103" s="122">
        <v>44674.950380000002</v>
      </c>
      <c r="X103" s="123">
        <v>6.9446999999999995E-2</v>
      </c>
      <c r="Y103" s="123">
        <v>7.3179999999999999E-3</v>
      </c>
      <c r="Z103" s="123">
        <v>7.4399999999999998E-4</v>
      </c>
    </row>
    <row r="104" spans="1:26" ht="15" customHeight="1">
      <c r="A104" s="121">
        <v>313</v>
      </c>
      <c r="B104" s="121">
        <v>313</v>
      </c>
      <c r="C104" s="120" t="s">
        <v>2197</v>
      </c>
      <c r="D104" s="121"/>
      <c r="E104" s="120"/>
      <c r="F104" s="120" t="s">
        <v>2198</v>
      </c>
      <c r="G104" s="121">
        <v>62019799</v>
      </c>
      <c r="H104" s="120" t="s">
        <v>311</v>
      </c>
      <c r="I104" s="120" t="s">
        <v>1002</v>
      </c>
      <c r="J104" s="120"/>
      <c r="K104" s="120" t="s">
        <v>204</v>
      </c>
      <c r="L104" s="120"/>
      <c r="M104" s="120"/>
      <c r="N104" s="120" t="s">
        <v>295</v>
      </c>
      <c r="O104" s="120" t="s">
        <v>338</v>
      </c>
      <c r="P104" s="124">
        <v>42833</v>
      </c>
      <c r="Q104" s="120" t="s">
        <v>1222</v>
      </c>
      <c r="R104" s="120" t="s">
        <v>886</v>
      </c>
      <c r="S104" s="120" t="s">
        <v>890</v>
      </c>
      <c r="T104" s="124">
        <v>45838</v>
      </c>
      <c r="U104" s="122">
        <v>3.3719999999999999</v>
      </c>
      <c r="V104" s="122">
        <v>12253.63488</v>
      </c>
      <c r="W104" s="122">
        <v>41319.256809999999</v>
      </c>
      <c r="X104" s="123">
        <v>4.901E-3</v>
      </c>
      <c r="Y104" s="123">
        <v>6.7679999999999997E-3</v>
      </c>
      <c r="Z104" s="123">
        <v>6.8800000000000003E-4</v>
      </c>
    </row>
    <row r="105" spans="1:26" ht="15" customHeight="1">
      <c r="A105" s="121">
        <v>313</v>
      </c>
      <c r="B105" s="121">
        <v>313</v>
      </c>
      <c r="C105" s="120" t="s">
        <v>2191</v>
      </c>
      <c r="D105" s="121"/>
      <c r="E105" s="120"/>
      <c r="F105" s="120" t="s">
        <v>2199</v>
      </c>
      <c r="G105" s="121">
        <v>41000852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43513</v>
      </c>
      <c r="Q105" s="120" t="s">
        <v>1215</v>
      </c>
      <c r="R105" s="120" t="s">
        <v>886</v>
      </c>
      <c r="S105" s="120" t="s">
        <v>890</v>
      </c>
      <c r="T105" s="124">
        <v>45838</v>
      </c>
      <c r="U105" s="122">
        <v>3.9552</v>
      </c>
      <c r="V105" s="122">
        <v>30.076000000000001</v>
      </c>
      <c r="W105" s="122">
        <v>118.95659999999999</v>
      </c>
      <c r="X105" s="123">
        <v>3.0000000000000001E-5</v>
      </c>
      <c r="Y105" s="123">
        <v>1.9000000000000001E-5</v>
      </c>
      <c r="Z105" s="123">
        <v>9.9999999999999995E-7</v>
      </c>
    </row>
    <row r="106" spans="1:26" ht="15" customHeight="1">
      <c r="A106" s="121">
        <v>313</v>
      </c>
      <c r="B106" s="121">
        <v>313</v>
      </c>
      <c r="C106" s="120" t="s">
        <v>2200</v>
      </c>
      <c r="D106" s="121"/>
      <c r="E106" s="120"/>
      <c r="F106" s="120" t="s">
        <v>2201</v>
      </c>
      <c r="G106" s="121">
        <v>9840565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292</v>
      </c>
      <c r="O106" s="120" t="s">
        <v>338</v>
      </c>
      <c r="P106" s="124">
        <v>40360</v>
      </c>
      <c r="Q106" s="120" t="s">
        <v>1215</v>
      </c>
      <c r="R106" s="120" t="s">
        <v>886</v>
      </c>
      <c r="S106" s="120" t="s">
        <v>890</v>
      </c>
      <c r="T106" s="124">
        <v>45838</v>
      </c>
      <c r="U106" s="122">
        <v>3.9552</v>
      </c>
      <c r="V106" s="122">
        <v>1440.8728100000001</v>
      </c>
      <c r="W106" s="122">
        <v>5698.9401399999997</v>
      </c>
      <c r="X106" s="123">
        <v>1.3389999999999999E-3</v>
      </c>
      <c r="Y106" s="123">
        <v>9.3300000000000002E-4</v>
      </c>
      <c r="Z106" s="123">
        <v>9.3999999999999994E-5</v>
      </c>
    </row>
    <row r="107" spans="1:26" ht="15" customHeight="1">
      <c r="A107" s="121">
        <v>313</v>
      </c>
      <c r="B107" s="121">
        <v>313</v>
      </c>
      <c r="C107" s="120" t="s">
        <v>2202</v>
      </c>
      <c r="D107" s="121"/>
      <c r="E107" s="120"/>
      <c r="F107" s="120" t="s">
        <v>2203</v>
      </c>
      <c r="G107" s="121">
        <v>60391324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232</v>
      </c>
      <c r="O107" s="120" t="s">
        <v>338</v>
      </c>
      <c r="P107" s="124">
        <v>44378</v>
      </c>
      <c r="Q107" s="120" t="s">
        <v>1225</v>
      </c>
      <c r="R107" s="120" t="s">
        <v>886</v>
      </c>
      <c r="S107" s="120" t="s">
        <v>890</v>
      </c>
      <c r="T107" s="124">
        <v>45838</v>
      </c>
      <c r="U107" s="122">
        <v>4.6235999999999997</v>
      </c>
      <c r="V107" s="122">
        <v>3178.9145400000002</v>
      </c>
      <c r="W107" s="122">
        <v>14698.02925</v>
      </c>
      <c r="X107" s="123">
        <v>9.7809999999999998E-3</v>
      </c>
      <c r="Y107" s="123">
        <v>2.4069999999999999E-3</v>
      </c>
      <c r="Z107" s="123">
        <v>2.4399999999999999E-4</v>
      </c>
    </row>
    <row r="108" spans="1:26" ht="15" customHeight="1">
      <c r="A108" s="121">
        <v>313</v>
      </c>
      <c r="B108" s="121">
        <v>313</v>
      </c>
      <c r="C108" s="120" t="s">
        <v>2156</v>
      </c>
      <c r="D108" s="121"/>
      <c r="E108" s="120"/>
      <c r="F108" s="120" t="s">
        <v>2204</v>
      </c>
      <c r="G108" s="121">
        <v>45000104</v>
      </c>
      <c r="H108" s="120" t="s">
        <v>311</v>
      </c>
      <c r="I108" s="120" t="s">
        <v>1006</v>
      </c>
      <c r="J108" s="120"/>
      <c r="K108" s="120" t="s">
        <v>204</v>
      </c>
      <c r="L108" s="120"/>
      <c r="M108" s="120"/>
      <c r="N108" s="120" t="s">
        <v>292</v>
      </c>
      <c r="O108" s="120" t="s">
        <v>338</v>
      </c>
      <c r="P108" s="124">
        <v>45657</v>
      </c>
      <c r="Q108" s="120" t="s">
        <v>1222</v>
      </c>
      <c r="R108" s="120" t="s">
        <v>886</v>
      </c>
      <c r="S108" s="120" t="s">
        <v>890</v>
      </c>
      <c r="T108" s="124">
        <v>45838</v>
      </c>
      <c r="U108" s="122">
        <v>3.3719999999999999</v>
      </c>
      <c r="V108" s="122">
        <v>93.841669999999993</v>
      </c>
      <c r="W108" s="122">
        <v>316.43410999999998</v>
      </c>
      <c r="X108" s="123">
        <v>3.1000000000000001E-5</v>
      </c>
      <c r="Y108" s="123">
        <v>5.1E-5</v>
      </c>
      <c r="Z108" s="123">
        <v>5.0000000000000004E-6</v>
      </c>
    </row>
    <row r="109" spans="1:26" ht="15" customHeight="1">
      <c r="A109" s="121">
        <v>313</v>
      </c>
      <c r="B109" s="121">
        <v>313</v>
      </c>
      <c r="C109" s="120" t="s">
        <v>2134</v>
      </c>
      <c r="D109" s="121"/>
      <c r="E109" s="120"/>
      <c r="F109" s="120" t="s">
        <v>2205</v>
      </c>
      <c r="G109" s="121">
        <v>62001857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292</v>
      </c>
      <c r="O109" s="120" t="s">
        <v>338</v>
      </c>
      <c r="P109" s="124">
        <v>44080</v>
      </c>
      <c r="Q109" s="120" t="s">
        <v>1215</v>
      </c>
      <c r="R109" s="120" t="s">
        <v>886</v>
      </c>
      <c r="S109" s="120" t="s">
        <v>890</v>
      </c>
      <c r="T109" s="124">
        <v>45838</v>
      </c>
      <c r="U109" s="122">
        <v>3.9552</v>
      </c>
      <c r="V109" s="122">
        <v>11072.680840000001</v>
      </c>
      <c r="W109" s="122">
        <v>43794.667269999998</v>
      </c>
      <c r="X109" s="123">
        <v>7.1400000000000001E-4</v>
      </c>
      <c r="Y109" s="123">
        <v>7.1739999999999998E-3</v>
      </c>
      <c r="Z109" s="123">
        <v>7.2900000000000005E-4</v>
      </c>
    </row>
    <row r="110" spans="1:26" ht="15" customHeight="1">
      <c r="A110" s="121">
        <v>313</v>
      </c>
      <c r="B110" s="121">
        <v>313</v>
      </c>
      <c r="C110" s="120" t="s">
        <v>2194</v>
      </c>
      <c r="D110" s="121"/>
      <c r="E110" s="120"/>
      <c r="F110" s="120" t="s">
        <v>2206</v>
      </c>
      <c r="G110" s="121">
        <v>60304870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223</v>
      </c>
      <c r="O110" s="120" t="s">
        <v>338</v>
      </c>
      <c r="P110" s="124">
        <v>41361</v>
      </c>
      <c r="Q110" s="120" t="s">
        <v>1222</v>
      </c>
      <c r="R110" s="120" t="s">
        <v>886</v>
      </c>
      <c r="S110" s="120" t="s">
        <v>890</v>
      </c>
      <c r="T110" s="124">
        <v>45838</v>
      </c>
      <c r="U110" s="122">
        <v>3.3719999999999999</v>
      </c>
      <c r="V110" s="122">
        <v>539.23404000000005</v>
      </c>
      <c r="W110" s="122">
        <v>1818.29719</v>
      </c>
      <c r="X110" s="123">
        <v>1.266E-3</v>
      </c>
      <c r="Y110" s="123">
        <v>2.9700000000000001E-4</v>
      </c>
      <c r="Z110" s="123">
        <v>3.0000000000000001E-5</v>
      </c>
    </row>
    <row r="111" spans="1:26" ht="15" customHeight="1">
      <c r="A111" s="121">
        <v>313</v>
      </c>
      <c r="B111" s="121">
        <v>313</v>
      </c>
      <c r="C111" s="120" t="s">
        <v>2134</v>
      </c>
      <c r="D111" s="121"/>
      <c r="E111" s="120"/>
      <c r="F111" s="120" t="s">
        <v>2207</v>
      </c>
      <c r="G111" s="121">
        <v>62006615</v>
      </c>
      <c r="H111" s="120" t="s">
        <v>311</v>
      </c>
      <c r="I111" s="120" t="s">
        <v>1005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41529</v>
      </c>
      <c r="Q111" s="120" t="s">
        <v>1215</v>
      </c>
      <c r="R111" s="120" t="s">
        <v>886</v>
      </c>
      <c r="S111" s="120" t="s">
        <v>890</v>
      </c>
      <c r="T111" s="124">
        <v>45838</v>
      </c>
      <c r="U111" s="122">
        <v>3.9552</v>
      </c>
      <c r="V111" s="122">
        <v>4300.52916</v>
      </c>
      <c r="W111" s="122">
        <v>17009.452939999999</v>
      </c>
      <c r="X111" s="123">
        <v>1.1929E-2</v>
      </c>
      <c r="Y111" s="123">
        <v>2.7859999999999998E-3</v>
      </c>
      <c r="Z111" s="123">
        <v>2.8299999999999999E-4</v>
      </c>
    </row>
    <row r="112" spans="1:26" ht="15" customHeight="1">
      <c r="A112" s="121">
        <v>313</v>
      </c>
      <c r="B112" s="121">
        <v>313</v>
      </c>
      <c r="C112" s="120" t="s">
        <v>2208</v>
      </c>
      <c r="D112" s="121"/>
      <c r="E112" s="120"/>
      <c r="F112" s="120" t="s">
        <v>2209</v>
      </c>
      <c r="G112" s="121">
        <v>62013572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43553</v>
      </c>
      <c r="Q112" s="120" t="s">
        <v>1222</v>
      </c>
      <c r="R112" s="120" t="s">
        <v>886</v>
      </c>
      <c r="S112" s="120" t="s">
        <v>890</v>
      </c>
      <c r="T112" s="124">
        <v>45838</v>
      </c>
      <c r="U112" s="122">
        <v>3.3719999999999999</v>
      </c>
      <c r="V112" s="122">
        <v>5129.4335300000002</v>
      </c>
      <c r="W112" s="122">
        <v>17296.44987</v>
      </c>
      <c r="X112" s="123">
        <v>1.668E-3</v>
      </c>
      <c r="Y112" s="123">
        <v>2.833E-3</v>
      </c>
      <c r="Z112" s="123">
        <v>2.8800000000000001E-4</v>
      </c>
    </row>
    <row r="113" spans="1:26" ht="15" customHeight="1">
      <c r="A113" s="121">
        <v>313</v>
      </c>
      <c r="B113" s="121">
        <v>313</v>
      </c>
      <c r="C113" s="120" t="s">
        <v>2158</v>
      </c>
      <c r="D113" s="121"/>
      <c r="E113" s="120"/>
      <c r="F113" s="120" t="s">
        <v>2210</v>
      </c>
      <c r="G113" s="121">
        <v>62020490</v>
      </c>
      <c r="H113" s="120" t="s">
        <v>311</v>
      </c>
      <c r="I113" s="120" t="s">
        <v>1002</v>
      </c>
      <c r="J113" s="120"/>
      <c r="K113" s="120" t="s">
        <v>204</v>
      </c>
      <c r="L113" s="120"/>
      <c r="M113" s="120"/>
      <c r="N113" s="120" t="s">
        <v>295</v>
      </c>
      <c r="O113" s="120" t="s">
        <v>338</v>
      </c>
      <c r="P113" s="124">
        <v>40026</v>
      </c>
      <c r="Q113" s="120" t="s">
        <v>1222</v>
      </c>
      <c r="R113" s="120" t="s">
        <v>886</v>
      </c>
      <c r="S113" s="120" t="s">
        <v>890</v>
      </c>
      <c r="T113" s="124">
        <v>45838</v>
      </c>
      <c r="U113" s="122">
        <v>3.3719999999999999</v>
      </c>
      <c r="V113" s="122">
        <v>12882.9002</v>
      </c>
      <c r="W113" s="122">
        <v>43441.139459999999</v>
      </c>
      <c r="X113" s="123">
        <v>8.4099999999999995E-4</v>
      </c>
      <c r="Y113" s="123">
        <v>7.1159999999999999E-3</v>
      </c>
      <c r="Z113" s="123">
        <v>7.2300000000000001E-4</v>
      </c>
    </row>
    <row r="114" spans="1:26" ht="15" customHeight="1">
      <c r="A114" s="121">
        <v>313</v>
      </c>
      <c r="B114" s="121">
        <v>313</v>
      </c>
      <c r="C114" s="120" t="s">
        <v>2211</v>
      </c>
      <c r="D114" s="121"/>
      <c r="E114" s="120"/>
      <c r="F114" s="120" t="s">
        <v>2212</v>
      </c>
      <c r="G114" s="121">
        <v>62018174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292</v>
      </c>
      <c r="O114" s="120" t="s">
        <v>338</v>
      </c>
      <c r="P114" s="124">
        <v>45125</v>
      </c>
      <c r="Q114" s="120" t="s">
        <v>1215</v>
      </c>
      <c r="R114" s="120" t="s">
        <v>886</v>
      </c>
      <c r="S114" s="120" t="s">
        <v>890</v>
      </c>
      <c r="T114" s="124">
        <v>45838</v>
      </c>
      <c r="U114" s="122">
        <v>3.9552</v>
      </c>
      <c r="V114" s="122">
        <v>1756.9747299999999</v>
      </c>
      <c r="W114" s="122">
        <v>6949.1864599999999</v>
      </c>
      <c r="X114" s="123">
        <v>1.3910000000000001E-3</v>
      </c>
      <c r="Y114" s="123">
        <v>1.1379999999999999E-3</v>
      </c>
      <c r="Z114" s="123">
        <v>1.15E-4</v>
      </c>
    </row>
    <row r="115" spans="1:26" ht="15" customHeight="1">
      <c r="A115" s="121">
        <v>313</v>
      </c>
      <c r="B115" s="121">
        <v>313</v>
      </c>
      <c r="C115" s="120" t="s">
        <v>2107</v>
      </c>
      <c r="D115" s="121"/>
      <c r="E115" s="120"/>
      <c r="F115" s="120" t="s">
        <v>2213</v>
      </c>
      <c r="G115" s="121">
        <v>9840535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292</v>
      </c>
      <c r="O115" s="120" t="s">
        <v>338</v>
      </c>
      <c r="P115" s="124">
        <v>40175</v>
      </c>
      <c r="Q115" s="120" t="s">
        <v>1215</v>
      </c>
      <c r="R115" s="120" t="s">
        <v>886</v>
      </c>
      <c r="S115" s="120" t="s">
        <v>890</v>
      </c>
      <c r="T115" s="124">
        <v>45838</v>
      </c>
      <c r="U115" s="122">
        <v>3.9552</v>
      </c>
      <c r="V115" s="122">
        <v>1534.54243</v>
      </c>
      <c r="W115" s="122">
        <v>6069.4222099999997</v>
      </c>
      <c r="X115" s="123">
        <v>8.5249999999999996E-3</v>
      </c>
      <c r="Y115" s="123">
        <v>9.9400000000000009E-4</v>
      </c>
      <c r="Z115" s="123">
        <v>1.01E-4</v>
      </c>
    </row>
    <row r="116" spans="1:26" ht="15" customHeight="1">
      <c r="A116" s="121">
        <v>313</v>
      </c>
      <c r="B116" s="121">
        <v>313</v>
      </c>
      <c r="C116" s="120" t="s">
        <v>2214</v>
      </c>
      <c r="D116" s="121"/>
      <c r="E116" s="120"/>
      <c r="F116" s="120" t="s">
        <v>2215</v>
      </c>
      <c r="G116" s="121">
        <v>62021803</v>
      </c>
      <c r="H116" s="120" t="s">
        <v>311</v>
      </c>
      <c r="I116" s="120" t="s">
        <v>1005</v>
      </c>
      <c r="J116" s="120"/>
      <c r="K116" s="120" t="s">
        <v>204</v>
      </c>
      <c r="L116" s="120"/>
      <c r="M116" s="120"/>
      <c r="N116" s="120" t="s">
        <v>292</v>
      </c>
      <c r="O116" s="120" t="s">
        <v>338</v>
      </c>
      <c r="P116" s="124">
        <v>45449</v>
      </c>
      <c r="Q116" s="120" t="s">
        <v>1215</v>
      </c>
      <c r="R116" s="120" t="s">
        <v>886</v>
      </c>
      <c r="S116" s="120" t="s">
        <v>890</v>
      </c>
      <c r="T116" s="124">
        <v>45838</v>
      </c>
      <c r="U116" s="122">
        <v>3.9552</v>
      </c>
      <c r="V116" s="122">
        <v>4212.59872</v>
      </c>
      <c r="W116" s="122">
        <v>16661.670480000001</v>
      </c>
      <c r="X116" s="123">
        <v>1.0531E-2</v>
      </c>
      <c r="Y116" s="123">
        <v>2.7290000000000001E-3</v>
      </c>
      <c r="Z116" s="123">
        <v>2.7700000000000001E-4</v>
      </c>
    </row>
    <row r="117" spans="1:26" ht="15" customHeight="1">
      <c r="A117" s="121">
        <v>313</v>
      </c>
      <c r="B117" s="121">
        <v>313</v>
      </c>
      <c r="C117" s="120" t="s">
        <v>2171</v>
      </c>
      <c r="D117" s="121"/>
      <c r="E117" s="120"/>
      <c r="F117" s="120" t="s">
        <v>2216</v>
      </c>
      <c r="G117" s="121">
        <v>62012079</v>
      </c>
      <c r="H117" s="120" t="s">
        <v>311</v>
      </c>
      <c r="I117" s="120" t="s">
        <v>1005</v>
      </c>
      <c r="J117" s="120"/>
      <c r="K117" s="120" t="s">
        <v>204</v>
      </c>
      <c r="L117" s="120"/>
      <c r="M117" s="120"/>
      <c r="N117" s="120" t="s">
        <v>281</v>
      </c>
      <c r="O117" s="120" t="s">
        <v>338</v>
      </c>
      <c r="P117" s="124">
        <v>43948</v>
      </c>
      <c r="Q117" s="120" t="s">
        <v>1212</v>
      </c>
      <c r="R117" s="120" t="s">
        <v>886</v>
      </c>
      <c r="S117" s="120" t="s">
        <v>890</v>
      </c>
      <c r="T117" s="124">
        <v>45838</v>
      </c>
      <c r="U117" s="122">
        <v>2.4674</v>
      </c>
      <c r="V117" s="122">
        <v>956.70371</v>
      </c>
      <c r="W117" s="122">
        <v>2360.5707299999999</v>
      </c>
      <c r="X117" s="123">
        <v>9.5600000000000004E-4</v>
      </c>
      <c r="Y117" s="123">
        <v>3.86E-4</v>
      </c>
      <c r="Z117" s="123">
        <v>3.8999999999999999E-5</v>
      </c>
    </row>
    <row r="118" spans="1:26" ht="15" customHeight="1">
      <c r="A118" s="121">
        <v>313</v>
      </c>
      <c r="B118" s="121">
        <v>313</v>
      </c>
      <c r="C118" s="120" t="s">
        <v>2217</v>
      </c>
      <c r="D118" s="121"/>
      <c r="E118" s="120"/>
      <c r="F118" s="120" t="s">
        <v>2218</v>
      </c>
      <c r="G118" s="121">
        <v>60350733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223</v>
      </c>
      <c r="O118" s="120" t="s">
        <v>338</v>
      </c>
      <c r="P118" s="124">
        <v>41061</v>
      </c>
      <c r="Q118" s="120" t="s">
        <v>1222</v>
      </c>
      <c r="R118" s="120" t="s">
        <v>886</v>
      </c>
      <c r="S118" s="120" t="s">
        <v>890</v>
      </c>
      <c r="T118" s="124">
        <v>45838</v>
      </c>
      <c r="U118" s="122">
        <v>3.3719999999999999</v>
      </c>
      <c r="V118" s="122">
        <v>2740.7888600000001</v>
      </c>
      <c r="W118" s="122">
        <v>9241.94002</v>
      </c>
      <c r="X118" s="123">
        <v>5.4199999999999995E-4</v>
      </c>
      <c r="Y118" s="123">
        <v>1.5139999999999999E-3</v>
      </c>
      <c r="Z118" s="123">
        <v>1.5300000000000001E-4</v>
      </c>
    </row>
    <row r="119" spans="1:26" ht="15" customHeight="1">
      <c r="A119" s="121">
        <v>313</v>
      </c>
      <c r="B119" s="121">
        <v>313</v>
      </c>
      <c r="C119" s="120" t="s">
        <v>2219</v>
      </c>
      <c r="D119" s="121"/>
      <c r="E119" s="120"/>
      <c r="F119" s="120" t="s">
        <v>2220</v>
      </c>
      <c r="G119" s="121">
        <v>9840622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39307</v>
      </c>
      <c r="Q119" s="120" t="s">
        <v>1215</v>
      </c>
      <c r="R119" s="120" t="s">
        <v>886</v>
      </c>
      <c r="S119" s="120" t="s">
        <v>890</v>
      </c>
      <c r="T119" s="124">
        <v>45838</v>
      </c>
      <c r="U119" s="122">
        <v>3.9552</v>
      </c>
      <c r="V119" s="122">
        <v>61.628839999999997</v>
      </c>
      <c r="W119" s="122">
        <v>243.75438</v>
      </c>
      <c r="X119" s="123">
        <v>5.0000000000000004E-6</v>
      </c>
      <c r="Y119" s="123">
        <v>3.8999999999999999E-5</v>
      </c>
      <c r="Z119" s="123">
        <v>3.9999999999999998E-6</v>
      </c>
    </row>
    <row r="120" spans="1:26" ht="15" customHeight="1">
      <c r="A120" s="121">
        <v>313</v>
      </c>
      <c r="B120" s="121">
        <v>313</v>
      </c>
      <c r="C120" s="120" t="s">
        <v>2221</v>
      </c>
      <c r="D120" s="121"/>
      <c r="E120" s="120"/>
      <c r="F120" s="120" t="s">
        <v>2222</v>
      </c>
      <c r="G120" s="121">
        <v>62021811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223</v>
      </c>
      <c r="O120" s="120" t="s">
        <v>338</v>
      </c>
      <c r="P120" s="124">
        <v>45497</v>
      </c>
      <c r="Q120" s="120" t="s">
        <v>1222</v>
      </c>
      <c r="R120" s="120" t="s">
        <v>886</v>
      </c>
      <c r="S120" s="120" t="s">
        <v>890</v>
      </c>
      <c r="T120" s="124">
        <v>45838</v>
      </c>
      <c r="U120" s="122">
        <v>3.3719999999999999</v>
      </c>
      <c r="V120" s="122">
        <v>1963.1501000000001</v>
      </c>
      <c r="W120" s="122">
        <v>6619.7421299999996</v>
      </c>
      <c r="X120" s="123">
        <v>1.56E-4</v>
      </c>
      <c r="Y120" s="123">
        <v>1.0839999999999999E-3</v>
      </c>
      <c r="Z120" s="123">
        <v>1.1E-4</v>
      </c>
    </row>
    <row r="121" spans="1:26" ht="15" customHeight="1">
      <c r="A121" s="121">
        <v>313</v>
      </c>
      <c r="B121" s="121">
        <v>313</v>
      </c>
      <c r="C121" s="120" t="s">
        <v>2223</v>
      </c>
      <c r="D121" s="121"/>
      <c r="E121" s="120"/>
      <c r="F121" s="120" t="s">
        <v>2224</v>
      </c>
      <c r="G121" s="121">
        <v>40000473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292</v>
      </c>
      <c r="O121" s="120" t="s">
        <v>338</v>
      </c>
      <c r="P121" s="124">
        <v>43513</v>
      </c>
      <c r="Q121" s="120" t="s">
        <v>1215</v>
      </c>
      <c r="R121" s="120" t="s">
        <v>886</v>
      </c>
      <c r="S121" s="120" t="s">
        <v>890</v>
      </c>
      <c r="T121" s="124">
        <v>45838</v>
      </c>
      <c r="U121" s="122">
        <v>3.9552</v>
      </c>
      <c r="V121" s="122">
        <v>-1534.54294</v>
      </c>
      <c r="W121" s="122">
        <v>-6069.4242400000003</v>
      </c>
      <c r="X121" s="123"/>
      <c r="Y121" s="123">
        <v>-9.9400000000000009E-4</v>
      </c>
      <c r="Z121" s="123">
        <v>-1.01E-4</v>
      </c>
    </row>
    <row r="122" spans="1:26" ht="15" customHeight="1">
      <c r="A122" s="121">
        <v>313</v>
      </c>
      <c r="B122" s="121">
        <v>313</v>
      </c>
      <c r="C122" s="120" t="s">
        <v>2225</v>
      </c>
      <c r="D122" s="121"/>
      <c r="E122" s="120"/>
      <c r="F122" s="120" t="s">
        <v>2226</v>
      </c>
      <c r="G122" s="121">
        <v>60293396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44858</v>
      </c>
      <c r="Q122" s="120" t="s">
        <v>1222</v>
      </c>
      <c r="R122" s="120" t="s">
        <v>886</v>
      </c>
      <c r="S122" s="120" t="s">
        <v>890</v>
      </c>
      <c r="T122" s="124">
        <v>45838</v>
      </c>
      <c r="U122" s="122">
        <v>3.3719999999999999</v>
      </c>
      <c r="V122" s="122">
        <v>4.2000000000000002E-4</v>
      </c>
      <c r="W122" s="122">
        <v>1.4300000000000001E-3</v>
      </c>
      <c r="X122" s="123">
        <v>0</v>
      </c>
      <c r="Y122" s="123">
        <v>0</v>
      </c>
      <c r="Z122" s="123">
        <v>0</v>
      </c>
    </row>
    <row r="123" spans="1:26" ht="15" customHeight="1">
      <c r="A123" s="121">
        <v>313</v>
      </c>
      <c r="B123" s="121">
        <v>313</v>
      </c>
      <c r="C123" s="120" t="s">
        <v>2176</v>
      </c>
      <c r="D123" s="121"/>
      <c r="E123" s="120"/>
      <c r="F123" s="120" t="s">
        <v>2227</v>
      </c>
      <c r="G123" s="121">
        <v>41000865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43513</v>
      </c>
      <c r="Q123" s="120" t="s">
        <v>1215</v>
      </c>
      <c r="R123" s="120" t="s">
        <v>886</v>
      </c>
      <c r="S123" s="120" t="s">
        <v>890</v>
      </c>
      <c r="T123" s="124">
        <v>45838</v>
      </c>
      <c r="U123" s="122">
        <v>3.9552</v>
      </c>
      <c r="V123" s="122">
        <v>72.676000000000002</v>
      </c>
      <c r="W123" s="122">
        <v>287.44812000000002</v>
      </c>
      <c r="X123" s="123">
        <v>3.6000000000000001E-5</v>
      </c>
      <c r="Y123" s="123">
        <v>4.6999999999999997E-5</v>
      </c>
      <c r="Z123" s="123">
        <v>3.9999999999999998E-6</v>
      </c>
    </row>
    <row r="124" spans="1:26" ht="15" customHeight="1">
      <c r="A124" s="121">
        <v>313</v>
      </c>
      <c r="B124" s="121">
        <v>313</v>
      </c>
      <c r="C124" s="120" t="s">
        <v>2134</v>
      </c>
      <c r="D124" s="121"/>
      <c r="E124" s="120"/>
      <c r="F124" s="120" t="s">
        <v>2228</v>
      </c>
      <c r="G124" s="121">
        <v>62005608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292</v>
      </c>
      <c r="O124" s="120" t="s">
        <v>338</v>
      </c>
      <c r="P124" s="124">
        <v>43592</v>
      </c>
      <c r="Q124" s="120" t="s">
        <v>1215</v>
      </c>
      <c r="R124" s="120" t="s">
        <v>886</v>
      </c>
      <c r="S124" s="120" t="s">
        <v>890</v>
      </c>
      <c r="T124" s="124">
        <v>45838</v>
      </c>
      <c r="U124" s="122">
        <v>3.9552</v>
      </c>
      <c r="V124" s="122">
        <v>2729.3110099999999</v>
      </c>
      <c r="W124" s="122">
        <v>10794.9709</v>
      </c>
      <c r="X124" s="123">
        <v>4.548E-3</v>
      </c>
      <c r="Y124" s="123">
        <v>1.768E-3</v>
      </c>
      <c r="Z124" s="123">
        <v>1.7899999999999999E-4</v>
      </c>
    </row>
    <row r="125" spans="1:26" ht="15" customHeight="1">
      <c r="A125" s="121">
        <v>313</v>
      </c>
      <c r="B125" s="121">
        <v>313</v>
      </c>
      <c r="C125" s="120" t="s">
        <v>2229</v>
      </c>
      <c r="D125" s="121"/>
      <c r="E125" s="120"/>
      <c r="F125" s="120" t="s">
        <v>2230</v>
      </c>
      <c r="G125" s="121">
        <v>62020987</v>
      </c>
      <c r="H125" s="120" t="s">
        <v>311</v>
      </c>
      <c r="I125" s="120" t="s">
        <v>1005</v>
      </c>
      <c r="J125" s="120"/>
      <c r="K125" s="120" t="s">
        <v>204</v>
      </c>
      <c r="L125" s="120"/>
      <c r="M125" s="120"/>
      <c r="N125" s="120" t="s">
        <v>295</v>
      </c>
      <c r="O125" s="120" t="s">
        <v>338</v>
      </c>
      <c r="P125" s="124">
        <v>45037</v>
      </c>
      <c r="Q125" s="120" t="s">
        <v>1222</v>
      </c>
      <c r="R125" s="120" t="s">
        <v>886</v>
      </c>
      <c r="S125" s="120" t="s">
        <v>890</v>
      </c>
      <c r="T125" s="124">
        <v>45838</v>
      </c>
      <c r="U125" s="122">
        <v>3.3719999999999999</v>
      </c>
      <c r="V125" s="122">
        <v>9187.5183199999992</v>
      </c>
      <c r="W125" s="122">
        <v>30980.31178</v>
      </c>
      <c r="X125" s="123">
        <v>3.0600000000000001E-4</v>
      </c>
      <c r="Y125" s="123">
        <v>5.0749999999999997E-3</v>
      </c>
      <c r="Z125" s="123">
        <v>5.1500000000000005E-4</v>
      </c>
    </row>
    <row r="126" spans="1:26" ht="15" customHeight="1">
      <c r="A126" s="121">
        <v>313</v>
      </c>
      <c r="B126" s="121">
        <v>313</v>
      </c>
      <c r="C126" s="120" t="s">
        <v>2231</v>
      </c>
      <c r="D126" s="121"/>
      <c r="E126" s="120"/>
      <c r="F126" s="120" t="s">
        <v>2232</v>
      </c>
      <c r="G126" s="121">
        <v>60402625</v>
      </c>
      <c r="H126" s="120" t="s">
        <v>311</v>
      </c>
      <c r="I126" s="120" t="s">
        <v>1005</v>
      </c>
      <c r="J126" s="120"/>
      <c r="K126" s="120" t="s">
        <v>204</v>
      </c>
      <c r="L126" s="120"/>
      <c r="M126" s="120"/>
      <c r="N126" s="120" t="s">
        <v>295</v>
      </c>
      <c r="O126" s="120" t="s">
        <v>338</v>
      </c>
      <c r="P126" s="124">
        <v>42838</v>
      </c>
      <c r="Q126" s="120" t="s">
        <v>1222</v>
      </c>
      <c r="R126" s="120" t="s">
        <v>886</v>
      </c>
      <c r="S126" s="120" t="s">
        <v>890</v>
      </c>
      <c r="T126" s="124">
        <v>45838</v>
      </c>
      <c r="U126" s="122">
        <v>3.3719999999999999</v>
      </c>
      <c r="V126" s="122">
        <v>6292.5779199999997</v>
      </c>
      <c r="W126" s="122">
        <v>21218.572749999999</v>
      </c>
      <c r="X126" s="123">
        <v>6.9899999999999997E-4</v>
      </c>
      <c r="Y126" s="123">
        <v>3.4759999999999999E-3</v>
      </c>
      <c r="Z126" s="123">
        <v>3.5300000000000002E-4</v>
      </c>
    </row>
    <row r="127" spans="1:26" ht="15" customHeight="1">
      <c r="A127" s="121">
        <v>313</v>
      </c>
      <c r="B127" s="121">
        <v>313</v>
      </c>
      <c r="C127" s="120" t="s">
        <v>2233</v>
      </c>
      <c r="D127" s="121"/>
      <c r="E127" s="120"/>
      <c r="F127" s="120" t="s">
        <v>2234</v>
      </c>
      <c r="G127" s="121">
        <v>62013941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250</v>
      </c>
      <c r="O127" s="120" t="s">
        <v>338</v>
      </c>
      <c r="P127" s="124">
        <v>43648</v>
      </c>
      <c r="Q127" s="120" t="s">
        <v>1224</v>
      </c>
      <c r="R127" s="120" t="s">
        <v>886</v>
      </c>
      <c r="S127" s="120" t="s">
        <v>890</v>
      </c>
      <c r="T127" s="124">
        <v>45838</v>
      </c>
      <c r="U127" s="122">
        <v>2.3400000000000001E-2</v>
      </c>
      <c r="V127" s="122">
        <v>207486.85245000001</v>
      </c>
      <c r="W127" s="122">
        <v>4848.7602500000003</v>
      </c>
      <c r="X127" s="123">
        <v>7.7060000000000002E-3</v>
      </c>
      <c r="Y127" s="123">
        <v>7.94E-4</v>
      </c>
      <c r="Z127" s="123">
        <v>8.0000000000000007E-5</v>
      </c>
    </row>
    <row r="128" spans="1:26" ht="15" customHeight="1">
      <c r="A128" s="121">
        <v>313</v>
      </c>
      <c r="B128" s="121">
        <v>313</v>
      </c>
      <c r="C128" s="120" t="s">
        <v>2156</v>
      </c>
      <c r="D128" s="121"/>
      <c r="E128" s="120"/>
      <c r="F128" s="120" t="s">
        <v>2235</v>
      </c>
      <c r="G128" s="121">
        <v>42000913</v>
      </c>
      <c r="H128" s="120" t="s">
        <v>311</v>
      </c>
      <c r="I128" s="120" t="s">
        <v>1006</v>
      </c>
      <c r="J128" s="120"/>
      <c r="K128" s="120" t="s">
        <v>204</v>
      </c>
      <c r="L128" s="120"/>
      <c r="M128" s="120"/>
      <c r="N128" s="120" t="s">
        <v>295</v>
      </c>
      <c r="O128" s="120" t="s">
        <v>338</v>
      </c>
      <c r="P128" s="124">
        <v>43601</v>
      </c>
      <c r="Q128" s="120" t="s">
        <v>1222</v>
      </c>
      <c r="R128" s="120" t="s">
        <v>886</v>
      </c>
      <c r="S128" s="120" t="s">
        <v>890</v>
      </c>
      <c r="T128" s="124">
        <v>45838</v>
      </c>
      <c r="U128" s="122">
        <v>3.3719999999999999</v>
      </c>
      <c r="V128" s="122">
        <v>84.907600000000002</v>
      </c>
      <c r="W128" s="122">
        <v>286.30842999999999</v>
      </c>
      <c r="X128" s="123">
        <v>2.8E-5</v>
      </c>
      <c r="Y128" s="123">
        <v>4.6E-5</v>
      </c>
      <c r="Z128" s="123">
        <v>3.9999999999999998E-6</v>
      </c>
    </row>
    <row r="129" spans="1:26" ht="15" customHeight="1">
      <c r="A129" s="121">
        <v>313</v>
      </c>
      <c r="B129" s="121">
        <v>313</v>
      </c>
      <c r="C129" s="120" t="s">
        <v>2156</v>
      </c>
      <c r="D129" s="121"/>
      <c r="E129" s="120"/>
      <c r="F129" s="120" t="s">
        <v>2236</v>
      </c>
      <c r="G129" s="121">
        <v>42000903</v>
      </c>
      <c r="H129" s="120" t="s">
        <v>311</v>
      </c>
      <c r="I129" s="120" t="s">
        <v>1006</v>
      </c>
      <c r="J129" s="120"/>
      <c r="K129" s="120" t="s">
        <v>204</v>
      </c>
      <c r="L129" s="120"/>
      <c r="M129" s="120"/>
      <c r="N129" s="120" t="s">
        <v>295</v>
      </c>
      <c r="O129" s="120" t="s">
        <v>338</v>
      </c>
      <c r="P129" s="124">
        <v>43601</v>
      </c>
      <c r="Q129" s="120" t="s">
        <v>1222</v>
      </c>
      <c r="R129" s="120" t="s">
        <v>886</v>
      </c>
      <c r="S129" s="120" t="s">
        <v>890</v>
      </c>
      <c r="T129" s="124">
        <v>45838</v>
      </c>
      <c r="U129" s="122">
        <v>3.3719999999999999</v>
      </c>
      <c r="V129" s="122">
        <v>3566.2793999999999</v>
      </c>
      <c r="W129" s="122">
        <v>12025.494140000001</v>
      </c>
      <c r="X129" s="123">
        <v>1.188E-3</v>
      </c>
      <c r="Y129" s="123">
        <v>1.97E-3</v>
      </c>
      <c r="Z129" s="123">
        <v>2.0000000000000001E-4</v>
      </c>
    </row>
    <row r="130" spans="1:26" ht="15" customHeight="1">
      <c r="A130" s="121">
        <v>313</v>
      </c>
      <c r="B130" s="121">
        <v>313</v>
      </c>
      <c r="C130" s="120" t="s">
        <v>2237</v>
      </c>
      <c r="D130" s="121"/>
      <c r="E130" s="120"/>
      <c r="F130" s="120" t="s">
        <v>2238</v>
      </c>
      <c r="G130" s="121">
        <v>41000868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292</v>
      </c>
      <c r="O130" s="120" t="s">
        <v>338</v>
      </c>
      <c r="P130" s="124">
        <v>42735</v>
      </c>
      <c r="Q130" s="120" t="s">
        <v>1215</v>
      </c>
      <c r="R130" s="120" t="s">
        <v>886</v>
      </c>
      <c r="S130" s="120" t="s">
        <v>890</v>
      </c>
      <c r="T130" s="124">
        <v>45838</v>
      </c>
      <c r="U130" s="122">
        <v>3.9552</v>
      </c>
      <c r="V130" s="122">
        <v>4.3360000000000003</v>
      </c>
      <c r="W130" s="122">
        <v>17.149750000000001</v>
      </c>
      <c r="X130" s="123">
        <v>7.9999999999999996E-6</v>
      </c>
      <c r="Y130" s="123">
        <v>1.9999999999999999E-6</v>
      </c>
      <c r="Z130" s="123">
        <v>0</v>
      </c>
    </row>
    <row r="131" spans="1:26" ht="15" customHeight="1">
      <c r="A131" s="121">
        <v>313</v>
      </c>
      <c r="B131" s="121">
        <v>313</v>
      </c>
      <c r="C131" s="120" t="s">
        <v>2239</v>
      </c>
      <c r="D131" s="121"/>
      <c r="E131" s="120"/>
      <c r="F131" s="120" t="s">
        <v>2240</v>
      </c>
      <c r="G131" s="121">
        <v>62018173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44201</v>
      </c>
      <c r="Q131" s="120" t="s">
        <v>1222</v>
      </c>
      <c r="R131" s="120" t="s">
        <v>886</v>
      </c>
      <c r="S131" s="120" t="s">
        <v>890</v>
      </c>
      <c r="T131" s="124">
        <v>45838</v>
      </c>
      <c r="U131" s="122">
        <v>3.3719999999999999</v>
      </c>
      <c r="V131" s="122">
        <v>2111.6513300000001</v>
      </c>
      <c r="W131" s="122">
        <v>7120.4882799999996</v>
      </c>
      <c r="X131" s="123">
        <v>5.8100000000000003E-4</v>
      </c>
      <c r="Y131" s="123">
        <v>1.1659999999999999E-3</v>
      </c>
      <c r="Z131" s="123">
        <v>1.18E-4</v>
      </c>
    </row>
    <row r="132" spans="1:26" ht="15" customHeight="1">
      <c r="A132" s="121">
        <v>313</v>
      </c>
      <c r="B132" s="121">
        <v>313</v>
      </c>
      <c r="C132" s="120" t="s">
        <v>2156</v>
      </c>
      <c r="D132" s="121"/>
      <c r="E132" s="120"/>
      <c r="F132" s="120" t="s">
        <v>2241</v>
      </c>
      <c r="G132" s="121">
        <v>45000106</v>
      </c>
      <c r="H132" s="120" t="s">
        <v>311</v>
      </c>
      <c r="I132" s="120" t="s">
        <v>1006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45838</v>
      </c>
      <c r="Q132" s="120" t="s">
        <v>1222</v>
      </c>
      <c r="R132" s="120" t="s">
        <v>886</v>
      </c>
      <c r="S132" s="120" t="s">
        <v>890</v>
      </c>
      <c r="T132" s="124">
        <v>45838</v>
      </c>
      <c r="U132" s="122">
        <v>3.3719999999999999</v>
      </c>
      <c r="V132" s="122">
        <v>145.02286000000001</v>
      </c>
      <c r="W132" s="122">
        <v>489.01708000000002</v>
      </c>
      <c r="X132" s="123">
        <v>1.4499999999999999E-3</v>
      </c>
      <c r="Y132" s="123">
        <v>8.0000000000000007E-5</v>
      </c>
      <c r="Z132" s="123">
        <v>7.9999999999999996E-6</v>
      </c>
    </row>
    <row r="133" spans="1:26" ht="15" customHeight="1">
      <c r="A133" s="121">
        <v>313</v>
      </c>
      <c r="B133" s="121">
        <v>313</v>
      </c>
      <c r="C133" s="120" t="s">
        <v>2134</v>
      </c>
      <c r="D133" s="121"/>
      <c r="E133" s="120"/>
      <c r="F133" s="120" t="s">
        <v>2242</v>
      </c>
      <c r="G133" s="121">
        <v>62013586</v>
      </c>
      <c r="H133" s="120" t="s">
        <v>311</v>
      </c>
      <c r="I133" s="120" t="s">
        <v>1004</v>
      </c>
      <c r="J133" s="120"/>
      <c r="K133" s="120" t="s">
        <v>204</v>
      </c>
      <c r="L133" s="120"/>
      <c r="M133" s="120"/>
      <c r="N133" s="120" t="s">
        <v>292</v>
      </c>
      <c r="O133" s="120" t="s">
        <v>338</v>
      </c>
      <c r="P133" s="124">
        <v>43592</v>
      </c>
      <c r="Q133" s="120" t="s">
        <v>1215</v>
      </c>
      <c r="R133" s="120" t="s">
        <v>886</v>
      </c>
      <c r="S133" s="120" t="s">
        <v>890</v>
      </c>
      <c r="T133" s="124">
        <v>45838</v>
      </c>
      <c r="U133" s="122">
        <v>3.9552</v>
      </c>
      <c r="V133" s="122">
        <v>5240.3991900000001</v>
      </c>
      <c r="W133" s="122">
        <v>20726.826860000001</v>
      </c>
      <c r="X133" s="123">
        <v>5.2139999999999999E-3</v>
      </c>
      <c r="Y133" s="123">
        <v>3.395E-3</v>
      </c>
      <c r="Z133" s="123">
        <v>3.4499999999999998E-4</v>
      </c>
    </row>
    <row r="134" spans="1:26" ht="15" customHeight="1">
      <c r="A134" s="121">
        <v>313</v>
      </c>
      <c r="B134" s="121">
        <v>313</v>
      </c>
      <c r="C134" s="120" t="s">
        <v>2243</v>
      </c>
      <c r="D134" s="121"/>
      <c r="E134" s="120"/>
      <c r="F134" s="120" t="s">
        <v>2244</v>
      </c>
      <c r="G134" s="121">
        <v>62017181</v>
      </c>
      <c r="H134" s="120" t="s">
        <v>311</v>
      </c>
      <c r="I134" s="120" t="s">
        <v>1002</v>
      </c>
      <c r="J134" s="120"/>
      <c r="K134" s="120" t="s">
        <v>204</v>
      </c>
      <c r="L134" s="120"/>
      <c r="M134" s="120"/>
      <c r="N134" s="120" t="s">
        <v>223</v>
      </c>
      <c r="O134" s="120" t="s">
        <v>338</v>
      </c>
      <c r="P134" s="124">
        <v>44279</v>
      </c>
      <c r="Q134" s="120" t="s">
        <v>1222</v>
      </c>
      <c r="R134" s="120" t="s">
        <v>886</v>
      </c>
      <c r="S134" s="120" t="s">
        <v>890</v>
      </c>
      <c r="T134" s="124">
        <v>45838</v>
      </c>
      <c r="U134" s="122">
        <v>3.3719999999999999</v>
      </c>
      <c r="V134" s="122">
        <v>21379.867859999998</v>
      </c>
      <c r="W134" s="122">
        <v>72092.914420000001</v>
      </c>
      <c r="X134" s="123">
        <v>2.3213000000000001E-2</v>
      </c>
      <c r="Y134" s="123">
        <v>1.1809999999999999E-2</v>
      </c>
      <c r="Z134" s="123">
        <v>1.1999999999999999E-3</v>
      </c>
    </row>
    <row r="135" spans="1:26" ht="15" customHeight="1">
      <c r="A135" s="121">
        <v>313</v>
      </c>
      <c r="B135" s="121">
        <v>313</v>
      </c>
      <c r="C135" s="120" t="s">
        <v>2156</v>
      </c>
      <c r="D135" s="121"/>
      <c r="E135" s="120"/>
      <c r="F135" s="120" t="s">
        <v>2245</v>
      </c>
      <c r="G135" s="121">
        <v>62010091</v>
      </c>
      <c r="H135" s="120" t="s">
        <v>311</v>
      </c>
      <c r="I135" s="120" t="s">
        <v>1006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45432</v>
      </c>
      <c r="Q135" s="120" t="s">
        <v>1222</v>
      </c>
      <c r="R135" s="120" t="s">
        <v>886</v>
      </c>
      <c r="S135" s="120" t="s">
        <v>890</v>
      </c>
      <c r="T135" s="124">
        <v>45838</v>
      </c>
      <c r="U135" s="122">
        <v>3.3719999999999999</v>
      </c>
      <c r="V135" s="122">
        <v>2572.5362500000001</v>
      </c>
      <c r="W135" s="122">
        <v>8674.5922200000005</v>
      </c>
      <c r="X135" s="123">
        <v>5.1450000000000003E-3</v>
      </c>
      <c r="Y135" s="123">
        <v>1.421E-3</v>
      </c>
      <c r="Z135" s="123">
        <v>1.44E-4</v>
      </c>
    </row>
    <row r="136" spans="1:26" ht="15" customHeight="1">
      <c r="A136" s="121">
        <v>313</v>
      </c>
      <c r="B136" s="121">
        <v>313</v>
      </c>
      <c r="C136" s="120" t="s">
        <v>2134</v>
      </c>
      <c r="D136" s="121"/>
      <c r="E136" s="120"/>
      <c r="F136" s="120" t="s">
        <v>2246</v>
      </c>
      <c r="G136" s="121">
        <v>62011335</v>
      </c>
      <c r="H136" s="120" t="s">
        <v>311</v>
      </c>
      <c r="I136" s="120" t="s">
        <v>1005</v>
      </c>
      <c r="J136" s="120"/>
      <c r="K136" s="120" t="s">
        <v>204</v>
      </c>
      <c r="L136" s="120"/>
      <c r="M136" s="120"/>
      <c r="N136" s="120" t="s">
        <v>292</v>
      </c>
      <c r="O136" s="120" t="s">
        <v>338</v>
      </c>
      <c r="P136" s="124">
        <v>38819</v>
      </c>
      <c r="Q136" s="120" t="s">
        <v>1215</v>
      </c>
      <c r="R136" s="120" t="s">
        <v>886</v>
      </c>
      <c r="S136" s="120" t="s">
        <v>890</v>
      </c>
      <c r="T136" s="124">
        <v>45838</v>
      </c>
      <c r="U136" s="122">
        <v>3.9552</v>
      </c>
      <c r="V136" s="122">
        <v>843.61815000000001</v>
      </c>
      <c r="W136" s="122">
        <v>3336.6785100000002</v>
      </c>
      <c r="X136" s="123">
        <v>6.025E-3</v>
      </c>
      <c r="Y136" s="123">
        <v>5.4600000000000004E-4</v>
      </c>
      <c r="Z136" s="123">
        <v>5.5000000000000002E-5</v>
      </c>
    </row>
    <row r="137" spans="1:26" ht="15" customHeight="1">
      <c r="A137" s="121">
        <v>313</v>
      </c>
      <c r="B137" s="121">
        <v>313</v>
      </c>
      <c r="C137" s="120" t="s">
        <v>2247</v>
      </c>
      <c r="D137" s="121"/>
      <c r="E137" s="120"/>
      <c r="F137" s="120" t="s">
        <v>2248</v>
      </c>
      <c r="G137" s="121">
        <v>41000859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211</v>
      </c>
      <c r="O137" s="120" t="s">
        <v>338</v>
      </c>
      <c r="P137" s="124">
        <v>43513</v>
      </c>
      <c r="Q137" s="120" t="s">
        <v>1215</v>
      </c>
      <c r="R137" s="120" t="s">
        <v>886</v>
      </c>
      <c r="S137" s="120" t="s">
        <v>890</v>
      </c>
      <c r="T137" s="124">
        <v>45838</v>
      </c>
      <c r="U137" s="122">
        <v>3.9552</v>
      </c>
      <c r="V137" s="122">
        <v>538.28700000000003</v>
      </c>
      <c r="W137" s="122">
        <v>2129.0327400000001</v>
      </c>
      <c r="X137" s="123">
        <v>2.6899999999999998E-4</v>
      </c>
      <c r="Y137" s="123">
        <v>3.48E-4</v>
      </c>
      <c r="Z137" s="123">
        <v>3.4999999999999997E-5</v>
      </c>
    </row>
    <row r="138" spans="1:26" ht="15" customHeight="1">
      <c r="A138" s="121">
        <v>313</v>
      </c>
      <c r="B138" s="121">
        <v>313</v>
      </c>
      <c r="C138" s="120" t="s">
        <v>2134</v>
      </c>
      <c r="D138" s="121"/>
      <c r="E138" s="120"/>
      <c r="F138" s="120" t="s">
        <v>2249</v>
      </c>
      <c r="G138" s="121">
        <v>62013578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44259</v>
      </c>
      <c r="Q138" s="120" t="s">
        <v>1222</v>
      </c>
      <c r="R138" s="120" t="s">
        <v>886</v>
      </c>
      <c r="S138" s="120" t="s">
        <v>890</v>
      </c>
      <c r="T138" s="124">
        <v>45838</v>
      </c>
      <c r="U138" s="122">
        <v>3.3719999999999999</v>
      </c>
      <c r="V138" s="122">
        <v>7874.3734700000005</v>
      </c>
      <c r="W138" s="122">
        <v>26552.387340000001</v>
      </c>
      <c r="X138" s="123">
        <v>9.3099999999999997E-4</v>
      </c>
      <c r="Y138" s="123">
        <v>4.3489999999999996E-3</v>
      </c>
      <c r="Z138" s="123">
        <v>4.4200000000000001E-4</v>
      </c>
    </row>
    <row r="139" spans="1:26" ht="15" customHeight="1">
      <c r="A139" s="121">
        <v>313</v>
      </c>
      <c r="B139" s="121">
        <v>313</v>
      </c>
      <c r="C139" s="120" t="s">
        <v>2250</v>
      </c>
      <c r="D139" s="121"/>
      <c r="E139" s="120"/>
      <c r="F139" s="120" t="s">
        <v>2251</v>
      </c>
      <c r="G139" s="121">
        <v>60294154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292</v>
      </c>
      <c r="O139" s="120" t="s">
        <v>338</v>
      </c>
      <c r="P139" s="124">
        <v>45016</v>
      </c>
      <c r="Q139" s="120" t="s">
        <v>1215</v>
      </c>
      <c r="R139" s="120" t="s">
        <v>886</v>
      </c>
      <c r="S139" s="120" t="s">
        <v>890</v>
      </c>
      <c r="T139" s="124">
        <v>45838</v>
      </c>
      <c r="U139" s="122">
        <v>3.9552</v>
      </c>
      <c r="V139" s="122">
        <v>1570.30105</v>
      </c>
      <c r="W139" s="122">
        <v>6210.8547200000003</v>
      </c>
      <c r="X139" s="123">
        <v>2.34E-4</v>
      </c>
      <c r="Y139" s="123">
        <v>1.0169999999999999E-3</v>
      </c>
      <c r="Z139" s="123">
        <v>1.03E-4</v>
      </c>
    </row>
    <row r="140" spans="1:26" ht="15" customHeight="1">
      <c r="A140" s="121">
        <v>313</v>
      </c>
      <c r="B140" s="121">
        <v>313</v>
      </c>
      <c r="C140" s="120" t="s">
        <v>2156</v>
      </c>
      <c r="D140" s="121"/>
      <c r="E140" s="120"/>
      <c r="F140" s="120" t="s">
        <v>2252</v>
      </c>
      <c r="G140" s="121">
        <v>42000908</v>
      </c>
      <c r="H140" s="120" t="s">
        <v>311</v>
      </c>
      <c r="I140" s="120" t="s">
        <v>849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44104</v>
      </c>
      <c r="Q140" s="120" t="s">
        <v>1222</v>
      </c>
      <c r="R140" s="120" t="s">
        <v>886</v>
      </c>
      <c r="S140" s="120" t="s">
        <v>890</v>
      </c>
      <c r="T140" s="124">
        <v>45838</v>
      </c>
      <c r="U140" s="122">
        <v>3.3719999999999999</v>
      </c>
      <c r="V140" s="122">
        <v>401.17552000000001</v>
      </c>
      <c r="W140" s="122">
        <v>1352.76385</v>
      </c>
      <c r="X140" s="123">
        <v>4.0099999999999999E-4</v>
      </c>
      <c r="Y140" s="123">
        <v>2.2100000000000001E-4</v>
      </c>
      <c r="Z140" s="123">
        <v>2.1999999999999999E-5</v>
      </c>
    </row>
    <row r="141" spans="1:26" ht="15" customHeight="1">
      <c r="A141" s="121">
        <v>313</v>
      </c>
      <c r="B141" s="121">
        <v>313</v>
      </c>
      <c r="C141" s="120" t="s">
        <v>2253</v>
      </c>
      <c r="D141" s="121"/>
      <c r="E141" s="120"/>
      <c r="F141" s="120" t="s">
        <v>2254</v>
      </c>
      <c r="G141" s="121">
        <v>62021597</v>
      </c>
      <c r="H141" s="120" t="s">
        <v>311</v>
      </c>
      <c r="I141" s="120" t="s">
        <v>1002</v>
      </c>
      <c r="J141" s="120"/>
      <c r="K141" s="120" t="s">
        <v>204</v>
      </c>
      <c r="L141" s="120"/>
      <c r="M141" s="120"/>
      <c r="N141" s="120" t="s">
        <v>292</v>
      </c>
      <c r="O141" s="120" t="s">
        <v>338</v>
      </c>
      <c r="P141" s="124">
        <v>45092</v>
      </c>
      <c r="Q141" s="120" t="s">
        <v>1215</v>
      </c>
      <c r="R141" s="120" t="s">
        <v>886</v>
      </c>
      <c r="S141" s="120" t="s">
        <v>890</v>
      </c>
      <c r="T141" s="124">
        <v>45838</v>
      </c>
      <c r="U141" s="122">
        <v>3.9552</v>
      </c>
      <c r="V141" s="122">
        <v>2113.49854</v>
      </c>
      <c r="W141" s="122">
        <v>8359.3094299999993</v>
      </c>
      <c r="X141" s="123">
        <v>2.1129999999999999E-3</v>
      </c>
      <c r="Y141" s="123">
        <v>1.369E-3</v>
      </c>
      <c r="Z141" s="123">
        <v>1.3899999999999999E-4</v>
      </c>
    </row>
    <row r="142" spans="1:26" ht="15" customHeight="1">
      <c r="A142" s="121">
        <v>313</v>
      </c>
      <c r="B142" s="121">
        <v>313</v>
      </c>
      <c r="C142" s="120" t="s">
        <v>2255</v>
      </c>
      <c r="D142" s="121"/>
      <c r="E142" s="120"/>
      <c r="F142" s="120" t="s">
        <v>2256</v>
      </c>
      <c r="G142" s="121">
        <v>62018288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42551</v>
      </c>
      <c r="Q142" s="120" t="s">
        <v>1222</v>
      </c>
      <c r="R142" s="120" t="s">
        <v>886</v>
      </c>
      <c r="S142" s="120" t="s">
        <v>890</v>
      </c>
      <c r="T142" s="124">
        <v>45838</v>
      </c>
      <c r="U142" s="122">
        <v>3.3719999999999999</v>
      </c>
      <c r="V142" s="122">
        <v>13344.288049999999</v>
      </c>
      <c r="W142" s="122">
        <v>44996.939299999998</v>
      </c>
      <c r="X142" s="123">
        <v>7.7399999999999995E-4</v>
      </c>
      <c r="Y142" s="123">
        <v>7.3709999999999999E-3</v>
      </c>
      <c r="Z142" s="123">
        <v>7.4899999999999999E-4</v>
      </c>
    </row>
    <row r="143" spans="1:26" ht="15" customHeight="1">
      <c r="A143" s="121">
        <v>313</v>
      </c>
      <c r="B143" s="121">
        <v>313</v>
      </c>
      <c r="C143" s="120" t="s">
        <v>2136</v>
      </c>
      <c r="D143" s="121"/>
      <c r="E143" s="120"/>
      <c r="F143" s="120" t="s">
        <v>2257</v>
      </c>
      <c r="G143" s="121">
        <v>60374196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242</v>
      </c>
      <c r="O143" s="120" t="s">
        <v>338</v>
      </c>
      <c r="P143" s="124">
        <v>41509</v>
      </c>
      <c r="Q143" s="120" t="s">
        <v>1222</v>
      </c>
      <c r="R143" s="120" t="s">
        <v>886</v>
      </c>
      <c r="S143" s="120" t="s">
        <v>890</v>
      </c>
      <c r="T143" s="124">
        <v>45838</v>
      </c>
      <c r="U143" s="122">
        <v>3.3719999999999999</v>
      </c>
      <c r="V143" s="122">
        <v>3698.0461</v>
      </c>
      <c r="W143" s="122">
        <v>12469.811449999999</v>
      </c>
      <c r="X143" s="123">
        <v>2.9989999999999999E-3</v>
      </c>
      <c r="Y143" s="123">
        <v>2.042E-3</v>
      </c>
      <c r="Z143" s="123">
        <v>2.0699999999999999E-4</v>
      </c>
    </row>
    <row r="144" spans="1:26" ht="15" customHeight="1">
      <c r="A144" s="121">
        <v>313</v>
      </c>
      <c r="B144" s="121">
        <v>313</v>
      </c>
      <c r="C144" s="120" t="s">
        <v>2147</v>
      </c>
      <c r="D144" s="121"/>
      <c r="E144" s="120"/>
      <c r="F144" s="120" t="s">
        <v>2258</v>
      </c>
      <c r="G144" s="121">
        <v>62006614</v>
      </c>
      <c r="H144" s="120" t="s">
        <v>311</v>
      </c>
      <c r="I144" s="120" t="s">
        <v>1005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41453</v>
      </c>
      <c r="Q144" s="120" t="s">
        <v>1215</v>
      </c>
      <c r="R144" s="120" t="s">
        <v>886</v>
      </c>
      <c r="S144" s="120" t="s">
        <v>890</v>
      </c>
      <c r="T144" s="124">
        <v>45838</v>
      </c>
      <c r="U144" s="122">
        <v>3.9552</v>
      </c>
      <c r="V144" s="122">
        <v>2498.3206</v>
      </c>
      <c r="W144" s="122">
        <v>9881.3576200000007</v>
      </c>
      <c r="X144" s="123">
        <v>1.0135E-2</v>
      </c>
      <c r="Y144" s="123">
        <v>1.6180000000000001E-3</v>
      </c>
      <c r="Z144" s="123">
        <v>1.64E-4</v>
      </c>
    </row>
    <row r="145" spans="1:26" ht="15" customHeight="1">
      <c r="A145" s="121">
        <v>313</v>
      </c>
      <c r="B145" s="121">
        <v>313</v>
      </c>
      <c r="C145" s="120" t="s">
        <v>2134</v>
      </c>
      <c r="D145" s="121"/>
      <c r="E145" s="120"/>
      <c r="F145" s="120" t="s">
        <v>2259</v>
      </c>
      <c r="G145" s="121">
        <v>62005616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43091</v>
      </c>
      <c r="Q145" s="120" t="s">
        <v>2260</v>
      </c>
      <c r="R145" s="120" t="s">
        <v>886</v>
      </c>
      <c r="S145" s="120" t="s">
        <v>890</v>
      </c>
      <c r="T145" s="124">
        <v>45838</v>
      </c>
      <c r="U145" s="122">
        <v>0.35499999999999998</v>
      </c>
      <c r="V145" s="122">
        <v>27635.507860000002</v>
      </c>
      <c r="W145" s="122">
        <v>9810.6052899999995</v>
      </c>
      <c r="X145" s="123">
        <v>8.763E-3</v>
      </c>
      <c r="Y145" s="123">
        <v>1.6069999999999999E-3</v>
      </c>
      <c r="Z145" s="123">
        <v>1.63E-4</v>
      </c>
    </row>
    <row r="146" spans="1:26" ht="15" customHeight="1">
      <c r="A146" s="121">
        <v>313</v>
      </c>
      <c r="B146" s="121">
        <v>313</v>
      </c>
      <c r="C146" s="120" t="s">
        <v>2171</v>
      </c>
      <c r="D146" s="121"/>
      <c r="E146" s="120"/>
      <c r="F146" s="120" t="s">
        <v>2261</v>
      </c>
      <c r="G146" s="121">
        <v>62012077</v>
      </c>
      <c r="H146" s="120" t="s">
        <v>311</v>
      </c>
      <c r="I146" s="120" t="s">
        <v>1005</v>
      </c>
      <c r="J146" s="120"/>
      <c r="K146" s="120" t="s">
        <v>204</v>
      </c>
      <c r="L146" s="120"/>
      <c r="M146" s="120"/>
      <c r="N146" s="120" t="s">
        <v>281</v>
      </c>
      <c r="O146" s="120" t="s">
        <v>338</v>
      </c>
      <c r="P146" s="124">
        <v>44824</v>
      </c>
      <c r="Q146" s="120" t="s">
        <v>1212</v>
      </c>
      <c r="R146" s="120" t="s">
        <v>886</v>
      </c>
      <c r="S146" s="120" t="s">
        <v>890</v>
      </c>
      <c r="T146" s="124">
        <v>45838</v>
      </c>
      <c r="U146" s="122">
        <v>2.4674</v>
      </c>
      <c r="V146" s="122">
        <v>14145.98914</v>
      </c>
      <c r="W146" s="122">
        <v>34903.813620000001</v>
      </c>
      <c r="X146" s="123">
        <v>1.4145E-2</v>
      </c>
      <c r="Y146" s="123">
        <v>5.7169999999999999E-3</v>
      </c>
      <c r="Z146" s="123">
        <v>5.8100000000000003E-4</v>
      </c>
    </row>
    <row r="147" spans="1:26" ht="15" customHeight="1">
      <c r="A147" s="121">
        <v>313</v>
      </c>
      <c r="B147" s="121">
        <v>313</v>
      </c>
      <c r="C147" s="120" t="s">
        <v>2262</v>
      </c>
      <c r="D147" s="121"/>
      <c r="E147" s="120"/>
      <c r="F147" s="120" t="s">
        <v>2263</v>
      </c>
      <c r="G147" s="121">
        <v>60294100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223</v>
      </c>
      <c r="O147" s="120" t="s">
        <v>338</v>
      </c>
      <c r="P147" s="124">
        <v>43553</v>
      </c>
      <c r="Q147" s="120" t="s">
        <v>1222</v>
      </c>
      <c r="R147" s="120" t="s">
        <v>886</v>
      </c>
      <c r="S147" s="120" t="s">
        <v>890</v>
      </c>
      <c r="T147" s="124">
        <v>45838</v>
      </c>
      <c r="U147" s="122">
        <v>3.3719999999999999</v>
      </c>
      <c r="V147" s="122">
        <v>409.56261999999998</v>
      </c>
      <c r="W147" s="122">
        <v>1381.0451599999999</v>
      </c>
      <c r="X147" s="123">
        <v>1.0549999999999999E-3</v>
      </c>
      <c r="Y147" s="123">
        <v>2.2599999999999999E-4</v>
      </c>
      <c r="Z147" s="123">
        <v>2.1999999999999999E-5</v>
      </c>
    </row>
    <row r="148" spans="1:26" ht="15" customHeight="1">
      <c r="A148" s="121">
        <v>313</v>
      </c>
      <c r="B148" s="121">
        <v>313</v>
      </c>
      <c r="C148" s="120" t="s">
        <v>2264</v>
      </c>
      <c r="D148" s="121"/>
      <c r="E148" s="120"/>
      <c r="F148" s="120" t="s">
        <v>2265</v>
      </c>
      <c r="G148" s="121">
        <v>41000861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292</v>
      </c>
      <c r="O148" s="120" t="s">
        <v>338</v>
      </c>
      <c r="P148" s="124">
        <v>43513</v>
      </c>
      <c r="Q148" s="120" t="s">
        <v>1215</v>
      </c>
      <c r="R148" s="120" t="s">
        <v>886</v>
      </c>
      <c r="S148" s="120" t="s">
        <v>890</v>
      </c>
      <c r="T148" s="124">
        <v>45838</v>
      </c>
      <c r="U148" s="122">
        <v>3.9552</v>
      </c>
      <c r="V148" s="122">
        <v>397.37299999999999</v>
      </c>
      <c r="W148" s="122">
        <v>1571.6896899999999</v>
      </c>
      <c r="X148" s="123">
        <v>1.9799999999999999E-4</v>
      </c>
      <c r="Y148" s="123">
        <v>2.5700000000000001E-4</v>
      </c>
      <c r="Z148" s="123">
        <v>2.5999999999999998E-5</v>
      </c>
    </row>
    <row r="149" spans="1:26" ht="15" customHeight="1">
      <c r="A149" s="121">
        <v>313</v>
      </c>
      <c r="B149" s="121">
        <v>313</v>
      </c>
      <c r="C149" s="120" t="s">
        <v>2138</v>
      </c>
      <c r="D149" s="121"/>
      <c r="E149" s="120"/>
      <c r="F149" s="120" t="s">
        <v>2266</v>
      </c>
      <c r="G149" s="121">
        <v>44000102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244</v>
      </c>
      <c r="O149" s="120" t="s">
        <v>338</v>
      </c>
      <c r="P149" s="124">
        <v>44946</v>
      </c>
      <c r="Q149" s="120" t="s">
        <v>1222</v>
      </c>
      <c r="R149" s="120" t="s">
        <v>886</v>
      </c>
      <c r="S149" s="120" t="s">
        <v>890</v>
      </c>
      <c r="T149" s="124">
        <v>45838</v>
      </c>
      <c r="U149" s="122">
        <v>3.3719999999999999</v>
      </c>
      <c r="V149" s="122">
        <v>7491.0219299999999</v>
      </c>
      <c r="W149" s="122">
        <v>25259.72595</v>
      </c>
      <c r="X149" s="123">
        <v>2.4970000000000001E-3</v>
      </c>
      <c r="Y149" s="123">
        <v>4.1380000000000002E-3</v>
      </c>
      <c r="Z149" s="123">
        <v>4.2000000000000002E-4</v>
      </c>
    </row>
    <row r="150" spans="1:26" ht="15" customHeight="1">
      <c r="A150" s="121">
        <v>313</v>
      </c>
      <c r="B150" s="121">
        <v>313</v>
      </c>
      <c r="C150" s="120" t="s">
        <v>2267</v>
      </c>
      <c r="D150" s="121"/>
      <c r="E150" s="120"/>
      <c r="F150" s="120" t="s">
        <v>2268</v>
      </c>
      <c r="G150" s="121">
        <v>62013937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267</v>
      </c>
      <c r="O150" s="120" t="s">
        <v>338</v>
      </c>
      <c r="P150" s="124">
        <v>42720</v>
      </c>
      <c r="Q150" s="120" t="s">
        <v>1222</v>
      </c>
      <c r="R150" s="120" t="s">
        <v>886</v>
      </c>
      <c r="S150" s="120" t="s">
        <v>890</v>
      </c>
      <c r="T150" s="124">
        <v>45838</v>
      </c>
      <c r="U150" s="122">
        <v>3.3719999999999999</v>
      </c>
      <c r="V150" s="122">
        <v>1777.5667100000001</v>
      </c>
      <c r="W150" s="122">
        <v>5993.9549299999999</v>
      </c>
      <c r="X150" s="123">
        <v>1.183E-3</v>
      </c>
      <c r="Y150" s="123">
        <v>9.810000000000001E-4</v>
      </c>
      <c r="Z150" s="123">
        <v>9.8999999999999994E-5</v>
      </c>
    </row>
    <row r="151" spans="1:26" ht="15" customHeight="1">
      <c r="A151" s="121">
        <v>313</v>
      </c>
      <c r="B151" s="121">
        <v>313</v>
      </c>
      <c r="C151" s="120" t="s">
        <v>2200</v>
      </c>
      <c r="D151" s="121"/>
      <c r="E151" s="120"/>
      <c r="F151" s="120" t="s">
        <v>2269</v>
      </c>
      <c r="G151" s="121">
        <v>60415759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295</v>
      </c>
      <c r="O151" s="120" t="s">
        <v>338</v>
      </c>
      <c r="P151" s="124">
        <v>44357</v>
      </c>
      <c r="Q151" s="120" t="s">
        <v>1222</v>
      </c>
      <c r="R151" s="120" t="s">
        <v>886</v>
      </c>
      <c r="S151" s="120" t="s">
        <v>890</v>
      </c>
      <c r="T151" s="124">
        <v>45838</v>
      </c>
      <c r="U151" s="122">
        <v>3.3719999999999999</v>
      </c>
      <c r="V151" s="122">
        <v>7985.8981299999996</v>
      </c>
      <c r="W151" s="122">
        <v>26928.448499999999</v>
      </c>
      <c r="X151" s="123">
        <v>1.2279999999999999E-3</v>
      </c>
      <c r="Y151" s="123">
        <v>4.411E-3</v>
      </c>
      <c r="Z151" s="123">
        <v>4.4799999999999999E-4</v>
      </c>
    </row>
    <row r="152" spans="1:26" ht="15" customHeight="1">
      <c r="A152" s="121">
        <v>313</v>
      </c>
      <c r="B152" s="121">
        <v>313</v>
      </c>
      <c r="C152" s="120" t="s">
        <v>2069</v>
      </c>
      <c r="D152" s="121"/>
      <c r="E152" s="120"/>
      <c r="F152" s="120" t="s">
        <v>2270</v>
      </c>
      <c r="G152" s="121">
        <v>9840773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203</v>
      </c>
      <c r="O152" s="120" t="s">
        <v>338</v>
      </c>
      <c r="P152" s="124">
        <v>44789</v>
      </c>
      <c r="Q152" s="120" t="s">
        <v>1222</v>
      </c>
      <c r="R152" s="120" t="s">
        <v>886</v>
      </c>
      <c r="S152" s="120" t="s">
        <v>890</v>
      </c>
      <c r="T152" s="124">
        <v>45838</v>
      </c>
      <c r="U152" s="122">
        <v>3.3719999999999999</v>
      </c>
      <c r="V152" s="122">
        <v>25.862079999999999</v>
      </c>
      <c r="W152" s="122">
        <v>87.20693</v>
      </c>
      <c r="X152" s="123">
        <v>2.3499999999999999E-4</v>
      </c>
      <c r="Y152" s="123">
        <v>1.4E-5</v>
      </c>
      <c r="Z152" s="123">
        <v>9.9999999999999995E-7</v>
      </c>
    </row>
    <row r="153" spans="1:26" ht="15" customHeight="1">
      <c r="A153" s="121">
        <v>313</v>
      </c>
      <c r="B153" s="121">
        <v>313</v>
      </c>
      <c r="C153" s="120" t="s">
        <v>2138</v>
      </c>
      <c r="D153" s="121"/>
      <c r="E153" s="120"/>
      <c r="F153" s="120" t="s">
        <v>2271</v>
      </c>
      <c r="G153" s="121">
        <v>44000110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232</v>
      </c>
      <c r="O153" s="120" t="s">
        <v>338</v>
      </c>
      <c r="P153" s="124">
        <v>45565</v>
      </c>
      <c r="Q153" s="120" t="s">
        <v>1222</v>
      </c>
      <c r="R153" s="120" t="s">
        <v>886</v>
      </c>
      <c r="S153" s="120" t="s">
        <v>890</v>
      </c>
      <c r="T153" s="124">
        <v>45838</v>
      </c>
      <c r="U153" s="122">
        <v>3.3719999999999999</v>
      </c>
      <c r="V153" s="122">
        <v>4767.9941099999996</v>
      </c>
      <c r="W153" s="122">
        <v>16077.67614</v>
      </c>
      <c r="X153" s="123">
        <v>7.8999999999999996E-5</v>
      </c>
      <c r="Y153" s="123">
        <v>2.6329999999999999E-3</v>
      </c>
      <c r="Z153" s="123">
        <v>2.6699999999999998E-4</v>
      </c>
    </row>
    <row r="154" spans="1:26" ht="15" customHeight="1">
      <c r="A154" s="121">
        <v>313</v>
      </c>
      <c r="B154" s="121">
        <v>313</v>
      </c>
      <c r="C154" s="120" t="s">
        <v>2152</v>
      </c>
      <c r="D154" s="121"/>
      <c r="E154" s="120"/>
      <c r="F154" s="120" t="s">
        <v>2272</v>
      </c>
      <c r="G154" s="121">
        <v>60398856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295</v>
      </c>
      <c r="O154" s="120" t="s">
        <v>338</v>
      </c>
      <c r="P154" s="124">
        <v>44319</v>
      </c>
      <c r="Q154" s="120" t="s">
        <v>1222</v>
      </c>
      <c r="R154" s="120" t="s">
        <v>886</v>
      </c>
      <c r="S154" s="120" t="s">
        <v>890</v>
      </c>
      <c r="T154" s="124">
        <v>45838</v>
      </c>
      <c r="U154" s="122">
        <v>3.3719999999999999</v>
      </c>
      <c r="V154" s="122">
        <v>2262.4870799999999</v>
      </c>
      <c r="W154" s="122">
        <v>7629.1064200000001</v>
      </c>
      <c r="X154" s="123">
        <v>9.8900000000000008E-4</v>
      </c>
      <c r="Y154" s="123">
        <v>1.2489999999999999E-3</v>
      </c>
      <c r="Z154" s="123">
        <v>1.27E-4</v>
      </c>
    </row>
    <row r="155" spans="1:26" ht="15" customHeight="1">
      <c r="A155" s="121">
        <v>313</v>
      </c>
      <c r="B155" s="121">
        <v>313</v>
      </c>
      <c r="C155" s="120" t="s">
        <v>2273</v>
      </c>
      <c r="D155" s="121"/>
      <c r="E155" s="120"/>
      <c r="F155" s="120" t="s">
        <v>2274</v>
      </c>
      <c r="G155" s="121">
        <v>62021902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223</v>
      </c>
      <c r="O155" s="120" t="s">
        <v>338</v>
      </c>
      <c r="P155" s="124">
        <v>45545</v>
      </c>
      <c r="Q155" s="120" t="s">
        <v>1222</v>
      </c>
      <c r="R155" s="120" t="s">
        <v>886</v>
      </c>
      <c r="S155" s="120" t="s">
        <v>890</v>
      </c>
      <c r="T155" s="124">
        <v>45838</v>
      </c>
      <c r="U155" s="122">
        <v>3.3719999999999999</v>
      </c>
      <c r="V155" s="122">
        <v>3049.68687</v>
      </c>
      <c r="W155" s="122">
        <v>10283.544110000001</v>
      </c>
      <c r="X155" s="123">
        <v>1.108E-3</v>
      </c>
      <c r="Y155" s="123">
        <v>1.684E-3</v>
      </c>
      <c r="Z155" s="123">
        <v>1.7100000000000001E-4</v>
      </c>
    </row>
    <row r="156" spans="1:26" ht="15" customHeight="1">
      <c r="A156" s="121">
        <v>313</v>
      </c>
      <c r="B156" s="121">
        <v>313</v>
      </c>
      <c r="C156" s="120" t="s">
        <v>2275</v>
      </c>
      <c r="D156" s="121"/>
      <c r="E156" s="120"/>
      <c r="F156" s="120" t="s">
        <v>2276</v>
      </c>
      <c r="G156" s="121">
        <v>41000842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295</v>
      </c>
      <c r="O156" s="120" t="s">
        <v>338</v>
      </c>
      <c r="P156" s="124">
        <v>43513</v>
      </c>
      <c r="Q156" s="120" t="s">
        <v>1215</v>
      </c>
      <c r="R156" s="120" t="s">
        <v>886</v>
      </c>
      <c r="S156" s="120" t="s">
        <v>890</v>
      </c>
      <c r="T156" s="124">
        <v>45838</v>
      </c>
      <c r="U156" s="122">
        <v>3.9552</v>
      </c>
      <c r="V156" s="122">
        <v>289.05</v>
      </c>
      <c r="W156" s="122">
        <v>1143.25056</v>
      </c>
      <c r="X156" s="123">
        <v>2.8899999999999998E-4</v>
      </c>
      <c r="Y156" s="123">
        <v>1.8699999999999999E-4</v>
      </c>
      <c r="Z156" s="123">
        <v>1.9000000000000001E-5</v>
      </c>
    </row>
    <row r="157" spans="1:26" ht="15" customHeight="1">
      <c r="A157" s="121">
        <v>313</v>
      </c>
      <c r="B157" s="121">
        <v>313</v>
      </c>
      <c r="C157" s="120" t="s">
        <v>2277</v>
      </c>
      <c r="D157" s="121"/>
      <c r="E157" s="120"/>
      <c r="F157" s="120" t="s">
        <v>2278</v>
      </c>
      <c r="G157" s="121">
        <v>62013926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43398</v>
      </c>
      <c r="Q157" s="120" t="s">
        <v>1222</v>
      </c>
      <c r="R157" s="120" t="s">
        <v>886</v>
      </c>
      <c r="S157" s="120" t="s">
        <v>890</v>
      </c>
      <c r="T157" s="124">
        <v>45838</v>
      </c>
      <c r="U157" s="122">
        <v>3.3719999999999999</v>
      </c>
      <c r="V157" s="122">
        <v>3519.1356599999999</v>
      </c>
      <c r="W157" s="122">
        <v>11866.525439999999</v>
      </c>
      <c r="X157" s="123">
        <v>5.7399999999999997E-4</v>
      </c>
      <c r="Y157" s="123">
        <v>1.9430000000000001E-3</v>
      </c>
      <c r="Z157" s="123">
        <v>1.9699999999999999E-4</v>
      </c>
    </row>
    <row r="158" spans="1:26" ht="15" customHeight="1">
      <c r="A158" s="121">
        <v>313</v>
      </c>
      <c r="B158" s="121">
        <v>313</v>
      </c>
      <c r="C158" s="120" t="s">
        <v>2279</v>
      </c>
      <c r="D158" s="121"/>
      <c r="E158" s="120"/>
      <c r="F158" s="120" t="s">
        <v>2280</v>
      </c>
      <c r="G158" s="121">
        <v>60385264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45446</v>
      </c>
      <c r="Q158" s="120" t="s">
        <v>1215</v>
      </c>
      <c r="R158" s="120" t="s">
        <v>886</v>
      </c>
      <c r="S158" s="120" t="s">
        <v>890</v>
      </c>
      <c r="T158" s="124">
        <v>45838</v>
      </c>
      <c r="U158" s="122">
        <v>3.9552</v>
      </c>
      <c r="V158" s="122">
        <v>4531.4238999999998</v>
      </c>
      <c r="W158" s="122">
        <v>17922.68779</v>
      </c>
      <c r="X158" s="123">
        <v>1.294E-3</v>
      </c>
      <c r="Y158" s="123">
        <v>2.9359999999999998E-3</v>
      </c>
      <c r="Z158" s="123">
        <v>2.9799999999999998E-4</v>
      </c>
    </row>
    <row r="159" spans="1:26" ht="15" customHeight="1">
      <c r="A159" s="121">
        <v>313</v>
      </c>
      <c r="B159" s="121">
        <v>313</v>
      </c>
      <c r="C159" s="120" t="s">
        <v>2138</v>
      </c>
      <c r="D159" s="121"/>
      <c r="E159" s="120"/>
      <c r="F159" s="120" t="s">
        <v>2281</v>
      </c>
      <c r="G159" s="121">
        <v>44000104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280</v>
      </c>
      <c r="O159" s="120" t="s">
        <v>338</v>
      </c>
      <c r="P159" s="124">
        <v>44946</v>
      </c>
      <c r="Q159" s="120" t="s">
        <v>1222</v>
      </c>
      <c r="R159" s="120" t="s">
        <v>886</v>
      </c>
      <c r="S159" s="120" t="s">
        <v>890</v>
      </c>
      <c r="T159" s="124">
        <v>45838</v>
      </c>
      <c r="U159" s="122">
        <v>3.3719999999999999</v>
      </c>
      <c r="V159" s="122">
        <v>6732.0965299999998</v>
      </c>
      <c r="W159" s="122">
        <v>22700.629499999999</v>
      </c>
      <c r="X159" s="123">
        <v>2.2439999999999999E-3</v>
      </c>
      <c r="Y159" s="123">
        <v>3.718E-3</v>
      </c>
      <c r="Z159" s="123">
        <v>3.7800000000000003E-4</v>
      </c>
    </row>
    <row r="160" spans="1:26" ht="15" customHeight="1">
      <c r="A160" s="121">
        <v>313</v>
      </c>
      <c r="B160" s="121">
        <v>313</v>
      </c>
      <c r="C160" s="120" t="s">
        <v>2282</v>
      </c>
      <c r="D160" s="121"/>
      <c r="E160" s="120"/>
      <c r="F160" s="120" t="s">
        <v>2283</v>
      </c>
      <c r="G160" s="121">
        <v>60346236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223</v>
      </c>
      <c r="O160" s="120" t="s">
        <v>338</v>
      </c>
      <c r="P160" s="124">
        <v>40999</v>
      </c>
      <c r="Q160" s="120" t="s">
        <v>1222</v>
      </c>
      <c r="R160" s="120" t="s">
        <v>886</v>
      </c>
      <c r="S160" s="120" t="s">
        <v>890</v>
      </c>
      <c r="T160" s="124">
        <v>45838</v>
      </c>
      <c r="U160" s="122">
        <v>3.3719999999999999</v>
      </c>
      <c r="V160" s="122">
        <v>6234.6785300000001</v>
      </c>
      <c r="W160" s="122">
        <v>21023.33599</v>
      </c>
      <c r="X160" s="123">
        <v>9.7490000000000007E-3</v>
      </c>
      <c r="Y160" s="123">
        <v>3.444E-3</v>
      </c>
      <c r="Z160" s="123">
        <v>3.5E-4</v>
      </c>
    </row>
    <row r="161" spans="1:26" ht="15" customHeight="1">
      <c r="A161" s="121">
        <v>313</v>
      </c>
      <c r="B161" s="121">
        <v>313</v>
      </c>
      <c r="C161" s="120" t="s">
        <v>2132</v>
      </c>
      <c r="D161" s="121"/>
      <c r="E161" s="120"/>
      <c r="F161" s="120" t="s">
        <v>2284</v>
      </c>
      <c r="G161" s="121">
        <v>60413220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288</v>
      </c>
      <c r="O161" s="120" t="s">
        <v>338</v>
      </c>
      <c r="P161" s="124">
        <v>44560</v>
      </c>
      <c r="Q161" s="120" t="s">
        <v>1222</v>
      </c>
      <c r="R161" s="120" t="s">
        <v>886</v>
      </c>
      <c r="S161" s="120" t="s">
        <v>890</v>
      </c>
      <c r="T161" s="124">
        <v>45838</v>
      </c>
      <c r="U161" s="122">
        <v>3.3719999999999999</v>
      </c>
      <c r="V161" s="122">
        <v>7145.2022500000003</v>
      </c>
      <c r="W161" s="122">
        <v>24093.62199</v>
      </c>
      <c r="X161" s="123">
        <v>2.7480999999999998E-2</v>
      </c>
      <c r="Y161" s="123">
        <v>3.9459999999999999E-3</v>
      </c>
      <c r="Z161" s="123">
        <v>4.0099999999999999E-4</v>
      </c>
    </row>
    <row r="162" spans="1:26" ht="15" customHeight="1">
      <c r="A162" s="121">
        <v>313</v>
      </c>
      <c r="B162" s="121">
        <v>313</v>
      </c>
      <c r="C162" s="120" t="s">
        <v>2136</v>
      </c>
      <c r="D162" s="121"/>
      <c r="E162" s="120"/>
      <c r="F162" s="120" t="s">
        <v>2285</v>
      </c>
      <c r="G162" s="121">
        <v>62010087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242</v>
      </c>
      <c r="O162" s="120" t="s">
        <v>338</v>
      </c>
      <c r="P162" s="124">
        <v>44923</v>
      </c>
      <c r="Q162" s="120" t="s">
        <v>1222</v>
      </c>
      <c r="R162" s="120" t="s">
        <v>886</v>
      </c>
      <c r="S162" s="120" t="s">
        <v>890</v>
      </c>
      <c r="T162" s="124">
        <v>45838</v>
      </c>
      <c r="U162" s="122">
        <v>3.3719999999999999</v>
      </c>
      <c r="V162" s="122">
        <v>1886.38301</v>
      </c>
      <c r="W162" s="122">
        <v>6360.8835200000003</v>
      </c>
      <c r="X162" s="123">
        <v>9.4499999999999998E-4</v>
      </c>
      <c r="Y162" s="123">
        <v>1.042E-3</v>
      </c>
      <c r="Z162" s="123">
        <v>1.05E-4</v>
      </c>
    </row>
    <row r="163" spans="1:26" ht="15" customHeight="1">
      <c r="A163" s="121">
        <v>313</v>
      </c>
      <c r="B163" s="121">
        <v>313</v>
      </c>
      <c r="C163" s="120" t="s">
        <v>2132</v>
      </c>
      <c r="D163" s="121"/>
      <c r="E163" s="120"/>
      <c r="F163" s="120" t="s">
        <v>2286</v>
      </c>
      <c r="G163" s="121">
        <v>62021027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43203</v>
      </c>
      <c r="Q163" s="120" t="s">
        <v>1222</v>
      </c>
      <c r="R163" s="120" t="s">
        <v>886</v>
      </c>
      <c r="S163" s="120" t="s">
        <v>890</v>
      </c>
      <c r="T163" s="124">
        <v>45838</v>
      </c>
      <c r="U163" s="122">
        <v>3.3719999999999999</v>
      </c>
      <c r="V163" s="122">
        <v>14708.800010000001</v>
      </c>
      <c r="W163" s="122">
        <v>49598.073629999999</v>
      </c>
      <c r="X163" s="123">
        <v>8.2769999999999996E-3</v>
      </c>
      <c r="Y163" s="123">
        <v>8.1250000000000003E-3</v>
      </c>
      <c r="Z163" s="123">
        <v>8.25E-4</v>
      </c>
    </row>
    <row r="164" spans="1:26" ht="15" customHeight="1">
      <c r="A164" s="121">
        <v>313</v>
      </c>
      <c r="B164" s="121">
        <v>313</v>
      </c>
      <c r="C164" s="120" t="s">
        <v>2287</v>
      </c>
      <c r="D164" s="121"/>
      <c r="E164" s="120"/>
      <c r="F164" s="120" t="s">
        <v>2288</v>
      </c>
      <c r="G164" s="121">
        <v>60318607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43485</v>
      </c>
      <c r="Q164" s="120" t="s">
        <v>1222</v>
      </c>
      <c r="R164" s="120" t="s">
        <v>886</v>
      </c>
      <c r="S164" s="120" t="s">
        <v>890</v>
      </c>
      <c r="T164" s="124">
        <v>45838</v>
      </c>
      <c r="U164" s="122">
        <v>3.3719999999999999</v>
      </c>
      <c r="V164" s="122">
        <v>5.6554099999999998</v>
      </c>
      <c r="W164" s="122">
        <v>19.070049999999998</v>
      </c>
      <c r="X164" s="123">
        <v>6.9999999999999999E-6</v>
      </c>
      <c r="Y164" s="123">
        <v>3.0000000000000001E-6</v>
      </c>
      <c r="Z164" s="123">
        <v>0</v>
      </c>
    </row>
    <row r="165" spans="1:26" ht="15" customHeight="1">
      <c r="A165" s="121">
        <v>313</v>
      </c>
      <c r="B165" s="121">
        <v>313</v>
      </c>
      <c r="C165" s="120" t="s">
        <v>2289</v>
      </c>
      <c r="D165" s="121"/>
      <c r="E165" s="120"/>
      <c r="F165" s="120" t="s">
        <v>2290</v>
      </c>
      <c r="G165" s="121">
        <v>60416534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223</v>
      </c>
      <c r="O165" s="120" t="s">
        <v>338</v>
      </c>
      <c r="P165" s="124">
        <v>39630</v>
      </c>
      <c r="Q165" s="120" t="s">
        <v>1222</v>
      </c>
      <c r="R165" s="120" t="s">
        <v>886</v>
      </c>
      <c r="S165" s="120" t="s">
        <v>890</v>
      </c>
      <c r="T165" s="124">
        <v>45838</v>
      </c>
      <c r="U165" s="122">
        <v>3.3719999999999999</v>
      </c>
      <c r="V165" s="122">
        <v>4708.62392</v>
      </c>
      <c r="W165" s="122">
        <v>15877.479859999999</v>
      </c>
      <c r="X165" s="123">
        <v>9.8499999999999998E-4</v>
      </c>
      <c r="Y165" s="123">
        <v>2.601E-3</v>
      </c>
      <c r="Z165" s="123">
        <v>2.6400000000000002E-4</v>
      </c>
    </row>
    <row r="166" spans="1:26" ht="15" customHeight="1">
      <c r="A166" s="121">
        <v>313</v>
      </c>
      <c r="B166" s="121">
        <v>313</v>
      </c>
      <c r="C166" s="120" t="s">
        <v>2291</v>
      </c>
      <c r="D166" s="121"/>
      <c r="E166" s="120"/>
      <c r="F166" s="120" t="s">
        <v>2292</v>
      </c>
      <c r="G166" s="121">
        <v>62020847</v>
      </c>
      <c r="H166" s="120" t="s">
        <v>311</v>
      </c>
      <c r="I166" s="120" t="s">
        <v>1005</v>
      </c>
      <c r="J166" s="120"/>
      <c r="K166" s="120" t="s">
        <v>204</v>
      </c>
      <c r="L166" s="120"/>
      <c r="M166" s="120"/>
      <c r="N166" s="120" t="s">
        <v>223</v>
      </c>
      <c r="O166" s="120" t="s">
        <v>338</v>
      </c>
      <c r="P166" s="124">
        <v>42433</v>
      </c>
      <c r="Q166" s="120" t="s">
        <v>1222</v>
      </c>
      <c r="R166" s="120" t="s">
        <v>886</v>
      </c>
      <c r="S166" s="120" t="s">
        <v>890</v>
      </c>
      <c r="T166" s="124">
        <v>45838</v>
      </c>
      <c r="U166" s="122">
        <v>3.3719999999999999</v>
      </c>
      <c r="V166" s="122">
        <v>17549.291290000001</v>
      </c>
      <c r="W166" s="122">
        <v>59176.21024</v>
      </c>
      <c r="X166" s="123">
        <v>2.3399E-2</v>
      </c>
      <c r="Y166" s="123">
        <v>9.6939999999999995E-3</v>
      </c>
      <c r="Z166" s="123">
        <v>9.8499999999999998E-4</v>
      </c>
    </row>
    <row r="167" spans="1:26" ht="15" customHeight="1">
      <c r="A167" s="121">
        <v>313</v>
      </c>
      <c r="B167" s="121">
        <v>313</v>
      </c>
      <c r="C167" s="120" t="s">
        <v>2156</v>
      </c>
      <c r="D167" s="121"/>
      <c r="E167" s="120"/>
      <c r="F167" s="120" t="s">
        <v>2293</v>
      </c>
      <c r="G167" s="121">
        <v>42000906</v>
      </c>
      <c r="H167" s="120" t="s">
        <v>311</v>
      </c>
      <c r="I167" s="120" t="s">
        <v>1006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43601</v>
      </c>
      <c r="Q167" s="120" t="s">
        <v>1222</v>
      </c>
      <c r="R167" s="120" t="s">
        <v>886</v>
      </c>
      <c r="S167" s="120" t="s">
        <v>890</v>
      </c>
      <c r="T167" s="124">
        <v>45838</v>
      </c>
      <c r="U167" s="122">
        <v>3.3719999999999999</v>
      </c>
      <c r="V167" s="122">
        <v>1685.9213999999999</v>
      </c>
      <c r="W167" s="122">
        <v>5684.9269599999998</v>
      </c>
      <c r="X167" s="123">
        <v>5.6099999999999998E-4</v>
      </c>
      <c r="Y167" s="123">
        <v>9.3099999999999997E-4</v>
      </c>
      <c r="Z167" s="123">
        <v>9.3999999999999994E-5</v>
      </c>
    </row>
    <row r="168" spans="1:26" ht="15" customHeight="1">
      <c r="A168" s="121">
        <v>313</v>
      </c>
      <c r="B168" s="121">
        <v>313</v>
      </c>
      <c r="C168" s="120" t="s">
        <v>2134</v>
      </c>
      <c r="D168" s="121"/>
      <c r="E168" s="120"/>
      <c r="F168" s="120" t="s">
        <v>2294</v>
      </c>
      <c r="G168" s="121">
        <v>62013940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303</v>
      </c>
      <c r="O168" s="120" t="s">
        <v>338</v>
      </c>
      <c r="P168" s="124">
        <v>39054</v>
      </c>
      <c r="Q168" s="120" t="s">
        <v>1222</v>
      </c>
      <c r="R168" s="120" t="s">
        <v>886</v>
      </c>
      <c r="S168" s="120" t="s">
        <v>890</v>
      </c>
      <c r="T168" s="124">
        <v>45838</v>
      </c>
      <c r="U168" s="122">
        <v>3.3719999999999999</v>
      </c>
      <c r="V168" s="122">
        <v>216.53625</v>
      </c>
      <c r="W168" s="122">
        <v>730.16025000000002</v>
      </c>
      <c r="X168" s="123">
        <v>1.15E-4</v>
      </c>
      <c r="Y168" s="123">
        <v>1.1900000000000001E-4</v>
      </c>
      <c r="Z168" s="123">
        <v>1.2E-5</v>
      </c>
    </row>
    <row r="169" spans="1:26" ht="15" customHeight="1">
      <c r="A169" s="121">
        <v>313</v>
      </c>
      <c r="B169" s="121">
        <v>313</v>
      </c>
      <c r="C169" s="120" t="s">
        <v>2138</v>
      </c>
      <c r="D169" s="121"/>
      <c r="E169" s="120"/>
      <c r="F169" s="120" t="s">
        <v>2295</v>
      </c>
      <c r="G169" s="121">
        <v>43000915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280</v>
      </c>
      <c r="O169" s="120" t="s">
        <v>338</v>
      </c>
      <c r="P169" s="124">
        <v>44054</v>
      </c>
      <c r="Q169" s="120" t="s">
        <v>1222</v>
      </c>
      <c r="R169" s="120" t="s">
        <v>886</v>
      </c>
      <c r="S169" s="120" t="s">
        <v>890</v>
      </c>
      <c r="T169" s="124">
        <v>45838</v>
      </c>
      <c r="U169" s="122">
        <v>3.3719999999999999</v>
      </c>
      <c r="V169" s="122">
        <v>765.88400000000001</v>
      </c>
      <c r="W169" s="122">
        <v>2582.5608499999998</v>
      </c>
      <c r="X169" s="123">
        <v>3.8200000000000002E-4</v>
      </c>
      <c r="Y169" s="123">
        <v>4.2299999999999998E-4</v>
      </c>
      <c r="Z169" s="123">
        <v>4.3000000000000002E-5</v>
      </c>
    </row>
    <row r="170" spans="1:26" ht="15" customHeight="1">
      <c r="A170" s="121">
        <v>313</v>
      </c>
      <c r="B170" s="121">
        <v>313</v>
      </c>
      <c r="C170" s="120" t="s">
        <v>2296</v>
      </c>
      <c r="D170" s="121"/>
      <c r="E170" s="120"/>
      <c r="F170" s="120" t="s">
        <v>2297</v>
      </c>
      <c r="G170" s="121">
        <v>9840826</v>
      </c>
      <c r="H170" s="120" t="s">
        <v>311</v>
      </c>
      <c r="I170" s="120" t="s">
        <v>1006</v>
      </c>
      <c r="J170" s="120"/>
      <c r="K170" s="120" t="s">
        <v>204</v>
      </c>
      <c r="L170" s="120"/>
      <c r="M170" s="120"/>
      <c r="N170" s="120" t="s">
        <v>203</v>
      </c>
      <c r="O170" s="120" t="s">
        <v>338</v>
      </c>
      <c r="P170" s="124">
        <v>42360</v>
      </c>
      <c r="Q170" s="120" t="s">
        <v>1222</v>
      </c>
      <c r="R170" s="120" t="s">
        <v>886</v>
      </c>
      <c r="S170" s="120" t="s">
        <v>890</v>
      </c>
      <c r="T170" s="124">
        <v>45838</v>
      </c>
      <c r="U170" s="122">
        <v>3.3719999999999999</v>
      </c>
      <c r="V170" s="122">
        <v>1031.797</v>
      </c>
      <c r="W170" s="122">
        <v>3479.2194800000002</v>
      </c>
      <c r="X170" s="123">
        <v>6.8529999999999997E-3</v>
      </c>
      <c r="Y170" s="123">
        <v>5.6899999999999995E-4</v>
      </c>
      <c r="Z170" s="123">
        <v>5.7000000000000003E-5</v>
      </c>
    </row>
    <row r="171" spans="1:26" ht="15" customHeight="1">
      <c r="A171" s="121">
        <v>313</v>
      </c>
      <c r="B171" s="121">
        <v>313</v>
      </c>
      <c r="C171" s="120" t="s">
        <v>2298</v>
      </c>
      <c r="D171" s="121"/>
      <c r="E171" s="120"/>
      <c r="F171" s="120" t="s">
        <v>2299</v>
      </c>
      <c r="G171" s="121">
        <v>60415767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295</v>
      </c>
      <c r="O171" s="120" t="s">
        <v>338</v>
      </c>
      <c r="P171" s="124">
        <v>43830</v>
      </c>
      <c r="Q171" s="120" t="s">
        <v>1222</v>
      </c>
      <c r="R171" s="120" t="s">
        <v>886</v>
      </c>
      <c r="S171" s="120" t="s">
        <v>890</v>
      </c>
      <c r="T171" s="124">
        <v>45838</v>
      </c>
      <c r="U171" s="122">
        <v>3.3719999999999999</v>
      </c>
      <c r="V171" s="122">
        <v>5069.3396899999998</v>
      </c>
      <c r="W171" s="122">
        <v>17093.813440000002</v>
      </c>
      <c r="X171" s="123">
        <v>3.3424000000000002E-2</v>
      </c>
      <c r="Y171" s="123">
        <v>2.8E-3</v>
      </c>
      <c r="Z171" s="123">
        <v>2.8400000000000002E-4</v>
      </c>
    </row>
    <row r="172" spans="1:26" ht="15" customHeight="1">
      <c r="A172" s="121">
        <v>313</v>
      </c>
      <c r="B172" s="121">
        <v>313</v>
      </c>
      <c r="C172" s="120" t="s">
        <v>2134</v>
      </c>
      <c r="D172" s="121"/>
      <c r="E172" s="120"/>
      <c r="F172" s="120" t="s">
        <v>2300</v>
      </c>
      <c r="G172" s="121">
        <v>62015846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44910</v>
      </c>
      <c r="Q172" s="120" t="s">
        <v>1215</v>
      </c>
      <c r="R172" s="120" t="s">
        <v>886</v>
      </c>
      <c r="S172" s="120" t="s">
        <v>890</v>
      </c>
      <c r="T172" s="124">
        <v>45838</v>
      </c>
      <c r="U172" s="122">
        <v>3.9552</v>
      </c>
      <c r="V172" s="122">
        <v>2547.67416</v>
      </c>
      <c r="W172" s="122">
        <v>10076.56085</v>
      </c>
      <c r="X172" s="123">
        <v>4.84E-4</v>
      </c>
      <c r="Y172" s="123">
        <v>1.65E-3</v>
      </c>
      <c r="Z172" s="123">
        <v>1.6699999999999999E-4</v>
      </c>
    </row>
    <row r="173" spans="1:26" ht="15" customHeight="1">
      <c r="A173" s="121">
        <v>313</v>
      </c>
      <c r="B173" s="121">
        <v>313</v>
      </c>
      <c r="C173" s="120" t="s">
        <v>2134</v>
      </c>
      <c r="D173" s="121"/>
      <c r="E173" s="120"/>
      <c r="F173" s="120" t="s">
        <v>2301</v>
      </c>
      <c r="G173" s="121">
        <v>62011333</v>
      </c>
      <c r="H173" s="120" t="s">
        <v>311</v>
      </c>
      <c r="I173" s="120" t="s">
        <v>1005</v>
      </c>
      <c r="J173" s="120"/>
      <c r="K173" s="120" t="s">
        <v>204</v>
      </c>
      <c r="L173" s="120"/>
      <c r="M173" s="120"/>
      <c r="N173" s="120" t="s">
        <v>295</v>
      </c>
      <c r="O173" s="120" t="s">
        <v>338</v>
      </c>
      <c r="P173" s="124">
        <v>44769</v>
      </c>
      <c r="Q173" s="120" t="s">
        <v>1222</v>
      </c>
      <c r="R173" s="120" t="s">
        <v>886</v>
      </c>
      <c r="S173" s="120" t="s">
        <v>890</v>
      </c>
      <c r="T173" s="124">
        <v>45838</v>
      </c>
      <c r="U173" s="122">
        <v>3.3719999999999999</v>
      </c>
      <c r="V173" s="122">
        <v>14730.23511</v>
      </c>
      <c r="W173" s="122">
        <v>49670.352789999997</v>
      </c>
      <c r="X173" s="123">
        <v>9.8200000000000002E-4</v>
      </c>
      <c r="Y173" s="123">
        <v>8.1359999999999991E-3</v>
      </c>
      <c r="Z173" s="123">
        <v>8.2700000000000004E-4</v>
      </c>
    </row>
    <row r="174" spans="1:26" ht="15" customHeight="1">
      <c r="A174" s="121">
        <v>313</v>
      </c>
      <c r="B174" s="121">
        <v>313</v>
      </c>
      <c r="C174" s="120" t="s">
        <v>2302</v>
      </c>
      <c r="D174" s="121"/>
      <c r="E174" s="120"/>
      <c r="F174" s="120" t="s">
        <v>2303</v>
      </c>
      <c r="G174" s="121">
        <v>41000860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292</v>
      </c>
      <c r="O174" s="120" t="s">
        <v>338</v>
      </c>
      <c r="P174" s="124">
        <v>43513</v>
      </c>
      <c r="Q174" s="120" t="s">
        <v>1215</v>
      </c>
      <c r="R174" s="120" t="s">
        <v>886</v>
      </c>
      <c r="S174" s="120" t="s">
        <v>890</v>
      </c>
      <c r="T174" s="124">
        <v>45838</v>
      </c>
      <c r="U174" s="122">
        <v>3.9552</v>
      </c>
      <c r="V174" s="122">
        <v>240.261</v>
      </c>
      <c r="W174" s="122">
        <v>950.28030999999999</v>
      </c>
      <c r="X174" s="123">
        <v>1.2E-4</v>
      </c>
      <c r="Y174" s="123">
        <v>1.55E-4</v>
      </c>
      <c r="Z174" s="123">
        <v>1.5E-5</v>
      </c>
    </row>
    <row r="175" spans="1:26" ht="15" customHeight="1">
      <c r="A175" s="121">
        <v>313</v>
      </c>
      <c r="B175" s="121">
        <v>313</v>
      </c>
      <c r="C175" s="120" t="s">
        <v>2132</v>
      </c>
      <c r="D175" s="121"/>
      <c r="E175" s="120"/>
      <c r="F175" s="120" t="s">
        <v>2304</v>
      </c>
      <c r="G175" s="121">
        <v>62007075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295</v>
      </c>
      <c r="O175" s="120" t="s">
        <v>338</v>
      </c>
      <c r="P175" s="124">
        <v>39070</v>
      </c>
      <c r="Q175" s="120" t="s">
        <v>1222</v>
      </c>
      <c r="R175" s="120" t="s">
        <v>886</v>
      </c>
      <c r="S175" s="120" t="s">
        <v>890</v>
      </c>
      <c r="T175" s="124">
        <v>45838</v>
      </c>
      <c r="U175" s="122">
        <v>3.3719999999999999</v>
      </c>
      <c r="V175" s="122">
        <v>10022.86759</v>
      </c>
      <c r="W175" s="122">
        <v>33797.109499999999</v>
      </c>
      <c r="X175" s="123">
        <v>0.137299</v>
      </c>
      <c r="Y175" s="123">
        <v>5.5360000000000001E-3</v>
      </c>
      <c r="Z175" s="123">
        <v>5.62E-4</v>
      </c>
    </row>
    <row r="176" spans="1:26" ht="15" customHeight="1">
      <c r="A176" s="121">
        <v>313</v>
      </c>
      <c r="B176" s="121">
        <v>313</v>
      </c>
      <c r="C176" s="120" t="s">
        <v>2134</v>
      </c>
      <c r="D176" s="121"/>
      <c r="E176" s="120"/>
      <c r="F176" s="120" t="s">
        <v>2305</v>
      </c>
      <c r="G176" s="121">
        <v>62010012</v>
      </c>
      <c r="H176" s="120" t="s">
        <v>311</v>
      </c>
      <c r="I176" s="120" t="s">
        <v>1006</v>
      </c>
      <c r="J176" s="120"/>
      <c r="K176" s="120" t="s">
        <v>204</v>
      </c>
      <c r="L176" s="120"/>
      <c r="M176" s="120"/>
      <c r="N176" s="120" t="s">
        <v>223</v>
      </c>
      <c r="O176" s="120" t="s">
        <v>338</v>
      </c>
      <c r="P176" s="124">
        <v>40893</v>
      </c>
      <c r="Q176" s="120" t="s">
        <v>1222</v>
      </c>
      <c r="R176" s="120" t="s">
        <v>886</v>
      </c>
      <c r="S176" s="120" t="s">
        <v>890</v>
      </c>
      <c r="T176" s="124">
        <v>45838</v>
      </c>
      <c r="U176" s="122">
        <v>3.3719999999999999</v>
      </c>
      <c r="V176" s="122">
        <v>373.76898</v>
      </c>
      <c r="W176" s="122">
        <v>1260.3489999999999</v>
      </c>
      <c r="X176" s="123">
        <v>4.9700000000000005E-4</v>
      </c>
      <c r="Y176" s="123">
        <v>2.0599999999999999E-4</v>
      </c>
      <c r="Z176" s="123">
        <v>2.0000000000000002E-5</v>
      </c>
    </row>
    <row r="177" spans="1:26" ht="15" customHeight="1">
      <c r="A177" s="121">
        <v>313</v>
      </c>
      <c r="B177" s="121">
        <v>313</v>
      </c>
      <c r="C177" s="120" t="s">
        <v>2306</v>
      </c>
      <c r="D177" s="121"/>
      <c r="E177" s="120"/>
      <c r="F177" s="120" t="s">
        <v>2307</v>
      </c>
      <c r="G177" s="121">
        <v>62020474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44713</v>
      </c>
      <c r="Q177" s="120" t="s">
        <v>1215</v>
      </c>
      <c r="R177" s="120" t="s">
        <v>886</v>
      </c>
      <c r="S177" s="120" t="s">
        <v>890</v>
      </c>
      <c r="T177" s="124">
        <v>45838</v>
      </c>
      <c r="U177" s="122">
        <v>3.9552</v>
      </c>
      <c r="V177" s="122">
        <v>10386.62938</v>
      </c>
      <c r="W177" s="122">
        <v>41081.196539999997</v>
      </c>
      <c r="X177" s="123">
        <v>5.96E-3</v>
      </c>
      <c r="Y177" s="123">
        <v>6.7289999999999997E-3</v>
      </c>
      <c r="Z177" s="123">
        <v>6.8400000000000004E-4</v>
      </c>
    </row>
    <row r="178" spans="1:26" ht="15" customHeight="1">
      <c r="A178" s="121">
        <v>313</v>
      </c>
      <c r="B178" s="121">
        <v>313</v>
      </c>
      <c r="C178" s="120" t="s">
        <v>2147</v>
      </c>
      <c r="D178" s="121"/>
      <c r="E178" s="120"/>
      <c r="F178" s="120" t="s">
        <v>2308</v>
      </c>
      <c r="G178" s="121">
        <v>41000812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43513</v>
      </c>
      <c r="Q178" s="120" t="s">
        <v>1215</v>
      </c>
      <c r="R178" s="120" t="s">
        <v>886</v>
      </c>
      <c r="S178" s="120" t="s">
        <v>890</v>
      </c>
      <c r="T178" s="124">
        <v>45838</v>
      </c>
      <c r="U178" s="122">
        <v>3.9552</v>
      </c>
      <c r="V178" s="122">
        <v>117.27800000000001</v>
      </c>
      <c r="W178" s="122">
        <v>463.85795000000002</v>
      </c>
      <c r="X178" s="123">
        <v>1.17E-4</v>
      </c>
      <c r="Y178" s="123">
        <v>7.4999999999999993E-5</v>
      </c>
      <c r="Z178" s="123">
        <v>6.9999999999999999E-6</v>
      </c>
    </row>
    <row r="179" spans="1:26" ht="15" customHeight="1">
      <c r="A179" s="121">
        <v>313</v>
      </c>
      <c r="B179" s="121">
        <v>313</v>
      </c>
      <c r="C179" s="120" t="s">
        <v>2138</v>
      </c>
      <c r="D179" s="121"/>
      <c r="E179" s="120"/>
      <c r="F179" s="120" t="s">
        <v>2309</v>
      </c>
      <c r="G179" s="121">
        <v>43000913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232</v>
      </c>
      <c r="O179" s="120" t="s">
        <v>338</v>
      </c>
      <c r="P179" s="124">
        <v>44054</v>
      </c>
      <c r="Q179" s="120" t="s">
        <v>1222</v>
      </c>
      <c r="R179" s="120" t="s">
        <v>886</v>
      </c>
      <c r="S179" s="120" t="s">
        <v>890</v>
      </c>
      <c r="T179" s="124">
        <v>45838</v>
      </c>
      <c r="U179" s="122">
        <v>3.3719999999999999</v>
      </c>
      <c r="V179" s="122">
        <v>1498.84</v>
      </c>
      <c r="W179" s="122">
        <v>5054.0884800000003</v>
      </c>
      <c r="X179" s="123">
        <v>7.4899999999999999E-4</v>
      </c>
      <c r="Y179" s="123">
        <v>8.2700000000000004E-4</v>
      </c>
      <c r="Z179" s="123">
        <v>8.3999999999999995E-5</v>
      </c>
    </row>
    <row r="180" spans="1:26" ht="15" customHeight="1">
      <c r="A180" s="121">
        <v>313</v>
      </c>
      <c r="B180" s="121">
        <v>313</v>
      </c>
      <c r="C180" s="120" t="s">
        <v>2191</v>
      </c>
      <c r="D180" s="121"/>
      <c r="E180" s="120"/>
      <c r="F180" s="120" t="s">
        <v>2310</v>
      </c>
      <c r="G180" s="121">
        <v>62018502</v>
      </c>
      <c r="H180" s="120" t="s">
        <v>311</v>
      </c>
      <c r="I180" s="120" t="s">
        <v>1005</v>
      </c>
      <c r="J180" s="120"/>
      <c r="K180" s="120" t="s">
        <v>204</v>
      </c>
      <c r="L180" s="120"/>
      <c r="M180" s="120"/>
      <c r="N180" s="120" t="s">
        <v>295</v>
      </c>
      <c r="O180" s="120" t="s">
        <v>338</v>
      </c>
      <c r="P180" s="124">
        <v>39650</v>
      </c>
      <c r="Q180" s="120" t="s">
        <v>1222</v>
      </c>
      <c r="R180" s="120" t="s">
        <v>886</v>
      </c>
      <c r="S180" s="120" t="s">
        <v>890</v>
      </c>
      <c r="T180" s="124">
        <v>45838</v>
      </c>
      <c r="U180" s="122">
        <v>3.3719999999999999</v>
      </c>
      <c r="V180" s="122">
        <v>18566.177950000001</v>
      </c>
      <c r="W180" s="122">
        <v>62605.152040000001</v>
      </c>
      <c r="X180" s="123">
        <v>1.2110000000000001E-3</v>
      </c>
      <c r="Y180" s="123">
        <v>1.0255E-2</v>
      </c>
      <c r="Z180" s="123">
        <v>1.042E-3</v>
      </c>
    </row>
    <row r="181" spans="1:26" ht="15" customHeight="1">
      <c r="A181" s="121">
        <v>313</v>
      </c>
      <c r="B181" s="121">
        <v>313</v>
      </c>
      <c r="C181" s="120" t="s">
        <v>2311</v>
      </c>
      <c r="D181" s="121"/>
      <c r="E181" s="120"/>
      <c r="F181" s="120" t="s">
        <v>2312</v>
      </c>
      <c r="G181" s="121">
        <v>62013957</v>
      </c>
      <c r="H181" s="120" t="s">
        <v>311</v>
      </c>
      <c r="I181" s="120" t="s">
        <v>1004</v>
      </c>
      <c r="J181" s="120"/>
      <c r="K181" s="120" t="s">
        <v>204</v>
      </c>
      <c r="L181" s="120"/>
      <c r="M181" s="120"/>
      <c r="N181" s="120" t="s">
        <v>223</v>
      </c>
      <c r="O181" s="120" t="s">
        <v>338</v>
      </c>
      <c r="P181" s="124">
        <v>43917</v>
      </c>
      <c r="Q181" s="120" t="s">
        <v>1222</v>
      </c>
      <c r="R181" s="120" t="s">
        <v>886</v>
      </c>
      <c r="S181" s="120" t="s">
        <v>890</v>
      </c>
      <c r="T181" s="124">
        <v>45838</v>
      </c>
      <c r="U181" s="122">
        <v>3.3719999999999999</v>
      </c>
      <c r="V181" s="122">
        <v>8817.66741</v>
      </c>
      <c r="W181" s="122">
        <v>29733.174500000001</v>
      </c>
      <c r="X181" s="123">
        <v>4.2379999999999996E-3</v>
      </c>
      <c r="Y181" s="123">
        <v>4.8700000000000002E-3</v>
      </c>
      <c r="Z181" s="123">
        <v>4.95E-4</v>
      </c>
    </row>
    <row r="182" spans="1:26" ht="15" customHeight="1">
      <c r="A182" s="121">
        <v>313</v>
      </c>
      <c r="B182" s="121">
        <v>313</v>
      </c>
      <c r="C182" s="120" t="s">
        <v>2200</v>
      </c>
      <c r="D182" s="121"/>
      <c r="E182" s="120"/>
      <c r="F182" s="120" t="s">
        <v>2313</v>
      </c>
      <c r="G182" s="121">
        <v>60410230</v>
      </c>
      <c r="H182" s="120" t="s">
        <v>311</v>
      </c>
      <c r="I182" s="120" t="s">
        <v>1004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42513</v>
      </c>
      <c r="Q182" s="120" t="s">
        <v>1215</v>
      </c>
      <c r="R182" s="120" t="s">
        <v>886</v>
      </c>
      <c r="S182" s="120" t="s">
        <v>890</v>
      </c>
      <c r="T182" s="124">
        <v>45838</v>
      </c>
      <c r="U182" s="122">
        <v>3.9552</v>
      </c>
      <c r="V182" s="122">
        <v>434.87329</v>
      </c>
      <c r="W182" s="122">
        <v>1720.0108299999999</v>
      </c>
      <c r="X182" s="123">
        <v>7.3099999999999999E-4</v>
      </c>
      <c r="Y182" s="123">
        <v>2.81E-4</v>
      </c>
      <c r="Z182" s="123">
        <v>2.8E-5</v>
      </c>
    </row>
    <row r="183" spans="1:26" ht="15" customHeight="1">
      <c r="A183" s="121">
        <v>313</v>
      </c>
      <c r="B183" s="121">
        <v>313</v>
      </c>
      <c r="C183" s="120" t="s">
        <v>2314</v>
      </c>
      <c r="D183" s="121"/>
      <c r="E183" s="120"/>
      <c r="F183" s="120" t="s">
        <v>2315</v>
      </c>
      <c r="G183" s="121">
        <v>60370475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295</v>
      </c>
      <c r="O183" s="120" t="s">
        <v>338</v>
      </c>
      <c r="P183" s="124">
        <v>44172</v>
      </c>
      <c r="Q183" s="120" t="s">
        <v>1222</v>
      </c>
      <c r="R183" s="120" t="s">
        <v>886</v>
      </c>
      <c r="S183" s="120" t="s">
        <v>890</v>
      </c>
      <c r="T183" s="124">
        <v>45838</v>
      </c>
      <c r="U183" s="122">
        <v>3.3719999999999999</v>
      </c>
      <c r="V183" s="122">
        <v>8849.6308900000004</v>
      </c>
      <c r="W183" s="122">
        <v>29840.95535</v>
      </c>
      <c r="X183" s="123">
        <v>3.3419999999999999E-3</v>
      </c>
      <c r="Y183" s="123">
        <v>4.888E-3</v>
      </c>
      <c r="Z183" s="123">
        <v>4.9600000000000002E-4</v>
      </c>
    </row>
    <row r="184" spans="1:26" ht="15" customHeight="1">
      <c r="A184" s="121">
        <v>313</v>
      </c>
      <c r="B184" s="121">
        <v>313</v>
      </c>
      <c r="C184" s="120" t="s">
        <v>2316</v>
      </c>
      <c r="D184" s="121"/>
      <c r="E184" s="120"/>
      <c r="F184" s="120" t="s">
        <v>2317</v>
      </c>
      <c r="G184" s="121">
        <v>46000103</v>
      </c>
      <c r="H184" s="120" t="s">
        <v>311</v>
      </c>
      <c r="I184" s="120" t="s">
        <v>1002</v>
      </c>
      <c r="J184" s="120"/>
      <c r="K184" s="120" t="s">
        <v>204</v>
      </c>
      <c r="L184" s="120"/>
      <c r="M184" s="120"/>
      <c r="N184" s="120" t="s">
        <v>295</v>
      </c>
      <c r="O184" s="120" t="s">
        <v>338</v>
      </c>
      <c r="P184" s="124">
        <v>45838</v>
      </c>
      <c r="Q184" s="120" t="s">
        <v>1222</v>
      </c>
      <c r="R184" s="120" t="s">
        <v>886</v>
      </c>
      <c r="S184" s="120" t="s">
        <v>890</v>
      </c>
      <c r="T184" s="124">
        <v>45838</v>
      </c>
      <c r="U184" s="122">
        <v>3.3719999999999999</v>
      </c>
      <c r="V184" s="122">
        <v>1877.48117</v>
      </c>
      <c r="W184" s="122">
        <v>6330.8665099999998</v>
      </c>
      <c r="X184" s="123">
        <v>2.5026E-2</v>
      </c>
      <c r="Y184" s="123">
        <v>1.0369999999999999E-3</v>
      </c>
      <c r="Z184" s="123">
        <v>1.05E-4</v>
      </c>
    </row>
    <row r="185" spans="1:26" ht="15" customHeight="1">
      <c r="A185" s="121">
        <v>313</v>
      </c>
      <c r="B185" s="121">
        <v>313</v>
      </c>
      <c r="C185" s="120" t="s">
        <v>2132</v>
      </c>
      <c r="D185" s="121"/>
      <c r="E185" s="120"/>
      <c r="F185" s="120" t="s">
        <v>2318</v>
      </c>
      <c r="G185" s="121">
        <v>60395779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295</v>
      </c>
      <c r="O185" s="120" t="s">
        <v>338</v>
      </c>
      <c r="P185" s="124">
        <v>39010</v>
      </c>
      <c r="Q185" s="120" t="s">
        <v>1222</v>
      </c>
      <c r="R185" s="120" t="s">
        <v>886</v>
      </c>
      <c r="S185" s="120" t="s">
        <v>890</v>
      </c>
      <c r="T185" s="124">
        <v>45838</v>
      </c>
      <c r="U185" s="122">
        <v>3.3719999999999999</v>
      </c>
      <c r="V185" s="122">
        <v>1998.05007</v>
      </c>
      <c r="W185" s="122">
        <v>6737.4248299999999</v>
      </c>
      <c r="X185" s="123">
        <v>9.1649999999999995E-3</v>
      </c>
      <c r="Y185" s="123">
        <v>1.103E-3</v>
      </c>
      <c r="Z185" s="123">
        <v>1.12E-4</v>
      </c>
    </row>
    <row r="186" spans="1:26" ht="15" customHeight="1">
      <c r="A186" s="121">
        <v>313</v>
      </c>
      <c r="B186" s="121">
        <v>313</v>
      </c>
      <c r="C186" s="120" t="s">
        <v>2134</v>
      </c>
      <c r="D186" s="121"/>
      <c r="E186" s="120"/>
      <c r="F186" s="120" t="s">
        <v>2319</v>
      </c>
      <c r="G186" s="121">
        <v>62002918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303</v>
      </c>
      <c r="O186" s="120" t="s">
        <v>338</v>
      </c>
      <c r="P186" s="124">
        <v>44201</v>
      </c>
      <c r="Q186" s="120" t="s">
        <v>1222</v>
      </c>
      <c r="R186" s="120" t="s">
        <v>886</v>
      </c>
      <c r="S186" s="120" t="s">
        <v>890</v>
      </c>
      <c r="T186" s="124">
        <v>45838</v>
      </c>
      <c r="U186" s="122">
        <v>3.3719999999999999</v>
      </c>
      <c r="V186" s="122">
        <v>1046.20624</v>
      </c>
      <c r="W186" s="122">
        <v>3527.80744</v>
      </c>
      <c r="X186" s="123">
        <v>8.8500000000000004E-4</v>
      </c>
      <c r="Y186" s="123">
        <v>5.7700000000000004E-4</v>
      </c>
      <c r="Z186" s="123">
        <v>5.8E-5</v>
      </c>
    </row>
    <row r="187" spans="1:26" ht="15" customHeight="1">
      <c r="A187" s="121">
        <v>313</v>
      </c>
      <c r="B187" s="121">
        <v>313</v>
      </c>
      <c r="C187" s="120" t="s">
        <v>2320</v>
      </c>
      <c r="D187" s="121"/>
      <c r="E187" s="120"/>
      <c r="F187" s="120" t="s">
        <v>2321</v>
      </c>
      <c r="G187" s="121">
        <v>62020276</v>
      </c>
      <c r="H187" s="120" t="s">
        <v>311</v>
      </c>
      <c r="I187" s="120" t="s">
        <v>1005</v>
      </c>
      <c r="J187" s="120"/>
      <c r="K187" s="120" t="s">
        <v>204</v>
      </c>
      <c r="L187" s="120"/>
      <c r="M187" s="120"/>
      <c r="N187" s="120" t="s">
        <v>292</v>
      </c>
      <c r="O187" s="120" t="s">
        <v>338</v>
      </c>
      <c r="P187" s="124">
        <v>45364</v>
      </c>
      <c r="Q187" s="120" t="s">
        <v>1215</v>
      </c>
      <c r="R187" s="120" t="s">
        <v>886</v>
      </c>
      <c r="S187" s="120" t="s">
        <v>890</v>
      </c>
      <c r="T187" s="124">
        <v>45838</v>
      </c>
      <c r="U187" s="122">
        <v>3.9552</v>
      </c>
      <c r="V187" s="122">
        <v>6894.9215999999997</v>
      </c>
      <c r="W187" s="122">
        <v>27270.79391</v>
      </c>
      <c r="X187" s="123">
        <v>1.2392E-2</v>
      </c>
      <c r="Y187" s="123">
        <v>4.4669999999999996E-3</v>
      </c>
      <c r="Z187" s="123">
        <v>4.5399999999999998E-4</v>
      </c>
    </row>
    <row r="188" spans="1:26" ht="15" customHeight="1">
      <c r="A188" s="121">
        <v>313</v>
      </c>
      <c r="B188" s="121">
        <v>313</v>
      </c>
      <c r="C188" s="120" t="s">
        <v>2138</v>
      </c>
      <c r="D188" s="121"/>
      <c r="E188" s="120"/>
      <c r="F188" s="120" t="s">
        <v>2138</v>
      </c>
      <c r="G188" s="121">
        <v>9840573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42212</v>
      </c>
      <c r="Q188" s="120" t="s">
        <v>1222</v>
      </c>
      <c r="R188" s="120" t="s">
        <v>886</v>
      </c>
      <c r="S188" s="120" t="s">
        <v>890</v>
      </c>
      <c r="T188" s="124">
        <v>45838</v>
      </c>
      <c r="U188" s="122">
        <v>3.3719999999999999</v>
      </c>
      <c r="V188" s="122">
        <v>15003.68946</v>
      </c>
      <c r="W188" s="122">
        <v>50592.440849999999</v>
      </c>
      <c r="X188" s="123">
        <v>6.8407999999999997E-2</v>
      </c>
      <c r="Y188" s="123">
        <v>8.2880000000000002E-3</v>
      </c>
      <c r="Z188" s="123">
        <v>8.4199999999999998E-4</v>
      </c>
    </row>
    <row r="189" spans="1:26" ht="15" customHeight="1">
      <c r="A189" s="121">
        <v>313</v>
      </c>
      <c r="B189" s="121">
        <v>313</v>
      </c>
      <c r="C189" s="120" t="s">
        <v>2237</v>
      </c>
      <c r="D189" s="121"/>
      <c r="E189" s="120"/>
      <c r="F189" s="120" t="s">
        <v>2322</v>
      </c>
      <c r="G189" s="121">
        <v>62021613</v>
      </c>
      <c r="H189" s="120" t="s">
        <v>311</v>
      </c>
      <c r="I189" s="120" t="s">
        <v>1002</v>
      </c>
      <c r="J189" s="120"/>
      <c r="K189" s="120" t="s">
        <v>204</v>
      </c>
      <c r="L189" s="120"/>
      <c r="M189" s="120"/>
      <c r="N189" s="120" t="s">
        <v>295</v>
      </c>
      <c r="O189" s="120" t="s">
        <v>338</v>
      </c>
      <c r="P189" s="124">
        <v>45260</v>
      </c>
      <c r="Q189" s="120" t="s">
        <v>1215</v>
      </c>
      <c r="R189" s="120" t="s">
        <v>886</v>
      </c>
      <c r="S189" s="120" t="s">
        <v>890</v>
      </c>
      <c r="T189" s="124">
        <v>45838</v>
      </c>
      <c r="U189" s="122">
        <v>3.9552</v>
      </c>
      <c r="V189" s="122">
        <v>3084.6660200000001</v>
      </c>
      <c r="W189" s="122">
        <v>12200.47105</v>
      </c>
      <c r="X189" s="123">
        <v>2.5700000000000001E-4</v>
      </c>
      <c r="Y189" s="123">
        <v>1.9980000000000002E-3</v>
      </c>
      <c r="Z189" s="123">
        <v>2.03E-4</v>
      </c>
    </row>
    <row r="190" spans="1:26" ht="15" customHeight="1">
      <c r="A190" s="121">
        <v>313</v>
      </c>
      <c r="B190" s="121">
        <v>313</v>
      </c>
      <c r="C190" s="120" t="s">
        <v>2181</v>
      </c>
      <c r="D190" s="121"/>
      <c r="E190" s="120"/>
      <c r="F190" s="120" t="s">
        <v>2323</v>
      </c>
      <c r="G190" s="121">
        <v>60385630</v>
      </c>
      <c r="H190" s="120" t="s">
        <v>311</v>
      </c>
      <c r="I190" s="120" t="s">
        <v>1005</v>
      </c>
      <c r="J190" s="120"/>
      <c r="K190" s="120" t="s">
        <v>204</v>
      </c>
      <c r="L190" s="120"/>
      <c r="M190" s="120"/>
      <c r="N190" s="120" t="s">
        <v>295</v>
      </c>
      <c r="O190" s="120" t="s">
        <v>338</v>
      </c>
      <c r="P190" s="124">
        <v>42551</v>
      </c>
      <c r="Q190" s="120" t="s">
        <v>1222</v>
      </c>
      <c r="R190" s="120" t="s">
        <v>886</v>
      </c>
      <c r="S190" s="120" t="s">
        <v>890</v>
      </c>
      <c r="T190" s="124">
        <v>45838</v>
      </c>
      <c r="U190" s="122">
        <v>3.3719999999999999</v>
      </c>
      <c r="V190" s="122">
        <v>6823.1577299999999</v>
      </c>
      <c r="W190" s="122">
        <v>23007.687859999998</v>
      </c>
      <c r="X190" s="123">
        <v>4.1199999999999999E-4</v>
      </c>
      <c r="Y190" s="123">
        <v>3.7690000000000002E-3</v>
      </c>
      <c r="Z190" s="123">
        <v>3.8299999999999999E-4</v>
      </c>
    </row>
    <row r="191" spans="1:26" ht="15" customHeight="1">
      <c r="A191" s="121">
        <v>313</v>
      </c>
      <c r="B191" s="121">
        <v>313</v>
      </c>
      <c r="C191" s="120" t="s">
        <v>2324</v>
      </c>
      <c r="D191" s="121"/>
      <c r="E191" s="120"/>
      <c r="F191" s="120" t="s">
        <v>2325</v>
      </c>
      <c r="G191" s="121">
        <v>62017183</v>
      </c>
      <c r="H191" s="120" t="s">
        <v>311</v>
      </c>
      <c r="I191" s="120" t="s">
        <v>1002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43560</v>
      </c>
      <c r="Q191" s="120" t="s">
        <v>1215</v>
      </c>
      <c r="R191" s="120" t="s">
        <v>886</v>
      </c>
      <c r="S191" s="120" t="s">
        <v>890</v>
      </c>
      <c r="T191" s="124">
        <v>45838</v>
      </c>
      <c r="U191" s="122">
        <v>3.9552</v>
      </c>
      <c r="V191" s="122">
        <v>14422.430039999999</v>
      </c>
      <c r="W191" s="122">
        <v>57043.595280000001</v>
      </c>
      <c r="X191" s="123">
        <v>1.4469999999999999E-3</v>
      </c>
      <c r="Y191" s="123">
        <v>9.3439999999999999E-3</v>
      </c>
      <c r="Z191" s="123">
        <v>9.4899999999999997E-4</v>
      </c>
    </row>
    <row r="192" spans="1:26" ht="15" customHeight="1">
      <c r="A192" s="121">
        <v>313</v>
      </c>
      <c r="B192" s="121">
        <v>313</v>
      </c>
      <c r="C192" s="120" t="s">
        <v>2326</v>
      </c>
      <c r="D192" s="121"/>
      <c r="E192" s="120"/>
      <c r="F192" s="120" t="s">
        <v>2327</v>
      </c>
      <c r="G192" s="121">
        <v>60407780</v>
      </c>
      <c r="H192" s="120" t="s">
        <v>311</v>
      </c>
      <c r="I192" s="120" t="s">
        <v>1005</v>
      </c>
      <c r="J192" s="120"/>
      <c r="K192" s="120" t="s">
        <v>204</v>
      </c>
      <c r="L192" s="120"/>
      <c r="M192" s="120"/>
      <c r="N192" s="120" t="s">
        <v>223</v>
      </c>
      <c r="O192" s="120" t="s">
        <v>338</v>
      </c>
      <c r="P192" s="124">
        <v>44775</v>
      </c>
      <c r="Q192" s="120" t="s">
        <v>1222</v>
      </c>
      <c r="R192" s="120" t="s">
        <v>886</v>
      </c>
      <c r="S192" s="120" t="s">
        <v>890</v>
      </c>
      <c r="T192" s="124">
        <v>45838</v>
      </c>
      <c r="U192" s="122">
        <v>3.3719999999999999</v>
      </c>
      <c r="V192" s="122">
        <v>1614.9</v>
      </c>
      <c r="W192" s="122">
        <v>5445.4427999999998</v>
      </c>
      <c r="X192" s="123">
        <v>6.6399999999999999E-4</v>
      </c>
      <c r="Y192" s="123">
        <v>8.92E-4</v>
      </c>
      <c r="Z192" s="123">
        <v>9.0000000000000006E-5</v>
      </c>
    </row>
    <row r="193" spans="1:26" ht="15" customHeight="1">
      <c r="A193" s="121">
        <v>313</v>
      </c>
      <c r="B193" s="121">
        <v>313</v>
      </c>
      <c r="C193" s="120" t="s">
        <v>2316</v>
      </c>
      <c r="D193" s="121"/>
      <c r="E193" s="120"/>
      <c r="F193" s="120" t="s">
        <v>2328</v>
      </c>
      <c r="G193" s="121">
        <v>46000102</v>
      </c>
      <c r="H193" s="120" t="s">
        <v>311</v>
      </c>
      <c r="I193" s="120" t="s">
        <v>1002</v>
      </c>
      <c r="J193" s="120"/>
      <c r="K193" s="120" t="s">
        <v>204</v>
      </c>
      <c r="L193" s="120"/>
      <c r="M193" s="120"/>
      <c r="N193" s="120" t="s">
        <v>295</v>
      </c>
      <c r="O193" s="120" t="s">
        <v>338</v>
      </c>
      <c r="P193" s="124">
        <v>45838</v>
      </c>
      <c r="Q193" s="120" t="s">
        <v>1222</v>
      </c>
      <c r="R193" s="120" t="s">
        <v>886</v>
      </c>
      <c r="S193" s="120" t="s">
        <v>890</v>
      </c>
      <c r="T193" s="124">
        <v>45838</v>
      </c>
      <c r="U193" s="122">
        <v>3.3719999999999999</v>
      </c>
      <c r="V193" s="122">
        <v>-147.05491000000001</v>
      </c>
      <c r="W193" s="122">
        <v>-495.86916000000002</v>
      </c>
      <c r="X193" s="123">
        <v>0</v>
      </c>
      <c r="Y193" s="123">
        <v>-8.1000000000000004E-5</v>
      </c>
      <c r="Z193" s="123">
        <v>-7.9999999999999996E-6</v>
      </c>
    </row>
    <row r="194" spans="1:26" ht="15" customHeight="1">
      <c r="A194" s="121">
        <v>313</v>
      </c>
      <c r="B194" s="121">
        <v>313</v>
      </c>
      <c r="C194" s="120" t="s">
        <v>2138</v>
      </c>
      <c r="D194" s="121"/>
      <c r="E194" s="120"/>
      <c r="F194" s="120" t="s">
        <v>2329</v>
      </c>
      <c r="G194" s="121">
        <v>9840580</v>
      </c>
      <c r="H194" s="120" t="s">
        <v>311</v>
      </c>
      <c r="I194" s="120" t="s">
        <v>1001</v>
      </c>
      <c r="J194" s="120"/>
      <c r="K194" s="120" t="s">
        <v>204</v>
      </c>
      <c r="L194" s="120"/>
      <c r="M194" s="120"/>
      <c r="N194" s="120" t="s">
        <v>295</v>
      </c>
      <c r="O194" s="120" t="s">
        <v>338</v>
      </c>
      <c r="P194" s="124">
        <v>41620</v>
      </c>
      <c r="Q194" s="120" t="s">
        <v>1222</v>
      </c>
      <c r="R194" s="120" t="s">
        <v>886</v>
      </c>
      <c r="S194" s="120" t="s">
        <v>890</v>
      </c>
      <c r="T194" s="124">
        <v>45838</v>
      </c>
      <c r="U194" s="122">
        <v>3.3719999999999999</v>
      </c>
      <c r="V194" s="122">
        <v>43745.025560000002</v>
      </c>
      <c r="W194" s="122">
        <v>147508.22618</v>
      </c>
      <c r="X194" s="123">
        <v>0.29163299999999998</v>
      </c>
      <c r="Y194" s="123">
        <v>2.4164000000000001E-2</v>
      </c>
      <c r="Z194" s="123">
        <v>2.4559999999999998E-3</v>
      </c>
    </row>
    <row r="195" spans="1:26" ht="15" customHeight="1">
      <c r="A195" s="121">
        <v>313</v>
      </c>
      <c r="B195" s="121">
        <v>313</v>
      </c>
      <c r="C195" s="120" t="s">
        <v>2138</v>
      </c>
      <c r="D195" s="121"/>
      <c r="E195" s="120"/>
      <c r="F195" s="120" t="s">
        <v>2330</v>
      </c>
      <c r="G195" s="121">
        <v>43000912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280</v>
      </c>
      <c r="O195" s="120" t="s">
        <v>338</v>
      </c>
      <c r="P195" s="124">
        <v>44054</v>
      </c>
      <c r="Q195" s="120" t="s">
        <v>1222</v>
      </c>
      <c r="R195" s="120" t="s">
        <v>886</v>
      </c>
      <c r="S195" s="120" t="s">
        <v>890</v>
      </c>
      <c r="T195" s="124">
        <v>45838</v>
      </c>
      <c r="U195" s="122">
        <v>3.3719999999999999</v>
      </c>
      <c r="V195" s="122">
        <v>1412.0540000000001</v>
      </c>
      <c r="W195" s="122">
        <v>4761.4460900000004</v>
      </c>
      <c r="X195" s="123">
        <v>7.0600000000000003E-4</v>
      </c>
      <c r="Y195" s="123">
        <v>7.7999999999999999E-4</v>
      </c>
      <c r="Z195" s="123">
        <v>7.8999999999999996E-5</v>
      </c>
    </row>
    <row r="196" spans="1:26" ht="15" customHeight="1">
      <c r="A196" s="121">
        <v>313</v>
      </c>
      <c r="B196" s="121">
        <v>313</v>
      </c>
      <c r="C196" s="120" t="s">
        <v>2138</v>
      </c>
      <c r="D196" s="121"/>
      <c r="E196" s="120"/>
      <c r="F196" s="120" t="s">
        <v>2331</v>
      </c>
      <c r="G196" s="121">
        <v>43000902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237</v>
      </c>
      <c r="O196" s="120" t="s">
        <v>338</v>
      </c>
      <c r="P196" s="124">
        <v>44054</v>
      </c>
      <c r="Q196" s="120" t="s">
        <v>1222</v>
      </c>
      <c r="R196" s="120" t="s">
        <v>886</v>
      </c>
      <c r="S196" s="120" t="s">
        <v>890</v>
      </c>
      <c r="T196" s="124">
        <v>45838</v>
      </c>
      <c r="U196" s="122">
        <v>3.3719999999999999</v>
      </c>
      <c r="V196" s="122">
        <v>1436.0219999999999</v>
      </c>
      <c r="W196" s="122">
        <v>4842.2661799999996</v>
      </c>
      <c r="X196" s="123">
        <v>7.18E-4</v>
      </c>
      <c r="Y196" s="123">
        <v>7.9299999999999998E-4</v>
      </c>
      <c r="Z196" s="123">
        <v>8.0000000000000007E-5</v>
      </c>
    </row>
    <row r="197" spans="1:26" ht="15" customHeight="1">
      <c r="A197" s="121">
        <v>313</v>
      </c>
      <c r="B197" s="121">
        <v>313</v>
      </c>
      <c r="C197" s="120" t="s">
        <v>2147</v>
      </c>
      <c r="D197" s="121"/>
      <c r="E197" s="120"/>
      <c r="F197" s="120" t="s">
        <v>2332</v>
      </c>
      <c r="G197" s="121">
        <v>41000820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292</v>
      </c>
      <c r="O197" s="120" t="s">
        <v>338</v>
      </c>
      <c r="P197" s="124">
        <v>43513</v>
      </c>
      <c r="Q197" s="120" t="s">
        <v>1215</v>
      </c>
      <c r="R197" s="120" t="s">
        <v>886</v>
      </c>
      <c r="S197" s="120" t="s">
        <v>890</v>
      </c>
      <c r="T197" s="124">
        <v>45838</v>
      </c>
      <c r="U197" s="122">
        <v>3.9552</v>
      </c>
      <c r="V197" s="122">
        <v>201.73500000000001</v>
      </c>
      <c r="W197" s="122">
        <v>797.90227000000004</v>
      </c>
      <c r="X197" s="123">
        <v>2.0100000000000001E-4</v>
      </c>
      <c r="Y197" s="123">
        <v>1.2999999999999999E-4</v>
      </c>
      <c r="Z197" s="123">
        <v>1.2999999999999999E-5</v>
      </c>
    </row>
    <row r="198" spans="1:26" ht="15" customHeight="1">
      <c r="A198" s="121">
        <v>313</v>
      </c>
      <c r="B198" s="121">
        <v>313</v>
      </c>
      <c r="C198" s="120" t="s">
        <v>2333</v>
      </c>
      <c r="D198" s="121"/>
      <c r="E198" s="120"/>
      <c r="F198" s="120" t="s">
        <v>2334</v>
      </c>
      <c r="G198" s="121">
        <v>62006524</v>
      </c>
      <c r="H198" s="120" t="s">
        <v>311</v>
      </c>
      <c r="I198" s="120" t="s">
        <v>1005</v>
      </c>
      <c r="J198" s="120"/>
      <c r="K198" s="120" t="s">
        <v>204</v>
      </c>
      <c r="L198" s="120"/>
      <c r="M198" s="120"/>
      <c r="N198" s="120" t="s">
        <v>223</v>
      </c>
      <c r="O198" s="120" t="s">
        <v>338</v>
      </c>
      <c r="P198" s="124">
        <v>44561</v>
      </c>
      <c r="Q198" s="120" t="s">
        <v>1222</v>
      </c>
      <c r="R198" s="120" t="s">
        <v>886</v>
      </c>
      <c r="S198" s="120" t="s">
        <v>890</v>
      </c>
      <c r="T198" s="124">
        <v>45838</v>
      </c>
      <c r="U198" s="122">
        <v>3.3719999999999999</v>
      </c>
      <c r="V198" s="122">
        <v>25546.844730000001</v>
      </c>
      <c r="W198" s="122">
        <v>86143.960420000003</v>
      </c>
      <c r="X198" s="123">
        <v>9.2890000000000004E-3</v>
      </c>
      <c r="Y198" s="123">
        <v>1.4112E-2</v>
      </c>
      <c r="Z198" s="123">
        <v>1.4339999999999999E-3</v>
      </c>
    </row>
    <row r="199" spans="1:26" ht="15" customHeight="1">
      <c r="A199" s="121">
        <v>313</v>
      </c>
      <c r="B199" s="121">
        <v>313</v>
      </c>
      <c r="C199" s="120" t="s">
        <v>2138</v>
      </c>
      <c r="D199" s="121"/>
      <c r="E199" s="120"/>
      <c r="F199" s="120" t="s">
        <v>2335</v>
      </c>
      <c r="G199" s="121">
        <v>44000112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232</v>
      </c>
      <c r="O199" s="120" t="s">
        <v>338</v>
      </c>
      <c r="P199" s="124">
        <v>45657</v>
      </c>
      <c r="Q199" s="120" t="s">
        <v>1222</v>
      </c>
      <c r="R199" s="120" t="s">
        <v>886</v>
      </c>
      <c r="S199" s="120" t="s">
        <v>890</v>
      </c>
      <c r="T199" s="124">
        <v>45838</v>
      </c>
      <c r="U199" s="122">
        <v>3.3719999999999999</v>
      </c>
      <c r="V199" s="122">
        <v>1970.1519599999999</v>
      </c>
      <c r="W199" s="122">
        <v>6643.3524100000004</v>
      </c>
      <c r="X199" s="123">
        <v>6.5600000000000001E-4</v>
      </c>
      <c r="Y199" s="123">
        <v>1.088E-3</v>
      </c>
      <c r="Z199" s="123">
        <v>1.1E-4</v>
      </c>
    </row>
    <row r="200" spans="1:26" ht="15" customHeight="1">
      <c r="A200" s="121">
        <v>313</v>
      </c>
      <c r="B200" s="121">
        <v>313</v>
      </c>
      <c r="C200" s="120" t="s">
        <v>2134</v>
      </c>
      <c r="D200" s="121"/>
      <c r="E200" s="120"/>
      <c r="F200" s="120" t="s">
        <v>2336</v>
      </c>
      <c r="G200" s="121">
        <v>62005617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292</v>
      </c>
      <c r="O200" s="120" t="s">
        <v>338</v>
      </c>
      <c r="P200" s="124">
        <v>44119</v>
      </c>
      <c r="Q200" s="120" t="s">
        <v>1215</v>
      </c>
      <c r="R200" s="120" t="s">
        <v>886</v>
      </c>
      <c r="S200" s="120" t="s">
        <v>890</v>
      </c>
      <c r="T200" s="124">
        <v>45838</v>
      </c>
      <c r="U200" s="122">
        <v>3.9552</v>
      </c>
      <c r="V200" s="122">
        <v>4643.41021</v>
      </c>
      <c r="W200" s="122">
        <v>18365.616040000001</v>
      </c>
      <c r="X200" s="123">
        <v>8.4919999999999995E-3</v>
      </c>
      <c r="Y200" s="123">
        <v>3.0079999999999998E-3</v>
      </c>
      <c r="Z200" s="123">
        <v>3.0499999999999999E-4</v>
      </c>
    </row>
    <row r="201" spans="1:26" ht="15" customHeight="1">
      <c r="A201" s="121">
        <v>313</v>
      </c>
      <c r="B201" s="121">
        <v>313</v>
      </c>
      <c r="C201" s="120" t="s">
        <v>2337</v>
      </c>
      <c r="D201" s="121"/>
      <c r="E201" s="120"/>
      <c r="F201" s="120" t="s">
        <v>2338</v>
      </c>
      <c r="G201" s="121">
        <v>62021401</v>
      </c>
      <c r="H201" s="120" t="s">
        <v>311</v>
      </c>
      <c r="I201" s="120" t="s">
        <v>1005</v>
      </c>
      <c r="J201" s="120"/>
      <c r="K201" s="120" t="s">
        <v>204</v>
      </c>
      <c r="L201" s="120"/>
      <c r="M201" s="120"/>
      <c r="N201" s="120" t="s">
        <v>223</v>
      </c>
      <c r="O201" s="120" t="s">
        <v>337</v>
      </c>
      <c r="P201" s="124">
        <v>45315</v>
      </c>
      <c r="Q201" s="120" t="s">
        <v>1222</v>
      </c>
      <c r="R201" s="120" t="s">
        <v>886</v>
      </c>
      <c r="S201" s="120" t="s">
        <v>890</v>
      </c>
      <c r="T201" s="124">
        <v>45838</v>
      </c>
      <c r="U201" s="122">
        <v>3.3719999999999999</v>
      </c>
      <c r="V201" s="122">
        <v>4516.4502599999996</v>
      </c>
      <c r="W201" s="122">
        <v>15229.47028</v>
      </c>
      <c r="X201" s="123">
        <v>2.3125E-2</v>
      </c>
      <c r="Y201" s="123">
        <v>2.4940000000000001E-3</v>
      </c>
      <c r="Z201" s="123">
        <v>2.5300000000000002E-4</v>
      </c>
    </row>
    <row r="202" spans="1:26" ht="15" customHeight="1">
      <c r="A202" s="121">
        <v>313</v>
      </c>
      <c r="B202" s="121">
        <v>313</v>
      </c>
      <c r="C202" s="120" t="s">
        <v>2339</v>
      </c>
      <c r="D202" s="121"/>
      <c r="E202" s="120"/>
      <c r="F202" s="120" t="s">
        <v>2340</v>
      </c>
      <c r="G202" s="121">
        <v>62021072</v>
      </c>
      <c r="H202" s="120" t="s">
        <v>311</v>
      </c>
      <c r="I202" s="120" t="s">
        <v>1004</v>
      </c>
      <c r="J202" s="120"/>
      <c r="K202" s="120" t="s">
        <v>204</v>
      </c>
      <c r="L202" s="120"/>
      <c r="M202" s="120"/>
      <c r="N202" s="120" t="s">
        <v>223</v>
      </c>
      <c r="O202" s="120" t="s">
        <v>338</v>
      </c>
      <c r="P202" s="124">
        <v>39988</v>
      </c>
      <c r="Q202" s="120" t="s">
        <v>1222</v>
      </c>
      <c r="R202" s="120" t="s">
        <v>886</v>
      </c>
      <c r="S202" s="120" t="s">
        <v>890</v>
      </c>
      <c r="T202" s="124">
        <v>45838</v>
      </c>
      <c r="U202" s="122">
        <v>3.3719999999999999</v>
      </c>
      <c r="V202" s="122">
        <v>2010.5554299999999</v>
      </c>
      <c r="W202" s="122">
        <v>6779.5928899999999</v>
      </c>
      <c r="X202" s="123">
        <v>1.95E-4</v>
      </c>
      <c r="Y202" s="123">
        <v>1.1100000000000001E-3</v>
      </c>
      <c r="Z202" s="123">
        <v>1.12E-4</v>
      </c>
    </row>
    <row r="203" spans="1:26" ht="15" customHeight="1">
      <c r="A203" s="121">
        <v>313</v>
      </c>
      <c r="B203" s="121">
        <v>313</v>
      </c>
      <c r="C203" s="120" t="s">
        <v>2044</v>
      </c>
      <c r="D203" s="121"/>
      <c r="E203" s="120"/>
      <c r="F203" s="120" t="s">
        <v>2341</v>
      </c>
      <c r="G203" s="121">
        <v>62010079</v>
      </c>
      <c r="H203" s="120" t="s">
        <v>311</v>
      </c>
      <c r="I203" s="120" t="s">
        <v>1006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43283</v>
      </c>
      <c r="Q203" s="120" t="s">
        <v>1222</v>
      </c>
      <c r="R203" s="120" t="s">
        <v>886</v>
      </c>
      <c r="S203" s="120" t="s">
        <v>890</v>
      </c>
      <c r="T203" s="124">
        <v>45838</v>
      </c>
      <c r="U203" s="122">
        <v>3.3719999999999999</v>
      </c>
      <c r="V203" s="122">
        <v>4080.7607400000002</v>
      </c>
      <c r="W203" s="122">
        <v>13760.325220000001</v>
      </c>
      <c r="X203" s="123">
        <v>8.591E-2</v>
      </c>
      <c r="Y203" s="123">
        <v>2.2539999999999999E-3</v>
      </c>
      <c r="Z203" s="123">
        <v>2.2900000000000001E-4</v>
      </c>
    </row>
    <row r="204" spans="1:26" ht="15" customHeight="1">
      <c r="A204" s="121">
        <v>313</v>
      </c>
      <c r="B204" s="121">
        <v>313</v>
      </c>
      <c r="C204" s="120" t="s">
        <v>2342</v>
      </c>
      <c r="D204" s="121"/>
      <c r="E204" s="120"/>
      <c r="F204" s="120" t="s">
        <v>2343</v>
      </c>
      <c r="G204" s="121">
        <v>60392545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267</v>
      </c>
      <c r="O204" s="120" t="s">
        <v>338</v>
      </c>
      <c r="P204" s="124">
        <v>43921</v>
      </c>
      <c r="Q204" s="120" t="s">
        <v>1222</v>
      </c>
      <c r="R204" s="120" t="s">
        <v>886</v>
      </c>
      <c r="S204" s="120" t="s">
        <v>890</v>
      </c>
      <c r="T204" s="124">
        <v>45838</v>
      </c>
      <c r="U204" s="122">
        <v>3.3719999999999999</v>
      </c>
      <c r="V204" s="122">
        <v>1897.5091500000001</v>
      </c>
      <c r="W204" s="122">
        <v>6398.40085</v>
      </c>
      <c r="X204" s="123">
        <v>2.0509999999999999E-3</v>
      </c>
      <c r="Y204" s="123">
        <v>1.0480000000000001E-3</v>
      </c>
      <c r="Z204" s="123">
        <v>1.06E-4</v>
      </c>
    </row>
    <row r="205" spans="1:26" ht="15" customHeight="1">
      <c r="A205" s="121">
        <v>313</v>
      </c>
      <c r="B205" s="121">
        <v>313</v>
      </c>
      <c r="C205" s="120" t="s">
        <v>2156</v>
      </c>
      <c r="D205" s="121"/>
      <c r="E205" s="120"/>
      <c r="F205" s="120" t="s">
        <v>2344</v>
      </c>
      <c r="G205" s="121">
        <v>42000902</v>
      </c>
      <c r="H205" s="120" t="s">
        <v>311</v>
      </c>
      <c r="I205" s="120" t="s">
        <v>1006</v>
      </c>
      <c r="J205" s="120"/>
      <c r="K205" s="120" t="s">
        <v>204</v>
      </c>
      <c r="L205" s="120"/>
      <c r="M205" s="120"/>
      <c r="N205" s="120" t="s">
        <v>223</v>
      </c>
      <c r="O205" s="120" t="s">
        <v>338</v>
      </c>
      <c r="P205" s="124">
        <v>43601</v>
      </c>
      <c r="Q205" s="120" t="s">
        <v>1222</v>
      </c>
      <c r="R205" s="120" t="s">
        <v>886</v>
      </c>
      <c r="S205" s="120" t="s">
        <v>890</v>
      </c>
      <c r="T205" s="124">
        <v>45838</v>
      </c>
      <c r="U205" s="122">
        <v>3.3719999999999999</v>
      </c>
      <c r="V205" s="122">
        <v>1248.5001999999999</v>
      </c>
      <c r="W205" s="122">
        <v>4209.9426700000004</v>
      </c>
      <c r="X205" s="123">
        <v>4.1599999999999997E-4</v>
      </c>
      <c r="Y205" s="123">
        <v>6.8900000000000005E-4</v>
      </c>
      <c r="Z205" s="123">
        <v>6.9999999999999994E-5</v>
      </c>
    </row>
    <row r="206" spans="1:26" ht="15" customHeight="1">
      <c r="A206" s="121">
        <v>313</v>
      </c>
      <c r="B206" s="121">
        <v>313</v>
      </c>
      <c r="C206" s="120" t="s">
        <v>2132</v>
      </c>
      <c r="D206" s="121"/>
      <c r="E206" s="120"/>
      <c r="F206" s="120" t="s">
        <v>2345</v>
      </c>
      <c r="G206" s="121">
        <v>9840569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295</v>
      </c>
      <c r="O206" s="120" t="s">
        <v>338</v>
      </c>
      <c r="P206" s="124">
        <v>42090</v>
      </c>
      <c r="Q206" s="120" t="s">
        <v>1222</v>
      </c>
      <c r="R206" s="120" t="s">
        <v>886</v>
      </c>
      <c r="S206" s="120" t="s">
        <v>890</v>
      </c>
      <c r="T206" s="124">
        <v>45838</v>
      </c>
      <c r="U206" s="122">
        <v>3.3719999999999999</v>
      </c>
      <c r="V206" s="122">
        <v>4.4731500000000004</v>
      </c>
      <c r="W206" s="122">
        <v>15.083449999999999</v>
      </c>
      <c r="X206" s="123">
        <v>6.9999999999999999E-6</v>
      </c>
      <c r="Y206" s="123">
        <v>1.9999999999999999E-6</v>
      </c>
      <c r="Z206" s="123">
        <v>0</v>
      </c>
    </row>
    <row r="207" spans="1:26" ht="15" customHeight="1">
      <c r="A207" s="121">
        <v>313</v>
      </c>
      <c r="B207" s="121">
        <v>313</v>
      </c>
      <c r="C207" s="120" t="s">
        <v>2197</v>
      </c>
      <c r="D207" s="121"/>
      <c r="E207" s="120"/>
      <c r="F207" s="120" t="s">
        <v>2346</v>
      </c>
      <c r="G207" s="121">
        <v>62016805</v>
      </c>
      <c r="H207" s="120" t="s">
        <v>311</v>
      </c>
      <c r="I207" s="120" t="s">
        <v>1005</v>
      </c>
      <c r="J207" s="120"/>
      <c r="K207" s="120" t="s">
        <v>204</v>
      </c>
      <c r="L207" s="120"/>
      <c r="M207" s="120"/>
      <c r="N207" s="120" t="s">
        <v>281</v>
      </c>
      <c r="O207" s="120" t="s">
        <v>338</v>
      </c>
      <c r="P207" s="124">
        <v>44910</v>
      </c>
      <c r="Q207" s="120" t="s">
        <v>1212</v>
      </c>
      <c r="R207" s="120" t="s">
        <v>886</v>
      </c>
      <c r="S207" s="120" t="s">
        <v>890</v>
      </c>
      <c r="T207" s="124">
        <v>45838</v>
      </c>
      <c r="U207" s="122">
        <v>2.4674</v>
      </c>
      <c r="V207" s="122">
        <v>12195.964319999999</v>
      </c>
      <c r="W207" s="122">
        <v>30092.322370000002</v>
      </c>
      <c r="X207" s="123">
        <v>1.0163E-2</v>
      </c>
      <c r="Y207" s="123">
        <v>4.9290000000000002E-3</v>
      </c>
      <c r="Z207" s="123">
        <v>5.0100000000000003E-4</v>
      </c>
    </row>
    <row r="208" spans="1:26" ht="15" customHeight="1">
      <c r="A208" s="121">
        <v>313</v>
      </c>
      <c r="B208" s="121">
        <v>313</v>
      </c>
      <c r="C208" s="120" t="s">
        <v>2347</v>
      </c>
      <c r="D208" s="121"/>
      <c r="E208" s="120"/>
      <c r="F208" s="120" t="s">
        <v>2348</v>
      </c>
      <c r="G208" s="121">
        <v>62021741</v>
      </c>
      <c r="H208" s="120" t="s">
        <v>311</v>
      </c>
      <c r="I208" s="120" t="s">
        <v>1002</v>
      </c>
      <c r="J208" s="120"/>
      <c r="K208" s="120" t="s">
        <v>204</v>
      </c>
      <c r="L208" s="120"/>
      <c r="M208" s="120"/>
      <c r="N208" s="120" t="s">
        <v>223</v>
      </c>
      <c r="O208" s="120" t="s">
        <v>338</v>
      </c>
      <c r="P208" s="124">
        <v>45615</v>
      </c>
      <c r="Q208" s="120" t="s">
        <v>1222</v>
      </c>
      <c r="R208" s="120" t="s">
        <v>886</v>
      </c>
      <c r="S208" s="120" t="s">
        <v>890</v>
      </c>
      <c r="T208" s="124">
        <v>45838</v>
      </c>
      <c r="U208" s="122">
        <v>3.3719999999999999</v>
      </c>
      <c r="V208" s="122">
        <v>3142.18046</v>
      </c>
      <c r="W208" s="122">
        <v>10595.43252</v>
      </c>
      <c r="X208" s="123">
        <v>3.9199999999999999E-4</v>
      </c>
      <c r="Y208" s="123">
        <v>1.735E-3</v>
      </c>
      <c r="Z208" s="123">
        <v>1.76E-4</v>
      </c>
    </row>
    <row r="209" spans="1:26" ht="15" customHeight="1">
      <c r="A209" s="121">
        <v>313</v>
      </c>
      <c r="B209" s="121">
        <v>313</v>
      </c>
      <c r="C209" s="120" t="s">
        <v>2233</v>
      </c>
      <c r="D209" s="121"/>
      <c r="E209" s="120"/>
      <c r="F209" s="120" t="s">
        <v>2349</v>
      </c>
      <c r="G209" s="121">
        <v>62001330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250</v>
      </c>
      <c r="O209" s="120" t="s">
        <v>338</v>
      </c>
      <c r="P209" s="124">
        <v>38813</v>
      </c>
      <c r="Q209" s="120" t="s">
        <v>1224</v>
      </c>
      <c r="R209" s="120" t="s">
        <v>886</v>
      </c>
      <c r="S209" s="120" t="s">
        <v>890</v>
      </c>
      <c r="T209" s="124">
        <v>45838</v>
      </c>
      <c r="U209" s="122">
        <v>2.3400000000000001E-2</v>
      </c>
      <c r="V209" s="122">
        <v>166785.38318999999</v>
      </c>
      <c r="W209" s="122">
        <v>3897.6076200000002</v>
      </c>
      <c r="X209" s="123">
        <v>8.9300000000000004E-3</v>
      </c>
      <c r="Y209" s="123">
        <v>6.38E-4</v>
      </c>
      <c r="Z209" s="123">
        <v>6.3999999999999997E-5</v>
      </c>
    </row>
    <row r="210" spans="1:26" ht="15" customHeight="1">
      <c r="A210" s="121">
        <v>313</v>
      </c>
      <c r="B210" s="121">
        <v>313</v>
      </c>
      <c r="C210" s="120" t="s">
        <v>2350</v>
      </c>
      <c r="D210" s="121"/>
      <c r="E210" s="120"/>
      <c r="F210" s="120" t="s">
        <v>2351</v>
      </c>
      <c r="G210" s="121">
        <v>62020482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295</v>
      </c>
      <c r="O210" s="120" t="s">
        <v>338</v>
      </c>
      <c r="P210" s="124">
        <v>39054</v>
      </c>
      <c r="Q210" s="120" t="s">
        <v>1215</v>
      </c>
      <c r="R210" s="120" t="s">
        <v>886</v>
      </c>
      <c r="S210" s="120" t="s">
        <v>890</v>
      </c>
      <c r="T210" s="124">
        <v>45838</v>
      </c>
      <c r="U210" s="122">
        <v>3.9552</v>
      </c>
      <c r="V210" s="122">
        <v>12971.171689999999</v>
      </c>
      <c r="W210" s="122">
        <v>51303.578289999998</v>
      </c>
      <c r="X210" s="123">
        <v>8.1599999999999999E-4</v>
      </c>
      <c r="Y210" s="123">
        <v>8.404E-3</v>
      </c>
      <c r="Z210" s="123">
        <v>8.5400000000000005E-4</v>
      </c>
    </row>
    <row r="211" spans="1:26" ht="15" customHeight="1">
      <c r="A211" s="121">
        <v>313</v>
      </c>
      <c r="B211" s="121">
        <v>313</v>
      </c>
      <c r="C211" s="120" t="s">
        <v>2352</v>
      </c>
      <c r="D211" s="121"/>
      <c r="E211" s="120"/>
      <c r="F211" s="120" t="s">
        <v>2352</v>
      </c>
      <c r="G211" s="121">
        <v>62013932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295</v>
      </c>
      <c r="O211" s="120" t="s">
        <v>338</v>
      </c>
      <c r="P211" s="124">
        <v>45553</v>
      </c>
      <c r="Q211" s="120" t="s">
        <v>1222</v>
      </c>
      <c r="R211" s="120" t="s">
        <v>886</v>
      </c>
      <c r="S211" s="120" t="s">
        <v>890</v>
      </c>
      <c r="T211" s="124">
        <v>45838</v>
      </c>
      <c r="U211" s="122">
        <v>3.3719999999999999</v>
      </c>
      <c r="V211" s="122">
        <v>2957.9509899999998</v>
      </c>
      <c r="W211" s="122">
        <v>9974.2107400000004</v>
      </c>
      <c r="X211" s="123">
        <v>9.8999999999999994E-5</v>
      </c>
      <c r="Y211" s="123">
        <v>1.6329999999999999E-3</v>
      </c>
      <c r="Z211" s="123">
        <v>1.66E-4</v>
      </c>
    </row>
    <row r="212" spans="1:26" ht="15" customHeight="1">
      <c r="A212" s="121">
        <v>313</v>
      </c>
      <c r="B212" s="121">
        <v>313</v>
      </c>
      <c r="C212" s="120" t="s">
        <v>2140</v>
      </c>
      <c r="D212" s="121"/>
      <c r="E212" s="120"/>
      <c r="F212" s="120" t="s">
        <v>2353</v>
      </c>
      <c r="G212" s="121">
        <v>40000515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292</v>
      </c>
      <c r="O212" s="120" t="s">
        <v>338</v>
      </c>
      <c r="P212" s="124">
        <v>43513</v>
      </c>
      <c r="Q212" s="120" t="s">
        <v>1215</v>
      </c>
      <c r="R212" s="120" t="s">
        <v>886</v>
      </c>
      <c r="S212" s="120" t="s">
        <v>890</v>
      </c>
      <c r="T212" s="124">
        <v>45838</v>
      </c>
      <c r="U212" s="122">
        <v>3.9552</v>
      </c>
      <c r="V212" s="122">
        <v>863.73599999999999</v>
      </c>
      <c r="W212" s="122">
        <v>3416.24863</v>
      </c>
      <c r="X212" s="123">
        <v>8.6300000000000005E-4</v>
      </c>
      <c r="Y212" s="123">
        <v>5.5900000000000004E-4</v>
      </c>
      <c r="Z212" s="123">
        <v>5.5999999999999999E-5</v>
      </c>
    </row>
    <row r="213" spans="1:26" ht="15" customHeight="1">
      <c r="A213" s="121">
        <v>313</v>
      </c>
      <c r="B213" s="121">
        <v>313</v>
      </c>
      <c r="C213" s="120" t="s">
        <v>2202</v>
      </c>
      <c r="D213" s="121"/>
      <c r="E213" s="120"/>
      <c r="F213" s="120" t="s">
        <v>2354</v>
      </c>
      <c r="G213" s="121">
        <v>60391323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292</v>
      </c>
      <c r="O213" s="120" t="s">
        <v>338</v>
      </c>
      <c r="P213" s="124">
        <v>39783</v>
      </c>
      <c r="Q213" s="120" t="s">
        <v>1225</v>
      </c>
      <c r="R213" s="120" t="s">
        <v>886</v>
      </c>
      <c r="S213" s="120" t="s">
        <v>890</v>
      </c>
      <c r="T213" s="124">
        <v>45838</v>
      </c>
      <c r="U213" s="122">
        <v>4.6235999999999997</v>
      </c>
      <c r="V213" s="122">
        <v>676.51725999999996</v>
      </c>
      <c r="W213" s="122">
        <v>3127.9451800000002</v>
      </c>
      <c r="X213" s="123">
        <v>2.7060000000000001E-3</v>
      </c>
      <c r="Y213" s="123">
        <v>5.1199999999999998E-4</v>
      </c>
      <c r="Z213" s="123">
        <v>5.1999999999999997E-5</v>
      </c>
    </row>
    <row r="214" spans="1:26" ht="15" customHeight="1">
      <c r="A214" s="121">
        <v>313</v>
      </c>
      <c r="B214" s="121">
        <v>313</v>
      </c>
      <c r="C214" s="120" t="s">
        <v>2355</v>
      </c>
      <c r="D214" s="121"/>
      <c r="E214" s="120"/>
      <c r="F214" s="120" t="s">
        <v>2356</v>
      </c>
      <c r="G214" s="121">
        <v>62020656</v>
      </c>
      <c r="H214" s="120" t="s">
        <v>311</v>
      </c>
      <c r="I214" s="120" t="s">
        <v>1002</v>
      </c>
      <c r="J214" s="120"/>
      <c r="K214" s="120" t="s">
        <v>204</v>
      </c>
      <c r="L214" s="120"/>
      <c r="M214" s="120"/>
      <c r="N214" s="120" t="s">
        <v>292</v>
      </c>
      <c r="O214" s="120" t="s">
        <v>338</v>
      </c>
      <c r="P214" s="124">
        <v>40179</v>
      </c>
      <c r="Q214" s="120" t="s">
        <v>1215</v>
      </c>
      <c r="R214" s="120" t="s">
        <v>886</v>
      </c>
      <c r="S214" s="120" t="s">
        <v>890</v>
      </c>
      <c r="T214" s="124">
        <v>45838</v>
      </c>
      <c r="U214" s="122">
        <v>3.9552</v>
      </c>
      <c r="V214" s="122">
        <v>28814.665140000001</v>
      </c>
      <c r="W214" s="122">
        <v>113967.76357</v>
      </c>
      <c r="X214" s="123">
        <v>0.13528000000000001</v>
      </c>
      <c r="Y214" s="123">
        <v>1.8669999999999999E-2</v>
      </c>
      <c r="Z214" s="123">
        <v>1.897E-3</v>
      </c>
    </row>
    <row r="215" spans="1:26" ht="15" customHeight="1">
      <c r="A215" s="121">
        <v>313</v>
      </c>
      <c r="B215" s="121">
        <v>313</v>
      </c>
      <c r="C215" s="120" t="s">
        <v>2357</v>
      </c>
      <c r="D215" s="121"/>
      <c r="E215" s="120"/>
      <c r="F215" s="120" t="s">
        <v>2358</v>
      </c>
      <c r="G215" s="121">
        <v>60302569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284</v>
      </c>
      <c r="O215" s="120" t="s">
        <v>338</v>
      </c>
      <c r="P215" s="124">
        <v>40948</v>
      </c>
      <c r="Q215" s="120" t="s">
        <v>1222</v>
      </c>
      <c r="R215" s="120" t="s">
        <v>886</v>
      </c>
      <c r="S215" s="120" t="s">
        <v>890</v>
      </c>
      <c r="T215" s="124">
        <v>45838</v>
      </c>
      <c r="U215" s="122">
        <v>3.3719999999999999</v>
      </c>
      <c r="V215" s="122">
        <v>3247.5871699999998</v>
      </c>
      <c r="W215" s="122">
        <v>10950.863939999999</v>
      </c>
      <c r="X215" s="123">
        <v>2.5509999999999999E-3</v>
      </c>
      <c r="Y215" s="123">
        <v>1.7930000000000001E-3</v>
      </c>
      <c r="Z215" s="123">
        <v>1.8200000000000001E-4</v>
      </c>
    </row>
    <row r="216" spans="1:26" ht="15" customHeight="1">
      <c r="A216" s="121">
        <v>313</v>
      </c>
      <c r="B216" s="121">
        <v>313</v>
      </c>
      <c r="C216" s="120" t="s">
        <v>2359</v>
      </c>
      <c r="D216" s="121"/>
      <c r="E216" s="120"/>
      <c r="F216" s="120" t="s">
        <v>2360</v>
      </c>
      <c r="G216" s="121">
        <v>62017588</v>
      </c>
      <c r="H216" s="120" t="s">
        <v>311</v>
      </c>
      <c r="I216" s="120" t="s">
        <v>1005</v>
      </c>
      <c r="J216" s="120"/>
      <c r="K216" s="120" t="s">
        <v>204</v>
      </c>
      <c r="L216" s="120"/>
      <c r="M216" s="120"/>
      <c r="N216" s="120" t="s">
        <v>292</v>
      </c>
      <c r="O216" s="120" t="s">
        <v>338</v>
      </c>
      <c r="P216" s="124">
        <v>43346</v>
      </c>
      <c r="Q216" s="120" t="s">
        <v>1215</v>
      </c>
      <c r="R216" s="120" t="s">
        <v>886</v>
      </c>
      <c r="S216" s="120" t="s">
        <v>890</v>
      </c>
      <c r="T216" s="124">
        <v>45838</v>
      </c>
      <c r="U216" s="122">
        <v>3.9552</v>
      </c>
      <c r="V216" s="122">
        <v>5793.9632899999997</v>
      </c>
      <c r="W216" s="122">
        <v>22916.283589999999</v>
      </c>
      <c r="X216" s="123">
        <v>3.1150000000000001E-2</v>
      </c>
      <c r="Y216" s="123">
        <v>3.754E-3</v>
      </c>
      <c r="Z216" s="123">
        <v>3.8099999999999999E-4</v>
      </c>
    </row>
    <row r="217" spans="1:26" ht="15" customHeight="1">
      <c r="A217" s="121">
        <v>313</v>
      </c>
      <c r="B217" s="121">
        <v>313</v>
      </c>
      <c r="C217" s="120" t="s">
        <v>2134</v>
      </c>
      <c r="D217" s="121"/>
      <c r="E217" s="120"/>
      <c r="F217" s="120" t="s">
        <v>2361</v>
      </c>
      <c r="G217" s="121">
        <v>62011337</v>
      </c>
      <c r="H217" s="120" t="s">
        <v>311</v>
      </c>
      <c r="I217" s="120" t="s">
        <v>1005</v>
      </c>
      <c r="J217" s="120"/>
      <c r="K217" s="120" t="s">
        <v>204</v>
      </c>
      <c r="L217" s="120"/>
      <c r="M217" s="120"/>
      <c r="N217" s="120" t="s">
        <v>292</v>
      </c>
      <c r="O217" s="120" t="s">
        <v>338</v>
      </c>
      <c r="P217" s="124">
        <v>41931</v>
      </c>
      <c r="Q217" s="120" t="s">
        <v>1215</v>
      </c>
      <c r="R217" s="120" t="s">
        <v>886</v>
      </c>
      <c r="S217" s="120" t="s">
        <v>890</v>
      </c>
      <c r="T217" s="124">
        <v>45838</v>
      </c>
      <c r="U217" s="122">
        <v>3.9552</v>
      </c>
      <c r="V217" s="122">
        <v>1743.49343</v>
      </c>
      <c r="W217" s="122">
        <v>6895.8652300000003</v>
      </c>
      <c r="X217" s="123">
        <v>2.1957000000000001E-2</v>
      </c>
      <c r="Y217" s="123">
        <v>1.129E-3</v>
      </c>
      <c r="Z217" s="123">
        <v>1.1400000000000001E-4</v>
      </c>
    </row>
    <row r="218" spans="1:26" ht="15" customHeight="1">
      <c r="A218" s="121">
        <v>313</v>
      </c>
      <c r="B218" s="121">
        <v>313</v>
      </c>
      <c r="C218" s="120" t="s">
        <v>2138</v>
      </c>
      <c r="D218" s="121"/>
      <c r="E218" s="120"/>
      <c r="F218" s="120" t="s">
        <v>2362</v>
      </c>
      <c r="G218" s="121">
        <v>9840574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303</v>
      </c>
      <c r="O218" s="120" t="s">
        <v>338</v>
      </c>
      <c r="P218" s="124">
        <v>44406</v>
      </c>
      <c r="Q218" s="120" t="s">
        <v>1222</v>
      </c>
      <c r="R218" s="120" t="s">
        <v>886</v>
      </c>
      <c r="S218" s="120" t="s">
        <v>890</v>
      </c>
      <c r="T218" s="124">
        <v>45838</v>
      </c>
      <c r="U218" s="122">
        <v>3.3719999999999999</v>
      </c>
      <c r="V218" s="122">
        <v>1541.9412</v>
      </c>
      <c r="W218" s="122">
        <v>5199.4257299999999</v>
      </c>
      <c r="X218" s="123">
        <v>3.039E-3</v>
      </c>
      <c r="Y218" s="123">
        <v>8.5099999999999998E-4</v>
      </c>
      <c r="Z218" s="123">
        <v>8.6000000000000003E-5</v>
      </c>
    </row>
    <row r="219" spans="1:26" ht="15" customHeight="1">
      <c r="A219" s="121">
        <v>313</v>
      </c>
      <c r="B219" s="121">
        <v>313</v>
      </c>
      <c r="C219" s="120" t="s">
        <v>2132</v>
      </c>
      <c r="D219" s="121"/>
      <c r="E219" s="120"/>
      <c r="F219" s="120" t="s">
        <v>2363</v>
      </c>
      <c r="G219" s="121">
        <v>60413218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223</v>
      </c>
      <c r="O219" s="120" t="s">
        <v>338</v>
      </c>
      <c r="P219" s="124">
        <v>43796</v>
      </c>
      <c r="Q219" s="120" t="s">
        <v>1222</v>
      </c>
      <c r="R219" s="120" t="s">
        <v>886</v>
      </c>
      <c r="S219" s="120" t="s">
        <v>890</v>
      </c>
      <c r="T219" s="124">
        <v>45838</v>
      </c>
      <c r="U219" s="122">
        <v>3.3719999999999999</v>
      </c>
      <c r="V219" s="122">
        <v>1007.97407</v>
      </c>
      <c r="W219" s="122">
        <v>3398.8885500000001</v>
      </c>
      <c r="X219" s="123">
        <v>2.0159E-2</v>
      </c>
      <c r="Y219" s="123">
        <v>5.5599999999999996E-4</v>
      </c>
      <c r="Z219" s="123">
        <v>5.5999999999999999E-5</v>
      </c>
    </row>
    <row r="220" spans="1:26" ht="15" customHeight="1">
      <c r="A220" s="121">
        <v>313</v>
      </c>
      <c r="B220" s="121">
        <v>313</v>
      </c>
      <c r="C220" s="120" t="s">
        <v>2364</v>
      </c>
      <c r="D220" s="121"/>
      <c r="E220" s="120"/>
      <c r="F220" s="120" t="s">
        <v>2365</v>
      </c>
      <c r="G220" s="121">
        <v>60409687</v>
      </c>
      <c r="H220" s="120" t="s">
        <v>311</v>
      </c>
      <c r="I220" s="120" t="s">
        <v>1006</v>
      </c>
      <c r="J220" s="120"/>
      <c r="K220" s="120" t="s">
        <v>204</v>
      </c>
      <c r="L220" s="120"/>
      <c r="M220" s="120"/>
      <c r="N220" s="120" t="s">
        <v>223</v>
      </c>
      <c r="O220" s="120" t="s">
        <v>338</v>
      </c>
      <c r="P220" s="124">
        <v>39845</v>
      </c>
      <c r="Q220" s="120" t="s">
        <v>1222</v>
      </c>
      <c r="R220" s="120" t="s">
        <v>886</v>
      </c>
      <c r="S220" s="120" t="s">
        <v>890</v>
      </c>
      <c r="T220" s="124">
        <v>45838</v>
      </c>
      <c r="U220" s="122">
        <v>3.3719999999999999</v>
      </c>
      <c r="V220" s="122">
        <v>7749.6584000000003</v>
      </c>
      <c r="W220" s="122">
        <v>26131.848119999999</v>
      </c>
      <c r="X220" s="123">
        <v>1.7611999999999999E-2</v>
      </c>
      <c r="Y220" s="123">
        <v>4.28E-3</v>
      </c>
      <c r="Z220" s="123">
        <v>4.35E-4</v>
      </c>
    </row>
    <row r="221" spans="1:26" ht="15" customHeight="1">
      <c r="A221" s="121">
        <v>313</v>
      </c>
      <c r="B221" s="121">
        <v>313</v>
      </c>
      <c r="C221" s="120" t="s">
        <v>2366</v>
      </c>
      <c r="D221" s="121"/>
      <c r="E221" s="120"/>
      <c r="F221" s="120" t="s">
        <v>2367</v>
      </c>
      <c r="G221" s="121">
        <v>62016841</v>
      </c>
      <c r="H221" s="120" t="s">
        <v>311</v>
      </c>
      <c r="I221" s="120" t="s">
        <v>1005</v>
      </c>
      <c r="J221" s="120"/>
      <c r="K221" s="120" t="s">
        <v>204</v>
      </c>
      <c r="L221" s="120"/>
      <c r="M221" s="120"/>
      <c r="N221" s="120" t="s">
        <v>281</v>
      </c>
      <c r="O221" s="120" t="s">
        <v>338</v>
      </c>
      <c r="P221" s="124">
        <v>42930</v>
      </c>
      <c r="Q221" s="120" t="s">
        <v>1212</v>
      </c>
      <c r="R221" s="120" t="s">
        <v>886</v>
      </c>
      <c r="S221" s="120" t="s">
        <v>890</v>
      </c>
      <c r="T221" s="124">
        <v>45838</v>
      </c>
      <c r="U221" s="122">
        <v>2.4674</v>
      </c>
      <c r="V221" s="122">
        <v>1792.4076700000001</v>
      </c>
      <c r="W221" s="122">
        <v>4422.5866800000003</v>
      </c>
      <c r="X221" s="123">
        <v>1.792E-3</v>
      </c>
      <c r="Y221" s="123">
        <v>7.2400000000000003E-4</v>
      </c>
      <c r="Z221" s="123">
        <v>7.2999999999999999E-5</v>
      </c>
    </row>
    <row r="222" spans="1:26" ht="15" customHeight="1">
      <c r="A222" s="121">
        <v>313</v>
      </c>
      <c r="B222" s="121">
        <v>313</v>
      </c>
      <c r="C222" s="120" t="s">
        <v>2368</v>
      </c>
      <c r="D222" s="121"/>
      <c r="E222" s="120"/>
      <c r="F222" s="120" t="s">
        <v>2369</v>
      </c>
      <c r="G222" s="121">
        <v>60344975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223</v>
      </c>
      <c r="O222" s="120" t="s">
        <v>338</v>
      </c>
      <c r="P222" s="124">
        <v>41583</v>
      </c>
      <c r="Q222" s="120" t="s">
        <v>1222</v>
      </c>
      <c r="R222" s="120" t="s">
        <v>886</v>
      </c>
      <c r="S222" s="120" t="s">
        <v>890</v>
      </c>
      <c r="T222" s="124">
        <v>45838</v>
      </c>
      <c r="U222" s="122">
        <v>3.3719999999999999</v>
      </c>
      <c r="V222" s="122">
        <v>3315.3129800000002</v>
      </c>
      <c r="W222" s="122">
        <v>11179.23537</v>
      </c>
      <c r="X222" s="123">
        <v>1.8000000000000001E-4</v>
      </c>
      <c r="Y222" s="123">
        <v>1.8309999999999999E-3</v>
      </c>
      <c r="Z222" s="123">
        <v>1.8599999999999999E-4</v>
      </c>
    </row>
    <row r="223" spans="1:26" ht="15" customHeight="1">
      <c r="A223" s="121">
        <v>313</v>
      </c>
      <c r="B223" s="121">
        <v>313</v>
      </c>
      <c r="C223" s="120" t="s">
        <v>2370</v>
      </c>
      <c r="D223" s="121"/>
      <c r="E223" s="120"/>
      <c r="F223" s="120" t="s">
        <v>2371</v>
      </c>
      <c r="G223" s="121">
        <v>60289782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223</v>
      </c>
      <c r="O223" s="120" t="s">
        <v>338</v>
      </c>
      <c r="P223" s="124">
        <v>42969</v>
      </c>
      <c r="Q223" s="120" t="s">
        <v>1222</v>
      </c>
      <c r="R223" s="120" t="s">
        <v>886</v>
      </c>
      <c r="S223" s="120" t="s">
        <v>890</v>
      </c>
      <c r="T223" s="124">
        <v>45838</v>
      </c>
      <c r="U223" s="122">
        <v>3.3719999999999999</v>
      </c>
      <c r="V223" s="122">
        <v>653.56132000000002</v>
      </c>
      <c r="W223" s="122">
        <v>2203.8087700000001</v>
      </c>
      <c r="X223" s="123">
        <v>1.74E-4</v>
      </c>
      <c r="Y223" s="123">
        <v>3.6099999999999999E-4</v>
      </c>
      <c r="Z223" s="123">
        <v>3.6000000000000001E-5</v>
      </c>
    </row>
    <row r="224" spans="1:26" ht="15" customHeight="1">
      <c r="A224" s="121">
        <v>313</v>
      </c>
      <c r="B224" s="121">
        <v>313</v>
      </c>
      <c r="C224" s="120" t="s">
        <v>2062</v>
      </c>
      <c r="D224" s="121"/>
      <c r="E224" s="120"/>
      <c r="F224" s="120" t="s">
        <v>2372</v>
      </c>
      <c r="G224" s="121">
        <v>60385259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292</v>
      </c>
      <c r="O224" s="120" t="s">
        <v>338</v>
      </c>
      <c r="P224" s="124">
        <v>42095</v>
      </c>
      <c r="Q224" s="120" t="s">
        <v>1215</v>
      </c>
      <c r="R224" s="120" t="s">
        <v>886</v>
      </c>
      <c r="S224" s="120" t="s">
        <v>890</v>
      </c>
      <c r="T224" s="124">
        <v>45838</v>
      </c>
      <c r="U224" s="122">
        <v>3.9552</v>
      </c>
      <c r="V224" s="122">
        <v>1279.7665</v>
      </c>
      <c r="W224" s="122">
        <v>5061.7324500000004</v>
      </c>
      <c r="X224" s="123">
        <v>1.0009999999999999E-3</v>
      </c>
      <c r="Y224" s="123">
        <v>8.2899999999999998E-4</v>
      </c>
      <c r="Z224" s="123">
        <v>8.3999999999999995E-5</v>
      </c>
    </row>
    <row r="225" spans="1:26" ht="15" customHeight="1">
      <c r="A225" s="121">
        <v>313</v>
      </c>
      <c r="B225" s="121">
        <v>313</v>
      </c>
      <c r="C225" s="120" t="s">
        <v>2267</v>
      </c>
      <c r="D225" s="121"/>
      <c r="E225" s="120"/>
      <c r="F225" s="120" t="s">
        <v>2373</v>
      </c>
      <c r="G225" s="121">
        <v>60323052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267</v>
      </c>
      <c r="O225" s="120" t="s">
        <v>338</v>
      </c>
      <c r="P225" s="124">
        <v>44784</v>
      </c>
      <c r="Q225" s="120" t="s">
        <v>1222</v>
      </c>
      <c r="R225" s="120" t="s">
        <v>886</v>
      </c>
      <c r="S225" s="120" t="s">
        <v>890</v>
      </c>
      <c r="T225" s="124">
        <v>45838</v>
      </c>
      <c r="U225" s="122">
        <v>3.3719999999999999</v>
      </c>
      <c r="V225" s="122">
        <v>818.17145000000005</v>
      </c>
      <c r="W225" s="122">
        <v>2758.8741500000001</v>
      </c>
      <c r="X225" s="123">
        <v>3.1199999999999999E-4</v>
      </c>
      <c r="Y225" s="123">
        <v>4.5100000000000001E-4</v>
      </c>
      <c r="Z225" s="123">
        <v>4.5000000000000003E-5</v>
      </c>
    </row>
    <row r="226" spans="1:26" ht="15" customHeight="1">
      <c r="A226" s="121">
        <v>313</v>
      </c>
      <c r="B226" s="121">
        <v>313</v>
      </c>
      <c r="C226" s="120" t="s">
        <v>2200</v>
      </c>
      <c r="D226" s="121"/>
      <c r="E226" s="120"/>
      <c r="F226" s="120" t="s">
        <v>2374</v>
      </c>
      <c r="G226" s="121">
        <v>60409695</v>
      </c>
      <c r="H226" s="120" t="s">
        <v>311</v>
      </c>
      <c r="I226" s="120" t="s">
        <v>1002</v>
      </c>
      <c r="J226" s="120"/>
      <c r="K226" s="120" t="s">
        <v>204</v>
      </c>
      <c r="L226" s="120"/>
      <c r="M226" s="120"/>
      <c r="N226" s="120" t="s">
        <v>223</v>
      </c>
      <c r="O226" s="120" t="s">
        <v>338</v>
      </c>
      <c r="P226" s="124">
        <v>41929</v>
      </c>
      <c r="Q226" s="120" t="s">
        <v>1222</v>
      </c>
      <c r="R226" s="120" t="s">
        <v>886</v>
      </c>
      <c r="S226" s="120" t="s">
        <v>890</v>
      </c>
      <c r="T226" s="124">
        <v>45838</v>
      </c>
      <c r="U226" s="122">
        <v>3.3719999999999999</v>
      </c>
      <c r="V226" s="122">
        <v>7947.3945199999998</v>
      </c>
      <c r="W226" s="122">
        <v>26798.61433</v>
      </c>
      <c r="X226" s="123">
        <v>5.6700000000000001E-4</v>
      </c>
      <c r="Y226" s="123">
        <v>4.3899999999999998E-3</v>
      </c>
      <c r="Z226" s="123">
        <v>4.46E-4</v>
      </c>
    </row>
    <row r="227" spans="1:26" ht="15" customHeight="1">
      <c r="A227" s="121">
        <v>313</v>
      </c>
      <c r="B227" s="121">
        <v>313</v>
      </c>
      <c r="C227" s="120" t="s">
        <v>2316</v>
      </c>
      <c r="D227" s="121"/>
      <c r="E227" s="120"/>
      <c r="F227" s="120" t="s">
        <v>2375</v>
      </c>
      <c r="G227" s="121">
        <v>62021833</v>
      </c>
      <c r="H227" s="120" t="s">
        <v>311</v>
      </c>
      <c r="I227" s="120" t="s">
        <v>1002</v>
      </c>
      <c r="J227" s="120"/>
      <c r="K227" s="120" t="s">
        <v>204</v>
      </c>
      <c r="L227" s="120"/>
      <c r="M227" s="120"/>
      <c r="N227" s="120" t="s">
        <v>295</v>
      </c>
      <c r="O227" s="120" t="s">
        <v>338</v>
      </c>
      <c r="P227" s="124">
        <v>45650</v>
      </c>
      <c r="Q227" s="120" t="s">
        <v>1222</v>
      </c>
      <c r="R227" s="120" t="s">
        <v>886</v>
      </c>
      <c r="S227" s="120" t="s">
        <v>890</v>
      </c>
      <c r="T227" s="124">
        <v>45838</v>
      </c>
      <c r="U227" s="122">
        <v>3.3719999999999999</v>
      </c>
      <c r="V227" s="122">
        <v>2937.8249599999999</v>
      </c>
      <c r="W227" s="122">
        <v>9906.3457799999996</v>
      </c>
      <c r="X227" s="123">
        <v>3.916E-2</v>
      </c>
      <c r="Y227" s="123">
        <v>1.622E-3</v>
      </c>
      <c r="Z227" s="123">
        <v>1.64E-4</v>
      </c>
    </row>
    <row r="228" spans="1:26" ht="15" customHeight="1">
      <c r="A228" s="121">
        <v>313</v>
      </c>
      <c r="B228" s="121">
        <v>313</v>
      </c>
      <c r="C228" s="120" t="s">
        <v>2376</v>
      </c>
      <c r="D228" s="121"/>
      <c r="E228" s="120"/>
      <c r="F228" s="120" t="s">
        <v>2377</v>
      </c>
      <c r="G228" s="121">
        <v>60265089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295</v>
      </c>
      <c r="O228" s="120" t="s">
        <v>338</v>
      </c>
      <c r="P228" s="124">
        <v>41309</v>
      </c>
      <c r="Q228" s="120" t="s">
        <v>1222</v>
      </c>
      <c r="R228" s="120" t="s">
        <v>886</v>
      </c>
      <c r="S228" s="120" t="s">
        <v>890</v>
      </c>
      <c r="T228" s="124">
        <v>45838</v>
      </c>
      <c r="U228" s="122">
        <v>3.3719999999999999</v>
      </c>
      <c r="V228" s="122">
        <v>1692.06888</v>
      </c>
      <c r="W228" s="122">
        <v>5705.6562599999997</v>
      </c>
      <c r="X228" s="123">
        <v>1.11E-4</v>
      </c>
      <c r="Y228" s="123">
        <v>9.3400000000000004E-4</v>
      </c>
      <c r="Z228" s="123">
        <v>9.5000000000000005E-5</v>
      </c>
    </row>
    <row r="229" spans="1:26" ht="15" customHeight="1">
      <c r="A229" s="121">
        <v>313</v>
      </c>
      <c r="B229" s="121">
        <v>313</v>
      </c>
      <c r="C229" s="120" t="s">
        <v>2378</v>
      </c>
      <c r="D229" s="121"/>
      <c r="E229" s="120"/>
      <c r="F229" s="120" t="s">
        <v>2379</v>
      </c>
      <c r="G229" s="121">
        <v>62020466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223</v>
      </c>
      <c r="O229" s="120" t="s">
        <v>338</v>
      </c>
      <c r="P229" s="124">
        <v>43227</v>
      </c>
      <c r="Q229" s="120" t="s">
        <v>1222</v>
      </c>
      <c r="R229" s="120" t="s">
        <v>886</v>
      </c>
      <c r="S229" s="120" t="s">
        <v>890</v>
      </c>
      <c r="T229" s="124">
        <v>45838</v>
      </c>
      <c r="U229" s="122">
        <v>3.3719999999999999</v>
      </c>
      <c r="V229" s="122">
        <v>15101.914849999999</v>
      </c>
      <c r="W229" s="122">
        <v>50923.656869999999</v>
      </c>
      <c r="X229" s="123">
        <v>1.3780000000000001E-3</v>
      </c>
      <c r="Y229" s="123">
        <v>8.3420000000000005E-3</v>
      </c>
      <c r="Z229" s="123">
        <v>8.4800000000000001E-4</v>
      </c>
    </row>
    <row r="230" spans="1:26" ht="15" customHeight="1">
      <c r="A230" s="121">
        <v>313</v>
      </c>
      <c r="B230" s="121">
        <v>313</v>
      </c>
      <c r="C230" s="120" t="s">
        <v>2191</v>
      </c>
      <c r="D230" s="121"/>
      <c r="E230" s="120"/>
      <c r="F230" s="120" t="s">
        <v>2380</v>
      </c>
      <c r="G230" s="121">
        <v>41000853</v>
      </c>
      <c r="H230" s="120" t="s">
        <v>311</v>
      </c>
      <c r="I230" s="120" t="s">
        <v>1001</v>
      </c>
      <c r="J230" s="120"/>
      <c r="K230" s="120" t="s">
        <v>204</v>
      </c>
      <c r="L230" s="120"/>
      <c r="M230" s="120"/>
      <c r="N230" s="120" t="s">
        <v>295</v>
      </c>
      <c r="O230" s="120" t="s">
        <v>338</v>
      </c>
      <c r="P230" s="124">
        <v>43513</v>
      </c>
      <c r="Q230" s="120" t="s">
        <v>1215</v>
      </c>
      <c r="R230" s="120" t="s">
        <v>886</v>
      </c>
      <c r="S230" s="120" t="s">
        <v>890</v>
      </c>
      <c r="T230" s="124">
        <v>45838</v>
      </c>
      <c r="U230" s="122">
        <v>3.9552</v>
      </c>
      <c r="V230" s="122">
        <v>18.14</v>
      </c>
      <c r="W230" s="122">
        <v>71.747330000000005</v>
      </c>
      <c r="X230" s="123">
        <v>1.8E-5</v>
      </c>
      <c r="Y230" s="123">
        <v>1.1E-5</v>
      </c>
      <c r="Z230" s="123">
        <v>9.9999999999999995E-7</v>
      </c>
    </row>
    <row r="231" spans="1:26" ht="15" customHeight="1">
      <c r="A231" s="121">
        <v>313</v>
      </c>
      <c r="B231" s="121">
        <v>313</v>
      </c>
      <c r="C231" s="120" t="s">
        <v>2364</v>
      </c>
      <c r="D231" s="121"/>
      <c r="E231" s="120"/>
      <c r="F231" s="120" t="s">
        <v>2381</v>
      </c>
      <c r="G231" s="121">
        <v>60409703</v>
      </c>
      <c r="H231" s="120" t="s">
        <v>311</v>
      </c>
      <c r="I231" s="120" t="s">
        <v>1006</v>
      </c>
      <c r="J231" s="120"/>
      <c r="K231" s="120" t="s">
        <v>204</v>
      </c>
      <c r="L231" s="120"/>
      <c r="M231" s="120"/>
      <c r="N231" s="120" t="s">
        <v>223</v>
      </c>
      <c r="O231" s="120" t="s">
        <v>338</v>
      </c>
      <c r="P231" s="124">
        <v>41165</v>
      </c>
      <c r="Q231" s="120" t="s">
        <v>1222</v>
      </c>
      <c r="R231" s="120" t="s">
        <v>886</v>
      </c>
      <c r="S231" s="120" t="s">
        <v>890</v>
      </c>
      <c r="T231" s="124">
        <v>45838</v>
      </c>
      <c r="U231" s="122">
        <v>3.3719999999999999</v>
      </c>
      <c r="V231" s="122">
        <v>6580.893</v>
      </c>
      <c r="W231" s="122">
        <v>22190.771199999999</v>
      </c>
      <c r="X231" s="123">
        <v>6.6429999999999996E-3</v>
      </c>
      <c r="Y231" s="123">
        <v>3.6350000000000002E-3</v>
      </c>
      <c r="Z231" s="123">
        <v>3.6900000000000002E-4</v>
      </c>
    </row>
    <row r="232" spans="1:26" ht="15" customHeight="1">
      <c r="A232" s="121">
        <v>313</v>
      </c>
      <c r="B232" s="121">
        <v>313</v>
      </c>
      <c r="C232" s="120" t="s">
        <v>2333</v>
      </c>
      <c r="D232" s="121"/>
      <c r="E232" s="120"/>
      <c r="F232" s="120" t="s">
        <v>2382</v>
      </c>
      <c r="G232" s="121">
        <v>62006523</v>
      </c>
      <c r="H232" s="120" t="s">
        <v>311</v>
      </c>
      <c r="I232" s="120" t="s">
        <v>1005</v>
      </c>
      <c r="J232" s="120"/>
      <c r="K232" s="120" t="s">
        <v>204</v>
      </c>
      <c r="L232" s="120"/>
      <c r="M232" s="120"/>
      <c r="N232" s="120" t="s">
        <v>223</v>
      </c>
      <c r="O232" s="120" t="s">
        <v>338</v>
      </c>
      <c r="P232" s="124">
        <v>43373</v>
      </c>
      <c r="Q232" s="120" t="s">
        <v>1222</v>
      </c>
      <c r="R232" s="120" t="s">
        <v>886</v>
      </c>
      <c r="S232" s="120" t="s">
        <v>890</v>
      </c>
      <c r="T232" s="124">
        <v>45838</v>
      </c>
      <c r="U232" s="122">
        <v>3.3719999999999999</v>
      </c>
      <c r="V232" s="122">
        <v>9730.69355</v>
      </c>
      <c r="W232" s="122">
        <v>32811.898650000003</v>
      </c>
      <c r="X232" s="123">
        <v>5.2589999999999998E-3</v>
      </c>
      <c r="Y232" s="123">
        <v>5.3749999999999996E-3</v>
      </c>
      <c r="Z232" s="123">
        <v>5.4600000000000004E-4</v>
      </c>
    </row>
    <row r="233" spans="1:26" ht="15" customHeight="1">
      <c r="A233" s="121">
        <v>313</v>
      </c>
      <c r="B233" s="121">
        <v>313</v>
      </c>
      <c r="C233" s="120" t="s">
        <v>2156</v>
      </c>
      <c r="D233" s="121"/>
      <c r="E233" s="120"/>
      <c r="F233" s="120" t="s">
        <v>2383</v>
      </c>
      <c r="G233" s="121">
        <v>45000102</v>
      </c>
      <c r="H233" s="120" t="s">
        <v>311</v>
      </c>
      <c r="I233" s="120" t="s">
        <v>1006</v>
      </c>
      <c r="J233" s="120"/>
      <c r="K233" s="120" t="s">
        <v>204</v>
      </c>
      <c r="L233" s="120"/>
      <c r="M233" s="120"/>
      <c r="N233" s="120" t="s">
        <v>295</v>
      </c>
      <c r="O233" s="120" t="s">
        <v>338</v>
      </c>
      <c r="P233" s="124">
        <v>45473</v>
      </c>
      <c r="Q233" s="120" t="s">
        <v>1222</v>
      </c>
      <c r="R233" s="120" t="s">
        <v>886</v>
      </c>
      <c r="S233" s="120" t="s">
        <v>890</v>
      </c>
      <c r="T233" s="124">
        <v>45838</v>
      </c>
      <c r="U233" s="122">
        <v>3.3719999999999999</v>
      </c>
      <c r="V233" s="122">
        <v>118.2551</v>
      </c>
      <c r="W233" s="122">
        <v>398.75619999999998</v>
      </c>
      <c r="X233" s="123">
        <v>3.3779999999999999E-3</v>
      </c>
      <c r="Y233" s="123">
        <v>6.4999999999999994E-5</v>
      </c>
      <c r="Z233" s="123">
        <v>6.0000000000000002E-6</v>
      </c>
    </row>
    <row r="234" spans="1:26" ht="15" customHeight="1">
      <c r="A234" s="121">
        <v>313</v>
      </c>
      <c r="B234" s="121">
        <v>313</v>
      </c>
      <c r="C234" s="120" t="s">
        <v>2156</v>
      </c>
      <c r="D234" s="121"/>
      <c r="E234" s="120"/>
      <c r="F234" s="120" t="s">
        <v>2384</v>
      </c>
      <c r="G234" s="121">
        <v>42000910</v>
      </c>
      <c r="H234" s="120" t="s">
        <v>311</v>
      </c>
      <c r="I234" s="120" t="s">
        <v>1006</v>
      </c>
      <c r="J234" s="120"/>
      <c r="K234" s="120" t="s">
        <v>204</v>
      </c>
      <c r="L234" s="120"/>
      <c r="M234" s="120"/>
      <c r="N234" s="120" t="s">
        <v>295</v>
      </c>
      <c r="O234" s="120" t="s">
        <v>338</v>
      </c>
      <c r="P234" s="124">
        <v>43601</v>
      </c>
      <c r="Q234" s="120" t="s">
        <v>1222</v>
      </c>
      <c r="R234" s="120" t="s">
        <v>886</v>
      </c>
      <c r="S234" s="120" t="s">
        <v>890</v>
      </c>
      <c r="T234" s="124">
        <v>45838</v>
      </c>
      <c r="U234" s="122">
        <v>3.3719999999999999</v>
      </c>
      <c r="V234" s="122">
        <v>464.84100000000001</v>
      </c>
      <c r="W234" s="122">
        <v>1567.4438500000001</v>
      </c>
      <c r="X234" s="123">
        <v>1.54E-4</v>
      </c>
      <c r="Y234" s="123">
        <v>2.5599999999999999E-4</v>
      </c>
      <c r="Z234" s="123">
        <v>2.5999999999999998E-5</v>
      </c>
    </row>
    <row r="235" spans="1:26" ht="15" customHeight="1">
      <c r="A235" s="121">
        <v>313</v>
      </c>
      <c r="B235" s="121">
        <v>313</v>
      </c>
      <c r="C235" s="120" t="s">
        <v>2385</v>
      </c>
      <c r="D235" s="121"/>
      <c r="E235" s="120"/>
      <c r="F235" s="120" t="s">
        <v>2386</v>
      </c>
      <c r="G235" s="121">
        <v>62021216</v>
      </c>
      <c r="H235" s="120" t="s">
        <v>311</v>
      </c>
      <c r="I235" s="120" t="s">
        <v>1004</v>
      </c>
      <c r="J235" s="120"/>
      <c r="K235" s="120" t="s">
        <v>204</v>
      </c>
      <c r="L235" s="120"/>
      <c r="M235" s="120"/>
      <c r="N235" s="120" t="s">
        <v>223</v>
      </c>
      <c r="O235" s="120" t="s">
        <v>338</v>
      </c>
      <c r="P235" s="124">
        <v>45281</v>
      </c>
      <c r="Q235" s="120" t="s">
        <v>1222</v>
      </c>
      <c r="R235" s="120" t="s">
        <v>886</v>
      </c>
      <c r="S235" s="120" t="s">
        <v>890</v>
      </c>
      <c r="T235" s="124">
        <v>45838</v>
      </c>
      <c r="U235" s="122">
        <v>3.3719999999999999</v>
      </c>
      <c r="V235" s="122">
        <v>433.67003</v>
      </c>
      <c r="W235" s="122">
        <v>1462.3353300000001</v>
      </c>
      <c r="X235" s="123">
        <v>1.9910000000000001E-3</v>
      </c>
      <c r="Y235" s="123">
        <v>2.3900000000000001E-4</v>
      </c>
      <c r="Z235" s="123">
        <v>2.4000000000000001E-5</v>
      </c>
    </row>
    <row r="236" spans="1:26" ht="15" customHeight="1">
      <c r="A236" s="121">
        <v>313</v>
      </c>
      <c r="B236" s="121">
        <v>313</v>
      </c>
      <c r="C236" s="120" t="s">
        <v>2147</v>
      </c>
      <c r="D236" s="121"/>
      <c r="E236" s="120"/>
      <c r="F236" s="120" t="s">
        <v>2387</v>
      </c>
      <c r="G236" s="121">
        <v>9988718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295</v>
      </c>
      <c r="O236" s="120" t="s">
        <v>338</v>
      </c>
      <c r="P236" s="124">
        <v>42124</v>
      </c>
      <c r="Q236" s="120" t="s">
        <v>1222</v>
      </c>
      <c r="R236" s="120" t="s">
        <v>886</v>
      </c>
      <c r="S236" s="120" t="s">
        <v>890</v>
      </c>
      <c r="T236" s="124">
        <v>45838</v>
      </c>
      <c r="U236" s="122">
        <v>3.3719999999999999</v>
      </c>
      <c r="V236" s="122">
        <v>1833.22354</v>
      </c>
      <c r="W236" s="122">
        <v>6181.6297800000002</v>
      </c>
      <c r="X236" s="123">
        <v>7.7200000000000001E-4</v>
      </c>
      <c r="Y236" s="123">
        <v>1.0120000000000001E-3</v>
      </c>
      <c r="Z236" s="123">
        <v>1.02E-4</v>
      </c>
    </row>
    <row r="237" spans="1:26" ht="15" customHeight="1">
      <c r="A237" s="121">
        <v>313</v>
      </c>
      <c r="B237" s="121">
        <v>313</v>
      </c>
      <c r="C237" s="120" t="s">
        <v>2138</v>
      </c>
      <c r="D237" s="121"/>
      <c r="E237" s="120"/>
      <c r="F237" s="120" t="s">
        <v>2388</v>
      </c>
      <c r="G237" s="121">
        <v>44000109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280</v>
      </c>
      <c r="O237" s="120" t="s">
        <v>338</v>
      </c>
      <c r="P237" s="124">
        <v>45473</v>
      </c>
      <c r="Q237" s="120" t="s">
        <v>1222</v>
      </c>
      <c r="R237" s="120" t="s">
        <v>886</v>
      </c>
      <c r="S237" s="120" t="s">
        <v>890</v>
      </c>
      <c r="T237" s="124">
        <v>45838</v>
      </c>
      <c r="U237" s="122">
        <v>3.3719999999999999</v>
      </c>
      <c r="V237" s="122">
        <v>3832.0219099999999</v>
      </c>
      <c r="W237" s="122">
        <v>12921.577880000001</v>
      </c>
      <c r="X237" s="123">
        <v>1.2769999999999999E-3</v>
      </c>
      <c r="Y237" s="123">
        <v>2.1159999999999998E-3</v>
      </c>
      <c r="Z237" s="123">
        <v>2.1499999999999999E-4</v>
      </c>
    </row>
    <row r="238" spans="1:26" ht="15" customHeight="1">
      <c r="A238" s="121">
        <v>313</v>
      </c>
      <c r="B238" s="121">
        <v>313</v>
      </c>
      <c r="C238" s="120" t="s">
        <v>2389</v>
      </c>
      <c r="D238" s="121"/>
      <c r="E238" s="120"/>
      <c r="F238" s="120" t="s">
        <v>2390</v>
      </c>
      <c r="G238" s="121">
        <v>60287034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223</v>
      </c>
      <c r="O238" s="120" t="s">
        <v>338</v>
      </c>
      <c r="P238" s="124">
        <v>40575</v>
      </c>
      <c r="Q238" s="120" t="s">
        <v>1222</v>
      </c>
      <c r="R238" s="120" t="s">
        <v>886</v>
      </c>
      <c r="S238" s="120" t="s">
        <v>890</v>
      </c>
      <c r="T238" s="124">
        <v>45838</v>
      </c>
      <c r="U238" s="122">
        <v>3.3719999999999999</v>
      </c>
      <c r="V238" s="122">
        <v>2746.3834900000002</v>
      </c>
      <c r="W238" s="122">
        <v>9260.8051200000009</v>
      </c>
      <c r="X238" s="123">
        <v>7.5500000000000003E-4</v>
      </c>
      <c r="Y238" s="123">
        <v>1.5169999999999999E-3</v>
      </c>
      <c r="Z238" s="123">
        <v>1.54E-4</v>
      </c>
    </row>
    <row r="239" spans="1:26" ht="15" customHeight="1">
      <c r="A239" s="121">
        <v>313</v>
      </c>
      <c r="B239" s="121">
        <v>313</v>
      </c>
      <c r="C239" s="120" t="s">
        <v>2194</v>
      </c>
      <c r="D239" s="121"/>
      <c r="E239" s="120"/>
      <c r="F239" s="120" t="s">
        <v>2391</v>
      </c>
      <c r="G239" s="121">
        <v>60391331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223</v>
      </c>
      <c r="O239" s="120" t="s">
        <v>338</v>
      </c>
      <c r="P239" s="124">
        <v>41515</v>
      </c>
      <c r="Q239" s="120" t="s">
        <v>1222</v>
      </c>
      <c r="R239" s="120" t="s">
        <v>886</v>
      </c>
      <c r="S239" s="120" t="s">
        <v>890</v>
      </c>
      <c r="T239" s="124">
        <v>45838</v>
      </c>
      <c r="U239" s="122">
        <v>3.3719999999999999</v>
      </c>
      <c r="V239" s="122">
        <v>4275.3187799999996</v>
      </c>
      <c r="W239" s="122">
        <v>14416.37492</v>
      </c>
      <c r="X239" s="123">
        <v>5.0289999999999996E-3</v>
      </c>
      <c r="Y239" s="123">
        <v>2.3609999999999998E-3</v>
      </c>
      <c r="Z239" s="123">
        <v>2.4000000000000001E-4</v>
      </c>
    </row>
    <row r="240" spans="1:26" ht="15" customHeight="1">
      <c r="A240" s="121">
        <v>313</v>
      </c>
      <c r="B240" s="121">
        <v>313</v>
      </c>
      <c r="C240" s="120" t="s">
        <v>2134</v>
      </c>
      <c r="D240" s="121"/>
      <c r="E240" s="120"/>
      <c r="F240" s="120" t="s">
        <v>2392</v>
      </c>
      <c r="G240" s="121">
        <v>62010020</v>
      </c>
      <c r="H240" s="120" t="s">
        <v>311</v>
      </c>
      <c r="I240" s="120" t="s">
        <v>1006</v>
      </c>
      <c r="J240" s="120"/>
      <c r="K240" s="120" t="s">
        <v>204</v>
      </c>
      <c r="L240" s="120"/>
      <c r="M240" s="120"/>
      <c r="N240" s="120" t="s">
        <v>223</v>
      </c>
      <c r="O240" s="120" t="s">
        <v>338</v>
      </c>
      <c r="P240" s="124">
        <v>44329</v>
      </c>
      <c r="Q240" s="120" t="s">
        <v>1222</v>
      </c>
      <c r="R240" s="120" t="s">
        <v>886</v>
      </c>
      <c r="S240" s="120" t="s">
        <v>890</v>
      </c>
      <c r="T240" s="124">
        <v>45838</v>
      </c>
      <c r="U240" s="122">
        <v>3.3719999999999999</v>
      </c>
      <c r="V240" s="122">
        <v>3608.9765000000002</v>
      </c>
      <c r="W240" s="122">
        <v>12169.468769999999</v>
      </c>
      <c r="X240" s="123">
        <v>2.65E-3</v>
      </c>
      <c r="Y240" s="123">
        <v>1.993E-3</v>
      </c>
      <c r="Z240" s="123">
        <v>2.02E-4</v>
      </c>
    </row>
    <row r="241" spans="1:26" ht="15" customHeight="1">
      <c r="A241" s="121">
        <v>313</v>
      </c>
      <c r="B241" s="121">
        <v>313</v>
      </c>
      <c r="C241" s="120" t="s">
        <v>2393</v>
      </c>
      <c r="D241" s="121"/>
      <c r="E241" s="120"/>
      <c r="F241" s="120" t="s">
        <v>2394</v>
      </c>
      <c r="G241" s="121">
        <v>60378569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223</v>
      </c>
      <c r="O241" s="120" t="s">
        <v>338</v>
      </c>
      <c r="P241" s="124">
        <v>41991</v>
      </c>
      <c r="Q241" s="120" t="s">
        <v>1222</v>
      </c>
      <c r="R241" s="120" t="s">
        <v>886</v>
      </c>
      <c r="S241" s="120" t="s">
        <v>890</v>
      </c>
      <c r="T241" s="124">
        <v>45838</v>
      </c>
      <c r="U241" s="122">
        <v>3.3719999999999999</v>
      </c>
      <c r="V241" s="122">
        <v>16913.910329999999</v>
      </c>
      <c r="W241" s="122">
        <v>57033.705629999997</v>
      </c>
      <c r="X241" s="123">
        <v>3.382E-3</v>
      </c>
      <c r="Y241" s="123">
        <v>9.3430000000000006E-3</v>
      </c>
      <c r="Z241" s="123">
        <v>9.4899999999999997E-4</v>
      </c>
    </row>
    <row r="242" spans="1:26" ht="15" customHeight="1">
      <c r="A242" s="121">
        <v>313</v>
      </c>
      <c r="B242" s="121">
        <v>313</v>
      </c>
      <c r="C242" s="120" t="s">
        <v>2395</v>
      </c>
      <c r="D242" s="121"/>
      <c r="E242" s="120"/>
      <c r="F242" s="120" t="s">
        <v>2396</v>
      </c>
      <c r="G242" s="121">
        <v>62013073</v>
      </c>
      <c r="H242" s="120" t="s">
        <v>311</v>
      </c>
      <c r="I242" s="120" t="s">
        <v>1005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42635</v>
      </c>
      <c r="Q242" s="120" t="s">
        <v>1222</v>
      </c>
      <c r="R242" s="120" t="s">
        <v>886</v>
      </c>
      <c r="S242" s="120" t="s">
        <v>890</v>
      </c>
      <c r="T242" s="124">
        <v>45838</v>
      </c>
      <c r="U242" s="122">
        <v>3.3719999999999999</v>
      </c>
      <c r="V242" s="122">
        <v>6437.3595999999998</v>
      </c>
      <c r="W242" s="122">
        <v>21706.776570000002</v>
      </c>
      <c r="X242" s="123">
        <v>1.3932999999999999E-2</v>
      </c>
      <c r="Y242" s="123">
        <v>3.555E-3</v>
      </c>
      <c r="Z242" s="123">
        <v>3.6099999999999999E-4</v>
      </c>
    </row>
    <row r="243" spans="1:26" ht="15" customHeight="1">
      <c r="A243" s="121">
        <v>313</v>
      </c>
      <c r="B243" s="121">
        <v>313</v>
      </c>
      <c r="C243" s="120" t="s">
        <v>2397</v>
      </c>
      <c r="D243" s="121"/>
      <c r="E243" s="120"/>
      <c r="F243" s="120" t="s">
        <v>2398</v>
      </c>
      <c r="G243" s="121">
        <v>62005624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292</v>
      </c>
      <c r="O243" s="120" t="s">
        <v>338</v>
      </c>
      <c r="P243" s="124">
        <v>45376</v>
      </c>
      <c r="Q243" s="120" t="s">
        <v>1215</v>
      </c>
      <c r="R243" s="120" t="s">
        <v>886</v>
      </c>
      <c r="S243" s="120" t="s">
        <v>890</v>
      </c>
      <c r="T243" s="124">
        <v>45838</v>
      </c>
      <c r="U243" s="122">
        <v>3.9552</v>
      </c>
      <c r="V243" s="122">
        <v>855.46628999999996</v>
      </c>
      <c r="W243" s="122">
        <v>3383.54027</v>
      </c>
      <c r="X243" s="123">
        <v>3.9870000000000001E-3</v>
      </c>
      <c r="Y243" s="123">
        <v>5.5400000000000002E-4</v>
      </c>
      <c r="Z243" s="123">
        <v>5.5999999999999999E-5</v>
      </c>
    </row>
    <row r="244" spans="1:26" ht="15" customHeight="1">
      <c r="A244" s="121">
        <v>313</v>
      </c>
      <c r="B244" s="121">
        <v>313</v>
      </c>
      <c r="C244" s="120" t="s">
        <v>2378</v>
      </c>
      <c r="D244" s="121"/>
      <c r="E244" s="120"/>
      <c r="F244" s="120" t="s">
        <v>2399</v>
      </c>
      <c r="G244" s="121">
        <v>62018010</v>
      </c>
      <c r="H244" s="120" t="s">
        <v>311</v>
      </c>
      <c r="I244" s="120" t="s">
        <v>1005</v>
      </c>
      <c r="J244" s="120"/>
      <c r="K244" s="120" t="s">
        <v>204</v>
      </c>
      <c r="L244" s="120"/>
      <c r="M244" s="120"/>
      <c r="N244" s="120" t="s">
        <v>223</v>
      </c>
      <c r="O244" s="120" t="s">
        <v>338</v>
      </c>
      <c r="P244" s="124">
        <v>44917</v>
      </c>
      <c r="Q244" s="120" t="s">
        <v>1222</v>
      </c>
      <c r="R244" s="120" t="s">
        <v>886</v>
      </c>
      <c r="S244" s="120" t="s">
        <v>890</v>
      </c>
      <c r="T244" s="124">
        <v>45838</v>
      </c>
      <c r="U244" s="122">
        <v>3.3719999999999999</v>
      </c>
      <c r="V244" s="122">
        <v>10342.840759999999</v>
      </c>
      <c r="W244" s="122">
        <v>34876.05904</v>
      </c>
      <c r="X244" s="123">
        <v>9.9769999999999998E-3</v>
      </c>
      <c r="Y244" s="123">
        <v>5.7130000000000002E-3</v>
      </c>
      <c r="Z244" s="123">
        <v>5.8E-4</v>
      </c>
    </row>
    <row r="245" spans="1:26" ht="15" customHeight="1">
      <c r="A245" s="121">
        <v>313</v>
      </c>
      <c r="B245" s="121">
        <v>313</v>
      </c>
      <c r="C245" s="120" t="s">
        <v>2200</v>
      </c>
      <c r="D245" s="121"/>
      <c r="E245" s="120"/>
      <c r="F245" s="120" t="s">
        <v>2400</v>
      </c>
      <c r="G245" s="121">
        <v>62009882</v>
      </c>
      <c r="H245" s="120" t="s">
        <v>311</v>
      </c>
      <c r="I245" s="120" t="s">
        <v>1002</v>
      </c>
      <c r="J245" s="120"/>
      <c r="K245" s="120" t="s">
        <v>204</v>
      </c>
      <c r="L245" s="120"/>
      <c r="M245" s="120"/>
      <c r="N245" s="120" t="s">
        <v>292</v>
      </c>
      <c r="O245" s="120" t="s">
        <v>338</v>
      </c>
      <c r="P245" s="124">
        <v>41698</v>
      </c>
      <c r="Q245" s="120" t="s">
        <v>1222</v>
      </c>
      <c r="R245" s="120" t="s">
        <v>886</v>
      </c>
      <c r="S245" s="120" t="s">
        <v>890</v>
      </c>
      <c r="T245" s="124">
        <v>45838</v>
      </c>
      <c r="U245" s="122">
        <v>3.3719999999999999</v>
      </c>
      <c r="V245" s="122">
        <v>8422.4065599999994</v>
      </c>
      <c r="W245" s="122">
        <v>28400.354920000002</v>
      </c>
      <c r="X245" s="123">
        <v>3.8159999999999999E-3</v>
      </c>
      <c r="Y245" s="123">
        <v>4.6519999999999999E-3</v>
      </c>
      <c r="Z245" s="123">
        <v>4.7199999999999998E-4</v>
      </c>
    </row>
    <row r="246" spans="1:26" ht="15" customHeight="1">
      <c r="A246" s="121">
        <v>313</v>
      </c>
      <c r="B246" s="121">
        <v>313</v>
      </c>
      <c r="C246" s="120" t="s">
        <v>2138</v>
      </c>
      <c r="D246" s="121"/>
      <c r="E246" s="120"/>
      <c r="F246" s="120" t="s">
        <v>2401</v>
      </c>
      <c r="G246" s="121">
        <v>44000100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295</v>
      </c>
      <c r="O246" s="120" t="s">
        <v>338</v>
      </c>
      <c r="P246" s="124">
        <v>44946</v>
      </c>
      <c r="Q246" s="120" t="s">
        <v>1222</v>
      </c>
      <c r="R246" s="120" t="s">
        <v>886</v>
      </c>
      <c r="S246" s="120" t="s">
        <v>890</v>
      </c>
      <c r="T246" s="124">
        <v>45838</v>
      </c>
      <c r="U246" s="122">
        <v>3.3719999999999999</v>
      </c>
      <c r="V246" s="122">
        <v>-43745.025560000002</v>
      </c>
      <c r="W246" s="122">
        <v>-147508.22618999999</v>
      </c>
      <c r="X246" s="123"/>
      <c r="Y246" s="123">
        <v>-2.4164000000000001E-2</v>
      </c>
      <c r="Z246" s="123">
        <v>-2.4559999999999998E-3</v>
      </c>
    </row>
    <row r="247" spans="1:26" ht="15" customHeight="1">
      <c r="A247" s="121">
        <v>313</v>
      </c>
      <c r="B247" s="121">
        <v>313</v>
      </c>
      <c r="C247" s="120" t="s">
        <v>2134</v>
      </c>
      <c r="D247" s="121"/>
      <c r="E247" s="120"/>
      <c r="F247" s="120" t="s">
        <v>2402</v>
      </c>
      <c r="G247" s="121">
        <v>62009378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232</v>
      </c>
      <c r="O247" s="120" t="s">
        <v>338</v>
      </c>
      <c r="P247" s="124">
        <v>42370</v>
      </c>
      <c r="Q247" s="120" t="s">
        <v>1225</v>
      </c>
      <c r="R247" s="120" t="s">
        <v>886</v>
      </c>
      <c r="S247" s="120" t="s">
        <v>890</v>
      </c>
      <c r="T247" s="124">
        <v>45838</v>
      </c>
      <c r="U247" s="122">
        <v>4.6235999999999997</v>
      </c>
      <c r="V247" s="122">
        <v>2240.0190899999998</v>
      </c>
      <c r="W247" s="122">
        <v>10356.95228</v>
      </c>
      <c r="X247" s="123">
        <v>3.1210000000000001E-3</v>
      </c>
      <c r="Y247" s="123">
        <v>1.696E-3</v>
      </c>
      <c r="Z247" s="123">
        <v>1.7200000000000001E-4</v>
      </c>
    </row>
    <row r="248" spans="1:26" ht="15" customHeight="1">
      <c r="A248" s="121">
        <v>313</v>
      </c>
      <c r="B248" s="121">
        <v>313</v>
      </c>
      <c r="C248" s="120" t="s">
        <v>2132</v>
      </c>
      <c r="D248" s="121"/>
      <c r="E248" s="120"/>
      <c r="F248" s="120" t="s">
        <v>2403</v>
      </c>
      <c r="G248" s="121">
        <v>62013529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223</v>
      </c>
      <c r="O248" s="120" t="s">
        <v>338</v>
      </c>
      <c r="P248" s="124">
        <v>39070</v>
      </c>
      <c r="Q248" s="120" t="s">
        <v>1222</v>
      </c>
      <c r="R248" s="120" t="s">
        <v>886</v>
      </c>
      <c r="S248" s="120" t="s">
        <v>890</v>
      </c>
      <c r="T248" s="124">
        <v>45838</v>
      </c>
      <c r="U248" s="122">
        <v>3.3719999999999999</v>
      </c>
      <c r="V248" s="122">
        <v>42169.637640000001</v>
      </c>
      <c r="W248" s="122">
        <v>142196.01814</v>
      </c>
      <c r="X248" s="123">
        <v>0.28112999999999999</v>
      </c>
      <c r="Y248" s="123">
        <v>2.3293999999999999E-2</v>
      </c>
      <c r="Z248" s="123">
        <v>2.3679999999999999E-3</v>
      </c>
    </row>
    <row r="249" spans="1:26" ht="15" customHeight="1">
      <c r="A249" s="121">
        <v>313</v>
      </c>
      <c r="B249" s="121">
        <v>313</v>
      </c>
      <c r="C249" s="120" t="s">
        <v>2156</v>
      </c>
      <c r="D249" s="121"/>
      <c r="E249" s="120"/>
      <c r="F249" s="120" t="s">
        <v>2404</v>
      </c>
      <c r="G249" s="121">
        <v>42000909</v>
      </c>
      <c r="H249" s="120" t="s">
        <v>311</v>
      </c>
      <c r="I249" s="120" t="s">
        <v>1006</v>
      </c>
      <c r="J249" s="120"/>
      <c r="K249" s="120" t="s">
        <v>204</v>
      </c>
      <c r="L249" s="120"/>
      <c r="M249" s="120"/>
      <c r="N249" s="120" t="s">
        <v>295</v>
      </c>
      <c r="O249" s="120" t="s">
        <v>338</v>
      </c>
      <c r="P249" s="124">
        <v>43601</v>
      </c>
      <c r="Q249" s="120" t="s">
        <v>1222</v>
      </c>
      <c r="R249" s="120" t="s">
        <v>886</v>
      </c>
      <c r="S249" s="120" t="s">
        <v>890</v>
      </c>
      <c r="T249" s="124">
        <v>45838</v>
      </c>
      <c r="U249" s="122">
        <v>3.3719999999999999</v>
      </c>
      <c r="V249" s="122">
        <v>643.09360000000004</v>
      </c>
      <c r="W249" s="122">
        <v>2168.5116200000002</v>
      </c>
      <c r="X249" s="123">
        <v>2.14E-4</v>
      </c>
      <c r="Y249" s="123">
        <v>3.5500000000000001E-4</v>
      </c>
      <c r="Z249" s="123">
        <v>3.6000000000000001E-5</v>
      </c>
    </row>
    <row r="250" spans="1:26" ht="15" customHeight="1">
      <c r="A250" s="121">
        <v>313</v>
      </c>
      <c r="B250" s="121">
        <v>313</v>
      </c>
      <c r="C250" s="120" t="s">
        <v>2171</v>
      </c>
      <c r="D250" s="121"/>
      <c r="E250" s="120"/>
      <c r="F250" s="120" t="s">
        <v>2405</v>
      </c>
      <c r="G250" s="121">
        <v>62016837</v>
      </c>
      <c r="H250" s="120" t="s">
        <v>311</v>
      </c>
      <c r="I250" s="120" t="s">
        <v>1005</v>
      </c>
      <c r="J250" s="120"/>
      <c r="K250" s="120" t="s">
        <v>204</v>
      </c>
      <c r="L250" s="120"/>
      <c r="M250" s="120"/>
      <c r="N250" s="120" t="s">
        <v>281</v>
      </c>
      <c r="O250" s="120" t="s">
        <v>338</v>
      </c>
      <c r="P250" s="124">
        <v>44012</v>
      </c>
      <c r="Q250" s="120" t="s">
        <v>1212</v>
      </c>
      <c r="R250" s="120" t="s">
        <v>886</v>
      </c>
      <c r="S250" s="120" t="s">
        <v>890</v>
      </c>
      <c r="T250" s="124">
        <v>45838</v>
      </c>
      <c r="U250" s="122">
        <v>2.4674</v>
      </c>
      <c r="V250" s="122">
        <v>1756.1467600000001</v>
      </c>
      <c r="W250" s="122">
        <v>4333.1165199999996</v>
      </c>
      <c r="X250" s="123">
        <v>1.756E-3</v>
      </c>
      <c r="Y250" s="123">
        <v>7.0899999999999999E-4</v>
      </c>
      <c r="Z250" s="123">
        <v>7.2000000000000002E-5</v>
      </c>
    </row>
    <row r="251" spans="1:26" ht="15" customHeight="1">
      <c r="A251" s="121">
        <v>313</v>
      </c>
      <c r="B251" s="121">
        <v>313</v>
      </c>
      <c r="C251" s="120" t="s">
        <v>2406</v>
      </c>
      <c r="D251" s="121"/>
      <c r="E251" s="120"/>
      <c r="F251" s="120" t="s">
        <v>2407</v>
      </c>
      <c r="G251" s="121">
        <v>62020620</v>
      </c>
      <c r="H251" s="120" t="s">
        <v>311</v>
      </c>
      <c r="I251" s="120" t="s">
        <v>1002</v>
      </c>
      <c r="J251" s="120"/>
      <c r="K251" s="120" t="s">
        <v>204</v>
      </c>
      <c r="L251" s="120"/>
      <c r="M251" s="120"/>
      <c r="N251" s="120" t="s">
        <v>207</v>
      </c>
      <c r="O251" s="120" t="s">
        <v>337</v>
      </c>
      <c r="P251" s="124">
        <v>41030</v>
      </c>
      <c r="Q251" s="120" t="s">
        <v>1223</v>
      </c>
      <c r="R251" s="120" t="s">
        <v>886</v>
      </c>
      <c r="S251" s="120" t="s">
        <v>890</v>
      </c>
      <c r="T251" s="124">
        <v>45838</v>
      </c>
      <c r="U251" s="122">
        <v>2.2031999999999998</v>
      </c>
      <c r="V251" s="122">
        <v>8973.5860400000001</v>
      </c>
      <c r="W251" s="122">
        <v>19770.604770000002</v>
      </c>
      <c r="X251" s="123">
        <v>0.19941300000000001</v>
      </c>
      <c r="Y251" s="123">
        <v>3.238E-3</v>
      </c>
      <c r="Z251" s="123">
        <v>3.2899999999999997E-4</v>
      </c>
    </row>
    <row r="252" spans="1:26" ht="15" customHeight="1">
      <c r="A252" s="121">
        <v>313</v>
      </c>
      <c r="B252" s="121">
        <v>313</v>
      </c>
      <c r="C252" s="120" t="s">
        <v>2134</v>
      </c>
      <c r="D252" s="121"/>
      <c r="E252" s="120"/>
      <c r="F252" s="120" t="s">
        <v>2408</v>
      </c>
      <c r="G252" s="121">
        <v>62016840</v>
      </c>
      <c r="H252" s="120" t="s">
        <v>311</v>
      </c>
      <c r="I252" s="120" t="s">
        <v>1005</v>
      </c>
      <c r="J252" s="120"/>
      <c r="K252" s="120" t="s">
        <v>204</v>
      </c>
      <c r="L252" s="120"/>
      <c r="M252" s="120"/>
      <c r="N252" s="120" t="s">
        <v>281</v>
      </c>
      <c r="O252" s="120" t="s">
        <v>338</v>
      </c>
      <c r="P252" s="124">
        <v>42095</v>
      </c>
      <c r="Q252" s="120" t="s">
        <v>1212</v>
      </c>
      <c r="R252" s="120" t="s">
        <v>886</v>
      </c>
      <c r="S252" s="120" t="s">
        <v>890</v>
      </c>
      <c r="T252" s="124">
        <v>45838</v>
      </c>
      <c r="U252" s="122">
        <v>2.4674</v>
      </c>
      <c r="V252" s="122">
        <v>13800</v>
      </c>
      <c r="W252" s="122">
        <v>34050.120000000003</v>
      </c>
      <c r="X252" s="123">
        <v>1.38E-2</v>
      </c>
      <c r="Y252" s="123">
        <v>5.5779999999999996E-3</v>
      </c>
      <c r="Z252" s="123">
        <v>5.6700000000000001E-4</v>
      </c>
    </row>
    <row r="253" spans="1:26" ht="15" customHeight="1">
      <c r="A253" s="121">
        <v>313</v>
      </c>
      <c r="B253" s="121">
        <v>313</v>
      </c>
      <c r="C253" s="120" t="s">
        <v>2171</v>
      </c>
      <c r="D253" s="121"/>
      <c r="E253" s="120"/>
      <c r="F253" s="120" t="s">
        <v>2409</v>
      </c>
      <c r="G253" s="121">
        <v>62016829</v>
      </c>
      <c r="H253" s="120" t="s">
        <v>311</v>
      </c>
      <c r="I253" s="120" t="s">
        <v>1005</v>
      </c>
      <c r="J253" s="120"/>
      <c r="K253" s="120" t="s">
        <v>204</v>
      </c>
      <c r="L253" s="120"/>
      <c r="M253" s="120"/>
      <c r="N253" s="120" t="s">
        <v>281</v>
      </c>
      <c r="O253" s="120" t="s">
        <v>338</v>
      </c>
      <c r="P253" s="124">
        <v>44007</v>
      </c>
      <c r="Q253" s="120" t="s">
        <v>1212</v>
      </c>
      <c r="R253" s="120" t="s">
        <v>886</v>
      </c>
      <c r="S253" s="120" t="s">
        <v>890</v>
      </c>
      <c r="T253" s="124">
        <v>45838</v>
      </c>
      <c r="U253" s="122">
        <v>2.4674</v>
      </c>
      <c r="V253" s="122">
        <v>10096.07771</v>
      </c>
      <c r="W253" s="122">
        <v>24911.062140000002</v>
      </c>
      <c r="X253" s="123">
        <v>1.0096000000000001E-2</v>
      </c>
      <c r="Y253" s="123">
        <v>4.0800000000000003E-3</v>
      </c>
      <c r="Z253" s="123">
        <v>4.1399999999999998E-4</v>
      </c>
    </row>
    <row r="254" spans="1:26" ht="15" customHeight="1">
      <c r="A254" s="121">
        <v>313</v>
      </c>
      <c r="B254" s="121">
        <v>313</v>
      </c>
      <c r="C254" s="120" t="s">
        <v>2275</v>
      </c>
      <c r="D254" s="121"/>
      <c r="E254" s="120"/>
      <c r="F254" s="120" t="s">
        <v>2410</v>
      </c>
      <c r="G254" s="121">
        <v>41000838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295</v>
      </c>
      <c r="O254" s="120" t="s">
        <v>338</v>
      </c>
      <c r="P254" s="124">
        <v>43513</v>
      </c>
      <c r="Q254" s="120" t="s">
        <v>1215</v>
      </c>
      <c r="R254" s="120" t="s">
        <v>886</v>
      </c>
      <c r="S254" s="120" t="s">
        <v>890</v>
      </c>
      <c r="T254" s="124">
        <v>45838</v>
      </c>
      <c r="U254" s="122">
        <v>3.9552</v>
      </c>
      <c r="V254" s="122">
        <v>846.29499999999996</v>
      </c>
      <c r="W254" s="122">
        <v>3347.2659800000001</v>
      </c>
      <c r="X254" s="123">
        <v>4.2299999999999998E-4</v>
      </c>
      <c r="Y254" s="123">
        <v>5.4799999999999998E-4</v>
      </c>
      <c r="Z254" s="123">
        <v>5.5000000000000002E-5</v>
      </c>
    </row>
    <row r="255" spans="1:26" ht="15" customHeight="1">
      <c r="A255" s="121">
        <v>313</v>
      </c>
      <c r="B255" s="121">
        <v>313</v>
      </c>
      <c r="C255" s="120" t="s">
        <v>2229</v>
      </c>
      <c r="D255" s="121"/>
      <c r="E255" s="120"/>
      <c r="F255" s="120" t="s">
        <v>2411</v>
      </c>
      <c r="G255" s="121">
        <v>62020854</v>
      </c>
      <c r="H255" s="120" t="s">
        <v>311</v>
      </c>
      <c r="I255" s="120" t="s">
        <v>1004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44778</v>
      </c>
      <c r="Q255" s="120" t="s">
        <v>1215</v>
      </c>
      <c r="R255" s="120" t="s">
        <v>886</v>
      </c>
      <c r="S255" s="120" t="s">
        <v>890</v>
      </c>
      <c r="T255" s="124">
        <v>45838</v>
      </c>
      <c r="U255" s="122">
        <v>3.9552</v>
      </c>
      <c r="V255" s="122">
        <v>8871.8088599999992</v>
      </c>
      <c r="W255" s="122">
        <v>35089.778389999999</v>
      </c>
      <c r="X255" s="123">
        <v>4.032E-3</v>
      </c>
      <c r="Y255" s="123">
        <v>5.7479999999999996E-3</v>
      </c>
      <c r="Z255" s="123">
        <v>5.8399999999999999E-4</v>
      </c>
    </row>
    <row r="256" spans="1:26" ht="15" customHeight="1">
      <c r="A256" s="121">
        <v>313</v>
      </c>
      <c r="B256" s="121">
        <v>313</v>
      </c>
      <c r="C256" s="120" t="s">
        <v>2412</v>
      </c>
      <c r="D256" s="121"/>
      <c r="E256" s="120"/>
      <c r="F256" s="120" t="s">
        <v>2413</v>
      </c>
      <c r="G256" s="121">
        <v>62019750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295</v>
      </c>
      <c r="O256" s="120" t="s">
        <v>338</v>
      </c>
      <c r="P256" s="124">
        <v>44911</v>
      </c>
      <c r="Q256" s="120" t="s">
        <v>1222</v>
      </c>
      <c r="R256" s="120" t="s">
        <v>886</v>
      </c>
      <c r="S256" s="120" t="s">
        <v>890</v>
      </c>
      <c r="T256" s="124">
        <v>45838</v>
      </c>
      <c r="U256" s="122">
        <v>3.3719999999999999</v>
      </c>
      <c r="V256" s="122">
        <v>2066.5243300000002</v>
      </c>
      <c r="W256" s="122">
        <v>6968.32006</v>
      </c>
      <c r="X256" s="123">
        <v>2.0599999999999999E-4</v>
      </c>
      <c r="Y256" s="123">
        <v>1.1410000000000001E-3</v>
      </c>
      <c r="Z256" s="123">
        <v>1.16E-4</v>
      </c>
    </row>
    <row r="257" spans="1:26" ht="15" customHeight="1">
      <c r="A257" s="121">
        <v>313</v>
      </c>
      <c r="B257" s="121">
        <v>313</v>
      </c>
      <c r="C257" s="120" t="s">
        <v>2134</v>
      </c>
      <c r="D257" s="121"/>
      <c r="E257" s="120"/>
      <c r="F257" s="120" t="s">
        <v>2414</v>
      </c>
      <c r="G257" s="121">
        <v>62016597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295</v>
      </c>
      <c r="O257" s="120" t="s">
        <v>338</v>
      </c>
      <c r="P257" s="124">
        <v>41091</v>
      </c>
      <c r="Q257" s="120" t="s">
        <v>1215</v>
      </c>
      <c r="R257" s="120" t="s">
        <v>886</v>
      </c>
      <c r="S257" s="120" t="s">
        <v>890</v>
      </c>
      <c r="T257" s="124">
        <v>45838</v>
      </c>
      <c r="U257" s="122">
        <v>3.9552</v>
      </c>
      <c r="V257" s="122">
        <v>13307.293519999999</v>
      </c>
      <c r="W257" s="122">
        <v>52633.007319999997</v>
      </c>
      <c r="X257" s="123">
        <v>6.2600000000000004E-4</v>
      </c>
      <c r="Y257" s="123">
        <v>8.6219999999999995E-3</v>
      </c>
      <c r="Z257" s="123">
        <v>8.7600000000000004E-4</v>
      </c>
    </row>
    <row r="258" spans="1:26" ht="15" customHeight="1">
      <c r="A258" s="121">
        <v>313</v>
      </c>
      <c r="B258" s="121">
        <v>313</v>
      </c>
      <c r="C258" s="120" t="s">
        <v>2138</v>
      </c>
      <c r="D258" s="121"/>
      <c r="E258" s="120"/>
      <c r="F258" s="120" t="s">
        <v>2415</v>
      </c>
      <c r="G258" s="121">
        <v>43000916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280</v>
      </c>
      <c r="O258" s="120" t="s">
        <v>338</v>
      </c>
      <c r="P258" s="124">
        <v>44054</v>
      </c>
      <c r="Q258" s="120" t="s">
        <v>1222</v>
      </c>
      <c r="R258" s="120" t="s">
        <v>886</v>
      </c>
      <c r="S258" s="120" t="s">
        <v>890</v>
      </c>
      <c r="T258" s="124">
        <v>45838</v>
      </c>
      <c r="U258" s="122">
        <v>3.3719999999999999</v>
      </c>
      <c r="V258" s="122">
        <v>2637.95</v>
      </c>
      <c r="W258" s="122">
        <v>8895.1674000000003</v>
      </c>
      <c r="X258" s="123">
        <v>1.3179999999999999E-3</v>
      </c>
      <c r="Y258" s="123">
        <v>1.457E-3</v>
      </c>
      <c r="Z258" s="123">
        <v>1.4799999999999999E-4</v>
      </c>
    </row>
    <row r="259" spans="1:26" ht="15" customHeight="1">
      <c r="A259" s="121">
        <v>313</v>
      </c>
      <c r="B259" s="121">
        <v>313</v>
      </c>
      <c r="C259" s="120" t="s">
        <v>2416</v>
      </c>
      <c r="D259" s="121"/>
      <c r="E259" s="120"/>
      <c r="F259" s="120" t="s">
        <v>2417</v>
      </c>
      <c r="G259" s="121">
        <v>60402627</v>
      </c>
      <c r="H259" s="120" t="s">
        <v>311</v>
      </c>
      <c r="I259" s="120" t="s">
        <v>1005</v>
      </c>
      <c r="J259" s="120"/>
      <c r="K259" s="120" t="s">
        <v>204</v>
      </c>
      <c r="L259" s="120"/>
      <c r="M259" s="120"/>
      <c r="N259" s="120" t="s">
        <v>292</v>
      </c>
      <c r="O259" s="120" t="s">
        <v>338</v>
      </c>
      <c r="P259" s="124">
        <v>41255</v>
      </c>
      <c r="Q259" s="120" t="s">
        <v>1215</v>
      </c>
      <c r="R259" s="120" t="s">
        <v>886</v>
      </c>
      <c r="S259" s="120" t="s">
        <v>890</v>
      </c>
      <c r="T259" s="124">
        <v>45838</v>
      </c>
      <c r="U259" s="122">
        <v>3.9552</v>
      </c>
      <c r="V259" s="122">
        <v>6383.4274500000001</v>
      </c>
      <c r="W259" s="122">
        <v>25247.732250000001</v>
      </c>
      <c r="X259" s="123">
        <v>2.835E-2</v>
      </c>
      <c r="Y259" s="123">
        <v>4.1359999999999999E-3</v>
      </c>
      <c r="Z259" s="123">
        <v>4.2000000000000002E-4</v>
      </c>
    </row>
    <row r="260" spans="1:26" ht="15" customHeight="1">
      <c r="A260" s="121">
        <v>313</v>
      </c>
      <c r="B260" s="121">
        <v>313</v>
      </c>
      <c r="C260" s="120" t="s">
        <v>2138</v>
      </c>
      <c r="D260" s="121"/>
      <c r="E260" s="120"/>
      <c r="F260" s="120" t="s">
        <v>2418</v>
      </c>
      <c r="G260" s="121">
        <v>43000906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265</v>
      </c>
      <c r="O260" s="120" t="s">
        <v>338</v>
      </c>
      <c r="P260" s="124">
        <v>44054</v>
      </c>
      <c r="Q260" s="120" t="s">
        <v>1222</v>
      </c>
      <c r="R260" s="120" t="s">
        <v>886</v>
      </c>
      <c r="S260" s="120" t="s">
        <v>890</v>
      </c>
      <c r="T260" s="124">
        <v>45838</v>
      </c>
      <c r="U260" s="122">
        <v>3.3719999999999999</v>
      </c>
      <c r="V260" s="122">
        <v>1314.1379999999999</v>
      </c>
      <c r="W260" s="122">
        <v>4431.2733399999997</v>
      </c>
      <c r="X260" s="123">
        <v>6.5700000000000003E-4</v>
      </c>
      <c r="Y260" s="123">
        <v>7.2499999999999995E-4</v>
      </c>
      <c r="Z260" s="123">
        <v>7.2999999999999999E-5</v>
      </c>
    </row>
    <row r="261" spans="1:26" ht="15" customHeight="1">
      <c r="A261" s="121">
        <v>313</v>
      </c>
      <c r="B261" s="121">
        <v>313</v>
      </c>
      <c r="C261" s="120" t="s">
        <v>2147</v>
      </c>
      <c r="D261" s="121"/>
      <c r="E261" s="120"/>
      <c r="F261" s="120" t="s">
        <v>2419</v>
      </c>
      <c r="G261" s="121">
        <v>40000804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292</v>
      </c>
      <c r="O261" s="120" t="s">
        <v>338</v>
      </c>
      <c r="P261" s="124">
        <v>41547</v>
      </c>
      <c r="Q261" s="120" t="s">
        <v>1215</v>
      </c>
      <c r="R261" s="120" t="s">
        <v>886</v>
      </c>
      <c r="S261" s="120" t="s">
        <v>890</v>
      </c>
      <c r="T261" s="124">
        <v>45838</v>
      </c>
      <c r="U261" s="122">
        <v>3.9552</v>
      </c>
      <c r="V261" s="122">
        <v>9.5109999999999992</v>
      </c>
      <c r="W261" s="122">
        <v>37.617910000000002</v>
      </c>
      <c r="X261" s="123">
        <v>2.6999999999999999E-5</v>
      </c>
      <c r="Y261" s="123">
        <v>6.0000000000000002E-6</v>
      </c>
      <c r="Z261" s="123">
        <v>0</v>
      </c>
    </row>
    <row r="262" spans="1:26" ht="15" customHeight="1">
      <c r="A262" s="121">
        <v>313</v>
      </c>
      <c r="B262" s="121">
        <v>313</v>
      </c>
      <c r="C262" s="120" t="s">
        <v>2138</v>
      </c>
      <c r="D262" s="121"/>
      <c r="E262" s="120"/>
      <c r="F262" s="120" t="s">
        <v>2420</v>
      </c>
      <c r="G262" s="121">
        <v>43000917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244</v>
      </c>
      <c r="O262" s="120" t="s">
        <v>338</v>
      </c>
      <c r="P262" s="124">
        <v>44054</v>
      </c>
      <c r="Q262" s="120" t="s">
        <v>1222</v>
      </c>
      <c r="R262" s="120" t="s">
        <v>886</v>
      </c>
      <c r="S262" s="120" t="s">
        <v>890</v>
      </c>
      <c r="T262" s="124">
        <v>45838</v>
      </c>
      <c r="U262" s="122">
        <v>3.3719999999999999</v>
      </c>
      <c r="V262" s="122">
        <v>695.072</v>
      </c>
      <c r="W262" s="122">
        <v>2343.78278</v>
      </c>
      <c r="X262" s="123">
        <v>3.4699999999999998E-4</v>
      </c>
      <c r="Y262" s="123">
        <v>3.8299999999999999E-4</v>
      </c>
      <c r="Z262" s="123">
        <v>3.8999999999999999E-5</v>
      </c>
    </row>
    <row r="263" spans="1:26" ht="15" customHeight="1">
      <c r="A263" s="121">
        <v>313</v>
      </c>
      <c r="B263" s="121">
        <v>313</v>
      </c>
      <c r="C263" s="120" t="s">
        <v>2314</v>
      </c>
      <c r="D263" s="121"/>
      <c r="E263" s="120"/>
      <c r="F263" s="120" t="s">
        <v>2421</v>
      </c>
      <c r="G263" s="121">
        <v>62005732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295</v>
      </c>
      <c r="O263" s="120" t="s">
        <v>338</v>
      </c>
      <c r="P263" s="124">
        <v>44172</v>
      </c>
      <c r="Q263" s="120" t="s">
        <v>1222</v>
      </c>
      <c r="R263" s="120" t="s">
        <v>886</v>
      </c>
      <c r="S263" s="120" t="s">
        <v>890</v>
      </c>
      <c r="T263" s="124">
        <v>45838</v>
      </c>
      <c r="U263" s="122">
        <v>3.3719999999999999</v>
      </c>
      <c r="V263" s="122">
        <v>5620.1005400000004</v>
      </c>
      <c r="W263" s="122">
        <v>18950.979019999999</v>
      </c>
      <c r="X263" s="123">
        <v>1.126E-3</v>
      </c>
      <c r="Y263" s="123">
        <v>3.104E-3</v>
      </c>
      <c r="Z263" s="123">
        <v>3.1500000000000001E-4</v>
      </c>
    </row>
    <row r="264" spans="1:26" ht="15" customHeight="1">
      <c r="A264" s="121">
        <v>313</v>
      </c>
      <c r="B264" s="121">
        <v>313</v>
      </c>
      <c r="C264" s="120" t="s">
        <v>2314</v>
      </c>
      <c r="D264" s="121"/>
      <c r="E264" s="120"/>
      <c r="F264" s="120" t="s">
        <v>2422</v>
      </c>
      <c r="G264" s="121">
        <v>62005731</v>
      </c>
      <c r="H264" s="120" t="s">
        <v>311</v>
      </c>
      <c r="I264" s="120" t="s">
        <v>1001</v>
      </c>
      <c r="J264" s="120"/>
      <c r="K264" s="120" t="s">
        <v>204</v>
      </c>
      <c r="L264" s="120"/>
      <c r="M264" s="120"/>
      <c r="N264" s="120" t="s">
        <v>223</v>
      </c>
      <c r="O264" s="120" t="s">
        <v>338</v>
      </c>
      <c r="P264" s="124">
        <v>44362</v>
      </c>
      <c r="Q264" s="120" t="s">
        <v>1222</v>
      </c>
      <c r="R264" s="120" t="s">
        <v>886</v>
      </c>
      <c r="S264" s="120" t="s">
        <v>890</v>
      </c>
      <c r="T264" s="124">
        <v>45838</v>
      </c>
      <c r="U264" s="122">
        <v>3.3719999999999999</v>
      </c>
      <c r="V264" s="122">
        <v>7041.59375</v>
      </c>
      <c r="W264" s="122">
        <v>23744.254130000001</v>
      </c>
      <c r="X264" s="123">
        <v>1.3960000000000001E-3</v>
      </c>
      <c r="Y264" s="123">
        <v>3.8890000000000001E-3</v>
      </c>
      <c r="Z264" s="123">
        <v>3.9500000000000001E-4</v>
      </c>
    </row>
    <row r="265" spans="1:26" ht="15" customHeight="1">
      <c r="A265" s="121">
        <v>313</v>
      </c>
      <c r="B265" s="121">
        <v>313</v>
      </c>
      <c r="C265" s="120" t="s">
        <v>2423</v>
      </c>
      <c r="D265" s="121"/>
      <c r="E265" s="120"/>
      <c r="F265" s="120" t="s">
        <v>2424</v>
      </c>
      <c r="G265" s="121">
        <v>62018172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292</v>
      </c>
      <c r="O265" s="120" t="s">
        <v>338</v>
      </c>
      <c r="P265" s="124">
        <v>43398</v>
      </c>
      <c r="Q265" s="120" t="s">
        <v>1215</v>
      </c>
      <c r="R265" s="120" t="s">
        <v>886</v>
      </c>
      <c r="S265" s="120" t="s">
        <v>890</v>
      </c>
      <c r="T265" s="124">
        <v>45838</v>
      </c>
      <c r="U265" s="122">
        <v>3.9552</v>
      </c>
      <c r="V265" s="122">
        <v>1433.0815</v>
      </c>
      <c r="W265" s="122">
        <v>5668.1239599999999</v>
      </c>
      <c r="X265" s="123">
        <v>7.3399999999999995E-4</v>
      </c>
      <c r="Y265" s="123">
        <v>9.2800000000000001E-4</v>
      </c>
      <c r="Z265" s="123">
        <v>9.3999999999999994E-5</v>
      </c>
    </row>
    <row r="266" spans="1:26" ht="15" customHeight="1">
      <c r="A266" s="121">
        <v>313</v>
      </c>
      <c r="B266" s="121">
        <v>313</v>
      </c>
      <c r="C266" s="120" t="s">
        <v>2147</v>
      </c>
      <c r="D266" s="121"/>
      <c r="E266" s="120"/>
      <c r="F266" s="120" t="s">
        <v>2425</v>
      </c>
      <c r="G266" s="121">
        <v>40000770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292</v>
      </c>
      <c r="O266" s="120" t="s">
        <v>338</v>
      </c>
      <c r="P266" s="124">
        <v>43513</v>
      </c>
      <c r="Q266" s="120" t="s">
        <v>1215</v>
      </c>
      <c r="R266" s="120" t="s">
        <v>886</v>
      </c>
      <c r="S266" s="120" t="s">
        <v>890</v>
      </c>
      <c r="T266" s="124">
        <v>45838</v>
      </c>
      <c r="U266" s="122">
        <v>3.9552</v>
      </c>
      <c r="V266" s="122">
        <v>136.803</v>
      </c>
      <c r="W266" s="122">
        <v>541.08322999999996</v>
      </c>
      <c r="X266" s="123">
        <v>1.36E-4</v>
      </c>
      <c r="Y266" s="123">
        <v>8.7999999999999998E-5</v>
      </c>
      <c r="Z266" s="123">
        <v>9.0000000000000002E-6</v>
      </c>
    </row>
    <row r="267" spans="1:26" ht="15" customHeight="1">
      <c r="A267" s="121">
        <v>313</v>
      </c>
      <c r="B267" s="121">
        <v>313</v>
      </c>
      <c r="C267" s="120" t="s">
        <v>2134</v>
      </c>
      <c r="D267" s="121"/>
      <c r="E267" s="120"/>
      <c r="F267" s="120" t="s">
        <v>2426</v>
      </c>
      <c r="G267" s="121">
        <v>62011360</v>
      </c>
      <c r="H267" s="120" t="s">
        <v>311</v>
      </c>
      <c r="I267" s="120" t="s">
        <v>1004</v>
      </c>
      <c r="J267" s="120"/>
      <c r="K267" s="120" t="s">
        <v>204</v>
      </c>
      <c r="L267" s="120"/>
      <c r="M267" s="120"/>
      <c r="N267" s="120" t="s">
        <v>223</v>
      </c>
      <c r="O267" s="120" t="s">
        <v>338</v>
      </c>
      <c r="P267" s="124">
        <v>44666</v>
      </c>
      <c r="Q267" s="120" t="s">
        <v>1222</v>
      </c>
      <c r="R267" s="120" t="s">
        <v>886</v>
      </c>
      <c r="S267" s="120" t="s">
        <v>890</v>
      </c>
      <c r="T267" s="124">
        <v>45838</v>
      </c>
      <c r="U267" s="122">
        <v>3.3719999999999999</v>
      </c>
      <c r="V267" s="122">
        <v>11218.657590000001</v>
      </c>
      <c r="W267" s="122">
        <v>37829.31338</v>
      </c>
      <c r="X267" s="123">
        <v>6.2319999999999997E-3</v>
      </c>
      <c r="Y267" s="123">
        <v>6.1970000000000003E-3</v>
      </c>
      <c r="Z267" s="123">
        <v>6.29E-4</v>
      </c>
    </row>
    <row r="268" spans="1:26" ht="15" customHeight="1">
      <c r="A268" s="121">
        <v>313</v>
      </c>
      <c r="B268" s="121">
        <v>313</v>
      </c>
      <c r="C268" s="120" t="s">
        <v>2134</v>
      </c>
      <c r="D268" s="121"/>
      <c r="E268" s="120"/>
      <c r="F268" s="120" t="s">
        <v>2427</v>
      </c>
      <c r="G268" s="121">
        <v>62011317</v>
      </c>
      <c r="H268" s="120" t="s">
        <v>311</v>
      </c>
      <c r="I268" s="120" t="s">
        <v>1005</v>
      </c>
      <c r="J268" s="120"/>
      <c r="K268" s="120" t="s">
        <v>204</v>
      </c>
      <c r="L268" s="120"/>
      <c r="M268" s="120"/>
      <c r="N268" s="120" t="s">
        <v>295</v>
      </c>
      <c r="O268" s="120" t="s">
        <v>338</v>
      </c>
      <c r="P268" s="124">
        <v>44027</v>
      </c>
      <c r="Q268" s="120" t="s">
        <v>1222</v>
      </c>
      <c r="R268" s="120" t="s">
        <v>886</v>
      </c>
      <c r="S268" s="120" t="s">
        <v>890</v>
      </c>
      <c r="T268" s="124">
        <v>45838</v>
      </c>
      <c r="U268" s="122">
        <v>3.3719999999999999</v>
      </c>
      <c r="V268" s="122">
        <v>15079.212030000001</v>
      </c>
      <c r="W268" s="122">
        <v>50847.10297</v>
      </c>
      <c r="X268" s="123">
        <v>7.0699999999999995E-4</v>
      </c>
      <c r="Y268" s="123">
        <v>8.3289999999999996E-3</v>
      </c>
      <c r="Z268" s="123">
        <v>8.4599999999999996E-4</v>
      </c>
    </row>
    <row r="269" spans="1:26" ht="15" customHeight="1">
      <c r="A269" s="121">
        <v>313</v>
      </c>
      <c r="B269" s="121">
        <v>313</v>
      </c>
      <c r="C269" s="120" t="s">
        <v>2134</v>
      </c>
      <c r="D269" s="121"/>
      <c r="E269" s="120"/>
      <c r="F269" s="120" t="s">
        <v>2428</v>
      </c>
      <c r="G269" s="121">
        <v>62010989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292</v>
      </c>
      <c r="O269" s="120" t="s">
        <v>338</v>
      </c>
      <c r="P269" s="124">
        <v>39904</v>
      </c>
      <c r="Q269" s="120" t="s">
        <v>1215</v>
      </c>
      <c r="R269" s="120" t="s">
        <v>886</v>
      </c>
      <c r="S269" s="120" t="s">
        <v>890</v>
      </c>
      <c r="T269" s="124">
        <v>45838</v>
      </c>
      <c r="U269" s="122">
        <v>3.9552</v>
      </c>
      <c r="V269" s="122">
        <v>2451.78584</v>
      </c>
      <c r="W269" s="122">
        <v>9697.3033500000001</v>
      </c>
      <c r="X269" s="123">
        <v>1.3359999999999999E-3</v>
      </c>
      <c r="Y269" s="123">
        <v>1.588E-3</v>
      </c>
      <c r="Z269" s="123">
        <v>1.6100000000000001E-4</v>
      </c>
    </row>
    <row r="270" spans="1:26" ht="15" customHeight="1">
      <c r="A270" s="121">
        <v>313</v>
      </c>
      <c r="B270" s="121">
        <v>313</v>
      </c>
      <c r="C270" s="120" t="s">
        <v>2429</v>
      </c>
      <c r="D270" s="121"/>
      <c r="E270" s="120"/>
      <c r="F270" s="120" t="s">
        <v>2430</v>
      </c>
      <c r="G270" s="121">
        <v>60402626</v>
      </c>
      <c r="H270" s="120" t="s">
        <v>311</v>
      </c>
      <c r="I270" s="120" t="s">
        <v>1005</v>
      </c>
      <c r="J270" s="120"/>
      <c r="K270" s="120" t="s">
        <v>204</v>
      </c>
      <c r="L270" s="120"/>
      <c r="M270" s="120"/>
      <c r="N270" s="120" t="s">
        <v>292</v>
      </c>
      <c r="O270" s="120" t="s">
        <v>338</v>
      </c>
      <c r="P270" s="124">
        <v>43646</v>
      </c>
      <c r="Q270" s="120" t="s">
        <v>1215</v>
      </c>
      <c r="R270" s="120" t="s">
        <v>886</v>
      </c>
      <c r="S270" s="120" t="s">
        <v>890</v>
      </c>
      <c r="T270" s="124">
        <v>45838</v>
      </c>
      <c r="U270" s="122">
        <v>3.9552</v>
      </c>
      <c r="V270" s="122">
        <v>11335.044</v>
      </c>
      <c r="W270" s="122">
        <v>44832.366029999997</v>
      </c>
      <c r="X270" s="123">
        <v>1.4274999999999999E-2</v>
      </c>
      <c r="Y270" s="123">
        <v>7.3439999999999998E-3</v>
      </c>
      <c r="Z270" s="123">
        <v>7.4600000000000003E-4</v>
      </c>
    </row>
    <row r="271" spans="1:26" ht="15" customHeight="1">
      <c r="A271" s="121">
        <v>313</v>
      </c>
      <c r="B271" s="121">
        <v>313</v>
      </c>
      <c r="C271" s="120" t="s">
        <v>2138</v>
      </c>
      <c r="D271" s="121"/>
      <c r="E271" s="120"/>
      <c r="F271" s="120" t="s">
        <v>2431</v>
      </c>
      <c r="G271" s="121">
        <v>43000908</v>
      </c>
      <c r="H271" s="120" t="s">
        <v>311</v>
      </c>
      <c r="I271" s="120" t="s">
        <v>849</v>
      </c>
      <c r="J271" s="120"/>
      <c r="K271" s="120" t="s">
        <v>204</v>
      </c>
      <c r="L271" s="120"/>
      <c r="M271" s="120"/>
      <c r="N271" s="120" t="s">
        <v>292</v>
      </c>
      <c r="O271" s="120" t="s">
        <v>338</v>
      </c>
      <c r="P271" s="124">
        <v>44054</v>
      </c>
      <c r="Q271" s="120" t="s">
        <v>1222</v>
      </c>
      <c r="R271" s="120" t="s">
        <v>886</v>
      </c>
      <c r="S271" s="120" t="s">
        <v>890</v>
      </c>
      <c r="T271" s="124">
        <v>45838</v>
      </c>
      <c r="U271" s="122">
        <v>3.3719999999999999</v>
      </c>
      <c r="V271" s="122">
        <v>-8602.2285400000001</v>
      </c>
      <c r="W271" s="122">
        <v>-29006.714639999998</v>
      </c>
      <c r="X271" s="123">
        <v>0</v>
      </c>
      <c r="Y271" s="123">
        <v>-4.751E-3</v>
      </c>
      <c r="Z271" s="123">
        <v>-4.8299999999999998E-4</v>
      </c>
    </row>
    <row r="272" spans="1:26" ht="15" customHeight="1">
      <c r="A272" s="121">
        <v>313</v>
      </c>
      <c r="B272" s="121">
        <v>313</v>
      </c>
      <c r="C272" s="120" t="s">
        <v>2432</v>
      </c>
      <c r="D272" s="121"/>
      <c r="E272" s="120"/>
      <c r="F272" s="120" t="s">
        <v>2433</v>
      </c>
      <c r="G272" s="121">
        <v>60397841</v>
      </c>
      <c r="H272" s="120" t="s">
        <v>311</v>
      </c>
      <c r="I272" s="120" t="s">
        <v>1001</v>
      </c>
      <c r="J272" s="120"/>
      <c r="K272" s="120" t="s">
        <v>204</v>
      </c>
      <c r="L272" s="120"/>
      <c r="M272" s="120"/>
      <c r="N272" s="120" t="s">
        <v>295</v>
      </c>
      <c r="O272" s="120" t="s">
        <v>338</v>
      </c>
      <c r="P272" s="124">
        <v>44824</v>
      </c>
      <c r="Q272" s="120" t="s">
        <v>1222</v>
      </c>
      <c r="R272" s="120" t="s">
        <v>886</v>
      </c>
      <c r="S272" s="120" t="s">
        <v>890</v>
      </c>
      <c r="T272" s="124">
        <v>45838</v>
      </c>
      <c r="U272" s="122">
        <v>3.3719999999999999</v>
      </c>
      <c r="V272" s="122">
        <v>1156.16047</v>
      </c>
      <c r="W272" s="122">
        <v>3898.5731000000001</v>
      </c>
      <c r="X272" s="123">
        <v>3.3999999999999998E-3</v>
      </c>
      <c r="Y272" s="123">
        <v>6.38E-4</v>
      </c>
      <c r="Z272" s="123">
        <v>6.3999999999999997E-5</v>
      </c>
    </row>
    <row r="273" spans="1:26" ht="15" customHeight="1">
      <c r="A273" s="121">
        <v>313</v>
      </c>
      <c r="B273" s="121">
        <v>313</v>
      </c>
      <c r="C273" s="120" t="s">
        <v>2200</v>
      </c>
      <c r="D273" s="121"/>
      <c r="E273" s="120"/>
      <c r="F273" s="120" t="s">
        <v>2434</v>
      </c>
      <c r="G273" s="121">
        <v>62021654</v>
      </c>
      <c r="H273" s="120" t="s">
        <v>311</v>
      </c>
      <c r="I273" s="120" t="s">
        <v>1004</v>
      </c>
      <c r="J273" s="120"/>
      <c r="K273" s="120" t="s">
        <v>204</v>
      </c>
      <c r="L273" s="120"/>
      <c r="M273" s="120"/>
      <c r="N273" s="120" t="s">
        <v>223</v>
      </c>
      <c r="O273" s="120" t="s">
        <v>338</v>
      </c>
      <c r="P273" s="124">
        <v>45385</v>
      </c>
      <c r="Q273" s="120" t="s">
        <v>1222</v>
      </c>
      <c r="R273" s="120" t="s">
        <v>886</v>
      </c>
      <c r="S273" s="120" t="s">
        <v>890</v>
      </c>
      <c r="T273" s="124">
        <v>45838</v>
      </c>
      <c r="U273" s="122">
        <v>3.3719999999999999</v>
      </c>
      <c r="V273" s="122">
        <v>4909.2543299999998</v>
      </c>
      <c r="W273" s="122">
        <v>16554.005590000001</v>
      </c>
      <c r="X273" s="123">
        <v>3.9269999999999999E-3</v>
      </c>
      <c r="Y273" s="123">
        <v>2.7109999999999999E-3</v>
      </c>
      <c r="Z273" s="123">
        <v>2.7500000000000002E-4</v>
      </c>
    </row>
    <row r="274" spans="1:26" ht="15" customHeight="1">
      <c r="A274" s="121">
        <v>313</v>
      </c>
      <c r="B274" s="121">
        <v>313</v>
      </c>
      <c r="C274" s="120" t="s">
        <v>2435</v>
      </c>
      <c r="D274" s="121"/>
      <c r="E274" s="120"/>
      <c r="F274" s="120" t="s">
        <v>2436</v>
      </c>
      <c r="G274" s="121">
        <v>62022207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295</v>
      </c>
      <c r="O274" s="120" t="s">
        <v>338</v>
      </c>
      <c r="P274" s="124">
        <v>45699</v>
      </c>
      <c r="Q274" s="120" t="s">
        <v>1222</v>
      </c>
      <c r="R274" s="120" t="s">
        <v>886</v>
      </c>
      <c r="S274" s="120" t="s">
        <v>890</v>
      </c>
      <c r="T274" s="124">
        <v>45838</v>
      </c>
      <c r="U274" s="122">
        <v>3.3719999999999999</v>
      </c>
      <c r="V274" s="122">
        <v>2854.9048499999999</v>
      </c>
      <c r="W274" s="122">
        <v>9626.7391499999994</v>
      </c>
      <c r="X274" s="123">
        <v>7.1299999999999998E-4</v>
      </c>
      <c r="Y274" s="123">
        <v>1.5770000000000001E-3</v>
      </c>
      <c r="Z274" s="123">
        <v>1.6000000000000001E-4</v>
      </c>
    </row>
    <row r="275" spans="1:26" ht="15" customHeight="1">
      <c r="A275" s="121">
        <v>313</v>
      </c>
      <c r="B275" s="121">
        <v>313</v>
      </c>
      <c r="C275" s="120" t="s">
        <v>2243</v>
      </c>
      <c r="D275" s="121"/>
      <c r="E275" s="120"/>
      <c r="F275" s="120" t="s">
        <v>2437</v>
      </c>
      <c r="G275" s="121">
        <v>62017185</v>
      </c>
      <c r="H275" s="120" t="s">
        <v>311</v>
      </c>
      <c r="I275" s="120" t="s">
        <v>1002</v>
      </c>
      <c r="J275" s="120"/>
      <c r="K275" s="120" t="s">
        <v>204</v>
      </c>
      <c r="L275" s="120"/>
      <c r="M275" s="120"/>
      <c r="N275" s="120" t="s">
        <v>223</v>
      </c>
      <c r="O275" s="120" t="s">
        <v>338</v>
      </c>
      <c r="P275" s="124">
        <v>44024</v>
      </c>
      <c r="Q275" s="120" t="s">
        <v>1222</v>
      </c>
      <c r="R275" s="120" t="s">
        <v>886</v>
      </c>
      <c r="S275" s="120" t="s">
        <v>890</v>
      </c>
      <c r="T275" s="124">
        <v>45838</v>
      </c>
      <c r="U275" s="122">
        <v>3.3719999999999999</v>
      </c>
      <c r="V275" s="122">
        <v>7885.8738000000003</v>
      </c>
      <c r="W275" s="122">
        <v>26591.166450000001</v>
      </c>
      <c r="X275" s="123">
        <v>4.5061999999999998E-2</v>
      </c>
      <c r="Y275" s="123">
        <v>4.3559999999999996E-3</v>
      </c>
      <c r="Z275" s="123">
        <v>4.4200000000000001E-4</v>
      </c>
    </row>
    <row r="276" spans="1:26" ht="15" customHeight="1">
      <c r="A276" s="121">
        <v>313</v>
      </c>
      <c r="B276" s="121">
        <v>313</v>
      </c>
      <c r="C276" s="120" t="s">
        <v>2145</v>
      </c>
      <c r="D276" s="121"/>
      <c r="E276" s="120"/>
      <c r="F276" s="120" t="s">
        <v>2438</v>
      </c>
      <c r="G276" s="121">
        <v>62019600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43283</v>
      </c>
      <c r="Q276" s="120" t="s">
        <v>1222</v>
      </c>
      <c r="R276" s="120" t="s">
        <v>886</v>
      </c>
      <c r="S276" s="120" t="s">
        <v>890</v>
      </c>
      <c r="T276" s="124">
        <v>45838</v>
      </c>
      <c r="U276" s="122">
        <v>3.3719999999999999</v>
      </c>
      <c r="V276" s="122">
        <v>15083.95377</v>
      </c>
      <c r="W276" s="122">
        <v>50863.092100000002</v>
      </c>
      <c r="X276" s="123">
        <v>1.067E-3</v>
      </c>
      <c r="Y276" s="123">
        <v>8.3320000000000009E-3</v>
      </c>
      <c r="Z276" s="123">
        <v>8.4699999999999999E-4</v>
      </c>
    </row>
    <row r="277" spans="1:26" ht="15" customHeight="1">
      <c r="A277" s="121">
        <v>313</v>
      </c>
      <c r="B277" s="121">
        <v>313</v>
      </c>
      <c r="C277" s="120" t="s">
        <v>2147</v>
      </c>
      <c r="D277" s="121"/>
      <c r="E277" s="120"/>
      <c r="F277" s="120" t="s">
        <v>2439</v>
      </c>
      <c r="G277" s="121">
        <v>41000804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292</v>
      </c>
      <c r="O277" s="120" t="s">
        <v>338</v>
      </c>
      <c r="P277" s="124">
        <v>43513</v>
      </c>
      <c r="Q277" s="120" t="s">
        <v>1215</v>
      </c>
      <c r="R277" s="120" t="s">
        <v>886</v>
      </c>
      <c r="S277" s="120" t="s">
        <v>890</v>
      </c>
      <c r="T277" s="124">
        <v>45838</v>
      </c>
      <c r="U277" s="122">
        <v>3.9552</v>
      </c>
      <c r="V277" s="122">
        <v>222.434</v>
      </c>
      <c r="W277" s="122">
        <v>879.77095999999995</v>
      </c>
      <c r="X277" s="123">
        <v>2.22E-4</v>
      </c>
      <c r="Y277" s="123">
        <v>1.44E-4</v>
      </c>
      <c r="Z277" s="123">
        <v>1.4E-5</v>
      </c>
    </row>
    <row r="278" spans="1:26" ht="15" customHeight="1">
      <c r="A278" s="121">
        <v>313</v>
      </c>
      <c r="B278" s="121">
        <v>313</v>
      </c>
      <c r="C278" s="120" t="s">
        <v>2044</v>
      </c>
      <c r="D278" s="121"/>
      <c r="E278" s="120"/>
      <c r="F278" s="120" t="s">
        <v>2440</v>
      </c>
      <c r="G278" s="121">
        <v>62021019</v>
      </c>
      <c r="H278" s="120" t="s">
        <v>311</v>
      </c>
      <c r="I278" s="120" t="s">
        <v>1006</v>
      </c>
      <c r="J278" s="120"/>
      <c r="K278" s="120" t="s">
        <v>204</v>
      </c>
      <c r="L278" s="120"/>
      <c r="M278" s="120"/>
      <c r="N278" s="120" t="s">
        <v>295</v>
      </c>
      <c r="O278" s="120" t="s">
        <v>338</v>
      </c>
      <c r="P278" s="124">
        <v>44824</v>
      </c>
      <c r="Q278" s="120" t="s">
        <v>1222</v>
      </c>
      <c r="R278" s="120" t="s">
        <v>886</v>
      </c>
      <c r="S278" s="120" t="s">
        <v>890</v>
      </c>
      <c r="T278" s="124">
        <v>45838</v>
      </c>
      <c r="U278" s="122">
        <v>3.3719999999999999</v>
      </c>
      <c r="V278" s="122">
        <v>4073.5308100000002</v>
      </c>
      <c r="W278" s="122">
        <v>13735.945890000001</v>
      </c>
      <c r="X278" s="123">
        <v>1.0182999999999999E-2</v>
      </c>
      <c r="Y278" s="123">
        <v>2.2499999999999998E-3</v>
      </c>
      <c r="Z278" s="123">
        <v>2.2800000000000001E-4</v>
      </c>
    </row>
    <row r="279" spans="1:26" ht="15" customHeight="1">
      <c r="A279" s="121">
        <v>313</v>
      </c>
      <c r="B279" s="121">
        <v>313</v>
      </c>
      <c r="C279" s="120" t="s">
        <v>2253</v>
      </c>
      <c r="D279" s="121"/>
      <c r="E279" s="120"/>
      <c r="F279" s="120" t="s">
        <v>2441</v>
      </c>
      <c r="G279" s="121">
        <v>62021472</v>
      </c>
      <c r="H279" s="120" t="s">
        <v>311</v>
      </c>
      <c r="I279" s="120" t="s">
        <v>1002</v>
      </c>
      <c r="J279" s="120"/>
      <c r="K279" s="120" t="s">
        <v>204</v>
      </c>
      <c r="L279" s="120"/>
      <c r="M279" s="120"/>
      <c r="N279" s="120" t="s">
        <v>223</v>
      </c>
      <c r="O279" s="120" t="s">
        <v>338</v>
      </c>
      <c r="P279" s="124">
        <v>45331</v>
      </c>
      <c r="Q279" s="120" t="s">
        <v>1222</v>
      </c>
      <c r="R279" s="120" t="s">
        <v>886</v>
      </c>
      <c r="S279" s="120" t="s">
        <v>890</v>
      </c>
      <c r="T279" s="124">
        <v>45838</v>
      </c>
      <c r="U279" s="122">
        <v>3.3719999999999999</v>
      </c>
      <c r="V279" s="122">
        <v>11457.68224</v>
      </c>
      <c r="W279" s="122">
        <v>38635.304530000001</v>
      </c>
      <c r="X279" s="123">
        <v>1.5269999999999999E-3</v>
      </c>
      <c r="Y279" s="123">
        <v>6.3290000000000004E-3</v>
      </c>
      <c r="Z279" s="123">
        <v>6.4300000000000002E-4</v>
      </c>
    </row>
    <row r="280" spans="1:26" ht="15" customHeight="1">
      <c r="A280" s="121">
        <v>313</v>
      </c>
      <c r="B280" s="121">
        <v>313</v>
      </c>
      <c r="C280" s="120" t="s">
        <v>2442</v>
      </c>
      <c r="D280" s="121"/>
      <c r="E280" s="120"/>
      <c r="F280" s="120" t="s">
        <v>2443</v>
      </c>
      <c r="G280" s="121">
        <v>62019700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223</v>
      </c>
      <c r="O280" s="120" t="s">
        <v>338</v>
      </c>
      <c r="P280" s="124">
        <v>40848</v>
      </c>
      <c r="Q280" s="120" t="s">
        <v>1222</v>
      </c>
      <c r="R280" s="120" t="s">
        <v>886</v>
      </c>
      <c r="S280" s="120" t="s">
        <v>890</v>
      </c>
      <c r="T280" s="124">
        <v>45838</v>
      </c>
      <c r="U280" s="122">
        <v>3.3719999999999999</v>
      </c>
      <c r="V280" s="122">
        <v>12782.09816</v>
      </c>
      <c r="W280" s="122">
        <v>43101.235000000001</v>
      </c>
      <c r="X280" s="123">
        <v>5.2499999999999997E-4</v>
      </c>
      <c r="Y280" s="123">
        <v>7.0600000000000003E-3</v>
      </c>
      <c r="Z280" s="123">
        <v>7.1699999999999997E-4</v>
      </c>
    </row>
    <row r="281" spans="1:26" ht="15" customHeight="1">
      <c r="A281" s="121">
        <v>313</v>
      </c>
      <c r="B281" s="121">
        <v>313</v>
      </c>
      <c r="C281" s="120" t="s">
        <v>2138</v>
      </c>
      <c r="D281" s="121"/>
      <c r="E281" s="120"/>
      <c r="F281" s="120" t="s">
        <v>2444</v>
      </c>
      <c r="G281" s="121">
        <v>43000905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237</v>
      </c>
      <c r="O281" s="120" t="s">
        <v>338</v>
      </c>
      <c r="P281" s="124">
        <v>44054</v>
      </c>
      <c r="Q281" s="120" t="s">
        <v>1222</v>
      </c>
      <c r="R281" s="120" t="s">
        <v>886</v>
      </c>
      <c r="S281" s="120" t="s">
        <v>890</v>
      </c>
      <c r="T281" s="124">
        <v>45838</v>
      </c>
      <c r="U281" s="122">
        <v>3.3719999999999999</v>
      </c>
      <c r="V281" s="122">
        <v>2621.5279999999998</v>
      </c>
      <c r="W281" s="122">
        <v>8839.7924199999998</v>
      </c>
      <c r="X281" s="123">
        <v>1.31E-3</v>
      </c>
      <c r="Y281" s="123">
        <v>1.4480000000000001E-3</v>
      </c>
      <c r="Z281" s="123">
        <v>1.47E-4</v>
      </c>
    </row>
    <row r="282" spans="1:26" ht="15" customHeight="1">
      <c r="A282" s="121">
        <v>313</v>
      </c>
      <c r="B282" s="121">
        <v>313</v>
      </c>
      <c r="C282" s="120" t="s">
        <v>2191</v>
      </c>
      <c r="D282" s="121"/>
      <c r="E282" s="120"/>
      <c r="F282" s="120" t="s">
        <v>2445</v>
      </c>
      <c r="G282" s="121">
        <v>41000848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292</v>
      </c>
      <c r="O282" s="120" t="s">
        <v>338</v>
      </c>
      <c r="P282" s="124">
        <v>43513</v>
      </c>
      <c r="Q282" s="120" t="s">
        <v>1215</v>
      </c>
      <c r="R282" s="120" t="s">
        <v>886</v>
      </c>
      <c r="S282" s="120" t="s">
        <v>890</v>
      </c>
      <c r="T282" s="124">
        <v>45838</v>
      </c>
      <c r="U282" s="122">
        <v>3.9552</v>
      </c>
      <c r="V282" s="122">
        <v>406.55099999999999</v>
      </c>
      <c r="W282" s="122">
        <v>1607.9905200000001</v>
      </c>
      <c r="X282" s="123">
        <v>2.03E-4</v>
      </c>
      <c r="Y282" s="123">
        <v>2.63E-4</v>
      </c>
      <c r="Z282" s="123">
        <v>2.5999999999999998E-5</v>
      </c>
    </row>
    <row r="283" spans="1:26" ht="15" customHeight="1">
      <c r="A283" s="121">
        <v>313</v>
      </c>
      <c r="B283" s="121">
        <v>313</v>
      </c>
      <c r="C283" s="120" t="s">
        <v>2446</v>
      </c>
      <c r="D283" s="121"/>
      <c r="E283" s="120"/>
      <c r="F283" s="120" t="s">
        <v>2447</v>
      </c>
      <c r="G283" s="121">
        <v>62021910</v>
      </c>
      <c r="H283" s="120" t="s">
        <v>311</v>
      </c>
      <c r="I283" s="120" t="s">
        <v>1001</v>
      </c>
      <c r="J283" s="120"/>
      <c r="K283" s="120" t="s">
        <v>204</v>
      </c>
      <c r="L283" s="120"/>
      <c r="M283" s="120"/>
      <c r="N283" s="120" t="s">
        <v>223</v>
      </c>
      <c r="O283" s="120" t="s">
        <v>338</v>
      </c>
      <c r="P283" s="124">
        <v>45526</v>
      </c>
      <c r="Q283" s="120" t="s">
        <v>1222</v>
      </c>
      <c r="R283" s="120" t="s">
        <v>886</v>
      </c>
      <c r="S283" s="120" t="s">
        <v>890</v>
      </c>
      <c r="T283" s="124">
        <v>45838</v>
      </c>
      <c r="U283" s="122">
        <v>3.3719999999999999</v>
      </c>
      <c r="V283" s="122">
        <v>463.05342999999999</v>
      </c>
      <c r="W283" s="122">
        <v>1561.41616</v>
      </c>
      <c r="X283" s="123">
        <v>3.0000000000000001E-5</v>
      </c>
      <c r="Y283" s="123">
        <v>2.5500000000000002E-4</v>
      </c>
      <c r="Z283" s="123">
        <v>2.5999999999999998E-5</v>
      </c>
    </row>
    <row r="284" spans="1:26" ht="15" customHeight="1">
      <c r="A284" s="121">
        <v>313</v>
      </c>
      <c r="B284" s="121">
        <v>313</v>
      </c>
      <c r="C284" s="120" t="s">
        <v>2378</v>
      </c>
      <c r="D284" s="121"/>
      <c r="E284" s="120"/>
      <c r="F284" s="120" t="s">
        <v>2448</v>
      </c>
      <c r="G284" s="121">
        <v>62018025</v>
      </c>
      <c r="H284" s="120" t="s">
        <v>311</v>
      </c>
      <c r="I284" s="120" t="s">
        <v>1005</v>
      </c>
      <c r="J284" s="120"/>
      <c r="K284" s="120" t="s">
        <v>204</v>
      </c>
      <c r="L284" s="120"/>
      <c r="M284" s="120"/>
      <c r="N284" s="120" t="s">
        <v>292</v>
      </c>
      <c r="O284" s="120" t="s">
        <v>338</v>
      </c>
      <c r="P284" s="124">
        <v>44958</v>
      </c>
      <c r="Q284" s="120" t="s">
        <v>1215</v>
      </c>
      <c r="R284" s="120" t="s">
        <v>886</v>
      </c>
      <c r="S284" s="120" t="s">
        <v>890</v>
      </c>
      <c r="T284" s="124">
        <v>45838</v>
      </c>
      <c r="U284" s="122">
        <v>3.9552</v>
      </c>
      <c r="V284" s="122">
        <v>6192.6632600000003</v>
      </c>
      <c r="W284" s="122">
        <v>24493.221740000001</v>
      </c>
      <c r="X284" s="123">
        <v>2.477E-2</v>
      </c>
      <c r="Y284" s="123">
        <v>4.0119999999999999E-3</v>
      </c>
      <c r="Z284" s="123">
        <v>4.0700000000000003E-4</v>
      </c>
    </row>
    <row r="285" spans="1:26" ht="15" customHeight="1">
      <c r="A285" s="121">
        <v>313</v>
      </c>
      <c r="B285" s="121">
        <v>313</v>
      </c>
      <c r="C285" s="120" t="s">
        <v>2291</v>
      </c>
      <c r="D285" s="121"/>
      <c r="E285" s="120"/>
      <c r="F285" s="120" t="s">
        <v>2449</v>
      </c>
      <c r="G285" s="121">
        <v>62020839</v>
      </c>
      <c r="H285" s="120" t="s">
        <v>311</v>
      </c>
      <c r="I285" s="120" t="s">
        <v>1004</v>
      </c>
      <c r="J285" s="120"/>
      <c r="K285" s="120" t="s">
        <v>204</v>
      </c>
      <c r="L285" s="120"/>
      <c r="M285" s="120"/>
      <c r="N285" s="120" t="s">
        <v>292</v>
      </c>
      <c r="O285" s="120" t="s">
        <v>338</v>
      </c>
      <c r="P285" s="124">
        <v>39458</v>
      </c>
      <c r="Q285" s="120" t="s">
        <v>1215</v>
      </c>
      <c r="R285" s="120" t="s">
        <v>886</v>
      </c>
      <c r="S285" s="120" t="s">
        <v>890</v>
      </c>
      <c r="T285" s="124">
        <v>45838</v>
      </c>
      <c r="U285" s="122">
        <v>3.9552</v>
      </c>
      <c r="V285" s="122">
        <v>9227.7330000000002</v>
      </c>
      <c r="W285" s="122">
        <v>36497.529569999999</v>
      </c>
      <c r="X285" s="123">
        <v>3.7320000000000001E-3</v>
      </c>
      <c r="Y285" s="123">
        <v>5.9779999999999998E-3</v>
      </c>
      <c r="Z285" s="123">
        <v>6.0700000000000001E-4</v>
      </c>
    </row>
    <row r="286" spans="1:26" ht="15" customHeight="1">
      <c r="A286" s="121">
        <v>313</v>
      </c>
      <c r="B286" s="121">
        <v>313</v>
      </c>
      <c r="C286" s="120" t="s">
        <v>2134</v>
      </c>
      <c r="D286" s="121"/>
      <c r="E286" s="120"/>
      <c r="F286" s="120" t="s">
        <v>2450</v>
      </c>
      <c r="G286" s="121">
        <v>62003613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223</v>
      </c>
      <c r="O286" s="120" t="s">
        <v>338</v>
      </c>
      <c r="P286" s="124">
        <v>44917</v>
      </c>
      <c r="Q286" s="120" t="s">
        <v>1222</v>
      </c>
      <c r="R286" s="120" t="s">
        <v>886</v>
      </c>
      <c r="S286" s="120" t="s">
        <v>890</v>
      </c>
      <c r="T286" s="124">
        <v>45838</v>
      </c>
      <c r="U286" s="122">
        <v>3.3719999999999999</v>
      </c>
      <c r="V286" s="122">
        <v>10307.372600000001</v>
      </c>
      <c r="W286" s="122">
        <v>34756.460420000003</v>
      </c>
      <c r="X286" s="123">
        <v>4.1219999999999998E-3</v>
      </c>
      <c r="Y286" s="123">
        <v>5.6930000000000001E-3</v>
      </c>
      <c r="Z286" s="123">
        <v>5.7799999999999995E-4</v>
      </c>
    </row>
    <row r="287" spans="1:26" ht="15" customHeight="1">
      <c r="A287" s="121">
        <v>313</v>
      </c>
      <c r="B287" s="121">
        <v>313</v>
      </c>
      <c r="C287" s="120" t="s">
        <v>2451</v>
      </c>
      <c r="D287" s="121"/>
      <c r="E287" s="120"/>
      <c r="F287" s="120" t="s">
        <v>2452</v>
      </c>
      <c r="G287" s="121">
        <v>60357506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231</v>
      </c>
      <c r="O287" s="120" t="s">
        <v>338</v>
      </c>
      <c r="P287" s="124">
        <v>45023</v>
      </c>
      <c r="Q287" s="120" t="s">
        <v>1222</v>
      </c>
      <c r="R287" s="120" t="s">
        <v>886</v>
      </c>
      <c r="S287" s="120" t="s">
        <v>890</v>
      </c>
      <c r="T287" s="124">
        <v>45838</v>
      </c>
      <c r="U287" s="122">
        <v>3.3719999999999999</v>
      </c>
      <c r="V287" s="122">
        <v>820.04749000000004</v>
      </c>
      <c r="W287" s="122">
        <v>2765.2001399999999</v>
      </c>
      <c r="X287" s="123">
        <v>1.122E-3</v>
      </c>
      <c r="Y287" s="123">
        <v>4.5199999999999998E-4</v>
      </c>
      <c r="Z287" s="123">
        <v>4.6E-5</v>
      </c>
    </row>
    <row r="288" spans="1:26" ht="15" customHeight="1">
      <c r="A288" s="121">
        <v>313</v>
      </c>
      <c r="B288" s="121">
        <v>313</v>
      </c>
      <c r="C288" s="120" t="s">
        <v>2112</v>
      </c>
      <c r="D288" s="121"/>
      <c r="E288" s="120"/>
      <c r="F288" s="120" t="s">
        <v>2453</v>
      </c>
      <c r="G288" s="121">
        <v>60199586</v>
      </c>
      <c r="H288" s="120" t="s">
        <v>311</v>
      </c>
      <c r="I288" s="120" t="s">
        <v>1001</v>
      </c>
      <c r="J288" s="120"/>
      <c r="K288" s="120" t="s">
        <v>204</v>
      </c>
      <c r="L288" s="120"/>
      <c r="M288" s="120"/>
      <c r="N288" s="120" t="s">
        <v>292</v>
      </c>
      <c r="O288" s="120" t="s">
        <v>338</v>
      </c>
      <c r="P288" s="124">
        <v>41060</v>
      </c>
      <c r="Q288" s="120" t="s">
        <v>1225</v>
      </c>
      <c r="R288" s="120" t="s">
        <v>886</v>
      </c>
      <c r="S288" s="120" t="s">
        <v>890</v>
      </c>
      <c r="T288" s="124">
        <v>45838</v>
      </c>
      <c r="U288" s="122">
        <v>4.6235999999999997</v>
      </c>
      <c r="V288" s="122">
        <v>1308.4827499999999</v>
      </c>
      <c r="W288" s="122">
        <v>6049.9008299999996</v>
      </c>
      <c r="X288" s="123">
        <v>8.2700000000000004E-4</v>
      </c>
      <c r="Y288" s="123">
        <v>9.9099999999999991E-4</v>
      </c>
      <c r="Z288" s="123">
        <v>1E-4</v>
      </c>
    </row>
    <row r="289" spans="1:26" ht="15" customHeight="1">
      <c r="A289" s="121">
        <v>313</v>
      </c>
      <c r="B289" s="121">
        <v>313</v>
      </c>
      <c r="C289" s="120" t="s">
        <v>2454</v>
      </c>
      <c r="D289" s="121"/>
      <c r="E289" s="120"/>
      <c r="F289" s="120" t="s">
        <v>2455</v>
      </c>
      <c r="G289" s="121">
        <v>60311032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289</v>
      </c>
      <c r="O289" s="120" t="s">
        <v>338</v>
      </c>
      <c r="P289" s="124">
        <v>44599</v>
      </c>
      <c r="Q289" s="120" t="s">
        <v>1222</v>
      </c>
      <c r="R289" s="120" t="s">
        <v>886</v>
      </c>
      <c r="S289" s="120" t="s">
        <v>890</v>
      </c>
      <c r="T289" s="124">
        <v>45838</v>
      </c>
      <c r="U289" s="122">
        <v>3.3719999999999999</v>
      </c>
      <c r="V289" s="122">
        <v>478.39724999999999</v>
      </c>
      <c r="W289" s="122">
        <v>1613.15554</v>
      </c>
      <c r="X289" s="123">
        <v>9.3199999999999999E-4</v>
      </c>
      <c r="Y289" s="123">
        <v>2.6400000000000002E-4</v>
      </c>
      <c r="Z289" s="123">
        <v>2.5999999999999998E-5</v>
      </c>
    </row>
    <row r="290" spans="1:26" ht="15" customHeight="1">
      <c r="A290" s="121">
        <v>313</v>
      </c>
      <c r="B290" s="121">
        <v>313</v>
      </c>
      <c r="C290" s="120" t="s">
        <v>2132</v>
      </c>
      <c r="D290" s="121"/>
      <c r="E290" s="120"/>
      <c r="F290" s="120" t="s">
        <v>2456</v>
      </c>
      <c r="G290" s="121">
        <v>60337086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295</v>
      </c>
      <c r="O290" s="120" t="s">
        <v>338</v>
      </c>
      <c r="P290" s="124">
        <v>41726</v>
      </c>
      <c r="Q290" s="120" t="s">
        <v>1222</v>
      </c>
      <c r="R290" s="120" t="s">
        <v>886</v>
      </c>
      <c r="S290" s="120" t="s">
        <v>890</v>
      </c>
      <c r="T290" s="124">
        <v>45838</v>
      </c>
      <c r="U290" s="122">
        <v>3.3719999999999999</v>
      </c>
      <c r="V290" s="122">
        <v>19994.409759999999</v>
      </c>
      <c r="W290" s="122">
        <v>67421.149720000001</v>
      </c>
      <c r="X290" s="123">
        <v>0.19014800000000001</v>
      </c>
      <c r="Y290" s="123">
        <v>1.1044E-2</v>
      </c>
      <c r="Z290" s="123">
        <v>1.122E-3</v>
      </c>
    </row>
    <row r="291" spans="1:26" ht="15" customHeight="1">
      <c r="A291" s="121">
        <v>313</v>
      </c>
      <c r="B291" s="121">
        <v>313</v>
      </c>
      <c r="C291" s="120" t="s">
        <v>2138</v>
      </c>
      <c r="D291" s="121"/>
      <c r="E291" s="120"/>
      <c r="F291" s="120" t="s">
        <v>2138</v>
      </c>
      <c r="G291" s="121">
        <v>43000900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292</v>
      </c>
      <c r="O291" s="120" t="s">
        <v>338</v>
      </c>
      <c r="P291" s="124">
        <v>44054</v>
      </c>
      <c r="Q291" s="120" t="s">
        <v>1222</v>
      </c>
      <c r="R291" s="120" t="s">
        <v>886</v>
      </c>
      <c r="S291" s="120" t="s">
        <v>890</v>
      </c>
      <c r="T291" s="124">
        <v>45838</v>
      </c>
      <c r="U291" s="122">
        <v>3.3719999999999999</v>
      </c>
      <c r="V291" s="122">
        <v>-15003.68946</v>
      </c>
      <c r="W291" s="122">
        <v>-50592.440860000002</v>
      </c>
      <c r="X291" s="123"/>
      <c r="Y291" s="123">
        <v>-8.2880000000000002E-3</v>
      </c>
      <c r="Z291" s="123">
        <v>-8.4199999999999998E-4</v>
      </c>
    </row>
    <row r="292" spans="1:26" ht="15" customHeight="1">
      <c r="A292" s="121">
        <v>313</v>
      </c>
      <c r="B292" s="121">
        <v>313</v>
      </c>
      <c r="C292" s="120" t="s">
        <v>2457</v>
      </c>
      <c r="D292" s="121"/>
      <c r="E292" s="120"/>
      <c r="F292" s="120" t="s">
        <v>2458</v>
      </c>
      <c r="G292" s="121">
        <v>60371895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295</v>
      </c>
      <c r="O292" s="120" t="s">
        <v>338</v>
      </c>
      <c r="P292" s="124">
        <v>42522</v>
      </c>
      <c r="Q292" s="120" t="s">
        <v>1222</v>
      </c>
      <c r="R292" s="120" t="s">
        <v>886</v>
      </c>
      <c r="S292" s="120" t="s">
        <v>890</v>
      </c>
      <c r="T292" s="124">
        <v>45838</v>
      </c>
      <c r="U292" s="122">
        <v>3.3719999999999999</v>
      </c>
      <c r="V292" s="122">
        <v>11564.306140000001</v>
      </c>
      <c r="W292" s="122">
        <v>38994.84031</v>
      </c>
      <c r="X292" s="123">
        <v>2.5240000000000002E-3</v>
      </c>
      <c r="Y292" s="123">
        <v>6.3879999999999996E-3</v>
      </c>
      <c r="Z292" s="123">
        <v>6.4899999999999995E-4</v>
      </c>
    </row>
    <row r="293" spans="1:26" ht="15" customHeight="1">
      <c r="A293" s="121">
        <v>313</v>
      </c>
      <c r="B293" s="121">
        <v>313</v>
      </c>
      <c r="C293" s="120" t="s">
        <v>2459</v>
      </c>
      <c r="D293" s="121"/>
      <c r="E293" s="120"/>
      <c r="F293" s="120" t="s">
        <v>2460</v>
      </c>
      <c r="G293" s="121">
        <v>60353299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303</v>
      </c>
      <c r="O293" s="120" t="s">
        <v>338</v>
      </c>
      <c r="P293" s="124">
        <v>42194</v>
      </c>
      <c r="Q293" s="120" t="s">
        <v>1222</v>
      </c>
      <c r="R293" s="120" t="s">
        <v>886</v>
      </c>
      <c r="S293" s="120" t="s">
        <v>890</v>
      </c>
      <c r="T293" s="124">
        <v>45838</v>
      </c>
      <c r="U293" s="122">
        <v>3.3719999999999999</v>
      </c>
      <c r="V293" s="122">
        <v>104.90541</v>
      </c>
      <c r="W293" s="122">
        <v>353.74104999999997</v>
      </c>
      <c r="X293" s="123">
        <v>1.1400000000000001E-4</v>
      </c>
      <c r="Y293" s="123">
        <v>5.7000000000000003E-5</v>
      </c>
      <c r="Z293" s="123">
        <v>5.0000000000000004E-6</v>
      </c>
    </row>
    <row r="294" spans="1:26" ht="15" customHeight="1">
      <c r="A294" s="121">
        <v>313</v>
      </c>
      <c r="B294" s="121">
        <v>313</v>
      </c>
      <c r="C294" s="120" t="s">
        <v>2134</v>
      </c>
      <c r="D294" s="121"/>
      <c r="E294" s="120"/>
      <c r="F294" s="120" t="s">
        <v>2461</v>
      </c>
      <c r="G294" s="121">
        <v>60418481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303</v>
      </c>
      <c r="O294" s="120" t="s">
        <v>338</v>
      </c>
      <c r="P294" s="124">
        <v>43153</v>
      </c>
      <c r="Q294" s="120" t="s">
        <v>1222</v>
      </c>
      <c r="R294" s="120" t="s">
        <v>886</v>
      </c>
      <c r="S294" s="120" t="s">
        <v>890</v>
      </c>
      <c r="T294" s="124">
        <v>45838</v>
      </c>
      <c r="U294" s="122">
        <v>3.3719999999999999</v>
      </c>
      <c r="V294" s="122">
        <v>2263.3235300000001</v>
      </c>
      <c r="W294" s="122">
        <v>7631.9269400000003</v>
      </c>
      <c r="X294" s="123">
        <v>3.48E-4</v>
      </c>
      <c r="Y294" s="123">
        <v>1.25E-3</v>
      </c>
      <c r="Z294" s="123">
        <v>1.27E-4</v>
      </c>
    </row>
    <row r="295" spans="1:26" ht="15" customHeight="1">
      <c r="A295" s="121">
        <v>313</v>
      </c>
      <c r="B295" s="121">
        <v>313</v>
      </c>
      <c r="C295" s="120" t="s">
        <v>2462</v>
      </c>
      <c r="D295" s="121"/>
      <c r="E295" s="120"/>
      <c r="F295" s="120" t="s">
        <v>2463</v>
      </c>
      <c r="G295" s="121">
        <v>62021826</v>
      </c>
      <c r="H295" s="120" t="s">
        <v>311</v>
      </c>
      <c r="I295" s="120" t="s">
        <v>1001</v>
      </c>
      <c r="J295" s="120"/>
      <c r="K295" s="120" t="s">
        <v>204</v>
      </c>
      <c r="L295" s="120"/>
      <c r="M295" s="120"/>
      <c r="N295" s="120" t="s">
        <v>295</v>
      </c>
      <c r="O295" s="120" t="s">
        <v>338</v>
      </c>
      <c r="P295" s="124">
        <v>45485</v>
      </c>
      <c r="Q295" s="120" t="s">
        <v>1222</v>
      </c>
      <c r="R295" s="120" t="s">
        <v>886</v>
      </c>
      <c r="S295" s="120" t="s">
        <v>890</v>
      </c>
      <c r="T295" s="124">
        <v>45838</v>
      </c>
      <c r="U295" s="122">
        <v>3.3719999999999999</v>
      </c>
      <c r="V295" s="122">
        <v>74.167270000000002</v>
      </c>
      <c r="W295" s="122">
        <v>250.09204</v>
      </c>
      <c r="X295" s="123">
        <v>9.0000000000000002E-6</v>
      </c>
      <c r="Y295" s="123">
        <v>4.0000000000000003E-5</v>
      </c>
      <c r="Z295" s="123">
        <v>3.9999999999999998E-6</v>
      </c>
    </row>
    <row r="296" spans="1:26" ht="15" customHeight="1">
      <c r="A296" s="121">
        <v>313</v>
      </c>
      <c r="B296" s="121">
        <v>313</v>
      </c>
      <c r="C296" s="120" t="s">
        <v>2156</v>
      </c>
      <c r="D296" s="121"/>
      <c r="E296" s="120"/>
      <c r="F296" s="120" t="s">
        <v>2464</v>
      </c>
      <c r="G296" s="121">
        <v>42000904</v>
      </c>
      <c r="H296" s="120" t="s">
        <v>311</v>
      </c>
      <c r="I296" s="120" t="s">
        <v>1006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43601</v>
      </c>
      <c r="Q296" s="120" t="s">
        <v>1222</v>
      </c>
      <c r="R296" s="120" t="s">
        <v>886</v>
      </c>
      <c r="S296" s="120" t="s">
        <v>890</v>
      </c>
      <c r="T296" s="124">
        <v>45838</v>
      </c>
      <c r="U296" s="122">
        <v>3.3719999999999999</v>
      </c>
      <c r="V296" s="122">
        <v>1742.9348</v>
      </c>
      <c r="W296" s="122">
        <v>5877.1761500000002</v>
      </c>
      <c r="X296" s="123">
        <v>5.8E-4</v>
      </c>
      <c r="Y296" s="123">
        <v>9.6199999999999996E-4</v>
      </c>
      <c r="Z296" s="123">
        <v>9.7E-5</v>
      </c>
    </row>
    <row r="297" spans="1:26" ht="15" customHeight="1">
      <c r="A297" s="121">
        <v>313</v>
      </c>
      <c r="B297" s="121">
        <v>313</v>
      </c>
      <c r="C297" s="120" t="s">
        <v>2465</v>
      </c>
      <c r="D297" s="121"/>
      <c r="E297" s="120"/>
      <c r="F297" s="120" t="s">
        <v>2466</v>
      </c>
      <c r="G297" s="121">
        <v>9840548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223</v>
      </c>
      <c r="O297" s="120" t="s">
        <v>338</v>
      </c>
      <c r="P297" s="124">
        <v>43398</v>
      </c>
      <c r="Q297" s="120" t="s">
        <v>1222</v>
      </c>
      <c r="R297" s="120" t="s">
        <v>886</v>
      </c>
      <c r="S297" s="120" t="s">
        <v>890</v>
      </c>
      <c r="T297" s="124">
        <v>45838</v>
      </c>
      <c r="U297" s="122">
        <v>3.3719999999999999</v>
      </c>
      <c r="V297" s="122">
        <v>397.16397000000001</v>
      </c>
      <c r="W297" s="122">
        <v>1339.2369000000001</v>
      </c>
      <c r="X297" s="123">
        <v>3.5799999999999997E-4</v>
      </c>
      <c r="Y297" s="123">
        <v>2.1900000000000001E-4</v>
      </c>
      <c r="Z297" s="123">
        <v>2.1999999999999999E-5</v>
      </c>
    </row>
    <row r="298" spans="1:26" ht="15" customHeight="1">
      <c r="A298" s="121">
        <v>313</v>
      </c>
      <c r="B298" s="121">
        <v>313</v>
      </c>
      <c r="C298" s="120" t="s">
        <v>2467</v>
      </c>
      <c r="D298" s="121"/>
      <c r="E298" s="120"/>
      <c r="F298" s="120" t="s">
        <v>2468</v>
      </c>
      <c r="G298" s="121">
        <v>60401171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295</v>
      </c>
      <c r="O298" s="120" t="s">
        <v>338</v>
      </c>
      <c r="P298" s="124">
        <v>42401</v>
      </c>
      <c r="Q298" s="120" t="s">
        <v>1222</v>
      </c>
      <c r="R298" s="120" t="s">
        <v>886</v>
      </c>
      <c r="S298" s="120" t="s">
        <v>890</v>
      </c>
      <c r="T298" s="124">
        <v>45838</v>
      </c>
      <c r="U298" s="122">
        <v>3.3719999999999999</v>
      </c>
      <c r="V298" s="122">
        <v>3604.8168000000001</v>
      </c>
      <c r="W298" s="122">
        <v>12155.44225</v>
      </c>
      <c r="X298" s="123">
        <v>3.875E-3</v>
      </c>
      <c r="Y298" s="123">
        <v>1.9910000000000001E-3</v>
      </c>
      <c r="Z298" s="123">
        <v>2.02E-4</v>
      </c>
    </row>
    <row r="299" spans="1:26" ht="15" customHeight="1">
      <c r="A299" s="121">
        <v>313</v>
      </c>
      <c r="B299" s="121">
        <v>313</v>
      </c>
      <c r="C299" s="120" t="s">
        <v>2185</v>
      </c>
      <c r="D299" s="121"/>
      <c r="E299" s="120"/>
      <c r="F299" s="120" t="s">
        <v>2469</v>
      </c>
      <c r="G299" s="121">
        <v>62016258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223</v>
      </c>
      <c r="O299" s="120" t="s">
        <v>338</v>
      </c>
      <c r="P299" s="124">
        <v>43203</v>
      </c>
      <c r="Q299" s="120" t="s">
        <v>1222</v>
      </c>
      <c r="R299" s="120" t="s">
        <v>886</v>
      </c>
      <c r="S299" s="120" t="s">
        <v>890</v>
      </c>
      <c r="T299" s="124">
        <v>45838</v>
      </c>
      <c r="U299" s="122">
        <v>3.3719999999999999</v>
      </c>
      <c r="V299" s="122">
        <v>10578.30672</v>
      </c>
      <c r="W299" s="122">
        <v>35670.050260000004</v>
      </c>
      <c r="X299" s="123">
        <v>3.1549999999999998E-3</v>
      </c>
      <c r="Y299" s="123">
        <v>5.8430000000000001E-3</v>
      </c>
      <c r="Z299" s="123">
        <v>5.9400000000000002E-4</v>
      </c>
    </row>
    <row r="300" spans="1:26" ht="15" customHeight="1">
      <c r="A300" s="121">
        <v>313</v>
      </c>
      <c r="B300" s="121">
        <v>313</v>
      </c>
      <c r="C300" s="120" t="s">
        <v>2298</v>
      </c>
      <c r="D300" s="121"/>
      <c r="E300" s="120"/>
      <c r="F300" s="120" t="s">
        <v>2470</v>
      </c>
      <c r="G300" s="121">
        <v>60415768</v>
      </c>
      <c r="H300" s="120" t="s">
        <v>311</v>
      </c>
      <c r="I300" s="120" t="s">
        <v>1001</v>
      </c>
      <c r="J300" s="120"/>
      <c r="K300" s="120" t="s">
        <v>204</v>
      </c>
      <c r="L300" s="120"/>
      <c r="M300" s="120"/>
      <c r="N300" s="120" t="s">
        <v>223</v>
      </c>
      <c r="O300" s="120" t="s">
        <v>338</v>
      </c>
      <c r="P300" s="124">
        <v>44788</v>
      </c>
      <c r="Q300" s="120" t="s">
        <v>1222</v>
      </c>
      <c r="R300" s="120" t="s">
        <v>886</v>
      </c>
      <c r="S300" s="120" t="s">
        <v>890</v>
      </c>
      <c r="T300" s="124">
        <v>45838</v>
      </c>
      <c r="U300" s="122">
        <v>3.3719999999999999</v>
      </c>
      <c r="V300" s="122">
        <v>4617.7583100000002</v>
      </c>
      <c r="W300" s="122">
        <v>15571.08101</v>
      </c>
      <c r="X300" s="123">
        <v>1.4198000000000001E-2</v>
      </c>
      <c r="Y300" s="123">
        <v>2.5500000000000002E-3</v>
      </c>
      <c r="Z300" s="123">
        <v>2.5900000000000001E-4</v>
      </c>
    </row>
    <row r="301" spans="1:26" ht="15" customHeight="1">
      <c r="A301" s="121">
        <v>313</v>
      </c>
      <c r="B301" s="121">
        <v>313</v>
      </c>
      <c r="C301" s="120" t="s">
        <v>2471</v>
      </c>
      <c r="D301" s="121"/>
      <c r="E301" s="120"/>
      <c r="F301" s="120" t="s">
        <v>2472</v>
      </c>
      <c r="G301" s="121">
        <v>40000580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292</v>
      </c>
      <c r="O301" s="120" t="s">
        <v>338</v>
      </c>
      <c r="P301" s="124">
        <v>43513</v>
      </c>
      <c r="Q301" s="120" t="s">
        <v>1215</v>
      </c>
      <c r="R301" s="120" t="s">
        <v>886</v>
      </c>
      <c r="S301" s="120" t="s">
        <v>890</v>
      </c>
      <c r="T301" s="124">
        <v>45838</v>
      </c>
      <c r="U301" s="122">
        <v>3.9552</v>
      </c>
      <c r="V301" s="122">
        <v>0.27200000000000002</v>
      </c>
      <c r="W301" s="122">
        <v>1.0758099999999999</v>
      </c>
      <c r="X301" s="123">
        <v>2.6999999999999999E-5</v>
      </c>
      <c r="Y301" s="123">
        <v>0</v>
      </c>
      <c r="Z301" s="123">
        <v>0</v>
      </c>
    </row>
    <row r="302" spans="1:26" ht="15" customHeight="1">
      <c r="A302" s="121">
        <v>313</v>
      </c>
      <c r="B302" s="121">
        <v>313</v>
      </c>
      <c r="C302" s="120" t="s">
        <v>2062</v>
      </c>
      <c r="D302" s="121"/>
      <c r="E302" s="120"/>
      <c r="F302" s="120" t="s">
        <v>2473</v>
      </c>
      <c r="G302" s="121">
        <v>60385260</v>
      </c>
      <c r="H302" s="120" t="s">
        <v>311</v>
      </c>
      <c r="I302" s="120" t="s">
        <v>1001</v>
      </c>
      <c r="J302" s="120"/>
      <c r="K302" s="120" t="s">
        <v>204</v>
      </c>
      <c r="L302" s="120"/>
      <c r="M302" s="120"/>
      <c r="N302" s="120" t="s">
        <v>292</v>
      </c>
      <c r="O302" s="120" t="s">
        <v>338</v>
      </c>
      <c r="P302" s="124">
        <v>44174</v>
      </c>
      <c r="Q302" s="120" t="s">
        <v>1215</v>
      </c>
      <c r="R302" s="120" t="s">
        <v>886</v>
      </c>
      <c r="S302" s="120" t="s">
        <v>890</v>
      </c>
      <c r="T302" s="124">
        <v>45838</v>
      </c>
      <c r="U302" s="122">
        <v>3.9552</v>
      </c>
      <c r="V302" s="122">
        <v>3012.4142900000002</v>
      </c>
      <c r="W302" s="122">
        <v>11914.701010000001</v>
      </c>
      <c r="X302" s="123">
        <v>1.119E-3</v>
      </c>
      <c r="Y302" s="123">
        <v>1.951E-3</v>
      </c>
      <c r="Z302" s="123">
        <v>1.9799999999999999E-4</v>
      </c>
    </row>
    <row r="303" spans="1:26" ht="15" customHeight="1">
      <c r="A303" s="121">
        <v>313</v>
      </c>
      <c r="B303" s="121">
        <v>313</v>
      </c>
      <c r="C303" s="120" t="s">
        <v>2474</v>
      </c>
      <c r="D303" s="121"/>
      <c r="E303" s="120"/>
      <c r="F303" s="120" t="s">
        <v>2475</v>
      </c>
      <c r="G303" s="121">
        <v>60397650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295</v>
      </c>
      <c r="O303" s="120" t="s">
        <v>338</v>
      </c>
      <c r="P303" s="124">
        <v>41684</v>
      </c>
      <c r="Q303" s="120" t="s">
        <v>1222</v>
      </c>
      <c r="R303" s="120" t="s">
        <v>886</v>
      </c>
      <c r="S303" s="120" t="s">
        <v>890</v>
      </c>
      <c r="T303" s="124">
        <v>45838</v>
      </c>
      <c r="U303" s="122">
        <v>3.3719999999999999</v>
      </c>
      <c r="V303" s="122">
        <v>2060.1787300000001</v>
      </c>
      <c r="W303" s="122">
        <v>6946.9226799999997</v>
      </c>
      <c r="X303" s="123">
        <v>3.0899999999999998E-4</v>
      </c>
      <c r="Y303" s="123">
        <v>1.1379999999999999E-3</v>
      </c>
      <c r="Z303" s="123">
        <v>1.15E-4</v>
      </c>
    </row>
    <row r="304" spans="1:26" ht="15" customHeight="1">
      <c r="A304" s="121">
        <v>313</v>
      </c>
      <c r="B304" s="121">
        <v>313</v>
      </c>
      <c r="C304" s="120" t="s">
        <v>2185</v>
      </c>
      <c r="D304" s="121"/>
      <c r="E304" s="120"/>
      <c r="F304" s="120" t="s">
        <v>2476</v>
      </c>
      <c r="G304" s="121">
        <v>62016262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223</v>
      </c>
      <c r="O304" s="120" t="s">
        <v>338</v>
      </c>
      <c r="P304" s="124">
        <v>43921</v>
      </c>
      <c r="Q304" s="120" t="s">
        <v>1222</v>
      </c>
      <c r="R304" s="120" t="s">
        <v>886</v>
      </c>
      <c r="S304" s="120" t="s">
        <v>890</v>
      </c>
      <c r="T304" s="124">
        <v>45838</v>
      </c>
      <c r="U304" s="122">
        <v>3.3719999999999999</v>
      </c>
      <c r="V304" s="122">
        <v>2396.2136500000001</v>
      </c>
      <c r="W304" s="122">
        <v>8080.0324300000002</v>
      </c>
      <c r="X304" s="123">
        <v>4.3119999999999999E-3</v>
      </c>
      <c r="Y304" s="123">
        <v>1.323E-3</v>
      </c>
      <c r="Z304" s="123">
        <v>1.34E-4</v>
      </c>
    </row>
    <row r="305" spans="1:26" ht="15" customHeight="1">
      <c r="A305" s="121">
        <v>313</v>
      </c>
      <c r="B305" s="121">
        <v>313</v>
      </c>
      <c r="C305" s="120" t="s">
        <v>2134</v>
      </c>
      <c r="D305" s="121"/>
      <c r="E305" s="120"/>
      <c r="F305" s="120" t="s">
        <v>2477</v>
      </c>
      <c r="G305" s="121">
        <v>62015840</v>
      </c>
      <c r="H305" s="120" t="s">
        <v>311</v>
      </c>
      <c r="I305" s="120" t="s">
        <v>1001</v>
      </c>
      <c r="J305" s="120"/>
      <c r="K305" s="120" t="s">
        <v>204</v>
      </c>
      <c r="L305" s="120"/>
      <c r="M305" s="120"/>
      <c r="N305" s="120" t="s">
        <v>292</v>
      </c>
      <c r="O305" s="120" t="s">
        <v>338</v>
      </c>
      <c r="P305" s="124">
        <v>40931</v>
      </c>
      <c r="Q305" s="120" t="s">
        <v>1215</v>
      </c>
      <c r="R305" s="120" t="s">
        <v>886</v>
      </c>
      <c r="S305" s="120" t="s">
        <v>890</v>
      </c>
      <c r="T305" s="124">
        <v>45838</v>
      </c>
      <c r="U305" s="122">
        <v>3.9552</v>
      </c>
      <c r="V305" s="122">
        <v>1884.9396999999999</v>
      </c>
      <c r="W305" s="122">
        <v>7455.31351</v>
      </c>
      <c r="X305" s="123">
        <v>4.2560000000000002E-3</v>
      </c>
      <c r="Y305" s="123">
        <v>1.2210000000000001E-3</v>
      </c>
      <c r="Z305" s="123">
        <v>1.2400000000000001E-4</v>
      </c>
    </row>
    <row r="306" spans="1:26" ht="15" customHeight="1">
      <c r="A306" s="121">
        <v>313</v>
      </c>
      <c r="B306" s="121">
        <v>313</v>
      </c>
      <c r="C306" s="120" t="s">
        <v>2478</v>
      </c>
      <c r="D306" s="121"/>
      <c r="E306" s="120"/>
      <c r="F306" s="120" t="s">
        <v>2479</v>
      </c>
      <c r="G306" s="121">
        <v>60391299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223</v>
      </c>
      <c r="O306" s="120" t="s">
        <v>338</v>
      </c>
      <c r="P306" s="124">
        <v>42194</v>
      </c>
      <c r="Q306" s="120" t="s">
        <v>1222</v>
      </c>
      <c r="R306" s="120" t="s">
        <v>886</v>
      </c>
      <c r="S306" s="120" t="s">
        <v>890</v>
      </c>
      <c r="T306" s="124">
        <v>45838</v>
      </c>
      <c r="U306" s="122">
        <v>3.3719999999999999</v>
      </c>
      <c r="V306" s="122">
        <v>20.45411</v>
      </c>
      <c r="W306" s="122">
        <v>68.971270000000004</v>
      </c>
      <c r="X306" s="123">
        <v>4.8999999999999998E-5</v>
      </c>
      <c r="Y306" s="123">
        <v>1.1E-5</v>
      </c>
      <c r="Z306" s="123">
        <v>9.9999999999999995E-7</v>
      </c>
    </row>
    <row r="307" spans="1:26" ht="15" customHeight="1">
      <c r="A307" s="121">
        <v>313</v>
      </c>
      <c r="B307" s="121">
        <v>313</v>
      </c>
      <c r="C307" s="120" t="s">
        <v>2134</v>
      </c>
      <c r="D307" s="121"/>
      <c r="E307" s="120"/>
      <c r="F307" s="120" t="s">
        <v>2480</v>
      </c>
      <c r="G307" s="121">
        <v>62011334</v>
      </c>
      <c r="H307" s="120" t="s">
        <v>311</v>
      </c>
      <c r="I307" s="120" t="s">
        <v>1005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40817</v>
      </c>
      <c r="Q307" s="120" t="s">
        <v>1225</v>
      </c>
      <c r="R307" s="120" t="s">
        <v>886</v>
      </c>
      <c r="S307" s="120" t="s">
        <v>890</v>
      </c>
      <c r="T307" s="124">
        <v>45838</v>
      </c>
      <c r="U307" s="122">
        <v>4.6235999999999997</v>
      </c>
      <c r="V307" s="122">
        <v>2347.46425</v>
      </c>
      <c r="W307" s="122">
        <v>10853.735710000001</v>
      </c>
      <c r="X307" s="123">
        <v>6.0191000000000001E-2</v>
      </c>
      <c r="Y307" s="123">
        <v>1.7780000000000001E-3</v>
      </c>
      <c r="Z307" s="123">
        <v>1.8000000000000001E-4</v>
      </c>
    </row>
    <row r="308" spans="1:26" ht="15" customHeight="1">
      <c r="A308" s="121">
        <v>313</v>
      </c>
      <c r="B308" s="121">
        <v>313</v>
      </c>
      <c r="C308" s="120" t="s">
        <v>2156</v>
      </c>
      <c r="D308" s="121"/>
      <c r="E308" s="120"/>
      <c r="F308" s="120" t="s">
        <v>2481</v>
      </c>
      <c r="G308" s="121">
        <v>42000920</v>
      </c>
      <c r="H308" s="120" t="s">
        <v>311</v>
      </c>
      <c r="I308" s="120" t="s">
        <v>1006</v>
      </c>
      <c r="J308" s="120"/>
      <c r="K308" s="120" t="s">
        <v>204</v>
      </c>
      <c r="L308" s="120"/>
      <c r="M308" s="120"/>
      <c r="N308" s="120" t="s">
        <v>295</v>
      </c>
      <c r="O308" s="120" t="s">
        <v>338</v>
      </c>
      <c r="P308" s="124">
        <v>43601</v>
      </c>
      <c r="Q308" s="120" t="s">
        <v>1222</v>
      </c>
      <c r="R308" s="120" t="s">
        <v>886</v>
      </c>
      <c r="S308" s="120" t="s">
        <v>890</v>
      </c>
      <c r="T308" s="124">
        <v>45838</v>
      </c>
      <c r="U308" s="122">
        <v>3.3719999999999999</v>
      </c>
      <c r="V308" s="122">
        <v>236.42240000000001</v>
      </c>
      <c r="W308" s="122">
        <v>797.21632999999997</v>
      </c>
      <c r="X308" s="123">
        <v>7.7999999999999999E-5</v>
      </c>
      <c r="Y308" s="123">
        <v>1.2999999999999999E-4</v>
      </c>
      <c r="Z308" s="123">
        <v>1.2999999999999999E-5</v>
      </c>
    </row>
    <row r="309" spans="1:26" ht="15" customHeight="1">
      <c r="A309" s="121">
        <v>313</v>
      </c>
      <c r="B309" s="121">
        <v>313</v>
      </c>
      <c r="C309" s="120" t="s">
        <v>2132</v>
      </c>
      <c r="D309" s="121"/>
      <c r="E309" s="120"/>
      <c r="F309" s="120" t="s">
        <v>2482</v>
      </c>
      <c r="G309" s="121">
        <v>60312816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288</v>
      </c>
      <c r="O309" s="120" t="s">
        <v>338</v>
      </c>
      <c r="P309" s="124">
        <v>43536</v>
      </c>
      <c r="Q309" s="120" t="s">
        <v>1222</v>
      </c>
      <c r="R309" s="120" t="s">
        <v>886</v>
      </c>
      <c r="S309" s="120" t="s">
        <v>890</v>
      </c>
      <c r="T309" s="124">
        <v>45838</v>
      </c>
      <c r="U309" s="122">
        <v>3.3719999999999999</v>
      </c>
      <c r="V309" s="122">
        <v>1051.4285199999999</v>
      </c>
      <c r="W309" s="122">
        <v>3545.41696</v>
      </c>
      <c r="X309" s="123">
        <v>4.2050000000000004E-3</v>
      </c>
      <c r="Y309" s="123">
        <v>5.8E-4</v>
      </c>
      <c r="Z309" s="123">
        <v>5.8999999999999998E-5</v>
      </c>
    </row>
    <row r="310" spans="1:26" ht="15" customHeight="1">
      <c r="A310" s="121">
        <v>313</v>
      </c>
      <c r="B310" s="121">
        <v>313</v>
      </c>
      <c r="C310" s="120" t="s">
        <v>2483</v>
      </c>
      <c r="D310" s="121"/>
      <c r="E310" s="120"/>
      <c r="F310" s="120" t="s">
        <v>2484</v>
      </c>
      <c r="G310" s="121">
        <v>62021068</v>
      </c>
      <c r="H310" s="120" t="s">
        <v>311</v>
      </c>
      <c r="I310" s="120" t="s">
        <v>1004</v>
      </c>
      <c r="J310" s="120"/>
      <c r="K310" s="120" t="s">
        <v>204</v>
      </c>
      <c r="L310" s="120"/>
      <c r="M310" s="120"/>
      <c r="N310" s="120" t="s">
        <v>295</v>
      </c>
      <c r="O310" s="120" t="s">
        <v>338</v>
      </c>
      <c r="P310" s="124">
        <v>39988</v>
      </c>
      <c r="Q310" s="120" t="s">
        <v>1222</v>
      </c>
      <c r="R310" s="120" t="s">
        <v>886</v>
      </c>
      <c r="S310" s="120" t="s">
        <v>890</v>
      </c>
      <c r="T310" s="124">
        <v>45838</v>
      </c>
      <c r="U310" s="122">
        <v>3.3719999999999999</v>
      </c>
      <c r="V310" s="122">
        <v>9371.3286000000007</v>
      </c>
      <c r="W310" s="122">
        <v>31600.120050000001</v>
      </c>
      <c r="X310" s="123">
        <v>2.3419999999999999E-3</v>
      </c>
      <c r="Y310" s="123">
        <v>5.176E-3</v>
      </c>
      <c r="Z310" s="123">
        <v>5.2599999999999999E-4</v>
      </c>
    </row>
    <row r="311" spans="1:26" ht="15" customHeight="1">
      <c r="A311" s="121">
        <v>313</v>
      </c>
      <c r="B311" s="121">
        <v>313</v>
      </c>
      <c r="C311" s="120" t="s">
        <v>2132</v>
      </c>
      <c r="D311" s="121"/>
      <c r="E311" s="120"/>
      <c r="F311" s="120" t="s">
        <v>2485</v>
      </c>
      <c r="G311" s="121">
        <v>60337078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295</v>
      </c>
      <c r="O311" s="120" t="s">
        <v>338</v>
      </c>
      <c r="P311" s="124">
        <v>43796</v>
      </c>
      <c r="Q311" s="120" t="s">
        <v>1222</v>
      </c>
      <c r="R311" s="120" t="s">
        <v>886</v>
      </c>
      <c r="S311" s="120" t="s">
        <v>890</v>
      </c>
      <c r="T311" s="124">
        <v>45838</v>
      </c>
      <c r="U311" s="122">
        <v>3.3719999999999999</v>
      </c>
      <c r="V311" s="122">
        <v>191.62103999999999</v>
      </c>
      <c r="W311" s="122">
        <v>646.14616000000001</v>
      </c>
      <c r="X311" s="123">
        <v>5.4699999999999996E-4</v>
      </c>
      <c r="Y311" s="123">
        <v>1.05E-4</v>
      </c>
      <c r="Z311" s="123">
        <v>1.0000000000000001E-5</v>
      </c>
    </row>
    <row r="312" spans="1:26" ht="15" customHeight="1">
      <c r="A312" s="121">
        <v>313</v>
      </c>
      <c r="B312" s="121">
        <v>313</v>
      </c>
      <c r="C312" s="120" t="s">
        <v>2134</v>
      </c>
      <c r="D312" s="121"/>
      <c r="E312" s="120"/>
      <c r="F312" s="120" t="s">
        <v>2486</v>
      </c>
      <c r="G312" s="121">
        <v>62015841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43977</v>
      </c>
      <c r="Q312" s="120" t="s">
        <v>1215</v>
      </c>
      <c r="R312" s="120" t="s">
        <v>886</v>
      </c>
      <c r="S312" s="120" t="s">
        <v>890</v>
      </c>
      <c r="T312" s="124">
        <v>45838</v>
      </c>
      <c r="U312" s="122">
        <v>3.9552</v>
      </c>
      <c r="V312" s="122">
        <v>1993.8093699999999</v>
      </c>
      <c r="W312" s="122">
        <v>7885.9148400000004</v>
      </c>
      <c r="X312" s="123">
        <v>4.9100000000000001E-4</v>
      </c>
      <c r="Y312" s="123">
        <v>1.291E-3</v>
      </c>
      <c r="Z312" s="123">
        <v>1.3100000000000001E-4</v>
      </c>
    </row>
    <row r="313" spans="1:26" ht="15" customHeight="1">
      <c r="A313" s="121">
        <v>313</v>
      </c>
      <c r="B313" s="121">
        <v>313</v>
      </c>
      <c r="C313" s="120" t="s">
        <v>2134</v>
      </c>
      <c r="D313" s="121"/>
      <c r="E313" s="120"/>
      <c r="F313" s="120" t="s">
        <v>2487</v>
      </c>
      <c r="G313" s="121">
        <v>62002516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42930</v>
      </c>
      <c r="Q313" s="120" t="s">
        <v>1215</v>
      </c>
      <c r="R313" s="120" t="s">
        <v>886</v>
      </c>
      <c r="S313" s="120" t="s">
        <v>890</v>
      </c>
      <c r="T313" s="124">
        <v>45838</v>
      </c>
      <c r="U313" s="122">
        <v>3.9552</v>
      </c>
      <c r="V313" s="122">
        <v>2519.5614799999998</v>
      </c>
      <c r="W313" s="122">
        <v>9965.3695800000005</v>
      </c>
      <c r="X313" s="123">
        <v>1.225E-3</v>
      </c>
      <c r="Y313" s="123">
        <v>1.632E-3</v>
      </c>
      <c r="Z313" s="123">
        <v>1.65E-4</v>
      </c>
    </row>
    <row r="314" spans="1:26" ht="15" customHeight="1">
      <c r="A314" s="121">
        <v>313</v>
      </c>
      <c r="B314" s="121">
        <v>313</v>
      </c>
      <c r="C314" s="120" t="s">
        <v>2395</v>
      </c>
      <c r="D314" s="121"/>
      <c r="E314" s="120"/>
      <c r="F314" s="120" t="s">
        <v>2488</v>
      </c>
      <c r="G314" s="121">
        <v>62017547</v>
      </c>
      <c r="H314" s="120" t="s">
        <v>311</v>
      </c>
      <c r="I314" s="120" t="s">
        <v>1005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44364</v>
      </c>
      <c r="Q314" s="120" t="s">
        <v>1222</v>
      </c>
      <c r="R314" s="120" t="s">
        <v>886</v>
      </c>
      <c r="S314" s="120" t="s">
        <v>890</v>
      </c>
      <c r="T314" s="124">
        <v>45838</v>
      </c>
      <c r="U314" s="122">
        <v>3.3719999999999999</v>
      </c>
      <c r="V314" s="122">
        <v>9388.4436000000005</v>
      </c>
      <c r="W314" s="122">
        <v>31657.831819999999</v>
      </c>
      <c r="X314" s="123">
        <v>6.2589000000000006E-2</v>
      </c>
      <c r="Y314" s="123">
        <v>5.1859999999999996E-3</v>
      </c>
      <c r="Z314" s="123">
        <v>5.2700000000000002E-4</v>
      </c>
    </row>
    <row r="315" spans="1:26" ht="15" customHeight="1">
      <c r="A315" s="121">
        <v>313</v>
      </c>
      <c r="B315" s="121">
        <v>313</v>
      </c>
      <c r="C315" s="120" t="s">
        <v>2165</v>
      </c>
      <c r="D315" s="121"/>
      <c r="E315" s="120"/>
      <c r="F315" s="120" t="s">
        <v>2489</v>
      </c>
      <c r="G315" s="121">
        <v>60341914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295</v>
      </c>
      <c r="O315" s="120" t="s">
        <v>338</v>
      </c>
      <c r="P315" s="124">
        <v>41571</v>
      </c>
      <c r="Q315" s="120" t="s">
        <v>1222</v>
      </c>
      <c r="R315" s="120" t="s">
        <v>886</v>
      </c>
      <c r="S315" s="120" t="s">
        <v>890</v>
      </c>
      <c r="T315" s="124">
        <v>45838</v>
      </c>
      <c r="U315" s="122">
        <v>3.3719999999999999</v>
      </c>
      <c r="V315" s="122">
        <v>1890.99621</v>
      </c>
      <c r="W315" s="122">
        <v>6376.4392099999995</v>
      </c>
      <c r="X315" s="123">
        <v>1.9269999999999999E-3</v>
      </c>
      <c r="Y315" s="123">
        <v>1.044E-3</v>
      </c>
      <c r="Z315" s="123">
        <v>1.06E-4</v>
      </c>
    </row>
    <row r="316" spans="1:26" ht="15" customHeight="1">
      <c r="A316" s="121">
        <v>313</v>
      </c>
      <c r="B316" s="121">
        <v>313</v>
      </c>
      <c r="C316" s="120" t="s">
        <v>2316</v>
      </c>
      <c r="D316" s="121"/>
      <c r="E316" s="120"/>
      <c r="F316" s="120" t="s">
        <v>2490</v>
      </c>
      <c r="G316" s="121">
        <v>46000101</v>
      </c>
      <c r="H316" s="120" t="s">
        <v>311</v>
      </c>
      <c r="I316" s="120" t="s">
        <v>1002</v>
      </c>
      <c r="J316" s="120"/>
      <c r="K316" s="120" t="s">
        <v>204</v>
      </c>
      <c r="L316" s="120"/>
      <c r="M316" s="120"/>
      <c r="N316" s="120" t="s">
        <v>295</v>
      </c>
      <c r="O316" s="120" t="s">
        <v>338</v>
      </c>
      <c r="P316" s="124">
        <v>45838</v>
      </c>
      <c r="Q316" s="120" t="s">
        <v>1222</v>
      </c>
      <c r="R316" s="120" t="s">
        <v>886</v>
      </c>
      <c r="S316" s="120" t="s">
        <v>890</v>
      </c>
      <c r="T316" s="124">
        <v>45838</v>
      </c>
      <c r="U316" s="122">
        <v>3.3719999999999999</v>
      </c>
      <c r="V316" s="122">
        <v>1207.3987</v>
      </c>
      <c r="W316" s="122">
        <v>4071.3484199999998</v>
      </c>
      <c r="X316" s="123">
        <v>1.6094000000000001E-2</v>
      </c>
      <c r="Y316" s="123">
        <v>6.6600000000000003E-4</v>
      </c>
      <c r="Z316" s="123">
        <v>6.7000000000000002E-5</v>
      </c>
    </row>
    <row r="317" spans="1:26" ht="15" customHeight="1">
      <c r="A317" s="121">
        <v>313</v>
      </c>
      <c r="B317" s="121">
        <v>313</v>
      </c>
      <c r="C317" s="120" t="s">
        <v>2491</v>
      </c>
      <c r="D317" s="121"/>
      <c r="E317" s="120"/>
      <c r="F317" s="120" t="s">
        <v>2492</v>
      </c>
      <c r="G317" s="121">
        <v>62020635</v>
      </c>
      <c r="H317" s="120" t="s">
        <v>311</v>
      </c>
      <c r="I317" s="120" t="s">
        <v>1002</v>
      </c>
      <c r="J317" s="120"/>
      <c r="K317" s="120" t="s">
        <v>204</v>
      </c>
      <c r="L317" s="120"/>
      <c r="M317" s="120"/>
      <c r="N317" s="120" t="s">
        <v>207</v>
      </c>
      <c r="O317" s="120" t="s">
        <v>338</v>
      </c>
      <c r="P317" s="124">
        <v>45733</v>
      </c>
      <c r="Q317" s="120" t="s">
        <v>1223</v>
      </c>
      <c r="R317" s="120" t="s">
        <v>886</v>
      </c>
      <c r="S317" s="120" t="s">
        <v>890</v>
      </c>
      <c r="T317" s="124">
        <v>45838</v>
      </c>
      <c r="U317" s="122">
        <v>2.2031999999999998</v>
      </c>
      <c r="V317" s="122">
        <v>4.2000000000000002E-4</v>
      </c>
      <c r="W317" s="122">
        <v>9.9999999999999995E-7</v>
      </c>
      <c r="X317" s="123">
        <v>0</v>
      </c>
      <c r="Y317" s="123">
        <v>0</v>
      </c>
      <c r="Z317" s="123">
        <v>0</v>
      </c>
    </row>
    <row r="318" spans="1:26" ht="15" customHeight="1">
      <c r="A318" s="121">
        <v>313</v>
      </c>
      <c r="B318" s="121">
        <v>313</v>
      </c>
      <c r="C318" s="120" t="s">
        <v>2208</v>
      </c>
      <c r="D318" s="121"/>
      <c r="E318" s="120"/>
      <c r="F318" s="120" t="s">
        <v>2493</v>
      </c>
      <c r="G318" s="121">
        <v>60395118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223</v>
      </c>
      <c r="O318" s="120" t="s">
        <v>338</v>
      </c>
      <c r="P318" s="124">
        <v>42257</v>
      </c>
      <c r="Q318" s="120" t="s">
        <v>1222</v>
      </c>
      <c r="R318" s="120" t="s">
        <v>886</v>
      </c>
      <c r="S318" s="120" t="s">
        <v>890</v>
      </c>
      <c r="T318" s="124">
        <v>45838</v>
      </c>
      <c r="U318" s="122">
        <v>3.3719999999999999</v>
      </c>
      <c r="V318" s="122">
        <v>1933.2158199999999</v>
      </c>
      <c r="W318" s="122">
        <v>6518.8037299999996</v>
      </c>
      <c r="X318" s="123">
        <v>1.047E-3</v>
      </c>
      <c r="Y318" s="123">
        <v>1.067E-3</v>
      </c>
      <c r="Z318" s="123">
        <v>1.08E-4</v>
      </c>
    </row>
    <row r="319" spans="1:26" ht="15" customHeight="1">
      <c r="A319" s="121">
        <v>313</v>
      </c>
      <c r="B319" s="121">
        <v>313</v>
      </c>
      <c r="C319" s="120" t="s">
        <v>2156</v>
      </c>
      <c r="D319" s="121"/>
      <c r="E319" s="120"/>
      <c r="F319" s="120" t="s">
        <v>2494</v>
      </c>
      <c r="G319" s="121">
        <v>45000105</v>
      </c>
      <c r="H319" s="120" t="s">
        <v>311</v>
      </c>
      <c r="I319" s="120" t="s">
        <v>1006</v>
      </c>
      <c r="J319" s="120"/>
      <c r="K319" s="120" t="s">
        <v>204</v>
      </c>
      <c r="L319" s="120"/>
      <c r="M319" s="120"/>
      <c r="N319" s="120" t="s">
        <v>223</v>
      </c>
      <c r="O319" s="120" t="s">
        <v>338</v>
      </c>
      <c r="P319" s="124">
        <v>45838</v>
      </c>
      <c r="Q319" s="120" t="s">
        <v>1222</v>
      </c>
      <c r="R319" s="120" t="s">
        <v>886</v>
      </c>
      <c r="S319" s="120" t="s">
        <v>890</v>
      </c>
      <c r="T319" s="124">
        <v>45838</v>
      </c>
      <c r="U319" s="122">
        <v>3.3719999999999999</v>
      </c>
      <c r="V319" s="122">
        <v>886.05817999999999</v>
      </c>
      <c r="W319" s="122">
        <v>2987.78818</v>
      </c>
      <c r="X319" s="123">
        <v>8.8599999999999998E-3</v>
      </c>
      <c r="Y319" s="123">
        <v>4.8899999999999996E-4</v>
      </c>
      <c r="Z319" s="123">
        <v>4.8999999999999998E-5</v>
      </c>
    </row>
    <row r="320" spans="1:26" ht="15" customHeight="1">
      <c r="A320" s="121">
        <v>313</v>
      </c>
      <c r="B320" s="121">
        <v>313</v>
      </c>
      <c r="C320" s="120" t="s">
        <v>2495</v>
      </c>
      <c r="D320" s="121"/>
      <c r="E320" s="120"/>
      <c r="F320" s="120" t="s">
        <v>2496</v>
      </c>
      <c r="G320" s="121">
        <v>62006515</v>
      </c>
      <c r="H320" s="120" t="s">
        <v>311</v>
      </c>
      <c r="I320" s="120" t="s">
        <v>1004</v>
      </c>
      <c r="J320" s="120"/>
      <c r="K320" s="120" t="s">
        <v>204</v>
      </c>
      <c r="L320" s="120"/>
      <c r="M320" s="120"/>
      <c r="N320" s="120" t="s">
        <v>223</v>
      </c>
      <c r="O320" s="120" t="s">
        <v>338</v>
      </c>
      <c r="P320" s="124">
        <v>44708</v>
      </c>
      <c r="Q320" s="120" t="s">
        <v>1222</v>
      </c>
      <c r="R320" s="120" t="s">
        <v>886</v>
      </c>
      <c r="S320" s="120" t="s">
        <v>890</v>
      </c>
      <c r="T320" s="124">
        <v>45838</v>
      </c>
      <c r="U320" s="122">
        <v>3.3719999999999999</v>
      </c>
      <c r="V320" s="122">
        <v>6108.7799699999996</v>
      </c>
      <c r="W320" s="122">
        <v>20598.806059999999</v>
      </c>
      <c r="X320" s="123">
        <v>5.3769999999999998E-3</v>
      </c>
      <c r="Y320" s="123">
        <v>3.3739999999999998E-3</v>
      </c>
      <c r="Z320" s="123">
        <v>3.4299999999999999E-4</v>
      </c>
    </row>
    <row r="321" spans="1:26" ht="15" customHeight="1">
      <c r="A321" s="121">
        <v>313</v>
      </c>
      <c r="B321" s="121">
        <v>313</v>
      </c>
      <c r="C321" s="120" t="s">
        <v>2497</v>
      </c>
      <c r="D321" s="121"/>
      <c r="E321" s="120"/>
      <c r="F321" s="120" t="s">
        <v>2498</v>
      </c>
      <c r="G321" s="121">
        <v>60323060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291</v>
      </c>
      <c r="O321" s="120" t="s">
        <v>338</v>
      </c>
      <c r="P321" s="124">
        <v>43154</v>
      </c>
      <c r="Q321" s="120" t="s">
        <v>1222</v>
      </c>
      <c r="R321" s="120" t="s">
        <v>886</v>
      </c>
      <c r="S321" s="120" t="s">
        <v>890</v>
      </c>
      <c r="T321" s="124">
        <v>45838</v>
      </c>
      <c r="U321" s="122">
        <v>3.3719999999999999</v>
      </c>
      <c r="V321" s="122">
        <v>2066.48531</v>
      </c>
      <c r="W321" s="122">
        <v>6968.1884700000001</v>
      </c>
      <c r="X321" s="123">
        <v>3.444E-3</v>
      </c>
      <c r="Y321" s="123">
        <v>1.1410000000000001E-3</v>
      </c>
      <c r="Z321" s="123">
        <v>1.16E-4</v>
      </c>
    </row>
    <row r="322" spans="1:26" ht="15" customHeight="1">
      <c r="A322" s="121">
        <v>313</v>
      </c>
      <c r="B322" s="121">
        <v>313</v>
      </c>
      <c r="C322" s="120" t="s">
        <v>2366</v>
      </c>
      <c r="D322" s="121"/>
      <c r="E322" s="120"/>
      <c r="F322" s="120" t="s">
        <v>2499</v>
      </c>
      <c r="G322" s="121">
        <v>62017504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295</v>
      </c>
      <c r="O322" s="120" t="s">
        <v>338</v>
      </c>
      <c r="P322" s="124">
        <v>40878</v>
      </c>
      <c r="Q322" s="120" t="s">
        <v>1222</v>
      </c>
      <c r="R322" s="120" t="s">
        <v>886</v>
      </c>
      <c r="S322" s="120" t="s">
        <v>890</v>
      </c>
      <c r="T322" s="124">
        <v>45838</v>
      </c>
      <c r="U322" s="122">
        <v>3.3719999999999999</v>
      </c>
      <c r="V322" s="122">
        <v>6673.3770800000002</v>
      </c>
      <c r="W322" s="122">
        <v>22502.627509999998</v>
      </c>
      <c r="X322" s="123">
        <v>9.6100000000000005E-4</v>
      </c>
      <c r="Y322" s="123">
        <v>3.686E-3</v>
      </c>
      <c r="Z322" s="123">
        <v>3.7399999999999998E-4</v>
      </c>
    </row>
    <row r="323" spans="1:26" ht="15" customHeight="1">
      <c r="A323" s="121">
        <v>313</v>
      </c>
      <c r="B323" s="121">
        <v>313</v>
      </c>
      <c r="C323" s="120" t="s">
        <v>2138</v>
      </c>
      <c r="D323" s="121"/>
      <c r="E323" s="120"/>
      <c r="F323" s="120" t="s">
        <v>2500</v>
      </c>
      <c r="G323" s="121">
        <v>44000106</v>
      </c>
      <c r="H323" s="120" t="s">
        <v>311</v>
      </c>
      <c r="I323" s="120" t="s">
        <v>1001</v>
      </c>
      <c r="J323" s="120"/>
      <c r="K323" s="120" t="s">
        <v>204</v>
      </c>
      <c r="L323" s="120"/>
      <c r="M323" s="120"/>
      <c r="N323" s="120" t="s">
        <v>232</v>
      </c>
      <c r="O323" s="120" t="s">
        <v>338</v>
      </c>
      <c r="P323" s="124">
        <v>44946</v>
      </c>
      <c r="Q323" s="120" t="s">
        <v>1222</v>
      </c>
      <c r="R323" s="120" t="s">
        <v>886</v>
      </c>
      <c r="S323" s="120" t="s">
        <v>890</v>
      </c>
      <c r="T323" s="124">
        <v>45838</v>
      </c>
      <c r="U323" s="122">
        <v>3.3719999999999999</v>
      </c>
      <c r="V323" s="122">
        <v>3981.9433399999998</v>
      </c>
      <c r="W323" s="122">
        <v>13427.112940000001</v>
      </c>
      <c r="X323" s="123">
        <v>1.3270000000000001E-3</v>
      </c>
      <c r="Y323" s="123">
        <v>2.199E-3</v>
      </c>
      <c r="Z323" s="123">
        <v>2.23E-4</v>
      </c>
    </row>
    <row r="324" spans="1:26" ht="15" customHeight="1">
      <c r="A324" s="121">
        <v>313</v>
      </c>
      <c r="B324" s="121">
        <v>313</v>
      </c>
      <c r="C324" s="120" t="s">
        <v>2501</v>
      </c>
      <c r="D324" s="121"/>
      <c r="E324" s="120"/>
      <c r="F324" s="120" t="s">
        <v>2501</v>
      </c>
      <c r="G324" s="121">
        <v>62021209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45021</v>
      </c>
      <c r="Q324" s="120" t="s">
        <v>1222</v>
      </c>
      <c r="R324" s="120" t="s">
        <v>886</v>
      </c>
      <c r="S324" s="120" t="s">
        <v>890</v>
      </c>
      <c r="T324" s="124">
        <v>45838</v>
      </c>
      <c r="U324" s="122">
        <v>3.3719999999999999</v>
      </c>
      <c r="V324" s="122">
        <v>1482.8058799999999</v>
      </c>
      <c r="W324" s="122">
        <v>5000.0214299999998</v>
      </c>
      <c r="X324" s="123">
        <v>7.2000000000000002E-5</v>
      </c>
      <c r="Y324" s="123">
        <v>8.1899999999999996E-4</v>
      </c>
      <c r="Z324" s="123">
        <v>8.2999999999999998E-5</v>
      </c>
    </row>
    <row r="325" spans="1:26" ht="15" customHeight="1">
      <c r="A325" s="121">
        <v>313</v>
      </c>
      <c r="B325" s="121">
        <v>313</v>
      </c>
      <c r="C325" s="120" t="s">
        <v>2138</v>
      </c>
      <c r="D325" s="121"/>
      <c r="E325" s="120"/>
      <c r="F325" s="120" t="s">
        <v>2502</v>
      </c>
      <c r="G325" s="121">
        <v>43000903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280</v>
      </c>
      <c r="O325" s="120" t="s">
        <v>338</v>
      </c>
      <c r="P325" s="124">
        <v>44054</v>
      </c>
      <c r="Q325" s="120" t="s">
        <v>1222</v>
      </c>
      <c r="R325" s="120" t="s">
        <v>886</v>
      </c>
      <c r="S325" s="120" t="s">
        <v>890</v>
      </c>
      <c r="T325" s="124">
        <v>45838</v>
      </c>
      <c r="U325" s="122">
        <v>3.3719999999999999</v>
      </c>
      <c r="V325" s="122">
        <v>1048.096</v>
      </c>
      <c r="W325" s="122">
        <v>3534.1797099999999</v>
      </c>
      <c r="X325" s="123">
        <v>5.2400000000000005E-4</v>
      </c>
      <c r="Y325" s="123">
        <v>5.7799999999999995E-4</v>
      </c>
      <c r="Z325" s="123">
        <v>5.8E-5</v>
      </c>
    </row>
    <row r="326" spans="1:26" ht="15" customHeight="1">
      <c r="A326" s="121">
        <v>313</v>
      </c>
      <c r="B326" s="121">
        <v>313</v>
      </c>
      <c r="C326" s="120" t="s">
        <v>2503</v>
      </c>
      <c r="D326" s="121"/>
      <c r="E326" s="120"/>
      <c r="F326" s="120" t="s">
        <v>2504</v>
      </c>
      <c r="G326" s="121">
        <v>60397551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295</v>
      </c>
      <c r="O326" s="120" t="s">
        <v>338</v>
      </c>
      <c r="P326" s="124">
        <v>43966</v>
      </c>
      <c r="Q326" s="120" t="s">
        <v>1222</v>
      </c>
      <c r="R326" s="120" t="s">
        <v>886</v>
      </c>
      <c r="S326" s="120" t="s">
        <v>890</v>
      </c>
      <c r="T326" s="124">
        <v>45838</v>
      </c>
      <c r="U326" s="122">
        <v>3.3719999999999999</v>
      </c>
      <c r="V326" s="122">
        <v>1017.85595</v>
      </c>
      <c r="W326" s="122">
        <v>3432.2102500000001</v>
      </c>
      <c r="X326" s="123">
        <v>5.2899999999999996E-4</v>
      </c>
      <c r="Y326" s="123">
        <v>5.62E-4</v>
      </c>
      <c r="Z326" s="123">
        <v>5.7000000000000003E-5</v>
      </c>
    </row>
    <row r="327" spans="1:26" ht="15" customHeight="1">
      <c r="A327" s="121">
        <v>313</v>
      </c>
      <c r="B327" s="121">
        <v>313</v>
      </c>
      <c r="C327" s="120" t="s">
        <v>2467</v>
      </c>
      <c r="D327" s="121"/>
      <c r="E327" s="120"/>
      <c r="F327" s="120" t="s">
        <v>2505</v>
      </c>
      <c r="G327" s="121">
        <v>60402286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232</v>
      </c>
      <c r="O327" s="120" t="s">
        <v>338</v>
      </c>
      <c r="P327" s="124">
        <v>42613</v>
      </c>
      <c r="Q327" s="120" t="s">
        <v>1225</v>
      </c>
      <c r="R327" s="120" t="s">
        <v>886</v>
      </c>
      <c r="S327" s="120" t="s">
        <v>890</v>
      </c>
      <c r="T327" s="124">
        <v>45838</v>
      </c>
      <c r="U327" s="122">
        <v>4.6235999999999997</v>
      </c>
      <c r="V327" s="122">
        <v>1506.40434</v>
      </c>
      <c r="W327" s="122">
        <v>6965.0111100000004</v>
      </c>
      <c r="X327" s="123">
        <v>7.5319999999999996E-3</v>
      </c>
      <c r="Y327" s="123">
        <v>1.1410000000000001E-3</v>
      </c>
      <c r="Z327" s="123">
        <v>1.15E-4</v>
      </c>
    </row>
    <row r="328" spans="1:26" ht="15" customHeight="1">
      <c r="A328" s="121">
        <v>313</v>
      </c>
      <c r="B328" s="121">
        <v>313</v>
      </c>
      <c r="C328" s="120" t="s">
        <v>2506</v>
      </c>
      <c r="D328" s="121"/>
      <c r="E328" s="120"/>
      <c r="F328" s="120" t="s">
        <v>2507</v>
      </c>
      <c r="G328" s="121">
        <v>60335809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223</v>
      </c>
      <c r="O328" s="120" t="s">
        <v>338</v>
      </c>
      <c r="P328" s="124">
        <v>43039</v>
      </c>
      <c r="Q328" s="120" t="s">
        <v>1222</v>
      </c>
      <c r="R328" s="120" t="s">
        <v>886</v>
      </c>
      <c r="S328" s="120" t="s">
        <v>890</v>
      </c>
      <c r="T328" s="124">
        <v>45838</v>
      </c>
      <c r="U328" s="122">
        <v>3.3719999999999999</v>
      </c>
      <c r="V328" s="122">
        <v>2.9999999999999997E-4</v>
      </c>
      <c r="W328" s="122">
        <v>1.0300000000000001E-3</v>
      </c>
      <c r="X328" s="123">
        <v>0</v>
      </c>
      <c r="Y328" s="123">
        <v>0</v>
      </c>
      <c r="Z328" s="123">
        <v>0</v>
      </c>
    </row>
    <row r="329" spans="1:26" ht="15" customHeight="1">
      <c r="A329" s="121">
        <v>313</v>
      </c>
      <c r="B329" s="121">
        <v>313</v>
      </c>
      <c r="C329" s="120" t="s">
        <v>2229</v>
      </c>
      <c r="D329" s="121"/>
      <c r="E329" s="120"/>
      <c r="F329" s="120" t="s">
        <v>2508</v>
      </c>
      <c r="G329" s="121">
        <v>62021035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295</v>
      </c>
      <c r="O329" s="120" t="s">
        <v>338</v>
      </c>
      <c r="P329" s="124">
        <v>44923</v>
      </c>
      <c r="Q329" s="120" t="s">
        <v>1222</v>
      </c>
      <c r="R329" s="120" t="s">
        <v>886</v>
      </c>
      <c r="S329" s="120" t="s">
        <v>890</v>
      </c>
      <c r="T329" s="124">
        <v>45838</v>
      </c>
      <c r="U329" s="122">
        <v>3.3719999999999999</v>
      </c>
      <c r="V329" s="122">
        <v>15775.3321</v>
      </c>
      <c r="W329" s="122">
        <v>53194.419849999998</v>
      </c>
      <c r="X329" s="123">
        <v>1.168E-3</v>
      </c>
      <c r="Y329" s="123">
        <v>8.7139999999999995E-3</v>
      </c>
      <c r="Z329" s="123">
        <v>8.8500000000000004E-4</v>
      </c>
    </row>
    <row r="330" spans="1:26" ht="15" customHeight="1">
      <c r="A330" s="121">
        <v>313</v>
      </c>
      <c r="B330" s="121">
        <v>313</v>
      </c>
      <c r="C330" s="120" t="s">
        <v>2138</v>
      </c>
      <c r="D330" s="121"/>
      <c r="E330" s="120"/>
      <c r="F330" s="120" t="s">
        <v>2509</v>
      </c>
      <c r="G330" s="121">
        <v>44000108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292</v>
      </c>
      <c r="O330" s="120" t="s">
        <v>338</v>
      </c>
      <c r="P330" s="124">
        <v>45473</v>
      </c>
      <c r="Q330" s="120" t="s">
        <v>1222</v>
      </c>
      <c r="R330" s="120" t="s">
        <v>886</v>
      </c>
      <c r="S330" s="120" t="s">
        <v>890</v>
      </c>
      <c r="T330" s="124">
        <v>45838</v>
      </c>
      <c r="U330" s="122">
        <v>3.3719999999999999</v>
      </c>
      <c r="V330" s="122">
        <v>3085.3663700000002</v>
      </c>
      <c r="W330" s="122">
        <v>10403.8554</v>
      </c>
      <c r="X330" s="123">
        <v>1.0280000000000001E-3</v>
      </c>
      <c r="Y330" s="123">
        <v>1.704E-3</v>
      </c>
      <c r="Z330" s="123">
        <v>1.73E-4</v>
      </c>
    </row>
    <row r="331" spans="1:26" ht="15" customHeight="1">
      <c r="A331" s="121">
        <v>313</v>
      </c>
      <c r="B331" s="121">
        <v>313</v>
      </c>
      <c r="C331" s="120" t="s">
        <v>2138</v>
      </c>
      <c r="D331" s="121"/>
      <c r="E331" s="120"/>
      <c r="F331" s="120" t="s">
        <v>2510</v>
      </c>
      <c r="G331" s="121">
        <v>43000909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280</v>
      </c>
      <c r="O331" s="120" t="s">
        <v>338</v>
      </c>
      <c r="P331" s="124">
        <v>44054</v>
      </c>
      <c r="Q331" s="120" t="s">
        <v>1222</v>
      </c>
      <c r="R331" s="120" t="s">
        <v>886</v>
      </c>
      <c r="S331" s="120" t="s">
        <v>890</v>
      </c>
      <c r="T331" s="124">
        <v>45838</v>
      </c>
      <c r="U331" s="122">
        <v>3.3719999999999999</v>
      </c>
      <c r="V331" s="122">
        <v>785.73599999999999</v>
      </c>
      <c r="W331" s="122">
        <v>2649.5017899999998</v>
      </c>
      <c r="X331" s="123">
        <v>3.9199999999999999E-4</v>
      </c>
      <c r="Y331" s="123">
        <v>4.3399999999999998E-4</v>
      </c>
      <c r="Z331" s="123">
        <v>4.3999999999999999E-5</v>
      </c>
    </row>
    <row r="332" spans="1:26" ht="15" customHeight="1">
      <c r="A332" s="121">
        <v>313</v>
      </c>
      <c r="B332" s="121">
        <v>313</v>
      </c>
      <c r="C332" s="120" t="s">
        <v>2378</v>
      </c>
      <c r="D332" s="121"/>
      <c r="E332" s="120"/>
      <c r="F332" s="120" t="s">
        <v>2511</v>
      </c>
      <c r="G332" s="121">
        <v>62018000</v>
      </c>
      <c r="H332" s="120" t="s">
        <v>311</v>
      </c>
      <c r="I332" s="120" t="s">
        <v>1005</v>
      </c>
      <c r="J332" s="120"/>
      <c r="K332" s="120" t="s">
        <v>204</v>
      </c>
      <c r="L332" s="120"/>
      <c r="M332" s="120"/>
      <c r="N332" s="120" t="s">
        <v>223</v>
      </c>
      <c r="O332" s="120" t="s">
        <v>338</v>
      </c>
      <c r="P332" s="124">
        <v>39713</v>
      </c>
      <c r="Q332" s="120" t="s">
        <v>1222</v>
      </c>
      <c r="R332" s="120" t="s">
        <v>886</v>
      </c>
      <c r="S332" s="120" t="s">
        <v>890</v>
      </c>
      <c r="T332" s="124">
        <v>45838</v>
      </c>
      <c r="U332" s="122">
        <v>3.3719999999999999</v>
      </c>
      <c r="V332" s="122">
        <v>8189.6628199999996</v>
      </c>
      <c r="W332" s="122">
        <v>27615.543020000001</v>
      </c>
      <c r="X332" s="123">
        <v>3.8340000000000002E-3</v>
      </c>
      <c r="Y332" s="123">
        <v>4.5230000000000001E-3</v>
      </c>
      <c r="Z332" s="123">
        <v>4.5899999999999999E-4</v>
      </c>
    </row>
    <row r="333" spans="1:26" ht="15" customHeight="1">
      <c r="A333" s="121">
        <v>313</v>
      </c>
      <c r="B333" s="121">
        <v>313</v>
      </c>
      <c r="C333" s="120" t="s">
        <v>2138</v>
      </c>
      <c r="D333" s="121"/>
      <c r="E333" s="120"/>
      <c r="F333" s="120" t="s">
        <v>2512</v>
      </c>
      <c r="G333" s="121">
        <v>43000904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285</v>
      </c>
      <c r="O333" s="120" t="s">
        <v>338</v>
      </c>
      <c r="P333" s="124">
        <v>44054</v>
      </c>
      <c r="Q333" s="120" t="s">
        <v>1222</v>
      </c>
      <c r="R333" s="120" t="s">
        <v>886</v>
      </c>
      <c r="S333" s="120" t="s">
        <v>890</v>
      </c>
      <c r="T333" s="124">
        <v>45838</v>
      </c>
      <c r="U333" s="122">
        <v>3.3719999999999999</v>
      </c>
      <c r="V333" s="122">
        <v>3849.86</v>
      </c>
      <c r="W333" s="122">
        <v>12981.727919999999</v>
      </c>
      <c r="X333" s="123">
        <v>1.9239999999999999E-3</v>
      </c>
      <c r="Y333" s="123">
        <v>2.1259999999999999E-3</v>
      </c>
      <c r="Z333" s="123">
        <v>2.1599999999999999E-4</v>
      </c>
    </row>
    <row r="334" spans="1:26" ht="15" customHeight="1">
      <c r="A334" s="121">
        <v>313</v>
      </c>
      <c r="B334" s="121">
        <v>313</v>
      </c>
      <c r="C334" s="120" t="s">
        <v>2513</v>
      </c>
      <c r="D334" s="121"/>
      <c r="E334" s="120"/>
      <c r="F334" s="120" t="s">
        <v>2513</v>
      </c>
      <c r="G334" s="121">
        <v>62021214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223</v>
      </c>
      <c r="O334" s="120" t="s">
        <v>338</v>
      </c>
      <c r="P334" s="124">
        <v>45560</v>
      </c>
      <c r="Q334" s="120" t="s">
        <v>1222</v>
      </c>
      <c r="R334" s="120" t="s">
        <v>886</v>
      </c>
      <c r="S334" s="120" t="s">
        <v>890</v>
      </c>
      <c r="T334" s="124">
        <v>45838</v>
      </c>
      <c r="U334" s="122">
        <v>3.3719999999999999</v>
      </c>
      <c r="V334" s="122">
        <v>7250.3178600000001</v>
      </c>
      <c r="W334" s="122">
        <v>24448.071820000001</v>
      </c>
      <c r="X334" s="123">
        <v>3.5599999999999998E-4</v>
      </c>
      <c r="Y334" s="123">
        <v>4.0049999999999999E-3</v>
      </c>
      <c r="Z334" s="123">
        <v>4.0700000000000003E-4</v>
      </c>
    </row>
    <row r="335" spans="1:26" ht="15" customHeight="1">
      <c r="A335" s="121">
        <v>313</v>
      </c>
      <c r="B335" s="121">
        <v>313</v>
      </c>
      <c r="C335" s="120" t="s">
        <v>2197</v>
      </c>
      <c r="D335" s="121"/>
      <c r="E335" s="120"/>
      <c r="F335" s="120" t="s">
        <v>2514</v>
      </c>
      <c r="G335" s="121">
        <v>62020078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223</v>
      </c>
      <c r="O335" s="120" t="s">
        <v>338</v>
      </c>
      <c r="P335" s="124">
        <v>44666</v>
      </c>
      <c r="Q335" s="120" t="s">
        <v>1222</v>
      </c>
      <c r="R335" s="120" t="s">
        <v>886</v>
      </c>
      <c r="S335" s="120" t="s">
        <v>890</v>
      </c>
      <c r="T335" s="124">
        <v>45838</v>
      </c>
      <c r="U335" s="122">
        <v>3.3719999999999999</v>
      </c>
      <c r="V335" s="122">
        <v>11547.094859999999</v>
      </c>
      <c r="W335" s="122">
        <v>38936.803870000003</v>
      </c>
      <c r="X335" s="123">
        <v>1.1349999999999999E-3</v>
      </c>
      <c r="Y335" s="123">
        <v>6.378E-3</v>
      </c>
      <c r="Z335" s="123">
        <v>6.4800000000000003E-4</v>
      </c>
    </row>
    <row r="336" spans="1:26" ht="15" customHeight="1">
      <c r="A336" s="121">
        <v>313</v>
      </c>
      <c r="B336" s="121">
        <v>313</v>
      </c>
      <c r="C336" s="120" t="s">
        <v>2279</v>
      </c>
      <c r="D336" s="121"/>
      <c r="E336" s="120"/>
      <c r="F336" s="120" t="s">
        <v>2515</v>
      </c>
      <c r="G336" s="121">
        <v>60385370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292</v>
      </c>
      <c r="O336" s="120" t="s">
        <v>338</v>
      </c>
      <c r="P336" s="124">
        <v>44914</v>
      </c>
      <c r="Q336" s="120" t="s">
        <v>1215</v>
      </c>
      <c r="R336" s="120" t="s">
        <v>886</v>
      </c>
      <c r="S336" s="120" t="s">
        <v>890</v>
      </c>
      <c r="T336" s="124">
        <v>45838</v>
      </c>
      <c r="U336" s="122">
        <v>3.9552</v>
      </c>
      <c r="V336" s="122">
        <v>293.21721000000002</v>
      </c>
      <c r="W336" s="122">
        <v>1159.7327</v>
      </c>
      <c r="X336" s="123">
        <v>5.8600000000000004E-4</v>
      </c>
      <c r="Y336" s="123">
        <v>1.8900000000000001E-4</v>
      </c>
      <c r="Z336" s="123">
        <v>1.9000000000000001E-5</v>
      </c>
    </row>
    <row r="337" spans="1:26" ht="15" customHeight="1">
      <c r="A337" s="121">
        <v>313</v>
      </c>
      <c r="B337" s="121">
        <v>313</v>
      </c>
      <c r="C337" s="120" t="s">
        <v>2134</v>
      </c>
      <c r="D337" s="121"/>
      <c r="E337" s="120"/>
      <c r="F337" s="120" t="s">
        <v>2516</v>
      </c>
      <c r="G337" s="121">
        <v>62010988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292</v>
      </c>
      <c r="O337" s="120" t="s">
        <v>338</v>
      </c>
      <c r="P337" s="124">
        <v>43373</v>
      </c>
      <c r="Q337" s="120" t="s">
        <v>1215</v>
      </c>
      <c r="R337" s="120" t="s">
        <v>886</v>
      </c>
      <c r="S337" s="120" t="s">
        <v>890</v>
      </c>
      <c r="T337" s="124">
        <v>45838</v>
      </c>
      <c r="U337" s="122">
        <v>3.9552</v>
      </c>
      <c r="V337" s="122">
        <v>2659.47192</v>
      </c>
      <c r="W337" s="122">
        <v>10518.743329999999</v>
      </c>
      <c r="X337" s="123">
        <v>2.6199999999999999E-3</v>
      </c>
      <c r="Y337" s="123">
        <v>1.7229999999999999E-3</v>
      </c>
      <c r="Z337" s="123">
        <v>1.75E-4</v>
      </c>
    </row>
    <row r="338" spans="1:26" ht="15" customHeight="1">
      <c r="A338" s="121">
        <v>313</v>
      </c>
      <c r="B338" s="121">
        <v>313</v>
      </c>
      <c r="C338" s="120" t="s">
        <v>2503</v>
      </c>
      <c r="D338" s="121"/>
      <c r="E338" s="120"/>
      <c r="F338" s="120" t="s">
        <v>2517</v>
      </c>
      <c r="G338" s="121">
        <v>60397560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295</v>
      </c>
      <c r="O338" s="120" t="s">
        <v>338</v>
      </c>
      <c r="P338" s="124">
        <v>42872</v>
      </c>
      <c r="Q338" s="120" t="s">
        <v>1222</v>
      </c>
      <c r="R338" s="120" t="s">
        <v>886</v>
      </c>
      <c r="S338" s="120" t="s">
        <v>890</v>
      </c>
      <c r="T338" s="124">
        <v>45838</v>
      </c>
      <c r="U338" s="122">
        <v>3.3719999999999999</v>
      </c>
      <c r="V338" s="122">
        <v>2852.3573900000001</v>
      </c>
      <c r="W338" s="122">
        <v>9618.1491299999998</v>
      </c>
      <c r="X338" s="123">
        <v>3.8869999999999998E-3</v>
      </c>
      <c r="Y338" s="123">
        <v>1.575E-3</v>
      </c>
      <c r="Z338" s="123">
        <v>1.6000000000000001E-4</v>
      </c>
    </row>
    <row r="339" spans="1:26" ht="15" customHeight="1">
      <c r="A339" s="121">
        <v>313</v>
      </c>
      <c r="B339" s="121">
        <v>313</v>
      </c>
      <c r="C339" s="120" t="s">
        <v>2138</v>
      </c>
      <c r="D339" s="121"/>
      <c r="E339" s="120"/>
      <c r="F339" s="120" t="s">
        <v>2518</v>
      </c>
      <c r="G339" s="121">
        <v>43000910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244</v>
      </c>
      <c r="O339" s="120" t="s">
        <v>338</v>
      </c>
      <c r="P339" s="124">
        <v>44054</v>
      </c>
      <c r="Q339" s="120" t="s">
        <v>1222</v>
      </c>
      <c r="R339" s="120" t="s">
        <v>886</v>
      </c>
      <c r="S339" s="120" t="s">
        <v>890</v>
      </c>
      <c r="T339" s="124">
        <v>45838</v>
      </c>
      <c r="U339" s="122">
        <v>3.3719999999999999</v>
      </c>
      <c r="V339" s="122">
        <v>980.16800000000001</v>
      </c>
      <c r="W339" s="122">
        <v>3305.1264999999999</v>
      </c>
      <c r="X339" s="123">
        <v>4.8999999999999998E-4</v>
      </c>
      <c r="Y339" s="123">
        <v>5.4100000000000003E-4</v>
      </c>
      <c r="Z339" s="123">
        <v>5.5000000000000002E-5</v>
      </c>
    </row>
    <row r="340" spans="1:26" ht="15" customHeight="1">
      <c r="A340" s="121">
        <v>313</v>
      </c>
      <c r="B340" s="121">
        <v>313</v>
      </c>
      <c r="C340" s="120" t="s">
        <v>2223</v>
      </c>
      <c r="D340" s="121"/>
      <c r="E340" s="120"/>
      <c r="F340" s="120" t="s">
        <v>2519</v>
      </c>
      <c r="G340" s="121">
        <v>40000474</v>
      </c>
      <c r="H340" s="120" t="s">
        <v>311</v>
      </c>
      <c r="I340" s="120" t="s">
        <v>849</v>
      </c>
      <c r="J340" s="120"/>
      <c r="K340" s="120" t="s">
        <v>204</v>
      </c>
      <c r="L340" s="120"/>
      <c r="M340" s="120"/>
      <c r="N340" s="120" t="s">
        <v>292</v>
      </c>
      <c r="O340" s="120" t="s">
        <v>338</v>
      </c>
      <c r="P340" s="124">
        <v>41455</v>
      </c>
      <c r="Q340" s="120" t="s">
        <v>1215</v>
      </c>
      <c r="R340" s="120" t="s">
        <v>886</v>
      </c>
      <c r="S340" s="120" t="s">
        <v>890</v>
      </c>
      <c r="T340" s="124">
        <v>45838</v>
      </c>
      <c r="U340" s="122">
        <v>3.9552</v>
      </c>
      <c r="V340" s="122">
        <v>-1068.40706</v>
      </c>
      <c r="W340" s="122">
        <v>-4225.7636000000002</v>
      </c>
      <c r="X340" s="123"/>
      <c r="Y340" s="123">
        <v>-6.9200000000000002E-4</v>
      </c>
      <c r="Z340" s="123">
        <v>-6.9999999999999994E-5</v>
      </c>
    </row>
    <row r="341" spans="1:26" ht="15" customHeight="1">
      <c r="A341" s="121">
        <v>313</v>
      </c>
      <c r="B341" s="121">
        <v>313</v>
      </c>
      <c r="C341" s="120" t="s">
        <v>2520</v>
      </c>
      <c r="D341" s="121"/>
      <c r="E341" s="120"/>
      <c r="F341" s="120" t="s">
        <v>2521</v>
      </c>
      <c r="G341" s="121">
        <v>62014040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223</v>
      </c>
      <c r="O341" s="120" t="s">
        <v>338</v>
      </c>
      <c r="P341" s="124">
        <v>45350</v>
      </c>
      <c r="Q341" s="120" t="s">
        <v>1222</v>
      </c>
      <c r="R341" s="120" t="s">
        <v>886</v>
      </c>
      <c r="S341" s="120" t="s">
        <v>890</v>
      </c>
      <c r="T341" s="124">
        <v>45838</v>
      </c>
      <c r="U341" s="122">
        <v>3.3719999999999999</v>
      </c>
      <c r="V341" s="122">
        <v>4160.6155600000002</v>
      </c>
      <c r="W341" s="122">
        <v>14029.595660000001</v>
      </c>
      <c r="X341" s="123">
        <v>0.12181400000000001</v>
      </c>
      <c r="Y341" s="123">
        <v>2.2980000000000001E-3</v>
      </c>
      <c r="Z341" s="123">
        <v>2.33E-4</v>
      </c>
    </row>
    <row r="342" spans="1:26" ht="15" customHeight="1">
      <c r="A342" s="121">
        <v>313</v>
      </c>
      <c r="B342" s="121">
        <v>313</v>
      </c>
      <c r="C342" s="120" t="s">
        <v>2044</v>
      </c>
      <c r="D342" s="121"/>
      <c r="E342" s="120"/>
      <c r="F342" s="120" t="s">
        <v>2522</v>
      </c>
      <c r="G342" s="121">
        <v>62017751</v>
      </c>
      <c r="H342" s="120" t="s">
        <v>311</v>
      </c>
      <c r="I342" s="120" t="s">
        <v>1006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44172</v>
      </c>
      <c r="Q342" s="120" t="s">
        <v>1222</v>
      </c>
      <c r="R342" s="120" t="s">
        <v>886</v>
      </c>
      <c r="S342" s="120" t="s">
        <v>890</v>
      </c>
      <c r="T342" s="124">
        <v>45838</v>
      </c>
      <c r="U342" s="122">
        <v>3.3719999999999999</v>
      </c>
      <c r="V342" s="122">
        <v>8953.3980900000006</v>
      </c>
      <c r="W342" s="122">
        <v>30190.858359999998</v>
      </c>
      <c r="X342" s="123">
        <v>2.8659E-2</v>
      </c>
      <c r="Y342" s="123">
        <v>4.9449999999999997E-3</v>
      </c>
      <c r="Z342" s="123">
        <v>5.0199999999999995E-4</v>
      </c>
    </row>
    <row r="343" spans="1:26" ht="15" customHeight="1">
      <c r="A343" s="121">
        <v>313</v>
      </c>
      <c r="B343" s="121">
        <v>313</v>
      </c>
      <c r="C343" s="120" t="s">
        <v>2523</v>
      </c>
      <c r="D343" s="121"/>
      <c r="E343" s="120"/>
      <c r="F343" s="120" t="s">
        <v>2524</v>
      </c>
      <c r="G343" s="121">
        <v>60316858</v>
      </c>
      <c r="H343" s="120" t="s">
        <v>311</v>
      </c>
      <c r="I343" s="120" t="s">
        <v>1001</v>
      </c>
      <c r="J343" s="120"/>
      <c r="K343" s="120" t="s">
        <v>204</v>
      </c>
      <c r="L343" s="120"/>
      <c r="M343" s="120"/>
      <c r="N343" s="120" t="s">
        <v>292</v>
      </c>
      <c r="O343" s="120" t="s">
        <v>338</v>
      </c>
      <c r="P343" s="124">
        <v>41153</v>
      </c>
      <c r="Q343" s="120" t="s">
        <v>1222</v>
      </c>
      <c r="R343" s="120" t="s">
        <v>886</v>
      </c>
      <c r="S343" s="120" t="s">
        <v>890</v>
      </c>
      <c r="T343" s="124">
        <v>45838</v>
      </c>
      <c r="U343" s="122">
        <v>3.3719999999999999</v>
      </c>
      <c r="V343" s="122">
        <v>296.20607999999999</v>
      </c>
      <c r="W343" s="122">
        <v>998.80690000000004</v>
      </c>
      <c r="X343" s="123">
        <v>9.1000000000000003E-5</v>
      </c>
      <c r="Y343" s="123">
        <v>1.63E-4</v>
      </c>
      <c r="Z343" s="123">
        <v>1.5999999999999999E-5</v>
      </c>
    </row>
    <row r="344" spans="1:26" ht="15" customHeight="1">
      <c r="A344" s="121">
        <v>313</v>
      </c>
      <c r="B344" s="121">
        <v>313</v>
      </c>
      <c r="C344" s="120" t="s">
        <v>2147</v>
      </c>
      <c r="D344" s="121"/>
      <c r="E344" s="120"/>
      <c r="F344" s="120" t="s">
        <v>2380</v>
      </c>
      <c r="G344" s="121">
        <v>40000754</v>
      </c>
      <c r="H344" s="120" t="s">
        <v>311</v>
      </c>
      <c r="I344" s="120" t="s">
        <v>1001</v>
      </c>
      <c r="J344" s="120"/>
      <c r="K344" s="120" t="s">
        <v>204</v>
      </c>
      <c r="L344" s="120"/>
      <c r="M344" s="120"/>
      <c r="N344" s="120" t="s">
        <v>295</v>
      </c>
      <c r="O344" s="120" t="s">
        <v>338</v>
      </c>
      <c r="P344" s="124">
        <v>43513</v>
      </c>
      <c r="Q344" s="120" t="s">
        <v>1215</v>
      </c>
      <c r="R344" s="120" t="s">
        <v>886</v>
      </c>
      <c r="S344" s="120" t="s">
        <v>890</v>
      </c>
      <c r="T344" s="124">
        <v>45838</v>
      </c>
      <c r="U344" s="122">
        <v>3.9552</v>
      </c>
      <c r="V344" s="122">
        <v>5.6689999999999996</v>
      </c>
      <c r="W344" s="122">
        <v>22.422029999999999</v>
      </c>
      <c r="X344" s="123">
        <v>1.1E-5</v>
      </c>
      <c r="Y344" s="123">
        <v>3.0000000000000001E-6</v>
      </c>
      <c r="Z344" s="123">
        <v>0</v>
      </c>
    </row>
    <row r="345" spans="1:26" ht="15" customHeight="1">
      <c r="A345" s="121">
        <v>313</v>
      </c>
      <c r="B345" s="121">
        <v>313</v>
      </c>
      <c r="C345" s="120" t="s">
        <v>2156</v>
      </c>
      <c r="D345" s="121"/>
      <c r="E345" s="120"/>
      <c r="F345" s="120" t="s">
        <v>2525</v>
      </c>
      <c r="G345" s="121">
        <v>42000907</v>
      </c>
      <c r="H345" s="120" t="s">
        <v>311</v>
      </c>
      <c r="I345" s="120" t="s">
        <v>1006</v>
      </c>
      <c r="J345" s="120"/>
      <c r="K345" s="120" t="s">
        <v>204</v>
      </c>
      <c r="L345" s="120"/>
      <c r="M345" s="120"/>
      <c r="N345" s="120" t="s">
        <v>295</v>
      </c>
      <c r="O345" s="120" t="s">
        <v>338</v>
      </c>
      <c r="P345" s="124">
        <v>43601</v>
      </c>
      <c r="Q345" s="120" t="s">
        <v>1222</v>
      </c>
      <c r="R345" s="120" t="s">
        <v>886</v>
      </c>
      <c r="S345" s="120" t="s">
        <v>890</v>
      </c>
      <c r="T345" s="124">
        <v>45838</v>
      </c>
      <c r="U345" s="122">
        <v>3.3719999999999999</v>
      </c>
      <c r="V345" s="122">
        <v>891.41240000000005</v>
      </c>
      <c r="W345" s="122">
        <v>3005.8426100000001</v>
      </c>
      <c r="X345" s="123">
        <v>2.9700000000000001E-4</v>
      </c>
      <c r="Y345" s="123">
        <v>4.9200000000000003E-4</v>
      </c>
      <c r="Z345" s="123">
        <v>5.0000000000000002E-5</v>
      </c>
    </row>
    <row r="346" spans="1:26" ht="15" customHeight="1">
      <c r="A346" s="121">
        <v>313</v>
      </c>
      <c r="B346" s="121">
        <v>313</v>
      </c>
      <c r="C346" s="120" t="s">
        <v>2134</v>
      </c>
      <c r="D346" s="121"/>
      <c r="E346" s="120"/>
      <c r="F346" s="120" t="s">
        <v>2526</v>
      </c>
      <c r="G346" s="121">
        <v>62013934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303</v>
      </c>
      <c r="O346" s="120" t="s">
        <v>338</v>
      </c>
      <c r="P346" s="124">
        <v>43768</v>
      </c>
      <c r="Q346" s="120" t="s">
        <v>1222</v>
      </c>
      <c r="R346" s="120" t="s">
        <v>886</v>
      </c>
      <c r="S346" s="120" t="s">
        <v>890</v>
      </c>
      <c r="T346" s="124">
        <v>45838</v>
      </c>
      <c r="U346" s="122">
        <v>3.3719999999999999</v>
      </c>
      <c r="V346" s="122">
        <v>2000.49371</v>
      </c>
      <c r="W346" s="122">
        <v>6745.6647899999998</v>
      </c>
      <c r="X346" s="123">
        <v>1.6927999999999999E-2</v>
      </c>
      <c r="Y346" s="123">
        <v>1.1050000000000001E-3</v>
      </c>
      <c r="Z346" s="123">
        <v>1.12E-4</v>
      </c>
    </row>
    <row r="347" spans="1:26" ht="15" customHeight="1">
      <c r="A347" s="121">
        <v>313</v>
      </c>
      <c r="B347" s="121">
        <v>313</v>
      </c>
      <c r="C347" s="120" t="s">
        <v>2171</v>
      </c>
      <c r="D347" s="121"/>
      <c r="E347" s="120"/>
      <c r="F347" s="120" t="s">
        <v>2527</v>
      </c>
      <c r="G347" s="121">
        <v>62016811</v>
      </c>
      <c r="H347" s="120" t="s">
        <v>311</v>
      </c>
      <c r="I347" s="120" t="s">
        <v>1005</v>
      </c>
      <c r="J347" s="120"/>
      <c r="K347" s="120" t="s">
        <v>204</v>
      </c>
      <c r="L347" s="120"/>
      <c r="M347" s="120"/>
      <c r="N347" s="120" t="s">
        <v>281</v>
      </c>
      <c r="O347" s="120" t="s">
        <v>338</v>
      </c>
      <c r="P347" s="124">
        <v>41904</v>
      </c>
      <c r="Q347" s="120" t="s">
        <v>1212</v>
      </c>
      <c r="R347" s="120" t="s">
        <v>886</v>
      </c>
      <c r="S347" s="120" t="s">
        <v>890</v>
      </c>
      <c r="T347" s="124">
        <v>45838</v>
      </c>
      <c r="U347" s="122">
        <v>2.4674</v>
      </c>
      <c r="V347" s="122">
        <v>11289.862359999999</v>
      </c>
      <c r="W347" s="122">
        <v>27856.606390000001</v>
      </c>
      <c r="X347" s="123">
        <v>1.8322000000000001E-2</v>
      </c>
      <c r="Y347" s="123">
        <v>4.5630000000000002E-3</v>
      </c>
      <c r="Z347" s="123">
        <v>4.6299999999999998E-4</v>
      </c>
    </row>
    <row r="348" spans="1:26" ht="15" customHeight="1">
      <c r="A348" s="121">
        <v>313</v>
      </c>
      <c r="B348" s="121">
        <v>313</v>
      </c>
      <c r="C348" s="120" t="s">
        <v>2528</v>
      </c>
      <c r="D348" s="121"/>
      <c r="E348" s="120"/>
      <c r="F348" s="120" t="s">
        <v>2529</v>
      </c>
      <c r="G348" s="121">
        <v>62021848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223</v>
      </c>
      <c r="O348" s="120" t="s">
        <v>338</v>
      </c>
      <c r="P348" s="124">
        <v>45680</v>
      </c>
      <c r="Q348" s="120" t="s">
        <v>1222</v>
      </c>
      <c r="R348" s="120" t="s">
        <v>886</v>
      </c>
      <c r="S348" s="120" t="s">
        <v>890</v>
      </c>
      <c r="T348" s="124">
        <v>45838</v>
      </c>
      <c r="U348" s="122">
        <v>3.3719999999999999</v>
      </c>
      <c r="V348" s="122">
        <v>1818.3991000000001</v>
      </c>
      <c r="W348" s="122">
        <v>6131.6417799999999</v>
      </c>
      <c r="X348" s="123">
        <v>2.4729999999999999E-2</v>
      </c>
      <c r="Y348" s="123">
        <v>1.0039999999999999E-3</v>
      </c>
      <c r="Z348" s="123">
        <v>1.02E-4</v>
      </c>
    </row>
    <row r="349" spans="1:26" ht="15" customHeight="1">
      <c r="A349" s="121">
        <v>313</v>
      </c>
      <c r="B349" s="121">
        <v>313</v>
      </c>
      <c r="C349" s="120" t="s">
        <v>2138</v>
      </c>
      <c r="D349" s="121"/>
      <c r="E349" s="120"/>
      <c r="F349" s="120" t="s">
        <v>2530</v>
      </c>
      <c r="G349" s="121">
        <v>43000907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232</v>
      </c>
      <c r="O349" s="120" t="s">
        <v>338</v>
      </c>
      <c r="P349" s="124">
        <v>44054</v>
      </c>
      <c r="Q349" s="120" t="s">
        <v>1222</v>
      </c>
      <c r="R349" s="120" t="s">
        <v>886</v>
      </c>
      <c r="S349" s="120" t="s">
        <v>890</v>
      </c>
      <c r="T349" s="124">
        <v>45838</v>
      </c>
      <c r="U349" s="122">
        <v>3.3719999999999999</v>
      </c>
      <c r="V349" s="122">
        <v>770.476</v>
      </c>
      <c r="W349" s="122">
        <v>2598.0450700000001</v>
      </c>
      <c r="X349" s="123">
        <v>3.8499999999999998E-4</v>
      </c>
      <c r="Y349" s="123">
        <v>4.2499999999999998E-4</v>
      </c>
      <c r="Z349" s="123">
        <v>4.3000000000000002E-5</v>
      </c>
    </row>
    <row r="350" spans="1:26" ht="15" customHeight="1">
      <c r="A350" s="121">
        <v>313</v>
      </c>
      <c r="B350" s="121">
        <v>313</v>
      </c>
      <c r="C350" s="120" t="s">
        <v>2132</v>
      </c>
      <c r="D350" s="121"/>
      <c r="E350" s="120"/>
      <c r="F350" s="120" t="s">
        <v>2531</v>
      </c>
      <c r="G350" s="121">
        <v>60333382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223</v>
      </c>
      <c r="O350" s="120" t="s">
        <v>338</v>
      </c>
      <c r="P350" s="124">
        <v>41206</v>
      </c>
      <c r="Q350" s="120" t="s">
        <v>1222</v>
      </c>
      <c r="R350" s="120" t="s">
        <v>886</v>
      </c>
      <c r="S350" s="120" t="s">
        <v>890</v>
      </c>
      <c r="T350" s="124">
        <v>45838</v>
      </c>
      <c r="U350" s="122">
        <v>3.3719999999999999</v>
      </c>
      <c r="V350" s="122">
        <v>60.76014</v>
      </c>
      <c r="W350" s="122">
        <v>204.88319999999999</v>
      </c>
      <c r="X350" s="123">
        <v>5.44E-4</v>
      </c>
      <c r="Y350" s="123">
        <v>3.3000000000000003E-5</v>
      </c>
      <c r="Z350" s="123">
        <v>3.0000000000000001E-6</v>
      </c>
    </row>
    <row r="351" spans="1:26" ht="15" customHeight="1">
      <c r="A351" s="121">
        <v>313</v>
      </c>
      <c r="B351" s="121">
        <v>313</v>
      </c>
      <c r="C351" s="120" t="s">
        <v>2532</v>
      </c>
      <c r="D351" s="121"/>
      <c r="E351" s="120"/>
      <c r="F351" s="120" t="s">
        <v>2533</v>
      </c>
      <c r="G351" s="121">
        <v>62021200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292</v>
      </c>
      <c r="O351" s="120" t="s">
        <v>338</v>
      </c>
      <c r="P351" s="124">
        <v>45041</v>
      </c>
      <c r="Q351" s="120" t="s">
        <v>1215</v>
      </c>
      <c r="R351" s="120" t="s">
        <v>886</v>
      </c>
      <c r="S351" s="120" t="s">
        <v>890</v>
      </c>
      <c r="T351" s="124">
        <v>45838</v>
      </c>
      <c r="U351" s="122">
        <v>3.9552</v>
      </c>
      <c r="V351" s="122">
        <v>566.88086999999996</v>
      </c>
      <c r="W351" s="122">
        <v>2242.1272100000001</v>
      </c>
      <c r="X351" s="123">
        <v>1.4100000000000001E-4</v>
      </c>
      <c r="Y351" s="123">
        <v>3.6699999999999998E-4</v>
      </c>
      <c r="Z351" s="123">
        <v>3.6999999999999998E-5</v>
      </c>
    </row>
    <row r="352" spans="1:26" ht="15" customHeight="1">
      <c r="A352" s="121">
        <v>313</v>
      </c>
      <c r="B352" s="121">
        <v>313</v>
      </c>
      <c r="C352" s="120" t="s">
        <v>2523</v>
      </c>
      <c r="D352" s="121"/>
      <c r="E352" s="120"/>
      <c r="F352" s="120" t="s">
        <v>2534</v>
      </c>
      <c r="G352" s="121">
        <v>60318367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292</v>
      </c>
      <c r="O352" s="120" t="s">
        <v>338</v>
      </c>
      <c r="P352" s="124">
        <v>41260</v>
      </c>
      <c r="Q352" s="120" t="s">
        <v>1215</v>
      </c>
      <c r="R352" s="120" t="s">
        <v>886</v>
      </c>
      <c r="S352" s="120" t="s">
        <v>890</v>
      </c>
      <c r="T352" s="124">
        <v>45838</v>
      </c>
      <c r="U352" s="122">
        <v>3.9552</v>
      </c>
      <c r="V352" s="122">
        <v>6983.0317599999998</v>
      </c>
      <c r="W352" s="122">
        <v>27619.287219999998</v>
      </c>
      <c r="X352" s="123">
        <v>3.8794000000000002E-2</v>
      </c>
      <c r="Y352" s="123">
        <v>4.5240000000000002E-3</v>
      </c>
      <c r="Z352" s="123">
        <v>4.5899999999999999E-4</v>
      </c>
    </row>
    <row r="353" spans="1:26" ht="15" customHeight="1">
      <c r="A353" s="121">
        <v>313</v>
      </c>
      <c r="B353" s="121">
        <v>313</v>
      </c>
      <c r="C353" s="120" t="s">
        <v>2459</v>
      </c>
      <c r="D353" s="121"/>
      <c r="E353" s="120"/>
      <c r="F353" s="120" t="s">
        <v>2535</v>
      </c>
      <c r="G353" s="121">
        <v>62007695</v>
      </c>
      <c r="H353" s="120" t="s">
        <v>311</v>
      </c>
      <c r="I353" s="120" t="s">
        <v>1001</v>
      </c>
      <c r="J353" s="120"/>
      <c r="K353" s="120" t="s">
        <v>204</v>
      </c>
      <c r="L353" s="120"/>
      <c r="M353" s="120"/>
      <c r="N353" s="120" t="s">
        <v>292</v>
      </c>
      <c r="O353" s="120" t="s">
        <v>338</v>
      </c>
      <c r="P353" s="124">
        <v>40801</v>
      </c>
      <c r="Q353" s="120" t="s">
        <v>1215</v>
      </c>
      <c r="R353" s="120" t="s">
        <v>886</v>
      </c>
      <c r="S353" s="120" t="s">
        <v>890</v>
      </c>
      <c r="T353" s="124">
        <v>45838</v>
      </c>
      <c r="U353" s="122">
        <v>3.9552</v>
      </c>
      <c r="V353" s="122">
        <v>5241.8774000000003</v>
      </c>
      <c r="W353" s="122">
        <v>20732.673480000001</v>
      </c>
      <c r="X353" s="123">
        <v>1.1640000000000001E-3</v>
      </c>
      <c r="Y353" s="123">
        <v>3.3960000000000001E-3</v>
      </c>
      <c r="Z353" s="123">
        <v>3.4499999999999998E-4</v>
      </c>
    </row>
    <row r="354" spans="1:26" ht="15" customHeight="1">
      <c r="A354" s="121">
        <v>313</v>
      </c>
      <c r="B354" s="121">
        <v>313</v>
      </c>
      <c r="C354" s="120" t="s">
        <v>2536</v>
      </c>
      <c r="D354" s="121"/>
      <c r="E354" s="120"/>
      <c r="F354" s="120" t="s">
        <v>2537</v>
      </c>
      <c r="G354" s="121">
        <v>62022365</v>
      </c>
      <c r="H354" s="120" t="s">
        <v>311</v>
      </c>
      <c r="I354" s="120" t="s">
        <v>1005</v>
      </c>
      <c r="J354" s="120"/>
      <c r="K354" s="120" t="s">
        <v>204</v>
      </c>
      <c r="L354" s="120"/>
      <c r="M354" s="120"/>
      <c r="N354" s="120" t="s">
        <v>223</v>
      </c>
      <c r="O354" s="120" t="s">
        <v>338</v>
      </c>
      <c r="P354" s="124">
        <v>45789</v>
      </c>
      <c r="Q354" s="120" t="s">
        <v>1222</v>
      </c>
      <c r="R354" s="120" t="s">
        <v>886</v>
      </c>
      <c r="S354" s="120" t="s">
        <v>890</v>
      </c>
      <c r="T354" s="124">
        <v>45838</v>
      </c>
      <c r="U354" s="122">
        <v>3.3719999999999999</v>
      </c>
      <c r="V354" s="122">
        <v>1983.6759999999999</v>
      </c>
      <c r="W354" s="122">
        <v>6688.9554699999999</v>
      </c>
      <c r="X354" s="123">
        <v>7.9340000000000001E-3</v>
      </c>
      <c r="Y354" s="123">
        <v>1.0950000000000001E-3</v>
      </c>
      <c r="Z354" s="123">
        <v>1.11E-4</v>
      </c>
    </row>
    <row r="355" spans="1:26" ht="15" customHeight="1">
      <c r="A355" s="121">
        <v>313</v>
      </c>
      <c r="B355" s="121">
        <v>313</v>
      </c>
      <c r="C355" s="120" t="s">
        <v>2538</v>
      </c>
      <c r="D355" s="121"/>
      <c r="E355" s="120"/>
      <c r="F355" s="120" t="s">
        <v>2539</v>
      </c>
      <c r="G355" s="121">
        <v>62021464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292</v>
      </c>
      <c r="O355" s="120" t="s">
        <v>338</v>
      </c>
      <c r="P355" s="124">
        <v>45238</v>
      </c>
      <c r="Q355" s="120" t="s">
        <v>1215</v>
      </c>
      <c r="R355" s="120" t="s">
        <v>886</v>
      </c>
      <c r="S355" s="120" t="s">
        <v>890</v>
      </c>
      <c r="T355" s="124">
        <v>45838</v>
      </c>
      <c r="U355" s="122">
        <v>3.9552</v>
      </c>
      <c r="V355" s="122">
        <v>11649.268400000001</v>
      </c>
      <c r="W355" s="122">
        <v>46075.186370000003</v>
      </c>
      <c r="X355" s="123">
        <v>5.3000000000000001E-5</v>
      </c>
      <c r="Y355" s="123">
        <v>7.5469999999999999E-3</v>
      </c>
      <c r="Z355" s="123">
        <v>7.67E-4</v>
      </c>
    </row>
    <row r="356" spans="1:26" ht="15" customHeight="1">
      <c r="A356" s="121">
        <v>313</v>
      </c>
      <c r="B356" s="121">
        <v>313</v>
      </c>
      <c r="C356" s="120" t="s">
        <v>2156</v>
      </c>
      <c r="D356" s="121"/>
      <c r="E356" s="120"/>
      <c r="F356" s="120" t="s">
        <v>2540</v>
      </c>
      <c r="G356" s="121">
        <v>42000919</v>
      </c>
      <c r="H356" s="120" t="s">
        <v>311</v>
      </c>
      <c r="I356" s="120" t="s">
        <v>1006</v>
      </c>
      <c r="J356" s="120"/>
      <c r="K356" s="120" t="s">
        <v>204</v>
      </c>
      <c r="L356" s="120"/>
      <c r="M356" s="120"/>
      <c r="N356" s="120" t="s">
        <v>295</v>
      </c>
      <c r="O356" s="120" t="s">
        <v>338</v>
      </c>
      <c r="P356" s="124">
        <v>43601</v>
      </c>
      <c r="Q356" s="120" t="s">
        <v>1222</v>
      </c>
      <c r="R356" s="120" t="s">
        <v>886</v>
      </c>
      <c r="S356" s="120" t="s">
        <v>890</v>
      </c>
      <c r="T356" s="124">
        <v>45838</v>
      </c>
      <c r="U356" s="122">
        <v>3.3719999999999999</v>
      </c>
      <c r="V356" s="122">
        <v>222.57560000000001</v>
      </c>
      <c r="W356" s="122">
        <v>750.52491999999995</v>
      </c>
      <c r="X356" s="123">
        <v>7.3999999999999996E-5</v>
      </c>
      <c r="Y356" s="123">
        <v>1.22E-4</v>
      </c>
      <c r="Z356" s="123">
        <v>1.2E-5</v>
      </c>
    </row>
    <row r="357" spans="1:26" ht="15" customHeight="1">
      <c r="A357" s="121">
        <v>313</v>
      </c>
      <c r="B357" s="121">
        <v>313</v>
      </c>
      <c r="C357" s="120" t="s">
        <v>2395</v>
      </c>
      <c r="D357" s="121"/>
      <c r="E357" s="120"/>
      <c r="F357" s="120" t="s">
        <v>2541</v>
      </c>
      <c r="G357" s="121">
        <v>62020516</v>
      </c>
      <c r="H357" s="120" t="s">
        <v>311</v>
      </c>
      <c r="I357" s="120" t="s">
        <v>1005</v>
      </c>
      <c r="J357" s="120"/>
      <c r="K357" s="120" t="s">
        <v>204</v>
      </c>
      <c r="L357" s="120"/>
      <c r="M357" s="120"/>
      <c r="N357" s="120" t="s">
        <v>223</v>
      </c>
      <c r="O357" s="120" t="s">
        <v>338</v>
      </c>
      <c r="P357" s="124">
        <v>41759</v>
      </c>
      <c r="Q357" s="120" t="s">
        <v>1222</v>
      </c>
      <c r="R357" s="120" t="s">
        <v>886</v>
      </c>
      <c r="S357" s="120" t="s">
        <v>890</v>
      </c>
      <c r="T357" s="124">
        <v>45838</v>
      </c>
      <c r="U357" s="122">
        <v>3.3719999999999999</v>
      </c>
      <c r="V357" s="122">
        <v>12084.375029999999</v>
      </c>
      <c r="W357" s="122">
        <v>40748.512600000002</v>
      </c>
      <c r="X357" s="123">
        <v>1.2083999999999999E-2</v>
      </c>
      <c r="Y357" s="123">
        <v>6.6750000000000004E-3</v>
      </c>
      <c r="Z357" s="123">
        <v>6.78E-4</v>
      </c>
    </row>
    <row r="358" spans="1:26" ht="15" customHeight="1">
      <c r="A358" s="121">
        <v>313</v>
      </c>
      <c r="B358" s="121">
        <v>313</v>
      </c>
      <c r="C358" s="120" t="s">
        <v>2145</v>
      </c>
      <c r="D358" s="121"/>
      <c r="E358" s="120"/>
      <c r="F358" s="120" t="s">
        <v>2542</v>
      </c>
      <c r="G358" s="121">
        <v>62019280</v>
      </c>
      <c r="H358" s="120" t="s">
        <v>311</v>
      </c>
      <c r="I358" s="120" t="s">
        <v>1005</v>
      </c>
      <c r="J358" s="120"/>
      <c r="K358" s="120" t="s">
        <v>204</v>
      </c>
      <c r="L358" s="120"/>
      <c r="M358" s="120"/>
      <c r="N358" s="120" t="s">
        <v>303</v>
      </c>
      <c r="O358" s="120" t="s">
        <v>338</v>
      </c>
      <c r="P358" s="124">
        <v>39072</v>
      </c>
      <c r="Q358" s="120" t="s">
        <v>1222</v>
      </c>
      <c r="R358" s="120" t="s">
        <v>886</v>
      </c>
      <c r="S358" s="120" t="s">
        <v>890</v>
      </c>
      <c r="T358" s="124">
        <v>45838</v>
      </c>
      <c r="U358" s="122">
        <v>3.3719999999999999</v>
      </c>
      <c r="V358" s="122">
        <v>5806.6166000000003</v>
      </c>
      <c r="W358" s="122">
        <v>19579.911179999999</v>
      </c>
      <c r="X358" s="123">
        <v>7.0799999999999997E-4</v>
      </c>
      <c r="Y358" s="123">
        <v>3.2070000000000002E-3</v>
      </c>
      <c r="Z358" s="123">
        <v>3.2600000000000001E-4</v>
      </c>
    </row>
    <row r="359" spans="1:26" ht="15" customHeight="1">
      <c r="A359" s="121">
        <v>313</v>
      </c>
      <c r="B359" s="121">
        <v>313</v>
      </c>
      <c r="C359" s="120" t="s">
        <v>2543</v>
      </c>
      <c r="D359" s="121"/>
      <c r="E359" s="120"/>
      <c r="F359" s="120" t="s">
        <v>2544</v>
      </c>
      <c r="G359" s="121">
        <v>40000499</v>
      </c>
      <c r="H359" s="120" t="s">
        <v>311</v>
      </c>
      <c r="I359" s="120" t="s">
        <v>1001</v>
      </c>
      <c r="J359" s="120"/>
      <c r="K359" s="120" t="s">
        <v>204</v>
      </c>
      <c r="L359" s="120"/>
      <c r="M359" s="120"/>
      <c r="N359" s="120" t="s">
        <v>292</v>
      </c>
      <c r="O359" s="120" t="s">
        <v>338</v>
      </c>
      <c r="P359" s="124">
        <v>43513</v>
      </c>
      <c r="Q359" s="120" t="s">
        <v>1215</v>
      </c>
      <c r="R359" s="120" t="s">
        <v>886</v>
      </c>
      <c r="S359" s="120" t="s">
        <v>890</v>
      </c>
      <c r="T359" s="124">
        <v>45838</v>
      </c>
      <c r="U359" s="122">
        <v>3.9552</v>
      </c>
      <c r="V359" s="122">
        <v>92.902000000000001</v>
      </c>
      <c r="W359" s="122">
        <v>367.44598999999999</v>
      </c>
      <c r="X359" s="123">
        <v>9.2E-5</v>
      </c>
      <c r="Y359" s="123">
        <v>6.0000000000000002E-5</v>
      </c>
      <c r="Z359" s="123">
        <v>6.0000000000000002E-6</v>
      </c>
    </row>
    <row r="360" spans="1:26" ht="15" customHeight="1">
      <c r="A360" s="121">
        <v>313</v>
      </c>
      <c r="B360" s="121">
        <v>313</v>
      </c>
      <c r="C360" s="120" t="s">
        <v>2191</v>
      </c>
      <c r="D360" s="121"/>
      <c r="E360" s="120"/>
      <c r="F360" s="120" t="s">
        <v>2545</v>
      </c>
      <c r="G360" s="121">
        <v>41000855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292</v>
      </c>
      <c r="O360" s="120" t="s">
        <v>338</v>
      </c>
      <c r="P360" s="124">
        <v>43513</v>
      </c>
      <c r="Q360" s="120" t="s">
        <v>1215</v>
      </c>
      <c r="R360" s="120" t="s">
        <v>886</v>
      </c>
      <c r="S360" s="120" t="s">
        <v>890</v>
      </c>
      <c r="T360" s="124">
        <v>45838</v>
      </c>
      <c r="U360" s="122">
        <v>3.9552</v>
      </c>
      <c r="V360" s="122">
        <v>115.556</v>
      </c>
      <c r="W360" s="122">
        <v>457.04709000000003</v>
      </c>
      <c r="X360" s="123">
        <v>5.7000000000000003E-5</v>
      </c>
      <c r="Y360" s="123">
        <v>7.3999999999999996E-5</v>
      </c>
      <c r="Z360" s="123">
        <v>6.9999999999999999E-6</v>
      </c>
    </row>
    <row r="361" spans="1:26" ht="15" customHeight="1">
      <c r="A361" s="121">
        <v>313</v>
      </c>
      <c r="B361" s="121">
        <v>313</v>
      </c>
      <c r="C361" s="120" t="s">
        <v>2112</v>
      </c>
      <c r="D361" s="121"/>
      <c r="E361" s="120"/>
      <c r="F361" s="120" t="s">
        <v>2546</v>
      </c>
      <c r="G361" s="121">
        <v>41000880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292</v>
      </c>
      <c r="O361" s="120" t="s">
        <v>338</v>
      </c>
      <c r="P361" s="124">
        <v>43513</v>
      </c>
      <c r="Q361" s="120" t="s">
        <v>1215</v>
      </c>
      <c r="R361" s="120" t="s">
        <v>886</v>
      </c>
      <c r="S361" s="120" t="s">
        <v>890</v>
      </c>
      <c r="T361" s="124">
        <v>45838</v>
      </c>
      <c r="U361" s="122">
        <v>3.9552</v>
      </c>
      <c r="V361" s="122">
        <v>4.6059999999999999</v>
      </c>
      <c r="W361" s="122">
        <v>18.217649999999999</v>
      </c>
      <c r="X361" s="123">
        <v>4.6000000000000001E-4</v>
      </c>
      <c r="Y361" s="123">
        <v>1.9999999999999999E-6</v>
      </c>
      <c r="Z361" s="123">
        <v>0</v>
      </c>
    </row>
    <row r="362" spans="1:26" ht="15" customHeight="1">
      <c r="A362" s="121">
        <v>313</v>
      </c>
      <c r="B362" s="121">
        <v>313</v>
      </c>
      <c r="C362" s="120" t="s">
        <v>2547</v>
      </c>
      <c r="D362" s="121"/>
      <c r="E362" s="120"/>
      <c r="F362" s="120" t="s">
        <v>2548</v>
      </c>
      <c r="G362" s="121">
        <v>60372851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284</v>
      </c>
      <c r="O362" s="120" t="s">
        <v>338</v>
      </c>
      <c r="P362" s="124">
        <v>41165</v>
      </c>
      <c r="Q362" s="120" t="s">
        <v>1222</v>
      </c>
      <c r="R362" s="120" t="s">
        <v>886</v>
      </c>
      <c r="S362" s="120" t="s">
        <v>890</v>
      </c>
      <c r="T362" s="124">
        <v>45838</v>
      </c>
      <c r="U362" s="122">
        <v>3.3719999999999999</v>
      </c>
      <c r="V362" s="122">
        <v>9.6808599999999991</v>
      </c>
      <c r="W362" s="122">
        <v>32.64387</v>
      </c>
      <c r="X362" s="123">
        <v>3.0000000000000001E-5</v>
      </c>
      <c r="Y362" s="123">
        <v>5.0000000000000004E-6</v>
      </c>
      <c r="Z362" s="123">
        <v>0</v>
      </c>
    </row>
    <row r="363" spans="1:26" ht="15" customHeight="1">
      <c r="A363" s="121">
        <v>313</v>
      </c>
      <c r="B363" s="121">
        <v>313</v>
      </c>
      <c r="C363" s="120" t="s">
        <v>2506</v>
      </c>
      <c r="D363" s="121"/>
      <c r="E363" s="120"/>
      <c r="F363" s="120" t="s">
        <v>2549</v>
      </c>
      <c r="G363" s="121">
        <v>62005749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223</v>
      </c>
      <c r="O363" s="120" t="s">
        <v>338</v>
      </c>
      <c r="P363" s="124">
        <v>44306</v>
      </c>
      <c r="Q363" s="120" t="s">
        <v>1222</v>
      </c>
      <c r="R363" s="120" t="s">
        <v>886</v>
      </c>
      <c r="S363" s="120" t="s">
        <v>890</v>
      </c>
      <c r="T363" s="124">
        <v>45838</v>
      </c>
      <c r="U363" s="122">
        <v>3.3719999999999999</v>
      </c>
      <c r="V363" s="122">
        <v>3463.3653399999998</v>
      </c>
      <c r="W363" s="122">
        <v>11678.467909999999</v>
      </c>
      <c r="X363" s="123">
        <v>4.1980000000000003E-3</v>
      </c>
      <c r="Y363" s="123">
        <v>1.913E-3</v>
      </c>
      <c r="Z363" s="123">
        <v>1.94E-4</v>
      </c>
    </row>
    <row r="364" spans="1:26" ht="15" customHeight="1">
      <c r="A364" s="121">
        <v>313</v>
      </c>
      <c r="B364" s="121">
        <v>313</v>
      </c>
      <c r="C364" s="120" t="s">
        <v>2156</v>
      </c>
      <c r="D364" s="121"/>
      <c r="E364" s="120"/>
      <c r="F364" s="120" t="s">
        <v>2550</v>
      </c>
      <c r="G364" s="121">
        <v>45000100</v>
      </c>
      <c r="H364" s="120" t="s">
        <v>311</v>
      </c>
      <c r="I364" s="120" t="s">
        <v>1006</v>
      </c>
      <c r="J364" s="120"/>
      <c r="K364" s="120" t="s">
        <v>204</v>
      </c>
      <c r="L364" s="120"/>
      <c r="M364" s="120"/>
      <c r="N364" s="120" t="s">
        <v>223</v>
      </c>
      <c r="O364" s="120" t="s">
        <v>338</v>
      </c>
      <c r="P364" s="124">
        <v>45473</v>
      </c>
      <c r="Q364" s="120" t="s">
        <v>1222</v>
      </c>
      <c r="R364" s="120" t="s">
        <v>886</v>
      </c>
      <c r="S364" s="120" t="s">
        <v>890</v>
      </c>
      <c r="T364" s="124">
        <v>45838</v>
      </c>
      <c r="U364" s="122">
        <v>3.3719999999999999</v>
      </c>
      <c r="V364" s="122">
        <v>-2572.5362500000001</v>
      </c>
      <c r="W364" s="122">
        <v>-8674.5922399999999</v>
      </c>
      <c r="X364" s="123"/>
      <c r="Y364" s="123">
        <v>-1.421E-3</v>
      </c>
      <c r="Z364" s="123">
        <v>-1.44E-4</v>
      </c>
    </row>
    <row r="365" spans="1:26" ht="15" customHeight="1">
      <c r="A365" s="121">
        <v>313</v>
      </c>
      <c r="B365" s="121">
        <v>313</v>
      </c>
      <c r="C365" s="120" t="s">
        <v>2134</v>
      </c>
      <c r="D365" s="121"/>
      <c r="E365" s="120"/>
      <c r="F365" s="120" t="s">
        <v>2551</v>
      </c>
      <c r="G365" s="121">
        <v>62008800</v>
      </c>
      <c r="H365" s="120" t="s">
        <v>311</v>
      </c>
      <c r="I365" s="120" t="s">
        <v>1005</v>
      </c>
      <c r="J365" s="120"/>
      <c r="K365" s="120" t="s">
        <v>204</v>
      </c>
      <c r="L365" s="120"/>
      <c r="M365" s="120"/>
      <c r="N365" s="120" t="s">
        <v>292</v>
      </c>
      <c r="O365" s="120" t="s">
        <v>338</v>
      </c>
      <c r="P365" s="124">
        <v>44602</v>
      </c>
      <c r="Q365" s="120" t="s">
        <v>1215</v>
      </c>
      <c r="R365" s="120" t="s">
        <v>886</v>
      </c>
      <c r="S365" s="120" t="s">
        <v>890</v>
      </c>
      <c r="T365" s="124">
        <v>45838</v>
      </c>
      <c r="U365" s="122">
        <v>3.9552</v>
      </c>
      <c r="V365" s="122">
        <v>9040.7362799999992</v>
      </c>
      <c r="W365" s="122">
        <v>35757.920120000002</v>
      </c>
      <c r="X365" s="123">
        <v>6.3850000000000001E-3</v>
      </c>
      <c r="Y365" s="123">
        <v>5.8570000000000002E-3</v>
      </c>
      <c r="Z365" s="123">
        <v>5.9500000000000004E-4</v>
      </c>
    </row>
    <row r="366" spans="1:26" ht="15" customHeight="1">
      <c r="A366" s="121">
        <v>313</v>
      </c>
      <c r="B366" s="121">
        <v>313</v>
      </c>
      <c r="C366" s="120" t="s">
        <v>2552</v>
      </c>
      <c r="D366" s="121"/>
      <c r="E366" s="120"/>
      <c r="F366" s="120" t="s">
        <v>2553</v>
      </c>
      <c r="G366" s="121">
        <v>9840568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223</v>
      </c>
      <c r="O366" s="120" t="s">
        <v>338</v>
      </c>
      <c r="P366" s="124">
        <v>39385</v>
      </c>
      <c r="Q366" s="120" t="s">
        <v>1222</v>
      </c>
      <c r="R366" s="120" t="s">
        <v>886</v>
      </c>
      <c r="S366" s="120" t="s">
        <v>890</v>
      </c>
      <c r="T366" s="124">
        <v>45838</v>
      </c>
      <c r="U366" s="122">
        <v>3.3719999999999999</v>
      </c>
      <c r="V366" s="122">
        <v>156.94490999999999</v>
      </c>
      <c r="W366" s="122">
        <v>529.21822999999995</v>
      </c>
      <c r="X366" s="123">
        <v>1.0399999999999999E-4</v>
      </c>
      <c r="Y366" s="123">
        <v>8.6000000000000003E-5</v>
      </c>
      <c r="Z366" s="123">
        <v>7.9999999999999996E-6</v>
      </c>
    </row>
    <row r="367" spans="1:26" ht="15" customHeight="1">
      <c r="A367" s="121">
        <v>313</v>
      </c>
      <c r="B367" s="121">
        <v>313</v>
      </c>
      <c r="C367" s="120" t="s">
        <v>2320</v>
      </c>
      <c r="D367" s="121"/>
      <c r="E367" s="120"/>
      <c r="F367" s="120" t="s">
        <v>2554</v>
      </c>
      <c r="G367" s="121">
        <v>40000481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292</v>
      </c>
      <c r="O367" s="120" t="s">
        <v>338</v>
      </c>
      <c r="P367" s="124">
        <v>43513</v>
      </c>
      <c r="Q367" s="120" t="s">
        <v>1215</v>
      </c>
      <c r="R367" s="120" t="s">
        <v>886</v>
      </c>
      <c r="S367" s="120" t="s">
        <v>890</v>
      </c>
      <c r="T367" s="124">
        <v>45838</v>
      </c>
      <c r="U367" s="122">
        <v>3.9552</v>
      </c>
      <c r="V367" s="122">
        <v>641.62199999999996</v>
      </c>
      <c r="W367" s="122">
        <v>2537.7433299999998</v>
      </c>
      <c r="X367" s="123">
        <v>6.4099999999999997E-4</v>
      </c>
      <c r="Y367" s="123">
        <v>4.15E-4</v>
      </c>
      <c r="Z367" s="123">
        <v>4.1999999999999998E-5</v>
      </c>
    </row>
    <row r="368" spans="1:26" ht="15" customHeight="1">
      <c r="A368" s="121">
        <v>313</v>
      </c>
      <c r="B368" s="121">
        <v>313</v>
      </c>
      <c r="C368" s="120" t="s">
        <v>2393</v>
      </c>
      <c r="D368" s="121"/>
      <c r="E368" s="120"/>
      <c r="F368" s="120" t="s">
        <v>2555</v>
      </c>
      <c r="G368" s="121">
        <v>62006176</v>
      </c>
      <c r="H368" s="120" t="s">
        <v>311</v>
      </c>
      <c r="I368" s="120" t="s">
        <v>1001</v>
      </c>
      <c r="J368" s="120"/>
      <c r="K368" s="120" t="s">
        <v>204</v>
      </c>
      <c r="L368" s="120"/>
      <c r="M368" s="120"/>
      <c r="N368" s="120" t="s">
        <v>295</v>
      </c>
      <c r="O368" s="120" t="s">
        <v>338</v>
      </c>
      <c r="P368" s="124">
        <v>43552</v>
      </c>
      <c r="Q368" s="120" t="s">
        <v>1222</v>
      </c>
      <c r="R368" s="120" t="s">
        <v>886</v>
      </c>
      <c r="S368" s="120" t="s">
        <v>890</v>
      </c>
      <c r="T368" s="124">
        <v>45838</v>
      </c>
      <c r="U368" s="122">
        <v>3.3719999999999999</v>
      </c>
      <c r="V368" s="122">
        <v>16230.60727</v>
      </c>
      <c r="W368" s="122">
        <v>54729.607709999997</v>
      </c>
      <c r="X368" s="123">
        <v>2.3180000000000002E-3</v>
      </c>
      <c r="Y368" s="123">
        <v>8.9650000000000007E-3</v>
      </c>
      <c r="Z368" s="123">
        <v>9.1100000000000003E-4</v>
      </c>
    </row>
    <row r="369" spans="1:26" ht="15" customHeight="1">
      <c r="A369" s="121">
        <v>313</v>
      </c>
      <c r="B369" s="121">
        <v>313</v>
      </c>
      <c r="C369" s="120" t="s">
        <v>2147</v>
      </c>
      <c r="D369" s="121"/>
      <c r="E369" s="120"/>
      <c r="F369" s="120" t="s">
        <v>2556</v>
      </c>
      <c r="G369" s="121">
        <v>41000799</v>
      </c>
      <c r="H369" s="120" t="s">
        <v>311</v>
      </c>
      <c r="I369" s="120" t="s">
        <v>849</v>
      </c>
      <c r="J369" s="120"/>
      <c r="K369" s="120" t="s">
        <v>204</v>
      </c>
      <c r="L369" s="120"/>
      <c r="M369" s="120"/>
      <c r="N369" s="120" t="s">
        <v>292</v>
      </c>
      <c r="O369" s="120" t="s">
        <v>338</v>
      </c>
      <c r="P369" s="124">
        <v>43513</v>
      </c>
      <c r="Q369" s="120" t="s">
        <v>1215</v>
      </c>
      <c r="R369" s="120" t="s">
        <v>886</v>
      </c>
      <c r="S369" s="120" t="s">
        <v>890</v>
      </c>
      <c r="T369" s="124">
        <v>45838</v>
      </c>
      <c r="U369" s="122">
        <v>3.9552</v>
      </c>
      <c r="V369" s="122">
        <v>-203.54419999999999</v>
      </c>
      <c r="W369" s="122">
        <v>-805.05802000000006</v>
      </c>
      <c r="X369" s="123"/>
      <c r="Y369" s="123">
        <v>-1.3100000000000001E-4</v>
      </c>
      <c r="Z369" s="123">
        <v>-1.2999999999999999E-5</v>
      </c>
    </row>
    <row r="370" spans="1:26" ht="15" customHeight="1">
      <c r="A370" s="121">
        <v>313</v>
      </c>
      <c r="B370" s="121">
        <v>313</v>
      </c>
      <c r="C370" s="120" t="s">
        <v>2557</v>
      </c>
      <c r="D370" s="121"/>
      <c r="E370" s="120"/>
      <c r="F370" s="120" t="s">
        <v>2558</v>
      </c>
      <c r="G370" s="121">
        <v>60328044</v>
      </c>
      <c r="H370" s="120" t="s">
        <v>311</v>
      </c>
      <c r="I370" s="120" t="s">
        <v>1001</v>
      </c>
      <c r="J370" s="120"/>
      <c r="K370" s="120" t="s">
        <v>204</v>
      </c>
      <c r="L370" s="120"/>
      <c r="M370" s="120"/>
      <c r="N370" s="120" t="s">
        <v>223</v>
      </c>
      <c r="O370" s="120" t="s">
        <v>338</v>
      </c>
      <c r="P370" s="124">
        <v>43312</v>
      </c>
      <c r="Q370" s="120" t="s">
        <v>1222</v>
      </c>
      <c r="R370" s="120" t="s">
        <v>886</v>
      </c>
      <c r="S370" s="120" t="s">
        <v>890</v>
      </c>
      <c r="T370" s="124">
        <v>45838</v>
      </c>
      <c r="U370" s="122">
        <v>3.3719999999999999</v>
      </c>
      <c r="V370" s="122">
        <v>2157.3306600000001</v>
      </c>
      <c r="W370" s="122">
        <v>7274.5189799999998</v>
      </c>
      <c r="X370" s="123">
        <v>6.7409999999999996E-3</v>
      </c>
      <c r="Y370" s="123">
        <v>1.191E-3</v>
      </c>
      <c r="Z370" s="123">
        <v>1.21E-4</v>
      </c>
    </row>
    <row r="371" spans="1:26" ht="15" customHeight="1">
      <c r="A371" s="121">
        <v>313</v>
      </c>
      <c r="B371" s="121">
        <v>313</v>
      </c>
      <c r="C371" s="120" t="s">
        <v>2134</v>
      </c>
      <c r="D371" s="121"/>
      <c r="E371" s="120"/>
      <c r="F371" s="120" t="s">
        <v>2559</v>
      </c>
      <c r="G371" s="121">
        <v>62001973</v>
      </c>
      <c r="H371" s="120" t="s">
        <v>311</v>
      </c>
      <c r="I371" s="120" t="s">
        <v>1001</v>
      </c>
      <c r="J371" s="120"/>
      <c r="K371" s="120" t="s">
        <v>204</v>
      </c>
      <c r="L371" s="120"/>
      <c r="M371" s="120"/>
      <c r="N371" s="120" t="s">
        <v>223</v>
      </c>
      <c r="O371" s="120" t="s">
        <v>338</v>
      </c>
      <c r="P371" s="124">
        <v>42887</v>
      </c>
      <c r="Q371" s="120" t="s">
        <v>1222</v>
      </c>
      <c r="R371" s="120" t="s">
        <v>886</v>
      </c>
      <c r="S371" s="120" t="s">
        <v>890</v>
      </c>
      <c r="T371" s="124">
        <v>45838</v>
      </c>
      <c r="U371" s="122">
        <v>3.3719999999999999</v>
      </c>
      <c r="V371" s="122">
        <v>14494.50438</v>
      </c>
      <c r="W371" s="122">
        <v>48875.468769999999</v>
      </c>
      <c r="X371" s="123">
        <v>5.8600000000000004E-4</v>
      </c>
      <c r="Y371" s="123">
        <v>8.0059999999999992E-3</v>
      </c>
      <c r="Z371" s="123">
        <v>8.1300000000000003E-4</v>
      </c>
    </row>
    <row r="372" spans="1:26" ht="15" customHeight="1">
      <c r="A372" s="121">
        <v>313</v>
      </c>
      <c r="B372" s="121">
        <v>313</v>
      </c>
      <c r="C372" s="120" t="s">
        <v>2191</v>
      </c>
      <c r="D372" s="121"/>
      <c r="E372" s="120"/>
      <c r="F372" s="120" t="s">
        <v>2560</v>
      </c>
      <c r="G372" s="121">
        <v>41000846</v>
      </c>
      <c r="H372" s="120" t="s">
        <v>311</v>
      </c>
      <c r="I372" s="120" t="s">
        <v>1001</v>
      </c>
      <c r="J372" s="120"/>
      <c r="K372" s="120" t="s">
        <v>204</v>
      </c>
      <c r="L372" s="120"/>
      <c r="M372" s="120"/>
      <c r="N372" s="120" t="s">
        <v>295</v>
      </c>
      <c r="O372" s="120" t="s">
        <v>338</v>
      </c>
      <c r="P372" s="124">
        <v>43513</v>
      </c>
      <c r="Q372" s="120" t="s">
        <v>1215</v>
      </c>
      <c r="R372" s="120" t="s">
        <v>886</v>
      </c>
      <c r="S372" s="120" t="s">
        <v>890</v>
      </c>
      <c r="T372" s="124">
        <v>45838</v>
      </c>
      <c r="U372" s="122">
        <v>3.9552</v>
      </c>
      <c r="V372" s="122">
        <v>301.19299999999998</v>
      </c>
      <c r="W372" s="122">
        <v>1191.27855</v>
      </c>
      <c r="X372" s="123">
        <v>1.4999999999999999E-4</v>
      </c>
      <c r="Y372" s="123">
        <v>1.95E-4</v>
      </c>
      <c r="Z372" s="123">
        <v>1.9000000000000001E-5</v>
      </c>
    </row>
    <row r="373" spans="1:26" ht="15" customHeight="1">
      <c r="A373" s="121">
        <v>313</v>
      </c>
      <c r="B373" s="121">
        <v>313</v>
      </c>
      <c r="C373" s="120" t="s">
        <v>2197</v>
      </c>
      <c r="D373" s="121"/>
      <c r="E373" s="120"/>
      <c r="F373" s="120" t="s">
        <v>2561</v>
      </c>
      <c r="G373" s="121">
        <v>62019650</v>
      </c>
      <c r="H373" s="120" t="s">
        <v>311</v>
      </c>
      <c r="I373" s="120" t="s">
        <v>1001</v>
      </c>
      <c r="J373" s="120"/>
      <c r="K373" s="120" t="s">
        <v>204</v>
      </c>
      <c r="L373" s="120"/>
      <c r="M373" s="120"/>
      <c r="N373" s="120" t="s">
        <v>292</v>
      </c>
      <c r="O373" s="120" t="s">
        <v>338</v>
      </c>
      <c r="P373" s="124">
        <v>44844</v>
      </c>
      <c r="Q373" s="120" t="s">
        <v>1215</v>
      </c>
      <c r="R373" s="120" t="s">
        <v>886</v>
      </c>
      <c r="S373" s="120" t="s">
        <v>890</v>
      </c>
      <c r="T373" s="124">
        <v>45838</v>
      </c>
      <c r="U373" s="122">
        <v>3.9552</v>
      </c>
      <c r="V373" s="122">
        <v>388.61781999999999</v>
      </c>
      <c r="W373" s="122">
        <v>1537.0612000000001</v>
      </c>
      <c r="X373" s="123">
        <v>3.1E-4</v>
      </c>
      <c r="Y373" s="123">
        <v>2.5099999999999998E-4</v>
      </c>
      <c r="Z373" s="123">
        <v>2.5000000000000001E-5</v>
      </c>
    </row>
    <row r="374" spans="1:26" ht="15" customHeight="1">
      <c r="A374" s="121">
        <v>313</v>
      </c>
      <c r="B374" s="121">
        <v>313</v>
      </c>
      <c r="C374" s="120" t="s">
        <v>2112</v>
      </c>
      <c r="D374" s="121"/>
      <c r="E374" s="120"/>
      <c r="F374" s="120" t="s">
        <v>2562</v>
      </c>
      <c r="G374" s="121">
        <v>62021274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292</v>
      </c>
      <c r="O374" s="120" t="s">
        <v>338</v>
      </c>
      <c r="P374" s="124">
        <v>45505</v>
      </c>
      <c r="Q374" s="120" t="s">
        <v>1215</v>
      </c>
      <c r="R374" s="120" t="s">
        <v>886</v>
      </c>
      <c r="S374" s="120" t="s">
        <v>890</v>
      </c>
      <c r="T374" s="124">
        <v>45838</v>
      </c>
      <c r="U374" s="122">
        <v>3.9552</v>
      </c>
      <c r="V374" s="122">
        <v>2642.8134599999998</v>
      </c>
      <c r="W374" s="122">
        <v>10452.85578</v>
      </c>
      <c r="X374" s="123">
        <v>2.6999999999999999E-5</v>
      </c>
      <c r="Y374" s="123">
        <v>1.712E-3</v>
      </c>
      <c r="Z374" s="123">
        <v>1.74E-4</v>
      </c>
    </row>
    <row r="375" spans="1:26" ht="15" customHeight="1">
      <c r="A375" s="121">
        <v>313</v>
      </c>
      <c r="B375" s="121">
        <v>313</v>
      </c>
      <c r="C375" s="120" t="s">
        <v>2160</v>
      </c>
      <c r="D375" s="121"/>
      <c r="E375" s="120"/>
      <c r="F375" s="120" t="s">
        <v>2563</v>
      </c>
      <c r="G375" s="121">
        <v>60298742</v>
      </c>
      <c r="H375" s="120" t="s">
        <v>311</v>
      </c>
      <c r="I375" s="120" t="s">
        <v>1005</v>
      </c>
      <c r="J375" s="120"/>
      <c r="K375" s="120" t="s">
        <v>204</v>
      </c>
      <c r="L375" s="120"/>
      <c r="M375" s="120"/>
      <c r="N375" s="120" t="s">
        <v>223</v>
      </c>
      <c r="O375" s="120" t="s">
        <v>338</v>
      </c>
      <c r="P375" s="124">
        <v>39769</v>
      </c>
      <c r="Q375" s="120" t="s">
        <v>1222</v>
      </c>
      <c r="R375" s="120" t="s">
        <v>886</v>
      </c>
      <c r="S375" s="120" t="s">
        <v>890</v>
      </c>
      <c r="T375" s="124">
        <v>45838</v>
      </c>
      <c r="U375" s="122">
        <v>3.3719999999999999</v>
      </c>
      <c r="V375" s="122">
        <v>660.84131000000002</v>
      </c>
      <c r="W375" s="122">
        <v>2228.35689</v>
      </c>
      <c r="X375" s="123">
        <v>4.8999999999999998E-5</v>
      </c>
      <c r="Y375" s="123">
        <v>3.6499999999999998E-4</v>
      </c>
      <c r="Z375" s="123">
        <v>3.6999999999999998E-5</v>
      </c>
    </row>
    <row r="376" spans="1:26" ht="15" customHeight="1">
      <c r="A376" s="121">
        <v>313</v>
      </c>
      <c r="B376" s="121">
        <v>313</v>
      </c>
      <c r="C376" s="120" t="s">
        <v>2368</v>
      </c>
      <c r="D376" s="121"/>
      <c r="E376" s="120"/>
      <c r="F376" s="120" t="s">
        <v>2564</v>
      </c>
      <c r="G376" s="121">
        <v>62020508</v>
      </c>
      <c r="H376" s="120" t="s">
        <v>311</v>
      </c>
      <c r="I376" s="120" t="s">
        <v>1002</v>
      </c>
      <c r="J376" s="120"/>
      <c r="K376" s="120" t="s">
        <v>204</v>
      </c>
      <c r="L376" s="120"/>
      <c r="M376" s="120"/>
      <c r="N376" s="120" t="s">
        <v>295</v>
      </c>
      <c r="O376" s="120" t="s">
        <v>338</v>
      </c>
      <c r="P376" s="124">
        <v>42551</v>
      </c>
      <c r="Q376" s="120" t="s">
        <v>1222</v>
      </c>
      <c r="R376" s="120" t="s">
        <v>886</v>
      </c>
      <c r="S376" s="120" t="s">
        <v>890</v>
      </c>
      <c r="T376" s="124">
        <v>45838</v>
      </c>
      <c r="U376" s="122">
        <v>3.3719999999999999</v>
      </c>
      <c r="V376" s="122">
        <v>2318.0263799999998</v>
      </c>
      <c r="W376" s="122">
        <v>7816.3849600000003</v>
      </c>
      <c r="X376" s="123">
        <v>1.1780000000000001E-2</v>
      </c>
      <c r="Y376" s="123">
        <v>1.2800000000000001E-3</v>
      </c>
      <c r="Z376" s="123">
        <v>1.2999999999999999E-4</v>
      </c>
    </row>
    <row r="377" spans="1:26" ht="15" customHeight="1">
      <c r="A377" s="121">
        <v>313</v>
      </c>
      <c r="B377" s="121">
        <v>313</v>
      </c>
      <c r="C377" s="120" t="s">
        <v>2459</v>
      </c>
      <c r="D377" s="121"/>
      <c r="E377" s="120"/>
      <c r="F377" s="120" t="s">
        <v>2565</v>
      </c>
      <c r="G377" s="121">
        <v>62018957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292</v>
      </c>
      <c r="O377" s="120" t="s">
        <v>338</v>
      </c>
      <c r="P377" s="124">
        <v>40999</v>
      </c>
      <c r="Q377" s="120" t="s">
        <v>1215</v>
      </c>
      <c r="R377" s="120" t="s">
        <v>886</v>
      </c>
      <c r="S377" s="120" t="s">
        <v>890</v>
      </c>
      <c r="T377" s="124">
        <v>45838</v>
      </c>
      <c r="U377" s="122">
        <v>3.9552</v>
      </c>
      <c r="V377" s="122">
        <v>17218.777689999999</v>
      </c>
      <c r="W377" s="122">
        <v>68103.709539999996</v>
      </c>
      <c r="X377" s="123">
        <v>2.1250000000000002E-3</v>
      </c>
      <c r="Y377" s="123">
        <v>1.1155999999999999E-2</v>
      </c>
      <c r="Z377" s="123">
        <v>1.134E-3</v>
      </c>
    </row>
    <row r="378" spans="1:26" ht="15" customHeight="1">
      <c r="A378" s="121">
        <v>313</v>
      </c>
      <c r="B378" s="121">
        <v>313</v>
      </c>
      <c r="C378" s="120" t="s">
        <v>2255</v>
      </c>
      <c r="D378" s="121"/>
      <c r="E378" s="120"/>
      <c r="F378" s="120" t="s">
        <v>2566</v>
      </c>
      <c r="G378" s="121">
        <v>62015862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223</v>
      </c>
      <c r="O378" s="120" t="s">
        <v>338</v>
      </c>
      <c r="P378" s="124">
        <v>42583</v>
      </c>
      <c r="Q378" s="120" t="s">
        <v>1222</v>
      </c>
      <c r="R378" s="120" t="s">
        <v>886</v>
      </c>
      <c r="S378" s="120" t="s">
        <v>890</v>
      </c>
      <c r="T378" s="124">
        <v>45838</v>
      </c>
      <c r="U378" s="122">
        <v>3.3719999999999999</v>
      </c>
      <c r="V378" s="122">
        <v>8974.1692199999998</v>
      </c>
      <c r="W378" s="122">
        <v>30260.89862</v>
      </c>
      <c r="X378" s="123">
        <v>9.3999999999999997E-4</v>
      </c>
      <c r="Y378" s="123">
        <v>4.9569999999999996E-3</v>
      </c>
      <c r="Z378" s="123">
        <v>5.0299999999999997E-4</v>
      </c>
    </row>
    <row r="379" spans="1:26" ht="15" customHeight="1">
      <c r="A379" s="121">
        <v>313</v>
      </c>
      <c r="B379" s="121">
        <v>313</v>
      </c>
      <c r="C379" s="120" t="s">
        <v>2138</v>
      </c>
      <c r="D379" s="121"/>
      <c r="E379" s="120"/>
      <c r="F379" s="120" t="s">
        <v>2567</v>
      </c>
      <c r="G379" s="121">
        <v>43000911</v>
      </c>
      <c r="H379" s="120" t="s">
        <v>311</v>
      </c>
      <c r="I379" s="120" t="s">
        <v>1001</v>
      </c>
      <c r="J379" s="120"/>
      <c r="K379" s="120" t="s">
        <v>204</v>
      </c>
      <c r="L379" s="120"/>
      <c r="M379" s="120"/>
      <c r="N379" s="120" t="s">
        <v>280</v>
      </c>
      <c r="O379" s="120" t="s">
        <v>338</v>
      </c>
      <c r="P379" s="124">
        <v>44054</v>
      </c>
      <c r="Q379" s="120" t="s">
        <v>1222</v>
      </c>
      <c r="R379" s="120" t="s">
        <v>886</v>
      </c>
      <c r="S379" s="120" t="s">
        <v>890</v>
      </c>
      <c r="T379" s="124">
        <v>45838</v>
      </c>
      <c r="U379" s="122">
        <v>3.3719999999999999</v>
      </c>
      <c r="V379" s="122">
        <v>888.74800000000005</v>
      </c>
      <c r="W379" s="122">
        <v>2996.85826</v>
      </c>
      <c r="X379" s="123">
        <v>4.44E-4</v>
      </c>
      <c r="Y379" s="123">
        <v>4.8999999999999998E-4</v>
      </c>
      <c r="Z379" s="123">
        <v>4.8999999999999998E-5</v>
      </c>
    </row>
    <row r="380" spans="1:26" ht="15" customHeight="1">
      <c r="A380" s="121">
        <v>313</v>
      </c>
      <c r="B380" s="121">
        <v>313</v>
      </c>
      <c r="C380" s="120" t="s">
        <v>2568</v>
      </c>
      <c r="D380" s="121"/>
      <c r="E380" s="120"/>
      <c r="F380" s="120" t="s">
        <v>2569</v>
      </c>
      <c r="G380" s="121">
        <v>62022249</v>
      </c>
      <c r="H380" s="120" t="s">
        <v>311</v>
      </c>
      <c r="I380" s="120" t="s">
        <v>1001</v>
      </c>
      <c r="J380" s="120"/>
      <c r="K380" s="120" t="s">
        <v>204</v>
      </c>
      <c r="L380" s="120"/>
      <c r="M380" s="120"/>
      <c r="N380" s="120" t="s">
        <v>295</v>
      </c>
      <c r="O380" s="120" t="s">
        <v>338</v>
      </c>
      <c r="P380" s="124">
        <v>45708</v>
      </c>
      <c r="Q380" s="120" t="s">
        <v>1222</v>
      </c>
      <c r="R380" s="120" t="s">
        <v>886</v>
      </c>
      <c r="S380" s="120" t="s">
        <v>890</v>
      </c>
      <c r="T380" s="124">
        <v>45838</v>
      </c>
      <c r="U380" s="122">
        <v>3.3719999999999999</v>
      </c>
      <c r="V380" s="122">
        <v>1150.08132</v>
      </c>
      <c r="W380" s="122">
        <v>3878.0742100000002</v>
      </c>
      <c r="X380" s="123">
        <v>5.1099999999999995E-4</v>
      </c>
      <c r="Y380" s="123">
        <v>6.3500000000000004E-4</v>
      </c>
      <c r="Z380" s="123">
        <v>6.3999999999999997E-5</v>
      </c>
    </row>
    <row r="381" spans="1:26" ht="15" customHeight="1">
      <c r="A381" s="121">
        <v>313</v>
      </c>
      <c r="B381" s="121">
        <v>313</v>
      </c>
      <c r="C381" s="120" t="s">
        <v>2570</v>
      </c>
      <c r="D381" s="121"/>
      <c r="E381" s="120"/>
      <c r="F381" s="120" t="s">
        <v>2571</v>
      </c>
      <c r="G381" s="121">
        <v>62000153</v>
      </c>
      <c r="H381" s="120" t="s">
        <v>311</v>
      </c>
      <c r="I381" s="120" t="s">
        <v>1001</v>
      </c>
      <c r="J381" s="120"/>
      <c r="K381" s="120" t="s">
        <v>204</v>
      </c>
      <c r="L381" s="120"/>
      <c r="M381" s="120"/>
      <c r="N381" s="120" t="s">
        <v>267</v>
      </c>
      <c r="O381" s="120" t="s">
        <v>338</v>
      </c>
      <c r="P381" s="124">
        <v>44497</v>
      </c>
      <c r="Q381" s="120" t="s">
        <v>1222</v>
      </c>
      <c r="R381" s="120" t="s">
        <v>886</v>
      </c>
      <c r="S381" s="120" t="s">
        <v>890</v>
      </c>
      <c r="T381" s="124">
        <v>45838</v>
      </c>
      <c r="U381" s="122">
        <v>3.3719999999999999</v>
      </c>
      <c r="V381" s="122">
        <v>3616.9235600000002</v>
      </c>
      <c r="W381" s="122">
        <v>12196.26626</v>
      </c>
      <c r="X381" s="123">
        <v>1.7359999999999999E-3</v>
      </c>
      <c r="Y381" s="123">
        <v>1.9970000000000001E-3</v>
      </c>
      <c r="Z381" s="123">
        <v>2.03E-4</v>
      </c>
    </row>
    <row r="382" spans="1:26" ht="15" customHeight="1">
      <c r="A382" s="121">
        <v>313</v>
      </c>
      <c r="B382" s="121">
        <v>313</v>
      </c>
      <c r="C382" s="120" t="s">
        <v>2314</v>
      </c>
      <c r="D382" s="121"/>
      <c r="E382" s="120"/>
      <c r="F382" s="120" t="s">
        <v>2572</v>
      </c>
      <c r="G382" s="121">
        <v>62018182</v>
      </c>
      <c r="H382" s="120" t="s">
        <v>311</v>
      </c>
      <c r="I382" s="120" t="s">
        <v>1001</v>
      </c>
      <c r="J382" s="120"/>
      <c r="K382" s="120" t="s">
        <v>204</v>
      </c>
      <c r="L382" s="120"/>
      <c r="M382" s="120"/>
      <c r="N382" s="120" t="s">
        <v>292</v>
      </c>
      <c r="O382" s="120" t="s">
        <v>338</v>
      </c>
      <c r="P382" s="124">
        <v>45054</v>
      </c>
      <c r="Q382" s="120" t="s">
        <v>1215</v>
      </c>
      <c r="R382" s="120" t="s">
        <v>886</v>
      </c>
      <c r="S382" s="120" t="s">
        <v>890</v>
      </c>
      <c r="T382" s="124">
        <v>45838</v>
      </c>
      <c r="U382" s="122">
        <v>3.9552</v>
      </c>
      <c r="V382" s="122">
        <v>5013.0454</v>
      </c>
      <c r="W382" s="122">
        <v>19827.597180000001</v>
      </c>
      <c r="X382" s="123">
        <v>1.6329999999999999E-3</v>
      </c>
      <c r="Y382" s="123">
        <v>3.248E-3</v>
      </c>
      <c r="Z382" s="123">
        <v>3.3E-4</v>
      </c>
    </row>
    <row r="383" spans="1:26" ht="15" customHeight="1">
      <c r="A383" s="121">
        <v>313</v>
      </c>
      <c r="B383" s="121">
        <v>313</v>
      </c>
      <c r="C383" s="120" t="s">
        <v>2233</v>
      </c>
      <c r="D383" s="121"/>
      <c r="E383" s="120"/>
      <c r="F383" s="120" t="s">
        <v>2573</v>
      </c>
      <c r="G383" s="121">
        <v>62013951</v>
      </c>
      <c r="H383" s="120" t="s">
        <v>311</v>
      </c>
      <c r="I383" s="120" t="s">
        <v>1001</v>
      </c>
      <c r="J383" s="120"/>
      <c r="K383" s="120" t="s">
        <v>204</v>
      </c>
      <c r="L383" s="120"/>
      <c r="M383" s="120"/>
      <c r="N383" s="120" t="s">
        <v>250</v>
      </c>
      <c r="O383" s="120" t="s">
        <v>338</v>
      </c>
      <c r="P383" s="124">
        <v>43014</v>
      </c>
      <c r="Q383" s="120" t="s">
        <v>1224</v>
      </c>
      <c r="R383" s="120" t="s">
        <v>886</v>
      </c>
      <c r="S383" s="120" t="s">
        <v>890</v>
      </c>
      <c r="T383" s="124">
        <v>45838</v>
      </c>
      <c r="U383" s="122">
        <v>2.3400000000000001E-2</v>
      </c>
      <c r="V383" s="122">
        <v>67932.218110000002</v>
      </c>
      <c r="W383" s="122">
        <v>1587.50801</v>
      </c>
      <c r="X383" s="123">
        <v>1.0092E-2</v>
      </c>
      <c r="Y383" s="123">
        <v>2.5999999999999998E-4</v>
      </c>
      <c r="Z383" s="123">
        <v>2.5999999999999998E-5</v>
      </c>
    </row>
    <row r="384" spans="1:26" ht="15" customHeight="1">
      <c r="A384" s="121">
        <v>313</v>
      </c>
      <c r="B384" s="121">
        <v>313</v>
      </c>
      <c r="C384" s="120" t="s">
        <v>2156</v>
      </c>
      <c r="D384" s="121"/>
      <c r="E384" s="120"/>
      <c r="F384" s="120" t="s">
        <v>2574</v>
      </c>
      <c r="G384" s="121">
        <v>45000103</v>
      </c>
      <c r="H384" s="120" t="s">
        <v>311</v>
      </c>
      <c r="I384" s="120" t="s">
        <v>1006</v>
      </c>
      <c r="J384" s="120"/>
      <c r="K384" s="120" t="s">
        <v>204</v>
      </c>
      <c r="L384" s="120"/>
      <c r="M384" s="120"/>
      <c r="N384" s="120" t="s">
        <v>223</v>
      </c>
      <c r="O384" s="120" t="s">
        <v>338</v>
      </c>
      <c r="P384" s="124">
        <v>45473</v>
      </c>
      <c r="Q384" s="120" t="s">
        <v>1222</v>
      </c>
      <c r="R384" s="120" t="s">
        <v>886</v>
      </c>
      <c r="S384" s="120" t="s">
        <v>890</v>
      </c>
      <c r="T384" s="124">
        <v>45838</v>
      </c>
      <c r="U384" s="122">
        <v>3.3719999999999999</v>
      </c>
      <c r="V384" s="122">
        <v>340.88923</v>
      </c>
      <c r="W384" s="122">
        <v>1149.47848</v>
      </c>
      <c r="X384" s="123">
        <v>3.408E-3</v>
      </c>
      <c r="Y384" s="123">
        <v>1.8799999999999999E-4</v>
      </c>
      <c r="Z384" s="123">
        <v>1.9000000000000001E-5</v>
      </c>
    </row>
    <row r="385" spans="1:26" ht="15" customHeight="1">
      <c r="A385" s="121">
        <v>313</v>
      </c>
      <c r="B385" s="121">
        <v>313</v>
      </c>
      <c r="C385" s="120" t="s">
        <v>2156</v>
      </c>
      <c r="D385" s="121"/>
      <c r="E385" s="120"/>
      <c r="F385" s="120" t="s">
        <v>2575</v>
      </c>
      <c r="G385" s="121">
        <v>42000914</v>
      </c>
      <c r="H385" s="120" t="s">
        <v>311</v>
      </c>
      <c r="I385" s="120" t="s">
        <v>1006</v>
      </c>
      <c r="J385" s="120"/>
      <c r="K385" s="120" t="s">
        <v>204</v>
      </c>
      <c r="L385" s="120"/>
      <c r="M385" s="120"/>
      <c r="N385" s="120" t="s">
        <v>295</v>
      </c>
      <c r="O385" s="120" t="s">
        <v>338</v>
      </c>
      <c r="P385" s="124">
        <v>43601</v>
      </c>
      <c r="Q385" s="120" t="s">
        <v>1222</v>
      </c>
      <c r="R385" s="120" t="s">
        <v>886</v>
      </c>
      <c r="S385" s="120" t="s">
        <v>890</v>
      </c>
      <c r="T385" s="124">
        <v>45838</v>
      </c>
      <c r="U385" s="122">
        <v>3.3719999999999999</v>
      </c>
      <c r="V385" s="122">
        <v>858.44960000000003</v>
      </c>
      <c r="W385" s="122">
        <v>2894.6920500000001</v>
      </c>
      <c r="X385" s="123">
        <v>2.8600000000000001E-4</v>
      </c>
      <c r="Y385" s="123">
        <v>4.7399999999999997E-4</v>
      </c>
      <c r="Z385" s="123">
        <v>4.8000000000000001E-5</v>
      </c>
    </row>
    <row r="386" spans="1:26" ht="15" customHeight="1">
      <c r="A386" s="121">
        <v>313</v>
      </c>
      <c r="B386" s="121">
        <v>313</v>
      </c>
      <c r="C386" s="120" t="s">
        <v>2191</v>
      </c>
      <c r="D386" s="121"/>
      <c r="E386" s="120"/>
      <c r="F386" s="120" t="s">
        <v>2576</v>
      </c>
      <c r="G386" s="121">
        <v>41000856</v>
      </c>
      <c r="H386" s="120" t="s">
        <v>311</v>
      </c>
      <c r="I386" s="120" t="s">
        <v>1001</v>
      </c>
      <c r="J386" s="120"/>
      <c r="K386" s="120" t="s">
        <v>204</v>
      </c>
      <c r="L386" s="120"/>
      <c r="M386" s="120"/>
      <c r="N386" s="120" t="s">
        <v>292</v>
      </c>
      <c r="O386" s="120" t="s">
        <v>338</v>
      </c>
      <c r="P386" s="124">
        <v>42004</v>
      </c>
      <c r="Q386" s="120" t="s">
        <v>1215</v>
      </c>
      <c r="R386" s="120" t="s">
        <v>886</v>
      </c>
      <c r="S386" s="120" t="s">
        <v>890</v>
      </c>
      <c r="T386" s="124">
        <v>45838</v>
      </c>
      <c r="U386" s="122">
        <v>3.9552</v>
      </c>
      <c r="V386" s="122">
        <v>12.617000000000001</v>
      </c>
      <c r="W386" s="122">
        <v>49.902760000000001</v>
      </c>
      <c r="X386" s="123">
        <v>2.5000000000000001E-5</v>
      </c>
      <c r="Y386" s="123">
        <v>7.9999999999999996E-6</v>
      </c>
      <c r="Z386" s="123">
        <v>0</v>
      </c>
    </row>
    <row r="387" spans="1:26" ht="15" customHeight="1">
      <c r="A387" s="121">
        <v>313</v>
      </c>
      <c r="B387" s="121">
        <v>313</v>
      </c>
      <c r="C387" s="120" t="s">
        <v>2134</v>
      </c>
      <c r="D387" s="121"/>
      <c r="E387" s="120"/>
      <c r="F387" s="120" t="s">
        <v>2577</v>
      </c>
      <c r="G387" s="121">
        <v>62013610</v>
      </c>
      <c r="H387" s="120" t="s">
        <v>311</v>
      </c>
      <c r="I387" s="120" t="s">
        <v>1001</v>
      </c>
      <c r="J387" s="120"/>
      <c r="K387" s="120" t="s">
        <v>204</v>
      </c>
      <c r="L387" s="120"/>
      <c r="M387" s="120"/>
      <c r="N387" s="120" t="s">
        <v>295</v>
      </c>
      <c r="O387" s="120" t="s">
        <v>338</v>
      </c>
      <c r="P387" s="124">
        <v>43621</v>
      </c>
      <c r="Q387" s="120" t="s">
        <v>1215</v>
      </c>
      <c r="R387" s="120" t="s">
        <v>886</v>
      </c>
      <c r="S387" s="120" t="s">
        <v>890</v>
      </c>
      <c r="T387" s="124">
        <v>45838</v>
      </c>
      <c r="U387" s="122">
        <v>3.9552</v>
      </c>
      <c r="V387" s="122">
        <v>6559.3809899999997</v>
      </c>
      <c r="W387" s="122">
        <v>25943.663710000001</v>
      </c>
      <c r="X387" s="123">
        <v>5.5209999999999999E-3</v>
      </c>
      <c r="Y387" s="123">
        <v>4.2500000000000003E-3</v>
      </c>
      <c r="Z387" s="123">
        <v>4.3199999999999998E-4</v>
      </c>
    </row>
    <row r="388" spans="1:26" ht="15" customHeight="1">
      <c r="A388" s="121">
        <v>313</v>
      </c>
      <c r="B388" s="121">
        <v>313</v>
      </c>
      <c r="C388" s="120" t="s">
        <v>2156</v>
      </c>
      <c r="D388" s="121"/>
      <c r="E388" s="120"/>
      <c r="F388" s="120" t="s">
        <v>2578</v>
      </c>
      <c r="G388" s="121">
        <v>42000917</v>
      </c>
      <c r="H388" s="120" t="s">
        <v>311</v>
      </c>
      <c r="I388" s="120" t="s">
        <v>1006</v>
      </c>
      <c r="J388" s="120"/>
      <c r="K388" s="120" t="s">
        <v>204</v>
      </c>
      <c r="L388" s="120"/>
      <c r="M388" s="120"/>
      <c r="N388" s="120" t="s">
        <v>295</v>
      </c>
      <c r="O388" s="120" t="s">
        <v>338</v>
      </c>
      <c r="P388" s="124">
        <v>43601</v>
      </c>
      <c r="Q388" s="120" t="s">
        <v>1222</v>
      </c>
      <c r="R388" s="120" t="s">
        <v>886</v>
      </c>
      <c r="S388" s="120" t="s">
        <v>890</v>
      </c>
      <c r="T388" s="124">
        <v>45838</v>
      </c>
      <c r="U388" s="122">
        <v>3.3719999999999999</v>
      </c>
      <c r="V388" s="122">
        <v>547.87300000000005</v>
      </c>
      <c r="W388" s="122">
        <v>1847.42776</v>
      </c>
      <c r="X388" s="123">
        <v>1.8200000000000001E-4</v>
      </c>
      <c r="Y388" s="123">
        <v>3.0200000000000002E-4</v>
      </c>
      <c r="Z388" s="123">
        <v>3.0000000000000001E-5</v>
      </c>
    </row>
    <row r="389" spans="1:26" ht="15" customHeight="1">
      <c r="A389" s="121">
        <v>313</v>
      </c>
      <c r="B389" s="121">
        <v>313</v>
      </c>
      <c r="C389" s="120" t="s">
        <v>2138</v>
      </c>
      <c r="D389" s="121"/>
      <c r="E389" s="120"/>
      <c r="F389" s="120" t="s">
        <v>2579</v>
      </c>
      <c r="G389" s="121">
        <v>44000105</v>
      </c>
      <c r="H389" s="120" t="s">
        <v>311</v>
      </c>
      <c r="I389" s="120" t="s">
        <v>1001</v>
      </c>
      <c r="J389" s="120"/>
      <c r="K389" s="120" t="s">
        <v>204</v>
      </c>
      <c r="L389" s="120"/>
      <c r="M389" s="120"/>
      <c r="N389" s="120" t="s">
        <v>285</v>
      </c>
      <c r="O389" s="120" t="s">
        <v>338</v>
      </c>
      <c r="P389" s="124">
        <v>44946</v>
      </c>
      <c r="Q389" s="120" t="s">
        <v>1222</v>
      </c>
      <c r="R389" s="120" t="s">
        <v>886</v>
      </c>
      <c r="S389" s="120" t="s">
        <v>890</v>
      </c>
      <c r="T389" s="124">
        <v>45838</v>
      </c>
      <c r="U389" s="122">
        <v>3.3719999999999999</v>
      </c>
      <c r="V389" s="122">
        <v>4538.1113400000004</v>
      </c>
      <c r="W389" s="122">
        <v>15302.51144</v>
      </c>
      <c r="X389" s="123">
        <v>1.5120000000000001E-3</v>
      </c>
      <c r="Y389" s="123">
        <v>2.506E-3</v>
      </c>
      <c r="Z389" s="123">
        <v>2.5399999999999999E-4</v>
      </c>
    </row>
    <row r="390" spans="1:26" ht="15" customHeight="1">
      <c r="A390" s="121">
        <v>313</v>
      </c>
      <c r="B390" s="121">
        <v>313</v>
      </c>
      <c r="C390" s="120" t="s">
        <v>2156</v>
      </c>
      <c r="D390" s="121"/>
      <c r="E390" s="120"/>
      <c r="F390" s="120" t="s">
        <v>2580</v>
      </c>
      <c r="G390" s="121">
        <v>42000911</v>
      </c>
      <c r="H390" s="120" t="s">
        <v>311</v>
      </c>
      <c r="I390" s="120" t="s">
        <v>1006</v>
      </c>
      <c r="J390" s="120"/>
      <c r="K390" s="120" t="s">
        <v>204</v>
      </c>
      <c r="L390" s="120"/>
      <c r="M390" s="120"/>
      <c r="N390" s="120" t="s">
        <v>295</v>
      </c>
      <c r="O390" s="120" t="s">
        <v>338</v>
      </c>
      <c r="P390" s="124">
        <v>43601</v>
      </c>
      <c r="Q390" s="120" t="s">
        <v>1222</v>
      </c>
      <c r="R390" s="120" t="s">
        <v>886</v>
      </c>
      <c r="S390" s="120" t="s">
        <v>890</v>
      </c>
      <c r="T390" s="124">
        <v>45838</v>
      </c>
      <c r="U390" s="122">
        <v>3.3719999999999999</v>
      </c>
      <c r="V390" s="122">
        <v>1007.8498</v>
      </c>
      <c r="W390" s="122">
        <v>3398.4695299999998</v>
      </c>
      <c r="X390" s="123">
        <v>3.3500000000000001E-4</v>
      </c>
      <c r="Y390" s="123">
        <v>5.5599999999999996E-4</v>
      </c>
      <c r="Z390" s="123">
        <v>5.5999999999999999E-5</v>
      </c>
    </row>
    <row r="391" spans="1:26" ht="15" customHeight="1">
      <c r="A391" s="121">
        <v>313</v>
      </c>
      <c r="B391" s="121">
        <v>313</v>
      </c>
      <c r="C391" s="120" t="s">
        <v>2134</v>
      </c>
      <c r="D391" s="121"/>
      <c r="E391" s="120"/>
      <c r="F391" s="120" t="s">
        <v>2581</v>
      </c>
      <c r="G391" s="121">
        <v>62013594</v>
      </c>
      <c r="H391" s="120" t="s">
        <v>311</v>
      </c>
      <c r="I391" s="120" t="s">
        <v>1001</v>
      </c>
      <c r="J391" s="120"/>
      <c r="K391" s="120" t="s">
        <v>204</v>
      </c>
      <c r="L391" s="120"/>
      <c r="M391" s="120"/>
      <c r="N391" s="120" t="s">
        <v>295</v>
      </c>
      <c r="O391" s="120" t="s">
        <v>338</v>
      </c>
      <c r="P391" s="124">
        <v>44883</v>
      </c>
      <c r="Q391" s="120" t="s">
        <v>1222</v>
      </c>
      <c r="R391" s="120" t="s">
        <v>886</v>
      </c>
      <c r="S391" s="120" t="s">
        <v>890</v>
      </c>
      <c r="T391" s="124">
        <v>45838</v>
      </c>
      <c r="U391" s="122">
        <v>3.3719999999999999</v>
      </c>
      <c r="V391" s="122">
        <v>10887.88823</v>
      </c>
      <c r="W391" s="122">
        <v>36713.95912</v>
      </c>
      <c r="X391" s="123">
        <v>1.088E-3</v>
      </c>
      <c r="Y391" s="123">
        <v>6.0140000000000002E-3</v>
      </c>
      <c r="Z391" s="123">
        <v>6.11E-4</v>
      </c>
    </row>
    <row r="392" spans="1:26" ht="15" customHeight="1">
      <c r="A392" s="121">
        <v>313</v>
      </c>
      <c r="B392" s="121">
        <v>313</v>
      </c>
      <c r="C392" s="120" t="s">
        <v>2044</v>
      </c>
      <c r="D392" s="121"/>
      <c r="E392" s="120"/>
      <c r="F392" s="120" t="s">
        <v>2582</v>
      </c>
      <c r="G392" s="121">
        <v>62017769</v>
      </c>
      <c r="H392" s="120" t="s">
        <v>311</v>
      </c>
      <c r="I392" s="120" t="s">
        <v>1006</v>
      </c>
      <c r="J392" s="120"/>
      <c r="K392" s="120" t="s">
        <v>204</v>
      </c>
      <c r="L392" s="120"/>
      <c r="M392" s="120"/>
      <c r="N392" s="120" t="s">
        <v>295</v>
      </c>
      <c r="O392" s="120" t="s">
        <v>338</v>
      </c>
      <c r="P392" s="124">
        <v>44172</v>
      </c>
      <c r="Q392" s="120" t="s">
        <v>1222</v>
      </c>
      <c r="R392" s="120" t="s">
        <v>886</v>
      </c>
      <c r="S392" s="120" t="s">
        <v>890</v>
      </c>
      <c r="T392" s="124">
        <v>45838</v>
      </c>
      <c r="U392" s="122">
        <v>3.3719999999999999</v>
      </c>
      <c r="V392" s="122">
        <v>3149.12934</v>
      </c>
      <c r="W392" s="122">
        <v>10618.86413</v>
      </c>
      <c r="X392" s="123">
        <v>2.6242000000000001E-2</v>
      </c>
      <c r="Y392" s="123">
        <v>1.7390000000000001E-3</v>
      </c>
      <c r="Z392" s="123">
        <v>1.76E-4</v>
      </c>
    </row>
    <row r="393" spans="1:26" ht="15" customHeight="1">
      <c r="A393" s="121">
        <v>313</v>
      </c>
      <c r="B393" s="121">
        <v>313</v>
      </c>
      <c r="C393" s="120" t="s">
        <v>2194</v>
      </c>
      <c r="D393" s="121"/>
      <c r="E393" s="120"/>
      <c r="F393" s="120" t="s">
        <v>2583</v>
      </c>
      <c r="G393" s="121">
        <v>62020342</v>
      </c>
      <c r="H393" s="120" t="s">
        <v>311</v>
      </c>
      <c r="I393" s="120" t="s">
        <v>1001</v>
      </c>
      <c r="J393" s="120"/>
      <c r="K393" s="120" t="s">
        <v>204</v>
      </c>
      <c r="L393" s="120"/>
      <c r="M393" s="120"/>
      <c r="N393" s="120" t="s">
        <v>223</v>
      </c>
      <c r="O393" s="120" t="s">
        <v>338</v>
      </c>
      <c r="P393" s="124">
        <v>42541</v>
      </c>
      <c r="Q393" s="120" t="s">
        <v>1222</v>
      </c>
      <c r="R393" s="120" t="s">
        <v>886</v>
      </c>
      <c r="S393" s="120" t="s">
        <v>890</v>
      </c>
      <c r="T393" s="124">
        <v>45838</v>
      </c>
      <c r="U393" s="122">
        <v>3.3719999999999999</v>
      </c>
      <c r="V393" s="122">
        <v>12990.74474</v>
      </c>
      <c r="W393" s="122">
        <v>43804.791259999998</v>
      </c>
      <c r="X393" s="123">
        <v>8.5339999999999999E-3</v>
      </c>
      <c r="Y393" s="123">
        <v>7.1760000000000001E-3</v>
      </c>
      <c r="Z393" s="123">
        <v>7.2900000000000005E-4</v>
      </c>
    </row>
    <row r="394" spans="1:26" ht="15" customHeight="1">
      <c r="A394" s="121">
        <v>313</v>
      </c>
      <c r="B394" s="121">
        <v>313</v>
      </c>
      <c r="C394" s="120" t="s">
        <v>2523</v>
      </c>
      <c r="D394" s="121"/>
      <c r="E394" s="120"/>
      <c r="F394" s="120" t="s">
        <v>2584</v>
      </c>
      <c r="G394" s="121">
        <v>60303385</v>
      </c>
      <c r="H394" s="120" t="s">
        <v>311</v>
      </c>
      <c r="I394" s="120" t="s">
        <v>1001</v>
      </c>
      <c r="J394" s="120"/>
      <c r="K394" s="120" t="s">
        <v>204</v>
      </c>
      <c r="L394" s="120"/>
      <c r="M394" s="120"/>
      <c r="N394" s="120" t="s">
        <v>295</v>
      </c>
      <c r="O394" s="120" t="s">
        <v>338</v>
      </c>
      <c r="P394" s="124">
        <v>40330</v>
      </c>
      <c r="Q394" s="120" t="s">
        <v>1222</v>
      </c>
      <c r="R394" s="120" t="s">
        <v>886</v>
      </c>
      <c r="S394" s="120" t="s">
        <v>890</v>
      </c>
      <c r="T394" s="124">
        <v>45838</v>
      </c>
      <c r="U394" s="122">
        <v>3.3719999999999999</v>
      </c>
      <c r="V394" s="122">
        <v>464.50110000000001</v>
      </c>
      <c r="W394" s="122">
        <v>1566.2976900000001</v>
      </c>
      <c r="X394" s="123">
        <v>8.5000000000000006E-5</v>
      </c>
      <c r="Y394" s="123">
        <v>2.5599999999999999E-4</v>
      </c>
      <c r="Z394" s="123">
        <v>2.5999999999999998E-5</v>
      </c>
    </row>
    <row r="395" spans="1:26" ht="15" customHeight="1">
      <c r="A395" s="121">
        <v>313</v>
      </c>
      <c r="B395" s="121">
        <v>313</v>
      </c>
      <c r="C395" s="120" t="s">
        <v>2156</v>
      </c>
      <c r="D395" s="121"/>
      <c r="E395" s="120"/>
      <c r="F395" s="120" t="s">
        <v>2585</v>
      </c>
      <c r="G395" s="121">
        <v>42000912</v>
      </c>
      <c r="H395" s="120" t="s">
        <v>311</v>
      </c>
      <c r="I395" s="120" t="s">
        <v>1006</v>
      </c>
      <c r="J395" s="120"/>
      <c r="K395" s="120" t="s">
        <v>204</v>
      </c>
      <c r="L395" s="120"/>
      <c r="M395" s="120"/>
      <c r="N395" s="120" t="s">
        <v>295</v>
      </c>
      <c r="O395" s="120" t="s">
        <v>338</v>
      </c>
      <c r="P395" s="124">
        <v>43601</v>
      </c>
      <c r="Q395" s="120" t="s">
        <v>1222</v>
      </c>
      <c r="R395" s="120" t="s">
        <v>886</v>
      </c>
      <c r="S395" s="120" t="s">
        <v>890</v>
      </c>
      <c r="T395" s="124">
        <v>45838</v>
      </c>
      <c r="U395" s="122">
        <v>3.3719999999999999</v>
      </c>
      <c r="V395" s="122">
        <v>568.91980000000001</v>
      </c>
      <c r="W395" s="122">
        <v>1918.3975700000001</v>
      </c>
      <c r="X395" s="123">
        <v>1.8900000000000001E-4</v>
      </c>
      <c r="Y395" s="123">
        <v>3.1399999999999999E-4</v>
      </c>
      <c r="Z395" s="123">
        <v>3.1000000000000001E-5</v>
      </c>
    </row>
    <row r="396" spans="1:26" ht="15" customHeight="1">
      <c r="A396" s="121">
        <v>313</v>
      </c>
      <c r="B396" s="121">
        <v>313</v>
      </c>
      <c r="C396" s="120" t="s">
        <v>2586</v>
      </c>
      <c r="D396" s="121"/>
      <c r="E396" s="120"/>
      <c r="F396" s="120" t="s">
        <v>2587</v>
      </c>
      <c r="G396" s="121">
        <v>41000828</v>
      </c>
      <c r="H396" s="120" t="s">
        <v>311</v>
      </c>
      <c r="I396" s="120" t="s">
        <v>1001</v>
      </c>
      <c r="J396" s="120"/>
      <c r="K396" s="120" t="s">
        <v>204</v>
      </c>
      <c r="L396" s="120"/>
      <c r="M396" s="120"/>
      <c r="N396" s="120" t="s">
        <v>292</v>
      </c>
      <c r="O396" s="120" t="s">
        <v>338</v>
      </c>
      <c r="P396" s="124">
        <v>43513</v>
      </c>
      <c r="Q396" s="120" t="s">
        <v>1215</v>
      </c>
      <c r="R396" s="120" t="s">
        <v>886</v>
      </c>
      <c r="S396" s="120" t="s">
        <v>890</v>
      </c>
      <c r="T396" s="124">
        <v>45838</v>
      </c>
      <c r="U396" s="122">
        <v>3.9552</v>
      </c>
      <c r="V396" s="122">
        <v>976.58399999999995</v>
      </c>
      <c r="W396" s="122">
        <v>3862.5850399999999</v>
      </c>
      <c r="X396" s="123">
        <v>4.8799999999999999E-4</v>
      </c>
      <c r="Y396" s="123">
        <v>6.3199999999999997E-4</v>
      </c>
      <c r="Z396" s="123">
        <v>6.3999999999999997E-5</v>
      </c>
    </row>
    <row r="397" spans="1:26" ht="15" customHeight="1">
      <c r="A397" s="121">
        <v>313</v>
      </c>
      <c r="B397" s="121">
        <v>313</v>
      </c>
      <c r="C397" s="120" t="s">
        <v>2162</v>
      </c>
      <c r="D397" s="121"/>
      <c r="E397" s="120"/>
      <c r="F397" s="120" t="s">
        <v>2588</v>
      </c>
      <c r="G397" s="121">
        <v>60385416</v>
      </c>
      <c r="H397" s="120" t="s">
        <v>311</v>
      </c>
      <c r="I397" s="120" t="s">
        <v>1001</v>
      </c>
      <c r="J397" s="120"/>
      <c r="K397" s="120" t="s">
        <v>204</v>
      </c>
      <c r="L397" s="120"/>
      <c r="M397" s="120"/>
      <c r="N397" s="120" t="s">
        <v>292</v>
      </c>
      <c r="O397" s="120" t="s">
        <v>338</v>
      </c>
      <c r="P397" s="124">
        <v>39366</v>
      </c>
      <c r="Q397" s="120" t="s">
        <v>1215</v>
      </c>
      <c r="R397" s="120" t="s">
        <v>886</v>
      </c>
      <c r="S397" s="120" t="s">
        <v>890</v>
      </c>
      <c r="T397" s="124">
        <v>45838</v>
      </c>
      <c r="U397" s="122">
        <v>3.9552</v>
      </c>
      <c r="V397" s="122">
        <v>877.81759</v>
      </c>
      <c r="W397" s="122">
        <v>3471.9441299999999</v>
      </c>
      <c r="X397" s="123">
        <v>2.92E-4</v>
      </c>
      <c r="Y397" s="123">
        <v>5.6800000000000004E-4</v>
      </c>
      <c r="Z397" s="123">
        <v>5.7000000000000003E-5</v>
      </c>
    </row>
    <row r="398" spans="1:26" ht="15" customHeight="1">
      <c r="A398" s="121">
        <v>313</v>
      </c>
      <c r="B398" s="121">
        <v>313</v>
      </c>
      <c r="C398" s="120" t="s">
        <v>2134</v>
      </c>
      <c r="D398" s="121"/>
      <c r="E398" s="120"/>
      <c r="F398" s="120" t="s">
        <v>2589</v>
      </c>
      <c r="G398" s="121">
        <v>62005620</v>
      </c>
      <c r="H398" s="120" t="s">
        <v>311</v>
      </c>
      <c r="I398" s="120" t="s">
        <v>1001</v>
      </c>
      <c r="J398" s="120"/>
      <c r="K398" s="120" t="s">
        <v>204</v>
      </c>
      <c r="L398" s="120"/>
      <c r="M398" s="120"/>
      <c r="N398" s="120" t="s">
        <v>292</v>
      </c>
      <c r="O398" s="120" t="s">
        <v>338</v>
      </c>
      <c r="P398" s="124">
        <v>44917</v>
      </c>
      <c r="Q398" s="120" t="s">
        <v>1215</v>
      </c>
      <c r="R398" s="120" t="s">
        <v>886</v>
      </c>
      <c r="S398" s="120" t="s">
        <v>890</v>
      </c>
      <c r="T398" s="124">
        <v>45838</v>
      </c>
      <c r="U398" s="122">
        <v>3.9552</v>
      </c>
      <c r="V398" s="122">
        <v>1459.71037</v>
      </c>
      <c r="W398" s="122">
        <v>5773.4464699999999</v>
      </c>
      <c r="X398" s="123">
        <v>1.4480000000000001E-3</v>
      </c>
      <c r="Y398" s="123">
        <v>9.4499999999999998E-4</v>
      </c>
      <c r="Z398" s="123">
        <v>9.6000000000000002E-5</v>
      </c>
    </row>
    <row r="399" spans="1:26" ht="15" customHeight="1">
      <c r="A399" s="121">
        <v>313</v>
      </c>
      <c r="B399" s="121">
        <v>313</v>
      </c>
      <c r="C399" s="120" t="s">
        <v>2134</v>
      </c>
      <c r="D399" s="121"/>
      <c r="E399" s="120"/>
      <c r="F399" s="120" t="s">
        <v>2590</v>
      </c>
      <c r="G399" s="121">
        <v>60418480</v>
      </c>
      <c r="H399" s="120" t="s">
        <v>311</v>
      </c>
      <c r="I399" s="120" t="s">
        <v>1001</v>
      </c>
      <c r="J399" s="120"/>
      <c r="K399" s="120" t="s">
        <v>204</v>
      </c>
      <c r="L399" s="120"/>
      <c r="M399" s="120"/>
      <c r="N399" s="120" t="s">
        <v>303</v>
      </c>
      <c r="O399" s="120" t="s">
        <v>338</v>
      </c>
      <c r="P399" s="124">
        <v>39379</v>
      </c>
      <c r="Q399" s="120" t="s">
        <v>1222</v>
      </c>
      <c r="R399" s="120" t="s">
        <v>886</v>
      </c>
      <c r="S399" s="120" t="s">
        <v>890</v>
      </c>
      <c r="T399" s="124">
        <v>45838</v>
      </c>
      <c r="U399" s="122">
        <v>3.3719999999999999</v>
      </c>
      <c r="V399" s="122">
        <v>2945.1993900000002</v>
      </c>
      <c r="W399" s="122">
        <v>9931.2123499999998</v>
      </c>
      <c r="X399" s="123">
        <v>7.1599999999999995E-4</v>
      </c>
      <c r="Y399" s="123">
        <v>1.6260000000000001E-3</v>
      </c>
      <c r="Z399" s="123">
        <v>1.65E-4</v>
      </c>
    </row>
    <row r="400" spans="1:26" ht="15" customHeight="1">
      <c r="A400" s="121">
        <v>313</v>
      </c>
      <c r="B400" s="121">
        <v>313</v>
      </c>
      <c r="C400" s="120" t="s">
        <v>2132</v>
      </c>
      <c r="D400" s="121"/>
      <c r="E400" s="120"/>
      <c r="F400" s="120" t="s">
        <v>2591</v>
      </c>
      <c r="G400" s="121">
        <v>62013524</v>
      </c>
      <c r="H400" s="120" t="s">
        <v>311</v>
      </c>
      <c r="I400" s="120" t="s">
        <v>1001</v>
      </c>
      <c r="J400" s="120"/>
      <c r="K400" s="120" t="s">
        <v>204</v>
      </c>
      <c r="L400" s="120"/>
      <c r="M400" s="120"/>
      <c r="N400" s="120" t="s">
        <v>295</v>
      </c>
      <c r="O400" s="120" t="s">
        <v>338</v>
      </c>
      <c r="P400" s="124">
        <v>39070</v>
      </c>
      <c r="Q400" s="120" t="s">
        <v>1222</v>
      </c>
      <c r="R400" s="120" t="s">
        <v>886</v>
      </c>
      <c r="S400" s="120" t="s">
        <v>890</v>
      </c>
      <c r="T400" s="124">
        <v>45838</v>
      </c>
      <c r="U400" s="122">
        <v>3.3719999999999999</v>
      </c>
      <c r="V400" s="122">
        <v>21091.920239999999</v>
      </c>
      <c r="W400" s="122">
        <v>71121.955050000004</v>
      </c>
      <c r="X400" s="123">
        <v>0.162245</v>
      </c>
      <c r="Y400" s="123">
        <v>1.1651E-2</v>
      </c>
      <c r="Z400" s="123">
        <v>1.1839999999999999E-3</v>
      </c>
    </row>
    <row r="401" spans="1:26" ht="15" customHeight="1">
      <c r="A401" s="121">
        <v>313</v>
      </c>
      <c r="B401" s="121">
        <v>313</v>
      </c>
      <c r="C401" s="120" t="s">
        <v>2339</v>
      </c>
      <c r="D401" s="121"/>
      <c r="E401" s="120"/>
      <c r="F401" s="120" t="s">
        <v>2592</v>
      </c>
      <c r="G401" s="121">
        <v>62021100</v>
      </c>
      <c r="H401" s="120" t="s">
        <v>311</v>
      </c>
      <c r="I401" s="120" t="s">
        <v>1001</v>
      </c>
      <c r="J401" s="120"/>
      <c r="K401" s="120" t="s">
        <v>204</v>
      </c>
      <c r="L401" s="120"/>
      <c r="M401" s="120"/>
      <c r="N401" s="120" t="s">
        <v>295</v>
      </c>
      <c r="O401" s="120" t="s">
        <v>338</v>
      </c>
      <c r="P401" s="124">
        <v>43796</v>
      </c>
      <c r="Q401" s="120" t="s">
        <v>1222</v>
      </c>
      <c r="R401" s="120" t="s">
        <v>886</v>
      </c>
      <c r="S401" s="120" t="s">
        <v>890</v>
      </c>
      <c r="T401" s="124">
        <v>45838</v>
      </c>
      <c r="U401" s="122">
        <v>3.3719999999999999</v>
      </c>
      <c r="V401" s="122">
        <v>15455.394340000001</v>
      </c>
      <c r="W401" s="122">
        <v>52115.589699999997</v>
      </c>
      <c r="X401" s="123">
        <v>1.3806000000000001E-2</v>
      </c>
      <c r="Y401" s="123">
        <v>8.5369999999999994E-3</v>
      </c>
      <c r="Z401" s="123">
        <v>8.6700000000000004E-4</v>
      </c>
    </row>
    <row r="402" spans="1:26" ht="15" customHeight="1">
      <c r="A402" s="121">
        <v>313</v>
      </c>
      <c r="B402" s="121">
        <v>313</v>
      </c>
      <c r="C402" s="120" t="s">
        <v>2156</v>
      </c>
      <c r="D402" s="121"/>
      <c r="E402" s="120"/>
      <c r="F402" s="120" t="s">
        <v>2593</v>
      </c>
      <c r="G402" s="121">
        <v>42000916</v>
      </c>
      <c r="H402" s="120" t="s">
        <v>311</v>
      </c>
      <c r="I402" s="120" t="s">
        <v>1006</v>
      </c>
      <c r="J402" s="120"/>
      <c r="K402" s="120" t="s">
        <v>204</v>
      </c>
      <c r="L402" s="120"/>
      <c r="M402" s="120"/>
      <c r="N402" s="120" t="s">
        <v>295</v>
      </c>
      <c r="O402" s="120" t="s">
        <v>338</v>
      </c>
      <c r="P402" s="124">
        <v>43601</v>
      </c>
      <c r="Q402" s="120" t="s">
        <v>1222</v>
      </c>
      <c r="R402" s="120" t="s">
        <v>886</v>
      </c>
      <c r="S402" s="120" t="s">
        <v>890</v>
      </c>
      <c r="T402" s="124">
        <v>45838</v>
      </c>
      <c r="U402" s="122">
        <v>3.3719999999999999</v>
      </c>
      <c r="V402" s="122">
        <v>683.40539999999999</v>
      </c>
      <c r="W402" s="122">
        <v>2304.44301</v>
      </c>
      <c r="X402" s="123">
        <v>2.2699999999999999E-4</v>
      </c>
      <c r="Y402" s="123">
        <v>3.77E-4</v>
      </c>
      <c r="Z402" s="123">
        <v>3.8000000000000002E-5</v>
      </c>
    </row>
    <row r="403" spans="1:26" ht="15" customHeight="1">
      <c r="A403" s="121">
        <v>313</v>
      </c>
      <c r="B403" s="121">
        <v>313</v>
      </c>
      <c r="C403" s="120" t="s">
        <v>2316</v>
      </c>
      <c r="D403" s="121"/>
      <c r="E403" s="120"/>
      <c r="F403" s="120" t="s">
        <v>2594</v>
      </c>
      <c r="G403" s="121">
        <v>46000100</v>
      </c>
      <c r="H403" s="120" t="s">
        <v>311</v>
      </c>
      <c r="I403" s="120" t="s">
        <v>1002</v>
      </c>
      <c r="J403" s="120"/>
      <c r="K403" s="120" t="s">
        <v>204</v>
      </c>
      <c r="L403" s="120"/>
      <c r="M403" s="120"/>
      <c r="N403" s="120" t="s">
        <v>295</v>
      </c>
      <c r="O403" s="120" t="s">
        <v>338</v>
      </c>
      <c r="P403" s="124">
        <v>45838</v>
      </c>
      <c r="Q403" s="120" t="s">
        <v>1222</v>
      </c>
      <c r="R403" s="120" t="s">
        <v>886</v>
      </c>
      <c r="S403" s="120" t="s">
        <v>890</v>
      </c>
      <c r="T403" s="124">
        <v>45838</v>
      </c>
      <c r="U403" s="122">
        <v>3.3719999999999999</v>
      </c>
      <c r="V403" s="122">
        <v>-2937.8249599999999</v>
      </c>
      <c r="W403" s="122">
        <v>-9906.3457699999999</v>
      </c>
      <c r="X403" s="123">
        <v>0</v>
      </c>
      <c r="Y403" s="123">
        <v>-1.622E-3</v>
      </c>
      <c r="Z403" s="123">
        <v>-1.64E-4</v>
      </c>
    </row>
    <row r="404" spans="1:26" ht="15" customHeight="1">
      <c r="A404" s="121">
        <v>313</v>
      </c>
      <c r="B404" s="121">
        <v>313</v>
      </c>
      <c r="C404" s="120" t="s">
        <v>2156</v>
      </c>
      <c r="D404" s="121"/>
      <c r="E404" s="120"/>
      <c r="F404" s="120" t="s">
        <v>2595</v>
      </c>
      <c r="G404" s="121">
        <v>45000101</v>
      </c>
      <c r="H404" s="120" t="s">
        <v>311</v>
      </c>
      <c r="I404" s="120" t="s">
        <v>849</v>
      </c>
      <c r="J404" s="120"/>
      <c r="K404" s="120" t="s">
        <v>204</v>
      </c>
      <c r="L404" s="120"/>
      <c r="M404" s="120"/>
      <c r="N404" s="120" t="s">
        <v>223</v>
      </c>
      <c r="O404" s="120" t="s">
        <v>338</v>
      </c>
      <c r="P404" s="124">
        <v>45473</v>
      </c>
      <c r="Q404" s="120" t="s">
        <v>1222</v>
      </c>
      <c r="R404" s="120" t="s">
        <v>886</v>
      </c>
      <c r="S404" s="120" t="s">
        <v>890</v>
      </c>
      <c r="T404" s="124">
        <v>45838</v>
      </c>
      <c r="U404" s="122">
        <v>3.3719999999999999</v>
      </c>
      <c r="V404" s="122">
        <v>988.46920999999998</v>
      </c>
      <c r="W404" s="122">
        <v>3333.1181799999999</v>
      </c>
      <c r="X404" s="123">
        <v>9.8840000000000004E-3</v>
      </c>
      <c r="Y404" s="123">
        <v>5.4600000000000004E-4</v>
      </c>
      <c r="Z404" s="123">
        <v>5.5000000000000002E-5</v>
      </c>
    </row>
    <row r="405" spans="1:26" ht="15" customHeight="1">
      <c r="A405" s="121">
        <v>313</v>
      </c>
      <c r="B405" s="121">
        <v>313</v>
      </c>
      <c r="C405" s="120" t="s">
        <v>2134</v>
      </c>
      <c r="D405" s="121"/>
      <c r="E405" s="120"/>
      <c r="F405" s="120" t="s">
        <v>2596</v>
      </c>
      <c r="G405" s="121">
        <v>62013560</v>
      </c>
      <c r="H405" s="120" t="s">
        <v>311</v>
      </c>
      <c r="I405" s="120" t="s">
        <v>1001</v>
      </c>
      <c r="J405" s="120"/>
      <c r="K405" s="120" t="s">
        <v>204</v>
      </c>
      <c r="L405" s="120"/>
      <c r="M405" s="120"/>
      <c r="N405" s="120" t="s">
        <v>295</v>
      </c>
      <c r="O405" s="120" t="s">
        <v>338</v>
      </c>
      <c r="P405" s="124">
        <v>44400</v>
      </c>
      <c r="Q405" s="120" t="s">
        <v>1222</v>
      </c>
      <c r="R405" s="120" t="s">
        <v>886</v>
      </c>
      <c r="S405" s="120" t="s">
        <v>890</v>
      </c>
      <c r="T405" s="124">
        <v>45838</v>
      </c>
      <c r="U405" s="122">
        <v>3.3719999999999999</v>
      </c>
      <c r="V405" s="122">
        <v>7802.8287399999999</v>
      </c>
      <c r="W405" s="122">
        <v>26311.138500000001</v>
      </c>
      <c r="X405" s="123">
        <v>8.1499999999999997E-4</v>
      </c>
      <c r="Y405" s="123">
        <v>4.3099999999999996E-3</v>
      </c>
      <c r="Z405" s="123">
        <v>4.3800000000000002E-4</v>
      </c>
    </row>
    <row r="406" spans="1:26" ht="15" customHeight="1">
      <c r="A406" s="121">
        <v>313</v>
      </c>
      <c r="B406" s="121">
        <v>313</v>
      </c>
      <c r="C406" s="120" t="s">
        <v>2355</v>
      </c>
      <c r="D406" s="121"/>
      <c r="E406" s="120"/>
      <c r="F406" s="120" t="s">
        <v>2597</v>
      </c>
      <c r="G406" s="121">
        <v>62018171</v>
      </c>
      <c r="H406" s="120" t="s">
        <v>311</v>
      </c>
      <c r="I406" s="120" t="s">
        <v>1002</v>
      </c>
      <c r="J406" s="120"/>
      <c r="K406" s="120" t="s">
        <v>204</v>
      </c>
      <c r="L406" s="120"/>
      <c r="M406" s="120"/>
      <c r="N406" s="120" t="s">
        <v>292</v>
      </c>
      <c r="O406" s="120" t="s">
        <v>338</v>
      </c>
      <c r="P406" s="124">
        <v>44760</v>
      </c>
      <c r="Q406" s="120" t="s">
        <v>1215</v>
      </c>
      <c r="R406" s="120" t="s">
        <v>886</v>
      </c>
      <c r="S406" s="120" t="s">
        <v>890</v>
      </c>
      <c r="T406" s="124">
        <v>45838</v>
      </c>
      <c r="U406" s="122">
        <v>3.9552</v>
      </c>
      <c r="V406" s="122">
        <v>35504.92267</v>
      </c>
      <c r="W406" s="122">
        <v>140429.07015000001</v>
      </c>
      <c r="X406" s="123">
        <v>0.130911</v>
      </c>
      <c r="Y406" s="123">
        <v>2.3004E-2</v>
      </c>
      <c r="Z406" s="123">
        <v>2.3379999999999998E-3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A3" sqref="A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313</v>
      </c>
      <c r="B2" s="121">
        <v>313</v>
      </c>
      <c r="C2" s="120" t="s">
        <v>2598</v>
      </c>
      <c r="D2" s="121">
        <v>515166544</v>
      </c>
      <c r="E2" s="120" t="s">
        <v>308</v>
      </c>
      <c r="F2" s="120" t="s">
        <v>2599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2600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1218</v>
      </c>
      <c r="R2" s="120" t="s">
        <v>313</v>
      </c>
      <c r="S2" s="120" t="s">
        <v>890</v>
      </c>
      <c r="T2" s="124">
        <v>45838</v>
      </c>
      <c r="U2" s="122">
        <v>6.05</v>
      </c>
      <c r="V2" s="122">
        <v>9.9999999999999995E-7</v>
      </c>
      <c r="W2" s="122">
        <v>117300</v>
      </c>
      <c r="X2" s="122">
        <v>15.5</v>
      </c>
      <c r="Y2" s="122">
        <v>1</v>
      </c>
      <c r="Z2" s="122">
        <v>18.1815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875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5" bestFit="1" customWidth="1"/>
    <col min="15" max="15" width="11.875" bestFit="1" customWidth="1"/>
    <col min="16" max="16" width="10.875" bestFit="1" customWidth="1"/>
    <col min="17" max="17" width="11.5" bestFit="1" customWidth="1"/>
    <col min="18" max="18" width="12.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1.875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  <col min="42" max="43" width="12.625" hidden="1" customWidth="1"/>
    <col min="44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313</v>
      </c>
      <c r="B2" s="121">
        <v>313</v>
      </c>
      <c r="C2" s="120" t="s">
        <v>1018</v>
      </c>
      <c r="D2" s="121">
        <v>76018596</v>
      </c>
      <c r="E2" s="120" t="s">
        <v>1222</v>
      </c>
      <c r="F2" s="122">
        <v>3.3719999999999999</v>
      </c>
      <c r="G2" s="122">
        <v>-16000000</v>
      </c>
      <c r="H2" s="122">
        <v>-16000</v>
      </c>
      <c r="I2" s="123">
        <v>-3.4972264044221588E-2</v>
      </c>
      <c r="J2" s="123">
        <v>-8.9850015006501412E-4</v>
      </c>
      <c r="K2" s="121">
        <v>760185960</v>
      </c>
      <c r="L2" s="120" t="s">
        <v>1218</v>
      </c>
      <c r="M2" s="122">
        <v>1</v>
      </c>
      <c r="N2" s="122">
        <v>16000000</v>
      </c>
      <c r="O2" s="122">
        <v>58651.928050000002</v>
      </c>
      <c r="P2" s="123">
        <v>9.7677131810734383E-4</v>
      </c>
      <c r="Q2" s="123">
        <v>0.13529490303989419</v>
      </c>
      <c r="R2" s="122">
        <v>4699.9280500000004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2606</v>
      </c>
      <c r="Y2" s="120" t="s">
        <v>338</v>
      </c>
      <c r="Z2" s="124">
        <v>45195</v>
      </c>
      <c r="AA2" s="124">
        <v>46274</v>
      </c>
      <c r="AB2" s="120" t="s">
        <v>897</v>
      </c>
      <c r="AC2" s="120" t="s">
        <v>898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3.819</v>
      </c>
      <c r="AJ2" s="122"/>
      <c r="AK2" s="120"/>
      <c r="AL2" s="123"/>
      <c r="AM2" s="120" t="s">
        <v>2604</v>
      </c>
      <c r="AN2" s="123">
        <v>5.4730530682322705E-2</v>
      </c>
      <c r="AO2" s="123">
        <v>7.8271168042329654E-5</v>
      </c>
    </row>
    <row r="3" spans="1:41" ht="15" customHeight="1">
      <c r="A3" s="121">
        <v>313</v>
      </c>
      <c r="B3" s="121">
        <v>313</v>
      </c>
      <c r="C3" s="120" t="s">
        <v>1016</v>
      </c>
      <c r="D3" s="121">
        <v>31011190</v>
      </c>
      <c r="E3" s="120" t="s">
        <v>1218</v>
      </c>
      <c r="F3" s="122">
        <v>1</v>
      </c>
      <c r="G3" s="122">
        <v>22000000</v>
      </c>
      <c r="H3" s="122">
        <v>27731.684939999999</v>
      </c>
      <c r="I3" s="123">
        <v>6.0614988007052707E-2</v>
      </c>
      <c r="J3" s="123">
        <v>4.6183502150329352E-4</v>
      </c>
      <c r="K3" s="121">
        <v>310111900</v>
      </c>
      <c r="L3" s="120" t="s">
        <v>1218</v>
      </c>
      <c r="M3" s="122">
        <v>1</v>
      </c>
      <c r="N3" s="122">
        <v>-22000000</v>
      </c>
      <c r="O3" s="122">
        <v>-28493.302</v>
      </c>
      <c r="P3" s="123">
        <v>-4.7451875969098026E-4</v>
      </c>
      <c r="Q3" s="123">
        <v>-6.5726714526589597E-2</v>
      </c>
      <c r="R3" s="122">
        <v>-761.61706000000004</v>
      </c>
      <c r="S3" s="120" t="s">
        <v>203</v>
      </c>
      <c r="T3" s="120" t="s">
        <v>203</v>
      </c>
      <c r="U3" s="120" t="s">
        <v>743</v>
      </c>
      <c r="V3" s="120" t="s">
        <v>313</v>
      </c>
      <c r="W3" s="120" t="s">
        <v>927</v>
      </c>
      <c r="X3" s="120" t="s">
        <v>2602</v>
      </c>
      <c r="Y3" s="120" t="s">
        <v>338</v>
      </c>
      <c r="Z3" s="124">
        <v>44648</v>
      </c>
      <c r="AA3" s="124">
        <v>48652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2601</v>
      </c>
      <c r="AN3" s="123">
        <v>-8.8690093607944522E-3</v>
      </c>
      <c r="AO3" s="123">
        <v>-1.2683738187686739E-5</v>
      </c>
    </row>
    <row r="4" spans="1:41" ht="15" customHeight="1">
      <c r="A4" s="121">
        <v>313</v>
      </c>
      <c r="B4" s="121">
        <v>313</v>
      </c>
      <c r="C4" s="120" t="s">
        <v>1020</v>
      </c>
      <c r="D4" s="121">
        <v>76023000</v>
      </c>
      <c r="E4" s="120" t="s">
        <v>1218</v>
      </c>
      <c r="F4" s="122">
        <v>1</v>
      </c>
      <c r="G4" s="122">
        <v>93000000</v>
      </c>
      <c r="H4" s="122">
        <v>83467.5</v>
      </c>
      <c r="I4" s="123">
        <v>0.1824404655694416</v>
      </c>
      <c r="J4" s="123">
        <v>1.3900422834288177E-3</v>
      </c>
      <c r="K4" s="121">
        <v>76023001</v>
      </c>
      <c r="L4" s="120" t="s">
        <v>1218</v>
      </c>
      <c r="M4" s="122">
        <v>1</v>
      </c>
      <c r="N4" s="122">
        <v>-93000000</v>
      </c>
      <c r="O4" s="122">
        <v>-79524.3</v>
      </c>
      <c r="P4" s="123">
        <v>-1.3243734334930162E-3</v>
      </c>
      <c r="Q4" s="123">
        <v>-0.18344209330413405</v>
      </c>
      <c r="R4" s="122">
        <v>3943.1999999999971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928</v>
      </c>
      <c r="X4" s="120" t="s">
        <v>2602</v>
      </c>
      <c r="Y4" s="120" t="s">
        <v>338</v>
      </c>
      <c r="Z4" s="124">
        <v>45484</v>
      </c>
      <c r="AA4" s="124">
        <v>47314</v>
      </c>
      <c r="AB4" s="120" t="s">
        <v>897</v>
      </c>
      <c r="AC4" s="120" t="s">
        <v>899</v>
      </c>
      <c r="AD4" s="120" t="s">
        <v>912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2605</v>
      </c>
      <c r="AN4" s="123">
        <v>4.5918453706229552E-2</v>
      </c>
      <c r="AO4" s="123">
        <v>6.5668849935801476E-5</v>
      </c>
    </row>
    <row r="5" spans="1:41" ht="15" customHeight="1">
      <c r="A5" s="121">
        <v>313</v>
      </c>
      <c r="B5" s="121">
        <v>313</v>
      </c>
      <c r="C5" s="120" t="s">
        <v>1016</v>
      </c>
      <c r="D5" s="121">
        <v>31011170</v>
      </c>
      <c r="E5" s="120" t="s">
        <v>1218</v>
      </c>
      <c r="F5" s="122">
        <v>1</v>
      </c>
      <c r="G5" s="122">
        <v>36400000</v>
      </c>
      <c r="H5" s="122">
        <v>47557.1071740552</v>
      </c>
      <c r="I5" s="123">
        <v>0.1039487318294002</v>
      </c>
      <c r="J5" s="123">
        <v>7.9200155568925261E-4</v>
      </c>
      <c r="K5" s="121">
        <v>310111700</v>
      </c>
      <c r="L5" s="120" t="s">
        <v>1218</v>
      </c>
      <c r="M5" s="122">
        <v>1</v>
      </c>
      <c r="N5" s="122">
        <v>-36400000</v>
      </c>
      <c r="O5" s="122">
        <v>-45962.554284055201</v>
      </c>
      <c r="P5" s="123">
        <v>-7.6544635827392792E-4</v>
      </c>
      <c r="Q5" s="123">
        <v>-0.10602378356643165</v>
      </c>
      <c r="R5" s="122">
        <v>1594.5528899999999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2602</v>
      </c>
      <c r="Y5" s="120" t="s">
        <v>338</v>
      </c>
      <c r="Z5" s="124">
        <v>45152</v>
      </c>
      <c r="AA5" s="124">
        <v>46425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2603</v>
      </c>
      <c r="AN5" s="123">
        <v>1.8568523803408295E-2</v>
      </c>
      <c r="AO5" s="123">
        <v>2.6555197415324768E-5</v>
      </c>
    </row>
    <row r="6" spans="1:41" ht="15" customHeight="1">
      <c r="A6" s="121">
        <v>313</v>
      </c>
      <c r="B6" s="121">
        <v>313</v>
      </c>
      <c r="C6" s="120" t="s">
        <v>1016</v>
      </c>
      <c r="D6" s="121">
        <v>31011197</v>
      </c>
      <c r="E6" s="120" t="s">
        <v>1218</v>
      </c>
      <c r="F6" s="122">
        <v>1</v>
      </c>
      <c r="G6" s="122">
        <v>18400000</v>
      </c>
      <c r="H6" s="122">
        <v>-22574.964719198011</v>
      </c>
      <c r="I6" s="123">
        <v>-4.9343601684298723E-2</v>
      </c>
      <c r="J6" s="123">
        <v>-3.7595657599184113E-4</v>
      </c>
      <c r="K6" s="121">
        <v>310111970</v>
      </c>
      <c r="L6" s="120" t="s">
        <v>1218</v>
      </c>
      <c r="M6" s="122">
        <v>1</v>
      </c>
      <c r="N6" s="122">
        <v>-18400000</v>
      </c>
      <c r="O6" s="122">
        <v>22873.19228919801</v>
      </c>
      <c r="P6" s="123">
        <v>3.8092316696897865E-4</v>
      </c>
      <c r="Q6" s="123">
        <v>5.2762567845029265E-2</v>
      </c>
      <c r="R6" s="122">
        <v>298.22757000000001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2602</v>
      </c>
      <c r="Y6" s="120" t="s">
        <v>338</v>
      </c>
      <c r="Z6" s="124">
        <v>45768</v>
      </c>
      <c r="AA6" s="124">
        <v>49420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2604</v>
      </c>
      <c r="AN6" s="123">
        <v>3.4728517110383301E-3</v>
      </c>
      <c r="AO6" s="123">
        <v>4.9665909771375393E-6</v>
      </c>
    </row>
    <row r="7" spans="1:41" ht="15" customHeight="1">
      <c r="A7" s="121">
        <v>313</v>
      </c>
      <c r="B7" s="121">
        <v>313</v>
      </c>
      <c r="C7" s="120" t="s">
        <v>1016</v>
      </c>
      <c r="D7" s="121">
        <v>31011191</v>
      </c>
      <c r="E7" s="120" t="s">
        <v>1218</v>
      </c>
      <c r="F7" s="122">
        <v>1</v>
      </c>
      <c r="G7" s="122">
        <v>24800000</v>
      </c>
      <c r="H7" s="122">
        <v>31089.538479999999</v>
      </c>
      <c r="I7" s="123">
        <v>6.7954471795971721E-2</v>
      </c>
      <c r="J7" s="123">
        <v>5.1775569005286235E-4</v>
      </c>
      <c r="K7" s="121">
        <v>310111910</v>
      </c>
      <c r="L7" s="120" t="s">
        <v>1218</v>
      </c>
      <c r="M7" s="122">
        <v>1</v>
      </c>
      <c r="N7" s="122">
        <v>-24800000</v>
      </c>
      <c r="O7" s="122">
        <v>-31839.134999999998</v>
      </c>
      <c r="P7" s="123">
        <v>-5.3023924183422751E-4</v>
      </c>
      <c r="Q7" s="123">
        <v>-7.3444690156253115E-2</v>
      </c>
      <c r="R7" s="122">
        <v>-749.59652000000006</v>
      </c>
      <c r="S7" s="120" t="s">
        <v>203</v>
      </c>
      <c r="T7" s="120" t="s">
        <v>203</v>
      </c>
      <c r="U7" s="120" t="s">
        <v>743</v>
      </c>
      <c r="V7" s="120" t="s">
        <v>313</v>
      </c>
      <c r="W7" s="120" t="s">
        <v>927</v>
      </c>
      <c r="X7" s="120" t="s">
        <v>2602</v>
      </c>
      <c r="Y7" s="120" t="s">
        <v>338</v>
      </c>
      <c r="Z7" s="124">
        <v>44718</v>
      </c>
      <c r="AA7" s="124">
        <v>48715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2601</v>
      </c>
      <c r="AN7" s="123">
        <v>-8.7290305087164739E-3</v>
      </c>
      <c r="AO7" s="123">
        <v>-1.2483551781365147E-5</v>
      </c>
    </row>
    <row r="8" spans="1:41" ht="15" customHeight="1">
      <c r="A8" s="121">
        <v>313</v>
      </c>
      <c r="B8" s="121">
        <v>313</v>
      </c>
      <c r="C8" s="120" t="s">
        <v>1016</v>
      </c>
      <c r="D8" s="121">
        <v>31010411</v>
      </c>
      <c r="E8" s="120" t="s">
        <v>1218</v>
      </c>
      <c r="F8" s="122">
        <v>1</v>
      </c>
      <c r="G8" s="122">
        <v>20932000</v>
      </c>
      <c r="H8" s="122">
        <v>27173.187199999997</v>
      </c>
      <c r="I8" s="123">
        <v>5.9394242355091394E-2</v>
      </c>
      <c r="J8" s="123">
        <v>4.5253397050979983E-4</v>
      </c>
      <c r="K8" s="121">
        <v>310104110</v>
      </c>
      <c r="L8" s="120" t="s">
        <v>1218</v>
      </c>
      <c r="M8" s="122">
        <v>1</v>
      </c>
      <c r="N8" s="122">
        <v>-20932000</v>
      </c>
      <c r="O8" s="122">
        <v>-26638.294999999998</v>
      </c>
      <c r="P8" s="123">
        <v>-4.4362603897864981E-4</v>
      </c>
      <c r="Q8" s="123">
        <v>-6.1447690792035228E-2</v>
      </c>
      <c r="R8" s="122">
        <v>534.8922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2602</v>
      </c>
      <c r="Y8" s="120" t="s">
        <v>338</v>
      </c>
      <c r="Z8" s="124">
        <v>45628</v>
      </c>
      <c r="AA8" s="124">
        <v>49023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2604</v>
      </c>
      <c r="AN8" s="123">
        <v>6.2288047077305982E-3</v>
      </c>
      <c r="AO8" s="123">
        <v>8.9079315311500138E-6</v>
      </c>
    </row>
    <row r="9" spans="1:41" ht="15" customHeight="1">
      <c r="A9" s="121">
        <v>313</v>
      </c>
      <c r="B9" s="121">
        <v>313</v>
      </c>
      <c r="C9" s="120" t="s">
        <v>1016</v>
      </c>
      <c r="D9" s="121">
        <v>31009902</v>
      </c>
      <c r="E9" s="120" t="s">
        <v>1222</v>
      </c>
      <c r="F9" s="122">
        <v>3.3719999999999999</v>
      </c>
      <c r="G9" s="122">
        <v>-5000000</v>
      </c>
      <c r="H9" s="122">
        <v>-4613.18</v>
      </c>
      <c r="I9" s="123">
        <v>-1.0083334315220136E-2</v>
      </c>
      <c r="J9" s="123">
        <v>-2.5905893264230762E-4</v>
      </c>
      <c r="K9" s="121">
        <v>31009901</v>
      </c>
      <c r="L9" s="120" t="s">
        <v>1218</v>
      </c>
      <c r="M9" s="122">
        <v>1</v>
      </c>
      <c r="N9" s="122">
        <v>17162499.800000001</v>
      </c>
      <c r="O9" s="122">
        <v>15850.582850000001</v>
      </c>
      <c r="P9" s="123">
        <v>2.6397077159962451E-4</v>
      </c>
      <c r="Q9" s="123">
        <v>3.6563215244832172E-2</v>
      </c>
      <c r="R9" s="122">
        <v>294.93988999999999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2606</v>
      </c>
      <c r="Y9" s="120" t="s">
        <v>338</v>
      </c>
      <c r="Z9" s="124">
        <v>41816</v>
      </c>
      <c r="AA9" s="124">
        <v>46660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3.4319999999999999</v>
      </c>
      <c r="AJ9" s="122"/>
      <c r="AK9" s="120"/>
      <c r="AL9" s="123"/>
      <c r="AM9" s="120" t="s">
        <v>2601</v>
      </c>
      <c r="AN9" s="123">
        <v>3.4345667693967958E-3</v>
      </c>
      <c r="AO9" s="123">
        <v>4.9118389573168512E-6</v>
      </c>
    </row>
    <row r="10" spans="1:41" ht="15" customHeight="1">
      <c r="A10" s="121">
        <v>313</v>
      </c>
      <c r="B10" s="121">
        <v>313</v>
      </c>
      <c r="C10" s="120" t="s">
        <v>1018</v>
      </c>
      <c r="D10" s="121">
        <v>76020476</v>
      </c>
      <c r="E10" s="120" t="s">
        <v>1215</v>
      </c>
      <c r="F10" s="122">
        <v>3.9552</v>
      </c>
      <c r="G10" s="122">
        <v>-6900000</v>
      </c>
      <c r="H10" s="122">
        <v>-6900</v>
      </c>
      <c r="I10" s="123">
        <v>-1.5081788869070561E-2</v>
      </c>
      <c r="J10" s="123">
        <v>-4.5449399049907874E-4</v>
      </c>
      <c r="K10" s="121">
        <v>760204760</v>
      </c>
      <c r="L10" s="120" t="s">
        <v>1218</v>
      </c>
      <c r="M10" s="122">
        <v>1</v>
      </c>
      <c r="N10" s="122">
        <v>6900000</v>
      </c>
      <c r="O10" s="122">
        <v>28798.379390000002</v>
      </c>
      <c r="P10" s="123">
        <v>4.7959942548087583E-4</v>
      </c>
      <c r="Q10" s="123">
        <v>6.6430449548983528E-2</v>
      </c>
      <c r="R10" s="122">
        <v>1507.4993899999999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2607</v>
      </c>
      <c r="Y10" s="120" t="s">
        <v>338</v>
      </c>
      <c r="Z10" s="124">
        <v>45553</v>
      </c>
      <c r="AA10" s="124">
        <v>45958</v>
      </c>
      <c r="AB10" s="120" t="s">
        <v>897</v>
      </c>
      <c r="AC10" s="120" t="s">
        <v>898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4.1988000000000003</v>
      </c>
      <c r="AJ10" s="122"/>
      <c r="AK10" s="120"/>
      <c r="AL10" s="123"/>
      <c r="AM10" s="120" t="s">
        <v>2601</v>
      </c>
      <c r="AN10" s="123">
        <v>1.755478823084914E-2</v>
      </c>
      <c r="AO10" s="123">
        <v>2.5105434981797104E-5</v>
      </c>
    </row>
    <row r="11" spans="1:41" ht="15" customHeight="1">
      <c r="A11" s="121">
        <v>313</v>
      </c>
      <c r="B11" s="121">
        <v>313</v>
      </c>
      <c r="C11" s="120" t="s">
        <v>1018</v>
      </c>
      <c r="D11" s="121">
        <v>76020788</v>
      </c>
      <c r="E11" s="120" t="s">
        <v>1215</v>
      </c>
      <c r="F11" s="122">
        <v>3.9552</v>
      </c>
      <c r="G11" s="122">
        <v>-4600000</v>
      </c>
      <c r="H11" s="122">
        <v>-4600</v>
      </c>
      <c r="I11" s="123">
        <v>-1.0054525912713707E-2</v>
      </c>
      <c r="J11" s="123">
        <v>-3.0299599366605251E-4</v>
      </c>
      <c r="K11" s="121">
        <v>760207880</v>
      </c>
      <c r="L11" s="120" t="s">
        <v>1218</v>
      </c>
      <c r="M11" s="122">
        <v>1</v>
      </c>
      <c r="N11" s="122">
        <v>4600000</v>
      </c>
      <c r="O11" s="122">
        <v>17308.315390000003</v>
      </c>
      <c r="P11" s="123">
        <v>2.8824740464278612E-4</v>
      </c>
      <c r="Q11" s="123">
        <v>3.9925829044829816E-2</v>
      </c>
      <c r="R11" s="122">
        <v>-885.60460999999998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2607</v>
      </c>
      <c r="Y11" s="120" t="s">
        <v>338</v>
      </c>
      <c r="Z11" s="124">
        <v>45642</v>
      </c>
      <c r="AA11" s="124">
        <v>46039</v>
      </c>
      <c r="AB11" s="120" t="s">
        <v>897</v>
      </c>
      <c r="AC11" s="120" t="s">
        <v>898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3.7852999999999999</v>
      </c>
      <c r="AJ11" s="122"/>
      <c r="AK11" s="120"/>
      <c r="AL11" s="123"/>
      <c r="AM11" s="120" t="s">
        <v>2604</v>
      </c>
      <c r="AN11" s="123">
        <v>-1.0312840912535124E-2</v>
      </c>
      <c r="AO11" s="123">
        <v>-1.474858902326639E-5</v>
      </c>
    </row>
    <row r="12" spans="1:41" ht="15" customHeight="1">
      <c r="A12" s="121">
        <v>313</v>
      </c>
      <c r="B12" s="121">
        <v>313</v>
      </c>
      <c r="C12" s="120" t="s">
        <v>1018</v>
      </c>
      <c r="D12" s="121">
        <v>76020492</v>
      </c>
      <c r="E12" s="120" t="s">
        <v>1215</v>
      </c>
      <c r="F12" s="122">
        <v>3.9552</v>
      </c>
      <c r="G12" s="122">
        <v>-2300000</v>
      </c>
      <c r="H12" s="122">
        <v>-2300</v>
      </c>
      <c r="I12" s="123">
        <v>-5.0272629563568533E-3</v>
      </c>
      <c r="J12" s="123">
        <v>-1.5149799683302626E-4</v>
      </c>
      <c r="K12" s="121">
        <v>760204920</v>
      </c>
      <c r="L12" s="120" t="s">
        <v>1218</v>
      </c>
      <c r="M12" s="122">
        <v>1</v>
      </c>
      <c r="N12" s="122">
        <v>2300000</v>
      </c>
      <c r="O12" s="122">
        <v>9599.4598000000005</v>
      </c>
      <c r="P12" s="123">
        <v>1.5986647521580425E-4</v>
      </c>
      <c r="Q12" s="123">
        <v>2.2143483190683655E-2</v>
      </c>
      <c r="R12" s="122">
        <v>502.49979999999999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2607</v>
      </c>
      <c r="Y12" s="120" t="s">
        <v>338</v>
      </c>
      <c r="Z12" s="124">
        <v>45553</v>
      </c>
      <c r="AA12" s="124">
        <v>45958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4.1988000000000003</v>
      </c>
      <c r="AJ12" s="122"/>
      <c r="AK12" s="120"/>
      <c r="AL12" s="123"/>
      <c r="AM12" s="120" t="s">
        <v>2601</v>
      </c>
      <c r="AN12" s="123">
        <v>5.8515961157662878E-3</v>
      </c>
      <c r="AO12" s="123">
        <v>8.3684783827780169E-6</v>
      </c>
    </row>
    <row r="13" spans="1:41" ht="15" customHeight="1">
      <c r="A13" s="121">
        <v>313</v>
      </c>
      <c r="B13" s="121">
        <v>313</v>
      </c>
      <c r="C13" s="120" t="s">
        <v>1016</v>
      </c>
      <c r="D13" s="121">
        <v>31011130</v>
      </c>
      <c r="E13" s="120" t="s">
        <v>1218</v>
      </c>
      <c r="F13" s="122">
        <v>1</v>
      </c>
      <c r="G13" s="122">
        <v>27200000</v>
      </c>
      <c r="H13" s="122">
        <v>34946.092599999996</v>
      </c>
      <c r="I13" s="123">
        <v>7.6383998607563633E-2</v>
      </c>
      <c r="J13" s="123">
        <v>5.8198156593427261E-4</v>
      </c>
      <c r="K13" s="121">
        <v>310111300</v>
      </c>
      <c r="L13" s="120" t="s">
        <v>1218</v>
      </c>
      <c r="M13" s="122">
        <v>1</v>
      </c>
      <c r="N13" s="122">
        <v>-27200000</v>
      </c>
      <c r="O13" s="122">
        <v>-34161.544999999998</v>
      </c>
      <c r="P13" s="123">
        <v>-5.6891594952833511E-4</v>
      </c>
      <c r="Q13" s="123">
        <v>-7.8801892318490996E-2</v>
      </c>
      <c r="R13" s="122">
        <v>784.54759999999999</v>
      </c>
      <c r="S13" s="120" t="s">
        <v>203</v>
      </c>
      <c r="T13" s="120" t="s">
        <v>203</v>
      </c>
      <c r="U13" s="120" t="s">
        <v>743</v>
      </c>
      <c r="V13" s="120" t="s">
        <v>313</v>
      </c>
      <c r="W13" s="120" t="s">
        <v>927</v>
      </c>
      <c r="X13" s="120" t="s">
        <v>2602</v>
      </c>
      <c r="Y13" s="120" t="s">
        <v>338</v>
      </c>
      <c r="Z13" s="124">
        <v>44718</v>
      </c>
      <c r="AA13" s="124">
        <v>48219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2604</v>
      </c>
      <c r="AN13" s="123">
        <v>9.1360348577129036E-3</v>
      </c>
      <c r="AO13" s="123">
        <v>1.3065616405937624E-5</v>
      </c>
    </row>
    <row r="14" spans="1:41" ht="15" customHeight="1">
      <c r="A14" s="121">
        <v>313</v>
      </c>
      <c r="B14" s="121">
        <v>313</v>
      </c>
      <c r="C14" s="120" t="s">
        <v>1018</v>
      </c>
      <c r="D14" s="121">
        <v>76021225</v>
      </c>
      <c r="E14" s="120" t="s">
        <v>1222</v>
      </c>
      <c r="F14" s="122">
        <v>3.3719999999999999</v>
      </c>
      <c r="G14" s="122">
        <v>-36625000</v>
      </c>
      <c r="H14" s="122">
        <v>-36625</v>
      </c>
      <c r="I14" s="123">
        <v>-8.0053698163725984E-2</v>
      </c>
      <c r="J14" s="123">
        <v>-2.0567229997581963E-3</v>
      </c>
      <c r="K14" s="121">
        <v>760212250</v>
      </c>
      <c r="L14" s="120" t="s">
        <v>1218</v>
      </c>
      <c r="M14" s="122">
        <v>1</v>
      </c>
      <c r="N14" s="122">
        <v>36625000</v>
      </c>
      <c r="O14" s="122">
        <v>137864.70121999999</v>
      </c>
      <c r="P14" s="123">
        <v>2.2959566788040911E-3</v>
      </c>
      <c r="Q14" s="123">
        <v>0.31801838412341638</v>
      </c>
      <c r="R14" s="122">
        <v>14365.201220000001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2606</v>
      </c>
      <c r="Y14" s="120" t="s">
        <v>338</v>
      </c>
      <c r="Z14" s="124">
        <v>45756</v>
      </c>
      <c r="AA14" s="124">
        <v>45909</v>
      </c>
      <c r="AB14" s="120" t="s">
        <v>897</v>
      </c>
      <c r="AC14" s="120" t="s">
        <v>898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3.8130000000000002</v>
      </c>
      <c r="AJ14" s="122"/>
      <c r="AK14" s="120"/>
      <c r="AL14" s="123"/>
      <c r="AM14" s="120" t="s">
        <v>2601</v>
      </c>
      <c r="AN14" s="123">
        <v>0.16728236640323665</v>
      </c>
      <c r="AO14" s="123">
        <v>2.3923367904589497E-4</v>
      </c>
    </row>
    <row r="15" spans="1:41" ht="15" customHeight="1">
      <c r="A15" s="121">
        <v>313</v>
      </c>
      <c r="B15" s="121">
        <v>313</v>
      </c>
      <c r="C15" s="120" t="s">
        <v>1018</v>
      </c>
      <c r="D15" s="121">
        <v>76020644</v>
      </c>
      <c r="E15" s="120" t="s">
        <v>1222</v>
      </c>
      <c r="F15" s="122">
        <v>3.3719999999999999</v>
      </c>
      <c r="G15" s="122">
        <v>-47030000</v>
      </c>
      <c r="H15" s="122">
        <v>-47030</v>
      </c>
      <c r="I15" s="123">
        <v>-0.10279659862498383</v>
      </c>
      <c r="J15" s="123">
        <v>-2.6410288785973512E-3</v>
      </c>
      <c r="K15" s="121">
        <v>760206440</v>
      </c>
      <c r="L15" s="120" t="s">
        <v>1218</v>
      </c>
      <c r="M15" s="122">
        <v>1</v>
      </c>
      <c r="N15" s="122">
        <v>47030000</v>
      </c>
      <c r="O15" s="122">
        <v>174656.74901999999</v>
      </c>
      <c r="P15" s="123">
        <v>2.9086802195347253E-3</v>
      </c>
      <c r="Q15" s="123">
        <v>0.40288816940134725</v>
      </c>
      <c r="R15" s="122">
        <v>16071.589019999999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2606</v>
      </c>
      <c r="Y15" s="120" t="s">
        <v>338</v>
      </c>
      <c r="Z15" s="124">
        <v>45601</v>
      </c>
      <c r="AA15" s="124">
        <v>46001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3.7480000000000002</v>
      </c>
      <c r="AJ15" s="122"/>
      <c r="AK15" s="120"/>
      <c r="AL15" s="123"/>
      <c r="AM15" s="120" t="s">
        <v>2603</v>
      </c>
      <c r="AN15" s="123">
        <v>0.18715320460550255</v>
      </c>
      <c r="AO15" s="123">
        <v>2.6765134093737457E-4</v>
      </c>
    </row>
    <row r="16" spans="1:41" ht="15" customHeight="1">
      <c r="A16" s="121">
        <v>313</v>
      </c>
      <c r="B16" s="121">
        <v>313</v>
      </c>
      <c r="C16" s="120" t="s">
        <v>1018</v>
      </c>
      <c r="D16" s="121">
        <v>76020460</v>
      </c>
      <c r="E16" s="120" t="s">
        <v>1222</v>
      </c>
      <c r="F16" s="122">
        <v>3.3719999999999999</v>
      </c>
      <c r="G16" s="122">
        <v>-15700000</v>
      </c>
      <c r="H16" s="122">
        <v>-15700</v>
      </c>
      <c r="I16" s="123">
        <v>-3.4316534093392435E-2</v>
      </c>
      <c r="J16" s="123">
        <v>-8.8165327225129522E-4</v>
      </c>
      <c r="K16" s="121">
        <v>760204600</v>
      </c>
      <c r="L16" s="120" t="s">
        <v>1218</v>
      </c>
      <c r="M16" s="122">
        <v>1</v>
      </c>
      <c r="N16" s="122">
        <v>15700000</v>
      </c>
      <c r="O16" s="122">
        <v>58675.619080000004</v>
      </c>
      <c r="P16" s="123">
        <v>9.7716586129406894E-4</v>
      </c>
      <c r="Q16" s="123">
        <v>0.135349552148855</v>
      </c>
      <c r="R16" s="122">
        <v>5735.2190799999998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2606</v>
      </c>
      <c r="Y16" s="120" t="s">
        <v>338</v>
      </c>
      <c r="Z16" s="124">
        <v>45553</v>
      </c>
      <c r="AA16" s="124">
        <v>45951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3.7730000000000001</v>
      </c>
      <c r="AJ16" s="122"/>
      <c r="AK16" s="120"/>
      <c r="AL16" s="123"/>
      <c r="AM16" s="120" t="s">
        <v>2603</v>
      </c>
      <c r="AN16" s="123">
        <v>6.678646576893503E-2</v>
      </c>
      <c r="AO16" s="123">
        <v>9.5512589042773803E-5</v>
      </c>
    </row>
    <row r="17" spans="1:41" ht="15" customHeight="1">
      <c r="A17" s="121">
        <v>313</v>
      </c>
      <c r="B17" s="121">
        <v>313</v>
      </c>
      <c r="C17" s="120" t="s">
        <v>1018</v>
      </c>
      <c r="D17" s="121">
        <v>76020372</v>
      </c>
      <c r="E17" s="120" t="s">
        <v>1222</v>
      </c>
      <c r="F17" s="122">
        <v>3.3719999999999999</v>
      </c>
      <c r="G17" s="122">
        <v>-11300000</v>
      </c>
      <c r="H17" s="122">
        <v>-11300</v>
      </c>
      <c r="I17" s="123">
        <v>-2.46991614812315E-2</v>
      </c>
      <c r="J17" s="123">
        <v>-6.3456573098341618E-4</v>
      </c>
      <c r="K17" s="121">
        <v>760203720</v>
      </c>
      <c r="L17" s="120" t="s">
        <v>1218</v>
      </c>
      <c r="M17" s="122">
        <v>1</v>
      </c>
      <c r="N17" s="122">
        <v>11300000</v>
      </c>
      <c r="O17" s="122">
        <v>40803.009010000002</v>
      </c>
      <c r="P17" s="123">
        <v>6.7952086518737256E-4</v>
      </c>
      <c r="Q17" s="123">
        <v>9.4122040507138599E-2</v>
      </c>
      <c r="R17" s="122">
        <v>2699.4090099999999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2606</v>
      </c>
      <c r="Y17" s="120" t="s">
        <v>338</v>
      </c>
      <c r="Z17" s="124">
        <v>45530</v>
      </c>
      <c r="AA17" s="124">
        <v>45909</v>
      </c>
      <c r="AB17" s="120" t="s">
        <v>897</v>
      </c>
      <c r="AC17" s="120" t="s">
        <v>898</v>
      </c>
      <c r="AD17" s="120" t="s">
        <v>912</v>
      </c>
      <c r="AE17" s="120" t="s">
        <v>913</v>
      </c>
      <c r="AF17" s="120" t="s">
        <v>897</v>
      </c>
      <c r="AG17" s="120" t="s">
        <v>897</v>
      </c>
      <c r="AH17" s="123"/>
      <c r="AI17" s="122">
        <v>3.6659999999999999</v>
      </c>
      <c r="AJ17" s="122"/>
      <c r="AK17" s="120"/>
      <c r="AL17" s="123"/>
      <c r="AM17" s="120" t="s">
        <v>2605</v>
      </c>
      <c r="AN17" s="123">
        <v>3.1434542417291544E-2</v>
      </c>
      <c r="AO17" s="123">
        <v>4.4955134203956317E-5</v>
      </c>
    </row>
    <row r="18" spans="1:41" ht="15" customHeight="1">
      <c r="A18" s="121">
        <v>313</v>
      </c>
      <c r="B18" s="121">
        <v>313</v>
      </c>
      <c r="C18" s="120" t="s">
        <v>1018</v>
      </c>
      <c r="D18" s="121">
        <v>76021292</v>
      </c>
      <c r="E18" s="120" t="s">
        <v>1222</v>
      </c>
      <c r="F18" s="122">
        <v>3.3719999999999999</v>
      </c>
      <c r="G18" s="122">
        <v>-30000000</v>
      </c>
      <c r="H18" s="122">
        <v>-30000</v>
      </c>
      <c r="I18" s="123">
        <v>-6.5572995082915489E-2</v>
      </c>
      <c r="J18" s="123">
        <v>-1.6846877813719015E-3</v>
      </c>
      <c r="K18" s="121">
        <v>760212920</v>
      </c>
      <c r="L18" s="120" t="s">
        <v>1218</v>
      </c>
      <c r="M18" s="122">
        <v>1</v>
      </c>
      <c r="N18" s="122">
        <v>30000000</v>
      </c>
      <c r="O18" s="122">
        <v>108556.64774</v>
      </c>
      <c r="P18" s="123">
        <v>1.8078692965032785E-3</v>
      </c>
      <c r="Q18" s="123">
        <v>0.25041224762123138</v>
      </c>
      <c r="R18" s="122">
        <v>7396.6477400000003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2606</v>
      </c>
      <c r="Y18" s="120" t="s">
        <v>338</v>
      </c>
      <c r="Z18" s="124">
        <v>45775</v>
      </c>
      <c r="AA18" s="124">
        <v>45867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3.6309999999999998</v>
      </c>
      <c r="AJ18" s="122"/>
      <c r="AK18" s="120"/>
      <c r="AL18" s="123"/>
      <c r="AM18" s="120" t="s">
        <v>2603</v>
      </c>
      <c r="AN18" s="123">
        <v>8.6133756043436219E-2</v>
      </c>
      <c r="AO18" s="123">
        <v>1.2318151513137694E-4</v>
      </c>
    </row>
    <row r="19" spans="1:41" ht="15" customHeight="1">
      <c r="A19" s="121">
        <v>313</v>
      </c>
      <c r="B19" s="121">
        <v>313</v>
      </c>
      <c r="C19" s="120" t="s">
        <v>1018</v>
      </c>
      <c r="D19" s="121">
        <v>76020524</v>
      </c>
      <c r="E19" s="120" t="s">
        <v>1222</v>
      </c>
      <c r="F19" s="122">
        <v>3.3719999999999999</v>
      </c>
      <c r="G19" s="122">
        <v>-9122610</v>
      </c>
      <c r="H19" s="122">
        <v>-9122.61</v>
      </c>
      <c r="I19" s="123">
        <v>-1.993989535577852E-2</v>
      </c>
      <c r="J19" s="123">
        <v>-5.122916533740375E-4</v>
      </c>
      <c r="K19" s="121">
        <v>760205240</v>
      </c>
      <c r="L19" s="120" t="s">
        <v>1218</v>
      </c>
      <c r="M19" s="122">
        <v>1</v>
      </c>
      <c r="N19" s="122">
        <v>9122610</v>
      </c>
      <c r="O19" s="122">
        <v>33812.226450000002</v>
      </c>
      <c r="P19" s="123">
        <v>5.6309850495546486E-4</v>
      </c>
      <c r="Q19" s="123">
        <v>7.7996104326116797E-2</v>
      </c>
      <c r="R19" s="122">
        <v>3050.7855300000001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2606</v>
      </c>
      <c r="Y19" s="120" t="s">
        <v>338</v>
      </c>
      <c r="Z19" s="124">
        <v>45560</v>
      </c>
      <c r="AA19" s="124">
        <v>45973</v>
      </c>
      <c r="AB19" s="120" t="s">
        <v>897</v>
      </c>
      <c r="AC19" s="120" t="s">
        <v>898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3.758</v>
      </c>
      <c r="AJ19" s="122"/>
      <c r="AK19" s="120"/>
      <c r="AL19" s="123"/>
      <c r="AM19" s="120" t="s">
        <v>2604</v>
      </c>
      <c r="AN19" s="123">
        <v>3.5526312164470504E-2</v>
      </c>
      <c r="AO19" s="123">
        <v>5.0806851581427453E-5</v>
      </c>
    </row>
    <row r="20" spans="1:41" ht="15" customHeight="1">
      <c r="A20" s="121">
        <v>313</v>
      </c>
      <c r="B20" s="121">
        <v>313</v>
      </c>
      <c r="C20" s="120" t="s">
        <v>1018</v>
      </c>
      <c r="D20" s="121">
        <v>76020356</v>
      </c>
      <c r="E20" s="120" t="s">
        <v>1222</v>
      </c>
      <c r="F20" s="122">
        <v>3.3719999999999999</v>
      </c>
      <c r="G20" s="122">
        <v>-18236000</v>
      </c>
      <c r="H20" s="122">
        <v>-18236</v>
      </c>
      <c r="I20" s="123">
        <v>-3.985963794440156E-2</v>
      </c>
      <c r="J20" s="123">
        <v>-1.0240655460365998E-3</v>
      </c>
      <c r="K20" s="121">
        <v>760203560</v>
      </c>
      <c r="L20" s="120" t="s">
        <v>1218</v>
      </c>
      <c r="M20" s="122">
        <v>1</v>
      </c>
      <c r="N20" s="122">
        <v>18236000</v>
      </c>
      <c r="O20" s="122">
        <v>67007.803240000008</v>
      </c>
      <c r="P20" s="123">
        <v>1.1159275145808673E-3</v>
      </c>
      <c r="Q20" s="123">
        <v>0.15456975659084252</v>
      </c>
      <c r="R20" s="122">
        <v>5516.0112399999998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2606</v>
      </c>
      <c r="Y20" s="120" t="s">
        <v>338</v>
      </c>
      <c r="Z20" s="124">
        <v>45525</v>
      </c>
      <c r="AA20" s="124">
        <v>45894</v>
      </c>
      <c r="AB20" s="120" t="s">
        <v>897</v>
      </c>
      <c r="AC20" s="120" t="s">
        <v>898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3.722</v>
      </c>
      <c r="AJ20" s="122"/>
      <c r="AK20" s="120"/>
      <c r="AL20" s="123"/>
      <c r="AM20" s="120" t="s">
        <v>2604</v>
      </c>
      <c r="AN20" s="123">
        <v>6.4233796603515428E-2</v>
      </c>
      <c r="AO20" s="123">
        <v>9.1861968544267215E-5</v>
      </c>
    </row>
    <row r="21" spans="1:41" ht="15" customHeight="1">
      <c r="A21" s="121">
        <v>313</v>
      </c>
      <c r="B21" s="121">
        <v>313</v>
      </c>
      <c r="C21" s="120" t="s">
        <v>1020</v>
      </c>
      <c r="D21" s="121">
        <v>76021273</v>
      </c>
      <c r="E21" s="120" t="s">
        <v>1218</v>
      </c>
      <c r="F21" s="122">
        <v>1</v>
      </c>
      <c r="G21" s="122">
        <v>27900000</v>
      </c>
      <c r="H21" s="122">
        <v>21402.09</v>
      </c>
      <c r="I21" s="123">
        <v>4.6779971411137156E-2</v>
      </c>
      <c r="J21" s="123">
        <v>3.5642387820108501E-4</v>
      </c>
      <c r="K21" s="121">
        <v>76021274</v>
      </c>
      <c r="L21" s="120" t="s">
        <v>1218</v>
      </c>
      <c r="M21" s="122">
        <v>1</v>
      </c>
      <c r="N21" s="122">
        <v>-27900000</v>
      </c>
      <c r="O21" s="122">
        <v>-20966.849999999999</v>
      </c>
      <c r="P21" s="123">
        <v>-3.4917552401005786E-4</v>
      </c>
      <c r="Q21" s="123">
        <v>-4.836512681021754E-2</v>
      </c>
      <c r="R21" s="122">
        <v>435.24</v>
      </c>
      <c r="S21" s="120" t="s">
        <v>204</v>
      </c>
      <c r="T21" s="120" t="s">
        <v>203</v>
      </c>
      <c r="U21" s="120" t="s">
        <v>750</v>
      </c>
      <c r="V21" s="120" t="s">
        <v>313</v>
      </c>
      <c r="W21" s="120" t="s">
        <v>928</v>
      </c>
      <c r="X21" s="120" t="s">
        <v>2602</v>
      </c>
      <c r="Y21" s="120" t="s">
        <v>338</v>
      </c>
      <c r="Z21" s="124">
        <v>45770</v>
      </c>
      <c r="AA21" s="124">
        <v>47491</v>
      </c>
      <c r="AB21" s="120" t="s">
        <v>897</v>
      </c>
      <c r="AC21" s="120" t="s">
        <v>898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2608</v>
      </c>
      <c r="AN21" s="123">
        <v>5.0683576260649637E-3</v>
      </c>
      <c r="AO21" s="123">
        <v>7.2483541910271494E-6</v>
      </c>
    </row>
    <row r="22" spans="1:41" ht="15" customHeight="1">
      <c r="A22" s="121">
        <v>313</v>
      </c>
      <c r="B22" s="121">
        <v>313</v>
      </c>
      <c r="C22" s="120" t="s">
        <v>1022</v>
      </c>
      <c r="D22" s="121">
        <v>31011193</v>
      </c>
      <c r="E22" s="120" t="s">
        <v>1222</v>
      </c>
      <c r="F22" s="122">
        <v>3.3719999999999999</v>
      </c>
      <c r="G22" s="122">
        <v>4283</v>
      </c>
      <c r="H22" s="122">
        <v>4727.1813599999996</v>
      </c>
      <c r="I22" s="123">
        <v>1.0332514669177657E-2</v>
      </c>
      <c r="J22" s="123">
        <v>2.6546082258403357E-4</v>
      </c>
      <c r="K22" s="121">
        <v>31011194</v>
      </c>
      <c r="L22" s="120" t="s">
        <v>1222</v>
      </c>
      <c r="M22" s="122">
        <v>3.3719999999999999</v>
      </c>
      <c r="N22" s="122">
        <v>-50277593.060000002</v>
      </c>
      <c r="O22" s="122">
        <v>-1581.17444</v>
      </c>
      <c r="P22" s="123">
        <v>-8.8792841976185292E-5</v>
      </c>
      <c r="Q22" s="123">
        <v>-3.6473624936351769E-3</v>
      </c>
      <c r="R22" s="122">
        <v>10608.335334239999</v>
      </c>
      <c r="S22" s="120" t="s">
        <v>204</v>
      </c>
      <c r="T22" s="120" t="s">
        <v>288</v>
      </c>
      <c r="U22" s="120" t="s">
        <v>746</v>
      </c>
      <c r="V22" s="120" t="s">
        <v>313</v>
      </c>
      <c r="W22" s="120" t="s">
        <v>927</v>
      </c>
      <c r="X22" s="133" t="s">
        <v>2634</v>
      </c>
      <c r="Y22" s="120" t="s">
        <v>338</v>
      </c>
      <c r="Z22" s="124">
        <v>45593</v>
      </c>
      <c r="AA22" s="124">
        <v>45960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11738.873</v>
      </c>
      <c r="AJ22" s="122"/>
      <c r="AK22" s="120"/>
      <c r="AL22" s="123"/>
      <c r="AM22" s="120" t="s">
        <v>2610</v>
      </c>
      <c r="AN22" s="123">
        <v>0.12353376824545012</v>
      </c>
      <c r="AO22" s="123">
        <v>1.7666798060784829E-4</v>
      </c>
    </row>
    <row r="23" spans="1:41" ht="15" customHeight="1">
      <c r="A23" s="121">
        <v>313</v>
      </c>
      <c r="B23" s="121">
        <v>313</v>
      </c>
      <c r="C23" s="120" t="s">
        <v>1020</v>
      </c>
      <c r="D23" s="121">
        <v>76021275</v>
      </c>
      <c r="E23" s="120" t="s">
        <v>1218</v>
      </c>
      <c r="F23" s="122">
        <v>1</v>
      </c>
      <c r="G23" s="122">
        <v>9300000</v>
      </c>
      <c r="H23" s="122">
        <v>7134.03</v>
      </c>
      <c r="I23" s="123">
        <v>1.5593323803712384E-2</v>
      </c>
      <c r="J23" s="123">
        <v>1.1880795940036168E-4</v>
      </c>
      <c r="K23" s="121">
        <v>76021276</v>
      </c>
      <c r="L23" s="120" t="s">
        <v>1218</v>
      </c>
      <c r="M23" s="122">
        <v>1</v>
      </c>
      <c r="N23" s="122">
        <v>-9300000</v>
      </c>
      <c r="O23" s="122">
        <v>-6985.23</v>
      </c>
      <c r="P23" s="123">
        <v>-1.163298895914635E-4</v>
      </c>
      <c r="Q23" s="123">
        <v>-1.6113127854138123E-2</v>
      </c>
      <c r="R23" s="122">
        <v>148.80000000000001</v>
      </c>
      <c r="S23" s="120" t="s">
        <v>204</v>
      </c>
      <c r="T23" s="120" t="s">
        <v>203</v>
      </c>
      <c r="U23" s="120" t="s">
        <v>750</v>
      </c>
      <c r="V23" s="120" t="s">
        <v>313</v>
      </c>
      <c r="W23" s="120" t="s">
        <v>928</v>
      </c>
      <c r="X23" s="120" t="s">
        <v>2602</v>
      </c>
      <c r="Y23" s="120" t="s">
        <v>338</v>
      </c>
      <c r="Z23" s="124">
        <v>45771</v>
      </c>
      <c r="AA23" s="124">
        <v>47491</v>
      </c>
      <c r="AB23" s="120" t="s">
        <v>897</v>
      </c>
      <c r="AC23" s="120" t="s">
        <v>898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2608</v>
      </c>
      <c r="AN23" s="123">
        <v>1.7327718379709278E-3</v>
      </c>
      <c r="AO23" s="123">
        <v>2.4780698088981711E-6</v>
      </c>
    </row>
    <row r="24" spans="1:41" ht="15" customHeight="1">
      <c r="A24" s="121">
        <v>313</v>
      </c>
      <c r="B24" s="121">
        <v>313</v>
      </c>
      <c r="C24" s="120" t="s">
        <v>1016</v>
      </c>
      <c r="D24" s="121">
        <v>31028102</v>
      </c>
      <c r="E24" s="120" t="s">
        <v>1215</v>
      </c>
      <c r="F24" s="122">
        <v>3.9552</v>
      </c>
      <c r="G24" s="122">
        <v>-16968667.260000002</v>
      </c>
      <c r="H24" s="122">
        <v>-16999.25837</v>
      </c>
      <c r="I24" s="123">
        <v>-3.7156409516973993E-2</v>
      </c>
      <c r="J24" s="123">
        <v>-1.1197189524791542E-3</v>
      </c>
      <c r="K24" s="121">
        <v>31028101</v>
      </c>
      <c r="L24" s="120" t="s">
        <v>1218</v>
      </c>
      <c r="M24" s="122">
        <v>1</v>
      </c>
      <c r="N24" s="122">
        <v>65040901.329999998</v>
      </c>
      <c r="O24" s="122">
        <v>65184.519639999999</v>
      </c>
      <c r="P24" s="123">
        <v>1.0855631056949856E-3</v>
      </c>
      <c r="Q24" s="123">
        <v>0.15036391057558554</v>
      </c>
      <c r="R24" s="122">
        <v>-2050.9470799999999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2607</v>
      </c>
      <c r="Y24" s="120" t="s">
        <v>338</v>
      </c>
      <c r="Z24" s="124">
        <v>43498</v>
      </c>
      <c r="AA24" s="124">
        <v>49034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3.8468</v>
      </c>
      <c r="AJ24" s="122"/>
      <c r="AK24" s="120"/>
      <c r="AL24" s="123"/>
      <c r="AM24" s="120" t="s">
        <v>2610</v>
      </c>
      <c r="AN24" s="123">
        <v>-2.3883221380327332E-2</v>
      </c>
      <c r="AO24" s="123">
        <v>-3.4155847033574337E-5</v>
      </c>
    </row>
    <row r="25" spans="1:41" ht="15" customHeight="1">
      <c r="A25" s="121">
        <v>313</v>
      </c>
      <c r="B25" s="121">
        <v>313</v>
      </c>
      <c r="C25" s="120" t="s">
        <v>1020</v>
      </c>
      <c r="D25" s="121">
        <v>76021356</v>
      </c>
      <c r="E25" s="120" t="s">
        <v>1218</v>
      </c>
      <c r="F25" s="122">
        <v>1</v>
      </c>
      <c r="G25" s="122">
        <v>24000000</v>
      </c>
      <c r="H25" s="122">
        <v>18410.400000000001</v>
      </c>
      <c r="I25" s="123">
        <v>4.0240835622483574E-2</v>
      </c>
      <c r="J25" s="123">
        <v>3.0660118554932047E-4</v>
      </c>
      <c r="K25" s="121">
        <v>76021357</v>
      </c>
      <c r="L25" s="120" t="s">
        <v>1218</v>
      </c>
      <c r="M25" s="122">
        <v>1</v>
      </c>
      <c r="N25" s="122">
        <v>-24000000</v>
      </c>
      <c r="O25" s="122">
        <v>-17721.599999999999</v>
      </c>
      <c r="P25" s="123">
        <v>-2.9513012046619502E-4</v>
      </c>
      <c r="Q25" s="123">
        <v>-4.0879170274979365E-2</v>
      </c>
      <c r="R25" s="122">
        <v>688.8</v>
      </c>
      <c r="S25" s="120" t="s">
        <v>204</v>
      </c>
      <c r="T25" s="120" t="s">
        <v>203</v>
      </c>
      <c r="U25" s="120" t="s">
        <v>750</v>
      </c>
      <c r="V25" s="120" t="s">
        <v>313</v>
      </c>
      <c r="W25" s="120" t="s">
        <v>928</v>
      </c>
      <c r="X25" s="120" t="s">
        <v>2602</v>
      </c>
      <c r="Y25" s="120" t="s">
        <v>338</v>
      </c>
      <c r="Z25" s="124">
        <v>45791</v>
      </c>
      <c r="AA25" s="124">
        <v>47521</v>
      </c>
      <c r="AB25" s="120" t="s">
        <v>897</v>
      </c>
      <c r="AC25" s="120" t="s">
        <v>898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2608</v>
      </c>
      <c r="AN25" s="123">
        <v>8.0210567338331647E-3</v>
      </c>
      <c r="AO25" s="123">
        <v>1.1471065083125403E-5</v>
      </c>
    </row>
    <row r="26" spans="1:41" ht="15" customHeight="1">
      <c r="A26" s="121">
        <v>313</v>
      </c>
      <c r="B26" s="121">
        <v>313</v>
      </c>
      <c r="C26" s="120" t="s">
        <v>1016</v>
      </c>
      <c r="D26" s="121">
        <v>31028202</v>
      </c>
      <c r="E26" s="120" t="s">
        <v>1222</v>
      </c>
      <c r="F26" s="122">
        <v>3.3719999999999999</v>
      </c>
      <c r="G26" s="122">
        <v>-4932000</v>
      </c>
      <c r="H26" s="122">
        <v>-4791.6638899999998</v>
      </c>
      <c r="I26" s="123">
        <v>-1.0473458423265122E-2</v>
      </c>
      <c r="J26" s="123">
        <v>-2.6908192026413183E-4</v>
      </c>
      <c r="K26" s="121">
        <v>31028201</v>
      </c>
      <c r="L26" s="120" t="s">
        <v>1218</v>
      </c>
      <c r="M26" s="122">
        <v>1</v>
      </c>
      <c r="N26" s="122">
        <v>17646696</v>
      </c>
      <c r="O26" s="122">
        <v>17330.630440000001</v>
      </c>
      <c r="P26" s="123">
        <v>2.8861903267833079E-4</v>
      </c>
      <c r="Q26" s="123">
        <v>3.9977304122060124E-2</v>
      </c>
      <c r="R26" s="122">
        <v>1173.1398200000001</v>
      </c>
      <c r="S26" s="120" t="s">
        <v>204</v>
      </c>
      <c r="T26" s="120" t="s">
        <v>223</v>
      </c>
      <c r="U26" s="120" t="s">
        <v>745</v>
      </c>
      <c r="V26" s="120" t="s">
        <v>313</v>
      </c>
      <c r="W26" s="120" t="s">
        <v>929</v>
      </c>
      <c r="X26" s="120" t="s">
        <v>2606</v>
      </c>
      <c r="Y26" s="120" t="s">
        <v>338</v>
      </c>
      <c r="Z26" s="124">
        <v>43924</v>
      </c>
      <c r="AA26" s="124">
        <v>47667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3.6360000000000001</v>
      </c>
      <c r="AJ26" s="122"/>
      <c r="AK26" s="120"/>
      <c r="AL26" s="123"/>
      <c r="AM26" s="120" t="s">
        <v>2603</v>
      </c>
      <c r="AN26" s="123">
        <v>1.3661180390445454E-2</v>
      </c>
      <c r="AO26" s="123">
        <v>1.953711269864405E-5</v>
      </c>
    </row>
    <row r="27" spans="1:41" ht="15" customHeight="1">
      <c r="A27" s="121">
        <v>313</v>
      </c>
      <c r="B27" s="121">
        <v>313</v>
      </c>
      <c r="C27" s="120" t="s">
        <v>1020</v>
      </c>
      <c r="D27" s="121">
        <v>76021397</v>
      </c>
      <c r="E27" s="120" t="s">
        <v>1218</v>
      </c>
      <c r="F27" s="122">
        <v>1</v>
      </c>
      <c r="G27" s="122">
        <v>20000000</v>
      </c>
      <c r="H27" s="122">
        <v>14572</v>
      </c>
      <c r="I27" s="123">
        <v>3.1850989478274812E-2</v>
      </c>
      <c r="J27" s="123">
        <v>2.426776428445171E-4</v>
      </c>
      <c r="K27" s="121">
        <v>76021398</v>
      </c>
      <c r="L27" s="120" t="s">
        <v>1218</v>
      </c>
      <c r="M27" s="122">
        <v>1</v>
      </c>
      <c r="N27" s="122">
        <v>-20000000</v>
      </c>
      <c r="O27" s="122">
        <v>-15342</v>
      </c>
      <c r="P27" s="123">
        <v>-2.5550098795776706E-4</v>
      </c>
      <c r="Q27" s="123">
        <v>-3.5390045501463387E-2</v>
      </c>
      <c r="R27" s="122">
        <v>-770</v>
      </c>
      <c r="S27" s="120" t="s">
        <v>204</v>
      </c>
      <c r="T27" s="120" t="s">
        <v>203</v>
      </c>
      <c r="U27" s="120" t="s">
        <v>750</v>
      </c>
      <c r="V27" s="120" t="s">
        <v>313</v>
      </c>
      <c r="W27" s="120" t="s">
        <v>928</v>
      </c>
      <c r="X27" s="120" t="s">
        <v>2602</v>
      </c>
      <c r="Y27" s="120" t="s">
        <v>338</v>
      </c>
      <c r="Z27" s="124">
        <v>45812</v>
      </c>
      <c r="AA27" s="124">
        <v>47549</v>
      </c>
      <c r="AB27" s="120" t="s">
        <v>897</v>
      </c>
      <c r="AC27" s="120" t="s">
        <v>898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2608</v>
      </c>
      <c r="AN27" s="123">
        <v>-8.966628462618375E-3</v>
      </c>
      <c r="AO27" s="123">
        <v>-1.2823345113249943E-5</v>
      </c>
    </row>
    <row r="28" spans="1:41" ht="15" customHeight="1">
      <c r="A28" s="121">
        <v>313</v>
      </c>
      <c r="B28" s="121">
        <v>313</v>
      </c>
      <c r="C28" s="120" t="s">
        <v>1016</v>
      </c>
      <c r="D28" s="121">
        <v>31028302</v>
      </c>
      <c r="E28" s="120" t="s">
        <v>1215</v>
      </c>
      <c r="F28" s="122">
        <v>3.9552</v>
      </c>
      <c r="G28" s="122">
        <v>-27500257.190000001</v>
      </c>
      <c r="H28" s="122">
        <v>-27548.187389999999</v>
      </c>
      <c r="I28" s="123">
        <v>-6.0213905208923474E-2</v>
      </c>
      <c r="J28" s="123">
        <v>-1.814563133028623E-3</v>
      </c>
      <c r="K28" s="121">
        <v>31028301</v>
      </c>
      <c r="L28" s="120" t="s">
        <v>1218</v>
      </c>
      <c r="M28" s="122">
        <v>1</v>
      </c>
      <c r="N28" s="122">
        <v>105463488.29000001</v>
      </c>
      <c r="O28" s="122">
        <v>105680.51549000001</v>
      </c>
      <c r="P28" s="123">
        <v>1.759971067369385E-3</v>
      </c>
      <c r="Q28" s="123">
        <v>0.24377775073714028</v>
      </c>
      <c r="R28" s="122">
        <v>-3278.0752699999998</v>
      </c>
      <c r="S28" s="120" t="s">
        <v>204</v>
      </c>
      <c r="T28" s="120" t="s">
        <v>223</v>
      </c>
      <c r="U28" s="120" t="s">
        <v>745</v>
      </c>
      <c r="V28" s="120" t="s">
        <v>313</v>
      </c>
      <c r="W28" s="120" t="s">
        <v>929</v>
      </c>
      <c r="X28" s="120" t="s">
        <v>2607</v>
      </c>
      <c r="Y28" s="120" t="s">
        <v>338</v>
      </c>
      <c r="Z28" s="124">
        <v>44208</v>
      </c>
      <c r="AA28" s="124">
        <v>51317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3.8403</v>
      </c>
      <c r="AJ28" s="122"/>
      <c r="AK28" s="120"/>
      <c r="AL28" s="123"/>
      <c r="AM28" s="120" t="s">
        <v>2610</v>
      </c>
      <c r="AN28" s="123">
        <v>-3.8173094829334307E-2</v>
      </c>
      <c r="AO28" s="123">
        <v>-5.4592065577168812E-5</v>
      </c>
    </row>
    <row r="29" spans="1:41" ht="15" customHeight="1">
      <c r="A29" s="121">
        <v>313</v>
      </c>
      <c r="B29" s="121">
        <v>313</v>
      </c>
      <c r="C29" s="120" t="s">
        <v>1016</v>
      </c>
      <c r="D29" s="121">
        <v>31028402</v>
      </c>
      <c r="E29" s="120" t="s">
        <v>1222</v>
      </c>
      <c r="F29" s="122">
        <v>3.3719999999999999</v>
      </c>
      <c r="G29" s="122">
        <v>-6500000</v>
      </c>
      <c r="H29" s="122">
        <v>-6623.3946999999998</v>
      </c>
      <c r="I29" s="123">
        <v>-1.4477194269843615E-2</v>
      </c>
      <c r="J29" s="123">
        <v>-3.7194507074311372E-4</v>
      </c>
      <c r="K29" s="121">
        <v>31028401</v>
      </c>
      <c r="L29" s="120" t="s">
        <v>1218</v>
      </c>
      <c r="M29" s="122">
        <v>1</v>
      </c>
      <c r="N29" s="122">
        <v>21599500</v>
      </c>
      <c r="O29" s="122">
        <v>21898.214520000001</v>
      </c>
      <c r="P29" s="123">
        <v>3.6468618461550775E-4</v>
      </c>
      <c r="Q29" s="123">
        <v>5.0513545056942132E-2</v>
      </c>
      <c r="R29" s="122">
        <v>-435.87241</v>
      </c>
      <c r="S29" s="120" t="s">
        <v>204</v>
      </c>
      <c r="T29" s="120" t="s">
        <v>203</v>
      </c>
      <c r="U29" s="120" t="s">
        <v>745</v>
      </c>
      <c r="V29" s="120" t="s">
        <v>313</v>
      </c>
      <c r="W29" s="120" t="s">
        <v>929</v>
      </c>
      <c r="X29" s="120" t="s">
        <v>2606</v>
      </c>
      <c r="Y29" s="120" t="s">
        <v>338</v>
      </c>
      <c r="Z29" s="124">
        <v>44279</v>
      </c>
      <c r="AA29" s="124">
        <v>46111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3.2949999999999999</v>
      </c>
      <c r="AJ29" s="122"/>
      <c r="AK29" s="120"/>
      <c r="AL29" s="123"/>
      <c r="AM29" s="120" t="s">
        <v>2609</v>
      </c>
      <c r="AN29" s="123">
        <v>-5.07572202282606E-3</v>
      </c>
      <c r="AO29" s="123">
        <v>-7.2588861542519165E-6</v>
      </c>
    </row>
    <row r="30" spans="1:41" ht="15" customHeight="1">
      <c r="A30" s="121">
        <v>313</v>
      </c>
      <c r="B30" s="121">
        <v>313</v>
      </c>
      <c r="C30" s="120" t="s">
        <v>1016</v>
      </c>
      <c r="D30" s="121">
        <v>31028502</v>
      </c>
      <c r="E30" s="120" t="s">
        <v>1222</v>
      </c>
      <c r="F30" s="122">
        <v>3.3719999999999999</v>
      </c>
      <c r="G30" s="122">
        <v>-4000000</v>
      </c>
      <c r="H30" s="122">
        <v>-4263.0856000000003</v>
      </c>
      <c r="I30" s="123">
        <v>-9.3181097028949278E-3</v>
      </c>
      <c r="J30" s="123">
        <v>-2.3939894070875006E-4</v>
      </c>
      <c r="K30" s="121">
        <v>31028501</v>
      </c>
      <c r="L30" s="120" t="s">
        <v>1218</v>
      </c>
      <c r="M30" s="122">
        <v>1</v>
      </c>
      <c r="N30" s="122">
        <v>13292000</v>
      </c>
      <c r="O30" s="122">
        <v>13965.29904</v>
      </c>
      <c r="P30" s="123">
        <v>2.3257383012942613E-4</v>
      </c>
      <c r="Q30" s="123">
        <v>3.2214350701808295E-2</v>
      </c>
      <c r="R30" s="122">
        <v>-409.82560000000001</v>
      </c>
      <c r="S30" s="120" t="s">
        <v>204</v>
      </c>
      <c r="T30" s="120" t="s">
        <v>203</v>
      </c>
      <c r="U30" s="120" t="s">
        <v>745</v>
      </c>
      <c r="V30" s="120" t="s">
        <v>313</v>
      </c>
      <c r="W30" s="120" t="s">
        <v>929</v>
      </c>
      <c r="X30" s="120" t="s">
        <v>2606</v>
      </c>
      <c r="Y30" s="120" t="s">
        <v>338</v>
      </c>
      <c r="Z30" s="124">
        <v>44279</v>
      </c>
      <c r="AA30" s="124">
        <v>46842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3.2949999999999999</v>
      </c>
      <c r="AJ30" s="122"/>
      <c r="AK30" s="120"/>
      <c r="AL30" s="123"/>
      <c r="AM30" s="120" t="s">
        <v>2609</v>
      </c>
      <c r="AN30" s="123">
        <v>-4.7724076489216276E-3</v>
      </c>
      <c r="AO30" s="123">
        <v>-6.8251105260321114E-6</v>
      </c>
    </row>
    <row r="31" spans="1:41" ht="15" customHeight="1">
      <c r="A31" s="121">
        <v>313</v>
      </c>
      <c r="B31" s="121">
        <v>313</v>
      </c>
      <c r="C31" s="120" t="s">
        <v>1020</v>
      </c>
      <c r="D31" s="121">
        <v>76021036</v>
      </c>
      <c r="E31" s="120" t="s">
        <v>1218</v>
      </c>
      <c r="F31" s="122">
        <v>1</v>
      </c>
      <c r="G31" s="122">
        <v>32000000</v>
      </c>
      <c r="H31" s="122">
        <v>30441.599999999999</v>
      </c>
      <c r="I31" s="123">
        <v>6.6538229570535998E-2</v>
      </c>
      <c r="J31" s="123">
        <v>5.0696512025910319E-4</v>
      </c>
      <c r="K31" s="121">
        <v>76021037</v>
      </c>
      <c r="L31" s="120" t="s">
        <v>1218</v>
      </c>
      <c r="M31" s="122">
        <v>1</v>
      </c>
      <c r="N31" s="122">
        <v>-32000000</v>
      </c>
      <c r="O31" s="122">
        <v>-31081.599999999999</v>
      </c>
      <c r="P31" s="123">
        <v>-5.1762348502855761E-4</v>
      </c>
      <c r="Q31" s="123">
        <v>-7.1697251874480783E-2</v>
      </c>
      <c r="R31" s="122">
        <v>-640</v>
      </c>
      <c r="S31" s="120" t="s">
        <v>204</v>
      </c>
      <c r="T31" s="120" t="s">
        <v>203</v>
      </c>
      <c r="U31" s="120" t="s">
        <v>750</v>
      </c>
      <c r="V31" s="120" t="s">
        <v>313</v>
      </c>
      <c r="W31" s="120" t="s">
        <v>928</v>
      </c>
      <c r="X31" s="120" t="s">
        <v>2602</v>
      </c>
      <c r="Y31" s="120" t="s">
        <v>338</v>
      </c>
      <c r="Z31" s="124">
        <v>45714</v>
      </c>
      <c r="AA31" s="124">
        <v>47185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2608</v>
      </c>
      <c r="AN31" s="123">
        <v>-7.4527820987996887E-3</v>
      </c>
      <c r="AO31" s="123">
        <v>-1.0658364769454498E-5</v>
      </c>
    </row>
    <row r="32" spans="1:41" ht="15" customHeight="1">
      <c r="A32" s="121">
        <v>313</v>
      </c>
      <c r="B32" s="121">
        <v>313</v>
      </c>
      <c r="C32" s="120" t="s">
        <v>1020</v>
      </c>
      <c r="D32" s="121">
        <v>76020924</v>
      </c>
      <c r="E32" s="120" t="s">
        <v>1218</v>
      </c>
      <c r="F32" s="122">
        <v>1</v>
      </c>
      <c r="G32" s="122">
        <v>9266000</v>
      </c>
      <c r="H32" s="122">
        <v>9130.7163999999993</v>
      </c>
      <c r="I32" s="123">
        <v>1.9957614053356523E-2</v>
      </c>
      <c r="J32" s="123">
        <v>1.5206016562131311E-4</v>
      </c>
      <c r="K32" s="121">
        <v>76020925</v>
      </c>
      <c r="L32" s="120" t="s">
        <v>1218</v>
      </c>
      <c r="M32" s="122">
        <v>1</v>
      </c>
      <c r="N32" s="122">
        <v>-9266000</v>
      </c>
      <c r="O32" s="122">
        <v>-9038.9830000000002</v>
      </c>
      <c r="P32" s="123">
        <v>-1.5053246556077831E-4</v>
      </c>
      <c r="Q32" s="123">
        <v>-2.0850607460367227E-2</v>
      </c>
      <c r="R32" s="122">
        <v>91.733400000000003</v>
      </c>
      <c r="S32" s="120" t="s">
        <v>204</v>
      </c>
      <c r="T32" s="120" t="s">
        <v>203</v>
      </c>
      <c r="U32" s="120" t="s">
        <v>750</v>
      </c>
      <c r="V32" s="120" t="s">
        <v>313</v>
      </c>
      <c r="W32" s="120" t="s">
        <v>928</v>
      </c>
      <c r="X32" s="120" t="s">
        <v>2602</v>
      </c>
      <c r="Y32" s="120" t="s">
        <v>338</v>
      </c>
      <c r="Z32" s="124">
        <v>45680</v>
      </c>
      <c r="AA32" s="124">
        <v>45971</v>
      </c>
      <c r="AB32" s="120" t="s">
        <v>897</v>
      </c>
      <c r="AC32" s="120" t="s">
        <v>898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2608</v>
      </c>
      <c r="AN32" s="123">
        <v>1.068232877159424E-3</v>
      </c>
      <c r="AO32" s="123">
        <v>1.5277000605348081E-6</v>
      </c>
    </row>
    <row r="33" spans="1:41" ht="15" customHeight="1">
      <c r="A33" s="121">
        <v>313</v>
      </c>
      <c r="B33" s="121">
        <v>313</v>
      </c>
      <c r="C33" s="120" t="s">
        <v>1020</v>
      </c>
      <c r="D33" s="121">
        <v>76020940</v>
      </c>
      <c r="E33" s="120" t="s">
        <v>1218</v>
      </c>
      <c r="F33" s="122">
        <v>1</v>
      </c>
      <c r="G33" s="122">
        <v>18532000</v>
      </c>
      <c r="H33" s="122">
        <v>18261.432799999999</v>
      </c>
      <c r="I33" s="123">
        <v>3.9915228106713045E-2</v>
      </c>
      <c r="J33" s="123">
        <v>3.0412033124262622E-4</v>
      </c>
      <c r="K33" s="121">
        <v>76020941</v>
      </c>
      <c r="L33" s="120" t="s">
        <v>1218</v>
      </c>
      <c r="M33" s="122">
        <v>1</v>
      </c>
      <c r="N33" s="122">
        <v>-18532000</v>
      </c>
      <c r="O33" s="122">
        <v>-18241.047600000002</v>
      </c>
      <c r="P33" s="123">
        <v>-3.0378084234028522E-4</v>
      </c>
      <c r="Q33" s="123">
        <v>-4.2077402200388442E-2</v>
      </c>
      <c r="R33" s="122">
        <v>20.385200000000001</v>
      </c>
      <c r="S33" s="120" t="s">
        <v>204</v>
      </c>
      <c r="T33" s="120" t="s">
        <v>203</v>
      </c>
      <c r="U33" s="120" t="s">
        <v>750</v>
      </c>
      <c r="V33" s="120" t="s">
        <v>313</v>
      </c>
      <c r="W33" s="120" t="s">
        <v>928</v>
      </c>
      <c r="X33" s="120" t="s">
        <v>2602</v>
      </c>
      <c r="Y33" s="120" t="s">
        <v>338</v>
      </c>
      <c r="Z33" s="124">
        <v>45678</v>
      </c>
      <c r="AA33" s="124">
        <v>45971</v>
      </c>
      <c r="AB33" s="120" t="s">
        <v>897</v>
      </c>
      <c r="AC33" s="120" t="s">
        <v>898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2608</v>
      </c>
      <c r="AN33" s="123">
        <v>2.3738508381320535E-4</v>
      </c>
      <c r="AO33" s="123">
        <v>3.3948890234106848E-7</v>
      </c>
    </row>
    <row r="34" spans="1:41" ht="15" customHeight="1">
      <c r="A34" s="121">
        <v>313</v>
      </c>
      <c r="B34" s="121">
        <v>313</v>
      </c>
      <c r="C34" s="120" t="s">
        <v>1022</v>
      </c>
      <c r="D34" s="121">
        <v>31011195</v>
      </c>
      <c r="E34" s="120" t="s">
        <v>1222</v>
      </c>
      <c r="F34" s="122">
        <v>3.3719999999999999</v>
      </c>
      <c r="G34" s="122">
        <v>4381</v>
      </c>
      <c r="H34" s="122">
        <v>4288.2848999999997</v>
      </c>
      <c r="I34" s="123">
        <v>9.3731894887280221E-3</v>
      </c>
      <c r="J34" s="123">
        <v>2.4081403913572087E-4</v>
      </c>
      <c r="K34" s="121">
        <v>31011196</v>
      </c>
      <c r="L34" s="120" t="s">
        <v>1222</v>
      </c>
      <c r="M34" s="122">
        <v>3.3719999999999999</v>
      </c>
      <c r="N34" s="122">
        <v>-51975062.460000001</v>
      </c>
      <c r="O34" s="122">
        <v>-1569.50107</v>
      </c>
      <c r="P34" s="123">
        <v>-8.8137309182637514E-5</v>
      </c>
      <c r="Q34" s="123">
        <v>-3.6204350333656284E-3</v>
      </c>
      <c r="R34" s="122">
        <v>9167.7390747599984</v>
      </c>
      <c r="S34" s="120" t="s">
        <v>204</v>
      </c>
      <c r="T34" s="120" t="s">
        <v>288</v>
      </c>
      <c r="U34" s="120" t="s">
        <v>746</v>
      </c>
      <c r="V34" s="120" t="s">
        <v>313</v>
      </c>
      <c r="W34" s="120" t="s">
        <v>927</v>
      </c>
      <c r="X34" s="133" t="s">
        <v>2634</v>
      </c>
      <c r="Y34" s="120" t="s">
        <v>338</v>
      </c>
      <c r="Z34" s="124">
        <v>45617</v>
      </c>
      <c r="AA34" s="124">
        <v>45979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11863.744000000001</v>
      </c>
      <c r="AJ34" s="122"/>
      <c r="AK34" s="120"/>
      <c r="AL34" s="123"/>
      <c r="AM34" s="120" t="s">
        <v>2610</v>
      </c>
      <c r="AN34" s="123">
        <v>0.10675806509818397</v>
      </c>
      <c r="AO34" s="123">
        <v>1.5267672995308336E-4</v>
      </c>
    </row>
    <row r="35" spans="1:41" ht="15" customHeight="1">
      <c r="A35" s="121">
        <v>313</v>
      </c>
      <c r="B35" s="121">
        <v>313</v>
      </c>
      <c r="C35" s="120" t="s">
        <v>1016</v>
      </c>
      <c r="D35" s="121">
        <v>31009802</v>
      </c>
      <c r="E35" s="120" t="s">
        <v>1222</v>
      </c>
      <c r="F35" s="122">
        <v>3.3719999999999999</v>
      </c>
      <c r="G35" s="122">
        <v>-15000000</v>
      </c>
      <c r="H35" s="122">
        <v>-15934.210499999999</v>
      </c>
      <c r="I35" s="123">
        <v>-3.4828463558888009E-2</v>
      </c>
      <c r="J35" s="123">
        <v>-8.9480565783859516E-4</v>
      </c>
      <c r="K35" s="121">
        <v>31009801</v>
      </c>
      <c r="L35" s="120" t="s">
        <v>1218</v>
      </c>
      <c r="M35" s="122">
        <v>1</v>
      </c>
      <c r="N35" s="122">
        <v>51562500</v>
      </c>
      <c r="O35" s="122">
        <v>54814.229299999999</v>
      </c>
      <c r="P35" s="123">
        <v>9.1285945380612573E-4</v>
      </c>
      <c r="Q35" s="123">
        <v>0.12644231971416031</v>
      </c>
      <c r="R35" s="122">
        <v>1084.07149</v>
      </c>
      <c r="S35" s="120" t="s">
        <v>204</v>
      </c>
      <c r="T35" s="120" t="s">
        <v>237</v>
      </c>
      <c r="U35" s="120" t="s">
        <v>745</v>
      </c>
      <c r="V35" s="120" t="s">
        <v>313</v>
      </c>
      <c r="W35" s="120" t="s">
        <v>929</v>
      </c>
      <c r="X35" s="120" t="s">
        <v>2606</v>
      </c>
      <c r="Y35" s="120" t="s">
        <v>338</v>
      </c>
      <c r="Z35" s="124">
        <v>41816</v>
      </c>
      <c r="AA35" s="124">
        <v>46660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3.4319999999999999</v>
      </c>
      <c r="AJ35" s="122"/>
      <c r="AK35" s="120"/>
      <c r="AL35" s="123"/>
      <c r="AM35" s="120" t="s">
        <v>2608</v>
      </c>
      <c r="AN35" s="123">
        <v>1.2623982178892353E-2</v>
      </c>
      <c r="AO35" s="123">
        <v>1.8053795900915694E-5</v>
      </c>
    </row>
    <row r="36" spans="1:41" ht="15" customHeight="1">
      <c r="A36" s="121">
        <v>313</v>
      </c>
      <c r="B36" s="121">
        <v>313</v>
      </c>
      <c r="C36" s="120" t="s">
        <v>1016</v>
      </c>
      <c r="D36" s="121">
        <v>31010403</v>
      </c>
      <c r="E36" s="120" t="s">
        <v>1218</v>
      </c>
      <c r="F36" s="122">
        <v>1</v>
      </c>
      <c r="G36" s="122">
        <v>36450000</v>
      </c>
      <c r="H36" s="122">
        <v>45570.146540000002</v>
      </c>
      <c r="I36" s="123">
        <v>9.960569983317194E-2</v>
      </c>
      <c r="J36" s="123">
        <v>7.5891131940752313E-4</v>
      </c>
      <c r="K36" s="121">
        <v>310104030</v>
      </c>
      <c r="L36" s="120" t="s">
        <v>1218</v>
      </c>
      <c r="M36" s="122">
        <v>1</v>
      </c>
      <c r="N36" s="122">
        <v>-36450000</v>
      </c>
      <c r="O36" s="122">
        <v>-46590.845000000001</v>
      </c>
      <c r="P36" s="123">
        <v>-7.7590972019861762E-4</v>
      </c>
      <c r="Q36" s="123">
        <v>-0.10747308854788344</v>
      </c>
      <c r="R36" s="122">
        <v>-1020.69846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2602</v>
      </c>
      <c r="Y36" s="120" t="s">
        <v>338</v>
      </c>
      <c r="Z36" s="124">
        <v>45036</v>
      </c>
      <c r="AA36" s="124">
        <v>48689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2612</v>
      </c>
      <c r="AN36" s="123">
        <v>-1.1886005017125641E-2</v>
      </c>
      <c r="AO36" s="123">
        <v>-1.6998400791094471E-5</v>
      </c>
    </row>
    <row r="37" spans="1:41" ht="15" customHeight="1">
      <c r="A37" s="121">
        <v>313</v>
      </c>
      <c r="B37" s="121">
        <v>313</v>
      </c>
      <c r="C37" s="120" t="s">
        <v>1016</v>
      </c>
      <c r="D37" s="121">
        <v>31008402</v>
      </c>
      <c r="E37" s="120" t="s">
        <v>1222</v>
      </c>
      <c r="F37" s="122">
        <v>3.3719999999999999</v>
      </c>
      <c r="G37" s="122">
        <v>-2500000</v>
      </c>
      <c r="H37" s="122">
        <v>-2759.3465000000001</v>
      </c>
      <c r="I37" s="123">
        <v>-6.0312871492186684E-3</v>
      </c>
      <c r="J37" s="123">
        <v>-1.5495457777071073E-4</v>
      </c>
      <c r="K37" s="121">
        <v>31008401</v>
      </c>
      <c r="L37" s="120" t="s">
        <v>1218</v>
      </c>
      <c r="M37" s="122">
        <v>1</v>
      </c>
      <c r="N37" s="122">
        <v>8757500</v>
      </c>
      <c r="O37" s="122">
        <v>9902.7076300000008</v>
      </c>
      <c r="P37" s="123">
        <v>1.649166720715629E-4</v>
      </c>
      <c r="Q37" s="123">
        <v>2.2842997889022856E-2</v>
      </c>
      <c r="R37" s="122">
        <v>598.19123000000002</v>
      </c>
      <c r="S37" s="120" t="s">
        <v>204</v>
      </c>
      <c r="T37" s="120" t="s">
        <v>237</v>
      </c>
      <c r="U37" s="120" t="s">
        <v>745</v>
      </c>
      <c r="V37" s="120" t="s">
        <v>313</v>
      </c>
      <c r="W37" s="120" t="s">
        <v>929</v>
      </c>
      <c r="X37" s="120" t="s">
        <v>2606</v>
      </c>
      <c r="Y37" s="120" t="s">
        <v>338</v>
      </c>
      <c r="Z37" s="124">
        <v>41648</v>
      </c>
      <c r="AA37" s="124">
        <v>46736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3.5030000000000001</v>
      </c>
      <c r="AJ37" s="122"/>
      <c r="AK37" s="120"/>
      <c r="AL37" s="123"/>
      <c r="AM37" s="120" t="s">
        <v>2608</v>
      </c>
      <c r="AN37" s="123">
        <v>6.9659201415671369E-3</v>
      </c>
      <c r="AO37" s="123">
        <v>9.9620942675447696E-6</v>
      </c>
    </row>
    <row r="38" spans="1:41" ht="15" customHeight="1">
      <c r="A38" s="121">
        <v>313</v>
      </c>
      <c r="B38" s="121">
        <v>313</v>
      </c>
      <c r="C38" s="120" t="s">
        <v>1018</v>
      </c>
      <c r="D38" s="121">
        <v>76009030</v>
      </c>
      <c r="E38" s="120" t="s">
        <v>1222</v>
      </c>
      <c r="F38" s="122">
        <v>3.3719999999999999</v>
      </c>
      <c r="G38" s="122">
        <v>-1772000</v>
      </c>
      <c r="H38" s="122">
        <v>-1772</v>
      </c>
      <c r="I38" s="123">
        <v>-3.8731782428975412E-3</v>
      </c>
      <c r="J38" s="123">
        <v>-9.9508891619700323E-5</v>
      </c>
      <c r="K38" s="121">
        <v>760090300</v>
      </c>
      <c r="L38" s="120" t="s">
        <v>1218</v>
      </c>
      <c r="M38" s="122">
        <v>1</v>
      </c>
      <c r="N38" s="122">
        <v>1772000</v>
      </c>
      <c r="O38" s="122">
        <v>5627.1529099999998</v>
      </c>
      <c r="P38" s="123">
        <v>9.3712888012933369E-5</v>
      </c>
      <c r="Q38" s="123">
        <v>1.298039352943502E-2</v>
      </c>
      <c r="R38" s="122">
        <v>-348.03109000000001</v>
      </c>
      <c r="S38" s="120" t="s">
        <v>204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2606</v>
      </c>
      <c r="Y38" s="120" t="s">
        <v>338</v>
      </c>
      <c r="Z38" s="124">
        <v>44279</v>
      </c>
      <c r="AA38" s="124">
        <v>46661</v>
      </c>
      <c r="AB38" s="120" t="s">
        <v>897</v>
      </c>
      <c r="AC38" s="120" t="s">
        <v>898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3.2949999999999999</v>
      </c>
      <c r="AJ38" s="122"/>
      <c r="AK38" s="120"/>
      <c r="AL38" s="123"/>
      <c r="AM38" s="120" t="s">
        <v>2609</v>
      </c>
      <c r="AN38" s="123">
        <v>-4.0528123084027246E-3</v>
      </c>
      <c r="AO38" s="123">
        <v>-5.7960036067669492E-6</v>
      </c>
    </row>
    <row r="39" spans="1:41" ht="15" customHeight="1">
      <c r="A39" s="121">
        <v>313</v>
      </c>
      <c r="B39" s="121">
        <v>313</v>
      </c>
      <c r="C39" s="120" t="s">
        <v>1018</v>
      </c>
      <c r="D39" s="121">
        <v>76018532</v>
      </c>
      <c r="E39" s="120" t="s">
        <v>1222</v>
      </c>
      <c r="F39" s="122">
        <v>3.3719999999999999</v>
      </c>
      <c r="G39" s="122">
        <v>-16000000</v>
      </c>
      <c r="H39" s="122">
        <v>-16000</v>
      </c>
      <c r="I39" s="123">
        <v>-3.4972264044221588E-2</v>
      </c>
      <c r="J39" s="123">
        <v>-8.9850015006501412E-4</v>
      </c>
      <c r="K39" s="121">
        <v>760185320</v>
      </c>
      <c r="L39" s="120" t="s">
        <v>1218</v>
      </c>
      <c r="M39" s="122">
        <v>1</v>
      </c>
      <c r="N39" s="122">
        <v>16000000</v>
      </c>
      <c r="O39" s="122">
        <v>59025.639040000002</v>
      </c>
      <c r="P39" s="123">
        <v>9.8299498693511572E-4</v>
      </c>
      <c r="Q39" s="123">
        <v>0.13615695811358061</v>
      </c>
      <c r="R39" s="122">
        <v>5073.63904</v>
      </c>
      <c r="S39" s="120" t="s">
        <v>204</v>
      </c>
      <c r="T39" s="120" t="s">
        <v>232</v>
      </c>
      <c r="U39" s="120" t="s">
        <v>745</v>
      </c>
      <c r="V39" s="120" t="s">
        <v>313</v>
      </c>
      <c r="W39" s="120" t="s">
        <v>929</v>
      </c>
      <c r="X39" s="120" t="s">
        <v>2606</v>
      </c>
      <c r="Y39" s="120" t="s">
        <v>338</v>
      </c>
      <c r="Z39" s="124">
        <v>45269</v>
      </c>
      <c r="AA39" s="124">
        <v>45986</v>
      </c>
      <c r="AB39" s="120" t="s">
        <v>897</v>
      </c>
      <c r="AC39" s="120" t="s">
        <v>898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3.698</v>
      </c>
      <c r="AJ39" s="122"/>
      <c r="AK39" s="120"/>
      <c r="AL39" s="123"/>
      <c r="AM39" s="120" t="s">
        <v>2609</v>
      </c>
      <c r="AN39" s="123">
        <v>5.908238470794256E-2</v>
      </c>
      <c r="AO39" s="123">
        <v>8.4494836870101464E-5</v>
      </c>
    </row>
    <row r="40" spans="1:41" ht="15" customHeight="1">
      <c r="A40" s="121">
        <v>313</v>
      </c>
      <c r="B40" s="121">
        <v>313</v>
      </c>
      <c r="C40" s="120" t="s">
        <v>1018</v>
      </c>
      <c r="D40" s="121">
        <v>76021161</v>
      </c>
      <c r="E40" s="120" t="s">
        <v>1215</v>
      </c>
      <c r="F40" s="122">
        <v>3.9552</v>
      </c>
      <c r="G40" s="122">
        <v>-11500000</v>
      </c>
      <c r="H40" s="122">
        <v>-11500</v>
      </c>
      <c r="I40" s="123">
        <v>-2.5136314781784269E-2</v>
      </c>
      <c r="J40" s="123">
        <v>-7.574899841651312E-4</v>
      </c>
      <c r="K40" s="121">
        <v>760211610</v>
      </c>
      <c r="L40" s="120" t="s">
        <v>1218</v>
      </c>
      <c r="M40" s="122">
        <v>1</v>
      </c>
      <c r="N40" s="122">
        <v>11500000</v>
      </c>
      <c r="O40" s="122">
        <v>45612.639310000006</v>
      </c>
      <c r="P40" s="123">
        <v>7.5961898103678023E-4</v>
      </c>
      <c r="Q40" s="123">
        <v>0.10521661977726096</v>
      </c>
      <c r="R40" s="122">
        <v>127.83931</v>
      </c>
      <c r="S40" s="120" t="s">
        <v>204</v>
      </c>
      <c r="T40" s="120" t="s">
        <v>223</v>
      </c>
      <c r="U40" s="120" t="s">
        <v>745</v>
      </c>
      <c r="V40" s="120" t="s">
        <v>313</v>
      </c>
      <c r="W40" s="120" t="s">
        <v>929</v>
      </c>
      <c r="X40" s="120" t="s">
        <v>2607</v>
      </c>
      <c r="Y40" s="120" t="s">
        <v>338</v>
      </c>
      <c r="Z40" s="124">
        <v>45741</v>
      </c>
      <c r="AA40" s="124">
        <v>46108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3.9676</v>
      </c>
      <c r="AJ40" s="122"/>
      <c r="AK40" s="120"/>
      <c r="AL40" s="123"/>
      <c r="AM40" s="120" t="s">
        <v>2610</v>
      </c>
      <c r="AN40" s="123">
        <v>1.4886851892045377E-3</v>
      </c>
      <c r="AO40" s="123">
        <v>2.1289968716490187E-6</v>
      </c>
    </row>
    <row r="41" spans="1:41" ht="15" customHeight="1">
      <c r="A41" s="121">
        <v>313</v>
      </c>
      <c r="B41" s="121">
        <v>313</v>
      </c>
      <c r="C41" s="120" t="s">
        <v>1016</v>
      </c>
      <c r="D41" s="121">
        <v>31010404</v>
      </c>
      <c r="E41" s="120" t="s">
        <v>1218</v>
      </c>
      <c r="F41" s="122">
        <v>1</v>
      </c>
      <c r="G41" s="122">
        <v>24800000</v>
      </c>
      <c r="H41" s="122">
        <v>30950.140230000001</v>
      </c>
      <c r="I41" s="123">
        <v>6.7649779770577831E-2</v>
      </c>
      <c r="J41" s="123">
        <v>5.1543419412048179E-4</v>
      </c>
      <c r="K41" s="121">
        <v>310104040</v>
      </c>
      <c r="L41" s="120" t="s">
        <v>1218</v>
      </c>
      <c r="M41" s="122">
        <v>1</v>
      </c>
      <c r="N41" s="122">
        <v>-24800000</v>
      </c>
      <c r="O41" s="122">
        <v>-31823.611000000001</v>
      </c>
      <c r="P41" s="123">
        <v>-5.2998070987378843E-4</v>
      </c>
      <c r="Q41" s="123">
        <v>-7.3408880283592146E-2</v>
      </c>
      <c r="R41" s="122">
        <v>-873.47077000000002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2602</v>
      </c>
      <c r="Y41" s="120" t="s">
        <v>338</v>
      </c>
      <c r="Z41" s="124">
        <v>45036</v>
      </c>
      <c r="AA41" s="124">
        <v>48715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2612</v>
      </c>
      <c r="AN41" s="123">
        <v>-1.017154268512622E-2</v>
      </c>
      <c r="AO41" s="123">
        <v>-1.4546515753306708E-5</v>
      </c>
    </row>
    <row r="42" spans="1:41" ht="15" customHeight="1">
      <c r="A42" s="121">
        <v>313</v>
      </c>
      <c r="B42" s="121">
        <v>313</v>
      </c>
      <c r="C42" s="120" t="s">
        <v>1016</v>
      </c>
      <c r="D42" s="121">
        <v>31010402</v>
      </c>
      <c r="E42" s="120" t="s">
        <v>1218</v>
      </c>
      <c r="F42" s="122">
        <v>1</v>
      </c>
      <c r="G42" s="122">
        <v>30600000</v>
      </c>
      <c r="H42" s="122">
        <v>39108.536850000004</v>
      </c>
      <c r="I42" s="123">
        <v>8.5482129818835642E-2</v>
      </c>
      <c r="J42" s="123">
        <v>6.5130164272961407E-4</v>
      </c>
      <c r="K42" s="121">
        <v>310104020</v>
      </c>
      <c r="L42" s="120" t="s">
        <v>1218</v>
      </c>
      <c r="M42" s="122">
        <v>1</v>
      </c>
      <c r="N42" s="122">
        <v>-30600000</v>
      </c>
      <c r="O42" s="122">
        <v>-38638.851000000002</v>
      </c>
      <c r="P42" s="123">
        <v>-6.4347963786031521E-4</v>
      </c>
      <c r="Q42" s="123">
        <v>-8.9129884957258765E-2</v>
      </c>
      <c r="R42" s="122">
        <v>469.68585000000002</v>
      </c>
      <c r="S42" s="120" t="s">
        <v>204</v>
      </c>
      <c r="T42" s="120" t="s">
        <v>203</v>
      </c>
      <c r="U42" s="120" t="s">
        <v>743</v>
      </c>
      <c r="V42" s="120" t="s">
        <v>313</v>
      </c>
      <c r="W42" s="120" t="s">
        <v>927</v>
      </c>
      <c r="X42" s="120" t="s">
        <v>2602</v>
      </c>
      <c r="Y42" s="120" t="s">
        <v>338</v>
      </c>
      <c r="Z42" s="124">
        <v>44636</v>
      </c>
      <c r="AA42" s="124">
        <v>48289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2612</v>
      </c>
      <c r="AN42" s="123">
        <v>5.4694785858429937E-3</v>
      </c>
      <c r="AO42" s="123">
        <v>7.8220048692988904E-6</v>
      </c>
    </row>
    <row r="43" spans="1:41" ht="15" customHeight="1">
      <c r="A43" s="121">
        <v>313</v>
      </c>
      <c r="B43" s="121">
        <v>313</v>
      </c>
      <c r="C43" s="120" t="s">
        <v>1016</v>
      </c>
      <c r="D43" s="121">
        <v>31009600</v>
      </c>
      <c r="E43" s="120" t="s">
        <v>1218</v>
      </c>
      <c r="F43" s="122">
        <v>1</v>
      </c>
      <c r="G43" s="122">
        <v>48840000</v>
      </c>
      <c r="H43" s="122">
        <v>61091.097170000001</v>
      </c>
      <c r="I43" s="123">
        <v>0.1335308738112774</v>
      </c>
      <c r="J43" s="123">
        <v>1.0173924965688271E-3</v>
      </c>
      <c r="K43" s="121">
        <v>310096000</v>
      </c>
      <c r="L43" s="120" t="s">
        <v>1218</v>
      </c>
      <c r="M43" s="122">
        <v>1</v>
      </c>
      <c r="N43" s="122">
        <v>-48840000</v>
      </c>
      <c r="O43" s="122">
        <v>-66144.42469</v>
      </c>
      <c r="P43" s="123">
        <v>-1.1015490715808316E-3</v>
      </c>
      <c r="Q43" s="123">
        <v>-0.15257816447967787</v>
      </c>
      <c r="R43" s="122">
        <v>-5053.3275199999998</v>
      </c>
      <c r="S43" s="120" t="s">
        <v>204</v>
      </c>
      <c r="T43" s="120" t="s">
        <v>203</v>
      </c>
      <c r="U43" s="120" t="s">
        <v>743</v>
      </c>
      <c r="V43" s="120" t="s">
        <v>313</v>
      </c>
      <c r="W43" s="120" t="s">
        <v>927</v>
      </c>
      <c r="X43" s="120" t="s">
        <v>2602</v>
      </c>
      <c r="Y43" s="120" t="s">
        <v>338</v>
      </c>
      <c r="Z43" s="124">
        <v>41816</v>
      </c>
      <c r="AA43" s="124">
        <v>46913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2611</v>
      </c>
      <c r="AN43" s="123">
        <v>-5.8845857625668477E-2</v>
      </c>
      <c r="AO43" s="123">
        <v>-8.4156575012004481E-5</v>
      </c>
    </row>
    <row r="44" spans="1:41" ht="15" customHeight="1">
      <c r="A44" s="121">
        <v>313</v>
      </c>
      <c r="B44" s="121">
        <v>313</v>
      </c>
      <c r="C44" s="120" t="s">
        <v>1016</v>
      </c>
      <c r="D44" s="121">
        <v>31010410</v>
      </c>
      <c r="E44" s="120" t="s">
        <v>1218</v>
      </c>
      <c r="F44" s="122">
        <v>1</v>
      </c>
      <c r="G44" s="122">
        <v>24700000</v>
      </c>
      <c r="H44" s="122">
        <v>30913.749630000002</v>
      </c>
      <c r="I44" s="123">
        <v>6.7570238416082354E-2</v>
      </c>
      <c r="J44" s="123">
        <v>5.1482815616895163E-4</v>
      </c>
      <c r="K44" s="121">
        <v>310104100</v>
      </c>
      <c r="L44" s="120" t="s">
        <v>1218</v>
      </c>
      <c r="M44" s="122">
        <v>1</v>
      </c>
      <c r="N44" s="122">
        <v>-24700000</v>
      </c>
      <c r="O44" s="122">
        <v>-31927.915000000001</v>
      </c>
      <c r="P44" s="123">
        <v>-5.317177568720903E-4</v>
      </c>
      <c r="Q44" s="123">
        <v>-7.3649482767361191E-2</v>
      </c>
      <c r="R44" s="122">
        <v>-1014.1653700000001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2602</v>
      </c>
      <c r="Y44" s="120" t="s">
        <v>338</v>
      </c>
      <c r="Z44" s="124">
        <v>45066</v>
      </c>
      <c r="AA44" s="124">
        <v>48731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2611</v>
      </c>
      <c r="AN44" s="123">
        <v>-1.1809927366810255E-2</v>
      </c>
      <c r="AO44" s="123">
        <v>-1.6889600703138728E-5</v>
      </c>
    </row>
    <row r="45" spans="1:41" ht="15" customHeight="1">
      <c r="A45" s="121">
        <v>313</v>
      </c>
      <c r="B45" s="121">
        <v>313</v>
      </c>
      <c r="C45" s="120" t="s">
        <v>1020</v>
      </c>
      <c r="D45" s="121">
        <v>76021086</v>
      </c>
      <c r="E45" s="120" t="s">
        <v>1218</v>
      </c>
      <c r="F45" s="122">
        <v>1</v>
      </c>
      <c r="G45" s="122">
        <v>12000000</v>
      </c>
      <c r="H45" s="122">
        <v>11284.8</v>
      </c>
      <c r="I45" s="123">
        <v>2.4665937830389485E-2</v>
      </c>
      <c r="J45" s="123">
        <v>1.8793361679740641E-4</v>
      </c>
      <c r="K45" s="121">
        <v>76021087</v>
      </c>
      <c r="L45" s="120" t="s">
        <v>1218</v>
      </c>
      <c r="M45" s="122">
        <v>1</v>
      </c>
      <c r="N45" s="122">
        <v>-12000000</v>
      </c>
      <c r="O45" s="122">
        <v>-11380.8</v>
      </c>
      <c r="P45" s="123">
        <v>-1.8953237151282459E-4</v>
      </c>
      <c r="Q45" s="123">
        <v>-2.6252576576916598E-2</v>
      </c>
      <c r="R45" s="122">
        <v>-96</v>
      </c>
      <c r="S45" s="120" t="s">
        <v>204</v>
      </c>
      <c r="T45" s="120" t="s">
        <v>203</v>
      </c>
      <c r="U45" s="120" t="s">
        <v>750</v>
      </c>
      <c r="V45" s="120" t="s">
        <v>313</v>
      </c>
      <c r="W45" s="120" t="s">
        <v>928</v>
      </c>
      <c r="X45" s="120" t="s">
        <v>2602</v>
      </c>
      <c r="Y45" s="120" t="s">
        <v>338</v>
      </c>
      <c r="Z45" s="124">
        <v>45727</v>
      </c>
      <c r="AA45" s="124">
        <v>47430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1</v>
      </c>
      <c r="AJ45" s="122"/>
      <c r="AK45" s="120"/>
      <c r="AL45" s="123"/>
      <c r="AM45" s="120" t="s">
        <v>2608</v>
      </c>
      <c r="AN45" s="123">
        <v>-1.1179173148199533E-3</v>
      </c>
      <c r="AO45" s="123">
        <v>-1.5987547154181747E-6</v>
      </c>
    </row>
    <row r="46" spans="1:41" ht="15" customHeight="1">
      <c r="A46" s="121">
        <v>313</v>
      </c>
      <c r="B46" s="121">
        <v>313</v>
      </c>
      <c r="C46" s="120" t="s">
        <v>1016</v>
      </c>
      <c r="D46" s="121">
        <v>31010401</v>
      </c>
      <c r="E46" s="120" t="s">
        <v>1218</v>
      </c>
      <c r="F46" s="122">
        <v>1</v>
      </c>
      <c r="G46" s="122">
        <v>45500000</v>
      </c>
      <c r="H46" s="122">
        <v>55352.147729999997</v>
      </c>
      <c r="I46" s="123">
        <v>0.12098687036427004</v>
      </c>
      <c r="J46" s="123">
        <v>9.218177832485511E-4</v>
      </c>
      <c r="K46" s="121">
        <v>310104010</v>
      </c>
      <c r="L46" s="120" t="s">
        <v>1218</v>
      </c>
      <c r="M46" s="122">
        <v>1</v>
      </c>
      <c r="N46" s="122">
        <v>-45500000</v>
      </c>
      <c r="O46" s="122">
        <v>-51198.597999999998</v>
      </c>
      <c r="P46" s="123">
        <v>-8.5264583307603672E-4</v>
      </c>
      <c r="Q46" s="123">
        <v>-0.11810198884311902</v>
      </c>
      <c r="R46" s="122">
        <v>4153.5497299999997</v>
      </c>
      <c r="S46" s="120" t="s">
        <v>204</v>
      </c>
      <c r="T46" s="120" t="s">
        <v>203</v>
      </c>
      <c r="U46" s="120" t="s">
        <v>743</v>
      </c>
      <c r="V46" s="120" t="s">
        <v>313</v>
      </c>
      <c r="W46" s="120" t="s">
        <v>927</v>
      </c>
      <c r="X46" s="120" t="s">
        <v>2602</v>
      </c>
      <c r="Y46" s="120" t="s">
        <v>338</v>
      </c>
      <c r="Z46" s="124">
        <v>44384</v>
      </c>
      <c r="AA46" s="124">
        <v>46941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1</v>
      </c>
      <c r="AJ46" s="122"/>
      <c r="AK46" s="120"/>
      <c r="AL46" s="123"/>
      <c r="AM46" s="120" t="s">
        <v>2612</v>
      </c>
      <c r="AN46" s="123">
        <v>4.8367970428466064E-2</v>
      </c>
      <c r="AO46" s="123">
        <v>6.9171950172514432E-5</v>
      </c>
    </row>
    <row r="47" spans="1:41" ht="15" customHeight="1">
      <c r="A47" s="121">
        <v>313</v>
      </c>
      <c r="B47" s="121">
        <v>313</v>
      </c>
      <c r="C47" s="120" t="s">
        <v>1016</v>
      </c>
      <c r="D47" s="121">
        <v>31010405</v>
      </c>
      <c r="E47" s="120" t="s">
        <v>1218</v>
      </c>
      <c r="F47" s="122">
        <v>1</v>
      </c>
      <c r="G47" s="122">
        <v>49400000</v>
      </c>
      <c r="H47" s="122">
        <v>61723.32862</v>
      </c>
      <c r="I47" s="123">
        <v>0.13491278413668123</v>
      </c>
      <c r="J47" s="123">
        <v>1.0279214862763601E-3</v>
      </c>
      <c r="K47" s="121">
        <v>310104050</v>
      </c>
      <c r="L47" s="120" t="s">
        <v>1218</v>
      </c>
      <c r="M47" s="122">
        <v>1</v>
      </c>
      <c r="N47" s="122">
        <v>-49400000</v>
      </c>
      <c r="O47" s="122">
        <v>-63793.62</v>
      </c>
      <c r="P47" s="123">
        <v>-1.0623994873811997E-3</v>
      </c>
      <c r="Q47" s="123">
        <v>-0.1471554630754181</v>
      </c>
      <c r="R47" s="122">
        <v>-2070.2913800000001</v>
      </c>
      <c r="S47" s="120" t="s">
        <v>204</v>
      </c>
      <c r="T47" s="120" t="s">
        <v>203</v>
      </c>
      <c r="U47" s="120" t="s">
        <v>743</v>
      </c>
      <c r="V47" s="120" t="s">
        <v>313</v>
      </c>
      <c r="W47" s="120" t="s">
        <v>927</v>
      </c>
      <c r="X47" s="120" t="s">
        <v>2602</v>
      </c>
      <c r="Y47" s="120" t="s">
        <v>338</v>
      </c>
      <c r="Z47" s="124">
        <v>45062</v>
      </c>
      <c r="AA47" s="124">
        <v>48730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1</v>
      </c>
      <c r="AJ47" s="122"/>
      <c r="AK47" s="120"/>
      <c r="AL47" s="123"/>
      <c r="AM47" s="120" t="s">
        <v>2612</v>
      </c>
      <c r="AN47" s="123">
        <v>-2.4108485212755163E-2</v>
      </c>
      <c r="AO47" s="123">
        <v>-3.4478001104839586E-5</v>
      </c>
    </row>
    <row r="48" spans="1:41" ht="15" customHeight="1">
      <c r="A48" s="121">
        <v>313</v>
      </c>
      <c r="B48" s="121">
        <v>313</v>
      </c>
      <c r="C48" s="120" t="s">
        <v>1016</v>
      </c>
      <c r="D48" s="121">
        <v>31010400</v>
      </c>
      <c r="E48" s="120" t="s">
        <v>1218</v>
      </c>
      <c r="F48" s="122">
        <v>1</v>
      </c>
      <c r="G48" s="122">
        <v>55500000</v>
      </c>
      <c r="H48" s="122">
        <v>69633.501850000001</v>
      </c>
      <c r="I48" s="123">
        <v>0.15220257581387453</v>
      </c>
      <c r="J48" s="123">
        <v>1.1596550982684135E-3</v>
      </c>
      <c r="K48" s="121">
        <v>310104000</v>
      </c>
      <c r="L48" s="120" t="s">
        <v>1218</v>
      </c>
      <c r="M48" s="122">
        <v>1</v>
      </c>
      <c r="N48" s="122">
        <v>-55500000</v>
      </c>
      <c r="O48" s="122">
        <v>-72232.319000000003</v>
      </c>
      <c r="P48" s="123">
        <v>-1.202935006321248E-3</v>
      </c>
      <c r="Q48" s="123">
        <v>-0.16662136984006115</v>
      </c>
      <c r="R48" s="122">
        <v>-2598.8171499999999</v>
      </c>
      <c r="S48" s="120" t="s">
        <v>204</v>
      </c>
      <c r="T48" s="120" t="s">
        <v>203</v>
      </c>
      <c r="U48" s="120" t="s">
        <v>743</v>
      </c>
      <c r="V48" s="120" t="s">
        <v>313</v>
      </c>
      <c r="W48" s="120" t="s">
        <v>927</v>
      </c>
      <c r="X48" s="120" t="s">
        <v>2602</v>
      </c>
      <c r="Y48" s="120" t="s">
        <v>338</v>
      </c>
      <c r="Z48" s="124">
        <v>41934</v>
      </c>
      <c r="AA48" s="124">
        <v>47048</v>
      </c>
      <c r="AB48" s="120" t="s">
        <v>897</v>
      </c>
      <c r="AC48" s="120" t="s">
        <v>899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1</v>
      </c>
      <c r="AJ48" s="122"/>
      <c r="AK48" s="120"/>
      <c r="AL48" s="123"/>
      <c r="AM48" s="120" t="s">
        <v>2611</v>
      </c>
      <c r="AN48" s="123">
        <v>-3.0263153021208789E-2</v>
      </c>
      <c r="AO48" s="123">
        <v>-4.3279908052834602E-5</v>
      </c>
    </row>
    <row r="49" spans="1:41" ht="15" customHeight="1">
      <c r="A49" s="121">
        <v>313</v>
      </c>
      <c r="B49" s="121">
        <v>313</v>
      </c>
      <c r="C49" s="120" t="s">
        <v>1016</v>
      </c>
      <c r="D49" s="121">
        <v>31003402</v>
      </c>
      <c r="E49" s="120" t="s">
        <v>1222</v>
      </c>
      <c r="F49" s="122">
        <v>3.3719999999999999</v>
      </c>
      <c r="G49" s="122">
        <v>-9000000</v>
      </c>
      <c r="H49" s="122">
        <v>-9942.1362000000008</v>
      </c>
      <c r="I49" s="123">
        <v>-2.1731188271875868E-2</v>
      </c>
      <c r="J49" s="123">
        <v>-5.5831317922917561E-4</v>
      </c>
      <c r="K49" s="121">
        <v>31003401</v>
      </c>
      <c r="L49" s="120" t="s">
        <v>1218</v>
      </c>
      <c r="M49" s="122">
        <v>1</v>
      </c>
      <c r="N49" s="122">
        <v>31873500</v>
      </c>
      <c r="O49" s="122">
        <v>36278.61391</v>
      </c>
      <c r="P49" s="123">
        <v>6.0417296934841549E-4</v>
      </c>
      <c r="Q49" s="123">
        <v>8.3685425433771499E-2</v>
      </c>
      <c r="R49" s="122">
        <v>2753.7306400000002</v>
      </c>
      <c r="S49" s="120" t="s">
        <v>204</v>
      </c>
      <c r="T49" s="120" t="s">
        <v>232</v>
      </c>
      <c r="U49" s="120" t="s">
        <v>745</v>
      </c>
      <c r="V49" s="120" t="s">
        <v>313</v>
      </c>
      <c r="W49" s="120" t="s">
        <v>929</v>
      </c>
      <c r="X49" s="120" t="s">
        <v>2606</v>
      </c>
      <c r="Y49" s="120" t="s">
        <v>338</v>
      </c>
      <c r="Z49" s="124">
        <v>40617</v>
      </c>
      <c r="AA49" s="124">
        <v>46736</v>
      </c>
      <c r="AB49" s="120" t="s">
        <v>897</v>
      </c>
      <c r="AC49" s="120" t="s">
        <v>899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3.56</v>
      </c>
      <c r="AJ49" s="122"/>
      <c r="AK49" s="120"/>
      <c r="AL49" s="123"/>
      <c r="AM49" s="120" t="s">
        <v>2611</v>
      </c>
      <c r="AN49" s="123">
        <v>3.2067116279231582E-2</v>
      </c>
      <c r="AO49" s="123">
        <v>4.5859790059286543E-5</v>
      </c>
    </row>
    <row r="50" spans="1:41" ht="15" customHeight="1">
      <c r="A50" s="121">
        <v>313</v>
      </c>
      <c r="B50" s="121">
        <v>313</v>
      </c>
      <c r="C50" s="120" t="s">
        <v>1016</v>
      </c>
      <c r="D50" s="121">
        <v>31008002</v>
      </c>
      <c r="E50" s="120" t="s">
        <v>1222</v>
      </c>
      <c r="F50" s="122">
        <v>3.3719999999999999</v>
      </c>
      <c r="G50" s="122">
        <v>-3489995.35</v>
      </c>
      <c r="H50" s="122">
        <v>-4235.1875300000002</v>
      </c>
      <c r="I50" s="123">
        <v>-9.2571310359971654E-3</v>
      </c>
      <c r="J50" s="123">
        <v>-2.3783228945365481E-4</v>
      </c>
      <c r="K50" s="121">
        <v>31008001</v>
      </c>
      <c r="L50" s="120" t="s">
        <v>1218</v>
      </c>
      <c r="M50" s="122">
        <v>1</v>
      </c>
      <c r="N50" s="122">
        <v>12790832.960000001</v>
      </c>
      <c r="O50" s="122">
        <v>17938.229719999999</v>
      </c>
      <c r="P50" s="123">
        <v>2.9873780574067127E-4</v>
      </c>
      <c r="Q50" s="123">
        <v>4.1378879286045021E-2</v>
      </c>
      <c r="R50" s="122">
        <v>3657.1773600000001</v>
      </c>
      <c r="S50" s="120" t="s">
        <v>204</v>
      </c>
      <c r="T50" s="120" t="s">
        <v>203</v>
      </c>
      <c r="U50" s="120" t="s">
        <v>745</v>
      </c>
      <c r="V50" s="120" t="s">
        <v>313</v>
      </c>
      <c r="W50" s="120" t="s">
        <v>929</v>
      </c>
      <c r="X50" s="120" t="s">
        <v>2606</v>
      </c>
      <c r="Y50" s="120" t="s">
        <v>338</v>
      </c>
      <c r="Z50" s="124">
        <v>41520</v>
      </c>
      <c r="AA50" s="124">
        <v>52261</v>
      </c>
      <c r="AB50" s="120" t="s">
        <v>897</v>
      </c>
      <c r="AC50" s="120" t="s">
        <v>899</v>
      </c>
      <c r="AD50" s="120" t="s">
        <v>911</v>
      </c>
      <c r="AE50" s="120" t="s">
        <v>913</v>
      </c>
      <c r="AF50" s="120" t="s">
        <v>897</v>
      </c>
      <c r="AG50" s="120" t="s">
        <v>897</v>
      </c>
      <c r="AH50" s="123"/>
      <c r="AI50" s="122">
        <v>3.6320000000000001</v>
      </c>
      <c r="AJ50" s="122"/>
      <c r="AK50" s="120"/>
      <c r="AL50" s="123"/>
      <c r="AM50" s="120" t="s">
        <v>2603</v>
      </c>
      <c r="AN50" s="123">
        <v>4.2587728063661727E-2</v>
      </c>
      <c r="AO50" s="123">
        <v>6.0905516139797826E-5</v>
      </c>
    </row>
    <row r="51" spans="1:41" ht="15" customHeight="1">
      <c r="A51" s="121">
        <v>313</v>
      </c>
      <c r="B51" s="121">
        <v>313</v>
      </c>
      <c r="C51" s="120" t="s">
        <v>1016</v>
      </c>
      <c r="D51" s="121">
        <v>31009502</v>
      </c>
      <c r="E51" s="120" t="s">
        <v>1222</v>
      </c>
      <c r="F51" s="122">
        <v>3.3719999999999999</v>
      </c>
      <c r="G51" s="122">
        <v>-3213874.29</v>
      </c>
      <c r="H51" s="122">
        <v>-3332.6590799999999</v>
      </c>
      <c r="I51" s="123">
        <v>-7.2844145821957876E-3</v>
      </c>
      <c r="J51" s="123">
        <v>-1.8714966771847075E-4</v>
      </c>
      <c r="K51" s="121">
        <v>31009501</v>
      </c>
      <c r="L51" s="120" t="s">
        <v>1218</v>
      </c>
      <c r="M51" s="122">
        <v>1</v>
      </c>
      <c r="N51" s="122">
        <v>11158621.68</v>
      </c>
      <c r="O51" s="122">
        <v>11450.750840000001</v>
      </c>
      <c r="P51" s="123">
        <v>1.9069731146383986E-4</v>
      </c>
      <c r="Q51" s="123">
        <v>2.6413935161877206E-2</v>
      </c>
      <c r="R51" s="122">
        <v>213.02440999999999</v>
      </c>
      <c r="S51" s="120" t="s">
        <v>204</v>
      </c>
      <c r="T51" s="120" t="s">
        <v>237</v>
      </c>
      <c r="U51" s="120" t="s">
        <v>745</v>
      </c>
      <c r="V51" s="120" t="s">
        <v>313</v>
      </c>
      <c r="W51" s="120" t="s">
        <v>929</v>
      </c>
      <c r="X51" s="120" t="s">
        <v>2606</v>
      </c>
      <c r="Y51" s="120" t="s">
        <v>338</v>
      </c>
      <c r="Z51" s="124">
        <v>41792</v>
      </c>
      <c r="AA51" s="124">
        <v>46387</v>
      </c>
      <c r="AB51" s="120" t="s">
        <v>897</v>
      </c>
      <c r="AC51" s="120" t="s">
        <v>899</v>
      </c>
      <c r="AD51" s="120" t="s">
        <v>911</v>
      </c>
      <c r="AE51" s="120" t="s">
        <v>913</v>
      </c>
      <c r="AF51" s="120" t="s">
        <v>897</v>
      </c>
      <c r="AG51" s="120" t="s">
        <v>897</v>
      </c>
      <c r="AH51" s="123"/>
      <c r="AI51" s="122">
        <v>3.476</v>
      </c>
      <c r="AJ51" s="122"/>
      <c r="AK51" s="120"/>
      <c r="AL51" s="123"/>
      <c r="AM51" s="120" t="s">
        <v>2608</v>
      </c>
      <c r="AN51" s="123">
        <v>2.4806632960240084E-3</v>
      </c>
      <c r="AO51" s="123">
        <v>3.5476435415278599E-6</v>
      </c>
    </row>
    <row r="52" spans="1:41" ht="15" customHeight="1">
      <c r="A52" s="121">
        <v>313</v>
      </c>
      <c r="B52" s="121">
        <v>313</v>
      </c>
      <c r="C52" s="120" t="s">
        <v>1020</v>
      </c>
      <c r="D52" s="121">
        <v>76021120</v>
      </c>
      <c r="E52" s="120" t="s">
        <v>1218</v>
      </c>
      <c r="F52" s="122">
        <v>1</v>
      </c>
      <c r="G52" s="122">
        <v>28800000</v>
      </c>
      <c r="H52" s="122">
        <v>22248</v>
      </c>
      <c r="I52" s="123">
        <v>4.8628933153490123E-2</v>
      </c>
      <c r="J52" s="123">
        <v>3.7051140529816197E-4</v>
      </c>
      <c r="K52" s="121">
        <v>76021121</v>
      </c>
      <c r="L52" s="120" t="s">
        <v>1218</v>
      </c>
      <c r="M52" s="122">
        <v>1</v>
      </c>
      <c r="N52" s="122">
        <v>-28800000</v>
      </c>
      <c r="O52" s="122">
        <v>-22777.919999999998</v>
      </c>
      <c r="P52" s="123">
        <v>-3.793365313272703E-4</v>
      </c>
      <c r="Q52" s="123">
        <v>-5.254279919363139E-2</v>
      </c>
      <c r="R52" s="122">
        <v>-529.91999999999996</v>
      </c>
      <c r="S52" s="120" t="s">
        <v>204</v>
      </c>
      <c r="T52" s="120" t="s">
        <v>203</v>
      </c>
      <c r="U52" s="120" t="s">
        <v>750</v>
      </c>
      <c r="V52" s="120" t="s">
        <v>313</v>
      </c>
      <c r="W52" s="120" t="s">
        <v>928</v>
      </c>
      <c r="X52" s="120" t="s">
        <v>2602</v>
      </c>
      <c r="Y52" s="120" t="s">
        <v>338</v>
      </c>
      <c r="Z52" s="124">
        <v>45735</v>
      </c>
      <c r="AA52" s="124">
        <v>47430</v>
      </c>
      <c r="AB52" s="120" t="s">
        <v>897</v>
      </c>
      <c r="AC52" s="120" t="s">
        <v>899</v>
      </c>
      <c r="AD52" s="120" t="s">
        <v>911</v>
      </c>
      <c r="AE52" s="120" t="s">
        <v>913</v>
      </c>
      <c r="AF52" s="120" t="s">
        <v>897</v>
      </c>
      <c r="AG52" s="120" t="s">
        <v>897</v>
      </c>
      <c r="AH52" s="123"/>
      <c r="AI52" s="122">
        <v>1</v>
      </c>
      <c r="AJ52" s="122"/>
      <c r="AK52" s="120"/>
      <c r="AL52" s="123"/>
      <c r="AM52" s="120" t="s">
        <v>2608</v>
      </c>
      <c r="AN52" s="123">
        <v>-6.1709035778061416E-3</v>
      </c>
      <c r="AO52" s="123">
        <v>-8.8251260291083235E-6</v>
      </c>
    </row>
  </sheetData>
  <dataValidations count="13">
    <dataValidation type="list" allowBlank="1" showInputMessage="1" showErrorMessage="1" sqref="AK2:AK19" xr:uid="{ACE41DAF-0C0F-40F3-9C43-8243A49A3C05}">
      <formula1>Penalty</formula1>
    </dataValidation>
    <dataValidation type="list" allowBlank="1" showInputMessage="1" showErrorMessage="1" sqref="AF2:AF19" xr:uid="{6700208D-733D-492C-AA0C-6AB143F9FAA2}">
      <formula1>Underlying_Interest_Rates</formula1>
    </dataValidation>
    <dataValidation allowBlank="1" showInputMessage="1" showErrorMessage="1" sqref="Z2:Z18" xr:uid="{07C11E50-0961-4D63-8E1C-5EF115A01392}"/>
    <dataValidation type="list" allowBlank="1" showInputMessage="1" showErrorMessage="1" sqref="W2:W19" xr:uid="{15FE3AD2-5F3E-4936-8FD8-9035C86530A1}">
      <formula1>aa</formula1>
    </dataValidation>
    <dataValidation type="list" allowBlank="1" showInputMessage="1" showErrorMessage="1" sqref="V2:V19" xr:uid="{4F5A106B-33F6-4A5C-BED7-3C38000911BF}">
      <formula1>Leading_factor</formula1>
    </dataValidation>
    <dataValidation type="list" allowBlank="1" showInputMessage="1" showErrorMessage="1" sqref="AE21:AE25 AE3:AE19" xr:uid="{752160A4-52CC-4D24-A049-39D421168A34}">
      <formula1>#REF!</formula1>
    </dataValidation>
    <dataValidation type="list" allowBlank="1" showInputMessage="1" showErrorMessage="1" sqref="AF21:AF25" xr:uid="{7B782C52-2247-429C-9B81-69400A384278}">
      <formula1>Underlying_Interest_Rates_Der</formula1>
    </dataValidation>
    <dataValidation type="list" allowBlank="1" showInputMessage="1" showErrorMessage="1" sqref="T21:T33 T2:T19" xr:uid="{18561C5D-EF71-4682-93DD-E19F98E1DD47}">
      <formula1>Country_list</formula1>
    </dataValidation>
    <dataValidation type="list" allowBlank="1" showInputMessage="1" showErrorMessage="1" sqref="AC21:AC33 AC2:AC19" xr:uid="{540C7A66-94C6-498E-93FE-B57E584457A7}">
      <formula1>vfv</formula1>
    </dataValidation>
    <dataValidation type="list" allowBlank="1" showInputMessage="1" showErrorMessage="1" sqref="Y21:Y33 AL19 AD21:AD52 AL21:AL52 Y2:Y19 AD2:AD19" xr:uid="{DB029561-9596-4CA6-B100-3655682B95F3}">
      <formula1>Holding_interest</formula1>
    </dataValidation>
    <dataValidation type="list" allowBlank="1" showInputMessage="1" showErrorMessage="1" sqref="S21:S24 S2:S19" xr:uid="{1CAECA59-7032-47B9-AA43-83D9C8B54ABD}">
      <formula1>israel_abroad</formula1>
    </dataValidation>
    <dataValidation type="list" allowBlank="1" showInputMessage="1" showErrorMessage="1" sqref="AG2:AG19 AB21:AB52 AB2:AB19 AG21:AG52" xr:uid="{E0AF8235-0CCD-4282-8271-14AEBD201467}">
      <formula1>ppp</formula1>
    </dataValidation>
    <dataValidation type="list" allowBlank="1" showInputMessage="1" showErrorMessage="1" sqref="U21:U33 U2:U19" xr:uid="{CAC8058D-6435-4B92-A522-D78E2E95BD80}">
      <formula1>tttttt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90EE5B-E85A-4774-8AB6-D9C524CFADF3}">
          <x14:formula1>
            <xm:f>'C:\Users\ishlefer\Desktop\[5700098521_pn_0225.xlsx]אפשרויות בחירה'!#REF!</xm:f>
          </x14:formula1>
          <xm:sqref>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511"/>
  <sheetViews>
    <sheetView rightToLeft="1" zoomScale="90" zoomScaleNormal="9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313</v>
      </c>
      <c r="B2" s="121">
        <v>313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1331</v>
      </c>
      <c r="Q2" s="120" t="s">
        <v>414</v>
      </c>
      <c r="R2" s="120" t="s">
        <v>407</v>
      </c>
      <c r="S2" s="120" t="s">
        <v>1218</v>
      </c>
      <c r="T2" s="122">
        <v>2.35</v>
      </c>
      <c r="U2" s="120" t="s">
        <v>2613</v>
      </c>
      <c r="V2" s="123">
        <v>4.5999999999999999E-2</v>
      </c>
      <c r="W2" s="120"/>
      <c r="X2" s="120"/>
      <c r="Y2" s="123"/>
      <c r="Z2" s="123">
        <v>2.87E-2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45838</v>
      </c>
      <c r="AO2" s="124"/>
      <c r="AP2" s="123"/>
      <c r="AQ2" s="122">
        <v>1702138.35</v>
      </c>
      <c r="AR2" s="122">
        <v>122.04</v>
      </c>
      <c r="AS2" s="122">
        <v>1</v>
      </c>
      <c r="AT2" s="122">
        <v>2077.28964</v>
      </c>
      <c r="AU2" s="122">
        <v>2077.28964</v>
      </c>
      <c r="AV2" s="122"/>
      <c r="AW2" s="122"/>
      <c r="AX2" s="120"/>
      <c r="AY2" s="120"/>
      <c r="AZ2" s="123">
        <v>7.2300000000000001E-4</v>
      </c>
      <c r="BA2" s="123">
        <v>3.4E-5</v>
      </c>
    </row>
    <row r="3" spans="1:53" ht="15" customHeight="1">
      <c r="A3" s="121">
        <v>313</v>
      </c>
      <c r="B3" s="121">
        <v>313</v>
      </c>
      <c r="C3" s="121"/>
      <c r="D3" s="120"/>
      <c r="E3" s="120"/>
      <c r="F3" s="121">
        <v>86003001</v>
      </c>
      <c r="G3" s="120" t="s">
        <v>1013</v>
      </c>
      <c r="H3" s="120" t="s">
        <v>818</v>
      </c>
      <c r="I3" s="120" t="s">
        <v>203</v>
      </c>
      <c r="J3" s="120"/>
      <c r="K3" s="120" t="s">
        <v>456</v>
      </c>
      <c r="L3" s="120" t="s">
        <v>338</v>
      </c>
      <c r="M3" s="120" t="s">
        <v>338</v>
      </c>
      <c r="N3" s="121"/>
      <c r="O3" s="124">
        <v>44511</v>
      </c>
      <c r="P3" s="120" t="s">
        <v>2615</v>
      </c>
      <c r="Q3" s="120" t="s">
        <v>412</v>
      </c>
      <c r="R3" s="120" t="s">
        <v>407</v>
      </c>
      <c r="S3" s="120" t="s">
        <v>1218</v>
      </c>
      <c r="T3" s="122">
        <v>0.25</v>
      </c>
      <c r="U3" s="120" t="s">
        <v>2613</v>
      </c>
      <c r="V3" s="123">
        <v>4.0183000000000003E-2</v>
      </c>
      <c r="W3" s="120"/>
      <c r="X3" s="120"/>
      <c r="Y3" s="123"/>
      <c r="Z3" s="123">
        <v>5.5800000000000002E-2</v>
      </c>
      <c r="AA3" s="124">
        <v>45930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45838</v>
      </c>
      <c r="AO3" s="120"/>
      <c r="AP3" s="123"/>
      <c r="AQ3" s="122">
        <v>3795000.85</v>
      </c>
      <c r="AR3" s="122">
        <v>99.64</v>
      </c>
      <c r="AS3" s="122">
        <v>1</v>
      </c>
      <c r="AT3" s="122">
        <v>3781.3388500000001</v>
      </c>
      <c r="AU3" s="122">
        <v>3781.3388500000001</v>
      </c>
      <c r="AV3" s="120"/>
      <c r="AW3" s="120"/>
      <c r="AX3" s="120"/>
      <c r="AY3" s="120"/>
      <c r="AZ3" s="123">
        <v>1.3159999999999999E-3</v>
      </c>
      <c r="BA3" s="123">
        <v>6.2000000000000003E-5</v>
      </c>
    </row>
    <row r="4" spans="1:53" ht="15" customHeight="1">
      <c r="A4" s="121">
        <v>313</v>
      </c>
      <c r="B4" s="121">
        <v>313</v>
      </c>
      <c r="C4" s="121"/>
      <c r="D4" s="120"/>
      <c r="E4" s="120"/>
      <c r="F4" s="121">
        <v>74006191</v>
      </c>
      <c r="G4" s="120" t="s">
        <v>1013</v>
      </c>
      <c r="H4" s="120" t="s">
        <v>812</v>
      </c>
      <c r="I4" s="120" t="s">
        <v>203</v>
      </c>
      <c r="J4" s="120"/>
      <c r="K4" s="120" t="s">
        <v>454</v>
      </c>
      <c r="L4" s="120" t="s">
        <v>338</v>
      </c>
      <c r="M4" s="120" t="s">
        <v>337</v>
      </c>
      <c r="N4" s="121"/>
      <c r="O4" s="124">
        <v>45197</v>
      </c>
      <c r="P4" s="120" t="s">
        <v>1304</v>
      </c>
      <c r="Q4" s="120" t="s">
        <v>414</v>
      </c>
      <c r="R4" s="120" t="s">
        <v>407</v>
      </c>
      <c r="S4" s="120" t="s">
        <v>1218</v>
      </c>
      <c r="T4" s="122">
        <v>7.95</v>
      </c>
      <c r="U4" s="120" t="s">
        <v>2613</v>
      </c>
      <c r="V4" s="123">
        <v>4.1200000000000001E-2</v>
      </c>
      <c r="W4" s="120"/>
      <c r="X4" s="120"/>
      <c r="Y4" s="123"/>
      <c r="Z4" s="123">
        <v>3.1699999999999999E-2</v>
      </c>
      <c r="AA4" s="124">
        <v>52135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45838</v>
      </c>
      <c r="AO4" s="120"/>
      <c r="AP4" s="123"/>
      <c r="AQ4" s="122">
        <v>5440362.9199999999</v>
      </c>
      <c r="AR4" s="122">
        <v>110.94</v>
      </c>
      <c r="AS4" s="122">
        <v>1</v>
      </c>
      <c r="AT4" s="122">
        <v>6035.5386200000003</v>
      </c>
      <c r="AU4" s="122">
        <v>6035.5386200000003</v>
      </c>
      <c r="AV4" s="120"/>
      <c r="AW4" s="120"/>
      <c r="AX4" s="120"/>
      <c r="AY4" s="120"/>
      <c r="AZ4" s="123">
        <v>2.1020000000000001E-3</v>
      </c>
      <c r="BA4" s="123">
        <v>1E-4</v>
      </c>
    </row>
    <row r="5" spans="1:53" ht="15" customHeight="1">
      <c r="A5" s="121">
        <v>313</v>
      </c>
      <c r="B5" s="121">
        <v>313</v>
      </c>
      <c r="C5" s="121"/>
      <c r="D5" s="120"/>
      <c r="E5" s="120"/>
      <c r="F5" s="121">
        <v>86003002</v>
      </c>
      <c r="G5" s="120" t="s">
        <v>1013</v>
      </c>
      <c r="H5" s="120" t="s">
        <v>818</v>
      </c>
      <c r="I5" s="120" t="s">
        <v>203</v>
      </c>
      <c r="J5" s="120"/>
      <c r="K5" s="120" t="s">
        <v>456</v>
      </c>
      <c r="L5" s="120" t="s">
        <v>338</v>
      </c>
      <c r="M5" s="120" t="s">
        <v>338</v>
      </c>
      <c r="N5" s="121"/>
      <c r="O5" s="124">
        <v>44650</v>
      </c>
      <c r="P5" s="120" t="s">
        <v>2615</v>
      </c>
      <c r="Q5" s="120" t="s">
        <v>412</v>
      </c>
      <c r="R5" s="120" t="s">
        <v>407</v>
      </c>
      <c r="S5" s="120" t="s">
        <v>1218</v>
      </c>
      <c r="T5" s="122">
        <v>0.47</v>
      </c>
      <c r="U5" s="120" t="s">
        <v>2613</v>
      </c>
      <c r="V5" s="123">
        <v>5.0035999999999997E-2</v>
      </c>
      <c r="W5" s="120"/>
      <c r="X5" s="120"/>
      <c r="Y5" s="123"/>
      <c r="Z5" s="123">
        <v>5.5E-2</v>
      </c>
      <c r="AA5" s="124">
        <v>46022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45838</v>
      </c>
      <c r="AO5" s="120"/>
      <c r="AP5" s="123"/>
      <c r="AQ5" s="122">
        <v>4784000.93</v>
      </c>
      <c r="AR5" s="122">
        <v>99.82</v>
      </c>
      <c r="AS5" s="122">
        <v>1</v>
      </c>
      <c r="AT5" s="122">
        <v>4775.3897299999999</v>
      </c>
      <c r="AU5" s="122">
        <v>4775.3897299999999</v>
      </c>
      <c r="AV5" s="120"/>
      <c r="AW5" s="120"/>
      <c r="AX5" s="120"/>
      <c r="AY5" s="120"/>
      <c r="AZ5" s="123">
        <v>1.663E-3</v>
      </c>
      <c r="BA5" s="123">
        <v>7.8999999999999996E-5</v>
      </c>
    </row>
    <row r="6" spans="1:53" ht="15" customHeight="1">
      <c r="A6" s="121">
        <v>313</v>
      </c>
      <c r="B6" s="121">
        <v>313</v>
      </c>
      <c r="C6" s="121"/>
      <c r="D6" s="120"/>
      <c r="E6" s="120"/>
      <c r="F6" s="121">
        <v>74006192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45396</v>
      </c>
      <c r="P6" s="120" t="s">
        <v>1304</v>
      </c>
      <c r="Q6" s="120" t="s">
        <v>414</v>
      </c>
      <c r="R6" s="120" t="s">
        <v>407</v>
      </c>
      <c r="S6" s="120" t="s">
        <v>1218</v>
      </c>
      <c r="T6" s="122">
        <v>1.56</v>
      </c>
      <c r="U6" s="120" t="s">
        <v>824</v>
      </c>
      <c r="V6" s="123">
        <v>6.6000000000000003E-2</v>
      </c>
      <c r="W6" s="120"/>
      <c r="X6" s="120"/>
      <c r="Y6" s="123"/>
      <c r="Z6" s="123">
        <v>6.3600000000000004E-2</v>
      </c>
      <c r="AA6" s="124">
        <v>46471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45838</v>
      </c>
      <c r="AO6" s="120"/>
      <c r="AP6" s="123"/>
      <c r="AQ6" s="122">
        <v>2447595</v>
      </c>
      <c r="AR6" s="122">
        <v>100.69</v>
      </c>
      <c r="AS6" s="122">
        <v>1</v>
      </c>
      <c r="AT6" s="122">
        <v>2464.4834099999998</v>
      </c>
      <c r="AU6" s="122">
        <v>2464.4834099999998</v>
      </c>
      <c r="AV6" s="120"/>
      <c r="AW6" s="120"/>
      <c r="AX6" s="120"/>
      <c r="AY6" s="120"/>
      <c r="AZ6" s="123">
        <v>8.5800000000000004E-4</v>
      </c>
      <c r="BA6" s="123">
        <v>4.1E-5</v>
      </c>
    </row>
    <row r="7" spans="1:53" ht="15" customHeight="1">
      <c r="A7" s="121">
        <v>313</v>
      </c>
      <c r="B7" s="121">
        <v>313</v>
      </c>
      <c r="C7" s="121"/>
      <c r="D7" s="120"/>
      <c r="E7" s="120"/>
      <c r="F7" s="121">
        <v>86003003</v>
      </c>
      <c r="G7" s="120" t="s">
        <v>1013</v>
      </c>
      <c r="H7" s="120" t="s">
        <v>818</v>
      </c>
      <c r="I7" s="120" t="s">
        <v>203</v>
      </c>
      <c r="J7" s="120"/>
      <c r="K7" s="120" t="s">
        <v>456</v>
      </c>
      <c r="L7" s="120" t="s">
        <v>338</v>
      </c>
      <c r="M7" s="120" t="s">
        <v>338</v>
      </c>
      <c r="N7" s="121"/>
      <c r="O7" s="124">
        <v>44724</v>
      </c>
      <c r="P7" s="120" t="s">
        <v>2615</v>
      </c>
      <c r="Q7" s="120" t="s">
        <v>412</v>
      </c>
      <c r="R7" s="120" t="s">
        <v>407</v>
      </c>
      <c r="S7" s="120" t="s">
        <v>1218</v>
      </c>
      <c r="T7" s="122">
        <v>0.65</v>
      </c>
      <c r="U7" s="120" t="s">
        <v>2613</v>
      </c>
      <c r="V7" s="123">
        <v>5.4517000000000003E-2</v>
      </c>
      <c r="W7" s="120"/>
      <c r="X7" s="120"/>
      <c r="Y7" s="123"/>
      <c r="Z7" s="123">
        <v>5.45E-2</v>
      </c>
      <c r="AA7" s="124">
        <v>46112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45838</v>
      </c>
      <c r="AO7" s="120"/>
      <c r="AP7" s="123"/>
      <c r="AQ7" s="122">
        <v>3166333.97</v>
      </c>
      <c r="AR7" s="122">
        <v>100.07</v>
      </c>
      <c r="AS7" s="122">
        <v>1</v>
      </c>
      <c r="AT7" s="122">
        <v>3168.5504000000001</v>
      </c>
      <c r="AU7" s="122">
        <v>3168.5504000000001</v>
      </c>
      <c r="AV7" s="120"/>
      <c r="AW7" s="120"/>
      <c r="AX7" s="120"/>
      <c r="AY7" s="120"/>
      <c r="AZ7" s="123">
        <v>1.103E-3</v>
      </c>
      <c r="BA7" s="123">
        <v>5.1999999999999997E-5</v>
      </c>
    </row>
    <row r="8" spans="1:53" ht="15" customHeight="1">
      <c r="A8" s="121">
        <v>313</v>
      </c>
      <c r="B8" s="121">
        <v>313</v>
      </c>
      <c r="C8" s="121"/>
      <c r="D8" s="120"/>
      <c r="E8" s="120"/>
      <c r="F8" s="121">
        <v>74006193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45427</v>
      </c>
      <c r="P8" s="120" t="s">
        <v>1304</v>
      </c>
      <c r="Q8" s="120" t="s">
        <v>414</v>
      </c>
      <c r="R8" s="120" t="s">
        <v>407</v>
      </c>
      <c r="S8" s="120" t="s">
        <v>1218</v>
      </c>
      <c r="T8" s="122">
        <v>1.56</v>
      </c>
      <c r="U8" s="120" t="s">
        <v>824</v>
      </c>
      <c r="V8" s="123">
        <v>6.6000000000000003E-2</v>
      </c>
      <c r="W8" s="120"/>
      <c r="X8" s="120"/>
      <c r="Y8" s="123"/>
      <c r="Z8" s="123">
        <v>6.3600000000000004E-2</v>
      </c>
      <c r="AA8" s="124">
        <v>46471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45838</v>
      </c>
      <c r="AO8" s="120"/>
      <c r="AP8" s="123"/>
      <c r="AQ8" s="122">
        <v>1335052</v>
      </c>
      <c r="AR8" s="122">
        <v>100.69</v>
      </c>
      <c r="AS8" s="122">
        <v>1</v>
      </c>
      <c r="AT8" s="122">
        <v>1344.26386</v>
      </c>
      <c r="AU8" s="122">
        <v>1344.26386</v>
      </c>
      <c r="AV8" s="120"/>
      <c r="AW8" s="120"/>
      <c r="AX8" s="120"/>
      <c r="AY8" s="120"/>
      <c r="AZ8" s="123">
        <v>4.6799999999999999E-4</v>
      </c>
      <c r="BA8" s="123">
        <v>2.1999999999999999E-5</v>
      </c>
    </row>
    <row r="9" spans="1:53" ht="15" customHeight="1">
      <c r="A9" s="121">
        <v>313</v>
      </c>
      <c r="B9" s="121">
        <v>313</v>
      </c>
      <c r="C9" s="121"/>
      <c r="D9" s="120"/>
      <c r="E9" s="120"/>
      <c r="F9" s="121">
        <v>90150201</v>
      </c>
      <c r="G9" s="120" t="s">
        <v>1013</v>
      </c>
      <c r="H9" s="120" t="s">
        <v>812</v>
      </c>
      <c r="I9" s="120" t="s">
        <v>203</v>
      </c>
      <c r="J9" s="120"/>
      <c r="K9" s="120" t="s">
        <v>446</v>
      </c>
      <c r="L9" s="120" t="s">
        <v>338</v>
      </c>
      <c r="M9" s="120" t="s">
        <v>337</v>
      </c>
      <c r="N9" s="121"/>
      <c r="O9" s="124">
        <v>45721</v>
      </c>
      <c r="P9" s="120" t="s">
        <v>1304</v>
      </c>
      <c r="Q9" s="120" t="s">
        <v>414</v>
      </c>
      <c r="R9" s="120" t="s">
        <v>407</v>
      </c>
      <c r="S9" s="120" t="s">
        <v>1218</v>
      </c>
      <c r="T9" s="122">
        <v>2.93</v>
      </c>
      <c r="U9" s="120" t="s">
        <v>2613</v>
      </c>
      <c r="V9" s="123">
        <v>3.5299999999999998E-2</v>
      </c>
      <c r="W9" s="120"/>
      <c r="X9" s="120"/>
      <c r="Y9" s="123"/>
      <c r="Z9" s="123">
        <v>3.6600000000000001E-2</v>
      </c>
      <c r="AA9" s="124">
        <v>47317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45838</v>
      </c>
      <c r="AO9" s="120"/>
      <c r="AP9" s="123"/>
      <c r="AQ9" s="122">
        <v>69000000</v>
      </c>
      <c r="AR9" s="122">
        <v>102.15</v>
      </c>
      <c r="AS9" s="122">
        <v>1</v>
      </c>
      <c r="AT9" s="122">
        <v>70483.5</v>
      </c>
      <c r="AU9" s="122">
        <v>70483.5</v>
      </c>
      <c r="AV9" s="120"/>
      <c r="AW9" s="120"/>
      <c r="AX9" s="120"/>
      <c r="AY9" s="120"/>
      <c r="AZ9" s="123">
        <v>2.4548E-2</v>
      </c>
      <c r="BA9" s="123">
        <v>1.173E-3</v>
      </c>
    </row>
    <row r="10" spans="1:53" ht="15" customHeight="1">
      <c r="A10" s="121">
        <v>313</v>
      </c>
      <c r="B10" s="121">
        <v>313</v>
      </c>
      <c r="C10" s="121"/>
      <c r="D10" s="120"/>
      <c r="E10" s="120"/>
      <c r="F10" s="121">
        <v>74006195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45459</v>
      </c>
      <c r="P10" s="120" t="s">
        <v>1304</v>
      </c>
      <c r="Q10" s="120" t="s">
        <v>414</v>
      </c>
      <c r="R10" s="120" t="s">
        <v>407</v>
      </c>
      <c r="S10" s="120" t="s">
        <v>1218</v>
      </c>
      <c r="T10" s="122">
        <v>1.56</v>
      </c>
      <c r="U10" s="120" t="s">
        <v>824</v>
      </c>
      <c r="V10" s="123">
        <v>6.6000000000000003E-2</v>
      </c>
      <c r="W10" s="120"/>
      <c r="X10" s="120"/>
      <c r="Y10" s="123"/>
      <c r="Z10" s="123">
        <v>6.3600000000000004E-2</v>
      </c>
      <c r="AA10" s="124">
        <v>46471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45838</v>
      </c>
      <c r="AO10" s="120"/>
      <c r="AP10" s="123"/>
      <c r="AQ10" s="122">
        <v>1931057</v>
      </c>
      <c r="AR10" s="122">
        <v>100.69</v>
      </c>
      <c r="AS10" s="122">
        <v>1</v>
      </c>
      <c r="AT10" s="122">
        <v>1944.38129</v>
      </c>
      <c r="AU10" s="122">
        <v>1944.38129</v>
      </c>
      <c r="AV10" s="120"/>
      <c r="AW10" s="120"/>
      <c r="AX10" s="120"/>
      <c r="AY10" s="120"/>
      <c r="AZ10" s="123">
        <v>6.7699999999999998E-4</v>
      </c>
      <c r="BA10" s="123">
        <v>3.1999999999999999E-5</v>
      </c>
    </row>
    <row r="11" spans="1:53" ht="15" customHeight="1">
      <c r="A11" s="121">
        <v>313</v>
      </c>
      <c r="B11" s="121">
        <v>313</v>
      </c>
      <c r="C11" s="121"/>
      <c r="D11" s="120"/>
      <c r="E11" s="120"/>
      <c r="F11" s="121">
        <v>74006196</v>
      </c>
      <c r="G11" s="120" t="s">
        <v>1013</v>
      </c>
      <c r="H11" s="120" t="s">
        <v>812</v>
      </c>
      <c r="I11" s="120" t="s">
        <v>203</v>
      </c>
      <c r="J11" s="120"/>
      <c r="K11" s="120" t="s">
        <v>446</v>
      </c>
      <c r="L11" s="120" t="s">
        <v>338</v>
      </c>
      <c r="M11" s="120" t="s">
        <v>337</v>
      </c>
      <c r="N11" s="121"/>
      <c r="O11" s="124">
        <v>45487</v>
      </c>
      <c r="P11" s="120" t="s">
        <v>1304</v>
      </c>
      <c r="Q11" s="120" t="s">
        <v>414</v>
      </c>
      <c r="R11" s="120" t="s">
        <v>407</v>
      </c>
      <c r="S11" s="120" t="s">
        <v>1218</v>
      </c>
      <c r="T11" s="122">
        <v>1.56</v>
      </c>
      <c r="U11" s="120" t="s">
        <v>824</v>
      </c>
      <c r="V11" s="123">
        <v>6.6000000000000003E-2</v>
      </c>
      <c r="W11" s="120"/>
      <c r="X11" s="120"/>
      <c r="Y11" s="123"/>
      <c r="Z11" s="123">
        <v>6.3600000000000004E-2</v>
      </c>
      <c r="AA11" s="124">
        <v>46471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338</v>
      </c>
      <c r="AK11" s="120" t="s">
        <v>887</v>
      </c>
      <c r="AL11" s="120"/>
      <c r="AM11" s="120" t="s">
        <v>890</v>
      </c>
      <c r="AN11" s="124">
        <v>45838</v>
      </c>
      <c r="AO11" s="120"/>
      <c r="AP11" s="123"/>
      <c r="AQ11" s="122">
        <v>2507989.75</v>
      </c>
      <c r="AR11" s="122">
        <v>100.69</v>
      </c>
      <c r="AS11" s="122">
        <v>1</v>
      </c>
      <c r="AT11" s="122">
        <v>2525.2948799999999</v>
      </c>
      <c r="AU11" s="122">
        <v>2525.2948799999999</v>
      </c>
      <c r="AV11" s="120"/>
      <c r="AW11" s="120"/>
      <c r="AX11" s="120"/>
      <c r="AY11" s="120"/>
      <c r="AZ11" s="123">
        <v>8.7900000000000001E-4</v>
      </c>
      <c r="BA11" s="123">
        <v>4.1999999999999998E-5</v>
      </c>
    </row>
    <row r="12" spans="1:53" ht="15" customHeight="1">
      <c r="A12" s="121">
        <v>313</v>
      </c>
      <c r="B12" s="121">
        <v>313</v>
      </c>
      <c r="C12" s="121"/>
      <c r="D12" s="120"/>
      <c r="E12" s="120"/>
      <c r="F12" s="121">
        <v>74006197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45518</v>
      </c>
      <c r="P12" s="120" t="s">
        <v>1304</v>
      </c>
      <c r="Q12" s="120" t="s">
        <v>414</v>
      </c>
      <c r="R12" s="120" t="s">
        <v>407</v>
      </c>
      <c r="S12" s="120" t="s">
        <v>1218</v>
      </c>
      <c r="T12" s="122">
        <v>1.56</v>
      </c>
      <c r="U12" s="120" t="s">
        <v>824</v>
      </c>
      <c r="V12" s="123">
        <v>6.6000000000000003E-2</v>
      </c>
      <c r="W12" s="120"/>
      <c r="X12" s="120"/>
      <c r="Y12" s="123"/>
      <c r="Z12" s="123">
        <v>6.3600000000000004E-2</v>
      </c>
      <c r="AA12" s="124">
        <v>46471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338</v>
      </c>
      <c r="AK12" s="120" t="s">
        <v>887</v>
      </c>
      <c r="AL12" s="120"/>
      <c r="AM12" s="120" t="s">
        <v>890</v>
      </c>
      <c r="AN12" s="124">
        <v>45838</v>
      </c>
      <c r="AO12" s="120"/>
      <c r="AP12" s="123"/>
      <c r="AQ12" s="122">
        <v>1791989</v>
      </c>
      <c r="AR12" s="122">
        <v>100.69</v>
      </c>
      <c r="AS12" s="122">
        <v>1</v>
      </c>
      <c r="AT12" s="122">
        <v>1804.3537200000001</v>
      </c>
      <c r="AU12" s="122">
        <v>1804.3537200000001</v>
      </c>
      <c r="AV12" s="120"/>
      <c r="AW12" s="120"/>
      <c r="AX12" s="120"/>
      <c r="AY12" s="120"/>
      <c r="AZ12" s="123">
        <v>6.2799999999999998E-4</v>
      </c>
      <c r="BA12" s="123">
        <v>3.0000000000000001E-5</v>
      </c>
    </row>
    <row r="13" spans="1:53" ht="15" customHeight="1">
      <c r="A13" s="121">
        <v>313</v>
      </c>
      <c r="B13" s="121">
        <v>313</v>
      </c>
      <c r="C13" s="121"/>
      <c r="D13" s="120"/>
      <c r="E13" s="120"/>
      <c r="F13" s="121">
        <v>74006198</v>
      </c>
      <c r="G13" s="120" t="s">
        <v>1013</v>
      </c>
      <c r="H13" s="120" t="s">
        <v>812</v>
      </c>
      <c r="I13" s="120" t="s">
        <v>203</v>
      </c>
      <c r="J13" s="120"/>
      <c r="K13" s="120" t="s">
        <v>446</v>
      </c>
      <c r="L13" s="120" t="s">
        <v>338</v>
      </c>
      <c r="M13" s="120" t="s">
        <v>337</v>
      </c>
      <c r="N13" s="121"/>
      <c r="O13" s="124">
        <v>45550</v>
      </c>
      <c r="P13" s="120" t="s">
        <v>1304</v>
      </c>
      <c r="Q13" s="120" t="s">
        <v>414</v>
      </c>
      <c r="R13" s="120" t="s">
        <v>407</v>
      </c>
      <c r="S13" s="120" t="s">
        <v>1218</v>
      </c>
      <c r="T13" s="122">
        <v>1.56</v>
      </c>
      <c r="U13" s="120" t="s">
        <v>824</v>
      </c>
      <c r="V13" s="123">
        <v>6.6000000000000003E-2</v>
      </c>
      <c r="W13" s="120"/>
      <c r="X13" s="120"/>
      <c r="Y13" s="123"/>
      <c r="Z13" s="123">
        <v>6.3600000000000004E-2</v>
      </c>
      <c r="AA13" s="124">
        <v>46471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338</v>
      </c>
      <c r="AK13" s="120" t="s">
        <v>887</v>
      </c>
      <c r="AL13" s="120"/>
      <c r="AM13" s="120" t="s">
        <v>890</v>
      </c>
      <c r="AN13" s="124">
        <v>45838</v>
      </c>
      <c r="AO13" s="120"/>
      <c r="AP13" s="123"/>
      <c r="AQ13" s="122">
        <v>2737650</v>
      </c>
      <c r="AR13" s="122">
        <v>100.69</v>
      </c>
      <c r="AS13" s="122">
        <v>1</v>
      </c>
      <c r="AT13" s="122">
        <v>2756.5397899999998</v>
      </c>
      <c r="AU13" s="122">
        <v>2756.5397899999998</v>
      </c>
      <c r="AV13" s="120"/>
      <c r="AW13" s="120"/>
      <c r="AX13" s="120"/>
      <c r="AY13" s="120"/>
      <c r="AZ13" s="123">
        <v>9.6000000000000002E-4</v>
      </c>
      <c r="BA13" s="123">
        <v>4.5000000000000003E-5</v>
      </c>
    </row>
    <row r="14" spans="1:53" ht="15" customHeight="1">
      <c r="A14" s="121">
        <v>313</v>
      </c>
      <c r="B14" s="121">
        <v>313</v>
      </c>
      <c r="C14" s="121"/>
      <c r="D14" s="120"/>
      <c r="E14" s="120"/>
      <c r="F14" s="121">
        <v>74006199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45579</v>
      </c>
      <c r="P14" s="120" t="s">
        <v>1304</v>
      </c>
      <c r="Q14" s="120" t="s">
        <v>414</v>
      </c>
      <c r="R14" s="120" t="s">
        <v>407</v>
      </c>
      <c r="S14" s="120" t="s">
        <v>1218</v>
      </c>
      <c r="T14" s="122">
        <v>1.56</v>
      </c>
      <c r="U14" s="120" t="s">
        <v>824</v>
      </c>
      <c r="V14" s="123">
        <v>6.6000000000000003E-2</v>
      </c>
      <c r="W14" s="120"/>
      <c r="X14" s="120"/>
      <c r="Y14" s="123"/>
      <c r="Z14" s="123">
        <v>6.3600000000000004E-2</v>
      </c>
      <c r="AA14" s="124">
        <v>46471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45838</v>
      </c>
      <c r="AO14" s="120"/>
      <c r="AP14" s="123"/>
      <c r="AQ14" s="122">
        <v>2006551</v>
      </c>
      <c r="AR14" s="122">
        <v>100.68</v>
      </c>
      <c r="AS14" s="122">
        <v>1</v>
      </c>
      <c r="AT14" s="122">
        <v>2020.1955499999999</v>
      </c>
      <c r="AU14" s="122">
        <v>2020.1955499999999</v>
      </c>
      <c r="AV14" s="120"/>
      <c r="AW14" s="120"/>
      <c r="AX14" s="120"/>
      <c r="AY14" s="120"/>
      <c r="AZ14" s="123">
        <v>7.0299999999999996E-4</v>
      </c>
      <c r="BA14" s="123">
        <v>3.3000000000000003E-5</v>
      </c>
    </row>
    <row r="15" spans="1:53" ht="15" customHeight="1">
      <c r="A15" s="121">
        <v>313</v>
      </c>
      <c r="B15" s="121">
        <v>313</v>
      </c>
      <c r="C15" s="121"/>
      <c r="D15" s="120"/>
      <c r="E15" s="120"/>
      <c r="F15" s="121">
        <v>74006200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45609</v>
      </c>
      <c r="P15" s="120" t="s">
        <v>1304</v>
      </c>
      <c r="Q15" s="120" t="s">
        <v>414</v>
      </c>
      <c r="R15" s="120" t="s">
        <v>407</v>
      </c>
      <c r="S15" s="120" t="s">
        <v>1218</v>
      </c>
      <c r="T15" s="122">
        <v>1.56</v>
      </c>
      <c r="U15" s="120" t="s">
        <v>824</v>
      </c>
      <c r="V15" s="123">
        <v>6.6000000000000003E-2</v>
      </c>
      <c r="W15" s="120"/>
      <c r="X15" s="120"/>
      <c r="Y15" s="123"/>
      <c r="Z15" s="123">
        <v>6.4199999999999993E-2</v>
      </c>
      <c r="AA15" s="124">
        <v>46471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45838</v>
      </c>
      <c r="AO15" s="120"/>
      <c r="AP15" s="123"/>
      <c r="AQ15" s="122">
        <v>1625107</v>
      </c>
      <c r="AR15" s="122">
        <v>100.59</v>
      </c>
      <c r="AS15" s="122">
        <v>1</v>
      </c>
      <c r="AT15" s="122">
        <v>1634.6951300000001</v>
      </c>
      <c r="AU15" s="122">
        <v>1634.6951300000001</v>
      </c>
      <c r="AV15" s="120"/>
      <c r="AW15" s="120"/>
      <c r="AX15" s="120"/>
      <c r="AY15" s="120"/>
      <c r="AZ15" s="123">
        <v>5.6899999999999995E-4</v>
      </c>
      <c r="BA15" s="123">
        <v>2.6999999999999999E-5</v>
      </c>
    </row>
    <row r="16" spans="1:53" ht="15" customHeight="1">
      <c r="A16" s="121">
        <v>313</v>
      </c>
      <c r="B16" s="121">
        <v>313</v>
      </c>
      <c r="C16" s="121"/>
      <c r="D16" s="120"/>
      <c r="E16" s="120"/>
      <c r="F16" s="121">
        <v>74006201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45641</v>
      </c>
      <c r="P16" s="120" t="s">
        <v>1304</v>
      </c>
      <c r="Q16" s="120" t="s">
        <v>414</v>
      </c>
      <c r="R16" s="120" t="s">
        <v>407</v>
      </c>
      <c r="S16" s="120" t="s">
        <v>1218</v>
      </c>
      <c r="T16" s="122">
        <v>1.56</v>
      </c>
      <c r="U16" s="120" t="s">
        <v>824</v>
      </c>
      <c r="V16" s="123">
        <v>6.6000000000000003E-2</v>
      </c>
      <c r="W16" s="120"/>
      <c r="X16" s="120"/>
      <c r="Y16" s="123"/>
      <c r="Z16" s="123">
        <v>6.4000000000000001E-2</v>
      </c>
      <c r="AA16" s="124">
        <v>46471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338</v>
      </c>
      <c r="AK16" s="120" t="s">
        <v>887</v>
      </c>
      <c r="AL16" s="120"/>
      <c r="AM16" s="120" t="s">
        <v>890</v>
      </c>
      <c r="AN16" s="124">
        <v>45838</v>
      </c>
      <c r="AO16" s="120"/>
      <c r="AP16" s="123"/>
      <c r="AQ16" s="122">
        <v>2571564</v>
      </c>
      <c r="AR16" s="122">
        <v>100.63</v>
      </c>
      <c r="AS16" s="122">
        <v>1</v>
      </c>
      <c r="AT16" s="122">
        <v>2587.76485</v>
      </c>
      <c r="AU16" s="122">
        <v>2587.76485</v>
      </c>
      <c r="AV16" s="120"/>
      <c r="AW16" s="120"/>
      <c r="AX16" s="120"/>
      <c r="AY16" s="120"/>
      <c r="AZ16" s="123">
        <v>9.01E-4</v>
      </c>
      <c r="BA16" s="123">
        <v>4.3000000000000002E-5</v>
      </c>
    </row>
    <row r="17" spans="1:53" ht="15" customHeight="1">
      <c r="A17" s="121">
        <v>313</v>
      </c>
      <c r="B17" s="121">
        <v>313</v>
      </c>
      <c r="C17" s="121"/>
      <c r="D17" s="120"/>
      <c r="E17" s="120"/>
      <c r="F17" s="121">
        <v>74006202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45656</v>
      </c>
      <c r="P17" s="120" t="s">
        <v>1304</v>
      </c>
      <c r="Q17" s="120" t="s">
        <v>414</v>
      </c>
      <c r="R17" s="120" t="s">
        <v>407</v>
      </c>
      <c r="S17" s="120" t="s">
        <v>1218</v>
      </c>
      <c r="T17" s="122">
        <v>1.63</v>
      </c>
      <c r="U17" s="120" t="s">
        <v>824</v>
      </c>
      <c r="V17" s="123">
        <v>6.6000000000000003E-2</v>
      </c>
      <c r="W17" s="120"/>
      <c r="X17" s="120"/>
      <c r="Y17" s="123"/>
      <c r="Z17" s="123">
        <v>-2.8E-3</v>
      </c>
      <c r="AA17" s="124">
        <v>46471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338</v>
      </c>
      <c r="AK17" s="120" t="s">
        <v>887</v>
      </c>
      <c r="AL17" s="120"/>
      <c r="AM17" s="120" t="s">
        <v>890</v>
      </c>
      <c r="AN17" s="124">
        <v>45838</v>
      </c>
      <c r="AO17" s="120"/>
      <c r="AP17" s="123"/>
      <c r="AQ17" s="122">
        <v>3444910</v>
      </c>
      <c r="AR17" s="122">
        <v>100.46</v>
      </c>
      <c r="AS17" s="122">
        <v>1</v>
      </c>
      <c r="AT17" s="122">
        <v>3460.75659</v>
      </c>
      <c r="AU17" s="122">
        <v>3460.75659</v>
      </c>
      <c r="AV17" s="120"/>
      <c r="AW17" s="120"/>
      <c r="AX17" s="120"/>
      <c r="AY17" s="120"/>
      <c r="AZ17" s="123">
        <v>1.2049999999999999E-3</v>
      </c>
      <c r="BA17" s="123">
        <v>5.7000000000000003E-5</v>
      </c>
    </row>
    <row r="18" spans="1:53" ht="15" customHeight="1">
      <c r="A18" s="121">
        <v>313</v>
      </c>
      <c r="B18" s="121">
        <v>313</v>
      </c>
      <c r="C18" s="121"/>
      <c r="D18" s="120"/>
      <c r="E18" s="120"/>
      <c r="F18" s="121">
        <v>74006190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45365</v>
      </c>
      <c r="P18" s="120" t="s">
        <v>1304</v>
      </c>
      <c r="Q18" s="120" t="s">
        <v>414</v>
      </c>
      <c r="R18" s="120" t="s">
        <v>407</v>
      </c>
      <c r="S18" s="120" t="s">
        <v>1218</v>
      </c>
      <c r="T18" s="122">
        <v>1.56</v>
      </c>
      <c r="U18" s="120" t="s">
        <v>824</v>
      </c>
      <c r="V18" s="123">
        <v>6.6000000000000003E-2</v>
      </c>
      <c r="W18" s="120"/>
      <c r="X18" s="120"/>
      <c r="Y18" s="123"/>
      <c r="Z18" s="123">
        <v>6.3500000000000001E-2</v>
      </c>
      <c r="AA18" s="124">
        <v>46471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45838</v>
      </c>
      <c r="AO18" s="120"/>
      <c r="AP18" s="123"/>
      <c r="AQ18" s="122">
        <v>3001482</v>
      </c>
      <c r="AR18" s="122">
        <v>100.7</v>
      </c>
      <c r="AS18" s="122">
        <v>1</v>
      </c>
      <c r="AT18" s="122">
        <v>3022.4923699999999</v>
      </c>
      <c r="AU18" s="122">
        <v>3022.4923699999999</v>
      </c>
      <c r="AV18" s="120"/>
      <c r="AW18" s="120"/>
      <c r="AX18" s="120"/>
      <c r="AY18" s="120"/>
      <c r="AZ18" s="123">
        <v>1.052E-3</v>
      </c>
      <c r="BA18" s="123">
        <v>5.0000000000000002E-5</v>
      </c>
    </row>
    <row r="19" spans="1:53" ht="15" customHeight="1">
      <c r="A19" s="121">
        <v>313</v>
      </c>
      <c r="B19" s="121">
        <v>313</v>
      </c>
      <c r="C19" s="121"/>
      <c r="D19" s="120"/>
      <c r="E19" s="120"/>
      <c r="F19" s="121">
        <v>74006189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45336</v>
      </c>
      <c r="P19" s="120" t="s">
        <v>1304</v>
      </c>
      <c r="Q19" s="120" t="s">
        <v>414</v>
      </c>
      <c r="R19" s="120" t="s">
        <v>407</v>
      </c>
      <c r="S19" s="120" t="s">
        <v>1218</v>
      </c>
      <c r="T19" s="122">
        <v>1.56</v>
      </c>
      <c r="U19" s="120" t="s">
        <v>824</v>
      </c>
      <c r="V19" s="123">
        <v>6.6000000000000003E-2</v>
      </c>
      <c r="W19" s="120"/>
      <c r="X19" s="120"/>
      <c r="Y19" s="123"/>
      <c r="Z19" s="123">
        <v>6.3500000000000001E-2</v>
      </c>
      <c r="AA19" s="124">
        <v>46471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45838</v>
      </c>
      <c r="AO19" s="120"/>
      <c r="AP19" s="123"/>
      <c r="AQ19" s="122">
        <v>1307238</v>
      </c>
      <c r="AR19" s="122">
        <v>100.7</v>
      </c>
      <c r="AS19" s="122">
        <v>1</v>
      </c>
      <c r="AT19" s="122">
        <v>1316.38867</v>
      </c>
      <c r="AU19" s="122">
        <v>1316.38867</v>
      </c>
      <c r="AV19" s="120"/>
      <c r="AW19" s="120"/>
      <c r="AX19" s="120"/>
      <c r="AY19" s="120"/>
      <c r="AZ19" s="123">
        <v>4.5800000000000002E-4</v>
      </c>
      <c r="BA19" s="123">
        <v>2.0999999999999999E-5</v>
      </c>
    </row>
    <row r="20" spans="1:53" ht="15" customHeight="1">
      <c r="A20" s="121">
        <v>313</v>
      </c>
      <c r="B20" s="121">
        <v>313</v>
      </c>
      <c r="C20" s="121"/>
      <c r="D20" s="120"/>
      <c r="E20" s="120"/>
      <c r="F20" s="121">
        <v>74006188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45305</v>
      </c>
      <c r="P20" s="120" t="s">
        <v>1304</v>
      </c>
      <c r="Q20" s="120" t="s">
        <v>414</v>
      </c>
      <c r="R20" s="120" t="s">
        <v>407</v>
      </c>
      <c r="S20" s="120" t="s">
        <v>1218</v>
      </c>
      <c r="T20" s="122">
        <v>1.56</v>
      </c>
      <c r="U20" s="120" t="s">
        <v>824</v>
      </c>
      <c r="V20" s="123">
        <v>6.6000000000000003E-2</v>
      </c>
      <c r="W20" s="120"/>
      <c r="X20" s="120"/>
      <c r="Y20" s="123"/>
      <c r="Z20" s="123">
        <v>6.3399999999999998E-2</v>
      </c>
      <c r="AA20" s="124">
        <v>46471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45838</v>
      </c>
      <c r="AO20" s="120"/>
      <c r="AP20" s="123"/>
      <c r="AQ20" s="122">
        <v>1255584</v>
      </c>
      <c r="AR20" s="122">
        <v>100.71</v>
      </c>
      <c r="AS20" s="122">
        <v>1</v>
      </c>
      <c r="AT20" s="122">
        <v>1264.49865</v>
      </c>
      <c r="AU20" s="122">
        <v>1264.49865</v>
      </c>
      <c r="AV20" s="120"/>
      <c r="AW20" s="120"/>
      <c r="AX20" s="120"/>
      <c r="AY20" s="120"/>
      <c r="AZ20" s="123">
        <v>4.4000000000000002E-4</v>
      </c>
      <c r="BA20" s="123">
        <v>2.0999999999999999E-5</v>
      </c>
    </row>
    <row r="21" spans="1:53" ht="15" customHeight="1">
      <c r="A21" s="121">
        <v>313</v>
      </c>
      <c r="B21" s="121">
        <v>313</v>
      </c>
      <c r="C21" s="121"/>
      <c r="D21" s="120"/>
      <c r="E21" s="120"/>
      <c r="F21" s="121">
        <v>74006187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45274</v>
      </c>
      <c r="P21" s="120" t="s">
        <v>1304</v>
      </c>
      <c r="Q21" s="120" t="s">
        <v>414</v>
      </c>
      <c r="R21" s="120" t="s">
        <v>407</v>
      </c>
      <c r="S21" s="120" t="s">
        <v>1218</v>
      </c>
      <c r="T21" s="122">
        <v>1.56</v>
      </c>
      <c r="U21" s="120" t="s">
        <v>824</v>
      </c>
      <c r="V21" s="123">
        <v>6.6000000000000003E-2</v>
      </c>
      <c r="W21" s="120"/>
      <c r="X21" s="120"/>
      <c r="Y21" s="123"/>
      <c r="Z21" s="123">
        <v>6.3399999999999998E-2</v>
      </c>
      <c r="AA21" s="124">
        <v>46471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45838</v>
      </c>
      <c r="AO21" s="120"/>
      <c r="AP21" s="123"/>
      <c r="AQ21" s="122">
        <v>1207904</v>
      </c>
      <c r="AR21" s="122">
        <v>100.71</v>
      </c>
      <c r="AS21" s="122">
        <v>1</v>
      </c>
      <c r="AT21" s="122">
        <v>1216.4801199999999</v>
      </c>
      <c r="AU21" s="122">
        <v>1216.4801199999999</v>
      </c>
      <c r="AV21" s="120"/>
      <c r="AW21" s="120"/>
      <c r="AX21" s="120"/>
      <c r="AY21" s="120"/>
      <c r="AZ21" s="123">
        <v>4.2299999999999998E-4</v>
      </c>
      <c r="BA21" s="123">
        <v>2.0000000000000002E-5</v>
      </c>
    </row>
    <row r="22" spans="1:53" ht="15" customHeight="1">
      <c r="A22" s="121">
        <v>313</v>
      </c>
      <c r="B22" s="121">
        <v>313</v>
      </c>
      <c r="C22" s="121"/>
      <c r="D22" s="120"/>
      <c r="E22" s="120"/>
      <c r="F22" s="121">
        <v>74006166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44664</v>
      </c>
      <c r="P22" s="120" t="s">
        <v>1304</v>
      </c>
      <c r="Q22" s="120" t="s">
        <v>414</v>
      </c>
      <c r="R22" s="120" t="s">
        <v>407</v>
      </c>
      <c r="S22" s="120" t="s">
        <v>1218</v>
      </c>
      <c r="T22" s="122">
        <v>1.56</v>
      </c>
      <c r="U22" s="120" t="s">
        <v>824</v>
      </c>
      <c r="V22" s="123">
        <v>6.6000000000000003E-2</v>
      </c>
      <c r="W22" s="120"/>
      <c r="X22" s="120"/>
      <c r="Y22" s="123"/>
      <c r="Z22" s="123">
        <v>6.3399999999999998E-2</v>
      </c>
      <c r="AA22" s="124">
        <v>46471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45838</v>
      </c>
      <c r="AO22" s="120"/>
      <c r="AP22" s="123"/>
      <c r="AQ22" s="122">
        <v>1462199</v>
      </c>
      <c r="AR22" s="122">
        <v>100.71</v>
      </c>
      <c r="AS22" s="122">
        <v>1</v>
      </c>
      <c r="AT22" s="122">
        <v>1472.58061</v>
      </c>
      <c r="AU22" s="122">
        <v>1472.58061</v>
      </c>
      <c r="AV22" s="120"/>
      <c r="AW22" s="120"/>
      <c r="AX22" s="120"/>
      <c r="AY22" s="120"/>
      <c r="AZ22" s="123">
        <v>5.1199999999999998E-4</v>
      </c>
      <c r="BA22" s="123">
        <v>2.4000000000000001E-5</v>
      </c>
    </row>
    <row r="23" spans="1:53" ht="15" customHeight="1">
      <c r="A23" s="121">
        <v>313</v>
      </c>
      <c r="B23" s="121">
        <v>313</v>
      </c>
      <c r="C23" s="121"/>
      <c r="D23" s="120"/>
      <c r="E23" s="120"/>
      <c r="F23" s="121">
        <v>74006174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44859</v>
      </c>
      <c r="P23" s="120" t="s">
        <v>1304</v>
      </c>
      <c r="Q23" s="120" t="s">
        <v>414</v>
      </c>
      <c r="R23" s="120" t="s">
        <v>407</v>
      </c>
      <c r="S23" s="120" t="s">
        <v>1218</v>
      </c>
      <c r="T23" s="122">
        <v>1.56</v>
      </c>
      <c r="U23" s="120" t="s">
        <v>824</v>
      </c>
      <c r="V23" s="123">
        <v>6.6000000000000003E-2</v>
      </c>
      <c r="W23" s="120"/>
      <c r="X23" s="120"/>
      <c r="Y23" s="123"/>
      <c r="Z23" s="123">
        <v>6.3399999999999998E-2</v>
      </c>
      <c r="AA23" s="124">
        <v>46471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45838</v>
      </c>
      <c r="AO23" s="120"/>
      <c r="AP23" s="123"/>
      <c r="AQ23" s="122">
        <v>171332</v>
      </c>
      <c r="AR23" s="122">
        <v>100.71</v>
      </c>
      <c r="AS23" s="122">
        <v>1</v>
      </c>
      <c r="AT23" s="122">
        <v>172.54846000000001</v>
      </c>
      <c r="AU23" s="122">
        <v>172.54846000000001</v>
      </c>
      <c r="AV23" s="120"/>
      <c r="AW23" s="120"/>
      <c r="AX23" s="120"/>
      <c r="AY23" s="120"/>
      <c r="AZ23" s="123">
        <v>6.0000000000000002E-5</v>
      </c>
      <c r="BA23" s="123">
        <v>1.9999999999999999E-6</v>
      </c>
    </row>
    <row r="24" spans="1:53" ht="15" customHeight="1">
      <c r="A24" s="121">
        <v>313</v>
      </c>
      <c r="B24" s="121">
        <v>313</v>
      </c>
      <c r="C24" s="121"/>
      <c r="D24" s="120"/>
      <c r="E24" s="120"/>
      <c r="F24" s="121">
        <v>74006175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44879</v>
      </c>
      <c r="P24" s="120" t="s">
        <v>1304</v>
      </c>
      <c r="Q24" s="120" t="s">
        <v>414</v>
      </c>
      <c r="R24" s="120" t="s">
        <v>407</v>
      </c>
      <c r="S24" s="120" t="s">
        <v>1218</v>
      </c>
      <c r="T24" s="122">
        <v>1.56</v>
      </c>
      <c r="U24" s="120" t="s">
        <v>824</v>
      </c>
      <c r="V24" s="123">
        <v>6.6000000000000003E-2</v>
      </c>
      <c r="W24" s="120"/>
      <c r="X24" s="120"/>
      <c r="Y24" s="123"/>
      <c r="Z24" s="123">
        <v>6.3399999999999998E-2</v>
      </c>
      <c r="AA24" s="124">
        <v>46471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45838</v>
      </c>
      <c r="AO24" s="120"/>
      <c r="AP24" s="123"/>
      <c r="AQ24" s="122">
        <v>1966817</v>
      </c>
      <c r="AR24" s="122">
        <v>100.71</v>
      </c>
      <c r="AS24" s="122">
        <v>1</v>
      </c>
      <c r="AT24" s="122">
        <v>1980.7814000000001</v>
      </c>
      <c r="AU24" s="122">
        <v>1980.7814000000001</v>
      </c>
      <c r="AV24" s="120"/>
      <c r="AW24" s="120"/>
      <c r="AX24" s="120"/>
      <c r="AY24" s="120"/>
      <c r="AZ24" s="123">
        <v>6.8900000000000005E-4</v>
      </c>
      <c r="BA24" s="123">
        <v>3.1999999999999999E-5</v>
      </c>
    </row>
    <row r="25" spans="1:53" ht="15" customHeight="1">
      <c r="A25" s="121">
        <v>313</v>
      </c>
      <c r="B25" s="121">
        <v>313</v>
      </c>
      <c r="C25" s="121"/>
      <c r="D25" s="120"/>
      <c r="E25" s="120"/>
      <c r="F25" s="121">
        <v>74006176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44909</v>
      </c>
      <c r="P25" s="120" t="s">
        <v>1304</v>
      </c>
      <c r="Q25" s="120" t="s">
        <v>414</v>
      </c>
      <c r="R25" s="120" t="s">
        <v>407</v>
      </c>
      <c r="S25" s="120" t="s">
        <v>1218</v>
      </c>
      <c r="T25" s="122">
        <v>1.56</v>
      </c>
      <c r="U25" s="120" t="s">
        <v>824</v>
      </c>
      <c r="V25" s="123">
        <v>6.6000000000000003E-2</v>
      </c>
      <c r="W25" s="120"/>
      <c r="X25" s="120"/>
      <c r="Y25" s="123"/>
      <c r="Z25" s="123">
        <v>6.3399999999999998E-2</v>
      </c>
      <c r="AA25" s="124">
        <v>46471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45838</v>
      </c>
      <c r="AO25" s="120"/>
      <c r="AP25" s="123"/>
      <c r="AQ25" s="122">
        <v>1589347</v>
      </c>
      <c r="AR25" s="122">
        <v>100.71</v>
      </c>
      <c r="AS25" s="122">
        <v>1</v>
      </c>
      <c r="AT25" s="122">
        <v>1600.6313600000001</v>
      </c>
      <c r="AU25" s="122">
        <v>1600.6313600000001</v>
      </c>
      <c r="AV25" s="120"/>
      <c r="AW25" s="120"/>
      <c r="AX25" s="120"/>
      <c r="AY25" s="120"/>
      <c r="AZ25" s="123">
        <v>5.5699999999999999E-4</v>
      </c>
      <c r="BA25" s="123">
        <v>2.5999999999999998E-5</v>
      </c>
    </row>
    <row r="26" spans="1:53" ht="15" customHeight="1">
      <c r="A26" s="121">
        <v>313</v>
      </c>
      <c r="B26" s="121">
        <v>313</v>
      </c>
      <c r="C26" s="121"/>
      <c r="D26" s="120"/>
      <c r="E26" s="120"/>
      <c r="F26" s="121">
        <v>74006177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44941</v>
      </c>
      <c r="P26" s="120" t="s">
        <v>1304</v>
      </c>
      <c r="Q26" s="120" t="s">
        <v>414</v>
      </c>
      <c r="R26" s="120" t="s">
        <v>407</v>
      </c>
      <c r="S26" s="120" t="s">
        <v>1218</v>
      </c>
      <c r="T26" s="122">
        <v>1.56</v>
      </c>
      <c r="U26" s="120" t="s">
        <v>824</v>
      </c>
      <c r="V26" s="123">
        <v>6.6000000000000003E-2</v>
      </c>
      <c r="W26" s="120"/>
      <c r="X26" s="120"/>
      <c r="Y26" s="123"/>
      <c r="Z26" s="123">
        <v>6.3399999999999998E-2</v>
      </c>
      <c r="AA26" s="124">
        <v>46471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45838</v>
      </c>
      <c r="AO26" s="120"/>
      <c r="AP26" s="123"/>
      <c r="AQ26" s="122">
        <v>2900558</v>
      </c>
      <c r="AR26" s="122">
        <v>100.71</v>
      </c>
      <c r="AS26" s="122">
        <v>1</v>
      </c>
      <c r="AT26" s="122">
        <v>2921.1519600000001</v>
      </c>
      <c r="AU26" s="122">
        <v>2921.1519600000001</v>
      </c>
      <c r="AV26" s="120"/>
      <c r="AW26" s="120"/>
      <c r="AX26" s="120"/>
      <c r="AY26" s="120"/>
      <c r="AZ26" s="123">
        <v>1.0169999999999999E-3</v>
      </c>
      <c r="BA26" s="123">
        <v>4.8000000000000001E-5</v>
      </c>
    </row>
    <row r="27" spans="1:53" ht="15" customHeight="1">
      <c r="A27" s="121">
        <v>313</v>
      </c>
      <c r="B27" s="121">
        <v>313</v>
      </c>
      <c r="C27" s="121"/>
      <c r="D27" s="120"/>
      <c r="E27" s="120"/>
      <c r="F27" s="121">
        <v>74006203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45732</v>
      </c>
      <c r="P27" s="120" t="s">
        <v>1304</v>
      </c>
      <c r="Q27" s="120" t="s">
        <v>414</v>
      </c>
      <c r="R27" s="120" t="s">
        <v>407</v>
      </c>
      <c r="S27" s="120" t="s">
        <v>1218</v>
      </c>
      <c r="T27" s="122">
        <v>1.56</v>
      </c>
      <c r="U27" s="120" t="s">
        <v>824</v>
      </c>
      <c r="V27" s="123">
        <v>6.6000000000000003E-2</v>
      </c>
      <c r="W27" s="120"/>
      <c r="X27" s="120"/>
      <c r="Y27" s="123"/>
      <c r="Z27" s="123">
        <v>6.5699999999999995E-2</v>
      </c>
      <c r="AA27" s="124">
        <v>46471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338</v>
      </c>
      <c r="AK27" s="120" t="s">
        <v>887</v>
      </c>
      <c r="AL27" s="120"/>
      <c r="AM27" s="120" t="s">
        <v>890</v>
      </c>
      <c r="AN27" s="124">
        <v>45838</v>
      </c>
      <c r="AO27" s="120"/>
      <c r="AP27" s="123"/>
      <c r="AQ27" s="122">
        <v>2778576</v>
      </c>
      <c r="AR27" s="122">
        <v>100.37</v>
      </c>
      <c r="AS27" s="122">
        <v>1</v>
      </c>
      <c r="AT27" s="122">
        <v>2788.85673</v>
      </c>
      <c r="AU27" s="122">
        <v>2788.85673</v>
      </c>
      <c r="AV27" s="120"/>
      <c r="AW27" s="120"/>
      <c r="AX27" s="120"/>
      <c r="AY27" s="120"/>
      <c r="AZ27" s="123">
        <v>9.7099999999999997E-4</v>
      </c>
      <c r="BA27" s="123">
        <v>4.6E-5</v>
      </c>
    </row>
    <row r="28" spans="1:53" ht="15" customHeight="1">
      <c r="A28" s="121">
        <v>313</v>
      </c>
      <c r="B28" s="121">
        <v>313</v>
      </c>
      <c r="C28" s="121"/>
      <c r="D28" s="120"/>
      <c r="E28" s="120"/>
      <c r="F28" s="121">
        <v>74006179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44971</v>
      </c>
      <c r="P28" s="120" t="s">
        <v>1304</v>
      </c>
      <c r="Q28" s="120" t="s">
        <v>414</v>
      </c>
      <c r="R28" s="120" t="s">
        <v>407</v>
      </c>
      <c r="S28" s="120" t="s">
        <v>1218</v>
      </c>
      <c r="T28" s="122">
        <v>1.56</v>
      </c>
      <c r="U28" s="120" t="s">
        <v>824</v>
      </c>
      <c r="V28" s="123">
        <v>6.6000000000000003E-2</v>
      </c>
      <c r="W28" s="120"/>
      <c r="X28" s="120"/>
      <c r="Y28" s="123"/>
      <c r="Z28" s="123">
        <v>6.3399999999999998E-2</v>
      </c>
      <c r="AA28" s="124">
        <v>46471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45838</v>
      </c>
      <c r="AO28" s="120"/>
      <c r="AP28" s="123"/>
      <c r="AQ28" s="122">
        <v>2288660</v>
      </c>
      <c r="AR28" s="122">
        <v>100.71</v>
      </c>
      <c r="AS28" s="122">
        <v>1</v>
      </c>
      <c r="AT28" s="122">
        <v>2304.90949</v>
      </c>
      <c r="AU28" s="122">
        <v>2304.90949</v>
      </c>
      <c r="AV28" s="120"/>
      <c r="AW28" s="120"/>
      <c r="AX28" s="120"/>
      <c r="AY28" s="120"/>
      <c r="AZ28" s="123">
        <v>8.0199999999999998E-4</v>
      </c>
      <c r="BA28" s="123">
        <v>3.8000000000000002E-5</v>
      </c>
    </row>
    <row r="29" spans="1:53" ht="15" customHeight="1">
      <c r="A29" s="121">
        <v>313</v>
      </c>
      <c r="B29" s="121">
        <v>313</v>
      </c>
      <c r="C29" s="121"/>
      <c r="D29" s="120"/>
      <c r="E29" s="120"/>
      <c r="F29" s="121">
        <v>74006181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45020</v>
      </c>
      <c r="P29" s="120" t="s">
        <v>1304</v>
      </c>
      <c r="Q29" s="120" t="s">
        <v>414</v>
      </c>
      <c r="R29" s="120" t="s">
        <v>407</v>
      </c>
      <c r="S29" s="120" t="s">
        <v>1218</v>
      </c>
      <c r="T29" s="122">
        <v>1.56</v>
      </c>
      <c r="U29" s="120" t="s">
        <v>824</v>
      </c>
      <c r="V29" s="123">
        <v>6.6000000000000003E-2</v>
      </c>
      <c r="W29" s="120"/>
      <c r="X29" s="120"/>
      <c r="Y29" s="123"/>
      <c r="Z29" s="123">
        <v>6.3399999999999998E-2</v>
      </c>
      <c r="AA29" s="124">
        <v>46471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45838</v>
      </c>
      <c r="AO29" s="120"/>
      <c r="AP29" s="123"/>
      <c r="AQ29" s="122">
        <v>2789304</v>
      </c>
      <c r="AR29" s="122">
        <v>100.72</v>
      </c>
      <c r="AS29" s="122">
        <v>1</v>
      </c>
      <c r="AT29" s="122">
        <v>2809.38699</v>
      </c>
      <c r="AU29" s="122">
        <v>2809.38699</v>
      </c>
      <c r="AV29" s="120"/>
      <c r="AW29" s="120"/>
      <c r="AX29" s="120"/>
      <c r="AY29" s="120"/>
      <c r="AZ29" s="123">
        <v>9.7799999999999992E-4</v>
      </c>
      <c r="BA29" s="123">
        <v>4.6E-5</v>
      </c>
    </row>
    <row r="30" spans="1:53" ht="15" customHeight="1">
      <c r="A30" s="121">
        <v>313</v>
      </c>
      <c r="B30" s="121">
        <v>313</v>
      </c>
      <c r="C30" s="121"/>
      <c r="D30" s="120"/>
      <c r="E30" s="120"/>
      <c r="F30" s="121">
        <v>74006182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45029</v>
      </c>
      <c r="P30" s="120" t="s">
        <v>1304</v>
      </c>
      <c r="Q30" s="120" t="s">
        <v>414</v>
      </c>
      <c r="R30" s="120" t="s">
        <v>407</v>
      </c>
      <c r="S30" s="120" t="s">
        <v>1218</v>
      </c>
      <c r="T30" s="122">
        <v>1.56</v>
      </c>
      <c r="U30" s="120" t="s">
        <v>824</v>
      </c>
      <c r="V30" s="123">
        <v>6.6000000000000003E-2</v>
      </c>
      <c r="W30" s="120"/>
      <c r="X30" s="120"/>
      <c r="Y30" s="123"/>
      <c r="Z30" s="123">
        <v>6.3399999999999998E-2</v>
      </c>
      <c r="AA30" s="124">
        <v>46471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45838</v>
      </c>
      <c r="AO30" s="120"/>
      <c r="AP30" s="123"/>
      <c r="AQ30" s="122">
        <v>2900558</v>
      </c>
      <c r="AR30" s="122">
        <v>100.72</v>
      </c>
      <c r="AS30" s="122">
        <v>1</v>
      </c>
      <c r="AT30" s="122">
        <v>2921.44202</v>
      </c>
      <c r="AU30" s="122">
        <v>2921.44202</v>
      </c>
      <c r="AV30" s="120"/>
      <c r="AW30" s="120"/>
      <c r="AX30" s="120"/>
      <c r="AY30" s="120"/>
      <c r="AZ30" s="123">
        <v>1.0169999999999999E-3</v>
      </c>
      <c r="BA30" s="123">
        <v>4.8000000000000001E-5</v>
      </c>
    </row>
    <row r="31" spans="1:53" ht="15" customHeight="1">
      <c r="A31" s="121">
        <v>313</v>
      </c>
      <c r="B31" s="121">
        <v>313</v>
      </c>
      <c r="C31" s="121"/>
      <c r="D31" s="120"/>
      <c r="E31" s="120"/>
      <c r="F31" s="121">
        <v>74006183</v>
      </c>
      <c r="G31" s="120" t="s">
        <v>1013</v>
      </c>
      <c r="H31" s="120" t="s">
        <v>812</v>
      </c>
      <c r="I31" s="120" t="s">
        <v>203</v>
      </c>
      <c r="J31" s="120"/>
      <c r="K31" s="120" t="s">
        <v>446</v>
      </c>
      <c r="L31" s="120" t="s">
        <v>338</v>
      </c>
      <c r="M31" s="120" t="s">
        <v>337</v>
      </c>
      <c r="N31" s="121"/>
      <c r="O31" s="124">
        <v>45060</v>
      </c>
      <c r="P31" s="120" t="s">
        <v>1304</v>
      </c>
      <c r="Q31" s="120" t="s">
        <v>414</v>
      </c>
      <c r="R31" s="120" t="s">
        <v>407</v>
      </c>
      <c r="S31" s="120" t="s">
        <v>1218</v>
      </c>
      <c r="T31" s="122">
        <v>1.56</v>
      </c>
      <c r="U31" s="120" t="s">
        <v>824</v>
      </c>
      <c r="V31" s="123">
        <v>6.6000000000000003E-2</v>
      </c>
      <c r="W31" s="120"/>
      <c r="X31" s="120"/>
      <c r="Y31" s="123"/>
      <c r="Z31" s="123">
        <v>6.3399999999999998E-2</v>
      </c>
      <c r="AA31" s="124">
        <v>46471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45838</v>
      </c>
      <c r="AO31" s="120"/>
      <c r="AP31" s="123"/>
      <c r="AQ31" s="122">
        <v>3723046</v>
      </c>
      <c r="AR31" s="122">
        <v>100.71</v>
      </c>
      <c r="AS31" s="122">
        <v>1</v>
      </c>
      <c r="AT31" s="122">
        <v>3749.4796299999998</v>
      </c>
      <c r="AU31" s="122">
        <v>3749.4796299999998</v>
      </c>
      <c r="AV31" s="120"/>
      <c r="AW31" s="120"/>
      <c r="AX31" s="120"/>
      <c r="AY31" s="120"/>
      <c r="AZ31" s="123">
        <v>1.305E-3</v>
      </c>
      <c r="BA31" s="123">
        <v>6.2000000000000003E-5</v>
      </c>
    </row>
    <row r="32" spans="1:53" ht="15" customHeight="1">
      <c r="A32" s="121">
        <v>313</v>
      </c>
      <c r="B32" s="121">
        <v>313</v>
      </c>
      <c r="C32" s="121"/>
      <c r="D32" s="120"/>
      <c r="E32" s="120"/>
      <c r="F32" s="121">
        <v>74006184</v>
      </c>
      <c r="G32" s="120" t="s">
        <v>1013</v>
      </c>
      <c r="H32" s="120" t="s">
        <v>812</v>
      </c>
      <c r="I32" s="120" t="s">
        <v>203</v>
      </c>
      <c r="J32" s="120"/>
      <c r="K32" s="120" t="s">
        <v>446</v>
      </c>
      <c r="L32" s="120" t="s">
        <v>338</v>
      </c>
      <c r="M32" s="120" t="s">
        <v>337</v>
      </c>
      <c r="N32" s="121"/>
      <c r="O32" s="124">
        <v>45214</v>
      </c>
      <c r="P32" s="120" t="s">
        <v>1304</v>
      </c>
      <c r="Q32" s="120" t="s">
        <v>414</v>
      </c>
      <c r="R32" s="120" t="s">
        <v>407</v>
      </c>
      <c r="S32" s="120" t="s">
        <v>1218</v>
      </c>
      <c r="T32" s="122">
        <v>1.56</v>
      </c>
      <c r="U32" s="120" t="s">
        <v>824</v>
      </c>
      <c r="V32" s="123">
        <v>6.6000000000000003E-2</v>
      </c>
      <c r="W32" s="120"/>
      <c r="X32" s="120"/>
      <c r="Y32" s="123"/>
      <c r="Z32" s="123">
        <v>6.3399999999999998E-2</v>
      </c>
      <c r="AA32" s="124">
        <v>46471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45838</v>
      </c>
      <c r="AO32" s="120"/>
      <c r="AP32" s="123"/>
      <c r="AQ32" s="122">
        <v>2205219</v>
      </c>
      <c r="AR32" s="122">
        <v>100.72</v>
      </c>
      <c r="AS32" s="122">
        <v>1</v>
      </c>
      <c r="AT32" s="122">
        <v>2221.0965799999999</v>
      </c>
      <c r="AU32" s="122">
        <v>2221.0965799999999</v>
      </c>
      <c r="AV32" s="120"/>
      <c r="AW32" s="120"/>
      <c r="AX32" s="120"/>
      <c r="AY32" s="120"/>
      <c r="AZ32" s="123">
        <v>7.7300000000000003E-4</v>
      </c>
      <c r="BA32" s="123">
        <v>3.6000000000000001E-5</v>
      </c>
    </row>
    <row r="33" spans="1:53" ht="15" customHeight="1">
      <c r="A33" s="121">
        <v>313</v>
      </c>
      <c r="B33" s="121">
        <v>313</v>
      </c>
      <c r="C33" s="121"/>
      <c r="D33" s="120"/>
      <c r="E33" s="120"/>
      <c r="F33" s="121">
        <v>74006185</v>
      </c>
      <c r="G33" s="120" t="s">
        <v>1013</v>
      </c>
      <c r="H33" s="120" t="s">
        <v>812</v>
      </c>
      <c r="I33" s="120" t="s">
        <v>203</v>
      </c>
      <c r="J33" s="120"/>
      <c r="K33" s="120" t="s">
        <v>446</v>
      </c>
      <c r="L33" s="120" t="s">
        <v>338</v>
      </c>
      <c r="M33" s="120" t="s">
        <v>337</v>
      </c>
      <c r="N33" s="121"/>
      <c r="O33" s="124">
        <v>45244</v>
      </c>
      <c r="P33" s="120" t="s">
        <v>1304</v>
      </c>
      <c r="Q33" s="120" t="s">
        <v>414</v>
      </c>
      <c r="R33" s="120" t="s">
        <v>407</v>
      </c>
      <c r="S33" s="120" t="s">
        <v>1218</v>
      </c>
      <c r="T33" s="122">
        <v>1.56</v>
      </c>
      <c r="U33" s="120" t="s">
        <v>824</v>
      </c>
      <c r="V33" s="123">
        <v>6.6000000000000003E-2</v>
      </c>
      <c r="W33" s="120"/>
      <c r="X33" s="120"/>
      <c r="Y33" s="123"/>
      <c r="Z33" s="123">
        <v>6.3399999999999998E-2</v>
      </c>
      <c r="AA33" s="124">
        <v>46471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45838</v>
      </c>
      <c r="AO33" s="120"/>
      <c r="AP33" s="123"/>
      <c r="AQ33" s="122">
        <v>1342998</v>
      </c>
      <c r="AR33" s="122">
        <v>100.72</v>
      </c>
      <c r="AS33" s="122">
        <v>1</v>
      </c>
      <c r="AT33" s="122">
        <v>1352.66759</v>
      </c>
      <c r="AU33" s="122">
        <v>1352.66759</v>
      </c>
      <c r="AV33" s="120"/>
      <c r="AW33" s="120"/>
      <c r="AX33" s="120"/>
      <c r="AY33" s="120"/>
      <c r="AZ33" s="123">
        <v>4.7100000000000001E-4</v>
      </c>
      <c r="BA33" s="123">
        <v>2.1999999999999999E-5</v>
      </c>
    </row>
    <row r="34" spans="1:53" ht="15" customHeight="1">
      <c r="A34" s="121">
        <v>313</v>
      </c>
      <c r="B34" s="121">
        <v>313</v>
      </c>
      <c r="C34" s="121"/>
      <c r="D34" s="120"/>
      <c r="E34" s="120"/>
      <c r="F34" s="121">
        <v>74006180</v>
      </c>
      <c r="G34" s="120" t="s">
        <v>1013</v>
      </c>
      <c r="H34" s="120" t="s">
        <v>812</v>
      </c>
      <c r="I34" s="120" t="s">
        <v>203</v>
      </c>
      <c r="J34" s="120"/>
      <c r="K34" s="120" t="s">
        <v>446</v>
      </c>
      <c r="L34" s="120" t="s">
        <v>338</v>
      </c>
      <c r="M34" s="120" t="s">
        <v>337</v>
      </c>
      <c r="N34" s="121"/>
      <c r="O34" s="124">
        <v>44999</v>
      </c>
      <c r="P34" s="120" t="s">
        <v>1304</v>
      </c>
      <c r="Q34" s="120" t="s">
        <v>414</v>
      </c>
      <c r="R34" s="120" t="s">
        <v>407</v>
      </c>
      <c r="S34" s="120" t="s">
        <v>1218</v>
      </c>
      <c r="T34" s="122">
        <v>1.56</v>
      </c>
      <c r="U34" s="120" t="s">
        <v>824</v>
      </c>
      <c r="V34" s="123">
        <v>6.6000000000000003E-2</v>
      </c>
      <c r="W34" s="120"/>
      <c r="X34" s="120"/>
      <c r="Y34" s="123"/>
      <c r="Z34" s="123">
        <v>6.3399999999999998E-2</v>
      </c>
      <c r="AA34" s="124">
        <v>46471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45838</v>
      </c>
      <c r="AO34" s="120"/>
      <c r="AP34" s="123"/>
      <c r="AQ34" s="122">
        <v>3357496</v>
      </c>
      <c r="AR34" s="122">
        <v>100.72</v>
      </c>
      <c r="AS34" s="122">
        <v>1</v>
      </c>
      <c r="AT34" s="122">
        <v>3381.6699699999999</v>
      </c>
      <c r="AU34" s="122">
        <v>3381.6699699999999</v>
      </c>
      <c r="AV34" s="120"/>
      <c r="AW34" s="120"/>
      <c r="AX34" s="120"/>
      <c r="AY34" s="120"/>
      <c r="AZ34" s="123">
        <v>1.1770000000000001E-3</v>
      </c>
      <c r="BA34" s="123">
        <v>5.5999999999999999E-5</v>
      </c>
    </row>
    <row r="35" spans="1:53" ht="15" customHeight="1">
      <c r="A35" s="121">
        <v>313</v>
      </c>
      <c r="B35" s="121">
        <v>313</v>
      </c>
      <c r="C35" s="121"/>
      <c r="D35" s="120"/>
      <c r="E35" s="120"/>
      <c r="F35" s="121">
        <v>74006204</v>
      </c>
      <c r="G35" s="120" t="s">
        <v>1013</v>
      </c>
      <c r="H35" s="120" t="s">
        <v>812</v>
      </c>
      <c r="I35" s="120" t="s">
        <v>203</v>
      </c>
      <c r="J35" s="120"/>
      <c r="K35" s="120" t="s">
        <v>446</v>
      </c>
      <c r="L35" s="120" t="s">
        <v>338</v>
      </c>
      <c r="M35" s="120" t="s">
        <v>337</v>
      </c>
      <c r="N35" s="121"/>
      <c r="O35" s="124">
        <v>45756</v>
      </c>
      <c r="P35" s="120" t="s">
        <v>1304</v>
      </c>
      <c r="Q35" s="120" t="s">
        <v>414</v>
      </c>
      <c r="R35" s="120" t="s">
        <v>407</v>
      </c>
      <c r="S35" s="120" t="s">
        <v>1218</v>
      </c>
      <c r="T35" s="122">
        <v>1.56</v>
      </c>
      <c r="U35" s="120" t="s">
        <v>824</v>
      </c>
      <c r="V35" s="123">
        <v>6.6000000000000003E-2</v>
      </c>
      <c r="W35" s="120"/>
      <c r="X35" s="120"/>
      <c r="Y35" s="123"/>
      <c r="Z35" s="123">
        <v>6.4399999999999999E-2</v>
      </c>
      <c r="AA35" s="124">
        <v>46471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338</v>
      </c>
      <c r="AK35" s="120" t="s">
        <v>887</v>
      </c>
      <c r="AL35" s="120"/>
      <c r="AM35" s="120" t="s">
        <v>890</v>
      </c>
      <c r="AN35" s="124">
        <v>45838</v>
      </c>
      <c r="AO35" s="120"/>
      <c r="AP35" s="123"/>
      <c r="AQ35" s="122">
        <v>2900558</v>
      </c>
      <c r="AR35" s="122">
        <v>100.56</v>
      </c>
      <c r="AS35" s="122">
        <v>1</v>
      </c>
      <c r="AT35" s="122">
        <v>2916.8011200000001</v>
      </c>
      <c r="AU35" s="122">
        <v>2916.8011200000001</v>
      </c>
      <c r="AV35" s="120"/>
      <c r="AW35" s="120"/>
      <c r="AX35" s="120"/>
      <c r="AY35" s="120"/>
      <c r="AZ35" s="123">
        <v>1.0150000000000001E-3</v>
      </c>
      <c r="BA35" s="123">
        <v>4.8000000000000001E-5</v>
      </c>
    </row>
    <row r="36" spans="1:53" ht="15" customHeight="1">
      <c r="A36" s="121">
        <v>313</v>
      </c>
      <c r="B36" s="121">
        <v>313</v>
      </c>
      <c r="C36" s="121"/>
      <c r="D36" s="120"/>
      <c r="E36" s="120"/>
      <c r="F36" s="121">
        <v>74006205</v>
      </c>
      <c r="G36" s="120" t="s">
        <v>1013</v>
      </c>
      <c r="H36" s="120" t="s">
        <v>812</v>
      </c>
      <c r="I36" s="120" t="s">
        <v>203</v>
      </c>
      <c r="J36" s="120"/>
      <c r="K36" s="120" t="s">
        <v>446</v>
      </c>
      <c r="L36" s="120" t="s">
        <v>338</v>
      </c>
      <c r="M36" s="120" t="s">
        <v>337</v>
      </c>
      <c r="N36" s="121"/>
      <c r="O36" s="124">
        <v>45791</v>
      </c>
      <c r="P36" s="120" t="s">
        <v>1304</v>
      </c>
      <c r="Q36" s="120" t="s">
        <v>414</v>
      </c>
      <c r="R36" s="120" t="s">
        <v>407</v>
      </c>
      <c r="S36" s="120" t="s">
        <v>1218</v>
      </c>
      <c r="T36" s="122">
        <v>1.56</v>
      </c>
      <c r="U36" s="120" t="s">
        <v>824</v>
      </c>
      <c r="V36" s="123">
        <v>6.6000000000000003E-2</v>
      </c>
      <c r="W36" s="120"/>
      <c r="X36" s="120"/>
      <c r="Y36" s="123"/>
      <c r="Z36" s="123">
        <v>6.7100000000000007E-2</v>
      </c>
      <c r="AA36" s="124">
        <v>46471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338</v>
      </c>
      <c r="AK36" s="120" t="s">
        <v>887</v>
      </c>
      <c r="AL36" s="120"/>
      <c r="AM36" s="120" t="s">
        <v>890</v>
      </c>
      <c r="AN36" s="124">
        <v>45838</v>
      </c>
      <c r="AO36" s="120"/>
      <c r="AP36" s="123"/>
      <c r="AQ36" s="122">
        <v>3723046</v>
      </c>
      <c r="AR36" s="122">
        <v>100.17</v>
      </c>
      <c r="AS36" s="122">
        <v>1</v>
      </c>
      <c r="AT36" s="122">
        <v>3729.37518</v>
      </c>
      <c r="AU36" s="122">
        <v>3729.37518</v>
      </c>
      <c r="AV36" s="120"/>
      <c r="AW36" s="120"/>
      <c r="AX36" s="120"/>
      <c r="AY36" s="120"/>
      <c r="AZ36" s="123">
        <v>1.2979999999999999E-3</v>
      </c>
      <c r="BA36" s="123">
        <v>6.2000000000000003E-5</v>
      </c>
    </row>
    <row r="37" spans="1:53" ht="15" customHeight="1">
      <c r="A37" s="121">
        <v>313</v>
      </c>
      <c r="B37" s="121">
        <v>313</v>
      </c>
      <c r="C37" s="121"/>
      <c r="D37" s="120"/>
      <c r="E37" s="120"/>
      <c r="F37" s="121">
        <v>74006206</v>
      </c>
      <c r="G37" s="120" t="s">
        <v>1013</v>
      </c>
      <c r="H37" s="120" t="s">
        <v>812</v>
      </c>
      <c r="I37" s="120" t="s">
        <v>203</v>
      </c>
      <c r="J37" s="120"/>
      <c r="K37" s="120" t="s">
        <v>446</v>
      </c>
      <c r="L37" s="120" t="s">
        <v>338</v>
      </c>
      <c r="M37" s="120" t="s">
        <v>337</v>
      </c>
      <c r="N37" s="121"/>
      <c r="O37" s="124">
        <v>45823</v>
      </c>
      <c r="P37" s="120" t="s">
        <v>1304</v>
      </c>
      <c r="Q37" s="120" t="s">
        <v>414</v>
      </c>
      <c r="R37" s="120" t="s">
        <v>407</v>
      </c>
      <c r="S37" s="120" t="s">
        <v>1218</v>
      </c>
      <c r="T37" s="122">
        <v>1.56</v>
      </c>
      <c r="U37" s="120" t="s">
        <v>824</v>
      </c>
      <c r="V37" s="123">
        <v>6.6000000000000003E-2</v>
      </c>
      <c r="W37" s="120"/>
      <c r="X37" s="120"/>
      <c r="Y37" s="123"/>
      <c r="Z37" s="123">
        <v>6.7599999999999993E-2</v>
      </c>
      <c r="AA37" s="124">
        <v>46471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338</v>
      </c>
      <c r="AK37" s="120" t="s">
        <v>887</v>
      </c>
      <c r="AL37" s="120"/>
      <c r="AM37" s="120" t="s">
        <v>890</v>
      </c>
      <c r="AN37" s="124">
        <v>45838</v>
      </c>
      <c r="AO37" s="120"/>
      <c r="AP37" s="123"/>
      <c r="AQ37" s="122">
        <v>2542955</v>
      </c>
      <c r="AR37" s="122">
        <v>100.1</v>
      </c>
      <c r="AS37" s="122">
        <v>1</v>
      </c>
      <c r="AT37" s="122">
        <v>2545.4979600000001</v>
      </c>
      <c r="AU37" s="122">
        <v>2545.4979600000001</v>
      </c>
      <c r="AV37" s="120"/>
      <c r="AW37" s="120"/>
      <c r="AX37" s="120"/>
      <c r="AY37" s="120"/>
      <c r="AZ37" s="123">
        <v>8.8599999999999996E-4</v>
      </c>
      <c r="BA37" s="123">
        <v>4.1999999999999998E-5</v>
      </c>
    </row>
    <row r="38" spans="1:53" ht="15" customHeight="1">
      <c r="A38" s="121">
        <v>313</v>
      </c>
      <c r="B38" s="121">
        <v>313</v>
      </c>
      <c r="C38" s="121"/>
      <c r="D38" s="120"/>
      <c r="E38" s="120"/>
      <c r="F38" s="121">
        <v>75000440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2616</v>
      </c>
      <c r="Q38" s="120" t="s">
        <v>311</v>
      </c>
      <c r="R38" s="120" t="s">
        <v>407</v>
      </c>
      <c r="S38" s="120" t="s">
        <v>1218</v>
      </c>
      <c r="T38" s="122">
        <v>4.95</v>
      </c>
      <c r="U38" s="120" t="s">
        <v>2613</v>
      </c>
      <c r="V38" s="123">
        <v>1.286E-2</v>
      </c>
      <c r="W38" s="120"/>
      <c r="X38" s="120"/>
      <c r="Y38" s="123"/>
      <c r="Z38" s="123">
        <v>2.8799999999999999E-2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45838</v>
      </c>
      <c r="AO38" s="120"/>
      <c r="AP38" s="123"/>
      <c r="AQ38" s="122">
        <v>7736305.6799999997</v>
      </c>
      <c r="AR38" s="122">
        <v>108.33</v>
      </c>
      <c r="AS38" s="122">
        <v>1</v>
      </c>
      <c r="AT38" s="122">
        <v>8380.7399399999995</v>
      </c>
      <c r="AU38" s="122">
        <v>8380.7399399999995</v>
      </c>
      <c r="AV38" s="120"/>
      <c r="AW38" s="120"/>
      <c r="AX38" s="120"/>
      <c r="AY38" s="120"/>
      <c r="AZ38" s="123">
        <v>2.918E-3</v>
      </c>
      <c r="BA38" s="123">
        <v>1.3899999999999999E-4</v>
      </c>
    </row>
    <row r="39" spans="1:53" ht="15" customHeight="1">
      <c r="A39" s="121">
        <v>313</v>
      </c>
      <c r="B39" s="121">
        <v>313</v>
      </c>
      <c r="C39" s="121"/>
      <c r="D39" s="120"/>
      <c r="E39" s="120"/>
      <c r="F39" s="121">
        <v>75000441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2616</v>
      </c>
      <c r="Q39" s="120" t="s">
        <v>311</v>
      </c>
      <c r="R39" s="120" t="s">
        <v>407</v>
      </c>
      <c r="S39" s="120" t="s">
        <v>1218</v>
      </c>
      <c r="T39" s="122">
        <v>9.5</v>
      </c>
      <c r="U39" s="120" t="s">
        <v>2613</v>
      </c>
      <c r="V39" s="123">
        <v>1.286E-2</v>
      </c>
      <c r="W39" s="120"/>
      <c r="X39" s="120"/>
      <c r="Y39" s="123"/>
      <c r="Z39" s="123">
        <v>3.0099999999999998E-2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45838</v>
      </c>
      <c r="AO39" s="120"/>
      <c r="AP39" s="123"/>
      <c r="AQ39" s="122">
        <v>10824081.060000001</v>
      </c>
      <c r="AR39" s="122">
        <v>99.77</v>
      </c>
      <c r="AS39" s="122">
        <v>1</v>
      </c>
      <c r="AT39" s="122">
        <v>10799.185670000001</v>
      </c>
      <c r="AU39" s="122">
        <v>10799.185670000001</v>
      </c>
      <c r="AV39" s="120"/>
      <c r="AW39" s="120"/>
      <c r="AX39" s="120"/>
      <c r="AY39" s="120"/>
      <c r="AZ39" s="123">
        <v>3.761E-3</v>
      </c>
      <c r="BA39" s="123">
        <v>1.7899999999999999E-4</v>
      </c>
    </row>
    <row r="40" spans="1:53" ht="15" customHeight="1">
      <c r="A40" s="121">
        <v>313</v>
      </c>
      <c r="B40" s="121">
        <v>313</v>
      </c>
      <c r="C40" s="121"/>
      <c r="D40" s="120"/>
      <c r="E40" s="120"/>
      <c r="F40" s="121">
        <v>75000442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2616</v>
      </c>
      <c r="Q40" s="120" t="s">
        <v>311</v>
      </c>
      <c r="R40" s="120" t="s">
        <v>407</v>
      </c>
      <c r="S40" s="120" t="s">
        <v>1218</v>
      </c>
      <c r="T40" s="122">
        <v>6.24</v>
      </c>
      <c r="U40" s="120" t="s">
        <v>824</v>
      </c>
      <c r="V40" s="123">
        <v>6.25E-2</v>
      </c>
      <c r="W40" s="120"/>
      <c r="X40" s="120"/>
      <c r="Y40" s="123"/>
      <c r="Z40" s="123">
        <v>6.3200000000000006E-2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45838</v>
      </c>
      <c r="AO40" s="120"/>
      <c r="AP40" s="123"/>
      <c r="AQ40" s="122">
        <v>1176018.6499999999</v>
      </c>
      <c r="AR40" s="122">
        <v>100.77</v>
      </c>
      <c r="AS40" s="122">
        <v>1</v>
      </c>
      <c r="AT40" s="122">
        <v>1185.0739900000001</v>
      </c>
      <c r="AU40" s="122">
        <v>1185.0739900000001</v>
      </c>
      <c r="AV40" s="120"/>
      <c r="AW40" s="120"/>
      <c r="AX40" s="120"/>
      <c r="AY40" s="120"/>
      <c r="AZ40" s="123">
        <v>4.1199999999999999E-4</v>
      </c>
      <c r="BA40" s="123">
        <v>1.9000000000000001E-5</v>
      </c>
    </row>
    <row r="41" spans="1:53" ht="15" customHeight="1">
      <c r="A41" s="121">
        <v>313</v>
      </c>
      <c r="B41" s="121">
        <v>313</v>
      </c>
      <c r="C41" s="121"/>
      <c r="D41" s="120"/>
      <c r="E41" s="120"/>
      <c r="F41" s="121">
        <v>75001441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2616</v>
      </c>
      <c r="Q41" s="120" t="s">
        <v>311</v>
      </c>
      <c r="R41" s="120" t="s">
        <v>407</v>
      </c>
      <c r="S41" s="120" t="s">
        <v>1218</v>
      </c>
      <c r="T41" s="122">
        <v>4.95</v>
      </c>
      <c r="U41" s="120" t="s">
        <v>2613</v>
      </c>
      <c r="V41" s="123">
        <v>1.286E-2</v>
      </c>
      <c r="W41" s="120"/>
      <c r="X41" s="120"/>
      <c r="Y41" s="123"/>
      <c r="Z41" s="123">
        <v>2.8799999999999999E-2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45838</v>
      </c>
      <c r="AO41" s="120"/>
      <c r="AP41" s="123"/>
      <c r="AQ41" s="122">
        <v>7736305.6799999997</v>
      </c>
      <c r="AR41" s="122">
        <v>108.33</v>
      </c>
      <c r="AS41" s="122">
        <v>1</v>
      </c>
      <c r="AT41" s="122">
        <v>8380.7399399999995</v>
      </c>
      <c r="AU41" s="122">
        <v>8380.7399399999995</v>
      </c>
      <c r="AV41" s="120"/>
      <c r="AW41" s="120"/>
      <c r="AX41" s="120"/>
      <c r="AY41" s="120"/>
      <c r="AZ41" s="123">
        <v>2.918E-3</v>
      </c>
      <c r="BA41" s="123">
        <v>1.3899999999999999E-4</v>
      </c>
    </row>
    <row r="42" spans="1:53" ht="15" customHeight="1">
      <c r="A42" s="121">
        <v>313</v>
      </c>
      <c r="B42" s="121">
        <v>313</v>
      </c>
      <c r="C42" s="121"/>
      <c r="D42" s="120"/>
      <c r="E42" s="120"/>
      <c r="F42" s="121">
        <v>75001442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2616</v>
      </c>
      <c r="Q42" s="120" t="s">
        <v>311</v>
      </c>
      <c r="R42" s="120" t="s">
        <v>407</v>
      </c>
      <c r="S42" s="120" t="s">
        <v>1218</v>
      </c>
      <c r="T42" s="122">
        <v>4.95</v>
      </c>
      <c r="U42" s="120" t="s">
        <v>2613</v>
      </c>
      <c r="V42" s="123">
        <v>1.286E-2</v>
      </c>
      <c r="W42" s="120"/>
      <c r="X42" s="120"/>
      <c r="Y42" s="123"/>
      <c r="Z42" s="123">
        <v>2.8799999999999999E-2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45838</v>
      </c>
      <c r="AO42" s="120"/>
      <c r="AP42" s="123"/>
      <c r="AQ42" s="122">
        <v>7736305.6799999997</v>
      </c>
      <c r="AR42" s="122">
        <v>108.33</v>
      </c>
      <c r="AS42" s="122">
        <v>1</v>
      </c>
      <c r="AT42" s="122">
        <v>8380.7399399999995</v>
      </c>
      <c r="AU42" s="122">
        <v>8380.7399399999995</v>
      </c>
      <c r="AV42" s="120"/>
      <c r="AW42" s="120"/>
      <c r="AX42" s="120"/>
      <c r="AY42" s="120"/>
      <c r="AZ42" s="123">
        <v>2.918E-3</v>
      </c>
      <c r="BA42" s="123">
        <v>1.3899999999999999E-4</v>
      </c>
    </row>
    <row r="43" spans="1:53" ht="15" customHeight="1">
      <c r="A43" s="121">
        <v>313</v>
      </c>
      <c r="B43" s="121">
        <v>313</v>
      </c>
      <c r="C43" s="121"/>
      <c r="D43" s="120"/>
      <c r="E43" s="120"/>
      <c r="F43" s="121">
        <v>74009098</v>
      </c>
      <c r="G43" s="120" t="s">
        <v>1013</v>
      </c>
      <c r="H43" s="120" t="s">
        <v>2617</v>
      </c>
      <c r="I43" s="120" t="s">
        <v>203</v>
      </c>
      <c r="J43" s="120"/>
      <c r="K43" s="120" t="s">
        <v>463</v>
      </c>
      <c r="L43" s="120" t="s">
        <v>338</v>
      </c>
      <c r="M43" s="120" t="s">
        <v>338</v>
      </c>
      <c r="N43" s="121"/>
      <c r="O43" s="124">
        <v>45224</v>
      </c>
      <c r="P43" s="120" t="s">
        <v>1402</v>
      </c>
      <c r="Q43" s="120" t="s">
        <v>311</v>
      </c>
      <c r="R43" s="120" t="s">
        <v>407</v>
      </c>
      <c r="S43" s="120" t="s">
        <v>1218</v>
      </c>
      <c r="T43" s="122">
        <v>2.27</v>
      </c>
      <c r="U43" s="120" t="s">
        <v>2613</v>
      </c>
      <c r="V43" s="123">
        <v>2.0299999999999999E-2</v>
      </c>
      <c r="W43" s="120"/>
      <c r="X43" s="120"/>
      <c r="Y43" s="123"/>
      <c r="Z43" s="123">
        <v>2.5700000000000001E-2</v>
      </c>
      <c r="AA43" s="124">
        <v>46687</v>
      </c>
      <c r="AB43" s="120" t="s">
        <v>411</v>
      </c>
      <c r="AC43" s="120"/>
      <c r="AD43" s="122"/>
      <c r="AE43" s="123"/>
      <c r="AF43" s="124">
        <v>45323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45838</v>
      </c>
      <c r="AO43" s="120"/>
      <c r="AP43" s="123"/>
      <c r="AQ43" s="122">
        <v>503700</v>
      </c>
      <c r="AR43" s="122">
        <v>104.61</v>
      </c>
      <c r="AS43" s="122">
        <v>1</v>
      </c>
      <c r="AT43" s="122">
        <v>526.92057</v>
      </c>
      <c r="AU43" s="122">
        <v>526.92057</v>
      </c>
      <c r="AV43" s="120"/>
      <c r="AW43" s="120"/>
      <c r="AX43" s="120"/>
      <c r="AY43" s="120"/>
      <c r="AZ43" s="123">
        <v>1.83E-4</v>
      </c>
      <c r="BA43" s="123">
        <v>7.9999999999999996E-6</v>
      </c>
    </row>
    <row r="44" spans="1:53" ht="15" customHeight="1">
      <c r="A44" s="121">
        <v>313</v>
      </c>
      <c r="B44" s="121">
        <v>313</v>
      </c>
      <c r="C44" s="121"/>
      <c r="D44" s="120"/>
      <c r="E44" s="120"/>
      <c r="F44" s="121">
        <v>75001443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2616</v>
      </c>
      <c r="Q44" s="120" t="s">
        <v>311</v>
      </c>
      <c r="R44" s="120" t="s">
        <v>407</v>
      </c>
      <c r="S44" s="120" t="s">
        <v>1218</v>
      </c>
      <c r="T44" s="122">
        <v>4.95</v>
      </c>
      <c r="U44" s="120" t="s">
        <v>2613</v>
      </c>
      <c r="V44" s="123">
        <v>1.286E-2</v>
      </c>
      <c r="W44" s="120"/>
      <c r="X44" s="120"/>
      <c r="Y44" s="123"/>
      <c r="Z44" s="123">
        <v>2.8799999999999999E-2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45838</v>
      </c>
      <c r="AO44" s="120"/>
      <c r="AP44" s="123"/>
      <c r="AQ44" s="122">
        <v>2578770.39</v>
      </c>
      <c r="AR44" s="122">
        <v>108.33</v>
      </c>
      <c r="AS44" s="122">
        <v>1</v>
      </c>
      <c r="AT44" s="122">
        <v>2793.58196</v>
      </c>
      <c r="AU44" s="122">
        <v>2793.58196</v>
      </c>
      <c r="AV44" s="120"/>
      <c r="AW44" s="120"/>
      <c r="AX44" s="120"/>
      <c r="AY44" s="120"/>
      <c r="AZ44" s="123">
        <v>9.7199999999999999E-4</v>
      </c>
      <c r="BA44" s="123">
        <v>4.6E-5</v>
      </c>
    </row>
    <row r="45" spans="1:53" ht="15" customHeight="1">
      <c r="A45" s="121">
        <v>313</v>
      </c>
      <c r="B45" s="121">
        <v>313</v>
      </c>
      <c r="C45" s="121"/>
      <c r="D45" s="120"/>
      <c r="E45" s="120"/>
      <c r="F45" s="121">
        <v>75001445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2616</v>
      </c>
      <c r="Q45" s="120" t="s">
        <v>311</v>
      </c>
      <c r="R45" s="120" t="s">
        <v>407</v>
      </c>
      <c r="S45" s="120" t="s">
        <v>1218</v>
      </c>
      <c r="T45" s="122">
        <v>4.95</v>
      </c>
      <c r="U45" s="120" t="s">
        <v>2613</v>
      </c>
      <c r="V45" s="123">
        <v>1.286E-2</v>
      </c>
      <c r="W45" s="120"/>
      <c r="X45" s="120"/>
      <c r="Y45" s="123"/>
      <c r="Z45" s="123">
        <v>2.8799999999999999E-2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45838</v>
      </c>
      <c r="AO45" s="120"/>
      <c r="AP45" s="123"/>
      <c r="AQ45" s="122">
        <v>240093.87</v>
      </c>
      <c r="AR45" s="122">
        <v>108.33</v>
      </c>
      <c r="AS45" s="122">
        <v>1</v>
      </c>
      <c r="AT45" s="122">
        <v>260.09368999999998</v>
      </c>
      <c r="AU45" s="122">
        <v>260.09368999999998</v>
      </c>
      <c r="AV45" s="120"/>
      <c r="AW45" s="120"/>
      <c r="AX45" s="120"/>
      <c r="AY45" s="120"/>
      <c r="AZ45" s="123">
        <v>9.0000000000000006E-5</v>
      </c>
      <c r="BA45" s="123">
        <v>3.9999999999999998E-6</v>
      </c>
    </row>
    <row r="46" spans="1:53" ht="15" customHeight="1">
      <c r="A46" s="121">
        <v>313</v>
      </c>
      <c r="B46" s="121">
        <v>313</v>
      </c>
      <c r="C46" s="121"/>
      <c r="D46" s="120"/>
      <c r="E46" s="120"/>
      <c r="F46" s="121">
        <v>75001446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2616</v>
      </c>
      <c r="Q46" s="120" t="s">
        <v>311</v>
      </c>
      <c r="R46" s="120" t="s">
        <v>407</v>
      </c>
      <c r="S46" s="120" t="s">
        <v>1218</v>
      </c>
      <c r="T46" s="122">
        <v>4.95</v>
      </c>
      <c r="U46" s="120" t="s">
        <v>2613</v>
      </c>
      <c r="V46" s="123">
        <v>1.286E-2</v>
      </c>
      <c r="W46" s="120"/>
      <c r="X46" s="120"/>
      <c r="Y46" s="123"/>
      <c r="Z46" s="123">
        <v>2.8799999999999999E-2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45838</v>
      </c>
      <c r="AO46" s="120"/>
      <c r="AP46" s="123"/>
      <c r="AQ46" s="122">
        <v>4039.02</v>
      </c>
      <c r="AR46" s="122">
        <v>108.33</v>
      </c>
      <c r="AS46" s="122">
        <v>1</v>
      </c>
      <c r="AT46" s="122">
        <v>4.37547</v>
      </c>
      <c r="AU46" s="122">
        <v>4.37547</v>
      </c>
      <c r="AV46" s="120"/>
      <c r="AW46" s="120"/>
      <c r="AX46" s="120"/>
      <c r="AY46" s="120"/>
      <c r="AZ46" s="123">
        <v>9.9999999999999995E-7</v>
      </c>
      <c r="BA46" s="123">
        <v>0</v>
      </c>
    </row>
    <row r="47" spans="1:53" ht="15" customHeight="1">
      <c r="A47" s="121">
        <v>313</v>
      </c>
      <c r="B47" s="121">
        <v>313</v>
      </c>
      <c r="C47" s="121"/>
      <c r="D47" s="120"/>
      <c r="E47" s="120"/>
      <c r="F47" s="121">
        <v>75002442</v>
      </c>
      <c r="G47" s="120" t="s">
        <v>1013</v>
      </c>
      <c r="H47" s="120" t="s">
        <v>785</v>
      </c>
      <c r="I47" s="120" t="s">
        <v>203</v>
      </c>
      <c r="J47" s="120"/>
      <c r="K47" s="120" t="s">
        <v>463</v>
      </c>
      <c r="L47" s="120" t="s">
        <v>338</v>
      </c>
      <c r="M47" s="120" t="s">
        <v>337</v>
      </c>
      <c r="N47" s="121"/>
      <c r="O47" s="124">
        <v>44195</v>
      </c>
      <c r="P47" s="120" t="s">
        <v>2616</v>
      </c>
      <c r="Q47" s="120" t="s">
        <v>311</v>
      </c>
      <c r="R47" s="120" t="s">
        <v>407</v>
      </c>
      <c r="S47" s="120" t="s">
        <v>1218</v>
      </c>
      <c r="T47" s="122">
        <v>9.5</v>
      </c>
      <c r="U47" s="120" t="s">
        <v>2613</v>
      </c>
      <c r="V47" s="123">
        <v>1.286E-2</v>
      </c>
      <c r="W47" s="120"/>
      <c r="X47" s="120"/>
      <c r="Y47" s="123"/>
      <c r="Z47" s="123">
        <v>3.0099999999999998E-2</v>
      </c>
      <c r="AA47" s="124">
        <v>49562</v>
      </c>
      <c r="AB47" s="120" t="s">
        <v>411</v>
      </c>
      <c r="AC47" s="120"/>
      <c r="AD47" s="122"/>
      <c r="AE47" s="123"/>
      <c r="AF47" s="124">
        <v>44896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45838</v>
      </c>
      <c r="AO47" s="120"/>
      <c r="AP47" s="123"/>
      <c r="AQ47" s="122">
        <v>10824081.060000001</v>
      </c>
      <c r="AR47" s="122">
        <v>99.77</v>
      </c>
      <c r="AS47" s="122">
        <v>1</v>
      </c>
      <c r="AT47" s="122">
        <v>10799.185670000001</v>
      </c>
      <c r="AU47" s="122">
        <v>10799.185670000001</v>
      </c>
      <c r="AV47" s="120"/>
      <c r="AW47" s="120"/>
      <c r="AX47" s="120"/>
      <c r="AY47" s="120"/>
      <c r="AZ47" s="123">
        <v>3.761E-3</v>
      </c>
      <c r="BA47" s="123">
        <v>1.7899999999999999E-4</v>
      </c>
    </row>
    <row r="48" spans="1:53" ht="15" customHeight="1">
      <c r="A48" s="121">
        <v>313</v>
      </c>
      <c r="B48" s="121">
        <v>313</v>
      </c>
      <c r="C48" s="121"/>
      <c r="D48" s="120"/>
      <c r="E48" s="120"/>
      <c r="F48" s="121">
        <v>75002443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2616</v>
      </c>
      <c r="Q48" s="120" t="s">
        <v>311</v>
      </c>
      <c r="R48" s="120" t="s">
        <v>407</v>
      </c>
      <c r="S48" s="120" t="s">
        <v>1218</v>
      </c>
      <c r="T48" s="122">
        <v>9.5</v>
      </c>
      <c r="U48" s="120" t="s">
        <v>2613</v>
      </c>
      <c r="V48" s="123">
        <v>1.286E-2</v>
      </c>
      <c r="W48" s="120"/>
      <c r="X48" s="120"/>
      <c r="Y48" s="123"/>
      <c r="Z48" s="123">
        <v>3.0099999999999998E-2</v>
      </c>
      <c r="AA48" s="124">
        <v>49562</v>
      </c>
      <c r="AB48" s="120" t="s">
        <v>411</v>
      </c>
      <c r="AC48" s="120"/>
      <c r="AD48" s="122"/>
      <c r="AE48" s="123"/>
      <c r="AF48" s="124">
        <v>44896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45838</v>
      </c>
      <c r="AO48" s="120"/>
      <c r="AP48" s="123"/>
      <c r="AQ48" s="122">
        <v>10824081.060000001</v>
      </c>
      <c r="AR48" s="122">
        <v>99.77</v>
      </c>
      <c r="AS48" s="122">
        <v>1</v>
      </c>
      <c r="AT48" s="122">
        <v>10799.185670000001</v>
      </c>
      <c r="AU48" s="122">
        <v>10799.185670000001</v>
      </c>
      <c r="AV48" s="120"/>
      <c r="AW48" s="120"/>
      <c r="AX48" s="120"/>
      <c r="AY48" s="120"/>
      <c r="AZ48" s="123">
        <v>3.761E-3</v>
      </c>
      <c r="BA48" s="123">
        <v>1.7899999999999999E-4</v>
      </c>
    </row>
    <row r="49" spans="1:53" ht="15" customHeight="1">
      <c r="A49" s="121">
        <v>313</v>
      </c>
      <c r="B49" s="121">
        <v>313</v>
      </c>
      <c r="C49" s="121"/>
      <c r="D49" s="120"/>
      <c r="E49" s="120"/>
      <c r="F49" s="121">
        <v>75002444</v>
      </c>
      <c r="G49" s="120" t="s">
        <v>1013</v>
      </c>
      <c r="H49" s="120" t="s">
        <v>785</v>
      </c>
      <c r="I49" s="120" t="s">
        <v>203</v>
      </c>
      <c r="J49" s="120"/>
      <c r="K49" s="120" t="s">
        <v>463</v>
      </c>
      <c r="L49" s="120" t="s">
        <v>338</v>
      </c>
      <c r="M49" s="120" t="s">
        <v>337</v>
      </c>
      <c r="N49" s="121"/>
      <c r="O49" s="124">
        <v>44195</v>
      </c>
      <c r="P49" s="120" t="s">
        <v>2616</v>
      </c>
      <c r="Q49" s="120" t="s">
        <v>311</v>
      </c>
      <c r="R49" s="120" t="s">
        <v>407</v>
      </c>
      <c r="S49" s="120" t="s">
        <v>1218</v>
      </c>
      <c r="T49" s="122">
        <v>9.5</v>
      </c>
      <c r="U49" s="120" t="s">
        <v>2613</v>
      </c>
      <c r="V49" s="123">
        <v>1.286E-2</v>
      </c>
      <c r="W49" s="120"/>
      <c r="X49" s="120"/>
      <c r="Y49" s="123"/>
      <c r="Z49" s="123">
        <v>3.0099999999999998E-2</v>
      </c>
      <c r="AA49" s="124">
        <v>49562</v>
      </c>
      <c r="AB49" s="120" t="s">
        <v>411</v>
      </c>
      <c r="AC49" s="120"/>
      <c r="AD49" s="122"/>
      <c r="AE49" s="123"/>
      <c r="AF49" s="124">
        <v>44896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45838</v>
      </c>
      <c r="AO49" s="120"/>
      <c r="AP49" s="123"/>
      <c r="AQ49" s="122">
        <v>3608030.01</v>
      </c>
      <c r="AR49" s="122">
        <v>99.77</v>
      </c>
      <c r="AS49" s="122">
        <v>1</v>
      </c>
      <c r="AT49" s="122">
        <v>3599.7315400000002</v>
      </c>
      <c r="AU49" s="122">
        <v>3599.7315400000002</v>
      </c>
      <c r="AV49" s="120"/>
      <c r="AW49" s="120"/>
      <c r="AX49" s="120"/>
      <c r="AY49" s="120"/>
      <c r="AZ49" s="123">
        <v>1.253E-3</v>
      </c>
      <c r="BA49" s="123">
        <v>5.8999999999999998E-5</v>
      </c>
    </row>
    <row r="50" spans="1:53" ht="15" customHeight="1">
      <c r="A50" s="121">
        <v>313</v>
      </c>
      <c r="B50" s="121">
        <v>313</v>
      </c>
      <c r="C50" s="121"/>
      <c r="D50" s="120"/>
      <c r="E50" s="120"/>
      <c r="F50" s="121">
        <v>75001444</v>
      </c>
      <c r="G50" s="120" t="s">
        <v>1013</v>
      </c>
      <c r="H50" s="120" t="s">
        <v>812</v>
      </c>
      <c r="I50" s="120" t="s">
        <v>203</v>
      </c>
      <c r="J50" s="120"/>
      <c r="K50" s="120" t="s">
        <v>463</v>
      </c>
      <c r="L50" s="120" t="s">
        <v>338</v>
      </c>
      <c r="M50" s="120" t="s">
        <v>337</v>
      </c>
      <c r="N50" s="121"/>
      <c r="O50" s="124">
        <v>44195</v>
      </c>
      <c r="P50" s="120" t="s">
        <v>2616</v>
      </c>
      <c r="Q50" s="120" t="s">
        <v>311</v>
      </c>
      <c r="R50" s="120" t="s">
        <v>407</v>
      </c>
      <c r="S50" s="120" t="s">
        <v>1218</v>
      </c>
      <c r="T50" s="122">
        <v>4.95</v>
      </c>
      <c r="U50" s="120" t="s">
        <v>2613</v>
      </c>
      <c r="V50" s="123">
        <v>1.286E-2</v>
      </c>
      <c r="W50" s="120"/>
      <c r="X50" s="120"/>
      <c r="Y50" s="123"/>
      <c r="Z50" s="123">
        <v>2.8799999999999999E-2</v>
      </c>
      <c r="AA50" s="124">
        <v>49562</v>
      </c>
      <c r="AB50" s="120" t="s">
        <v>411</v>
      </c>
      <c r="AC50" s="120"/>
      <c r="AD50" s="122"/>
      <c r="AE50" s="123"/>
      <c r="AF50" s="124">
        <v>44896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45838</v>
      </c>
      <c r="AO50" s="120"/>
      <c r="AP50" s="123"/>
      <c r="AQ50" s="122">
        <v>6023862.2599999998</v>
      </c>
      <c r="AR50" s="122">
        <v>108.33</v>
      </c>
      <c r="AS50" s="122">
        <v>1</v>
      </c>
      <c r="AT50" s="122">
        <v>6525.6499899999999</v>
      </c>
      <c r="AU50" s="122">
        <v>6525.6499899999999</v>
      </c>
      <c r="AV50" s="120"/>
      <c r="AW50" s="120"/>
      <c r="AX50" s="120"/>
      <c r="AY50" s="120"/>
      <c r="AZ50" s="123">
        <v>2.2720000000000001E-3</v>
      </c>
      <c r="BA50" s="123">
        <v>1.08E-4</v>
      </c>
    </row>
    <row r="51" spans="1:53" ht="15" customHeight="1">
      <c r="A51" s="121">
        <v>313</v>
      </c>
      <c r="B51" s="121">
        <v>313</v>
      </c>
      <c r="C51" s="121"/>
      <c r="D51" s="120"/>
      <c r="E51" s="120"/>
      <c r="F51" s="121">
        <v>74006164</v>
      </c>
      <c r="G51" s="120" t="s">
        <v>1013</v>
      </c>
      <c r="H51" s="120" t="s">
        <v>812</v>
      </c>
      <c r="I51" s="120" t="s">
        <v>203</v>
      </c>
      <c r="J51" s="120"/>
      <c r="K51" s="120" t="s">
        <v>446</v>
      </c>
      <c r="L51" s="120" t="s">
        <v>338</v>
      </c>
      <c r="M51" s="120" t="s">
        <v>337</v>
      </c>
      <c r="N51" s="121"/>
      <c r="O51" s="124">
        <v>44634</v>
      </c>
      <c r="P51" s="120" t="s">
        <v>1304</v>
      </c>
      <c r="Q51" s="120" t="s">
        <v>414</v>
      </c>
      <c r="R51" s="120" t="s">
        <v>407</v>
      </c>
      <c r="S51" s="120" t="s">
        <v>1218</v>
      </c>
      <c r="T51" s="122">
        <v>1.56</v>
      </c>
      <c r="U51" s="120" t="s">
        <v>824</v>
      </c>
      <c r="V51" s="123">
        <v>6.6000000000000003E-2</v>
      </c>
      <c r="W51" s="120"/>
      <c r="X51" s="120"/>
      <c r="Y51" s="123"/>
      <c r="Z51" s="123">
        <v>6.3399999999999998E-2</v>
      </c>
      <c r="AA51" s="124">
        <v>46471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45838</v>
      </c>
      <c r="AO51" s="120"/>
      <c r="AP51" s="123"/>
      <c r="AQ51" s="122">
        <v>1263531</v>
      </c>
      <c r="AR51" s="122">
        <v>100.71</v>
      </c>
      <c r="AS51" s="122">
        <v>1</v>
      </c>
      <c r="AT51" s="122">
        <v>1272.50207</v>
      </c>
      <c r="AU51" s="122">
        <v>1272.50207</v>
      </c>
      <c r="AV51" s="120"/>
      <c r="AW51" s="120"/>
      <c r="AX51" s="120"/>
      <c r="AY51" s="120"/>
      <c r="AZ51" s="123">
        <v>4.4299999999999998E-4</v>
      </c>
      <c r="BA51" s="123">
        <v>2.0999999999999999E-5</v>
      </c>
    </row>
    <row r="52" spans="1:53" ht="15" customHeight="1">
      <c r="A52" s="121">
        <v>313</v>
      </c>
      <c r="B52" s="121">
        <v>313</v>
      </c>
      <c r="C52" s="121"/>
      <c r="D52" s="120"/>
      <c r="E52" s="120"/>
      <c r="F52" s="121">
        <v>74009097</v>
      </c>
      <c r="G52" s="120" t="s">
        <v>1013</v>
      </c>
      <c r="H52" s="120" t="s">
        <v>2617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45188</v>
      </c>
      <c r="P52" s="120" t="s">
        <v>1402</v>
      </c>
      <c r="Q52" s="120" t="s">
        <v>311</v>
      </c>
      <c r="R52" s="120" t="s">
        <v>407</v>
      </c>
      <c r="S52" s="120" t="s">
        <v>1218</v>
      </c>
      <c r="T52" s="122">
        <v>2.27</v>
      </c>
      <c r="U52" s="120" t="s">
        <v>2613</v>
      </c>
      <c r="V52" s="123">
        <v>2.0299999999999999E-2</v>
      </c>
      <c r="W52" s="120"/>
      <c r="X52" s="120"/>
      <c r="Y52" s="123"/>
      <c r="Z52" s="123">
        <v>2.8799999999999999E-2</v>
      </c>
      <c r="AA52" s="124">
        <v>46687</v>
      </c>
      <c r="AB52" s="120" t="s">
        <v>411</v>
      </c>
      <c r="AC52" s="120"/>
      <c r="AD52" s="122"/>
      <c r="AE52" s="123"/>
      <c r="AF52" s="124">
        <v>45261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45838</v>
      </c>
      <c r="AO52" s="120"/>
      <c r="AP52" s="123"/>
      <c r="AQ52" s="122">
        <v>1035142.37</v>
      </c>
      <c r="AR52" s="122">
        <v>103.8</v>
      </c>
      <c r="AS52" s="122">
        <v>1</v>
      </c>
      <c r="AT52" s="122">
        <v>1074.4777799999999</v>
      </c>
      <c r="AU52" s="122">
        <v>1074.4777799999999</v>
      </c>
      <c r="AV52" s="120"/>
      <c r="AW52" s="120"/>
      <c r="AX52" s="120"/>
      <c r="AY52" s="120"/>
      <c r="AZ52" s="123">
        <v>3.7399999999999998E-4</v>
      </c>
      <c r="BA52" s="123">
        <v>1.7E-5</v>
      </c>
    </row>
    <row r="53" spans="1:53" ht="15" customHeight="1">
      <c r="A53" s="121">
        <v>313</v>
      </c>
      <c r="B53" s="121">
        <v>313</v>
      </c>
      <c r="C53" s="121"/>
      <c r="D53" s="120"/>
      <c r="E53" s="120"/>
      <c r="F53" s="121">
        <v>74009095</v>
      </c>
      <c r="G53" s="120" t="s">
        <v>1013</v>
      </c>
      <c r="H53" s="120" t="s">
        <v>2617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44826</v>
      </c>
      <c r="P53" s="120" t="s">
        <v>1402</v>
      </c>
      <c r="Q53" s="120" t="s">
        <v>311</v>
      </c>
      <c r="R53" s="120" t="s">
        <v>407</v>
      </c>
      <c r="S53" s="120" t="s">
        <v>1218</v>
      </c>
      <c r="T53" s="122">
        <v>2.27</v>
      </c>
      <c r="U53" s="120" t="s">
        <v>2613</v>
      </c>
      <c r="V53" s="123">
        <v>2.2800000000000001E-2</v>
      </c>
      <c r="W53" s="120"/>
      <c r="X53" s="120"/>
      <c r="Y53" s="123"/>
      <c r="Z53" s="123">
        <v>3.4099999999999998E-2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45838</v>
      </c>
      <c r="AO53" s="120"/>
      <c r="AP53" s="123"/>
      <c r="AQ53" s="122">
        <v>3514198</v>
      </c>
      <c r="AR53" s="122">
        <v>106.82</v>
      </c>
      <c r="AS53" s="122">
        <v>1</v>
      </c>
      <c r="AT53" s="122">
        <v>3753.8663000000001</v>
      </c>
      <c r="AU53" s="122">
        <v>3753.8663000000001</v>
      </c>
      <c r="AV53" s="120"/>
      <c r="AW53" s="120"/>
      <c r="AX53" s="120"/>
      <c r="AY53" s="120"/>
      <c r="AZ53" s="123">
        <v>1.307E-3</v>
      </c>
      <c r="BA53" s="123">
        <v>6.2000000000000003E-5</v>
      </c>
    </row>
    <row r="54" spans="1:53" ht="15" customHeight="1">
      <c r="A54" s="121">
        <v>313</v>
      </c>
      <c r="B54" s="121">
        <v>313</v>
      </c>
      <c r="C54" s="121"/>
      <c r="D54" s="120"/>
      <c r="E54" s="120"/>
      <c r="F54" s="121">
        <v>74009061</v>
      </c>
      <c r="G54" s="120" t="s">
        <v>1013</v>
      </c>
      <c r="H54" s="120" t="s">
        <v>2617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44132</v>
      </c>
      <c r="P54" s="120" t="s">
        <v>1402</v>
      </c>
      <c r="Q54" s="120" t="s">
        <v>311</v>
      </c>
      <c r="R54" s="120" t="s">
        <v>407</v>
      </c>
      <c r="S54" s="120" t="s">
        <v>1218</v>
      </c>
      <c r="T54" s="122">
        <v>2.27</v>
      </c>
      <c r="U54" s="120" t="s">
        <v>2613</v>
      </c>
      <c r="V54" s="123">
        <v>2.2800000000000001E-2</v>
      </c>
      <c r="W54" s="120"/>
      <c r="X54" s="120"/>
      <c r="Y54" s="123"/>
      <c r="Z54" s="123">
        <v>3.4099999999999998E-2</v>
      </c>
      <c r="AA54" s="124">
        <v>46687</v>
      </c>
      <c r="AB54" s="120" t="s">
        <v>411</v>
      </c>
      <c r="AC54" s="120"/>
      <c r="AD54" s="122"/>
      <c r="AE54" s="123"/>
      <c r="AF54" s="124">
        <v>45261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45838</v>
      </c>
      <c r="AO54" s="120"/>
      <c r="AP54" s="123"/>
      <c r="AQ54" s="122">
        <v>8134755</v>
      </c>
      <c r="AR54" s="122">
        <v>114.32</v>
      </c>
      <c r="AS54" s="122">
        <v>1</v>
      </c>
      <c r="AT54" s="122">
        <v>9299.6519200000002</v>
      </c>
      <c r="AU54" s="122">
        <v>9299.6519200000002</v>
      </c>
      <c r="AV54" s="120"/>
      <c r="AW54" s="120"/>
      <c r="AX54" s="120"/>
      <c r="AY54" s="120"/>
      <c r="AZ54" s="123">
        <v>3.238E-3</v>
      </c>
      <c r="BA54" s="123">
        <v>1.54E-4</v>
      </c>
    </row>
    <row r="55" spans="1:53" ht="15" customHeight="1">
      <c r="A55" s="121">
        <v>313</v>
      </c>
      <c r="B55" s="121">
        <v>313</v>
      </c>
      <c r="C55" s="121"/>
      <c r="D55" s="120"/>
      <c r="E55" s="120"/>
      <c r="F55" s="121">
        <v>74009062</v>
      </c>
      <c r="G55" s="120" t="s">
        <v>1013</v>
      </c>
      <c r="H55" s="120" t="s">
        <v>2617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44502</v>
      </c>
      <c r="P55" s="120" t="s">
        <v>1402</v>
      </c>
      <c r="Q55" s="120" t="s">
        <v>311</v>
      </c>
      <c r="R55" s="120" t="s">
        <v>407</v>
      </c>
      <c r="S55" s="120" t="s">
        <v>1218</v>
      </c>
      <c r="T55" s="122">
        <v>2.27</v>
      </c>
      <c r="U55" s="120" t="s">
        <v>2613</v>
      </c>
      <c r="V55" s="123">
        <v>2.0299999999999999E-2</v>
      </c>
      <c r="W55" s="120"/>
      <c r="X55" s="120"/>
      <c r="Y55" s="123"/>
      <c r="Z55" s="123">
        <v>3.6700000000000003E-2</v>
      </c>
      <c r="AA55" s="124">
        <v>46687</v>
      </c>
      <c r="AB55" s="120" t="s">
        <v>411</v>
      </c>
      <c r="AC55" s="120"/>
      <c r="AD55" s="122"/>
      <c r="AE55" s="123"/>
      <c r="AF55" s="124">
        <v>45261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45838</v>
      </c>
      <c r="AO55" s="120"/>
      <c r="AP55" s="123"/>
      <c r="AQ55" s="122">
        <v>1074560</v>
      </c>
      <c r="AR55" s="122">
        <v>110.89</v>
      </c>
      <c r="AS55" s="122">
        <v>1</v>
      </c>
      <c r="AT55" s="122">
        <v>1191.5795800000001</v>
      </c>
      <c r="AU55" s="122">
        <v>1191.5795800000001</v>
      </c>
      <c r="AV55" s="120"/>
      <c r="AW55" s="120"/>
      <c r="AX55" s="120"/>
      <c r="AY55" s="120"/>
      <c r="AZ55" s="123">
        <v>4.15E-4</v>
      </c>
      <c r="BA55" s="123">
        <v>1.9000000000000001E-5</v>
      </c>
    </row>
    <row r="56" spans="1:53" ht="15" customHeight="1">
      <c r="A56" s="121">
        <v>313</v>
      </c>
      <c r="B56" s="121">
        <v>313</v>
      </c>
      <c r="C56" s="121"/>
      <c r="D56" s="120"/>
      <c r="E56" s="120"/>
      <c r="F56" s="121">
        <v>74009071</v>
      </c>
      <c r="G56" s="120" t="s">
        <v>1013</v>
      </c>
      <c r="H56" s="120" t="s">
        <v>2617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44264</v>
      </c>
      <c r="P56" s="120" t="s">
        <v>1402</v>
      </c>
      <c r="Q56" s="120" t="s">
        <v>311</v>
      </c>
      <c r="R56" s="120" t="s">
        <v>407</v>
      </c>
      <c r="S56" s="120" t="s">
        <v>1218</v>
      </c>
      <c r="T56" s="122">
        <v>2.27</v>
      </c>
      <c r="U56" s="120" t="s">
        <v>2613</v>
      </c>
      <c r="V56" s="123">
        <v>2.0299999999999999E-2</v>
      </c>
      <c r="W56" s="120"/>
      <c r="X56" s="120"/>
      <c r="Y56" s="123"/>
      <c r="Z56" s="123">
        <v>3.6700000000000003E-2</v>
      </c>
      <c r="AA56" s="124">
        <v>46687</v>
      </c>
      <c r="AB56" s="120" t="s">
        <v>411</v>
      </c>
      <c r="AC56" s="120"/>
      <c r="AD56" s="122"/>
      <c r="AE56" s="123"/>
      <c r="AF56" s="124">
        <v>45323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45838</v>
      </c>
      <c r="AO56" s="120"/>
      <c r="AP56" s="123"/>
      <c r="AQ56" s="122">
        <v>6678222.5</v>
      </c>
      <c r="AR56" s="122">
        <v>113.78</v>
      </c>
      <c r="AS56" s="122">
        <v>1</v>
      </c>
      <c r="AT56" s="122">
        <v>7598.4815600000002</v>
      </c>
      <c r="AU56" s="122">
        <v>7598.4815600000002</v>
      </c>
      <c r="AV56" s="120"/>
      <c r="AW56" s="120"/>
      <c r="AX56" s="120"/>
      <c r="AY56" s="120"/>
      <c r="AZ56" s="123">
        <v>2.6459999999999999E-3</v>
      </c>
      <c r="BA56" s="123">
        <v>1.26E-4</v>
      </c>
    </row>
    <row r="57" spans="1:53" ht="15" customHeight="1">
      <c r="A57" s="121">
        <v>313</v>
      </c>
      <c r="B57" s="121">
        <v>313</v>
      </c>
      <c r="C57" s="121"/>
      <c r="D57" s="120"/>
      <c r="E57" s="120"/>
      <c r="F57" s="121">
        <v>74009072</v>
      </c>
      <c r="G57" s="120" t="s">
        <v>1013</v>
      </c>
      <c r="H57" s="120" t="s">
        <v>2617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44277</v>
      </c>
      <c r="P57" s="120" t="s">
        <v>1402</v>
      </c>
      <c r="Q57" s="120" t="s">
        <v>311</v>
      </c>
      <c r="R57" s="120" t="s">
        <v>407</v>
      </c>
      <c r="S57" s="120" t="s">
        <v>1218</v>
      </c>
      <c r="T57" s="122">
        <v>2.27</v>
      </c>
      <c r="U57" s="120" t="s">
        <v>2613</v>
      </c>
      <c r="V57" s="123">
        <v>2.0299999999999999E-2</v>
      </c>
      <c r="W57" s="120"/>
      <c r="X57" s="120"/>
      <c r="Y57" s="123"/>
      <c r="Z57" s="123">
        <v>3.6700000000000003E-2</v>
      </c>
      <c r="AA57" s="124">
        <v>46687</v>
      </c>
      <c r="AB57" s="120" t="s">
        <v>411</v>
      </c>
      <c r="AC57" s="120"/>
      <c r="AD57" s="122"/>
      <c r="AE57" s="123"/>
      <c r="AF57" s="124">
        <v>45323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45838</v>
      </c>
      <c r="AO57" s="120"/>
      <c r="AP57" s="123"/>
      <c r="AQ57" s="122">
        <v>1104614.1000000001</v>
      </c>
      <c r="AR57" s="122">
        <v>113.44</v>
      </c>
      <c r="AS57" s="122">
        <v>1</v>
      </c>
      <c r="AT57" s="122">
        <v>1253.0742399999999</v>
      </c>
      <c r="AU57" s="122">
        <v>1253.0742399999999</v>
      </c>
      <c r="AV57" s="120"/>
      <c r="AW57" s="120"/>
      <c r="AX57" s="120"/>
      <c r="AY57" s="120"/>
      <c r="AZ57" s="123">
        <v>4.3600000000000003E-4</v>
      </c>
      <c r="BA57" s="123">
        <v>2.0000000000000002E-5</v>
      </c>
    </row>
    <row r="58" spans="1:53" ht="15" customHeight="1">
      <c r="A58" s="121">
        <v>313</v>
      </c>
      <c r="B58" s="121">
        <v>313</v>
      </c>
      <c r="C58" s="121"/>
      <c r="D58" s="120"/>
      <c r="E58" s="120"/>
      <c r="F58" s="121">
        <v>74009081</v>
      </c>
      <c r="G58" s="120" t="s">
        <v>1013</v>
      </c>
      <c r="H58" s="120" t="s">
        <v>2617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44132</v>
      </c>
      <c r="P58" s="120" t="s">
        <v>1402</v>
      </c>
      <c r="Q58" s="120" t="s">
        <v>311</v>
      </c>
      <c r="R58" s="120" t="s">
        <v>407</v>
      </c>
      <c r="S58" s="120" t="s">
        <v>1218</v>
      </c>
      <c r="T58" s="122">
        <v>2.27</v>
      </c>
      <c r="U58" s="120" t="s">
        <v>2613</v>
      </c>
      <c r="V58" s="123">
        <v>2.2800000000000001E-2</v>
      </c>
      <c r="W58" s="120"/>
      <c r="X58" s="120"/>
      <c r="Y58" s="123"/>
      <c r="Z58" s="123">
        <v>3.4099999999999998E-2</v>
      </c>
      <c r="AA58" s="124">
        <v>46687</v>
      </c>
      <c r="AB58" s="120" t="s">
        <v>411</v>
      </c>
      <c r="AC58" s="120"/>
      <c r="AD58" s="122"/>
      <c r="AE58" s="123"/>
      <c r="AF58" s="124">
        <v>45323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45838</v>
      </c>
      <c r="AO58" s="120"/>
      <c r="AP58" s="123"/>
      <c r="AQ58" s="122">
        <v>5204900</v>
      </c>
      <c r="AR58" s="122">
        <v>114.32</v>
      </c>
      <c r="AS58" s="122">
        <v>1</v>
      </c>
      <c r="AT58" s="122">
        <v>5950.2416800000001</v>
      </c>
      <c r="AU58" s="122">
        <v>5950.2416800000001</v>
      </c>
      <c r="AV58" s="120"/>
      <c r="AW58" s="120"/>
      <c r="AX58" s="120"/>
      <c r="AY58" s="120"/>
      <c r="AZ58" s="123">
        <v>2.0720000000000001E-3</v>
      </c>
      <c r="BA58" s="123">
        <v>9.8999999999999994E-5</v>
      </c>
    </row>
    <row r="59" spans="1:53" ht="15" customHeight="1">
      <c r="A59" s="121">
        <v>313</v>
      </c>
      <c r="B59" s="121">
        <v>313</v>
      </c>
      <c r="C59" s="121"/>
      <c r="D59" s="120"/>
      <c r="E59" s="120"/>
      <c r="F59" s="121">
        <v>74009096</v>
      </c>
      <c r="G59" s="120" t="s">
        <v>1013</v>
      </c>
      <c r="H59" s="120" t="s">
        <v>2617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44826</v>
      </c>
      <c r="P59" s="120" t="s">
        <v>1402</v>
      </c>
      <c r="Q59" s="120" t="s">
        <v>311</v>
      </c>
      <c r="R59" s="120" t="s">
        <v>407</v>
      </c>
      <c r="S59" s="120" t="s">
        <v>1218</v>
      </c>
      <c r="T59" s="122">
        <v>2.27</v>
      </c>
      <c r="U59" s="120" t="s">
        <v>2613</v>
      </c>
      <c r="V59" s="123">
        <v>2.2800000000000001E-2</v>
      </c>
      <c r="W59" s="120"/>
      <c r="X59" s="120"/>
      <c r="Y59" s="123"/>
      <c r="Z59" s="123">
        <v>3.4099999999999998E-2</v>
      </c>
      <c r="AA59" s="124">
        <v>46687</v>
      </c>
      <c r="AB59" s="120" t="s">
        <v>411</v>
      </c>
      <c r="AC59" s="120"/>
      <c r="AD59" s="122"/>
      <c r="AE59" s="123"/>
      <c r="AF59" s="124">
        <v>45323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45838</v>
      </c>
      <c r="AO59" s="120"/>
      <c r="AP59" s="123"/>
      <c r="AQ59" s="122">
        <v>922938</v>
      </c>
      <c r="AR59" s="122">
        <v>106.82</v>
      </c>
      <c r="AS59" s="122">
        <v>1</v>
      </c>
      <c r="AT59" s="122">
        <v>985.88237000000004</v>
      </c>
      <c r="AU59" s="122">
        <v>985.88237000000004</v>
      </c>
      <c r="AV59" s="120"/>
      <c r="AW59" s="120"/>
      <c r="AX59" s="120"/>
      <c r="AY59" s="120"/>
      <c r="AZ59" s="123">
        <v>3.4299999999999999E-4</v>
      </c>
      <c r="BA59" s="123">
        <v>1.5999999999999999E-5</v>
      </c>
    </row>
    <row r="60" spans="1:53" ht="15" customHeight="1">
      <c r="A60" s="121">
        <v>313</v>
      </c>
      <c r="B60" s="121">
        <v>313</v>
      </c>
      <c r="C60" s="121"/>
      <c r="D60" s="120"/>
      <c r="E60" s="120"/>
      <c r="F60" s="121">
        <v>74009082</v>
      </c>
      <c r="G60" s="120" t="s">
        <v>1013</v>
      </c>
      <c r="H60" s="120" t="s">
        <v>2617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44277</v>
      </c>
      <c r="P60" s="120" t="s">
        <v>1402</v>
      </c>
      <c r="Q60" s="120" t="s">
        <v>311</v>
      </c>
      <c r="R60" s="120" t="s">
        <v>407</v>
      </c>
      <c r="S60" s="120" t="s">
        <v>1218</v>
      </c>
      <c r="T60" s="122">
        <v>2.27</v>
      </c>
      <c r="U60" s="120" t="s">
        <v>2613</v>
      </c>
      <c r="V60" s="123">
        <v>2.2800000000000001E-2</v>
      </c>
      <c r="W60" s="120"/>
      <c r="X60" s="120"/>
      <c r="Y60" s="123"/>
      <c r="Z60" s="123">
        <v>3.4099999999999998E-2</v>
      </c>
      <c r="AA60" s="124">
        <v>46687</v>
      </c>
      <c r="AB60" s="120" t="s">
        <v>411</v>
      </c>
      <c r="AC60" s="120"/>
      <c r="AD60" s="122"/>
      <c r="AE60" s="123"/>
      <c r="AF60" s="124">
        <v>45323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45838</v>
      </c>
      <c r="AO60" s="120"/>
      <c r="AP60" s="123"/>
      <c r="AQ60" s="122">
        <v>839361.31</v>
      </c>
      <c r="AR60" s="122">
        <v>114.09</v>
      </c>
      <c r="AS60" s="122">
        <v>1</v>
      </c>
      <c r="AT60" s="122">
        <v>957.62732000000005</v>
      </c>
      <c r="AU60" s="122">
        <v>957.62732000000005</v>
      </c>
      <c r="AV60" s="120"/>
      <c r="AW60" s="120"/>
      <c r="AX60" s="120"/>
      <c r="AY60" s="120"/>
      <c r="AZ60" s="123">
        <v>3.3300000000000002E-4</v>
      </c>
      <c r="BA60" s="123">
        <v>1.5E-5</v>
      </c>
    </row>
    <row r="61" spans="1:53" ht="15" customHeight="1">
      <c r="A61" s="121">
        <v>313</v>
      </c>
      <c r="B61" s="121">
        <v>313</v>
      </c>
      <c r="C61" s="121"/>
      <c r="D61" s="120"/>
      <c r="E61" s="120"/>
      <c r="F61" s="121">
        <v>74009084</v>
      </c>
      <c r="G61" s="120" t="s">
        <v>1013</v>
      </c>
      <c r="H61" s="120" t="s">
        <v>2617</v>
      </c>
      <c r="I61" s="120" t="s">
        <v>203</v>
      </c>
      <c r="J61" s="120"/>
      <c r="K61" s="120" t="s">
        <v>463</v>
      </c>
      <c r="L61" s="120" t="s">
        <v>338</v>
      </c>
      <c r="M61" s="120" t="s">
        <v>338</v>
      </c>
      <c r="N61" s="121"/>
      <c r="O61" s="124">
        <v>44623</v>
      </c>
      <c r="P61" s="120" t="s">
        <v>1402</v>
      </c>
      <c r="Q61" s="120" t="s">
        <v>311</v>
      </c>
      <c r="R61" s="120" t="s">
        <v>407</v>
      </c>
      <c r="S61" s="120" t="s">
        <v>1218</v>
      </c>
      <c r="T61" s="122">
        <v>2.27</v>
      </c>
      <c r="U61" s="120" t="s">
        <v>2613</v>
      </c>
      <c r="V61" s="123">
        <v>2.2800000000000001E-2</v>
      </c>
      <c r="W61" s="120"/>
      <c r="X61" s="120"/>
      <c r="Y61" s="123"/>
      <c r="Z61" s="123">
        <v>3.5400000000000001E-2</v>
      </c>
      <c r="AA61" s="124">
        <v>46687</v>
      </c>
      <c r="AB61" s="120" t="s">
        <v>411</v>
      </c>
      <c r="AC61" s="120"/>
      <c r="AD61" s="122"/>
      <c r="AE61" s="123"/>
      <c r="AF61" s="124">
        <v>45323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45838</v>
      </c>
      <c r="AO61" s="120"/>
      <c r="AP61" s="123"/>
      <c r="AQ61" s="122">
        <v>1956391</v>
      </c>
      <c r="AR61" s="122">
        <v>110.66</v>
      </c>
      <c r="AS61" s="122">
        <v>1</v>
      </c>
      <c r="AT61" s="122">
        <v>2164.9422800000002</v>
      </c>
      <c r="AU61" s="122">
        <v>2164.9422800000002</v>
      </c>
      <c r="AV61" s="120"/>
      <c r="AW61" s="120"/>
      <c r="AX61" s="120"/>
      <c r="AY61" s="120"/>
      <c r="AZ61" s="123">
        <v>7.54E-4</v>
      </c>
      <c r="BA61" s="123">
        <v>3.6000000000000001E-5</v>
      </c>
    </row>
    <row r="62" spans="1:53" ht="15" customHeight="1">
      <c r="A62" s="121">
        <v>313</v>
      </c>
      <c r="B62" s="121">
        <v>313</v>
      </c>
      <c r="C62" s="121"/>
      <c r="D62" s="120"/>
      <c r="E62" s="120"/>
      <c r="F62" s="121">
        <v>74009091</v>
      </c>
      <c r="G62" s="120" t="s">
        <v>1013</v>
      </c>
      <c r="H62" s="120" t="s">
        <v>2617</v>
      </c>
      <c r="I62" s="120" t="s">
        <v>203</v>
      </c>
      <c r="J62" s="120"/>
      <c r="K62" s="120" t="s">
        <v>463</v>
      </c>
      <c r="L62" s="120" t="s">
        <v>338</v>
      </c>
      <c r="M62" s="120" t="s">
        <v>338</v>
      </c>
      <c r="N62" s="121"/>
      <c r="O62" s="124">
        <v>44132</v>
      </c>
      <c r="P62" s="120" t="s">
        <v>1402</v>
      </c>
      <c r="Q62" s="120" t="s">
        <v>311</v>
      </c>
      <c r="R62" s="120" t="s">
        <v>407</v>
      </c>
      <c r="S62" s="120" t="s">
        <v>1218</v>
      </c>
      <c r="T62" s="122">
        <v>2.27</v>
      </c>
      <c r="U62" s="120" t="s">
        <v>2613</v>
      </c>
      <c r="V62" s="123">
        <v>2.2800000000000001E-2</v>
      </c>
      <c r="W62" s="120"/>
      <c r="X62" s="120"/>
      <c r="Y62" s="123"/>
      <c r="Z62" s="123">
        <v>3.4099999999999998E-2</v>
      </c>
      <c r="AA62" s="124">
        <v>46687</v>
      </c>
      <c r="AB62" s="120" t="s">
        <v>411</v>
      </c>
      <c r="AC62" s="120"/>
      <c r="AD62" s="122"/>
      <c r="AE62" s="123"/>
      <c r="AF62" s="124">
        <v>45261</v>
      </c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45838</v>
      </c>
      <c r="AO62" s="120"/>
      <c r="AP62" s="123"/>
      <c r="AQ62" s="122">
        <v>4759965</v>
      </c>
      <c r="AR62" s="122">
        <v>114.32</v>
      </c>
      <c r="AS62" s="122">
        <v>1</v>
      </c>
      <c r="AT62" s="122">
        <v>5441.5919899999999</v>
      </c>
      <c r="AU62" s="122">
        <v>5441.5919899999999</v>
      </c>
      <c r="AV62" s="120"/>
      <c r="AW62" s="120"/>
      <c r="AX62" s="120"/>
      <c r="AY62" s="120"/>
      <c r="AZ62" s="123">
        <v>1.895E-3</v>
      </c>
      <c r="BA62" s="123">
        <v>9.0000000000000006E-5</v>
      </c>
    </row>
    <row r="63" spans="1:53" ht="15" customHeight="1">
      <c r="A63" s="121">
        <v>313</v>
      </c>
      <c r="B63" s="121">
        <v>313</v>
      </c>
      <c r="C63" s="121"/>
      <c r="D63" s="120"/>
      <c r="E63" s="120"/>
      <c r="F63" s="121">
        <v>74009092</v>
      </c>
      <c r="G63" s="120" t="s">
        <v>1013</v>
      </c>
      <c r="H63" s="120" t="s">
        <v>2617</v>
      </c>
      <c r="I63" s="120" t="s">
        <v>203</v>
      </c>
      <c r="J63" s="120"/>
      <c r="K63" s="120" t="s">
        <v>463</v>
      </c>
      <c r="L63" s="120" t="s">
        <v>338</v>
      </c>
      <c r="M63" s="120" t="s">
        <v>338</v>
      </c>
      <c r="N63" s="121"/>
      <c r="O63" s="124">
        <v>44264</v>
      </c>
      <c r="P63" s="120" t="s">
        <v>1402</v>
      </c>
      <c r="Q63" s="120" t="s">
        <v>311</v>
      </c>
      <c r="R63" s="120" t="s">
        <v>407</v>
      </c>
      <c r="S63" s="120" t="s">
        <v>1218</v>
      </c>
      <c r="T63" s="122">
        <v>2.27</v>
      </c>
      <c r="U63" s="120" t="s">
        <v>2613</v>
      </c>
      <c r="V63" s="123">
        <v>2.2800000000000001E-2</v>
      </c>
      <c r="W63" s="120"/>
      <c r="X63" s="120"/>
      <c r="Y63" s="123"/>
      <c r="Z63" s="123">
        <v>3.4099999999999998E-2</v>
      </c>
      <c r="AA63" s="124">
        <v>46687</v>
      </c>
      <c r="AB63" s="120" t="s">
        <v>411</v>
      </c>
      <c r="AC63" s="120"/>
      <c r="AD63" s="122"/>
      <c r="AE63" s="123"/>
      <c r="AF63" s="124">
        <v>45323</v>
      </c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45838</v>
      </c>
      <c r="AO63" s="120"/>
      <c r="AP63" s="123"/>
      <c r="AQ63" s="122">
        <v>3189932.1</v>
      </c>
      <c r="AR63" s="122">
        <v>114.43</v>
      </c>
      <c r="AS63" s="122">
        <v>1</v>
      </c>
      <c r="AT63" s="122">
        <v>3650.2393000000002</v>
      </c>
      <c r="AU63" s="122">
        <v>3650.2393000000002</v>
      </c>
      <c r="AV63" s="120"/>
      <c r="AW63" s="120"/>
      <c r="AX63" s="120"/>
      <c r="AY63" s="120"/>
      <c r="AZ63" s="123">
        <v>1.271E-3</v>
      </c>
      <c r="BA63" s="123">
        <v>6.0000000000000002E-5</v>
      </c>
    </row>
    <row r="64" spans="1:53" ht="15" customHeight="1">
      <c r="A64" s="121">
        <v>313</v>
      </c>
      <c r="B64" s="121">
        <v>313</v>
      </c>
      <c r="C64" s="121"/>
      <c r="D64" s="120"/>
      <c r="E64" s="120"/>
      <c r="F64" s="121">
        <v>74009093</v>
      </c>
      <c r="G64" s="120" t="s">
        <v>1013</v>
      </c>
      <c r="H64" s="120" t="s">
        <v>2617</v>
      </c>
      <c r="I64" s="120" t="s">
        <v>203</v>
      </c>
      <c r="J64" s="120"/>
      <c r="K64" s="120" t="s">
        <v>463</v>
      </c>
      <c r="L64" s="120" t="s">
        <v>338</v>
      </c>
      <c r="M64" s="120" t="s">
        <v>338</v>
      </c>
      <c r="N64" s="121"/>
      <c r="O64" s="124">
        <v>44277</v>
      </c>
      <c r="P64" s="120" t="s">
        <v>1402</v>
      </c>
      <c r="Q64" s="120" t="s">
        <v>311</v>
      </c>
      <c r="R64" s="120" t="s">
        <v>407</v>
      </c>
      <c r="S64" s="120" t="s">
        <v>1218</v>
      </c>
      <c r="T64" s="122">
        <v>2.27</v>
      </c>
      <c r="U64" s="120" t="s">
        <v>2613</v>
      </c>
      <c r="V64" s="123">
        <v>2.0299999999999999E-2</v>
      </c>
      <c r="W64" s="120"/>
      <c r="X64" s="120"/>
      <c r="Y64" s="123"/>
      <c r="Z64" s="123">
        <v>3.6700000000000003E-2</v>
      </c>
      <c r="AA64" s="124">
        <v>46687</v>
      </c>
      <c r="AB64" s="120" t="s">
        <v>411</v>
      </c>
      <c r="AC64" s="120"/>
      <c r="AD64" s="122"/>
      <c r="AE64" s="123"/>
      <c r="AF64" s="124">
        <v>45292</v>
      </c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45838</v>
      </c>
      <c r="AO64" s="120"/>
      <c r="AP64" s="123"/>
      <c r="AQ64" s="122">
        <v>6380200</v>
      </c>
      <c r="AR64" s="122">
        <v>113.44</v>
      </c>
      <c r="AS64" s="122">
        <v>1</v>
      </c>
      <c r="AT64" s="122">
        <v>7237.6988799999999</v>
      </c>
      <c r="AU64" s="122">
        <v>7237.6988799999999</v>
      </c>
      <c r="AV64" s="120"/>
      <c r="AW64" s="120"/>
      <c r="AX64" s="120"/>
      <c r="AY64" s="120"/>
      <c r="AZ64" s="123">
        <v>2.5200000000000001E-3</v>
      </c>
      <c r="BA64" s="123">
        <v>1.2E-4</v>
      </c>
    </row>
    <row r="65" spans="1:53" ht="15" customHeight="1">
      <c r="A65" s="121">
        <v>313</v>
      </c>
      <c r="B65" s="121">
        <v>313</v>
      </c>
      <c r="C65" s="121"/>
      <c r="D65" s="120"/>
      <c r="E65" s="120"/>
      <c r="F65" s="121">
        <v>74009094</v>
      </c>
      <c r="G65" s="120" t="s">
        <v>1013</v>
      </c>
      <c r="H65" s="120" t="s">
        <v>2617</v>
      </c>
      <c r="I65" s="120" t="s">
        <v>203</v>
      </c>
      <c r="J65" s="120"/>
      <c r="K65" s="120" t="s">
        <v>463</v>
      </c>
      <c r="L65" s="120" t="s">
        <v>338</v>
      </c>
      <c r="M65" s="120" t="s">
        <v>338</v>
      </c>
      <c r="N65" s="121"/>
      <c r="O65" s="124">
        <v>44623</v>
      </c>
      <c r="P65" s="120" t="s">
        <v>1402</v>
      </c>
      <c r="Q65" s="120" t="s">
        <v>311</v>
      </c>
      <c r="R65" s="120" t="s">
        <v>407</v>
      </c>
      <c r="S65" s="120" t="s">
        <v>1218</v>
      </c>
      <c r="T65" s="122">
        <v>2.27</v>
      </c>
      <c r="U65" s="120" t="s">
        <v>2613</v>
      </c>
      <c r="V65" s="123">
        <v>2.2800000000000001E-2</v>
      </c>
      <c r="W65" s="120"/>
      <c r="X65" s="120"/>
      <c r="Y65" s="123"/>
      <c r="Z65" s="123">
        <v>3.5400000000000001E-2</v>
      </c>
      <c r="AA65" s="124">
        <v>46687</v>
      </c>
      <c r="AB65" s="120" t="s">
        <v>411</v>
      </c>
      <c r="AC65" s="120"/>
      <c r="AD65" s="122"/>
      <c r="AE65" s="123"/>
      <c r="AF65" s="124">
        <v>45261</v>
      </c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45838</v>
      </c>
      <c r="AO65" s="120"/>
      <c r="AP65" s="123"/>
      <c r="AQ65" s="122">
        <v>3367311</v>
      </c>
      <c r="AR65" s="122">
        <v>110.66</v>
      </c>
      <c r="AS65" s="122">
        <v>1</v>
      </c>
      <c r="AT65" s="122">
        <v>3726.2663499999999</v>
      </c>
      <c r="AU65" s="122">
        <v>3726.2663499999999</v>
      </c>
      <c r="AV65" s="120"/>
      <c r="AW65" s="120"/>
      <c r="AX65" s="120"/>
      <c r="AY65" s="120"/>
      <c r="AZ65" s="123">
        <v>1.297E-3</v>
      </c>
      <c r="BA65" s="123">
        <v>6.2000000000000003E-5</v>
      </c>
    </row>
    <row r="66" spans="1:53" ht="15" customHeight="1">
      <c r="A66" s="121">
        <v>313</v>
      </c>
      <c r="B66" s="121">
        <v>313</v>
      </c>
      <c r="C66" s="121"/>
      <c r="D66" s="120"/>
      <c r="E66" s="120"/>
      <c r="F66" s="121">
        <v>74009083</v>
      </c>
      <c r="G66" s="120" t="s">
        <v>1013</v>
      </c>
      <c r="H66" s="120" t="s">
        <v>2617</v>
      </c>
      <c r="I66" s="120" t="s">
        <v>203</v>
      </c>
      <c r="J66" s="120"/>
      <c r="K66" s="120" t="s">
        <v>463</v>
      </c>
      <c r="L66" s="120" t="s">
        <v>338</v>
      </c>
      <c r="M66" s="120" t="s">
        <v>338</v>
      </c>
      <c r="N66" s="121"/>
      <c r="O66" s="124">
        <v>44502</v>
      </c>
      <c r="P66" s="120" t="s">
        <v>1402</v>
      </c>
      <c r="Q66" s="120" t="s">
        <v>311</v>
      </c>
      <c r="R66" s="120" t="s">
        <v>407</v>
      </c>
      <c r="S66" s="120" t="s">
        <v>1218</v>
      </c>
      <c r="T66" s="122">
        <v>2.27</v>
      </c>
      <c r="U66" s="120" t="s">
        <v>2613</v>
      </c>
      <c r="V66" s="123">
        <v>2.2800000000000001E-2</v>
      </c>
      <c r="W66" s="120"/>
      <c r="X66" s="120"/>
      <c r="Y66" s="123"/>
      <c r="Z66" s="123">
        <v>3.4099999999999998E-2</v>
      </c>
      <c r="AA66" s="124">
        <v>46687</v>
      </c>
      <c r="AB66" s="120" t="s">
        <v>411</v>
      </c>
      <c r="AC66" s="120"/>
      <c r="AD66" s="122"/>
      <c r="AE66" s="123"/>
      <c r="AF66" s="124">
        <v>45323</v>
      </c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45838</v>
      </c>
      <c r="AO66" s="120"/>
      <c r="AP66" s="123"/>
      <c r="AQ66" s="122">
        <v>839500</v>
      </c>
      <c r="AR66" s="122">
        <v>111.53</v>
      </c>
      <c r="AS66" s="122">
        <v>1</v>
      </c>
      <c r="AT66" s="122">
        <v>936.29435000000001</v>
      </c>
      <c r="AU66" s="122">
        <v>936.29435000000001</v>
      </c>
      <c r="AV66" s="120"/>
      <c r="AW66" s="120"/>
      <c r="AX66" s="120"/>
      <c r="AY66" s="120"/>
      <c r="AZ66" s="123">
        <v>3.2600000000000001E-4</v>
      </c>
      <c r="BA66" s="123">
        <v>1.5E-5</v>
      </c>
    </row>
    <row r="67" spans="1:53" ht="15" customHeight="1">
      <c r="A67" s="121">
        <v>313</v>
      </c>
      <c r="B67" s="121">
        <v>313</v>
      </c>
      <c r="C67" s="121"/>
      <c r="D67" s="120"/>
      <c r="E67" s="120"/>
      <c r="F67" s="121">
        <v>75002445</v>
      </c>
      <c r="G67" s="120" t="s">
        <v>1013</v>
      </c>
      <c r="H67" s="120" t="s">
        <v>812</v>
      </c>
      <c r="I67" s="120" t="s">
        <v>203</v>
      </c>
      <c r="J67" s="120"/>
      <c r="K67" s="120" t="s">
        <v>463</v>
      </c>
      <c r="L67" s="120" t="s">
        <v>338</v>
      </c>
      <c r="M67" s="120" t="s">
        <v>337</v>
      </c>
      <c r="N67" s="121"/>
      <c r="O67" s="124">
        <v>44195</v>
      </c>
      <c r="P67" s="120" t="s">
        <v>2616</v>
      </c>
      <c r="Q67" s="120" t="s">
        <v>311</v>
      </c>
      <c r="R67" s="120" t="s">
        <v>407</v>
      </c>
      <c r="S67" s="120" t="s">
        <v>1218</v>
      </c>
      <c r="T67" s="122">
        <v>9.5</v>
      </c>
      <c r="U67" s="120" t="s">
        <v>2613</v>
      </c>
      <c r="V67" s="123">
        <v>1.286E-2</v>
      </c>
      <c r="W67" s="120"/>
      <c r="X67" s="120"/>
      <c r="Y67" s="123"/>
      <c r="Z67" s="123">
        <v>3.0099999999999998E-2</v>
      </c>
      <c r="AA67" s="124">
        <v>49562</v>
      </c>
      <c r="AB67" s="120" t="s">
        <v>411</v>
      </c>
      <c r="AC67" s="120"/>
      <c r="AD67" s="122"/>
      <c r="AE67" s="123"/>
      <c r="AF67" s="124">
        <v>44896</v>
      </c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45838</v>
      </c>
      <c r="AO67" s="120"/>
      <c r="AP67" s="123"/>
      <c r="AQ67" s="122">
        <v>8428153.6999999993</v>
      </c>
      <c r="AR67" s="122">
        <v>99.77</v>
      </c>
      <c r="AS67" s="122">
        <v>1</v>
      </c>
      <c r="AT67" s="122">
        <v>8408.7689499999997</v>
      </c>
      <c r="AU67" s="122">
        <v>8408.7689499999997</v>
      </c>
      <c r="AV67" s="120"/>
      <c r="AW67" s="120"/>
      <c r="AX67" s="120"/>
      <c r="AY67" s="120"/>
      <c r="AZ67" s="123">
        <v>2.928E-3</v>
      </c>
      <c r="BA67" s="123">
        <v>1.3999999999999999E-4</v>
      </c>
    </row>
    <row r="68" spans="1:53" ht="15" customHeight="1">
      <c r="A68" s="121">
        <v>313</v>
      </c>
      <c r="B68" s="121">
        <v>313</v>
      </c>
      <c r="C68" s="121"/>
      <c r="D68" s="120"/>
      <c r="E68" s="120"/>
      <c r="F68" s="121">
        <v>74006161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337</v>
      </c>
      <c r="N68" s="121"/>
      <c r="O68" s="124">
        <v>45197</v>
      </c>
      <c r="P68" s="120" t="s">
        <v>1304</v>
      </c>
      <c r="Q68" s="120" t="s">
        <v>414</v>
      </c>
      <c r="R68" s="120" t="s">
        <v>407</v>
      </c>
      <c r="S68" s="120" t="s">
        <v>1218</v>
      </c>
      <c r="T68" s="122">
        <v>7.95</v>
      </c>
      <c r="U68" s="120" t="s">
        <v>2613</v>
      </c>
      <c r="V68" s="123">
        <v>4.1200000000000001E-2</v>
      </c>
      <c r="W68" s="120"/>
      <c r="X68" s="120"/>
      <c r="Y68" s="123"/>
      <c r="Z68" s="123">
        <v>3.1699999999999999E-2</v>
      </c>
      <c r="AA68" s="124">
        <v>52135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45838</v>
      </c>
      <c r="AO68" s="120"/>
      <c r="AP68" s="123"/>
      <c r="AQ68" s="122">
        <v>178861.26</v>
      </c>
      <c r="AR68" s="122">
        <v>110.94</v>
      </c>
      <c r="AS68" s="122">
        <v>1</v>
      </c>
      <c r="AT68" s="122">
        <v>198.42868000000001</v>
      </c>
      <c r="AU68" s="122">
        <v>198.42868000000001</v>
      </c>
      <c r="AV68" s="120"/>
      <c r="AW68" s="120"/>
      <c r="AX68" s="120"/>
      <c r="AY68" s="120"/>
      <c r="AZ68" s="123">
        <v>6.8999999999999997E-5</v>
      </c>
      <c r="BA68" s="123">
        <v>3.0000000000000001E-6</v>
      </c>
    </row>
    <row r="69" spans="1:53" ht="15" customHeight="1">
      <c r="A69" s="121">
        <v>313</v>
      </c>
      <c r="B69" s="121">
        <v>313</v>
      </c>
      <c r="C69" s="121"/>
      <c r="D69" s="120"/>
      <c r="E69" s="120"/>
      <c r="F69" s="121">
        <v>74006159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337</v>
      </c>
      <c r="N69" s="121"/>
      <c r="O69" s="124">
        <v>44612</v>
      </c>
      <c r="P69" s="120" t="s">
        <v>1304</v>
      </c>
      <c r="Q69" s="120" t="s">
        <v>414</v>
      </c>
      <c r="R69" s="120" t="s">
        <v>407</v>
      </c>
      <c r="S69" s="120" t="s">
        <v>1218</v>
      </c>
      <c r="T69" s="122">
        <v>8.23</v>
      </c>
      <c r="U69" s="120" t="s">
        <v>2613</v>
      </c>
      <c r="V69" s="123">
        <v>2.3599999999999999E-2</v>
      </c>
      <c r="W69" s="120"/>
      <c r="X69" s="120"/>
      <c r="Y69" s="123"/>
      <c r="Z69" s="123">
        <v>3.4700000000000002E-2</v>
      </c>
      <c r="AA69" s="124">
        <v>52135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45838</v>
      </c>
      <c r="AO69" s="120"/>
      <c r="AP69" s="123"/>
      <c r="AQ69" s="122">
        <v>10164323.52</v>
      </c>
      <c r="AR69" s="122">
        <v>101.53</v>
      </c>
      <c r="AS69" s="122">
        <v>1</v>
      </c>
      <c r="AT69" s="122">
        <v>10319.837670000001</v>
      </c>
      <c r="AU69" s="122">
        <v>10319.837670000001</v>
      </c>
      <c r="AV69" s="120"/>
      <c r="AW69" s="120"/>
      <c r="AX69" s="120"/>
      <c r="AY69" s="120"/>
      <c r="AZ69" s="123">
        <v>3.594E-3</v>
      </c>
      <c r="BA69" s="123">
        <v>1.7100000000000001E-4</v>
      </c>
    </row>
    <row r="70" spans="1:53" ht="15" customHeight="1">
      <c r="A70" s="121">
        <v>313</v>
      </c>
      <c r="B70" s="121">
        <v>313</v>
      </c>
      <c r="C70" s="121"/>
      <c r="D70" s="120"/>
      <c r="E70" s="120"/>
      <c r="F70" s="121">
        <v>71000208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337</v>
      </c>
      <c r="N70" s="121"/>
      <c r="O70" s="124">
        <v>44858</v>
      </c>
      <c r="P70" s="120" t="s">
        <v>1339</v>
      </c>
      <c r="Q70" s="120" t="s">
        <v>414</v>
      </c>
      <c r="R70" s="120" t="s">
        <v>407</v>
      </c>
      <c r="S70" s="120" t="s">
        <v>1218</v>
      </c>
      <c r="T70" s="122">
        <v>4.91</v>
      </c>
      <c r="U70" s="120" t="s">
        <v>2613</v>
      </c>
      <c r="V70" s="123">
        <v>3.49E-2</v>
      </c>
      <c r="W70" s="120"/>
      <c r="X70" s="120"/>
      <c r="Y70" s="123"/>
      <c r="Z70" s="123">
        <v>3.3500000000000002E-2</v>
      </c>
      <c r="AA70" s="124">
        <v>48667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45838</v>
      </c>
      <c r="AO70" s="120"/>
      <c r="AP70" s="123"/>
      <c r="AQ70" s="122">
        <v>743078.83</v>
      </c>
      <c r="AR70" s="122">
        <v>111.2</v>
      </c>
      <c r="AS70" s="122">
        <v>1</v>
      </c>
      <c r="AT70" s="122">
        <v>826.30366000000004</v>
      </c>
      <c r="AU70" s="122">
        <v>826.30366000000004</v>
      </c>
      <c r="AV70" s="120"/>
      <c r="AW70" s="120"/>
      <c r="AX70" s="120"/>
      <c r="AY70" s="120"/>
      <c r="AZ70" s="123">
        <v>2.8699999999999998E-4</v>
      </c>
      <c r="BA70" s="123">
        <v>1.2999999999999999E-5</v>
      </c>
    </row>
    <row r="71" spans="1:53" ht="15" customHeight="1">
      <c r="A71" s="121">
        <v>313</v>
      </c>
      <c r="B71" s="121">
        <v>313</v>
      </c>
      <c r="C71" s="121"/>
      <c r="D71" s="120"/>
      <c r="E71" s="120"/>
      <c r="F71" s="121">
        <v>71000209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337</v>
      </c>
      <c r="N71" s="121"/>
      <c r="O71" s="124">
        <v>44858</v>
      </c>
      <c r="P71" s="120" t="s">
        <v>1339</v>
      </c>
      <c r="Q71" s="120" t="s">
        <v>414</v>
      </c>
      <c r="R71" s="120" t="s">
        <v>407</v>
      </c>
      <c r="S71" s="120" t="s">
        <v>1218</v>
      </c>
      <c r="T71" s="122">
        <v>4.8099999999999996</v>
      </c>
      <c r="U71" s="120" t="s">
        <v>2613</v>
      </c>
      <c r="V71" s="123">
        <v>3.49E-2</v>
      </c>
      <c r="W71" s="120"/>
      <c r="X71" s="120"/>
      <c r="Y71" s="123"/>
      <c r="Z71" s="123">
        <v>3.3599999999999998E-2</v>
      </c>
      <c r="AA71" s="124">
        <v>48667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45838</v>
      </c>
      <c r="AO71" s="120"/>
      <c r="AP71" s="123"/>
      <c r="AQ71" s="122">
        <v>819836.37</v>
      </c>
      <c r="AR71" s="122">
        <v>111.15</v>
      </c>
      <c r="AS71" s="122">
        <v>1</v>
      </c>
      <c r="AT71" s="122">
        <v>911.24812999999995</v>
      </c>
      <c r="AU71" s="122">
        <v>911.24812999999995</v>
      </c>
      <c r="AV71" s="120"/>
      <c r="AW71" s="120"/>
      <c r="AX71" s="120"/>
      <c r="AY71" s="120"/>
      <c r="AZ71" s="123">
        <v>3.1700000000000001E-4</v>
      </c>
      <c r="BA71" s="123">
        <v>1.5E-5</v>
      </c>
    </row>
    <row r="72" spans="1:53" ht="15" customHeight="1">
      <c r="A72" s="121">
        <v>313</v>
      </c>
      <c r="B72" s="121">
        <v>313</v>
      </c>
      <c r="C72" s="121"/>
      <c r="D72" s="120"/>
      <c r="E72" s="120"/>
      <c r="F72" s="121">
        <v>73005003</v>
      </c>
      <c r="G72" s="120" t="s">
        <v>1013</v>
      </c>
      <c r="H72" s="120" t="s">
        <v>818</v>
      </c>
      <c r="I72" s="120" t="s">
        <v>203</v>
      </c>
      <c r="J72" s="120"/>
      <c r="K72" s="120" t="s">
        <v>442</v>
      </c>
      <c r="L72" s="120" t="s">
        <v>338</v>
      </c>
      <c r="M72" s="120" t="s">
        <v>338</v>
      </c>
      <c r="N72" s="121"/>
      <c r="O72" s="124">
        <v>44767</v>
      </c>
      <c r="P72" s="120" t="s">
        <v>409</v>
      </c>
      <c r="Q72" s="120" t="s">
        <v>409</v>
      </c>
      <c r="R72" s="120" t="s">
        <v>409</v>
      </c>
      <c r="S72" s="120" t="s">
        <v>1218</v>
      </c>
      <c r="T72" s="122">
        <v>5.25</v>
      </c>
      <c r="U72" s="120" t="s">
        <v>2613</v>
      </c>
      <c r="V72" s="123">
        <v>0</v>
      </c>
      <c r="W72" s="120"/>
      <c r="X72" s="120"/>
      <c r="Y72" s="123"/>
      <c r="Z72" s="123">
        <v>-1.8E-3</v>
      </c>
      <c r="AA72" s="124">
        <v>47756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45838</v>
      </c>
      <c r="AO72" s="120"/>
      <c r="AP72" s="123"/>
      <c r="AQ72" s="122">
        <v>6665871.2400000002</v>
      </c>
      <c r="AR72" s="122">
        <v>111.43</v>
      </c>
      <c r="AS72" s="122">
        <v>1</v>
      </c>
      <c r="AT72" s="122">
        <v>7427.7803199999998</v>
      </c>
      <c r="AU72" s="122">
        <v>7427.7803199999998</v>
      </c>
      <c r="AV72" s="120"/>
      <c r="AW72" s="120"/>
      <c r="AX72" s="120"/>
      <c r="AY72" s="120"/>
      <c r="AZ72" s="123">
        <v>2.5860000000000002E-3</v>
      </c>
      <c r="BA72" s="123">
        <v>1.2300000000000001E-4</v>
      </c>
    </row>
    <row r="73" spans="1:53" ht="15" customHeight="1">
      <c r="A73" s="121">
        <v>313</v>
      </c>
      <c r="B73" s="121">
        <v>313</v>
      </c>
      <c r="C73" s="121"/>
      <c r="D73" s="120"/>
      <c r="E73" s="120"/>
      <c r="F73" s="121">
        <v>74001501</v>
      </c>
      <c r="G73" s="120" t="s">
        <v>1013</v>
      </c>
      <c r="H73" s="120" t="s">
        <v>785</v>
      </c>
      <c r="I73" s="120" t="s">
        <v>203</v>
      </c>
      <c r="J73" s="120"/>
      <c r="K73" s="120" t="s">
        <v>463</v>
      </c>
      <c r="L73" s="120" t="s">
        <v>338</v>
      </c>
      <c r="M73" s="120" t="s">
        <v>338</v>
      </c>
      <c r="N73" s="121"/>
      <c r="O73" s="124">
        <v>44129</v>
      </c>
      <c r="P73" s="120" t="s">
        <v>2618</v>
      </c>
      <c r="Q73" s="120" t="s">
        <v>311</v>
      </c>
      <c r="R73" s="120" t="s">
        <v>407</v>
      </c>
      <c r="S73" s="120" t="s">
        <v>1218</v>
      </c>
      <c r="T73" s="122">
        <v>3.68</v>
      </c>
      <c r="U73" s="120" t="s">
        <v>2613</v>
      </c>
      <c r="V73" s="123">
        <v>2.8899999999999999E-2</v>
      </c>
      <c r="W73" s="120"/>
      <c r="X73" s="120"/>
      <c r="Y73" s="123"/>
      <c r="Z73" s="123">
        <v>5.0999999999999997E-2</v>
      </c>
      <c r="AA73" s="124">
        <v>47416</v>
      </c>
      <c r="AB73" s="120" t="s">
        <v>411</v>
      </c>
      <c r="AC73" s="120"/>
      <c r="AD73" s="122"/>
      <c r="AE73" s="123"/>
      <c r="AF73" s="124">
        <v>45231</v>
      </c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45838</v>
      </c>
      <c r="AO73" s="120"/>
      <c r="AP73" s="123"/>
      <c r="AQ73" s="122">
        <v>26680000</v>
      </c>
      <c r="AR73" s="122">
        <v>92.51</v>
      </c>
      <c r="AS73" s="122">
        <v>1</v>
      </c>
      <c r="AT73" s="122">
        <v>24681.668000000001</v>
      </c>
      <c r="AU73" s="122">
        <v>24681.668000000001</v>
      </c>
      <c r="AV73" s="120"/>
      <c r="AW73" s="120"/>
      <c r="AX73" s="120"/>
      <c r="AY73" s="120"/>
      <c r="AZ73" s="123">
        <v>8.5959999999999995E-3</v>
      </c>
      <c r="BA73" s="123">
        <v>4.1100000000000002E-4</v>
      </c>
    </row>
    <row r="74" spans="1:53" ht="15" customHeight="1">
      <c r="A74" s="121">
        <v>313</v>
      </c>
      <c r="B74" s="121">
        <v>313</v>
      </c>
      <c r="C74" s="121"/>
      <c r="D74" s="120"/>
      <c r="E74" s="120"/>
      <c r="F74" s="121">
        <v>74001502</v>
      </c>
      <c r="G74" s="120" t="s">
        <v>1013</v>
      </c>
      <c r="H74" s="120" t="s">
        <v>785</v>
      </c>
      <c r="I74" s="120" t="s">
        <v>203</v>
      </c>
      <c r="J74" s="120"/>
      <c r="K74" s="120" t="s">
        <v>463</v>
      </c>
      <c r="L74" s="120" t="s">
        <v>338</v>
      </c>
      <c r="M74" s="120" t="s">
        <v>338</v>
      </c>
      <c r="N74" s="121"/>
      <c r="O74" s="124">
        <v>44515</v>
      </c>
      <c r="P74" s="120" t="s">
        <v>2618</v>
      </c>
      <c r="Q74" s="120" t="s">
        <v>311</v>
      </c>
      <c r="R74" s="120" t="s">
        <v>407</v>
      </c>
      <c r="S74" s="120" t="s">
        <v>1218</v>
      </c>
      <c r="T74" s="122">
        <v>3.68</v>
      </c>
      <c r="U74" s="120" t="s">
        <v>2613</v>
      </c>
      <c r="V74" s="123">
        <v>2.8899999999999999E-2</v>
      </c>
      <c r="W74" s="120"/>
      <c r="X74" s="120"/>
      <c r="Y74" s="123"/>
      <c r="Z74" s="123">
        <v>5.0999999999999997E-2</v>
      </c>
      <c r="AA74" s="124">
        <v>47416</v>
      </c>
      <c r="AB74" s="120" t="s">
        <v>411</v>
      </c>
      <c r="AC74" s="120"/>
      <c r="AD74" s="122"/>
      <c r="AE74" s="123"/>
      <c r="AF74" s="124">
        <v>45231</v>
      </c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45838</v>
      </c>
      <c r="AO74" s="120"/>
      <c r="AP74" s="123"/>
      <c r="AQ74" s="122">
        <v>958333.31</v>
      </c>
      <c r="AR74" s="122">
        <v>92.51</v>
      </c>
      <c r="AS74" s="122">
        <v>1</v>
      </c>
      <c r="AT74" s="122">
        <v>886.55415000000005</v>
      </c>
      <c r="AU74" s="122">
        <v>886.55415000000005</v>
      </c>
      <c r="AV74" s="120"/>
      <c r="AW74" s="120"/>
      <c r="AX74" s="120"/>
      <c r="AY74" s="120"/>
      <c r="AZ74" s="123">
        <v>3.0800000000000001E-4</v>
      </c>
      <c r="BA74" s="123">
        <v>1.4E-5</v>
      </c>
    </row>
    <row r="75" spans="1:53" ht="15" customHeight="1">
      <c r="A75" s="121">
        <v>313</v>
      </c>
      <c r="B75" s="121">
        <v>313</v>
      </c>
      <c r="C75" s="121"/>
      <c r="D75" s="120"/>
      <c r="E75" s="120"/>
      <c r="F75" s="121">
        <v>7400401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338</v>
      </c>
      <c r="N75" s="121"/>
      <c r="O75" s="124">
        <v>44369</v>
      </c>
      <c r="P75" s="120" t="s">
        <v>1331</v>
      </c>
      <c r="Q75" s="120" t="s">
        <v>414</v>
      </c>
      <c r="R75" s="120" t="s">
        <v>407</v>
      </c>
      <c r="S75" s="120" t="s">
        <v>1218</v>
      </c>
      <c r="T75" s="122">
        <v>8.3000000000000007</v>
      </c>
      <c r="U75" s="120" t="s">
        <v>2613</v>
      </c>
      <c r="V75" s="123">
        <v>1.6E-2</v>
      </c>
      <c r="W75" s="120"/>
      <c r="X75" s="120"/>
      <c r="Y75" s="123"/>
      <c r="Z75" s="123">
        <v>3.2899999999999999E-2</v>
      </c>
      <c r="AA75" s="124">
        <v>52596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45838</v>
      </c>
      <c r="AO75" s="120"/>
      <c r="AP75" s="123"/>
      <c r="AQ75" s="122">
        <v>3232343.72</v>
      </c>
      <c r="AR75" s="122">
        <v>100.37</v>
      </c>
      <c r="AS75" s="122">
        <v>1</v>
      </c>
      <c r="AT75" s="122">
        <v>3244.30339</v>
      </c>
      <c r="AU75" s="122">
        <v>3244.30339</v>
      </c>
      <c r="AV75" s="120"/>
      <c r="AW75" s="120"/>
      <c r="AX75" s="120"/>
      <c r="AY75" s="120"/>
      <c r="AZ75" s="123">
        <v>1.129E-3</v>
      </c>
      <c r="BA75" s="123">
        <v>5.3999999999999998E-5</v>
      </c>
    </row>
    <row r="76" spans="1:53" ht="15" customHeight="1">
      <c r="A76" s="121">
        <v>313</v>
      </c>
      <c r="B76" s="121">
        <v>313</v>
      </c>
      <c r="C76" s="121"/>
      <c r="D76" s="120"/>
      <c r="E76" s="120"/>
      <c r="F76" s="121">
        <v>7400402</v>
      </c>
      <c r="G76" s="120" t="s">
        <v>1013</v>
      </c>
      <c r="H76" s="120" t="s">
        <v>812</v>
      </c>
      <c r="I76" s="120" t="s">
        <v>203</v>
      </c>
      <c r="J76" s="120"/>
      <c r="K76" s="120" t="s">
        <v>454</v>
      </c>
      <c r="L76" s="120" t="s">
        <v>338</v>
      </c>
      <c r="M76" s="120" t="s">
        <v>338</v>
      </c>
      <c r="N76" s="121"/>
      <c r="O76" s="124">
        <v>44439</v>
      </c>
      <c r="P76" s="120" t="s">
        <v>1331</v>
      </c>
      <c r="Q76" s="120" t="s">
        <v>414</v>
      </c>
      <c r="R76" s="120" t="s">
        <v>407</v>
      </c>
      <c r="S76" s="120" t="s">
        <v>1218</v>
      </c>
      <c r="T76" s="122">
        <v>8.27</v>
      </c>
      <c r="U76" s="120" t="s">
        <v>2613</v>
      </c>
      <c r="V76" s="123">
        <v>1.6E-2</v>
      </c>
      <c r="W76" s="120"/>
      <c r="X76" s="120"/>
      <c r="Y76" s="123"/>
      <c r="Z76" s="123">
        <v>3.3000000000000002E-2</v>
      </c>
      <c r="AA76" s="124">
        <v>52596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45838</v>
      </c>
      <c r="AO76" s="120"/>
      <c r="AP76" s="123"/>
      <c r="AQ76" s="122">
        <v>4621049.51</v>
      </c>
      <c r="AR76" s="122">
        <v>99.78</v>
      </c>
      <c r="AS76" s="122">
        <v>1</v>
      </c>
      <c r="AT76" s="122">
        <v>4610.8832000000002</v>
      </c>
      <c r="AU76" s="122">
        <v>4610.8832000000002</v>
      </c>
      <c r="AV76" s="120"/>
      <c r="AW76" s="120"/>
      <c r="AX76" s="120"/>
      <c r="AY76" s="120"/>
      <c r="AZ76" s="123">
        <v>1.6050000000000001E-3</v>
      </c>
      <c r="BA76" s="123">
        <v>7.6000000000000004E-5</v>
      </c>
    </row>
    <row r="77" spans="1:53" ht="15" customHeight="1">
      <c r="A77" s="121">
        <v>313</v>
      </c>
      <c r="B77" s="121">
        <v>313</v>
      </c>
      <c r="C77" s="121"/>
      <c r="D77" s="120"/>
      <c r="E77" s="120"/>
      <c r="F77" s="121">
        <v>7400403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338</v>
      </c>
      <c r="N77" s="121"/>
      <c r="O77" s="124">
        <v>44453</v>
      </c>
      <c r="P77" s="120" t="s">
        <v>1331</v>
      </c>
      <c r="Q77" s="120" t="s">
        <v>414</v>
      </c>
      <c r="R77" s="120" t="s">
        <v>407</v>
      </c>
      <c r="S77" s="120" t="s">
        <v>1218</v>
      </c>
      <c r="T77" s="122">
        <v>8.27</v>
      </c>
      <c r="U77" s="120" t="s">
        <v>2613</v>
      </c>
      <c r="V77" s="123">
        <v>1.6E-2</v>
      </c>
      <c r="W77" s="120"/>
      <c r="X77" s="120"/>
      <c r="Y77" s="123"/>
      <c r="Z77" s="123">
        <v>3.2899999999999999E-2</v>
      </c>
      <c r="AA77" s="124">
        <v>52596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45838</v>
      </c>
      <c r="AO77" s="120"/>
      <c r="AP77" s="123"/>
      <c r="AQ77" s="122">
        <v>5465446.71</v>
      </c>
      <c r="AR77" s="122">
        <v>99.87</v>
      </c>
      <c r="AS77" s="122">
        <v>1</v>
      </c>
      <c r="AT77" s="122">
        <v>5458.3416299999999</v>
      </c>
      <c r="AU77" s="122">
        <v>5458.3416299999999</v>
      </c>
      <c r="AV77" s="120"/>
      <c r="AW77" s="120"/>
      <c r="AX77" s="120"/>
      <c r="AY77" s="120"/>
      <c r="AZ77" s="123">
        <v>1.9009999999999999E-3</v>
      </c>
      <c r="BA77" s="123">
        <v>9.0000000000000006E-5</v>
      </c>
    </row>
    <row r="78" spans="1:53" ht="15" customHeight="1">
      <c r="A78" s="121">
        <v>313</v>
      </c>
      <c r="B78" s="121">
        <v>313</v>
      </c>
      <c r="C78" s="121"/>
      <c r="D78" s="120"/>
      <c r="E78" s="120"/>
      <c r="F78" s="121">
        <v>7400404</v>
      </c>
      <c r="G78" s="120" t="s">
        <v>1013</v>
      </c>
      <c r="H78" s="120" t="s">
        <v>812</v>
      </c>
      <c r="I78" s="120" t="s">
        <v>203</v>
      </c>
      <c r="J78" s="120"/>
      <c r="K78" s="120" t="s">
        <v>454</v>
      </c>
      <c r="L78" s="120" t="s">
        <v>338</v>
      </c>
      <c r="M78" s="120" t="s">
        <v>338</v>
      </c>
      <c r="N78" s="121"/>
      <c r="O78" s="124">
        <v>44453</v>
      </c>
      <c r="P78" s="120" t="s">
        <v>1331</v>
      </c>
      <c r="Q78" s="120" t="s">
        <v>414</v>
      </c>
      <c r="R78" s="120" t="s">
        <v>407</v>
      </c>
      <c r="S78" s="120" t="s">
        <v>1218</v>
      </c>
      <c r="T78" s="122">
        <v>8.2899999999999991</v>
      </c>
      <c r="U78" s="120" t="s">
        <v>2613</v>
      </c>
      <c r="V78" s="123">
        <v>1.6E-2</v>
      </c>
      <c r="W78" s="120"/>
      <c r="X78" s="120"/>
      <c r="Y78" s="123"/>
      <c r="Z78" s="123">
        <v>3.3000000000000002E-2</v>
      </c>
      <c r="AA78" s="124">
        <v>52596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45838</v>
      </c>
      <c r="AO78" s="120"/>
      <c r="AP78" s="123"/>
      <c r="AQ78" s="122">
        <v>1998533.91</v>
      </c>
      <c r="AR78" s="122">
        <v>99.79</v>
      </c>
      <c r="AS78" s="122">
        <v>1</v>
      </c>
      <c r="AT78" s="122">
        <v>1994.33699</v>
      </c>
      <c r="AU78" s="122">
        <v>1994.33699</v>
      </c>
      <c r="AV78" s="120"/>
      <c r="AW78" s="120"/>
      <c r="AX78" s="120"/>
      <c r="AY78" s="120"/>
      <c r="AZ78" s="123">
        <v>6.9399999999999996E-4</v>
      </c>
      <c r="BA78" s="123">
        <v>3.3000000000000003E-5</v>
      </c>
    </row>
    <row r="79" spans="1:53" ht="15" customHeight="1">
      <c r="A79" s="121">
        <v>313</v>
      </c>
      <c r="B79" s="121">
        <v>313</v>
      </c>
      <c r="C79" s="121"/>
      <c r="D79" s="120"/>
      <c r="E79" s="120"/>
      <c r="F79" s="121">
        <v>7400405</v>
      </c>
      <c r="G79" s="120" t="s">
        <v>1013</v>
      </c>
      <c r="H79" s="120" t="s">
        <v>812</v>
      </c>
      <c r="I79" s="120" t="s">
        <v>203</v>
      </c>
      <c r="J79" s="120"/>
      <c r="K79" s="120" t="s">
        <v>454</v>
      </c>
      <c r="L79" s="120" t="s">
        <v>338</v>
      </c>
      <c r="M79" s="120" t="s">
        <v>338</v>
      </c>
      <c r="N79" s="121"/>
      <c r="O79" s="124">
        <v>44536</v>
      </c>
      <c r="P79" s="120" t="s">
        <v>1331</v>
      </c>
      <c r="Q79" s="120" t="s">
        <v>414</v>
      </c>
      <c r="R79" s="120" t="s">
        <v>407</v>
      </c>
      <c r="S79" s="120" t="s">
        <v>1218</v>
      </c>
      <c r="T79" s="122">
        <v>8.24</v>
      </c>
      <c r="U79" s="120" t="s">
        <v>2613</v>
      </c>
      <c r="V79" s="123">
        <v>1.6E-2</v>
      </c>
      <c r="W79" s="120"/>
      <c r="X79" s="120"/>
      <c r="Y79" s="123"/>
      <c r="Z79" s="123">
        <v>3.44E-2</v>
      </c>
      <c r="AA79" s="124">
        <v>52596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45838</v>
      </c>
      <c r="AO79" s="120"/>
      <c r="AP79" s="123"/>
      <c r="AQ79" s="122">
        <v>4142655.95</v>
      </c>
      <c r="AR79" s="122">
        <v>98.14</v>
      </c>
      <c r="AS79" s="122">
        <v>1</v>
      </c>
      <c r="AT79" s="122">
        <v>4065.6025500000001</v>
      </c>
      <c r="AU79" s="122">
        <v>4065.6025500000001</v>
      </c>
      <c r="AV79" s="120"/>
      <c r="AW79" s="120"/>
      <c r="AX79" s="120"/>
      <c r="AY79" s="120"/>
      <c r="AZ79" s="123">
        <v>1.415E-3</v>
      </c>
      <c r="BA79" s="123">
        <v>6.7000000000000002E-5</v>
      </c>
    </row>
    <row r="80" spans="1:53" ht="15" customHeight="1">
      <c r="A80" s="121">
        <v>313</v>
      </c>
      <c r="B80" s="121">
        <v>313</v>
      </c>
      <c r="C80" s="121"/>
      <c r="D80" s="120"/>
      <c r="E80" s="120"/>
      <c r="F80" s="121">
        <v>7400406</v>
      </c>
      <c r="G80" s="120" t="s">
        <v>1013</v>
      </c>
      <c r="H80" s="120" t="s">
        <v>812</v>
      </c>
      <c r="I80" s="120" t="s">
        <v>203</v>
      </c>
      <c r="J80" s="120"/>
      <c r="K80" s="120" t="s">
        <v>454</v>
      </c>
      <c r="L80" s="120" t="s">
        <v>338</v>
      </c>
      <c r="M80" s="120" t="s">
        <v>338</v>
      </c>
      <c r="N80" s="121"/>
      <c r="O80" s="124">
        <v>44439</v>
      </c>
      <c r="P80" s="120" t="s">
        <v>1331</v>
      </c>
      <c r="Q80" s="120" t="s">
        <v>414</v>
      </c>
      <c r="R80" s="120" t="s">
        <v>407</v>
      </c>
      <c r="S80" s="120" t="s">
        <v>1218</v>
      </c>
      <c r="T80" s="122">
        <v>8.2899999999999991</v>
      </c>
      <c r="U80" s="120" t="s">
        <v>2613</v>
      </c>
      <c r="V80" s="123">
        <v>1.6E-2</v>
      </c>
      <c r="W80" s="120"/>
      <c r="X80" s="120"/>
      <c r="Y80" s="123"/>
      <c r="Z80" s="123">
        <v>3.32E-2</v>
      </c>
      <c r="AA80" s="124">
        <v>52596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45838</v>
      </c>
      <c r="AO80" s="120"/>
      <c r="AP80" s="123"/>
      <c r="AQ80" s="122">
        <v>9401582.5500000007</v>
      </c>
      <c r="AR80" s="122">
        <v>99.65</v>
      </c>
      <c r="AS80" s="122">
        <v>1</v>
      </c>
      <c r="AT80" s="122">
        <v>9368.6770099999994</v>
      </c>
      <c r="AU80" s="122">
        <v>9368.6770099999994</v>
      </c>
      <c r="AV80" s="120"/>
      <c r="AW80" s="120"/>
      <c r="AX80" s="120"/>
      <c r="AY80" s="120"/>
      <c r="AZ80" s="123">
        <v>3.2620000000000001E-3</v>
      </c>
      <c r="BA80" s="123">
        <v>1.56E-4</v>
      </c>
    </row>
    <row r="81" spans="1:53" ht="15" customHeight="1">
      <c r="A81" s="121">
        <v>313</v>
      </c>
      <c r="B81" s="121">
        <v>313</v>
      </c>
      <c r="C81" s="121"/>
      <c r="D81" s="120"/>
      <c r="E81" s="120"/>
      <c r="F81" s="121">
        <v>71000207</v>
      </c>
      <c r="G81" s="120" t="s">
        <v>1013</v>
      </c>
      <c r="H81" s="120" t="s">
        <v>812</v>
      </c>
      <c r="I81" s="120" t="s">
        <v>203</v>
      </c>
      <c r="J81" s="120"/>
      <c r="K81" s="120" t="s">
        <v>454</v>
      </c>
      <c r="L81" s="120" t="s">
        <v>338</v>
      </c>
      <c r="M81" s="120" t="s">
        <v>337</v>
      </c>
      <c r="N81" s="121"/>
      <c r="O81" s="124">
        <v>44858</v>
      </c>
      <c r="P81" s="120" t="s">
        <v>1339</v>
      </c>
      <c r="Q81" s="120" t="s">
        <v>414</v>
      </c>
      <c r="R81" s="120" t="s">
        <v>407</v>
      </c>
      <c r="S81" s="120" t="s">
        <v>1218</v>
      </c>
      <c r="T81" s="122">
        <v>4.72</v>
      </c>
      <c r="U81" s="120" t="s">
        <v>2613</v>
      </c>
      <c r="V81" s="123">
        <v>3.49E-2</v>
      </c>
      <c r="W81" s="120"/>
      <c r="X81" s="120"/>
      <c r="Y81" s="123"/>
      <c r="Z81" s="123">
        <v>3.3599999999999998E-2</v>
      </c>
      <c r="AA81" s="124">
        <v>48667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45838</v>
      </c>
      <c r="AO81" s="120"/>
      <c r="AP81" s="123"/>
      <c r="AQ81" s="122">
        <v>1247894.21</v>
      </c>
      <c r="AR81" s="122">
        <v>111.1</v>
      </c>
      <c r="AS81" s="122">
        <v>1</v>
      </c>
      <c r="AT81" s="122">
        <v>1386.41047</v>
      </c>
      <c r="AU81" s="122">
        <v>1386.41047</v>
      </c>
      <c r="AV81" s="120"/>
      <c r="AW81" s="120"/>
      <c r="AX81" s="120"/>
      <c r="AY81" s="120"/>
      <c r="AZ81" s="123">
        <v>4.8200000000000001E-4</v>
      </c>
      <c r="BA81" s="123">
        <v>2.3E-5</v>
      </c>
    </row>
    <row r="82" spans="1:53" ht="15" customHeight="1">
      <c r="A82" s="121">
        <v>313</v>
      </c>
      <c r="B82" s="121">
        <v>313</v>
      </c>
      <c r="C82" s="121"/>
      <c r="D82" s="120"/>
      <c r="E82" s="120"/>
      <c r="F82" s="121">
        <v>71000206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337</v>
      </c>
      <c r="N82" s="121"/>
      <c r="O82" s="124">
        <v>44858</v>
      </c>
      <c r="P82" s="120" t="s">
        <v>1339</v>
      </c>
      <c r="Q82" s="120" t="s">
        <v>414</v>
      </c>
      <c r="R82" s="120" t="s">
        <v>407</v>
      </c>
      <c r="S82" s="120" t="s">
        <v>1218</v>
      </c>
      <c r="T82" s="122">
        <v>4.8499999999999996</v>
      </c>
      <c r="U82" s="120" t="s">
        <v>2613</v>
      </c>
      <c r="V82" s="123">
        <v>3.49E-2</v>
      </c>
      <c r="W82" s="120"/>
      <c r="X82" s="120"/>
      <c r="Y82" s="123"/>
      <c r="Z82" s="123">
        <v>3.3500000000000002E-2</v>
      </c>
      <c r="AA82" s="124">
        <v>48844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45838</v>
      </c>
      <c r="AO82" s="120"/>
      <c r="AP82" s="123"/>
      <c r="AQ82" s="122">
        <v>986164.24</v>
      </c>
      <c r="AR82" s="122">
        <v>111.16</v>
      </c>
      <c r="AS82" s="122">
        <v>1</v>
      </c>
      <c r="AT82" s="122">
        <v>1096.2201700000001</v>
      </c>
      <c r="AU82" s="122">
        <v>1096.2201700000001</v>
      </c>
      <c r="AV82" s="120"/>
      <c r="AW82" s="120"/>
      <c r="AX82" s="120"/>
      <c r="AY82" s="120"/>
      <c r="AZ82" s="123">
        <v>3.8099999999999999E-4</v>
      </c>
      <c r="BA82" s="123">
        <v>1.8E-5</v>
      </c>
    </row>
    <row r="83" spans="1:53" ht="15" customHeight="1">
      <c r="A83" s="121">
        <v>313</v>
      </c>
      <c r="B83" s="121">
        <v>313</v>
      </c>
      <c r="C83" s="121"/>
      <c r="D83" s="120"/>
      <c r="E83" s="120"/>
      <c r="F83" s="121">
        <v>71000205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337</v>
      </c>
      <c r="N83" s="121"/>
      <c r="O83" s="124">
        <v>44858</v>
      </c>
      <c r="P83" s="120" t="s">
        <v>1339</v>
      </c>
      <c r="Q83" s="120" t="s">
        <v>414</v>
      </c>
      <c r="R83" s="120" t="s">
        <v>407</v>
      </c>
      <c r="S83" s="120" t="s">
        <v>1218</v>
      </c>
      <c r="T83" s="122">
        <v>4.7</v>
      </c>
      <c r="U83" s="120" t="s">
        <v>2613</v>
      </c>
      <c r="V83" s="123">
        <v>3.49E-2</v>
      </c>
      <c r="W83" s="120"/>
      <c r="X83" s="120"/>
      <c r="Y83" s="123"/>
      <c r="Z83" s="123">
        <v>3.3700000000000001E-2</v>
      </c>
      <c r="AA83" s="124">
        <v>48667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45838</v>
      </c>
      <c r="AO83" s="120"/>
      <c r="AP83" s="123"/>
      <c r="AQ83" s="122">
        <v>1020850.81</v>
      </c>
      <c r="AR83" s="122">
        <v>111.08</v>
      </c>
      <c r="AS83" s="122">
        <v>1</v>
      </c>
      <c r="AT83" s="122">
        <v>1133.96108</v>
      </c>
      <c r="AU83" s="122">
        <v>1133.96108</v>
      </c>
      <c r="AV83" s="120"/>
      <c r="AW83" s="120"/>
      <c r="AX83" s="120"/>
      <c r="AY83" s="120"/>
      <c r="AZ83" s="123">
        <v>3.9399999999999998E-4</v>
      </c>
      <c r="BA83" s="123">
        <v>1.8E-5</v>
      </c>
    </row>
    <row r="84" spans="1:53" ht="15" customHeight="1">
      <c r="A84" s="121">
        <v>313</v>
      </c>
      <c r="B84" s="121">
        <v>313</v>
      </c>
      <c r="C84" s="121"/>
      <c r="D84" s="120"/>
      <c r="E84" s="120"/>
      <c r="F84" s="121">
        <v>70065006</v>
      </c>
      <c r="G84" s="120" t="s">
        <v>1013</v>
      </c>
      <c r="H84" s="120" t="s">
        <v>818</v>
      </c>
      <c r="I84" s="120" t="s">
        <v>203</v>
      </c>
      <c r="J84" s="120"/>
      <c r="K84" s="120" t="s">
        <v>442</v>
      </c>
      <c r="L84" s="120" t="s">
        <v>338</v>
      </c>
      <c r="M84" s="120" t="s">
        <v>338</v>
      </c>
      <c r="N84" s="121"/>
      <c r="O84" s="124">
        <v>45380</v>
      </c>
      <c r="P84" s="120" t="s">
        <v>2619</v>
      </c>
      <c r="Q84" s="120" t="s">
        <v>412</v>
      </c>
      <c r="R84" s="120" t="s">
        <v>407</v>
      </c>
      <c r="S84" s="120" t="s">
        <v>1218</v>
      </c>
      <c r="T84" s="122">
        <v>0.7</v>
      </c>
      <c r="U84" s="120" t="s">
        <v>824</v>
      </c>
      <c r="V84" s="123">
        <v>8.09E-2</v>
      </c>
      <c r="W84" s="120"/>
      <c r="X84" s="120"/>
      <c r="Y84" s="123"/>
      <c r="Z84" s="123">
        <v>5.3699999999999998E-2</v>
      </c>
      <c r="AA84" s="124">
        <v>46112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45838</v>
      </c>
      <c r="AO84" s="120"/>
      <c r="AP84" s="123"/>
      <c r="AQ84" s="122">
        <v>24150000</v>
      </c>
      <c r="AR84" s="122">
        <v>101.95</v>
      </c>
      <c r="AS84" s="122">
        <v>1</v>
      </c>
      <c r="AT84" s="122">
        <v>24620.924999999999</v>
      </c>
      <c r="AU84" s="122">
        <v>24620.924999999999</v>
      </c>
      <c r="AV84" s="120"/>
      <c r="AW84" s="120"/>
      <c r="AX84" s="120"/>
      <c r="AY84" s="120"/>
      <c r="AZ84" s="123">
        <v>8.5749999999999993E-3</v>
      </c>
      <c r="BA84" s="123">
        <v>4.0999999999999999E-4</v>
      </c>
    </row>
    <row r="85" spans="1:53" ht="15" customHeight="1">
      <c r="A85" s="121">
        <v>313</v>
      </c>
      <c r="B85" s="121">
        <v>313</v>
      </c>
      <c r="C85" s="121"/>
      <c r="D85" s="120"/>
      <c r="E85" s="120"/>
      <c r="F85" s="121">
        <v>7005014</v>
      </c>
      <c r="G85" s="120" t="s">
        <v>1013</v>
      </c>
      <c r="H85" s="120" t="s">
        <v>812</v>
      </c>
      <c r="I85" s="120" t="s">
        <v>203</v>
      </c>
      <c r="J85" s="120"/>
      <c r="K85" s="120" t="s">
        <v>446</v>
      </c>
      <c r="L85" s="120" t="s">
        <v>338</v>
      </c>
      <c r="M85" s="120" t="s">
        <v>337</v>
      </c>
      <c r="N85" s="121"/>
      <c r="O85" s="124">
        <v>45224</v>
      </c>
      <c r="P85" s="120" t="s">
        <v>1304</v>
      </c>
      <c r="Q85" s="120" t="s">
        <v>414</v>
      </c>
      <c r="R85" s="120" t="s">
        <v>407</v>
      </c>
      <c r="S85" s="120" t="s">
        <v>1215</v>
      </c>
      <c r="T85" s="122">
        <v>2.1</v>
      </c>
      <c r="U85" s="120" t="s">
        <v>2613</v>
      </c>
      <c r="V85" s="123">
        <v>6.0083999999999999E-2</v>
      </c>
      <c r="W85" s="120"/>
      <c r="X85" s="120"/>
      <c r="Y85" s="123"/>
      <c r="Z85" s="123">
        <v>3.4700000000000002E-2</v>
      </c>
      <c r="AA85" s="124">
        <v>46655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45838</v>
      </c>
      <c r="AO85" s="120"/>
      <c r="AP85" s="123"/>
      <c r="AQ85" s="122">
        <v>1041844</v>
      </c>
      <c r="AR85" s="122">
        <v>105.8</v>
      </c>
      <c r="AS85" s="122">
        <v>3.9552</v>
      </c>
      <c r="AT85" s="122">
        <v>4359.7020700000003</v>
      </c>
      <c r="AU85" s="122">
        <v>1102.2709500000001</v>
      </c>
      <c r="AV85" s="120"/>
      <c r="AW85" s="120"/>
      <c r="AX85" s="120"/>
      <c r="AY85" s="120"/>
      <c r="AZ85" s="123">
        <v>1.518E-3</v>
      </c>
      <c r="BA85" s="123">
        <v>7.2000000000000002E-5</v>
      </c>
    </row>
    <row r="86" spans="1:53" ht="15" customHeight="1">
      <c r="A86" s="121">
        <v>313</v>
      </c>
      <c r="B86" s="121">
        <v>313</v>
      </c>
      <c r="C86" s="121"/>
      <c r="D86" s="120"/>
      <c r="E86" s="120"/>
      <c r="F86" s="121">
        <v>7005015</v>
      </c>
      <c r="G86" s="120" t="s">
        <v>1013</v>
      </c>
      <c r="H86" s="120" t="s">
        <v>812</v>
      </c>
      <c r="I86" s="120" t="s">
        <v>203</v>
      </c>
      <c r="J86" s="120"/>
      <c r="K86" s="120" t="s">
        <v>446</v>
      </c>
      <c r="L86" s="120" t="s">
        <v>338</v>
      </c>
      <c r="M86" s="120" t="s">
        <v>337</v>
      </c>
      <c r="N86" s="121"/>
      <c r="O86" s="124">
        <v>45259</v>
      </c>
      <c r="P86" s="120" t="s">
        <v>1304</v>
      </c>
      <c r="Q86" s="120" t="s">
        <v>414</v>
      </c>
      <c r="R86" s="120" t="s">
        <v>407</v>
      </c>
      <c r="S86" s="120" t="s">
        <v>1215</v>
      </c>
      <c r="T86" s="122">
        <v>2.1</v>
      </c>
      <c r="U86" s="120" t="s">
        <v>2613</v>
      </c>
      <c r="V86" s="123">
        <v>5.9523E-2</v>
      </c>
      <c r="W86" s="120"/>
      <c r="X86" s="120"/>
      <c r="Y86" s="123"/>
      <c r="Z86" s="123">
        <v>4.5600000000000002E-2</v>
      </c>
      <c r="AA86" s="124">
        <v>46655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45838</v>
      </c>
      <c r="AO86" s="120"/>
      <c r="AP86" s="123"/>
      <c r="AQ86" s="122">
        <v>1259040</v>
      </c>
      <c r="AR86" s="122">
        <v>103.5</v>
      </c>
      <c r="AS86" s="122">
        <v>3.9552</v>
      </c>
      <c r="AT86" s="122">
        <v>5154.0464300000003</v>
      </c>
      <c r="AU86" s="122">
        <v>1303.1063999999999</v>
      </c>
      <c r="AV86" s="120"/>
      <c r="AW86" s="120"/>
      <c r="AX86" s="120"/>
      <c r="AY86" s="120"/>
      <c r="AZ86" s="123">
        <v>1.7949999999999999E-3</v>
      </c>
      <c r="BA86" s="123">
        <v>8.5000000000000006E-5</v>
      </c>
    </row>
    <row r="87" spans="1:53" ht="15" customHeight="1">
      <c r="A87" s="121">
        <v>313</v>
      </c>
      <c r="B87" s="121">
        <v>313</v>
      </c>
      <c r="C87" s="121"/>
      <c r="D87" s="120"/>
      <c r="E87" s="120"/>
      <c r="F87" s="121">
        <v>7005016</v>
      </c>
      <c r="G87" s="120" t="s">
        <v>1013</v>
      </c>
      <c r="H87" s="120" t="s">
        <v>812</v>
      </c>
      <c r="I87" s="120" t="s">
        <v>203</v>
      </c>
      <c r="J87" s="120"/>
      <c r="K87" s="120" t="s">
        <v>446</v>
      </c>
      <c r="L87" s="120" t="s">
        <v>338</v>
      </c>
      <c r="M87" s="120" t="s">
        <v>337</v>
      </c>
      <c r="N87" s="121"/>
      <c r="O87" s="124">
        <v>45348</v>
      </c>
      <c r="P87" s="120" t="s">
        <v>1304</v>
      </c>
      <c r="Q87" s="120" t="s">
        <v>414</v>
      </c>
      <c r="R87" s="120" t="s">
        <v>407</v>
      </c>
      <c r="S87" s="120" t="s">
        <v>1215</v>
      </c>
      <c r="T87" s="122">
        <v>2.1</v>
      </c>
      <c r="U87" s="120" t="s">
        <v>824</v>
      </c>
      <c r="V87" s="123">
        <v>4.0079999999999998E-2</v>
      </c>
      <c r="W87" s="120"/>
      <c r="X87" s="120"/>
      <c r="Y87" s="123"/>
      <c r="Z87" s="123">
        <v>4.1099999999999998E-2</v>
      </c>
      <c r="AA87" s="124">
        <v>46655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45838</v>
      </c>
      <c r="AO87" s="120"/>
      <c r="AP87" s="123"/>
      <c r="AQ87" s="122">
        <v>838164</v>
      </c>
      <c r="AR87" s="122">
        <v>104.33</v>
      </c>
      <c r="AS87" s="122">
        <v>3.9552</v>
      </c>
      <c r="AT87" s="122">
        <v>3458.6503499999999</v>
      </c>
      <c r="AU87" s="122">
        <v>874.45650000000001</v>
      </c>
      <c r="AV87" s="120"/>
      <c r="AW87" s="120"/>
      <c r="AX87" s="120"/>
      <c r="AY87" s="120"/>
      <c r="AZ87" s="123">
        <v>1.204E-3</v>
      </c>
      <c r="BA87" s="123">
        <v>5.7000000000000003E-5</v>
      </c>
    </row>
    <row r="88" spans="1:53" ht="15" customHeight="1">
      <c r="A88" s="121">
        <v>313</v>
      </c>
      <c r="B88" s="121">
        <v>313</v>
      </c>
      <c r="C88" s="121"/>
      <c r="D88" s="120"/>
      <c r="E88" s="120"/>
      <c r="F88" s="121">
        <v>7005017</v>
      </c>
      <c r="G88" s="120" t="s">
        <v>1013</v>
      </c>
      <c r="H88" s="120" t="s">
        <v>812</v>
      </c>
      <c r="I88" s="120" t="s">
        <v>203</v>
      </c>
      <c r="J88" s="120"/>
      <c r="K88" s="120" t="s">
        <v>446</v>
      </c>
      <c r="L88" s="120" t="s">
        <v>338</v>
      </c>
      <c r="M88" s="120" t="s">
        <v>337</v>
      </c>
      <c r="N88" s="121"/>
      <c r="O88" s="124">
        <v>45376</v>
      </c>
      <c r="P88" s="120" t="s">
        <v>1304</v>
      </c>
      <c r="Q88" s="120" t="s">
        <v>414</v>
      </c>
      <c r="R88" s="120" t="s">
        <v>407</v>
      </c>
      <c r="S88" s="120" t="s">
        <v>1215</v>
      </c>
      <c r="T88" s="122">
        <v>2.1800000000000002</v>
      </c>
      <c r="U88" s="120" t="s">
        <v>824</v>
      </c>
      <c r="V88" s="123">
        <v>4.0079999999999998E-2</v>
      </c>
      <c r="W88" s="120"/>
      <c r="X88" s="120"/>
      <c r="Y88" s="123"/>
      <c r="Z88" s="123">
        <v>7.7999999999999996E-3</v>
      </c>
      <c r="AA88" s="124">
        <v>46655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45838</v>
      </c>
      <c r="AO88" s="120"/>
      <c r="AP88" s="123"/>
      <c r="AQ88" s="122">
        <v>641953</v>
      </c>
      <c r="AR88" s="122">
        <v>103.02</v>
      </c>
      <c r="AS88" s="122">
        <v>3.9552</v>
      </c>
      <c r="AT88" s="122">
        <v>2615.73189</v>
      </c>
      <c r="AU88" s="122">
        <v>661.33997999999997</v>
      </c>
      <c r="AV88" s="120"/>
      <c r="AW88" s="120"/>
      <c r="AX88" s="120"/>
      <c r="AY88" s="120"/>
      <c r="AZ88" s="123">
        <v>9.1100000000000003E-4</v>
      </c>
      <c r="BA88" s="123">
        <v>4.3000000000000002E-5</v>
      </c>
    </row>
    <row r="89" spans="1:53" ht="15" customHeight="1">
      <c r="A89" s="121">
        <v>313</v>
      </c>
      <c r="B89" s="121">
        <v>313</v>
      </c>
      <c r="C89" s="121"/>
      <c r="D89" s="120"/>
      <c r="E89" s="120"/>
      <c r="F89" s="121">
        <v>7005018</v>
      </c>
      <c r="G89" s="120" t="s">
        <v>1013</v>
      </c>
      <c r="H89" s="120" t="s">
        <v>812</v>
      </c>
      <c r="I89" s="120" t="s">
        <v>203</v>
      </c>
      <c r="J89" s="120"/>
      <c r="K89" s="120" t="s">
        <v>446</v>
      </c>
      <c r="L89" s="120" t="s">
        <v>338</v>
      </c>
      <c r="M89" s="120" t="s">
        <v>337</v>
      </c>
      <c r="N89" s="121"/>
      <c r="O89" s="124">
        <v>45376</v>
      </c>
      <c r="P89" s="120" t="s">
        <v>1304</v>
      </c>
      <c r="Q89" s="120" t="s">
        <v>414</v>
      </c>
      <c r="R89" s="120" t="s">
        <v>407</v>
      </c>
      <c r="S89" s="120" t="s">
        <v>1215</v>
      </c>
      <c r="T89" s="122">
        <v>0.24</v>
      </c>
      <c r="U89" s="120" t="s">
        <v>824</v>
      </c>
      <c r="V89" s="123">
        <v>4.0079999999999998E-2</v>
      </c>
      <c r="W89" s="120"/>
      <c r="X89" s="120"/>
      <c r="Y89" s="123"/>
      <c r="Z89" s="123">
        <v>3.9399999999999998E-2</v>
      </c>
      <c r="AA89" s="124">
        <v>45925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45838</v>
      </c>
      <c r="AO89" s="120"/>
      <c r="AP89" s="123"/>
      <c r="AQ89" s="122">
        <v>1722176.2</v>
      </c>
      <c r="AR89" s="122">
        <v>100.22</v>
      </c>
      <c r="AS89" s="122">
        <v>3.9552</v>
      </c>
      <c r="AT89" s="122">
        <v>6826.5367200000001</v>
      </c>
      <c r="AU89" s="122">
        <v>1725.9649899999999</v>
      </c>
      <c r="AV89" s="120"/>
      <c r="AW89" s="120"/>
      <c r="AX89" s="120"/>
      <c r="AY89" s="120"/>
      <c r="AZ89" s="123">
        <v>2.3770000000000002E-3</v>
      </c>
      <c r="BA89" s="123">
        <v>1.13E-4</v>
      </c>
    </row>
    <row r="90" spans="1:53" ht="15" customHeight="1">
      <c r="A90" s="121">
        <v>313</v>
      </c>
      <c r="B90" s="121">
        <v>313</v>
      </c>
      <c r="C90" s="121"/>
      <c r="D90" s="120"/>
      <c r="E90" s="120"/>
      <c r="F90" s="121">
        <v>7400407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44439</v>
      </c>
      <c r="P90" s="120" t="s">
        <v>1331</v>
      </c>
      <c r="Q90" s="120" t="s">
        <v>414</v>
      </c>
      <c r="R90" s="120" t="s">
        <v>407</v>
      </c>
      <c r="S90" s="120" t="s">
        <v>1218</v>
      </c>
      <c r="T90" s="122">
        <v>8.26</v>
      </c>
      <c r="U90" s="120" t="s">
        <v>2613</v>
      </c>
      <c r="V90" s="123">
        <v>1.6E-2</v>
      </c>
      <c r="W90" s="120"/>
      <c r="X90" s="120"/>
      <c r="Y90" s="123"/>
      <c r="Z90" s="123">
        <v>3.3099999999999997E-2</v>
      </c>
      <c r="AA90" s="124">
        <v>52596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45838</v>
      </c>
      <c r="AO90" s="120"/>
      <c r="AP90" s="123"/>
      <c r="AQ90" s="122">
        <v>1456830.36</v>
      </c>
      <c r="AR90" s="122">
        <v>99.73</v>
      </c>
      <c r="AS90" s="122">
        <v>1</v>
      </c>
      <c r="AT90" s="122">
        <v>1452.8969199999999</v>
      </c>
      <c r="AU90" s="122">
        <v>1452.8969199999999</v>
      </c>
      <c r="AV90" s="120"/>
      <c r="AW90" s="120"/>
      <c r="AX90" s="120"/>
      <c r="AY90" s="120"/>
      <c r="AZ90" s="123">
        <v>5.0600000000000005E-4</v>
      </c>
      <c r="BA90" s="123">
        <v>2.4000000000000001E-5</v>
      </c>
    </row>
    <row r="91" spans="1:53" ht="15" customHeight="1">
      <c r="A91" s="121">
        <v>313</v>
      </c>
      <c r="B91" s="121">
        <v>313</v>
      </c>
      <c r="C91" s="121"/>
      <c r="D91" s="120"/>
      <c r="E91" s="120"/>
      <c r="F91" s="121">
        <v>7005019</v>
      </c>
      <c r="G91" s="120" t="s">
        <v>1013</v>
      </c>
      <c r="H91" s="120" t="s">
        <v>812</v>
      </c>
      <c r="I91" s="120" t="s">
        <v>203</v>
      </c>
      <c r="J91" s="120"/>
      <c r="K91" s="120" t="s">
        <v>446</v>
      </c>
      <c r="L91" s="120" t="s">
        <v>338</v>
      </c>
      <c r="M91" s="120" t="s">
        <v>337</v>
      </c>
      <c r="N91" s="121"/>
      <c r="O91" s="124">
        <v>45434</v>
      </c>
      <c r="P91" s="120" t="s">
        <v>1304</v>
      </c>
      <c r="Q91" s="120" t="s">
        <v>414</v>
      </c>
      <c r="R91" s="120" t="s">
        <v>407</v>
      </c>
      <c r="S91" s="120" t="s">
        <v>1215</v>
      </c>
      <c r="T91" s="122">
        <v>2.11</v>
      </c>
      <c r="U91" s="120" t="s">
        <v>824</v>
      </c>
      <c r="V91" s="123">
        <v>4.0079999999999998E-2</v>
      </c>
      <c r="W91" s="120"/>
      <c r="X91" s="120"/>
      <c r="Y91" s="123"/>
      <c r="Z91" s="123">
        <v>4.4200000000000003E-2</v>
      </c>
      <c r="AA91" s="124">
        <v>46655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45838</v>
      </c>
      <c r="AO91" s="120"/>
      <c r="AP91" s="123"/>
      <c r="AQ91" s="122">
        <v>960478</v>
      </c>
      <c r="AR91" s="122">
        <v>103.56</v>
      </c>
      <c r="AS91" s="122">
        <v>3.9552</v>
      </c>
      <c r="AT91" s="122">
        <v>3934.1228099999998</v>
      </c>
      <c r="AU91" s="122">
        <v>994.67102</v>
      </c>
      <c r="AV91" s="120"/>
      <c r="AW91" s="120"/>
      <c r="AX91" s="120"/>
      <c r="AY91" s="120"/>
      <c r="AZ91" s="123">
        <v>1.3699999999999999E-3</v>
      </c>
      <c r="BA91" s="123">
        <v>6.4999999999999994E-5</v>
      </c>
    </row>
    <row r="92" spans="1:53" ht="15" customHeight="1">
      <c r="A92" s="121">
        <v>313</v>
      </c>
      <c r="B92" s="121">
        <v>313</v>
      </c>
      <c r="C92" s="121"/>
      <c r="D92" s="120"/>
      <c r="E92" s="120"/>
      <c r="F92" s="121">
        <v>7005021</v>
      </c>
      <c r="G92" s="120" t="s">
        <v>1013</v>
      </c>
      <c r="H92" s="120" t="s">
        <v>812</v>
      </c>
      <c r="I92" s="120" t="s">
        <v>203</v>
      </c>
      <c r="J92" s="120"/>
      <c r="K92" s="120" t="s">
        <v>446</v>
      </c>
      <c r="L92" s="120" t="s">
        <v>338</v>
      </c>
      <c r="M92" s="120" t="s">
        <v>337</v>
      </c>
      <c r="N92" s="121"/>
      <c r="O92" s="124">
        <v>45558</v>
      </c>
      <c r="P92" s="120" t="s">
        <v>1304</v>
      </c>
      <c r="Q92" s="120" t="s">
        <v>414</v>
      </c>
      <c r="R92" s="120" t="s">
        <v>407</v>
      </c>
      <c r="S92" s="120" t="s">
        <v>1215</v>
      </c>
      <c r="T92" s="122">
        <v>2.11</v>
      </c>
      <c r="U92" s="120" t="s">
        <v>824</v>
      </c>
      <c r="V92" s="123">
        <v>4.0079999999999998E-2</v>
      </c>
      <c r="W92" s="120"/>
      <c r="X92" s="120"/>
      <c r="Y92" s="123"/>
      <c r="Z92" s="123">
        <v>4.1500000000000002E-2</v>
      </c>
      <c r="AA92" s="124">
        <v>46655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338</v>
      </c>
      <c r="AK92" s="120" t="s">
        <v>887</v>
      </c>
      <c r="AL92" s="120"/>
      <c r="AM92" s="120" t="s">
        <v>890</v>
      </c>
      <c r="AN92" s="124">
        <v>45838</v>
      </c>
      <c r="AO92" s="120"/>
      <c r="AP92" s="123"/>
      <c r="AQ92" s="122">
        <v>1413258</v>
      </c>
      <c r="AR92" s="122">
        <v>103.16</v>
      </c>
      <c r="AS92" s="122">
        <v>3.9552</v>
      </c>
      <c r="AT92" s="122">
        <v>5766.3531300000004</v>
      </c>
      <c r="AU92" s="122">
        <v>1457.91695</v>
      </c>
      <c r="AV92" s="120"/>
      <c r="AW92" s="120"/>
      <c r="AX92" s="120"/>
      <c r="AY92" s="120"/>
      <c r="AZ92" s="123">
        <v>2.0079999999999998E-3</v>
      </c>
      <c r="BA92" s="123">
        <v>9.6000000000000002E-5</v>
      </c>
    </row>
    <row r="93" spans="1:53" ht="15" customHeight="1">
      <c r="A93" s="121">
        <v>313</v>
      </c>
      <c r="B93" s="121">
        <v>313</v>
      </c>
      <c r="C93" s="121"/>
      <c r="D93" s="120"/>
      <c r="E93" s="120"/>
      <c r="F93" s="121">
        <v>7005022</v>
      </c>
      <c r="G93" s="120" t="s">
        <v>1013</v>
      </c>
      <c r="H93" s="120" t="s">
        <v>812</v>
      </c>
      <c r="I93" s="120" t="s">
        <v>203</v>
      </c>
      <c r="J93" s="120"/>
      <c r="K93" s="120" t="s">
        <v>446</v>
      </c>
      <c r="L93" s="120" t="s">
        <v>338</v>
      </c>
      <c r="M93" s="120" t="s">
        <v>337</v>
      </c>
      <c r="N93" s="121"/>
      <c r="O93" s="124">
        <v>45644</v>
      </c>
      <c r="P93" s="120" t="s">
        <v>1304</v>
      </c>
      <c r="Q93" s="120" t="s">
        <v>414</v>
      </c>
      <c r="R93" s="120" t="s">
        <v>407</v>
      </c>
      <c r="S93" s="120" t="s">
        <v>1215</v>
      </c>
      <c r="T93" s="122">
        <v>2.12</v>
      </c>
      <c r="U93" s="120" t="s">
        <v>824</v>
      </c>
      <c r="V93" s="123">
        <v>4.0079999999999998E-2</v>
      </c>
      <c r="W93" s="120"/>
      <c r="X93" s="120"/>
      <c r="Y93" s="123"/>
      <c r="Z93" s="123">
        <v>5.1299999999999998E-2</v>
      </c>
      <c r="AA93" s="124">
        <v>46655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338</v>
      </c>
      <c r="AK93" s="120" t="s">
        <v>887</v>
      </c>
      <c r="AL93" s="120"/>
      <c r="AM93" s="120" t="s">
        <v>890</v>
      </c>
      <c r="AN93" s="124">
        <v>45838</v>
      </c>
      <c r="AO93" s="120"/>
      <c r="AP93" s="123"/>
      <c r="AQ93" s="122">
        <v>1487651</v>
      </c>
      <c r="AR93" s="122">
        <v>100.57</v>
      </c>
      <c r="AS93" s="122">
        <v>3.9552</v>
      </c>
      <c r="AT93" s="122">
        <v>5917.4957899999999</v>
      </c>
      <c r="AU93" s="122">
        <v>1496.1306099999999</v>
      </c>
      <c r="AV93" s="120"/>
      <c r="AW93" s="120"/>
      <c r="AX93" s="120"/>
      <c r="AY93" s="120"/>
      <c r="AZ93" s="123">
        <v>2.0600000000000002E-3</v>
      </c>
      <c r="BA93" s="123">
        <v>9.7999999999999997E-5</v>
      </c>
    </row>
    <row r="94" spans="1:53" ht="15" customHeight="1">
      <c r="A94" s="121">
        <v>313</v>
      </c>
      <c r="B94" s="121">
        <v>313</v>
      </c>
      <c r="C94" s="121"/>
      <c r="D94" s="120"/>
      <c r="E94" s="120"/>
      <c r="F94" s="121">
        <v>7005023</v>
      </c>
      <c r="G94" s="120" t="s">
        <v>1013</v>
      </c>
      <c r="H94" s="120" t="s">
        <v>812</v>
      </c>
      <c r="I94" s="120" t="s">
        <v>203</v>
      </c>
      <c r="J94" s="120"/>
      <c r="K94" s="120" t="s">
        <v>446</v>
      </c>
      <c r="L94" s="120" t="s">
        <v>338</v>
      </c>
      <c r="M94" s="120" t="s">
        <v>337</v>
      </c>
      <c r="N94" s="121"/>
      <c r="O94" s="124">
        <v>45698</v>
      </c>
      <c r="P94" s="120" t="s">
        <v>1304</v>
      </c>
      <c r="Q94" s="120" t="s">
        <v>414</v>
      </c>
      <c r="R94" s="120" t="s">
        <v>407</v>
      </c>
      <c r="S94" s="120" t="s">
        <v>1215</v>
      </c>
      <c r="T94" s="122">
        <v>2.13</v>
      </c>
      <c r="U94" s="120" t="s">
        <v>824</v>
      </c>
      <c r="V94" s="123">
        <v>4.0079999999999998E-2</v>
      </c>
      <c r="W94" s="120"/>
      <c r="X94" s="120"/>
      <c r="Y94" s="123"/>
      <c r="Z94" s="123">
        <v>5.11E-2</v>
      </c>
      <c r="AA94" s="124">
        <v>46655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338</v>
      </c>
      <c r="AK94" s="120" t="s">
        <v>887</v>
      </c>
      <c r="AL94" s="120"/>
      <c r="AM94" s="120" t="s">
        <v>890</v>
      </c>
      <c r="AN94" s="124">
        <v>45838</v>
      </c>
      <c r="AO94" s="120"/>
      <c r="AP94" s="123"/>
      <c r="AQ94" s="122">
        <v>506659</v>
      </c>
      <c r="AR94" s="122">
        <v>99.59</v>
      </c>
      <c r="AS94" s="122">
        <v>3.9552</v>
      </c>
      <c r="AT94" s="122">
        <v>1995.72153</v>
      </c>
      <c r="AU94" s="122">
        <v>504.58170000000001</v>
      </c>
      <c r="AV94" s="120"/>
      <c r="AW94" s="120"/>
      <c r="AX94" s="120"/>
      <c r="AY94" s="120"/>
      <c r="AZ94" s="123">
        <v>6.9499999999999998E-4</v>
      </c>
      <c r="BA94" s="123">
        <v>3.3000000000000003E-5</v>
      </c>
    </row>
    <row r="95" spans="1:53" ht="15" customHeight="1">
      <c r="A95" s="121">
        <v>313</v>
      </c>
      <c r="B95" s="121">
        <v>313</v>
      </c>
      <c r="C95" s="121"/>
      <c r="D95" s="120"/>
      <c r="E95" s="120"/>
      <c r="F95" s="121">
        <v>7005024</v>
      </c>
      <c r="G95" s="120" t="s">
        <v>1013</v>
      </c>
      <c r="H95" s="120" t="s">
        <v>812</v>
      </c>
      <c r="I95" s="120" t="s">
        <v>203</v>
      </c>
      <c r="J95" s="120"/>
      <c r="K95" s="120" t="s">
        <v>446</v>
      </c>
      <c r="L95" s="120" t="s">
        <v>338</v>
      </c>
      <c r="M95" s="120" t="s">
        <v>337</v>
      </c>
      <c r="N95" s="121"/>
      <c r="O95" s="124">
        <v>45740</v>
      </c>
      <c r="P95" s="120" t="s">
        <v>1304</v>
      </c>
      <c r="Q95" s="120" t="s">
        <v>414</v>
      </c>
      <c r="R95" s="120" t="s">
        <v>407</v>
      </c>
      <c r="S95" s="120" t="s">
        <v>1215</v>
      </c>
      <c r="T95" s="122">
        <v>2.13</v>
      </c>
      <c r="U95" s="120" t="s">
        <v>824</v>
      </c>
      <c r="V95" s="123">
        <v>4.0079999999999998E-2</v>
      </c>
      <c r="W95" s="120"/>
      <c r="X95" s="120"/>
      <c r="Y95" s="123"/>
      <c r="Z95" s="123">
        <v>5.0599999999999999E-2</v>
      </c>
      <c r="AA95" s="124">
        <v>46655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338</v>
      </c>
      <c r="AK95" s="120" t="s">
        <v>887</v>
      </c>
      <c r="AL95" s="120"/>
      <c r="AM95" s="120" t="s">
        <v>890</v>
      </c>
      <c r="AN95" s="124">
        <v>45838</v>
      </c>
      <c r="AO95" s="120"/>
      <c r="AP95" s="123"/>
      <c r="AQ95" s="122">
        <v>1078685</v>
      </c>
      <c r="AR95" s="122">
        <v>99.19</v>
      </c>
      <c r="AS95" s="122">
        <v>3.9552</v>
      </c>
      <c r="AT95" s="122">
        <v>4231.8569500000003</v>
      </c>
      <c r="AU95" s="122">
        <v>1069.9476500000001</v>
      </c>
      <c r="AV95" s="120"/>
      <c r="AW95" s="120"/>
      <c r="AX95" s="120"/>
      <c r="AY95" s="120"/>
      <c r="AZ95" s="123">
        <v>1.4729999999999999E-3</v>
      </c>
      <c r="BA95" s="123">
        <v>6.9999999999999994E-5</v>
      </c>
    </row>
    <row r="96" spans="1:53" ht="15" customHeight="1">
      <c r="A96" s="121">
        <v>313</v>
      </c>
      <c r="B96" s="121">
        <v>313</v>
      </c>
      <c r="C96" s="121"/>
      <c r="D96" s="120"/>
      <c r="E96" s="120"/>
      <c r="F96" s="121">
        <v>7005025</v>
      </c>
      <c r="G96" s="120" t="s">
        <v>1013</v>
      </c>
      <c r="H96" s="120" t="s">
        <v>812</v>
      </c>
      <c r="I96" s="120" t="s">
        <v>203</v>
      </c>
      <c r="J96" s="120"/>
      <c r="K96" s="120" t="s">
        <v>446</v>
      </c>
      <c r="L96" s="120" t="s">
        <v>338</v>
      </c>
      <c r="M96" s="120" t="s">
        <v>337</v>
      </c>
      <c r="N96" s="121"/>
      <c r="O96" s="124">
        <v>45831</v>
      </c>
      <c r="P96" s="120" t="s">
        <v>1304</v>
      </c>
      <c r="Q96" s="120" t="s">
        <v>414</v>
      </c>
      <c r="R96" s="120" t="s">
        <v>407</v>
      </c>
      <c r="S96" s="120" t="s">
        <v>1215</v>
      </c>
      <c r="T96" s="122">
        <v>2.14</v>
      </c>
      <c r="U96" s="120" t="s">
        <v>824</v>
      </c>
      <c r="V96" s="123">
        <v>4.0079999999999998E-2</v>
      </c>
      <c r="W96" s="120"/>
      <c r="X96" s="120"/>
      <c r="Y96" s="123"/>
      <c r="Z96" s="123">
        <v>3.32E-2</v>
      </c>
      <c r="AA96" s="124">
        <v>46655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338</v>
      </c>
      <c r="AK96" s="120" t="s">
        <v>887</v>
      </c>
      <c r="AL96" s="120"/>
      <c r="AM96" s="120" t="s">
        <v>890</v>
      </c>
      <c r="AN96" s="124">
        <v>45838</v>
      </c>
      <c r="AO96" s="120"/>
      <c r="AP96" s="123"/>
      <c r="AQ96" s="122">
        <v>1119123</v>
      </c>
      <c r="AR96" s="122">
        <v>101.73</v>
      </c>
      <c r="AS96" s="122">
        <v>3.9552</v>
      </c>
      <c r="AT96" s="122">
        <v>4502.9312399999999</v>
      </c>
      <c r="AU96" s="122">
        <v>1138.4838299999999</v>
      </c>
      <c r="AV96" s="120"/>
      <c r="AW96" s="120"/>
      <c r="AX96" s="120"/>
      <c r="AY96" s="120"/>
      <c r="AZ96" s="123">
        <v>1.5679999999999999E-3</v>
      </c>
      <c r="BA96" s="123">
        <v>7.3999999999999996E-5</v>
      </c>
    </row>
    <row r="97" spans="1:53" ht="15" customHeight="1">
      <c r="A97" s="121">
        <v>313</v>
      </c>
      <c r="B97" s="121">
        <v>313</v>
      </c>
      <c r="C97" s="121"/>
      <c r="D97" s="120"/>
      <c r="E97" s="120"/>
      <c r="F97" s="121">
        <v>7005020</v>
      </c>
      <c r="G97" s="120" t="s">
        <v>1013</v>
      </c>
      <c r="H97" s="120" t="s">
        <v>812</v>
      </c>
      <c r="I97" s="120" t="s">
        <v>203</v>
      </c>
      <c r="J97" s="120"/>
      <c r="K97" s="120" t="s">
        <v>446</v>
      </c>
      <c r="L97" s="120" t="s">
        <v>338</v>
      </c>
      <c r="M97" s="120" t="s">
        <v>337</v>
      </c>
      <c r="N97" s="121"/>
      <c r="O97" s="124">
        <v>45468</v>
      </c>
      <c r="P97" s="120" t="s">
        <v>1304</v>
      </c>
      <c r="Q97" s="120" t="s">
        <v>414</v>
      </c>
      <c r="R97" s="120" t="s">
        <v>407</v>
      </c>
      <c r="S97" s="120" t="s">
        <v>1215</v>
      </c>
      <c r="T97" s="122">
        <v>2.11</v>
      </c>
      <c r="U97" s="120" t="s">
        <v>824</v>
      </c>
      <c r="V97" s="123">
        <v>4.0079999999999998E-2</v>
      </c>
      <c r="W97" s="120"/>
      <c r="X97" s="120"/>
      <c r="Y97" s="123"/>
      <c r="Z97" s="123">
        <v>3.8399999999999997E-2</v>
      </c>
      <c r="AA97" s="124">
        <v>46655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45838</v>
      </c>
      <c r="AO97" s="120"/>
      <c r="AP97" s="123"/>
      <c r="AQ97" s="122">
        <v>913522</v>
      </c>
      <c r="AR97" s="122">
        <v>104.5</v>
      </c>
      <c r="AS97" s="122">
        <v>3.9552</v>
      </c>
      <c r="AT97" s="122">
        <v>3775.7545100000002</v>
      </c>
      <c r="AU97" s="122">
        <v>954.63049000000001</v>
      </c>
      <c r="AV97" s="120"/>
      <c r="AW97" s="120"/>
      <c r="AX97" s="120"/>
      <c r="AY97" s="120"/>
      <c r="AZ97" s="123">
        <v>1.315E-3</v>
      </c>
      <c r="BA97" s="123">
        <v>6.2000000000000003E-5</v>
      </c>
    </row>
    <row r="98" spans="1:53" ht="15" customHeight="1">
      <c r="A98" s="121">
        <v>313</v>
      </c>
      <c r="B98" s="121">
        <v>313</v>
      </c>
      <c r="C98" s="121"/>
      <c r="D98" s="120"/>
      <c r="E98" s="120"/>
      <c r="F98" s="121">
        <v>7400408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44439</v>
      </c>
      <c r="P98" s="120" t="s">
        <v>1331</v>
      </c>
      <c r="Q98" s="120" t="s">
        <v>414</v>
      </c>
      <c r="R98" s="120" t="s">
        <v>407</v>
      </c>
      <c r="S98" s="120" t="s">
        <v>1218</v>
      </c>
      <c r="T98" s="122">
        <v>8.31</v>
      </c>
      <c r="U98" s="120" t="s">
        <v>2613</v>
      </c>
      <c r="V98" s="123">
        <v>1.6E-2</v>
      </c>
      <c r="W98" s="120"/>
      <c r="X98" s="120"/>
      <c r="Y98" s="123"/>
      <c r="Z98" s="123">
        <v>3.3300000000000003E-2</v>
      </c>
      <c r="AA98" s="124">
        <v>52596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45838</v>
      </c>
      <c r="AO98" s="120"/>
      <c r="AP98" s="123"/>
      <c r="AQ98" s="122">
        <v>1884668.17</v>
      </c>
      <c r="AR98" s="122">
        <v>99.53</v>
      </c>
      <c r="AS98" s="122">
        <v>1</v>
      </c>
      <c r="AT98" s="122">
        <v>1875.81023</v>
      </c>
      <c r="AU98" s="122">
        <v>1875.81023</v>
      </c>
      <c r="AV98" s="120"/>
      <c r="AW98" s="120"/>
      <c r="AX98" s="120"/>
      <c r="AY98" s="120"/>
      <c r="AZ98" s="123">
        <v>6.5300000000000004E-4</v>
      </c>
      <c r="BA98" s="123">
        <v>3.1000000000000001E-5</v>
      </c>
    </row>
    <row r="99" spans="1:53" ht="15" customHeight="1">
      <c r="A99" s="121">
        <v>313</v>
      </c>
      <c r="B99" s="121">
        <v>313</v>
      </c>
      <c r="C99" s="121"/>
      <c r="D99" s="120"/>
      <c r="E99" s="120"/>
      <c r="F99" s="121">
        <v>7400409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44439</v>
      </c>
      <c r="P99" s="120" t="s">
        <v>1331</v>
      </c>
      <c r="Q99" s="120" t="s">
        <v>414</v>
      </c>
      <c r="R99" s="120" t="s">
        <v>407</v>
      </c>
      <c r="S99" s="120" t="s">
        <v>1218</v>
      </c>
      <c r="T99" s="122">
        <v>8.25</v>
      </c>
      <c r="U99" s="120" t="s">
        <v>2613</v>
      </c>
      <c r="V99" s="123">
        <v>1.6E-2</v>
      </c>
      <c r="W99" s="120"/>
      <c r="X99" s="120"/>
      <c r="Y99" s="123"/>
      <c r="Z99" s="123">
        <v>3.3099999999999997E-2</v>
      </c>
      <c r="AA99" s="124">
        <v>52596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45838</v>
      </c>
      <c r="AO99" s="120"/>
      <c r="AP99" s="123"/>
      <c r="AQ99" s="122">
        <v>2605955.4700000002</v>
      </c>
      <c r="AR99" s="122">
        <v>99.78</v>
      </c>
      <c r="AS99" s="122">
        <v>1</v>
      </c>
      <c r="AT99" s="122">
        <v>2600.22237</v>
      </c>
      <c r="AU99" s="122">
        <v>2600.22237</v>
      </c>
      <c r="AV99" s="120"/>
      <c r="AW99" s="120"/>
      <c r="AX99" s="120"/>
      <c r="AY99" s="120"/>
      <c r="AZ99" s="123">
        <v>9.0499999999999999E-4</v>
      </c>
      <c r="BA99" s="123">
        <v>4.3000000000000002E-5</v>
      </c>
    </row>
    <row r="100" spans="1:53" ht="15" customHeight="1">
      <c r="A100" s="121">
        <v>313</v>
      </c>
      <c r="B100" s="121">
        <v>313</v>
      </c>
      <c r="C100" s="121"/>
      <c r="D100" s="120"/>
      <c r="E100" s="120"/>
      <c r="F100" s="121">
        <v>7400410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44536</v>
      </c>
      <c r="P100" s="120" t="s">
        <v>1331</v>
      </c>
      <c r="Q100" s="120" t="s">
        <v>414</v>
      </c>
      <c r="R100" s="120" t="s">
        <v>407</v>
      </c>
      <c r="S100" s="120" t="s">
        <v>1218</v>
      </c>
      <c r="T100" s="122">
        <v>8.26</v>
      </c>
      <c r="U100" s="120" t="s">
        <v>2613</v>
      </c>
      <c r="V100" s="123">
        <v>1.6E-2</v>
      </c>
      <c r="W100" s="120"/>
      <c r="X100" s="120"/>
      <c r="Y100" s="123"/>
      <c r="Z100" s="123">
        <v>3.44E-2</v>
      </c>
      <c r="AA100" s="124">
        <v>52596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45838</v>
      </c>
      <c r="AO100" s="120"/>
      <c r="AP100" s="123"/>
      <c r="AQ100" s="122">
        <v>3778293.99</v>
      </c>
      <c r="AR100" s="122">
        <v>98.06</v>
      </c>
      <c r="AS100" s="122">
        <v>1</v>
      </c>
      <c r="AT100" s="122">
        <v>3704.9950899999999</v>
      </c>
      <c r="AU100" s="122">
        <v>3704.9950899999999</v>
      </c>
      <c r="AV100" s="120"/>
      <c r="AW100" s="120"/>
      <c r="AX100" s="120"/>
      <c r="AY100" s="120"/>
      <c r="AZ100" s="123">
        <v>1.2899999999999999E-3</v>
      </c>
      <c r="BA100" s="123">
        <v>6.0999999999999999E-5</v>
      </c>
    </row>
    <row r="101" spans="1:53" ht="15" customHeight="1">
      <c r="A101" s="121">
        <v>313</v>
      </c>
      <c r="B101" s="121">
        <v>313</v>
      </c>
      <c r="C101" s="121"/>
      <c r="D101" s="120"/>
      <c r="E101" s="120"/>
      <c r="F101" s="121">
        <v>74006144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337</v>
      </c>
      <c r="N101" s="121"/>
      <c r="O101" s="124">
        <v>44882</v>
      </c>
      <c r="P101" s="120" t="s">
        <v>1304</v>
      </c>
      <c r="Q101" s="120" t="s">
        <v>414</v>
      </c>
      <c r="R101" s="120" t="s">
        <v>407</v>
      </c>
      <c r="S101" s="120" t="s">
        <v>1218</v>
      </c>
      <c r="T101" s="122">
        <v>8.0299999999999994</v>
      </c>
      <c r="U101" s="120" t="s">
        <v>2613</v>
      </c>
      <c r="V101" s="123">
        <v>2.9100000000000001E-2</v>
      </c>
      <c r="W101" s="120"/>
      <c r="X101" s="120"/>
      <c r="Y101" s="123"/>
      <c r="Z101" s="123">
        <v>2.9399999999999999E-2</v>
      </c>
      <c r="AA101" s="124">
        <v>52315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45838</v>
      </c>
      <c r="AO101" s="120"/>
      <c r="AP101" s="123"/>
      <c r="AQ101" s="122">
        <v>2503530.5499999998</v>
      </c>
      <c r="AR101" s="122">
        <v>109.38</v>
      </c>
      <c r="AS101" s="122">
        <v>1</v>
      </c>
      <c r="AT101" s="122">
        <v>2738.3617199999999</v>
      </c>
      <c r="AU101" s="122">
        <v>2738.3617199999999</v>
      </c>
      <c r="AV101" s="120"/>
      <c r="AW101" s="120"/>
      <c r="AX101" s="120"/>
      <c r="AY101" s="120"/>
      <c r="AZ101" s="123">
        <v>9.5299999999999996E-4</v>
      </c>
      <c r="BA101" s="123">
        <v>4.5000000000000003E-5</v>
      </c>
    </row>
    <row r="102" spans="1:53" ht="15" customHeight="1">
      <c r="A102" s="121">
        <v>313</v>
      </c>
      <c r="B102" s="121">
        <v>313</v>
      </c>
      <c r="C102" s="121"/>
      <c r="D102" s="120"/>
      <c r="E102" s="120"/>
      <c r="F102" s="121">
        <v>74006145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44754</v>
      </c>
      <c r="P102" s="120" t="s">
        <v>1304</v>
      </c>
      <c r="Q102" s="120" t="s">
        <v>414</v>
      </c>
      <c r="R102" s="120" t="s">
        <v>407</v>
      </c>
      <c r="S102" s="120" t="s">
        <v>1218</v>
      </c>
      <c r="T102" s="122">
        <v>7.89</v>
      </c>
      <c r="U102" s="120" t="s">
        <v>2613</v>
      </c>
      <c r="V102" s="123">
        <v>2.53E-2</v>
      </c>
      <c r="W102" s="120"/>
      <c r="X102" s="120"/>
      <c r="Y102" s="123"/>
      <c r="Z102" s="123">
        <v>2.5499999999999998E-2</v>
      </c>
      <c r="AA102" s="124">
        <v>52315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45838</v>
      </c>
      <c r="AO102" s="120"/>
      <c r="AP102" s="123"/>
      <c r="AQ102" s="122">
        <v>22351711.98</v>
      </c>
      <c r="AR102" s="122">
        <v>107.77</v>
      </c>
      <c r="AS102" s="122">
        <v>1</v>
      </c>
      <c r="AT102" s="122">
        <v>24088.44</v>
      </c>
      <c r="AU102" s="122">
        <v>24088.44</v>
      </c>
      <c r="AV102" s="120"/>
      <c r="AW102" s="120"/>
      <c r="AX102" s="120"/>
      <c r="AY102" s="120"/>
      <c r="AZ102" s="123">
        <v>8.3890000000000006E-3</v>
      </c>
      <c r="BA102" s="123">
        <v>4.0099999999999999E-4</v>
      </c>
    </row>
    <row r="103" spans="1:53" ht="15" customHeight="1">
      <c r="A103" s="121">
        <v>313</v>
      </c>
      <c r="B103" s="121">
        <v>313</v>
      </c>
      <c r="C103" s="121"/>
      <c r="D103" s="120"/>
      <c r="E103" s="120"/>
      <c r="F103" s="121">
        <v>74006147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44322</v>
      </c>
      <c r="P103" s="120" t="s">
        <v>1304</v>
      </c>
      <c r="Q103" s="120" t="s">
        <v>414</v>
      </c>
      <c r="R103" s="120" t="s">
        <v>407</v>
      </c>
      <c r="S103" s="120" t="s">
        <v>1218</v>
      </c>
      <c r="T103" s="122">
        <v>8.17</v>
      </c>
      <c r="U103" s="120" t="s">
        <v>2613</v>
      </c>
      <c r="V103" s="123">
        <v>2.5614999999999999E-2</v>
      </c>
      <c r="W103" s="120"/>
      <c r="X103" s="120"/>
      <c r="Y103" s="123"/>
      <c r="Z103" s="123">
        <v>3.5299999999999998E-2</v>
      </c>
      <c r="AA103" s="124">
        <v>52135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45838</v>
      </c>
      <c r="AO103" s="120"/>
      <c r="AP103" s="123"/>
      <c r="AQ103" s="122">
        <v>10554470.4</v>
      </c>
      <c r="AR103" s="122">
        <v>105.03</v>
      </c>
      <c r="AS103" s="122">
        <v>1</v>
      </c>
      <c r="AT103" s="122">
        <v>11085.360259999999</v>
      </c>
      <c r="AU103" s="122">
        <v>11085.360259999999</v>
      </c>
      <c r="AV103" s="120"/>
      <c r="AW103" s="120"/>
      <c r="AX103" s="120"/>
      <c r="AY103" s="120"/>
      <c r="AZ103" s="123">
        <v>3.8600000000000001E-3</v>
      </c>
      <c r="BA103" s="123">
        <v>1.84E-4</v>
      </c>
    </row>
    <row r="104" spans="1:53" ht="15" customHeight="1">
      <c r="A104" s="121">
        <v>313</v>
      </c>
      <c r="B104" s="121">
        <v>313</v>
      </c>
      <c r="C104" s="121"/>
      <c r="D104" s="120"/>
      <c r="E104" s="120"/>
      <c r="F104" s="121">
        <v>74006148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45096</v>
      </c>
      <c r="P104" s="120" t="s">
        <v>1304</v>
      </c>
      <c r="Q104" s="120" t="s">
        <v>414</v>
      </c>
      <c r="R104" s="120" t="s">
        <v>407</v>
      </c>
      <c r="S104" s="120" t="s">
        <v>1218</v>
      </c>
      <c r="T104" s="122">
        <v>7.87</v>
      </c>
      <c r="U104" s="120" t="s">
        <v>2613</v>
      </c>
      <c r="V104" s="123">
        <v>3.5099999999999999E-2</v>
      </c>
      <c r="W104" s="120"/>
      <c r="X104" s="120"/>
      <c r="Y104" s="123"/>
      <c r="Z104" s="123">
        <v>3.15E-2</v>
      </c>
      <c r="AA104" s="124">
        <v>52315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45838</v>
      </c>
      <c r="AO104" s="120"/>
      <c r="AP104" s="123"/>
      <c r="AQ104" s="122">
        <v>3540869.42</v>
      </c>
      <c r="AR104" s="122">
        <v>110.12</v>
      </c>
      <c r="AS104" s="122">
        <v>1</v>
      </c>
      <c r="AT104" s="122">
        <v>3899.20541</v>
      </c>
      <c r="AU104" s="122">
        <v>3899.20541</v>
      </c>
      <c r="AV104" s="120"/>
      <c r="AW104" s="120"/>
      <c r="AX104" s="120"/>
      <c r="AY104" s="120"/>
      <c r="AZ104" s="123">
        <v>1.358E-3</v>
      </c>
      <c r="BA104" s="123">
        <v>6.3999999999999997E-5</v>
      </c>
    </row>
    <row r="105" spans="1:53" ht="15" customHeight="1">
      <c r="A105" s="121">
        <v>313</v>
      </c>
      <c r="B105" s="121">
        <v>313</v>
      </c>
      <c r="C105" s="121"/>
      <c r="D105" s="120"/>
      <c r="E105" s="120"/>
      <c r="F105" s="121">
        <v>74006149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45560</v>
      </c>
      <c r="P105" s="120" t="s">
        <v>1304</v>
      </c>
      <c r="Q105" s="120" t="s">
        <v>414</v>
      </c>
      <c r="R105" s="120" t="s">
        <v>407</v>
      </c>
      <c r="S105" s="120" t="s">
        <v>1218</v>
      </c>
      <c r="T105" s="122">
        <v>0.24</v>
      </c>
      <c r="U105" s="120" t="s">
        <v>824</v>
      </c>
      <c r="V105" s="123">
        <v>6.9000000000000006E-2</v>
      </c>
      <c r="W105" s="120"/>
      <c r="X105" s="120"/>
      <c r="Y105" s="123"/>
      <c r="Z105" s="123">
        <v>6.1600000000000002E-2</v>
      </c>
      <c r="AA105" s="124">
        <v>45925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338</v>
      </c>
      <c r="AK105" s="120" t="s">
        <v>887</v>
      </c>
      <c r="AL105" s="120"/>
      <c r="AM105" s="120" t="s">
        <v>890</v>
      </c>
      <c r="AN105" s="124">
        <v>45838</v>
      </c>
      <c r="AO105" s="120"/>
      <c r="AP105" s="123"/>
      <c r="AQ105" s="122">
        <v>1193386</v>
      </c>
      <c r="AR105" s="122">
        <v>105.56</v>
      </c>
      <c r="AS105" s="122">
        <v>1</v>
      </c>
      <c r="AT105" s="122">
        <v>1259.7382600000001</v>
      </c>
      <c r="AU105" s="122">
        <v>1259.7382600000001</v>
      </c>
      <c r="AV105" s="120"/>
      <c r="AW105" s="120"/>
      <c r="AX105" s="120"/>
      <c r="AY105" s="120"/>
      <c r="AZ105" s="123">
        <v>4.3800000000000002E-4</v>
      </c>
      <c r="BA105" s="123">
        <v>2.0000000000000002E-5</v>
      </c>
    </row>
    <row r="106" spans="1:53" ht="15" customHeight="1">
      <c r="A106" s="121">
        <v>313</v>
      </c>
      <c r="B106" s="121">
        <v>313</v>
      </c>
      <c r="C106" s="121"/>
      <c r="D106" s="120"/>
      <c r="E106" s="120"/>
      <c r="F106" s="121">
        <v>74006143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44215</v>
      </c>
      <c r="P106" s="120" t="s">
        <v>1331</v>
      </c>
      <c r="Q106" s="120" t="s">
        <v>414</v>
      </c>
      <c r="R106" s="120" t="s">
        <v>407</v>
      </c>
      <c r="S106" s="120" t="s">
        <v>1218</v>
      </c>
      <c r="T106" s="122">
        <v>7.07</v>
      </c>
      <c r="U106" s="120" t="s">
        <v>2613</v>
      </c>
      <c r="V106" s="123">
        <v>2.35E-2</v>
      </c>
      <c r="W106" s="120"/>
      <c r="X106" s="120"/>
      <c r="Y106" s="123"/>
      <c r="Z106" s="123">
        <v>3.2000000000000001E-2</v>
      </c>
      <c r="AA106" s="124">
        <v>51591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45838</v>
      </c>
      <c r="AO106" s="120"/>
      <c r="AP106" s="123"/>
      <c r="AQ106" s="122">
        <v>1798246.28</v>
      </c>
      <c r="AR106" s="122">
        <v>110.55</v>
      </c>
      <c r="AS106" s="122">
        <v>1</v>
      </c>
      <c r="AT106" s="122">
        <v>1987.96126</v>
      </c>
      <c r="AU106" s="122">
        <v>1987.96126</v>
      </c>
      <c r="AV106" s="120"/>
      <c r="AW106" s="120"/>
      <c r="AX106" s="120"/>
      <c r="AY106" s="120"/>
      <c r="AZ106" s="123">
        <v>6.9200000000000002E-4</v>
      </c>
      <c r="BA106" s="123">
        <v>3.3000000000000003E-5</v>
      </c>
    </row>
    <row r="107" spans="1:53" ht="15" customHeight="1">
      <c r="A107" s="121">
        <v>313</v>
      </c>
      <c r="B107" s="121">
        <v>313</v>
      </c>
      <c r="C107" s="121"/>
      <c r="D107" s="120"/>
      <c r="E107" s="120"/>
      <c r="F107" s="121">
        <v>74006150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44516</v>
      </c>
      <c r="P107" s="120" t="s">
        <v>1331</v>
      </c>
      <c r="Q107" s="120" t="s">
        <v>414</v>
      </c>
      <c r="R107" s="120" t="s">
        <v>407</v>
      </c>
      <c r="S107" s="120" t="s">
        <v>1218</v>
      </c>
      <c r="T107" s="122">
        <v>7.82</v>
      </c>
      <c r="U107" s="120" t="s">
        <v>2613</v>
      </c>
      <c r="V107" s="123">
        <v>2.35E-2</v>
      </c>
      <c r="W107" s="120"/>
      <c r="X107" s="120"/>
      <c r="Y107" s="123"/>
      <c r="Z107" s="123">
        <v>3.27E-2</v>
      </c>
      <c r="AA107" s="124">
        <v>52200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45838</v>
      </c>
      <c r="AO107" s="120"/>
      <c r="AP107" s="123"/>
      <c r="AQ107" s="122">
        <v>691221.31</v>
      </c>
      <c r="AR107" s="122">
        <v>106.54</v>
      </c>
      <c r="AS107" s="122">
        <v>1</v>
      </c>
      <c r="AT107" s="122">
        <v>736.42718000000002</v>
      </c>
      <c r="AU107" s="122">
        <v>736.42718000000002</v>
      </c>
      <c r="AV107" s="120"/>
      <c r="AW107" s="120"/>
      <c r="AX107" s="120"/>
      <c r="AY107" s="120"/>
      <c r="AZ107" s="123">
        <v>2.5599999999999999E-4</v>
      </c>
      <c r="BA107" s="123">
        <v>1.2E-5</v>
      </c>
    </row>
    <row r="108" spans="1:53" ht="15" customHeight="1">
      <c r="A108" s="121">
        <v>313</v>
      </c>
      <c r="B108" s="121">
        <v>313</v>
      </c>
      <c r="C108" s="121"/>
      <c r="D108" s="120"/>
      <c r="E108" s="120"/>
      <c r="F108" s="121">
        <v>74006152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44815</v>
      </c>
      <c r="P108" s="120" t="s">
        <v>1331</v>
      </c>
      <c r="Q108" s="120" t="s">
        <v>414</v>
      </c>
      <c r="R108" s="120" t="s">
        <v>407</v>
      </c>
      <c r="S108" s="120" t="s">
        <v>1218</v>
      </c>
      <c r="T108" s="122">
        <v>9.2799999999999994</v>
      </c>
      <c r="U108" s="120" t="s">
        <v>2613</v>
      </c>
      <c r="V108" s="123">
        <v>2.7651999999999999E-2</v>
      </c>
      <c r="W108" s="120"/>
      <c r="X108" s="120"/>
      <c r="Y108" s="123"/>
      <c r="Z108" s="123">
        <v>3.3399999999999999E-2</v>
      </c>
      <c r="AA108" s="124">
        <v>52351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45838</v>
      </c>
      <c r="AO108" s="120"/>
      <c r="AP108" s="123"/>
      <c r="AQ108" s="122">
        <v>332508.78000000003</v>
      </c>
      <c r="AR108" s="122">
        <v>103.87</v>
      </c>
      <c r="AS108" s="122">
        <v>1</v>
      </c>
      <c r="AT108" s="122">
        <v>345.37687</v>
      </c>
      <c r="AU108" s="122">
        <v>345.37687</v>
      </c>
      <c r="AV108" s="120"/>
      <c r="AW108" s="120"/>
      <c r="AX108" s="120"/>
      <c r="AY108" s="120"/>
      <c r="AZ108" s="123">
        <v>1.2E-4</v>
      </c>
      <c r="BA108" s="123">
        <v>5.0000000000000004E-6</v>
      </c>
    </row>
    <row r="109" spans="1:53" ht="15" customHeight="1">
      <c r="A109" s="121">
        <v>313</v>
      </c>
      <c r="B109" s="121">
        <v>313</v>
      </c>
      <c r="C109" s="121"/>
      <c r="D109" s="120"/>
      <c r="E109" s="120"/>
      <c r="F109" s="121">
        <v>74006153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338</v>
      </c>
      <c r="N109" s="121"/>
      <c r="O109" s="124">
        <v>44815</v>
      </c>
      <c r="P109" s="120" t="s">
        <v>1331</v>
      </c>
      <c r="Q109" s="120" t="s">
        <v>414</v>
      </c>
      <c r="R109" s="120" t="s">
        <v>407</v>
      </c>
      <c r="S109" s="120" t="s">
        <v>1218</v>
      </c>
      <c r="T109" s="122">
        <v>9.15</v>
      </c>
      <c r="U109" s="120" t="s">
        <v>2613</v>
      </c>
      <c r="V109" s="123">
        <v>2.7549000000000001E-2</v>
      </c>
      <c r="W109" s="120"/>
      <c r="X109" s="120"/>
      <c r="Y109" s="123"/>
      <c r="Z109" s="123">
        <v>3.32E-2</v>
      </c>
      <c r="AA109" s="124">
        <v>52318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45838</v>
      </c>
      <c r="AO109" s="120"/>
      <c r="AP109" s="123"/>
      <c r="AQ109" s="122">
        <v>363677.81</v>
      </c>
      <c r="AR109" s="122">
        <v>104</v>
      </c>
      <c r="AS109" s="122">
        <v>1</v>
      </c>
      <c r="AT109" s="122">
        <v>378.22492</v>
      </c>
      <c r="AU109" s="122">
        <v>378.22492</v>
      </c>
      <c r="AV109" s="120"/>
      <c r="AW109" s="120"/>
      <c r="AX109" s="120"/>
      <c r="AY109" s="120"/>
      <c r="AZ109" s="123">
        <v>1.3100000000000001E-4</v>
      </c>
      <c r="BA109" s="123">
        <v>6.0000000000000002E-6</v>
      </c>
    </row>
    <row r="110" spans="1:53" ht="15" customHeight="1">
      <c r="A110" s="121">
        <v>313</v>
      </c>
      <c r="B110" s="121">
        <v>313</v>
      </c>
      <c r="C110" s="121"/>
      <c r="D110" s="120"/>
      <c r="E110" s="120"/>
      <c r="F110" s="121">
        <v>74006155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44815</v>
      </c>
      <c r="P110" s="120" t="s">
        <v>1331</v>
      </c>
      <c r="Q110" s="120" t="s">
        <v>414</v>
      </c>
      <c r="R110" s="120" t="s">
        <v>407</v>
      </c>
      <c r="S110" s="120" t="s">
        <v>1218</v>
      </c>
      <c r="T110" s="122">
        <v>8.89</v>
      </c>
      <c r="U110" s="120" t="s">
        <v>2613</v>
      </c>
      <c r="V110" s="123">
        <v>2.7184E-2</v>
      </c>
      <c r="W110" s="120"/>
      <c r="X110" s="120"/>
      <c r="Y110" s="123"/>
      <c r="Z110" s="123">
        <v>3.1E-2</v>
      </c>
      <c r="AA110" s="124">
        <v>52504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45838</v>
      </c>
      <c r="AO110" s="120"/>
      <c r="AP110" s="123"/>
      <c r="AQ110" s="122">
        <v>865333.18</v>
      </c>
      <c r="AR110" s="122">
        <v>105.86</v>
      </c>
      <c r="AS110" s="122">
        <v>1</v>
      </c>
      <c r="AT110" s="122">
        <v>916.04169999999999</v>
      </c>
      <c r="AU110" s="122">
        <v>916.04169999999999</v>
      </c>
      <c r="AV110" s="120"/>
      <c r="AW110" s="120"/>
      <c r="AX110" s="120"/>
      <c r="AY110" s="120"/>
      <c r="AZ110" s="123">
        <v>3.19E-4</v>
      </c>
      <c r="BA110" s="123">
        <v>1.5E-5</v>
      </c>
    </row>
    <row r="111" spans="1:53" ht="15" customHeight="1">
      <c r="A111" s="121">
        <v>313</v>
      </c>
      <c r="B111" s="121">
        <v>313</v>
      </c>
      <c r="C111" s="121"/>
      <c r="D111" s="120"/>
      <c r="E111" s="120"/>
      <c r="F111" s="121">
        <v>74006157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337</v>
      </c>
      <c r="N111" s="121"/>
      <c r="O111" s="124">
        <v>44418</v>
      </c>
      <c r="P111" s="120" t="s">
        <v>1304</v>
      </c>
      <c r="Q111" s="120" t="s">
        <v>414</v>
      </c>
      <c r="R111" s="120" t="s">
        <v>407</v>
      </c>
      <c r="S111" s="120" t="s">
        <v>1218</v>
      </c>
      <c r="T111" s="122">
        <v>8.24</v>
      </c>
      <c r="U111" s="120" t="s">
        <v>2613</v>
      </c>
      <c r="V111" s="123">
        <v>2.2700000000000001E-2</v>
      </c>
      <c r="W111" s="120"/>
      <c r="X111" s="120"/>
      <c r="Y111" s="123"/>
      <c r="Z111" s="123">
        <v>3.5099999999999999E-2</v>
      </c>
      <c r="AA111" s="124">
        <v>52135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45838</v>
      </c>
      <c r="AO111" s="120"/>
      <c r="AP111" s="123"/>
      <c r="AQ111" s="122">
        <v>10518311.130000001</v>
      </c>
      <c r="AR111" s="122">
        <v>101.74</v>
      </c>
      <c r="AS111" s="122">
        <v>1</v>
      </c>
      <c r="AT111" s="122">
        <v>10701.329739999999</v>
      </c>
      <c r="AU111" s="122">
        <v>10701.329739999999</v>
      </c>
      <c r="AV111" s="120"/>
      <c r="AW111" s="120"/>
      <c r="AX111" s="120"/>
      <c r="AY111" s="120"/>
      <c r="AZ111" s="123">
        <v>3.7269999999999998E-3</v>
      </c>
      <c r="BA111" s="123">
        <v>1.7799999999999999E-4</v>
      </c>
    </row>
    <row r="112" spans="1:53" ht="15" customHeight="1">
      <c r="A112" s="121">
        <v>313</v>
      </c>
      <c r="B112" s="121">
        <v>313</v>
      </c>
      <c r="C112" s="121"/>
      <c r="D112" s="120"/>
      <c r="E112" s="120"/>
      <c r="F112" s="121">
        <v>74006158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337</v>
      </c>
      <c r="N112" s="121"/>
      <c r="O112" s="124">
        <v>44530</v>
      </c>
      <c r="P112" s="120" t="s">
        <v>1304</v>
      </c>
      <c r="Q112" s="120" t="s">
        <v>414</v>
      </c>
      <c r="R112" s="120" t="s">
        <v>407</v>
      </c>
      <c r="S112" s="120" t="s">
        <v>1218</v>
      </c>
      <c r="T112" s="122">
        <v>8.3000000000000007</v>
      </c>
      <c r="U112" s="120" t="s">
        <v>2613</v>
      </c>
      <c r="V112" s="123">
        <v>1.7899999999999999E-2</v>
      </c>
      <c r="W112" s="120"/>
      <c r="X112" s="120"/>
      <c r="Y112" s="123"/>
      <c r="Z112" s="123">
        <v>3.7699999999999997E-2</v>
      </c>
      <c r="AA112" s="124">
        <v>52135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45838</v>
      </c>
      <c r="AO112" s="120"/>
      <c r="AP112" s="123"/>
      <c r="AQ112" s="122">
        <v>8667209.1199999992</v>
      </c>
      <c r="AR112" s="122">
        <v>94.49</v>
      </c>
      <c r="AS112" s="122">
        <v>1</v>
      </c>
      <c r="AT112" s="122">
        <v>8189.6459000000004</v>
      </c>
      <c r="AU112" s="122">
        <v>8189.6459000000004</v>
      </c>
      <c r="AV112" s="120"/>
      <c r="AW112" s="120"/>
      <c r="AX112" s="120"/>
      <c r="AY112" s="120"/>
      <c r="AZ112" s="123">
        <v>2.8519999999999999E-3</v>
      </c>
      <c r="BA112" s="123">
        <v>1.36E-4</v>
      </c>
    </row>
    <row r="113" spans="1:53" ht="15" customHeight="1">
      <c r="A113" s="121">
        <v>313</v>
      </c>
      <c r="B113" s="121">
        <v>313</v>
      </c>
      <c r="C113" s="121"/>
      <c r="D113" s="120"/>
      <c r="E113" s="120"/>
      <c r="F113" s="121">
        <v>74006151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44516</v>
      </c>
      <c r="P113" s="120" t="s">
        <v>1331</v>
      </c>
      <c r="Q113" s="120" t="s">
        <v>414</v>
      </c>
      <c r="R113" s="120" t="s">
        <v>407</v>
      </c>
      <c r="S113" s="120" t="s">
        <v>1218</v>
      </c>
      <c r="T113" s="122">
        <v>7.88</v>
      </c>
      <c r="U113" s="120" t="s">
        <v>2613</v>
      </c>
      <c r="V113" s="123">
        <v>2.35E-2</v>
      </c>
      <c r="W113" s="120"/>
      <c r="X113" s="120"/>
      <c r="Y113" s="123"/>
      <c r="Z113" s="123">
        <v>3.3000000000000002E-2</v>
      </c>
      <c r="AA113" s="124">
        <v>52290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45838</v>
      </c>
      <c r="AO113" s="120"/>
      <c r="AP113" s="123"/>
      <c r="AQ113" s="122">
        <v>1942810.74</v>
      </c>
      <c r="AR113" s="122">
        <v>106.25</v>
      </c>
      <c r="AS113" s="122">
        <v>1</v>
      </c>
      <c r="AT113" s="122">
        <v>2064.23641</v>
      </c>
      <c r="AU113" s="122">
        <v>2064.23641</v>
      </c>
      <c r="AV113" s="120"/>
      <c r="AW113" s="120"/>
      <c r="AX113" s="120"/>
      <c r="AY113" s="120"/>
      <c r="AZ113" s="123">
        <v>7.18E-4</v>
      </c>
      <c r="BA113" s="123">
        <v>3.4E-5</v>
      </c>
    </row>
    <row r="114" spans="1:53" ht="15" customHeight="1">
      <c r="A114" s="121">
        <v>313</v>
      </c>
      <c r="B114" s="121">
        <v>313</v>
      </c>
      <c r="C114" s="121"/>
      <c r="D114" s="120"/>
      <c r="E114" s="120"/>
      <c r="F114" s="121">
        <v>74006160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337</v>
      </c>
      <c r="N114" s="121"/>
      <c r="O114" s="124">
        <v>44662</v>
      </c>
      <c r="P114" s="120" t="s">
        <v>1304</v>
      </c>
      <c r="Q114" s="120" t="s">
        <v>414</v>
      </c>
      <c r="R114" s="120" t="s">
        <v>407</v>
      </c>
      <c r="S114" s="120" t="s">
        <v>1218</v>
      </c>
      <c r="T114" s="122">
        <v>8.24</v>
      </c>
      <c r="U114" s="120" t="s">
        <v>2613</v>
      </c>
      <c r="V114" s="123">
        <v>2.4E-2</v>
      </c>
      <c r="W114" s="120"/>
      <c r="X114" s="120"/>
      <c r="Y114" s="123"/>
      <c r="Z114" s="123">
        <v>3.4000000000000002E-2</v>
      </c>
      <c r="AA114" s="124">
        <v>52135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45838</v>
      </c>
      <c r="AO114" s="120"/>
      <c r="AP114" s="123"/>
      <c r="AQ114" s="122">
        <v>11576368.199999999</v>
      </c>
      <c r="AR114" s="122">
        <v>101.73</v>
      </c>
      <c r="AS114" s="122">
        <v>1</v>
      </c>
      <c r="AT114" s="122">
        <v>11776.639370000001</v>
      </c>
      <c r="AU114" s="122">
        <v>11776.639370000001</v>
      </c>
      <c r="AV114" s="120"/>
      <c r="AW114" s="120"/>
      <c r="AX114" s="120"/>
      <c r="AY114" s="120"/>
      <c r="AZ114" s="123">
        <v>4.1009999999999996E-3</v>
      </c>
      <c r="BA114" s="123">
        <v>1.9599999999999999E-4</v>
      </c>
    </row>
    <row r="115" spans="1:53" ht="15" customHeight="1">
      <c r="A115" s="121">
        <v>313</v>
      </c>
      <c r="B115" s="121">
        <v>313</v>
      </c>
      <c r="C115" s="121"/>
      <c r="D115" s="120"/>
      <c r="E115" s="120"/>
      <c r="F115" s="121">
        <v>74006137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337</v>
      </c>
      <c r="N115" s="121"/>
      <c r="O115" s="124">
        <v>44189</v>
      </c>
      <c r="P115" s="120" t="s">
        <v>1304</v>
      </c>
      <c r="Q115" s="120" t="s">
        <v>414</v>
      </c>
      <c r="R115" s="120" t="s">
        <v>407</v>
      </c>
      <c r="S115" s="120" t="s">
        <v>1218</v>
      </c>
      <c r="T115" s="122">
        <v>8.1999999999999993</v>
      </c>
      <c r="U115" s="120" t="s">
        <v>2613</v>
      </c>
      <c r="V115" s="123">
        <v>2.47E-2</v>
      </c>
      <c r="W115" s="120"/>
      <c r="X115" s="120"/>
      <c r="Y115" s="123"/>
      <c r="Z115" s="123">
        <v>3.5200000000000002E-2</v>
      </c>
      <c r="AA115" s="124">
        <v>52135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45838</v>
      </c>
      <c r="AO115" s="120"/>
      <c r="AP115" s="123"/>
      <c r="AQ115" s="122">
        <v>2292760.91</v>
      </c>
      <c r="AR115" s="122">
        <v>105.07</v>
      </c>
      <c r="AS115" s="122">
        <v>1</v>
      </c>
      <c r="AT115" s="122">
        <v>2409.00389</v>
      </c>
      <c r="AU115" s="122">
        <v>2409.00389</v>
      </c>
      <c r="AV115" s="120"/>
      <c r="AW115" s="120"/>
      <c r="AX115" s="120"/>
      <c r="AY115" s="120"/>
      <c r="AZ115" s="123">
        <v>8.3900000000000001E-4</v>
      </c>
      <c r="BA115" s="123">
        <v>4.0000000000000003E-5</v>
      </c>
    </row>
    <row r="116" spans="1:53" ht="15" customHeight="1">
      <c r="A116" s="121">
        <v>313</v>
      </c>
      <c r="B116" s="121">
        <v>313</v>
      </c>
      <c r="C116" s="121"/>
      <c r="D116" s="120"/>
      <c r="E116" s="120"/>
      <c r="F116" s="121">
        <v>74006133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44269</v>
      </c>
      <c r="P116" s="120" t="s">
        <v>1331</v>
      </c>
      <c r="Q116" s="120" t="s">
        <v>414</v>
      </c>
      <c r="R116" s="120" t="s">
        <v>407</v>
      </c>
      <c r="S116" s="120" t="s">
        <v>1218</v>
      </c>
      <c r="T116" s="122">
        <v>7.66</v>
      </c>
      <c r="U116" s="120" t="s">
        <v>2613</v>
      </c>
      <c r="V116" s="123">
        <v>2.35E-2</v>
      </c>
      <c r="W116" s="120"/>
      <c r="X116" s="120"/>
      <c r="Y116" s="123"/>
      <c r="Z116" s="123">
        <v>3.9300000000000002E-2</v>
      </c>
      <c r="AA116" s="124">
        <v>52200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45838</v>
      </c>
      <c r="AO116" s="120"/>
      <c r="AP116" s="123"/>
      <c r="AQ116" s="122">
        <v>11174195.859999999</v>
      </c>
      <c r="AR116" s="122">
        <v>104.15</v>
      </c>
      <c r="AS116" s="122">
        <v>1</v>
      </c>
      <c r="AT116" s="122">
        <v>11637.92499</v>
      </c>
      <c r="AU116" s="122">
        <v>11637.92499</v>
      </c>
      <c r="AV116" s="120"/>
      <c r="AW116" s="120"/>
      <c r="AX116" s="120"/>
      <c r="AY116" s="120"/>
      <c r="AZ116" s="123">
        <v>4.0530000000000002E-3</v>
      </c>
      <c r="BA116" s="123">
        <v>1.93E-4</v>
      </c>
    </row>
    <row r="117" spans="1:53" ht="15" customHeight="1">
      <c r="A117" s="121">
        <v>313</v>
      </c>
      <c r="B117" s="121">
        <v>313</v>
      </c>
      <c r="C117" s="121"/>
      <c r="D117" s="120"/>
      <c r="E117" s="120"/>
      <c r="F117" s="121">
        <v>7400411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44612</v>
      </c>
      <c r="P117" s="120" t="s">
        <v>1331</v>
      </c>
      <c r="Q117" s="120" t="s">
        <v>414</v>
      </c>
      <c r="R117" s="120" t="s">
        <v>407</v>
      </c>
      <c r="S117" s="120" t="s">
        <v>1218</v>
      </c>
      <c r="T117" s="122">
        <v>8.34</v>
      </c>
      <c r="U117" s="120" t="s">
        <v>2613</v>
      </c>
      <c r="V117" s="123">
        <v>1.6E-2</v>
      </c>
      <c r="W117" s="120"/>
      <c r="X117" s="120"/>
      <c r="Y117" s="123"/>
      <c r="Z117" s="123">
        <v>3.2500000000000001E-2</v>
      </c>
      <c r="AA117" s="124">
        <v>52596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45838</v>
      </c>
      <c r="AO117" s="120"/>
      <c r="AP117" s="123"/>
      <c r="AQ117" s="122">
        <v>2310498.54</v>
      </c>
      <c r="AR117" s="122">
        <v>99.13</v>
      </c>
      <c r="AS117" s="122">
        <v>1</v>
      </c>
      <c r="AT117" s="122">
        <v>2290.3971999999999</v>
      </c>
      <c r="AU117" s="122">
        <v>2290.3971999999999</v>
      </c>
      <c r="AV117" s="120"/>
      <c r="AW117" s="120"/>
      <c r="AX117" s="120"/>
      <c r="AY117" s="120"/>
      <c r="AZ117" s="123">
        <v>7.9699999999999997E-4</v>
      </c>
      <c r="BA117" s="123">
        <v>3.8000000000000002E-5</v>
      </c>
    </row>
    <row r="118" spans="1:53" ht="15" customHeight="1">
      <c r="A118" s="121">
        <v>313</v>
      </c>
      <c r="B118" s="121">
        <v>313</v>
      </c>
      <c r="C118" s="121"/>
      <c r="D118" s="120"/>
      <c r="E118" s="120"/>
      <c r="F118" s="121">
        <v>7400412</v>
      </c>
      <c r="G118" s="120" t="s">
        <v>1013</v>
      </c>
      <c r="H118" s="120" t="s">
        <v>812</v>
      </c>
      <c r="I118" s="120" t="s">
        <v>203</v>
      </c>
      <c r="J118" s="120"/>
      <c r="K118" s="120" t="s">
        <v>454</v>
      </c>
      <c r="L118" s="120" t="s">
        <v>338</v>
      </c>
      <c r="M118" s="120" t="s">
        <v>338</v>
      </c>
      <c r="N118" s="121"/>
      <c r="O118" s="124">
        <v>44612</v>
      </c>
      <c r="P118" s="120" t="s">
        <v>1331</v>
      </c>
      <c r="Q118" s="120" t="s">
        <v>414</v>
      </c>
      <c r="R118" s="120" t="s">
        <v>407</v>
      </c>
      <c r="S118" s="120" t="s">
        <v>1218</v>
      </c>
      <c r="T118" s="122">
        <v>8.23</v>
      </c>
      <c r="U118" s="120" t="s">
        <v>2613</v>
      </c>
      <c r="V118" s="123">
        <v>1.6E-2</v>
      </c>
      <c r="W118" s="120"/>
      <c r="X118" s="120"/>
      <c r="Y118" s="123"/>
      <c r="Z118" s="123">
        <v>3.2300000000000002E-2</v>
      </c>
      <c r="AA118" s="124">
        <v>52504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45838</v>
      </c>
      <c r="AO118" s="120"/>
      <c r="AP118" s="123"/>
      <c r="AQ118" s="122">
        <v>3781297.09</v>
      </c>
      <c r="AR118" s="122">
        <v>99.52</v>
      </c>
      <c r="AS118" s="122">
        <v>1</v>
      </c>
      <c r="AT118" s="122">
        <v>3763.1468599999998</v>
      </c>
      <c r="AU118" s="122">
        <v>3763.1468599999998</v>
      </c>
      <c r="AV118" s="120"/>
      <c r="AW118" s="120"/>
      <c r="AX118" s="120"/>
      <c r="AY118" s="120"/>
      <c r="AZ118" s="123">
        <v>1.31E-3</v>
      </c>
      <c r="BA118" s="123">
        <v>6.2000000000000003E-5</v>
      </c>
    </row>
    <row r="119" spans="1:53" ht="15" customHeight="1">
      <c r="A119" s="121">
        <v>313</v>
      </c>
      <c r="B119" s="121">
        <v>313</v>
      </c>
      <c r="C119" s="121"/>
      <c r="D119" s="120"/>
      <c r="E119" s="120"/>
      <c r="F119" s="121">
        <v>7400413</v>
      </c>
      <c r="G119" s="120" t="s">
        <v>1013</v>
      </c>
      <c r="H119" s="120" t="s">
        <v>812</v>
      </c>
      <c r="I119" s="120" t="s">
        <v>203</v>
      </c>
      <c r="J119" s="120"/>
      <c r="K119" s="120" t="s">
        <v>454</v>
      </c>
      <c r="L119" s="120" t="s">
        <v>338</v>
      </c>
      <c r="M119" s="120" t="s">
        <v>338</v>
      </c>
      <c r="N119" s="121"/>
      <c r="O119" s="124">
        <v>44612</v>
      </c>
      <c r="P119" s="120" t="s">
        <v>1331</v>
      </c>
      <c r="Q119" s="120" t="s">
        <v>414</v>
      </c>
      <c r="R119" s="120" t="s">
        <v>407</v>
      </c>
      <c r="S119" s="120" t="s">
        <v>1218</v>
      </c>
      <c r="T119" s="122">
        <v>8.3000000000000007</v>
      </c>
      <c r="U119" s="120" t="s">
        <v>2613</v>
      </c>
      <c r="V119" s="123">
        <v>1.6E-2</v>
      </c>
      <c r="W119" s="120"/>
      <c r="X119" s="120"/>
      <c r="Y119" s="123"/>
      <c r="Z119" s="123">
        <v>3.2399999999999998E-2</v>
      </c>
      <c r="AA119" s="124">
        <v>52596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45838</v>
      </c>
      <c r="AO119" s="120"/>
      <c r="AP119" s="123"/>
      <c r="AQ119" s="122">
        <v>4095078.16</v>
      </c>
      <c r="AR119" s="122">
        <v>99.27</v>
      </c>
      <c r="AS119" s="122">
        <v>1</v>
      </c>
      <c r="AT119" s="122">
        <v>4065.1840900000002</v>
      </c>
      <c r="AU119" s="122">
        <v>4065.1840900000002</v>
      </c>
      <c r="AV119" s="120"/>
      <c r="AW119" s="120"/>
      <c r="AX119" s="120"/>
      <c r="AY119" s="120"/>
      <c r="AZ119" s="123">
        <v>1.415E-3</v>
      </c>
      <c r="BA119" s="123">
        <v>6.7000000000000002E-5</v>
      </c>
    </row>
    <row r="120" spans="1:53" ht="15" customHeight="1">
      <c r="A120" s="121">
        <v>313</v>
      </c>
      <c r="B120" s="121">
        <v>313</v>
      </c>
      <c r="C120" s="121"/>
      <c r="D120" s="120"/>
      <c r="E120" s="120"/>
      <c r="F120" s="121">
        <v>7400414</v>
      </c>
      <c r="G120" s="120" t="s">
        <v>1013</v>
      </c>
      <c r="H120" s="120" t="s">
        <v>812</v>
      </c>
      <c r="I120" s="120" t="s">
        <v>203</v>
      </c>
      <c r="J120" s="120"/>
      <c r="K120" s="120" t="s">
        <v>454</v>
      </c>
      <c r="L120" s="120" t="s">
        <v>338</v>
      </c>
      <c r="M120" s="120" t="s">
        <v>338</v>
      </c>
      <c r="N120" s="121"/>
      <c r="O120" s="124">
        <v>44665</v>
      </c>
      <c r="P120" s="120" t="s">
        <v>1331</v>
      </c>
      <c r="Q120" s="120" t="s">
        <v>414</v>
      </c>
      <c r="R120" s="120" t="s">
        <v>407</v>
      </c>
      <c r="S120" s="120" t="s">
        <v>1218</v>
      </c>
      <c r="T120" s="122">
        <v>8.36</v>
      </c>
      <c r="U120" s="120" t="s">
        <v>2613</v>
      </c>
      <c r="V120" s="123">
        <v>1.6639999999999999E-2</v>
      </c>
      <c r="W120" s="120"/>
      <c r="X120" s="120"/>
      <c r="Y120" s="123"/>
      <c r="Z120" s="123">
        <v>3.04E-2</v>
      </c>
      <c r="AA120" s="124">
        <v>52596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45838</v>
      </c>
      <c r="AO120" s="120"/>
      <c r="AP120" s="123"/>
      <c r="AQ120" s="122">
        <v>2604858.52</v>
      </c>
      <c r="AR120" s="122">
        <v>100.75</v>
      </c>
      <c r="AS120" s="122">
        <v>1</v>
      </c>
      <c r="AT120" s="122">
        <v>2624.3949600000001</v>
      </c>
      <c r="AU120" s="122">
        <v>2624.3949600000001</v>
      </c>
      <c r="AV120" s="120"/>
      <c r="AW120" s="120"/>
      <c r="AX120" s="120"/>
      <c r="AY120" s="120"/>
      <c r="AZ120" s="123">
        <v>9.1399999999999999E-4</v>
      </c>
      <c r="BA120" s="123">
        <v>4.3000000000000002E-5</v>
      </c>
    </row>
    <row r="121" spans="1:53" ht="15" customHeight="1">
      <c r="A121" s="121">
        <v>313</v>
      </c>
      <c r="B121" s="121">
        <v>313</v>
      </c>
      <c r="C121" s="121"/>
      <c r="D121" s="120"/>
      <c r="E121" s="120"/>
      <c r="F121" s="121">
        <v>7400416</v>
      </c>
      <c r="G121" s="120" t="s">
        <v>1013</v>
      </c>
      <c r="H121" s="120" t="s">
        <v>812</v>
      </c>
      <c r="I121" s="120" t="s">
        <v>203</v>
      </c>
      <c r="J121" s="120"/>
      <c r="K121" s="120" t="s">
        <v>454</v>
      </c>
      <c r="L121" s="120" t="s">
        <v>338</v>
      </c>
      <c r="M121" s="120" t="s">
        <v>338</v>
      </c>
      <c r="N121" s="121"/>
      <c r="O121" s="124">
        <v>44665</v>
      </c>
      <c r="P121" s="120" t="s">
        <v>1331</v>
      </c>
      <c r="Q121" s="120" t="s">
        <v>414</v>
      </c>
      <c r="R121" s="120" t="s">
        <v>407</v>
      </c>
      <c r="S121" s="120" t="s">
        <v>1218</v>
      </c>
      <c r="T121" s="122">
        <v>8.35</v>
      </c>
      <c r="U121" s="120" t="s">
        <v>2613</v>
      </c>
      <c r="V121" s="123">
        <v>1.6639999999999999E-2</v>
      </c>
      <c r="W121" s="120"/>
      <c r="X121" s="120"/>
      <c r="Y121" s="123"/>
      <c r="Z121" s="123">
        <v>3.04E-2</v>
      </c>
      <c r="AA121" s="124">
        <v>52596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45838</v>
      </c>
      <c r="AO121" s="120"/>
      <c r="AP121" s="123"/>
      <c r="AQ121" s="122">
        <v>1827130.66</v>
      </c>
      <c r="AR121" s="122">
        <v>100.76</v>
      </c>
      <c r="AS121" s="122">
        <v>1</v>
      </c>
      <c r="AT121" s="122">
        <v>1841.01685</v>
      </c>
      <c r="AU121" s="122">
        <v>1841.01685</v>
      </c>
      <c r="AV121" s="120"/>
      <c r="AW121" s="120"/>
      <c r="AX121" s="120"/>
      <c r="AY121" s="120"/>
      <c r="AZ121" s="123">
        <v>6.4099999999999997E-4</v>
      </c>
      <c r="BA121" s="123">
        <v>3.0000000000000001E-5</v>
      </c>
    </row>
    <row r="122" spans="1:53" ht="15" customHeight="1">
      <c r="A122" s="121">
        <v>313</v>
      </c>
      <c r="B122" s="121">
        <v>313</v>
      </c>
      <c r="C122" s="121"/>
      <c r="D122" s="120"/>
      <c r="E122" s="120"/>
      <c r="F122" s="121">
        <v>74006136</v>
      </c>
      <c r="G122" s="120" t="s">
        <v>1013</v>
      </c>
      <c r="H122" s="120" t="s">
        <v>812</v>
      </c>
      <c r="I122" s="120" t="s">
        <v>203</v>
      </c>
      <c r="J122" s="120"/>
      <c r="K122" s="120" t="s">
        <v>454</v>
      </c>
      <c r="L122" s="120" t="s">
        <v>338</v>
      </c>
      <c r="M122" s="120" t="s">
        <v>338</v>
      </c>
      <c r="N122" s="121"/>
      <c r="O122" s="124">
        <v>44398</v>
      </c>
      <c r="P122" s="120" t="s">
        <v>1331</v>
      </c>
      <c r="Q122" s="120" t="s">
        <v>414</v>
      </c>
      <c r="R122" s="120" t="s">
        <v>407</v>
      </c>
      <c r="S122" s="120" t="s">
        <v>1218</v>
      </c>
      <c r="T122" s="122">
        <v>7.87</v>
      </c>
      <c r="U122" s="120" t="s">
        <v>2613</v>
      </c>
      <c r="V122" s="123">
        <v>2.35E-2</v>
      </c>
      <c r="W122" s="120"/>
      <c r="X122" s="120"/>
      <c r="Y122" s="123"/>
      <c r="Z122" s="123">
        <v>3.32E-2</v>
      </c>
      <c r="AA122" s="124">
        <v>52290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45838</v>
      </c>
      <c r="AO122" s="120"/>
      <c r="AP122" s="123"/>
      <c r="AQ122" s="122">
        <v>2810679.76</v>
      </c>
      <c r="AR122" s="122">
        <v>107.07</v>
      </c>
      <c r="AS122" s="122">
        <v>1</v>
      </c>
      <c r="AT122" s="122">
        <v>3009.39482</v>
      </c>
      <c r="AU122" s="122">
        <v>3009.39482</v>
      </c>
      <c r="AV122" s="120"/>
      <c r="AW122" s="120"/>
      <c r="AX122" s="120"/>
      <c r="AY122" s="120"/>
      <c r="AZ122" s="123">
        <v>1.0480000000000001E-3</v>
      </c>
      <c r="BA122" s="123">
        <v>5.0000000000000002E-5</v>
      </c>
    </row>
    <row r="123" spans="1:53" ht="15" customHeight="1">
      <c r="A123" s="121">
        <v>313</v>
      </c>
      <c r="B123" s="121">
        <v>313</v>
      </c>
      <c r="C123" s="121"/>
      <c r="D123" s="120"/>
      <c r="E123" s="120"/>
      <c r="F123" s="121">
        <v>7400417</v>
      </c>
      <c r="G123" s="120" t="s">
        <v>1013</v>
      </c>
      <c r="H123" s="120" t="s">
        <v>812</v>
      </c>
      <c r="I123" s="120" t="s">
        <v>203</v>
      </c>
      <c r="J123" s="120"/>
      <c r="K123" s="120" t="s">
        <v>454</v>
      </c>
      <c r="L123" s="120" t="s">
        <v>338</v>
      </c>
      <c r="M123" s="120" t="s">
        <v>338</v>
      </c>
      <c r="N123" s="121"/>
      <c r="O123" s="124">
        <v>44895</v>
      </c>
      <c r="P123" s="120" t="s">
        <v>1304</v>
      </c>
      <c r="Q123" s="120" t="s">
        <v>414</v>
      </c>
      <c r="R123" s="120" t="s">
        <v>407</v>
      </c>
      <c r="S123" s="120" t="s">
        <v>1218</v>
      </c>
      <c r="T123" s="122">
        <v>8.07</v>
      </c>
      <c r="U123" s="120" t="s">
        <v>2613</v>
      </c>
      <c r="V123" s="123">
        <v>2.7594E-2</v>
      </c>
      <c r="W123" s="120"/>
      <c r="X123" s="120"/>
      <c r="Y123" s="123"/>
      <c r="Z123" s="123">
        <v>3.3099999999999997E-2</v>
      </c>
      <c r="AA123" s="124">
        <v>52596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45838</v>
      </c>
      <c r="AO123" s="120"/>
      <c r="AP123" s="123"/>
      <c r="AQ123" s="122">
        <v>3159735.11</v>
      </c>
      <c r="AR123" s="122">
        <v>104.3</v>
      </c>
      <c r="AS123" s="122">
        <v>1</v>
      </c>
      <c r="AT123" s="122">
        <v>3295.6037200000001</v>
      </c>
      <c r="AU123" s="122">
        <v>3295.6037200000001</v>
      </c>
      <c r="AV123" s="120"/>
      <c r="AW123" s="120"/>
      <c r="AX123" s="120"/>
      <c r="AY123" s="120"/>
      <c r="AZ123" s="123">
        <v>1.147E-3</v>
      </c>
      <c r="BA123" s="123">
        <v>5.3999999999999998E-5</v>
      </c>
    </row>
    <row r="124" spans="1:53" ht="15" customHeight="1">
      <c r="A124" s="121">
        <v>313</v>
      </c>
      <c r="B124" s="121">
        <v>313</v>
      </c>
      <c r="C124" s="121"/>
      <c r="D124" s="120"/>
      <c r="E124" s="120"/>
      <c r="F124" s="121">
        <v>7400419</v>
      </c>
      <c r="G124" s="120" t="s">
        <v>1013</v>
      </c>
      <c r="H124" s="120" t="s">
        <v>812</v>
      </c>
      <c r="I124" s="120" t="s">
        <v>203</v>
      </c>
      <c r="J124" s="120"/>
      <c r="K124" s="120" t="s">
        <v>454</v>
      </c>
      <c r="L124" s="120" t="s">
        <v>338</v>
      </c>
      <c r="M124" s="120" t="s">
        <v>338</v>
      </c>
      <c r="N124" s="121"/>
      <c r="O124" s="124">
        <v>45148</v>
      </c>
      <c r="P124" s="120" t="s">
        <v>1304</v>
      </c>
      <c r="Q124" s="120" t="s">
        <v>414</v>
      </c>
      <c r="R124" s="120" t="s">
        <v>407</v>
      </c>
      <c r="S124" s="120" t="s">
        <v>1218</v>
      </c>
      <c r="T124" s="122">
        <v>8.1300000000000008</v>
      </c>
      <c r="U124" s="120" t="s">
        <v>2613</v>
      </c>
      <c r="V124" s="123">
        <v>3.2554E-2</v>
      </c>
      <c r="W124" s="120"/>
      <c r="X124" s="120"/>
      <c r="Y124" s="123"/>
      <c r="Z124" s="123">
        <v>3.2800000000000003E-2</v>
      </c>
      <c r="AA124" s="124">
        <v>52596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45838</v>
      </c>
      <c r="AO124" s="120"/>
      <c r="AP124" s="123"/>
      <c r="AQ124" s="122">
        <v>6567258.9299999997</v>
      </c>
      <c r="AR124" s="122">
        <v>106.11</v>
      </c>
      <c r="AS124" s="122">
        <v>1</v>
      </c>
      <c r="AT124" s="122">
        <v>6968.5184499999996</v>
      </c>
      <c r="AU124" s="122">
        <v>6968.5184499999996</v>
      </c>
      <c r="AV124" s="120"/>
      <c r="AW124" s="120"/>
      <c r="AX124" s="120"/>
      <c r="AY124" s="120"/>
      <c r="AZ124" s="123">
        <v>2.4269999999999999E-3</v>
      </c>
      <c r="BA124" s="123">
        <v>1.16E-4</v>
      </c>
    </row>
    <row r="125" spans="1:53" ht="15" customHeight="1">
      <c r="A125" s="121">
        <v>313</v>
      </c>
      <c r="B125" s="121">
        <v>313</v>
      </c>
      <c r="C125" s="121"/>
      <c r="D125" s="120"/>
      <c r="E125" s="120"/>
      <c r="F125" s="121">
        <v>74006091</v>
      </c>
      <c r="G125" s="120" t="s">
        <v>1013</v>
      </c>
      <c r="H125" s="120" t="s">
        <v>818</v>
      </c>
      <c r="I125" s="120" t="s">
        <v>203</v>
      </c>
      <c r="J125" s="120"/>
      <c r="K125" s="120" t="s">
        <v>454</v>
      </c>
      <c r="L125" s="120" t="s">
        <v>338</v>
      </c>
      <c r="M125" s="120" t="s">
        <v>338</v>
      </c>
      <c r="N125" s="121"/>
      <c r="O125" s="124">
        <v>44703</v>
      </c>
      <c r="P125" s="120" t="s">
        <v>409</v>
      </c>
      <c r="Q125" s="120" t="s">
        <v>409</v>
      </c>
      <c r="R125" s="120" t="s">
        <v>409</v>
      </c>
      <c r="S125" s="120" t="s">
        <v>1218</v>
      </c>
      <c r="T125" s="122">
        <v>3.65</v>
      </c>
      <c r="U125" s="120" t="s">
        <v>2613</v>
      </c>
      <c r="V125" s="123">
        <v>3.6299999999999999E-2</v>
      </c>
      <c r="W125" s="120"/>
      <c r="X125" s="120"/>
      <c r="Y125" s="123"/>
      <c r="Z125" s="123">
        <v>6.5500000000000003E-2</v>
      </c>
      <c r="AA125" s="124">
        <v>47260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45838</v>
      </c>
      <c r="AO125" s="120"/>
      <c r="AP125" s="123"/>
      <c r="AQ125" s="122">
        <v>27525195.210000001</v>
      </c>
      <c r="AR125" s="122">
        <v>100.81</v>
      </c>
      <c r="AS125" s="122">
        <v>1</v>
      </c>
      <c r="AT125" s="122">
        <v>27748.149290000001</v>
      </c>
      <c r="AU125" s="122">
        <v>27748.149290000001</v>
      </c>
      <c r="AV125" s="120"/>
      <c r="AW125" s="120"/>
      <c r="AX125" s="120"/>
      <c r="AY125" s="120"/>
      <c r="AZ125" s="123">
        <v>9.6640000000000007E-3</v>
      </c>
      <c r="BA125" s="123">
        <v>4.6200000000000001E-4</v>
      </c>
    </row>
    <row r="126" spans="1:53" ht="15" customHeight="1">
      <c r="A126" s="121">
        <v>313</v>
      </c>
      <c r="B126" s="121">
        <v>313</v>
      </c>
      <c r="C126" s="121"/>
      <c r="D126" s="120"/>
      <c r="E126" s="120"/>
      <c r="F126" s="121">
        <v>74006119</v>
      </c>
      <c r="G126" s="120" t="s">
        <v>1013</v>
      </c>
      <c r="H126" s="120" t="s">
        <v>812</v>
      </c>
      <c r="I126" s="120" t="s">
        <v>203</v>
      </c>
      <c r="J126" s="120"/>
      <c r="K126" s="120" t="s">
        <v>446</v>
      </c>
      <c r="L126" s="120" t="s">
        <v>338</v>
      </c>
      <c r="M126" s="120" t="s">
        <v>337</v>
      </c>
      <c r="N126" s="121"/>
      <c r="O126" s="124">
        <v>44606</v>
      </c>
      <c r="P126" s="120" t="s">
        <v>1304</v>
      </c>
      <c r="Q126" s="120" t="s">
        <v>414</v>
      </c>
      <c r="R126" s="120" t="s">
        <v>407</v>
      </c>
      <c r="S126" s="120" t="s">
        <v>1218</v>
      </c>
      <c r="T126" s="122">
        <v>1.56</v>
      </c>
      <c r="U126" s="120" t="s">
        <v>824</v>
      </c>
      <c r="V126" s="123">
        <v>6.6000000000000003E-2</v>
      </c>
      <c r="W126" s="120"/>
      <c r="X126" s="120"/>
      <c r="Y126" s="123"/>
      <c r="Z126" s="123">
        <v>6.3500000000000001E-2</v>
      </c>
      <c r="AA126" s="124">
        <v>46471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45838</v>
      </c>
      <c r="AO126" s="120"/>
      <c r="AP126" s="123"/>
      <c r="AQ126" s="122">
        <v>1331634</v>
      </c>
      <c r="AR126" s="122">
        <v>100.7</v>
      </c>
      <c r="AS126" s="122">
        <v>1</v>
      </c>
      <c r="AT126" s="122">
        <v>1340.95544</v>
      </c>
      <c r="AU126" s="122">
        <v>1340.95544</v>
      </c>
      <c r="AV126" s="120"/>
      <c r="AW126" s="120"/>
      <c r="AX126" s="120"/>
      <c r="AY126" s="120"/>
      <c r="AZ126" s="123">
        <v>4.6700000000000002E-4</v>
      </c>
      <c r="BA126" s="123">
        <v>2.1999999999999999E-5</v>
      </c>
    </row>
    <row r="127" spans="1:53" ht="15" customHeight="1">
      <c r="A127" s="121">
        <v>313</v>
      </c>
      <c r="B127" s="121">
        <v>313</v>
      </c>
      <c r="C127" s="121"/>
      <c r="D127" s="120"/>
      <c r="E127" s="120"/>
      <c r="F127" s="121">
        <v>74006121</v>
      </c>
      <c r="G127" s="120" t="s">
        <v>1013</v>
      </c>
      <c r="H127" s="120" t="s">
        <v>812</v>
      </c>
      <c r="I127" s="120" t="s">
        <v>203</v>
      </c>
      <c r="J127" s="120"/>
      <c r="K127" s="120" t="s">
        <v>446</v>
      </c>
      <c r="L127" s="120" t="s">
        <v>338</v>
      </c>
      <c r="M127" s="120" t="s">
        <v>337</v>
      </c>
      <c r="N127" s="121"/>
      <c r="O127" s="124">
        <v>44580</v>
      </c>
      <c r="P127" s="120" t="s">
        <v>1304</v>
      </c>
      <c r="Q127" s="120" t="s">
        <v>414</v>
      </c>
      <c r="R127" s="120" t="s">
        <v>407</v>
      </c>
      <c r="S127" s="120" t="s">
        <v>1218</v>
      </c>
      <c r="T127" s="122">
        <v>1.56</v>
      </c>
      <c r="U127" s="120" t="s">
        <v>824</v>
      </c>
      <c r="V127" s="123">
        <v>6.6000000000000003E-2</v>
      </c>
      <c r="W127" s="120"/>
      <c r="X127" s="120"/>
      <c r="Y127" s="123"/>
      <c r="Z127" s="123">
        <v>6.3500000000000001E-2</v>
      </c>
      <c r="AA127" s="124">
        <v>46471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45838</v>
      </c>
      <c r="AO127" s="120"/>
      <c r="AP127" s="123"/>
      <c r="AQ127" s="122">
        <v>874141</v>
      </c>
      <c r="AR127" s="122">
        <v>100.7</v>
      </c>
      <c r="AS127" s="122">
        <v>1</v>
      </c>
      <c r="AT127" s="122">
        <v>880.25999000000002</v>
      </c>
      <c r="AU127" s="122">
        <v>880.25999000000002</v>
      </c>
      <c r="AV127" s="120"/>
      <c r="AW127" s="120"/>
      <c r="AX127" s="120"/>
      <c r="AY127" s="120"/>
      <c r="AZ127" s="123">
        <v>3.0600000000000001E-4</v>
      </c>
      <c r="BA127" s="123">
        <v>1.4E-5</v>
      </c>
    </row>
    <row r="128" spans="1:53" ht="15" customHeight="1">
      <c r="A128" s="121">
        <v>313</v>
      </c>
      <c r="B128" s="121">
        <v>313</v>
      </c>
      <c r="C128" s="121"/>
      <c r="D128" s="120"/>
      <c r="E128" s="120"/>
      <c r="F128" s="121">
        <v>74006127</v>
      </c>
      <c r="G128" s="120" t="s">
        <v>1013</v>
      </c>
      <c r="H128" s="120" t="s">
        <v>812</v>
      </c>
      <c r="I128" s="120" t="s">
        <v>203</v>
      </c>
      <c r="J128" s="120"/>
      <c r="K128" s="120" t="s">
        <v>454</v>
      </c>
      <c r="L128" s="120" t="s">
        <v>338</v>
      </c>
      <c r="M128" s="120" t="s">
        <v>337</v>
      </c>
      <c r="N128" s="121"/>
      <c r="O128" s="124">
        <v>44074</v>
      </c>
      <c r="P128" s="120" t="s">
        <v>1304</v>
      </c>
      <c r="Q128" s="120" t="s">
        <v>414</v>
      </c>
      <c r="R128" s="120" t="s">
        <v>407</v>
      </c>
      <c r="S128" s="120" t="s">
        <v>1218</v>
      </c>
      <c r="T128" s="122">
        <v>8.24</v>
      </c>
      <c r="U128" s="120" t="s">
        <v>2613</v>
      </c>
      <c r="V128" s="123">
        <v>2.0500000000000001E-2</v>
      </c>
      <c r="W128" s="120"/>
      <c r="X128" s="120"/>
      <c r="Y128" s="123"/>
      <c r="Z128" s="123">
        <v>3.4299999999999997E-2</v>
      </c>
      <c r="AA128" s="124">
        <v>52135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45838</v>
      </c>
      <c r="AO128" s="120"/>
      <c r="AP128" s="123"/>
      <c r="AQ128" s="122">
        <v>18326581.550000001</v>
      </c>
      <c r="AR128" s="122">
        <v>104.71</v>
      </c>
      <c r="AS128" s="122">
        <v>1</v>
      </c>
      <c r="AT128" s="122">
        <v>19189.76354</v>
      </c>
      <c r="AU128" s="122">
        <v>19189.76354</v>
      </c>
      <c r="AV128" s="120"/>
      <c r="AW128" s="120"/>
      <c r="AX128" s="120"/>
      <c r="AY128" s="120"/>
      <c r="AZ128" s="123">
        <v>6.6829999999999997E-3</v>
      </c>
      <c r="BA128" s="123">
        <v>3.19E-4</v>
      </c>
    </row>
    <row r="129" spans="1:53" ht="15" customHeight="1">
      <c r="A129" s="121">
        <v>313</v>
      </c>
      <c r="B129" s="121">
        <v>313</v>
      </c>
      <c r="C129" s="121"/>
      <c r="D129" s="120"/>
      <c r="E129" s="120"/>
      <c r="F129" s="121">
        <v>7400418</v>
      </c>
      <c r="G129" s="120" t="s">
        <v>1013</v>
      </c>
      <c r="H129" s="120" t="s">
        <v>812</v>
      </c>
      <c r="I129" s="120" t="s">
        <v>203</v>
      </c>
      <c r="J129" s="120"/>
      <c r="K129" s="120" t="s">
        <v>454</v>
      </c>
      <c r="L129" s="120" t="s">
        <v>338</v>
      </c>
      <c r="M129" s="120" t="s">
        <v>338</v>
      </c>
      <c r="N129" s="121"/>
      <c r="O129" s="124">
        <v>44895</v>
      </c>
      <c r="P129" s="120" t="s">
        <v>1304</v>
      </c>
      <c r="Q129" s="120" t="s">
        <v>414</v>
      </c>
      <c r="R129" s="120" t="s">
        <v>407</v>
      </c>
      <c r="S129" s="120" t="s">
        <v>1218</v>
      </c>
      <c r="T129" s="122">
        <v>8.08</v>
      </c>
      <c r="U129" s="120" t="s">
        <v>2613</v>
      </c>
      <c r="V129" s="123">
        <v>2.7594E-2</v>
      </c>
      <c r="W129" s="120"/>
      <c r="X129" s="120"/>
      <c r="Y129" s="123"/>
      <c r="Z129" s="123">
        <v>3.3000000000000002E-2</v>
      </c>
      <c r="AA129" s="124">
        <v>52596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45838</v>
      </c>
      <c r="AO129" s="120"/>
      <c r="AP129" s="123"/>
      <c r="AQ129" s="122">
        <v>6404071.1799999997</v>
      </c>
      <c r="AR129" s="122">
        <v>104.33</v>
      </c>
      <c r="AS129" s="122">
        <v>1</v>
      </c>
      <c r="AT129" s="122">
        <v>6681.3674600000004</v>
      </c>
      <c r="AU129" s="122">
        <v>6681.3674600000004</v>
      </c>
      <c r="AV129" s="120"/>
      <c r="AW129" s="120"/>
      <c r="AX129" s="120"/>
      <c r="AY129" s="120"/>
      <c r="AZ129" s="123">
        <v>2.3270000000000001E-3</v>
      </c>
      <c r="BA129" s="123">
        <v>1.11E-4</v>
      </c>
    </row>
    <row r="130" spans="1:53" ht="15" customHeight="1">
      <c r="A130" s="121">
        <v>313</v>
      </c>
      <c r="B130" s="121">
        <v>313</v>
      </c>
      <c r="C130" s="121"/>
      <c r="D130" s="120"/>
      <c r="E130" s="120"/>
      <c r="F130" s="121">
        <v>75002446</v>
      </c>
      <c r="G130" s="120" t="s">
        <v>1013</v>
      </c>
      <c r="H130" s="120" t="s">
        <v>785</v>
      </c>
      <c r="I130" s="120" t="s">
        <v>203</v>
      </c>
      <c r="J130" s="120"/>
      <c r="K130" s="120" t="s">
        <v>463</v>
      </c>
      <c r="L130" s="120" t="s">
        <v>338</v>
      </c>
      <c r="M130" s="120" t="s">
        <v>337</v>
      </c>
      <c r="N130" s="121"/>
      <c r="O130" s="124">
        <v>44195</v>
      </c>
      <c r="P130" s="120" t="s">
        <v>2616</v>
      </c>
      <c r="Q130" s="120" t="s">
        <v>311</v>
      </c>
      <c r="R130" s="120" t="s">
        <v>407</v>
      </c>
      <c r="S130" s="120" t="s">
        <v>1218</v>
      </c>
      <c r="T130" s="122">
        <v>9.5</v>
      </c>
      <c r="U130" s="120" t="s">
        <v>2613</v>
      </c>
      <c r="V130" s="123">
        <v>1.286E-2</v>
      </c>
      <c r="W130" s="120"/>
      <c r="X130" s="120"/>
      <c r="Y130" s="123"/>
      <c r="Z130" s="123">
        <v>3.0099999999999998E-2</v>
      </c>
      <c r="AA130" s="124">
        <v>49562</v>
      </c>
      <c r="AB130" s="120" t="s">
        <v>411</v>
      </c>
      <c r="AC130" s="120"/>
      <c r="AD130" s="122"/>
      <c r="AE130" s="123"/>
      <c r="AF130" s="124">
        <v>44896</v>
      </c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45838</v>
      </c>
      <c r="AO130" s="120"/>
      <c r="AP130" s="123"/>
      <c r="AQ130" s="122">
        <v>335922.02</v>
      </c>
      <c r="AR130" s="122">
        <v>99.77</v>
      </c>
      <c r="AS130" s="122">
        <v>1</v>
      </c>
      <c r="AT130" s="122">
        <v>335.14940000000001</v>
      </c>
      <c r="AU130" s="122">
        <v>335.14940000000001</v>
      </c>
      <c r="AV130" s="120"/>
      <c r="AW130" s="120"/>
      <c r="AX130" s="120"/>
      <c r="AY130" s="120"/>
      <c r="AZ130" s="123">
        <v>1.16E-4</v>
      </c>
      <c r="BA130" s="123">
        <v>5.0000000000000004E-6</v>
      </c>
    </row>
    <row r="131" spans="1:53" ht="15" customHeight="1">
      <c r="A131" s="121">
        <v>313</v>
      </c>
      <c r="B131" s="121">
        <v>313</v>
      </c>
      <c r="C131" s="121"/>
      <c r="D131" s="120"/>
      <c r="E131" s="120"/>
      <c r="F131" s="121">
        <v>75002447</v>
      </c>
      <c r="G131" s="120" t="s">
        <v>1013</v>
      </c>
      <c r="H131" s="120" t="s">
        <v>785</v>
      </c>
      <c r="I131" s="120" t="s">
        <v>203</v>
      </c>
      <c r="J131" s="120"/>
      <c r="K131" s="120" t="s">
        <v>463</v>
      </c>
      <c r="L131" s="120" t="s">
        <v>338</v>
      </c>
      <c r="M131" s="120" t="s">
        <v>337</v>
      </c>
      <c r="N131" s="121"/>
      <c r="O131" s="124">
        <v>44195</v>
      </c>
      <c r="P131" s="120" t="s">
        <v>2616</v>
      </c>
      <c r="Q131" s="120" t="s">
        <v>311</v>
      </c>
      <c r="R131" s="120" t="s">
        <v>407</v>
      </c>
      <c r="S131" s="120" t="s">
        <v>1218</v>
      </c>
      <c r="T131" s="122">
        <v>9.5</v>
      </c>
      <c r="U131" s="120" t="s">
        <v>2613</v>
      </c>
      <c r="V131" s="123">
        <v>1.286E-2</v>
      </c>
      <c r="W131" s="120"/>
      <c r="X131" s="120"/>
      <c r="Y131" s="123"/>
      <c r="Z131" s="123">
        <v>3.0099999999999998E-2</v>
      </c>
      <c r="AA131" s="124">
        <v>49562</v>
      </c>
      <c r="AB131" s="120" t="s">
        <v>411</v>
      </c>
      <c r="AC131" s="120"/>
      <c r="AD131" s="122"/>
      <c r="AE131" s="123"/>
      <c r="AF131" s="124">
        <v>44896</v>
      </c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45838</v>
      </c>
      <c r="AO131" s="120"/>
      <c r="AP131" s="123"/>
      <c r="AQ131" s="122">
        <v>5651.09</v>
      </c>
      <c r="AR131" s="122">
        <v>99.77</v>
      </c>
      <c r="AS131" s="122">
        <v>1</v>
      </c>
      <c r="AT131" s="122">
        <v>5.63809</v>
      </c>
      <c r="AU131" s="122">
        <v>5.63809</v>
      </c>
      <c r="AV131" s="120"/>
      <c r="AW131" s="120"/>
      <c r="AX131" s="120"/>
      <c r="AY131" s="120"/>
      <c r="AZ131" s="123">
        <v>9.9999999999999995E-7</v>
      </c>
      <c r="BA131" s="123">
        <v>0</v>
      </c>
    </row>
    <row r="132" spans="1:53" ht="15" customHeight="1">
      <c r="A132" s="121">
        <v>313</v>
      </c>
      <c r="B132" s="121">
        <v>313</v>
      </c>
      <c r="C132" s="121"/>
      <c r="D132" s="120"/>
      <c r="E132" s="120"/>
      <c r="F132" s="121">
        <v>75004442</v>
      </c>
      <c r="G132" s="120" t="s">
        <v>1013</v>
      </c>
      <c r="H132" s="120" t="s">
        <v>785</v>
      </c>
      <c r="I132" s="120" t="s">
        <v>203</v>
      </c>
      <c r="J132" s="120"/>
      <c r="K132" s="120" t="s">
        <v>463</v>
      </c>
      <c r="L132" s="120" t="s">
        <v>338</v>
      </c>
      <c r="M132" s="120" t="s">
        <v>337</v>
      </c>
      <c r="N132" s="121"/>
      <c r="O132" s="124">
        <v>44195</v>
      </c>
      <c r="P132" s="120" t="s">
        <v>2616</v>
      </c>
      <c r="Q132" s="120" t="s">
        <v>311</v>
      </c>
      <c r="R132" s="120" t="s">
        <v>407</v>
      </c>
      <c r="S132" s="120" t="s">
        <v>1218</v>
      </c>
      <c r="T132" s="122">
        <v>6.24</v>
      </c>
      <c r="U132" s="120" t="s">
        <v>824</v>
      </c>
      <c r="V132" s="123">
        <v>6.25E-2</v>
      </c>
      <c r="W132" s="120"/>
      <c r="X132" s="120"/>
      <c r="Y132" s="123"/>
      <c r="Z132" s="123">
        <v>6.3200000000000006E-2</v>
      </c>
      <c r="AA132" s="124">
        <v>49562</v>
      </c>
      <c r="AB132" s="120" t="s">
        <v>411</v>
      </c>
      <c r="AC132" s="120"/>
      <c r="AD132" s="122"/>
      <c r="AE132" s="123"/>
      <c r="AF132" s="124">
        <v>44896</v>
      </c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45838</v>
      </c>
      <c r="AO132" s="120"/>
      <c r="AP132" s="123"/>
      <c r="AQ132" s="122">
        <v>1176019.1100000001</v>
      </c>
      <c r="AR132" s="122">
        <v>100.77</v>
      </c>
      <c r="AS132" s="122">
        <v>1</v>
      </c>
      <c r="AT132" s="122">
        <v>1185.07446</v>
      </c>
      <c r="AU132" s="122">
        <v>1185.07446</v>
      </c>
      <c r="AV132" s="120"/>
      <c r="AW132" s="120"/>
      <c r="AX132" s="120"/>
      <c r="AY132" s="120"/>
      <c r="AZ132" s="123">
        <v>4.1199999999999999E-4</v>
      </c>
      <c r="BA132" s="123">
        <v>1.9000000000000001E-5</v>
      </c>
    </row>
    <row r="133" spans="1:53" ht="15" customHeight="1">
      <c r="A133" s="121">
        <v>313</v>
      </c>
      <c r="B133" s="121">
        <v>313</v>
      </c>
      <c r="C133" s="121"/>
      <c r="D133" s="120"/>
      <c r="E133" s="120"/>
      <c r="F133" s="121">
        <v>79004002</v>
      </c>
      <c r="G133" s="120" t="s">
        <v>1013</v>
      </c>
      <c r="H133" s="120" t="s">
        <v>2620</v>
      </c>
      <c r="I133" s="120" t="s">
        <v>203</v>
      </c>
      <c r="J133" s="120"/>
      <c r="K133" s="120" t="s">
        <v>463</v>
      </c>
      <c r="L133" s="120" t="s">
        <v>338</v>
      </c>
      <c r="M133" s="120" t="s">
        <v>337</v>
      </c>
      <c r="N133" s="121"/>
      <c r="O133" s="124">
        <v>44441</v>
      </c>
      <c r="P133" s="120" t="s">
        <v>2618</v>
      </c>
      <c r="Q133" s="120" t="s">
        <v>311</v>
      </c>
      <c r="R133" s="120" t="s">
        <v>407</v>
      </c>
      <c r="S133" s="120" t="s">
        <v>1218</v>
      </c>
      <c r="T133" s="122">
        <v>5.61</v>
      </c>
      <c r="U133" s="120" t="s">
        <v>2613</v>
      </c>
      <c r="V133" s="123">
        <v>3.4959999999999998E-2</v>
      </c>
      <c r="W133" s="120"/>
      <c r="X133" s="120"/>
      <c r="Y133" s="123"/>
      <c r="Z133" s="123">
        <v>5.3100000000000001E-2</v>
      </c>
      <c r="AA133" s="124">
        <v>48121</v>
      </c>
      <c r="AB133" s="120" t="s">
        <v>411</v>
      </c>
      <c r="AC133" s="120"/>
      <c r="AD133" s="122"/>
      <c r="AE133" s="123"/>
      <c r="AF133" s="124">
        <v>45170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45838</v>
      </c>
      <c r="AO133" s="120"/>
      <c r="AP133" s="123"/>
      <c r="AQ133" s="122">
        <v>13846000</v>
      </c>
      <c r="AR133" s="122">
        <v>90.92</v>
      </c>
      <c r="AS133" s="122">
        <v>1</v>
      </c>
      <c r="AT133" s="122">
        <v>12588.7832</v>
      </c>
      <c r="AU133" s="122">
        <v>12588.7832</v>
      </c>
      <c r="AV133" s="120"/>
      <c r="AW133" s="120"/>
      <c r="AX133" s="120"/>
      <c r="AY133" s="120"/>
      <c r="AZ133" s="123">
        <v>4.3839999999999999E-3</v>
      </c>
      <c r="BA133" s="123">
        <v>2.0900000000000001E-4</v>
      </c>
    </row>
    <row r="134" spans="1:53" ht="15" customHeight="1">
      <c r="A134" s="121">
        <v>313</v>
      </c>
      <c r="B134" s="121">
        <v>313</v>
      </c>
      <c r="C134" s="121"/>
      <c r="D134" s="120"/>
      <c r="E134" s="120"/>
      <c r="F134" s="121">
        <v>79100304</v>
      </c>
      <c r="G134" s="120" t="s">
        <v>1013</v>
      </c>
      <c r="H134" s="120" t="s">
        <v>818</v>
      </c>
      <c r="I134" s="120" t="s">
        <v>203</v>
      </c>
      <c r="J134" s="120"/>
      <c r="K134" s="120" t="s">
        <v>477</v>
      </c>
      <c r="L134" s="120" t="s">
        <v>338</v>
      </c>
      <c r="M134" s="120" t="s">
        <v>338</v>
      </c>
      <c r="N134" s="121"/>
      <c r="O134" s="124">
        <v>45657</v>
      </c>
      <c r="P134" s="120" t="s">
        <v>1335</v>
      </c>
      <c r="Q134" s="120" t="s">
        <v>414</v>
      </c>
      <c r="R134" s="120" t="s">
        <v>407</v>
      </c>
      <c r="S134" s="120" t="s">
        <v>1218</v>
      </c>
      <c r="T134" s="122">
        <v>2.35</v>
      </c>
      <c r="U134" s="120" t="s">
        <v>824</v>
      </c>
      <c r="V134" s="123">
        <v>0.06</v>
      </c>
      <c r="W134" s="120"/>
      <c r="X134" s="120"/>
      <c r="Y134" s="123"/>
      <c r="Z134" s="123">
        <v>5.4399999999999997E-2</v>
      </c>
      <c r="AA134" s="124">
        <v>46752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338</v>
      </c>
      <c r="AK134" s="120" t="s">
        <v>887</v>
      </c>
      <c r="AL134" s="120"/>
      <c r="AM134" s="120" t="s">
        <v>890</v>
      </c>
      <c r="AN134" s="124">
        <v>45838</v>
      </c>
      <c r="AO134" s="120"/>
      <c r="AP134" s="123"/>
      <c r="AQ134" s="122">
        <v>45770000</v>
      </c>
      <c r="AR134" s="122">
        <v>101.56</v>
      </c>
      <c r="AS134" s="122">
        <v>1</v>
      </c>
      <c r="AT134" s="122">
        <v>46484.012000000002</v>
      </c>
      <c r="AU134" s="122">
        <v>46484.012000000002</v>
      </c>
      <c r="AV134" s="120"/>
      <c r="AW134" s="120"/>
      <c r="AX134" s="120"/>
      <c r="AY134" s="120"/>
      <c r="AZ134" s="123">
        <v>1.6188999999999999E-2</v>
      </c>
      <c r="BA134" s="123">
        <v>7.7399999999999995E-4</v>
      </c>
    </row>
    <row r="135" spans="1:53" ht="15" customHeight="1">
      <c r="A135" s="121">
        <v>313</v>
      </c>
      <c r="B135" s="121">
        <v>313</v>
      </c>
      <c r="C135" s="121"/>
      <c r="D135" s="120"/>
      <c r="E135" s="120"/>
      <c r="F135" s="121">
        <v>79200101</v>
      </c>
      <c r="G135" s="120" t="s">
        <v>1013</v>
      </c>
      <c r="H135" s="120" t="s">
        <v>2617</v>
      </c>
      <c r="I135" s="120" t="s">
        <v>203</v>
      </c>
      <c r="J135" s="120"/>
      <c r="K135" s="120" t="s">
        <v>463</v>
      </c>
      <c r="L135" s="120" t="s">
        <v>338</v>
      </c>
      <c r="M135" s="120" t="s">
        <v>338</v>
      </c>
      <c r="N135" s="121"/>
      <c r="O135" s="124">
        <v>44581</v>
      </c>
      <c r="P135" s="120" t="s">
        <v>409</v>
      </c>
      <c r="Q135" s="120" t="s">
        <v>409</v>
      </c>
      <c r="R135" s="120" t="s">
        <v>409</v>
      </c>
      <c r="S135" s="120" t="s">
        <v>1218</v>
      </c>
      <c r="T135" s="122">
        <v>8.32</v>
      </c>
      <c r="U135" s="120" t="s">
        <v>2613</v>
      </c>
      <c r="V135" s="123">
        <v>2.5000000000000001E-2</v>
      </c>
      <c r="W135" s="120"/>
      <c r="X135" s="120"/>
      <c r="Y135" s="123"/>
      <c r="Z135" s="123">
        <v>4.0399999999999998E-2</v>
      </c>
      <c r="AA135" s="124">
        <v>51956</v>
      </c>
      <c r="AB135" s="120" t="s">
        <v>411</v>
      </c>
      <c r="AC135" s="120"/>
      <c r="AD135" s="122"/>
      <c r="AE135" s="123"/>
      <c r="AF135" s="124">
        <v>45200</v>
      </c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45838</v>
      </c>
      <c r="AO135" s="120"/>
      <c r="AP135" s="123"/>
      <c r="AQ135" s="122">
        <v>22281965.039999999</v>
      </c>
      <c r="AR135" s="122">
        <v>100.51</v>
      </c>
      <c r="AS135" s="122">
        <v>1</v>
      </c>
      <c r="AT135" s="122">
        <v>22395.603060000001</v>
      </c>
      <c r="AU135" s="122">
        <v>22395.603060000001</v>
      </c>
      <c r="AV135" s="120"/>
      <c r="AW135" s="120"/>
      <c r="AX135" s="120"/>
      <c r="AY135" s="120"/>
      <c r="AZ135" s="123">
        <v>7.7999999999999996E-3</v>
      </c>
      <c r="BA135" s="123">
        <v>3.7199999999999999E-4</v>
      </c>
    </row>
    <row r="136" spans="1:53" ht="15" customHeight="1">
      <c r="A136" s="121">
        <v>313</v>
      </c>
      <c r="B136" s="121">
        <v>313</v>
      </c>
      <c r="C136" s="121"/>
      <c r="D136" s="120"/>
      <c r="E136" s="120"/>
      <c r="F136" s="121">
        <v>80309</v>
      </c>
      <c r="G136" s="120" t="s">
        <v>1013</v>
      </c>
      <c r="H136" s="120" t="s">
        <v>812</v>
      </c>
      <c r="I136" s="120" t="s">
        <v>203</v>
      </c>
      <c r="J136" s="120"/>
      <c r="K136" s="120" t="s">
        <v>439</v>
      </c>
      <c r="L136" s="120" t="s">
        <v>338</v>
      </c>
      <c r="M136" s="120" t="s">
        <v>337</v>
      </c>
      <c r="N136" s="121"/>
      <c r="O136" s="124">
        <v>43341</v>
      </c>
      <c r="P136" s="120" t="s">
        <v>409</v>
      </c>
      <c r="Q136" s="120" t="s">
        <v>409</v>
      </c>
      <c r="R136" s="120" t="s">
        <v>409</v>
      </c>
      <c r="S136" s="120" t="s">
        <v>1218</v>
      </c>
      <c r="T136" s="122">
        <v>5.62</v>
      </c>
      <c r="U136" s="120" t="s">
        <v>2613</v>
      </c>
      <c r="V136" s="123">
        <v>4.4999999999999998E-2</v>
      </c>
      <c r="W136" s="120"/>
      <c r="X136" s="120"/>
      <c r="Y136" s="123"/>
      <c r="Z136" s="123">
        <v>4.8300000000000003E-2</v>
      </c>
      <c r="AA136" s="124">
        <v>50399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45838</v>
      </c>
      <c r="AO136" s="120"/>
      <c r="AP136" s="123"/>
      <c r="AQ136" s="122">
        <v>1104261.6000000001</v>
      </c>
      <c r="AR136" s="122">
        <v>115.39</v>
      </c>
      <c r="AS136" s="122">
        <v>1</v>
      </c>
      <c r="AT136" s="122">
        <v>1274.2074600000001</v>
      </c>
      <c r="AU136" s="122">
        <v>1274.2074600000001</v>
      </c>
      <c r="AV136" s="120"/>
      <c r="AW136" s="120"/>
      <c r="AX136" s="120"/>
      <c r="AY136" s="120"/>
      <c r="AZ136" s="123">
        <v>4.4299999999999998E-4</v>
      </c>
      <c r="BA136" s="123">
        <v>2.0999999999999999E-5</v>
      </c>
    </row>
    <row r="137" spans="1:53" ht="15" customHeight="1">
      <c r="A137" s="121">
        <v>313</v>
      </c>
      <c r="B137" s="121">
        <v>313</v>
      </c>
      <c r="C137" s="121"/>
      <c r="D137" s="120"/>
      <c r="E137" s="120"/>
      <c r="F137" s="121">
        <v>80507</v>
      </c>
      <c r="G137" s="120" t="s">
        <v>1013</v>
      </c>
      <c r="H137" s="120" t="s">
        <v>812</v>
      </c>
      <c r="I137" s="120" t="s">
        <v>203</v>
      </c>
      <c r="J137" s="120"/>
      <c r="K137" s="120" t="s">
        <v>439</v>
      </c>
      <c r="L137" s="120" t="s">
        <v>338</v>
      </c>
      <c r="M137" s="120" t="s">
        <v>337</v>
      </c>
      <c r="N137" s="121"/>
      <c r="O137" s="124">
        <v>42151</v>
      </c>
      <c r="P137" s="120" t="s">
        <v>409</v>
      </c>
      <c r="Q137" s="120" t="s">
        <v>409</v>
      </c>
      <c r="R137" s="120" t="s">
        <v>409</v>
      </c>
      <c r="S137" s="120" t="s">
        <v>1218</v>
      </c>
      <c r="T137" s="122">
        <v>5.59</v>
      </c>
      <c r="U137" s="120" t="s">
        <v>2613</v>
      </c>
      <c r="V137" s="123">
        <v>4.4999999999999998E-2</v>
      </c>
      <c r="W137" s="120"/>
      <c r="X137" s="120"/>
      <c r="Y137" s="123"/>
      <c r="Z137" s="123">
        <v>5.0900000000000001E-2</v>
      </c>
      <c r="AA137" s="124">
        <v>50399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45838</v>
      </c>
      <c r="AO137" s="120"/>
      <c r="AP137" s="123"/>
      <c r="AQ137" s="122">
        <v>4269235.68</v>
      </c>
      <c r="AR137" s="122">
        <v>114.7</v>
      </c>
      <c r="AS137" s="122">
        <v>1</v>
      </c>
      <c r="AT137" s="122">
        <v>4896.8133200000002</v>
      </c>
      <c r="AU137" s="122">
        <v>4896.8133200000002</v>
      </c>
      <c r="AV137" s="120"/>
      <c r="AW137" s="120"/>
      <c r="AX137" s="120"/>
      <c r="AY137" s="120"/>
      <c r="AZ137" s="123">
        <v>1.7049999999999999E-3</v>
      </c>
      <c r="BA137" s="123">
        <v>8.1000000000000004E-5</v>
      </c>
    </row>
    <row r="138" spans="1:53" ht="15" customHeight="1">
      <c r="A138" s="121">
        <v>313</v>
      </c>
      <c r="B138" s="121">
        <v>313</v>
      </c>
      <c r="C138" s="121"/>
      <c r="D138" s="120"/>
      <c r="E138" s="120"/>
      <c r="F138" s="121">
        <v>80556</v>
      </c>
      <c r="G138" s="120" t="s">
        <v>1013</v>
      </c>
      <c r="H138" s="120" t="s">
        <v>812</v>
      </c>
      <c r="I138" s="120" t="s">
        <v>203</v>
      </c>
      <c r="J138" s="120"/>
      <c r="K138" s="120" t="s">
        <v>439</v>
      </c>
      <c r="L138" s="120" t="s">
        <v>338</v>
      </c>
      <c r="M138" s="120" t="s">
        <v>337</v>
      </c>
      <c r="N138" s="121"/>
      <c r="O138" s="124">
        <v>42166</v>
      </c>
      <c r="P138" s="120" t="s">
        <v>409</v>
      </c>
      <c r="Q138" s="120" t="s">
        <v>409</v>
      </c>
      <c r="R138" s="120" t="s">
        <v>409</v>
      </c>
      <c r="S138" s="120" t="s">
        <v>1218</v>
      </c>
      <c r="T138" s="122">
        <v>5.59</v>
      </c>
      <c r="U138" s="120" t="s">
        <v>2613</v>
      </c>
      <c r="V138" s="123">
        <v>4.4999999999999998E-2</v>
      </c>
      <c r="W138" s="120"/>
      <c r="X138" s="120"/>
      <c r="Y138" s="123"/>
      <c r="Z138" s="123">
        <v>5.0900000000000001E-2</v>
      </c>
      <c r="AA138" s="124">
        <v>50399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45838</v>
      </c>
      <c r="AO138" s="120"/>
      <c r="AP138" s="123"/>
      <c r="AQ138" s="122">
        <v>4016881.21</v>
      </c>
      <c r="AR138" s="122">
        <v>114.7</v>
      </c>
      <c r="AS138" s="122">
        <v>1</v>
      </c>
      <c r="AT138" s="122">
        <v>4607.3627500000002</v>
      </c>
      <c r="AU138" s="122">
        <v>4607.3627500000002</v>
      </c>
      <c r="AV138" s="120"/>
      <c r="AW138" s="120"/>
      <c r="AX138" s="120"/>
      <c r="AY138" s="120"/>
      <c r="AZ138" s="123">
        <v>1.604E-3</v>
      </c>
      <c r="BA138" s="123">
        <v>7.6000000000000004E-5</v>
      </c>
    </row>
    <row r="139" spans="1:53" ht="15" customHeight="1">
      <c r="A139" s="121">
        <v>313</v>
      </c>
      <c r="B139" s="121">
        <v>313</v>
      </c>
      <c r="C139" s="121"/>
      <c r="D139" s="120"/>
      <c r="E139" s="120"/>
      <c r="F139" s="121">
        <v>80572</v>
      </c>
      <c r="G139" s="120" t="s">
        <v>1013</v>
      </c>
      <c r="H139" s="120" t="s">
        <v>812</v>
      </c>
      <c r="I139" s="120" t="s">
        <v>203</v>
      </c>
      <c r="J139" s="120"/>
      <c r="K139" s="120" t="s">
        <v>439</v>
      </c>
      <c r="L139" s="120" t="s">
        <v>338</v>
      </c>
      <c r="M139" s="120" t="s">
        <v>337</v>
      </c>
      <c r="N139" s="121"/>
      <c r="O139" s="124">
        <v>42257</v>
      </c>
      <c r="P139" s="120" t="s">
        <v>409</v>
      </c>
      <c r="Q139" s="120" t="s">
        <v>409</v>
      </c>
      <c r="R139" s="120" t="s">
        <v>409</v>
      </c>
      <c r="S139" s="120" t="s">
        <v>1218</v>
      </c>
      <c r="T139" s="122">
        <v>5.59</v>
      </c>
      <c r="U139" s="120" t="s">
        <v>2613</v>
      </c>
      <c r="V139" s="123">
        <v>4.4999999999999998E-2</v>
      </c>
      <c r="W139" s="120"/>
      <c r="X139" s="120"/>
      <c r="Y139" s="123"/>
      <c r="Z139" s="123">
        <v>5.0900000000000001E-2</v>
      </c>
      <c r="AA139" s="124">
        <v>50399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337</v>
      </c>
      <c r="AK139" s="120" t="s">
        <v>887</v>
      </c>
      <c r="AL139" s="120"/>
      <c r="AM139" s="120" t="s">
        <v>890</v>
      </c>
      <c r="AN139" s="124">
        <v>45838</v>
      </c>
      <c r="AO139" s="120"/>
      <c r="AP139" s="123"/>
      <c r="AQ139" s="122">
        <v>2134586.38</v>
      </c>
      <c r="AR139" s="122">
        <v>113.9</v>
      </c>
      <c r="AS139" s="122">
        <v>1</v>
      </c>
      <c r="AT139" s="122">
        <v>2431.2938899999999</v>
      </c>
      <c r="AU139" s="122">
        <v>2431.2938899999999</v>
      </c>
      <c r="AV139" s="120"/>
      <c r="AW139" s="120"/>
      <c r="AX139" s="120"/>
      <c r="AY139" s="120"/>
      <c r="AZ139" s="123">
        <v>8.4599999999999996E-4</v>
      </c>
      <c r="BA139" s="123">
        <v>4.0000000000000003E-5</v>
      </c>
    </row>
    <row r="140" spans="1:53" ht="15" customHeight="1">
      <c r="A140" s="121">
        <v>313</v>
      </c>
      <c r="B140" s="121">
        <v>313</v>
      </c>
      <c r="C140" s="121"/>
      <c r="D140" s="120"/>
      <c r="E140" s="120"/>
      <c r="F140" s="121">
        <v>80630</v>
      </c>
      <c r="G140" s="120" t="s">
        <v>1013</v>
      </c>
      <c r="H140" s="120" t="s">
        <v>812</v>
      </c>
      <c r="I140" s="120" t="s">
        <v>203</v>
      </c>
      <c r="J140" s="120"/>
      <c r="K140" s="120" t="s">
        <v>439</v>
      </c>
      <c r="L140" s="120" t="s">
        <v>338</v>
      </c>
      <c r="M140" s="120" t="s">
        <v>337</v>
      </c>
      <c r="N140" s="121"/>
      <c r="O140" s="124">
        <v>42348</v>
      </c>
      <c r="P140" s="120" t="s">
        <v>409</v>
      </c>
      <c r="Q140" s="120" t="s">
        <v>409</v>
      </c>
      <c r="R140" s="120" t="s">
        <v>409</v>
      </c>
      <c r="S140" s="120" t="s">
        <v>1218</v>
      </c>
      <c r="T140" s="122">
        <v>5.59</v>
      </c>
      <c r="U140" s="120" t="s">
        <v>2613</v>
      </c>
      <c r="V140" s="123">
        <v>4.4999999999999998E-2</v>
      </c>
      <c r="W140" s="120"/>
      <c r="X140" s="120"/>
      <c r="Y140" s="123"/>
      <c r="Z140" s="123">
        <v>5.0900000000000001E-2</v>
      </c>
      <c r="AA140" s="124">
        <v>50399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45838</v>
      </c>
      <c r="AO140" s="120"/>
      <c r="AP140" s="123"/>
      <c r="AQ140" s="122">
        <v>3696440.79</v>
      </c>
      <c r="AR140" s="122">
        <v>114.47</v>
      </c>
      <c r="AS140" s="122">
        <v>1</v>
      </c>
      <c r="AT140" s="122">
        <v>4231.3157700000002</v>
      </c>
      <c r="AU140" s="122">
        <v>4231.3157700000002</v>
      </c>
      <c r="AV140" s="120"/>
      <c r="AW140" s="120"/>
      <c r="AX140" s="120"/>
      <c r="AY140" s="120"/>
      <c r="AZ140" s="123">
        <v>1.4729999999999999E-3</v>
      </c>
      <c r="BA140" s="123">
        <v>6.9999999999999994E-5</v>
      </c>
    </row>
    <row r="141" spans="1:53" ht="15" customHeight="1">
      <c r="A141" s="121">
        <v>313</v>
      </c>
      <c r="B141" s="121">
        <v>313</v>
      </c>
      <c r="C141" s="121"/>
      <c r="D141" s="120"/>
      <c r="E141" s="120"/>
      <c r="F141" s="121">
        <v>80655</v>
      </c>
      <c r="G141" s="120" t="s">
        <v>1013</v>
      </c>
      <c r="H141" s="120" t="s">
        <v>812</v>
      </c>
      <c r="I141" s="120" t="s">
        <v>203</v>
      </c>
      <c r="J141" s="120"/>
      <c r="K141" s="120" t="s">
        <v>439</v>
      </c>
      <c r="L141" s="120" t="s">
        <v>338</v>
      </c>
      <c r="M141" s="120" t="s">
        <v>337</v>
      </c>
      <c r="N141" s="121"/>
      <c r="O141" s="124">
        <v>42439</v>
      </c>
      <c r="P141" s="120" t="s">
        <v>409</v>
      </c>
      <c r="Q141" s="120" t="s">
        <v>409</v>
      </c>
      <c r="R141" s="120" t="s">
        <v>409</v>
      </c>
      <c r="S141" s="120" t="s">
        <v>1218</v>
      </c>
      <c r="T141" s="122">
        <v>5.59</v>
      </c>
      <c r="U141" s="120" t="s">
        <v>2613</v>
      </c>
      <c r="V141" s="123">
        <v>4.4999999999999998E-2</v>
      </c>
      <c r="W141" s="120"/>
      <c r="X141" s="120"/>
      <c r="Y141" s="123"/>
      <c r="Z141" s="123">
        <v>5.0900000000000001E-2</v>
      </c>
      <c r="AA141" s="124">
        <v>50399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45838</v>
      </c>
      <c r="AO141" s="120"/>
      <c r="AP141" s="123"/>
      <c r="AQ141" s="122">
        <v>4390204.75</v>
      </c>
      <c r="AR141" s="122">
        <v>115.62</v>
      </c>
      <c r="AS141" s="122">
        <v>1</v>
      </c>
      <c r="AT141" s="122">
        <v>5075.9547300000004</v>
      </c>
      <c r="AU141" s="122">
        <v>5075.9547300000004</v>
      </c>
      <c r="AV141" s="120"/>
      <c r="AW141" s="120"/>
      <c r="AX141" s="120"/>
      <c r="AY141" s="120"/>
      <c r="AZ141" s="123">
        <v>1.7669999999999999E-3</v>
      </c>
      <c r="BA141" s="123">
        <v>8.3999999999999995E-5</v>
      </c>
    </row>
    <row r="142" spans="1:53" ht="15" customHeight="1">
      <c r="A142" s="121">
        <v>313</v>
      </c>
      <c r="B142" s="121">
        <v>313</v>
      </c>
      <c r="C142" s="121"/>
      <c r="D142" s="120"/>
      <c r="E142" s="120"/>
      <c r="F142" s="121">
        <v>80689</v>
      </c>
      <c r="G142" s="120" t="s">
        <v>1013</v>
      </c>
      <c r="H142" s="120" t="s">
        <v>812</v>
      </c>
      <c r="I142" s="120" t="s">
        <v>203</v>
      </c>
      <c r="J142" s="120"/>
      <c r="K142" s="120" t="s">
        <v>439</v>
      </c>
      <c r="L142" s="120" t="s">
        <v>338</v>
      </c>
      <c r="M142" s="120" t="s">
        <v>337</v>
      </c>
      <c r="N142" s="121"/>
      <c r="O142" s="124">
        <v>42549</v>
      </c>
      <c r="P142" s="120" t="s">
        <v>409</v>
      </c>
      <c r="Q142" s="120" t="s">
        <v>409</v>
      </c>
      <c r="R142" s="120" t="s">
        <v>409</v>
      </c>
      <c r="S142" s="120" t="s">
        <v>1218</v>
      </c>
      <c r="T142" s="122">
        <v>5.59</v>
      </c>
      <c r="U142" s="120" t="s">
        <v>2613</v>
      </c>
      <c r="V142" s="123">
        <v>4.4999999999999998E-2</v>
      </c>
      <c r="W142" s="120"/>
      <c r="X142" s="120"/>
      <c r="Y142" s="123"/>
      <c r="Z142" s="123">
        <v>5.04E-2</v>
      </c>
      <c r="AA142" s="124">
        <v>50399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45838</v>
      </c>
      <c r="AO142" s="120"/>
      <c r="AP142" s="123"/>
      <c r="AQ142" s="122">
        <v>3088019.55</v>
      </c>
      <c r="AR142" s="122">
        <v>115.71</v>
      </c>
      <c r="AS142" s="122">
        <v>1</v>
      </c>
      <c r="AT142" s="122">
        <v>3573.1474199999998</v>
      </c>
      <c r="AU142" s="122">
        <v>3573.1474199999998</v>
      </c>
      <c r="AV142" s="120"/>
      <c r="AW142" s="120"/>
      <c r="AX142" s="120"/>
      <c r="AY142" s="120"/>
      <c r="AZ142" s="123">
        <v>1.2440000000000001E-3</v>
      </c>
      <c r="BA142" s="123">
        <v>5.8999999999999998E-5</v>
      </c>
    </row>
    <row r="143" spans="1:53" ht="15" customHeight="1">
      <c r="A143" s="121">
        <v>313</v>
      </c>
      <c r="B143" s="121">
        <v>313</v>
      </c>
      <c r="C143" s="121"/>
      <c r="D143" s="120"/>
      <c r="E143" s="120"/>
      <c r="F143" s="121">
        <v>80697</v>
      </c>
      <c r="G143" s="120" t="s">
        <v>1013</v>
      </c>
      <c r="H143" s="120" t="s">
        <v>812</v>
      </c>
      <c r="I143" s="120" t="s">
        <v>203</v>
      </c>
      <c r="J143" s="120"/>
      <c r="K143" s="120" t="s">
        <v>439</v>
      </c>
      <c r="L143" s="120" t="s">
        <v>338</v>
      </c>
      <c r="M143" s="120" t="s">
        <v>337</v>
      </c>
      <c r="N143" s="121"/>
      <c r="O143" s="124">
        <v>42604</v>
      </c>
      <c r="P143" s="120" t="s">
        <v>409</v>
      </c>
      <c r="Q143" s="120" t="s">
        <v>409</v>
      </c>
      <c r="R143" s="120" t="s">
        <v>409</v>
      </c>
      <c r="S143" s="120" t="s">
        <v>1218</v>
      </c>
      <c r="T143" s="122">
        <v>5.59</v>
      </c>
      <c r="U143" s="120" t="s">
        <v>2613</v>
      </c>
      <c r="V143" s="123">
        <v>4.4999999999999998E-2</v>
      </c>
      <c r="W143" s="120"/>
      <c r="X143" s="120"/>
      <c r="Y143" s="123"/>
      <c r="Z143" s="123">
        <v>5.0900000000000001E-2</v>
      </c>
      <c r="AA143" s="124">
        <v>50399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45838</v>
      </c>
      <c r="AO143" s="120"/>
      <c r="AP143" s="123"/>
      <c r="AQ143" s="122">
        <v>4038122.47</v>
      </c>
      <c r="AR143" s="122">
        <v>114.58</v>
      </c>
      <c r="AS143" s="122">
        <v>1</v>
      </c>
      <c r="AT143" s="122">
        <v>4626.8807299999999</v>
      </c>
      <c r="AU143" s="122">
        <v>4626.8807299999999</v>
      </c>
      <c r="AV143" s="120"/>
      <c r="AW143" s="120"/>
      <c r="AX143" s="120"/>
      <c r="AY143" s="120"/>
      <c r="AZ143" s="123">
        <v>1.611E-3</v>
      </c>
      <c r="BA143" s="123">
        <v>7.7000000000000001E-5</v>
      </c>
    </row>
    <row r="144" spans="1:53" ht="15" customHeight="1">
      <c r="A144" s="121">
        <v>313</v>
      </c>
      <c r="B144" s="121">
        <v>313</v>
      </c>
      <c r="C144" s="121"/>
      <c r="D144" s="120"/>
      <c r="E144" s="120"/>
      <c r="F144" s="121">
        <v>79004001</v>
      </c>
      <c r="G144" s="120" t="s">
        <v>1013</v>
      </c>
      <c r="H144" s="120" t="s">
        <v>2620</v>
      </c>
      <c r="I144" s="120" t="s">
        <v>203</v>
      </c>
      <c r="J144" s="120"/>
      <c r="K144" s="120" t="s">
        <v>463</v>
      </c>
      <c r="L144" s="120" t="s">
        <v>338</v>
      </c>
      <c r="M144" s="120" t="s">
        <v>337</v>
      </c>
      <c r="N144" s="121"/>
      <c r="O144" s="124">
        <v>44441</v>
      </c>
      <c r="P144" s="120" t="s">
        <v>2618</v>
      </c>
      <c r="Q144" s="120" t="s">
        <v>311</v>
      </c>
      <c r="R144" s="120" t="s">
        <v>407</v>
      </c>
      <c r="S144" s="120" t="s">
        <v>1218</v>
      </c>
      <c r="T144" s="122">
        <v>3.08</v>
      </c>
      <c r="U144" s="120" t="s">
        <v>2613</v>
      </c>
      <c r="V144" s="123">
        <v>3.4959999999999998E-2</v>
      </c>
      <c r="W144" s="120"/>
      <c r="X144" s="120"/>
      <c r="Y144" s="123"/>
      <c r="Z144" s="123">
        <v>5.4600000000000003E-2</v>
      </c>
      <c r="AA144" s="124">
        <v>48121</v>
      </c>
      <c r="AB144" s="120" t="s">
        <v>411</v>
      </c>
      <c r="AC144" s="120"/>
      <c r="AD144" s="122"/>
      <c r="AE144" s="123"/>
      <c r="AF144" s="124">
        <v>45170</v>
      </c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45838</v>
      </c>
      <c r="AO144" s="120"/>
      <c r="AP144" s="123"/>
      <c r="AQ144" s="122">
        <v>7226475.4699999997</v>
      </c>
      <c r="AR144" s="122">
        <v>94.43</v>
      </c>
      <c r="AS144" s="122">
        <v>1</v>
      </c>
      <c r="AT144" s="122">
        <v>6823.9607900000001</v>
      </c>
      <c r="AU144" s="122">
        <v>6823.9607900000001</v>
      </c>
      <c r="AV144" s="120"/>
      <c r="AW144" s="120"/>
      <c r="AX144" s="120"/>
      <c r="AY144" s="120"/>
      <c r="AZ144" s="123">
        <v>2.3760000000000001E-3</v>
      </c>
      <c r="BA144" s="123">
        <v>1.13E-4</v>
      </c>
    </row>
    <row r="145" spans="1:53" ht="15" customHeight="1">
      <c r="A145" s="121">
        <v>313</v>
      </c>
      <c r="B145" s="121">
        <v>313</v>
      </c>
      <c r="C145" s="121"/>
      <c r="D145" s="120"/>
      <c r="E145" s="120"/>
      <c r="F145" s="121">
        <v>78910006</v>
      </c>
      <c r="G145" s="120" t="s">
        <v>1013</v>
      </c>
      <c r="H145" s="120" t="s">
        <v>2617</v>
      </c>
      <c r="I145" s="120" t="s">
        <v>203</v>
      </c>
      <c r="J145" s="120"/>
      <c r="K145" s="120" t="s">
        <v>463</v>
      </c>
      <c r="L145" s="120" t="s">
        <v>338</v>
      </c>
      <c r="M145" s="120" t="s">
        <v>338</v>
      </c>
      <c r="N145" s="121"/>
      <c r="O145" s="124">
        <v>45833</v>
      </c>
      <c r="P145" s="120" t="s">
        <v>2621</v>
      </c>
      <c r="Q145" s="120" t="s">
        <v>414</v>
      </c>
      <c r="R145" s="120" t="s">
        <v>407</v>
      </c>
      <c r="S145" s="120" t="s">
        <v>1218</v>
      </c>
      <c r="T145" s="122">
        <v>10.88</v>
      </c>
      <c r="U145" s="120" t="s">
        <v>2613</v>
      </c>
      <c r="V145" s="123">
        <v>5.2958999999999999E-2</v>
      </c>
      <c r="W145" s="120"/>
      <c r="X145" s="120"/>
      <c r="Y145" s="123"/>
      <c r="Z145" s="123">
        <v>5.2200000000000003E-2</v>
      </c>
      <c r="AA145" s="124">
        <v>55212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338</v>
      </c>
      <c r="AK145" s="120" t="s">
        <v>887</v>
      </c>
      <c r="AL145" s="120"/>
      <c r="AM145" s="120" t="s">
        <v>890</v>
      </c>
      <c r="AN145" s="124">
        <v>45838</v>
      </c>
      <c r="AO145" s="120"/>
      <c r="AP145" s="123"/>
      <c r="AQ145" s="122">
        <v>109815</v>
      </c>
      <c r="AR145" s="122">
        <v>101.91</v>
      </c>
      <c r="AS145" s="122">
        <v>1</v>
      </c>
      <c r="AT145" s="122">
        <v>111.91247</v>
      </c>
      <c r="AU145" s="122">
        <v>111.91247</v>
      </c>
      <c r="AV145" s="120"/>
      <c r="AW145" s="120"/>
      <c r="AX145" s="120"/>
      <c r="AY145" s="120"/>
      <c r="AZ145" s="123">
        <v>3.8000000000000002E-5</v>
      </c>
      <c r="BA145" s="123">
        <v>9.9999999999999995E-7</v>
      </c>
    </row>
    <row r="146" spans="1:53" ht="15" customHeight="1">
      <c r="A146" s="121">
        <v>313</v>
      </c>
      <c r="B146" s="121">
        <v>313</v>
      </c>
      <c r="C146" s="121"/>
      <c r="D146" s="120"/>
      <c r="E146" s="120"/>
      <c r="F146" s="121">
        <v>78910005</v>
      </c>
      <c r="G146" s="120" t="s">
        <v>1013</v>
      </c>
      <c r="H146" s="120" t="s">
        <v>2617</v>
      </c>
      <c r="I146" s="120" t="s">
        <v>203</v>
      </c>
      <c r="J146" s="120"/>
      <c r="K146" s="120" t="s">
        <v>463</v>
      </c>
      <c r="L146" s="120" t="s">
        <v>338</v>
      </c>
      <c r="M146" s="120" t="s">
        <v>338</v>
      </c>
      <c r="N146" s="121"/>
      <c r="O146" s="124">
        <v>45791</v>
      </c>
      <c r="P146" s="120" t="s">
        <v>2621</v>
      </c>
      <c r="Q146" s="120" t="s">
        <v>414</v>
      </c>
      <c r="R146" s="120" t="s">
        <v>407</v>
      </c>
      <c r="S146" s="120" t="s">
        <v>1218</v>
      </c>
      <c r="T146" s="122">
        <v>10.95</v>
      </c>
      <c r="U146" s="120" t="s">
        <v>2613</v>
      </c>
      <c r="V146" s="123">
        <v>5.296E-2</v>
      </c>
      <c r="W146" s="120"/>
      <c r="X146" s="120"/>
      <c r="Y146" s="123"/>
      <c r="Z146" s="123">
        <v>5.0900000000000001E-2</v>
      </c>
      <c r="AA146" s="124">
        <v>55212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338</v>
      </c>
      <c r="AK146" s="120" t="s">
        <v>887</v>
      </c>
      <c r="AL146" s="120"/>
      <c r="AM146" s="120" t="s">
        <v>890</v>
      </c>
      <c r="AN146" s="124">
        <v>45838</v>
      </c>
      <c r="AO146" s="120"/>
      <c r="AP146" s="123"/>
      <c r="AQ146" s="122">
        <v>1527604.19</v>
      </c>
      <c r="AR146" s="122">
        <v>104.14</v>
      </c>
      <c r="AS146" s="122">
        <v>1</v>
      </c>
      <c r="AT146" s="122">
        <v>1590.847</v>
      </c>
      <c r="AU146" s="122">
        <v>1590.847</v>
      </c>
      <c r="AV146" s="120"/>
      <c r="AW146" s="120"/>
      <c r="AX146" s="120"/>
      <c r="AY146" s="120"/>
      <c r="AZ146" s="123">
        <v>5.5400000000000002E-4</v>
      </c>
      <c r="BA146" s="123">
        <v>2.5999999999999998E-5</v>
      </c>
    </row>
    <row r="147" spans="1:53" ht="15" customHeight="1">
      <c r="A147" s="121">
        <v>313</v>
      </c>
      <c r="B147" s="121">
        <v>313</v>
      </c>
      <c r="C147" s="121"/>
      <c r="D147" s="120"/>
      <c r="E147" s="120"/>
      <c r="F147" s="121">
        <v>78910004</v>
      </c>
      <c r="G147" s="120" t="s">
        <v>1013</v>
      </c>
      <c r="H147" s="120" t="s">
        <v>2617</v>
      </c>
      <c r="I147" s="120" t="s">
        <v>203</v>
      </c>
      <c r="J147" s="120"/>
      <c r="K147" s="120" t="s">
        <v>463</v>
      </c>
      <c r="L147" s="120" t="s">
        <v>338</v>
      </c>
      <c r="M147" s="120" t="s">
        <v>338</v>
      </c>
      <c r="N147" s="121"/>
      <c r="O147" s="124">
        <v>45741</v>
      </c>
      <c r="P147" s="120" t="s">
        <v>2621</v>
      </c>
      <c r="Q147" s="120" t="s">
        <v>414</v>
      </c>
      <c r="R147" s="120" t="s">
        <v>407</v>
      </c>
      <c r="S147" s="120" t="s">
        <v>1218</v>
      </c>
      <c r="T147" s="122">
        <v>11.03</v>
      </c>
      <c r="U147" s="120" t="s">
        <v>2613</v>
      </c>
      <c r="V147" s="123">
        <v>5.2549999999999999E-2</v>
      </c>
      <c r="W147" s="120"/>
      <c r="X147" s="120"/>
      <c r="Y147" s="123"/>
      <c r="Z147" s="123">
        <v>4.9500000000000002E-2</v>
      </c>
      <c r="AA147" s="124">
        <v>55212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338</v>
      </c>
      <c r="AK147" s="120" t="s">
        <v>887</v>
      </c>
      <c r="AL147" s="120"/>
      <c r="AM147" s="120" t="s">
        <v>890</v>
      </c>
      <c r="AN147" s="124">
        <v>45838</v>
      </c>
      <c r="AO147" s="120"/>
      <c r="AP147" s="123"/>
      <c r="AQ147" s="122">
        <v>6601521</v>
      </c>
      <c r="AR147" s="122">
        <v>105.71</v>
      </c>
      <c r="AS147" s="122">
        <v>1</v>
      </c>
      <c r="AT147" s="122">
        <v>6978.46785</v>
      </c>
      <c r="AU147" s="122">
        <v>6978.46785</v>
      </c>
      <c r="AV147" s="120"/>
      <c r="AW147" s="120"/>
      <c r="AX147" s="120"/>
      <c r="AY147" s="120"/>
      <c r="AZ147" s="123">
        <v>2.4299999999999999E-3</v>
      </c>
      <c r="BA147" s="123">
        <v>1.16E-4</v>
      </c>
    </row>
    <row r="148" spans="1:53" ht="15" customHeight="1">
      <c r="A148" s="121">
        <v>313</v>
      </c>
      <c r="B148" s="121">
        <v>313</v>
      </c>
      <c r="C148" s="121"/>
      <c r="D148" s="120"/>
      <c r="E148" s="120"/>
      <c r="F148" s="121">
        <v>78900001</v>
      </c>
      <c r="G148" s="120" t="s">
        <v>1013</v>
      </c>
      <c r="H148" s="120" t="s">
        <v>785</v>
      </c>
      <c r="I148" s="120" t="s">
        <v>203</v>
      </c>
      <c r="J148" s="120"/>
      <c r="K148" s="120" t="s">
        <v>446</v>
      </c>
      <c r="L148" s="120" t="s">
        <v>338</v>
      </c>
      <c r="M148" s="120" t="s">
        <v>337</v>
      </c>
      <c r="N148" s="121"/>
      <c r="O148" s="124">
        <v>45330</v>
      </c>
      <c r="P148" s="120" t="s">
        <v>1304</v>
      </c>
      <c r="Q148" s="120" t="s">
        <v>414</v>
      </c>
      <c r="R148" s="120" t="s">
        <v>407</v>
      </c>
      <c r="S148" s="120" t="s">
        <v>1218</v>
      </c>
      <c r="T148" s="122">
        <v>0.89</v>
      </c>
      <c r="U148" s="120" t="s">
        <v>824</v>
      </c>
      <c r="V148" s="123">
        <v>6.6000000000000003E-2</v>
      </c>
      <c r="W148" s="120"/>
      <c r="X148" s="120"/>
      <c r="Y148" s="123"/>
      <c r="Z148" s="123">
        <v>1E-4</v>
      </c>
      <c r="AA148" s="124">
        <v>46198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45838</v>
      </c>
      <c r="AO148" s="120"/>
      <c r="AP148" s="123"/>
      <c r="AQ148" s="122">
        <v>31828832.350000001</v>
      </c>
      <c r="AR148" s="122">
        <v>106.07</v>
      </c>
      <c r="AS148" s="122">
        <v>1</v>
      </c>
      <c r="AT148" s="122">
        <v>33760.842470000003</v>
      </c>
      <c r="AU148" s="122">
        <v>33760.842470000003</v>
      </c>
      <c r="AV148" s="120"/>
      <c r="AW148" s="120"/>
      <c r="AX148" s="120"/>
      <c r="AY148" s="120"/>
      <c r="AZ148" s="123">
        <v>1.1757999999999999E-2</v>
      </c>
      <c r="BA148" s="123">
        <v>5.62E-4</v>
      </c>
    </row>
    <row r="149" spans="1:53" ht="15" customHeight="1">
      <c r="A149" s="121">
        <v>313</v>
      </c>
      <c r="B149" s="121">
        <v>313</v>
      </c>
      <c r="C149" s="121"/>
      <c r="D149" s="120"/>
      <c r="E149" s="120"/>
      <c r="F149" s="121">
        <v>78900002</v>
      </c>
      <c r="G149" s="120" t="s">
        <v>1013</v>
      </c>
      <c r="H149" s="120" t="s">
        <v>785</v>
      </c>
      <c r="I149" s="120" t="s">
        <v>203</v>
      </c>
      <c r="J149" s="120"/>
      <c r="K149" s="120" t="s">
        <v>446</v>
      </c>
      <c r="L149" s="120" t="s">
        <v>338</v>
      </c>
      <c r="M149" s="120" t="s">
        <v>337</v>
      </c>
      <c r="N149" s="121"/>
      <c r="O149" s="124">
        <v>45441</v>
      </c>
      <c r="P149" s="120" t="s">
        <v>1304</v>
      </c>
      <c r="Q149" s="120" t="s">
        <v>414</v>
      </c>
      <c r="R149" s="120" t="s">
        <v>407</v>
      </c>
      <c r="S149" s="120" t="s">
        <v>1218</v>
      </c>
      <c r="T149" s="122">
        <v>0.89</v>
      </c>
      <c r="U149" s="120" t="s">
        <v>824</v>
      </c>
      <c r="V149" s="123">
        <v>6.6000000000000003E-2</v>
      </c>
      <c r="W149" s="120"/>
      <c r="X149" s="120"/>
      <c r="Y149" s="123"/>
      <c r="Z149" s="123">
        <v>1.1000000000000001E-3</v>
      </c>
      <c r="AA149" s="124">
        <v>46198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45838</v>
      </c>
      <c r="AO149" s="120"/>
      <c r="AP149" s="123"/>
      <c r="AQ149" s="122">
        <v>6624774.9100000001</v>
      </c>
      <c r="AR149" s="122">
        <v>105.98</v>
      </c>
      <c r="AS149" s="122">
        <v>1</v>
      </c>
      <c r="AT149" s="122">
        <v>7020.9364500000001</v>
      </c>
      <c r="AU149" s="122">
        <v>7020.9364500000001</v>
      </c>
      <c r="AV149" s="120"/>
      <c r="AW149" s="120"/>
      <c r="AX149" s="120"/>
      <c r="AY149" s="120"/>
      <c r="AZ149" s="123">
        <v>2.4450000000000001E-3</v>
      </c>
      <c r="BA149" s="123">
        <v>1.16E-4</v>
      </c>
    </row>
    <row r="150" spans="1:53" ht="15" customHeight="1">
      <c r="A150" s="121">
        <v>313</v>
      </c>
      <c r="B150" s="121">
        <v>313</v>
      </c>
      <c r="C150" s="121"/>
      <c r="D150" s="120"/>
      <c r="E150" s="120"/>
      <c r="F150" s="121">
        <v>78900003</v>
      </c>
      <c r="G150" s="120" t="s">
        <v>1013</v>
      </c>
      <c r="H150" s="120" t="s">
        <v>785</v>
      </c>
      <c r="I150" s="120" t="s">
        <v>203</v>
      </c>
      <c r="J150" s="120"/>
      <c r="K150" s="120" t="s">
        <v>446</v>
      </c>
      <c r="L150" s="120" t="s">
        <v>338</v>
      </c>
      <c r="M150" s="120" t="s">
        <v>337</v>
      </c>
      <c r="N150" s="121"/>
      <c r="O150" s="124">
        <v>45469</v>
      </c>
      <c r="P150" s="120" t="s">
        <v>1304</v>
      </c>
      <c r="Q150" s="120" t="s">
        <v>414</v>
      </c>
      <c r="R150" s="120" t="s">
        <v>407</v>
      </c>
      <c r="S150" s="120" t="s">
        <v>1218</v>
      </c>
      <c r="T150" s="122">
        <v>0.89</v>
      </c>
      <c r="U150" s="120" t="s">
        <v>824</v>
      </c>
      <c r="V150" s="123">
        <v>6.6000000000000003E-2</v>
      </c>
      <c r="W150" s="120"/>
      <c r="X150" s="120"/>
      <c r="Y150" s="123"/>
      <c r="Z150" s="123">
        <v>8.0000000000000004E-4</v>
      </c>
      <c r="AA150" s="124">
        <v>46198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45838</v>
      </c>
      <c r="AO150" s="120"/>
      <c r="AP150" s="123"/>
      <c r="AQ150" s="122">
        <v>953129.42</v>
      </c>
      <c r="AR150" s="122">
        <v>106</v>
      </c>
      <c r="AS150" s="122">
        <v>1</v>
      </c>
      <c r="AT150" s="122">
        <v>1010.31719</v>
      </c>
      <c r="AU150" s="122">
        <v>1010.31719</v>
      </c>
      <c r="AV150" s="120"/>
      <c r="AW150" s="120"/>
      <c r="AX150" s="120"/>
      <c r="AY150" s="120"/>
      <c r="AZ150" s="123">
        <v>3.5100000000000002E-4</v>
      </c>
      <c r="BA150" s="123">
        <v>1.5999999999999999E-5</v>
      </c>
    </row>
    <row r="151" spans="1:53" ht="15" customHeight="1">
      <c r="A151" s="121">
        <v>313</v>
      </c>
      <c r="B151" s="121">
        <v>313</v>
      </c>
      <c r="C151" s="121"/>
      <c r="D151" s="120"/>
      <c r="E151" s="120"/>
      <c r="F151" s="121">
        <v>78900004</v>
      </c>
      <c r="G151" s="120" t="s">
        <v>1013</v>
      </c>
      <c r="H151" s="120" t="s">
        <v>785</v>
      </c>
      <c r="I151" s="120" t="s">
        <v>203</v>
      </c>
      <c r="J151" s="120"/>
      <c r="K151" s="120" t="s">
        <v>446</v>
      </c>
      <c r="L151" s="120" t="s">
        <v>338</v>
      </c>
      <c r="M151" s="120" t="s">
        <v>337</v>
      </c>
      <c r="N151" s="121"/>
      <c r="O151" s="124">
        <v>45488</v>
      </c>
      <c r="P151" s="120" t="s">
        <v>1304</v>
      </c>
      <c r="Q151" s="120" t="s">
        <v>414</v>
      </c>
      <c r="R151" s="120" t="s">
        <v>407</v>
      </c>
      <c r="S151" s="120" t="s">
        <v>1218</v>
      </c>
      <c r="T151" s="122">
        <v>0.89</v>
      </c>
      <c r="U151" s="120" t="s">
        <v>824</v>
      </c>
      <c r="V151" s="123">
        <v>6.6000000000000003E-2</v>
      </c>
      <c r="W151" s="120"/>
      <c r="X151" s="120"/>
      <c r="Y151" s="123"/>
      <c r="Z151" s="123">
        <v>2.9999999999999997E-4</v>
      </c>
      <c r="AA151" s="124">
        <v>46198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338</v>
      </c>
      <c r="AK151" s="120" t="s">
        <v>887</v>
      </c>
      <c r="AL151" s="120"/>
      <c r="AM151" s="120" t="s">
        <v>890</v>
      </c>
      <c r="AN151" s="124">
        <v>45838</v>
      </c>
      <c r="AO151" s="120"/>
      <c r="AP151" s="123"/>
      <c r="AQ151" s="122">
        <v>820558.54</v>
      </c>
      <c r="AR151" s="122">
        <v>106.05</v>
      </c>
      <c r="AS151" s="122">
        <v>1</v>
      </c>
      <c r="AT151" s="122">
        <v>870.20232999999996</v>
      </c>
      <c r="AU151" s="122">
        <v>870.20232999999996</v>
      </c>
      <c r="AV151" s="120"/>
      <c r="AW151" s="120"/>
      <c r="AX151" s="120"/>
      <c r="AY151" s="120"/>
      <c r="AZ151" s="123">
        <v>3.0299999999999999E-4</v>
      </c>
      <c r="BA151" s="123">
        <v>1.4E-5</v>
      </c>
    </row>
    <row r="152" spans="1:53" ht="15" customHeight="1">
      <c r="A152" s="121">
        <v>313</v>
      </c>
      <c r="B152" s="121">
        <v>313</v>
      </c>
      <c r="C152" s="121"/>
      <c r="D152" s="120"/>
      <c r="E152" s="120"/>
      <c r="F152" s="121">
        <v>78900005</v>
      </c>
      <c r="G152" s="120" t="s">
        <v>1013</v>
      </c>
      <c r="H152" s="120" t="s">
        <v>785</v>
      </c>
      <c r="I152" s="120" t="s">
        <v>203</v>
      </c>
      <c r="J152" s="120"/>
      <c r="K152" s="120" t="s">
        <v>446</v>
      </c>
      <c r="L152" s="120" t="s">
        <v>338</v>
      </c>
      <c r="M152" s="120" t="s">
        <v>337</v>
      </c>
      <c r="N152" s="121"/>
      <c r="O152" s="124">
        <v>45522</v>
      </c>
      <c r="P152" s="120" t="s">
        <v>1304</v>
      </c>
      <c r="Q152" s="120" t="s">
        <v>414</v>
      </c>
      <c r="R152" s="120" t="s">
        <v>407</v>
      </c>
      <c r="S152" s="120" t="s">
        <v>1218</v>
      </c>
      <c r="T152" s="122">
        <v>0.89</v>
      </c>
      <c r="U152" s="120" t="s">
        <v>824</v>
      </c>
      <c r="V152" s="123">
        <v>6.6000000000000003E-2</v>
      </c>
      <c r="W152" s="120"/>
      <c r="X152" s="120"/>
      <c r="Y152" s="123"/>
      <c r="Z152" s="123">
        <v>1E-4</v>
      </c>
      <c r="AA152" s="124">
        <v>46198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338</v>
      </c>
      <c r="AK152" s="120" t="s">
        <v>887</v>
      </c>
      <c r="AL152" s="120"/>
      <c r="AM152" s="120" t="s">
        <v>890</v>
      </c>
      <c r="AN152" s="124">
        <v>45838</v>
      </c>
      <c r="AO152" s="120"/>
      <c r="AP152" s="123"/>
      <c r="AQ152" s="122">
        <v>808287.79</v>
      </c>
      <c r="AR152" s="122">
        <v>106.07</v>
      </c>
      <c r="AS152" s="122">
        <v>1</v>
      </c>
      <c r="AT152" s="122">
        <v>857.35086000000001</v>
      </c>
      <c r="AU152" s="122">
        <v>857.35086000000001</v>
      </c>
      <c r="AV152" s="120"/>
      <c r="AW152" s="120"/>
      <c r="AX152" s="120"/>
      <c r="AY152" s="120"/>
      <c r="AZ152" s="123">
        <v>2.9799999999999998E-4</v>
      </c>
      <c r="BA152" s="123">
        <v>1.4E-5</v>
      </c>
    </row>
    <row r="153" spans="1:53" ht="15" customHeight="1">
      <c r="A153" s="121">
        <v>313</v>
      </c>
      <c r="B153" s="121">
        <v>313</v>
      </c>
      <c r="C153" s="121"/>
      <c r="D153" s="120"/>
      <c r="E153" s="120"/>
      <c r="F153" s="121">
        <v>8070013</v>
      </c>
      <c r="G153" s="120" t="s">
        <v>1013</v>
      </c>
      <c r="H153" s="120" t="s">
        <v>812</v>
      </c>
      <c r="I153" s="120" t="s">
        <v>203</v>
      </c>
      <c r="J153" s="120"/>
      <c r="K153" s="120" t="s">
        <v>484</v>
      </c>
      <c r="L153" s="120" t="s">
        <v>338</v>
      </c>
      <c r="M153" s="120" t="s">
        <v>337</v>
      </c>
      <c r="N153" s="121"/>
      <c r="O153" s="124">
        <v>38258</v>
      </c>
      <c r="P153" s="120" t="s">
        <v>1323</v>
      </c>
      <c r="Q153" s="120" t="s">
        <v>414</v>
      </c>
      <c r="R153" s="120" t="s">
        <v>407</v>
      </c>
      <c r="S153" s="120" t="s">
        <v>1218</v>
      </c>
      <c r="T153" s="122">
        <v>1.23</v>
      </c>
      <c r="U153" s="120" t="s">
        <v>2613</v>
      </c>
      <c r="V153" s="123">
        <v>5.1694999999999998E-2</v>
      </c>
      <c r="W153" s="120"/>
      <c r="X153" s="120"/>
      <c r="Y153" s="123"/>
      <c r="Z153" s="123">
        <v>2.5999999999999999E-2</v>
      </c>
      <c r="AA153" s="124">
        <v>46568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45838</v>
      </c>
      <c r="AO153" s="120"/>
      <c r="AP153" s="123"/>
      <c r="AQ153" s="122">
        <v>732638.78</v>
      </c>
      <c r="AR153" s="122">
        <v>160.74</v>
      </c>
      <c r="AS153" s="122">
        <v>1</v>
      </c>
      <c r="AT153" s="122">
        <v>1177.64357</v>
      </c>
      <c r="AU153" s="122">
        <v>1177.64357</v>
      </c>
      <c r="AV153" s="120"/>
      <c r="AW153" s="120"/>
      <c r="AX153" s="120"/>
      <c r="AY153" s="120"/>
      <c r="AZ153" s="123">
        <v>4.0999999999999999E-4</v>
      </c>
      <c r="BA153" s="123">
        <v>1.9000000000000001E-5</v>
      </c>
    </row>
    <row r="154" spans="1:53" ht="15" customHeight="1">
      <c r="A154" s="121">
        <v>313</v>
      </c>
      <c r="B154" s="121">
        <v>313</v>
      </c>
      <c r="C154" s="121"/>
      <c r="D154" s="120"/>
      <c r="E154" s="120"/>
      <c r="F154" s="121">
        <v>78900006</v>
      </c>
      <c r="G154" s="120" t="s">
        <v>1013</v>
      </c>
      <c r="H154" s="120" t="s">
        <v>785</v>
      </c>
      <c r="I154" s="120" t="s">
        <v>203</v>
      </c>
      <c r="J154" s="120"/>
      <c r="K154" s="120" t="s">
        <v>446</v>
      </c>
      <c r="L154" s="120" t="s">
        <v>338</v>
      </c>
      <c r="M154" s="120" t="s">
        <v>337</v>
      </c>
      <c r="N154" s="121"/>
      <c r="O154" s="124">
        <v>45551</v>
      </c>
      <c r="P154" s="120" t="s">
        <v>1304</v>
      </c>
      <c r="Q154" s="120" t="s">
        <v>414</v>
      </c>
      <c r="R154" s="120" t="s">
        <v>407</v>
      </c>
      <c r="S154" s="120" t="s">
        <v>1218</v>
      </c>
      <c r="T154" s="122">
        <v>0.89</v>
      </c>
      <c r="U154" s="120" t="s">
        <v>824</v>
      </c>
      <c r="V154" s="123">
        <v>6.6000000000000003E-2</v>
      </c>
      <c r="W154" s="120"/>
      <c r="X154" s="120"/>
      <c r="Y154" s="123"/>
      <c r="Z154" s="123">
        <v>6.9999999999999999E-4</v>
      </c>
      <c r="AA154" s="124">
        <v>46198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338</v>
      </c>
      <c r="AK154" s="120" t="s">
        <v>887</v>
      </c>
      <c r="AL154" s="120"/>
      <c r="AM154" s="120" t="s">
        <v>890</v>
      </c>
      <c r="AN154" s="124">
        <v>45838</v>
      </c>
      <c r="AO154" s="120"/>
      <c r="AP154" s="123"/>
      <c r="AQ154" s="122">
        <v>384777.35</v>
      </c>
      <c r="AR154" s="122">
        <v>106.02</v>
      </c>
      <c r="AS154" s="122">
        <v>1</v>
      </c>
      <c r="AT154" s="122">
        <v>407.94094999999999</v>
      </c>
      <c r="AU154" s="122">
        <v>407.94094999999999</v>
      </c>
      <c r="AV154" s="120"/>
      <c r="AW154" s="120"/>
      <c r="AX154" s="120"/>
      <c r="AY154" s="120"/>
      <c r="AZ154" s="123">
        <v>1.4200000000000001E-4</v>
      </c>
      <c r="BA154" s="123">
        <v>6.0000000000000002E-6</v>
      </c>
    </row>
    <row r="155" spans="1:53" ht="15" customHeight="1">
      <c r="A155" s="121">
        <v>313</v>
      </c>
      <c r="B155" s="121">
        <v>313</v>
      </c>
      <c r="C155" s="121"/>
      <c r="D155" s="120"/>
      <c r="E155" s="120"/>
      <c r="F155" s="121">
        <v>78900008</v>
      </c>
      <c r="G155" s="120" t="s">
        <v>1013</v>
      </c>
      <c r="H155" s="120" t="s">
        <v>785</v>
      </c>
      <c r="I155" s="120" t="s">
        <v>203</v>
      </c>
      <c r="J155" s="120"/>
      <c r="K155" s="120" t="s">
        <v>446</v>
      </c>
      <c r="L155" s="120" t="s">
        <v>338</v>
      </c>
      <c r="M155" s="120" t="s">
        <v>337</v>
      </c>
      <c r="N155" s="121"/>
      <c r="O155" s="124">
        <v>45610</v>
      </c>
      <c r="P155" s="120" t="s">
        <v>1304</v>
      </c>
      <c r="Q155" s="120" t="s">
        <v>414</v>
      </c>
      <c r="R155" s="120" t="s">
        <v>407</v>
      </c>
      <c r="S155" s="120" t="s">
        <v>1218</v>
      </c>
      <c r="T155" s="122">
        <v>0.89</v>
      </c>
      <c r="U155" s="120" t="s">
        <v>824</v>
      </c>
      <c r="V155" s="123">
        <v>6.6000000000000003E-2</v>
      </c>
      <c r="W155" s="120"/>
      <c r="X155" s="120"/>
      <c r="Y155" s="123"/>
      <c r="Z155" s="123">
        <v>1E-4</v>
      </c>
      <c r="AA155" s="124">
        <v>46198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45838</v>
      </c>
      <c r="AO155" s="120"/>
      <c r="AP155" s="123"/>
      <c r="AQ155" s="122">
        <v>701525.61</v>
      </c>
      <c r="AR155" s="122">
        <v>106.07</v>
      </c>
      <c r="AS155" s="122">
        <v>1</v>
      </c>
      <c r="AT155" s="122">
        <v>744.10820999999999</v>
      </c>
      <c r="AU155" s="122">
        <v>744.10820999999999</v>
      </c>
      <c r="AV155" s="120"/>
      <c r="AW155" s="120"/>
      <c r="AX155" s="120"/>
      <c r="AY155" s="120"/>
      <c r="AZ155" s="123">
        <v>2.5900000000000001E-4</v>
      </c>
      <c r="BA155" s="123">
        <v>1.2E-5</v>
      </c>
    </row>
    <row r="156" spans="1:53" ht="15" customHeight="1">
      <c r="A156" s="121">
        <v>313</v>
      </c>
      <c r="B156" s="121">
        <v>313</v>
      </c>
      <c r="C156" s="121"/>
      <c r="D156" s="120"/>
      <c r="E156" s="120"/>
      <c r="F156" s="121">
        <v>78900009</v>
      </c>
      <c r="G156" s="120" t="s">
        <v>1013</v>
      </c>
      <c r="H156" s="120" t="s">
        <v>785</v>
      </c>
      <c r="I156" s="120" t="s">
        <v>203</v>
      </c>
      <c r="J156" s="120"/>
      <c r="K156" s="120" t="s">
        <v>446</v>
      </c>
      <c r="L156" s="120" t="s">
        <v>338</v>
      </c>
      <c r="M156" s="120" t="s">
        <v>337</v>
      </c>
      <c r="N156" s="121"/>
      <c r="O156" s="124">
        <v>45775</v>
      </c>
      <c r="P156" s="120" t="s">
        <v>1304</v>
      </c>
      <c r="Q156" s="120" t="s">
        <v>414</v>
      </c>
      <c r="R156" s="120" t="s">
        <v>407</v>
      </c>
      <c r="S156" s="120" t="s">
        <v>1218</v>
      </c>
      <c r="T156" s="122">
        <v>0.89</v>
      </c>
      <c r="U156" s="120" t="s">
        <v>824</v>
      </c>
      <c r="V156" s="123">
        <v>6.6000000000000003E-2</v>
      </c>
      <c r="W156" s="120"/>
      <c r="X156" s="120"/>
      <c r="Y156" s="123"/>
      <c r="Z156" s="123">
        <v>4.5499999999999999E-2</v>
      </c>
      <c r="AA156" s="124">
        <v>46167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45838</v>
      </c>
      <c r="AO156" s="120"/>
      <c r="AP156" s="123"/>
      <c r="AQ156" s="122">
        <v>2631130.56</v>
      </c>
      <c r="AR156" s="122">
        <v>101.97</v>
      </c>
      <c r="AS156" s="122">
        <v>1</v>
      </c>
      <c r="AT156" s="122">
        <v>2682.9638300000001</v>
      </c>
      <c r="AU156" s="122">
        <v>2682.9638300000001</v>
      </c>
      <c r="AV156" s="120"/>
      <c r="AW156" s="120"/>
      <c r="AX156" s="120"/>
      <c r="AY156" s="120"/>
      <c r="AZ156" s="123">
        <v>9.3400000000000004E-4</v>
      </c>
      <c r="BA156" s="123">
        <v>4.3999999999999999E-5</v>
      </c>
    </row>
    <row r="157" spans="1:53" ht="15" customHeight="1">
      <c r="A157" s="121">
        <v>313</v>
      </c>
      <c r="B157" s="121">
        <v>313</v>
      </c>
      <c r="C157" s="121"/>
      <c r="D157" s="120"/>
      <c r="E157" s="120"/>
      <c r="F157" s="121">
        <v>78910001</v>
      </c>
      <c r="G157" s="120" t="s">
        <v>1013</v>
      </c>
      <c r="H157" s="120" t="s">
        <v>2617</v>
      </c>
      <c r="I157" s="120" t="s">
        <v>203</v>
      </c>
      <c r="J157" s="120"/>
      <c r="K157" s="120" t="s">
        <v>463</v>
      </c>
      <c r="L157" s="120" t="s">
        <v>338</v>
      </c>
      <c r="M157" s="120" t="s">
        <v>338</v>
      </c>
      <c r="N157" s="121"/>
      <c r="O157" s="124">
        <v>45622</v>
      </c>
      <c r="P157" s="120" t="s">
        <v>2621</v>
      </c>
      <c r="Q157" s="120" t="s">
        <v>414</v>
      </c>
      <c r="R157" s="120" t="s">
        <v>407</v>
      </c>
      <c r="S157" s="120" t="s">
        <v>1218</v>
      </c>
      <c r="T157" s="122">
        <v>11.02</v>
      </c>
      <c r="U157" s="120" t="s">
        <v>2613</v>
      </c>
      <c r="V157" s="123">
        <v>5.2135000000000001E-2</v>
      </c>
      <c r="W157" s="120"/>
      <c r="X157" s="120"/>
      <c r="Y157" s="123"/>
      <c r="Z157" s="123">
        <v>0.05</v>
      </c>
      <c r="AA157" s="124">
        <v>55212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338</v>
      </c>
      <c r="AK157" s="120" t="s">
        <v>887</v>
      </c>
      <c r="AL157" s="120"/>
      <c r="AM157" s="120" t="s">
        <v>890</v>
      </c>
      <c r="AN157" s="124">
        <v>45838</v>
      </c>
      <c r="AO157" s="120"/>
      <c r="AP157" s="123"/>
      <c r="AQ157" s="122">
        <v>4455544</v>
      </c>
      <c r="AR157" s="122">
        <v>104.6</v>
      </c>
      <c r="AS157" s="122">
        <v>1</v>
      </c>
      <c r="AT157" s="122">
        <v>4660.4990200000002</v>
      </c>
      <c r="AU157" s="122">
        <v>4660.4990200000002</v>
      </c>
      <c r="AV157" s="120"/>
      <c r="AW157" s="120"/>
      <c r="AX157" s="120"/>
      <c r="AY157" s="120"/>
      <c r="AZ157" s="123">
        <v>1.6230000000000001E-3</v>
      </c>
      <c r="BA157" s="123">
        <v>7.7000000000000001E-5</v>
      </c>
    </row>
    <row r="158" spans="1:53" ht="15" customHeight="1">
      <c r="A158" s="121">
        <v>313</v>
      </c>
      <c r="B158" s="121">
        <v>313</v>
      </c>
      <c r="C158" s="121"/>
      <c r="D158" s="120"/>
      <c r="E158" s="120"/>
      <c r="F158" s="121">
        <v>78910002</v>
      </c>
      <c r="G158" s="120" t="s">
        <v>1013</v>
      </c>
      <c r="H158" s="120" t="s">
        <v>2617</v>
      </c>
      <c r="I158" s="120" t="s">
        <v>203</v>
      </c>
      <c r="J158" s="120"/>
      <c r="K158" s="120" t="s">
        <v>463</v>
      </c>
      <c r="L158" s="120" t="s">
        <v>338</v>
      </c>
      <c r="M158" s="120" t="s">
        <v>338</v>
      </c>
      <c r="N158" s="121"/>
      <c r="O158" s="124">
        <v>45655</v>
      </c>
      <c r="P158" s="120" t="s">
        <v>2621</v>
      </c>
      <c r="Q158" s="120" t="s">
        <v>414</v>
      </c>
      <c r="R158" s="120" t="s">
        <v>407</v>
      </c>
      <c r="S158" s="120" t="s">
        <v>1218</v>
      </c>
      <c r="T158" s="122">
        <v>11.01</v>
      </c>
      <c r="U158" s="120" t="s">
        <v>2613</v>
      </c>
      <c r="V158" s="123">
        <v>5.2135000000000001E-2</v>
      </c>
      <c r="W158" s="120"/>
      <c r="X158" s="120"/>
      <c r="Y158" s="123"/>
      <c r="Z158" s="123">
        <v>5.0200000000000002E-2</v>
      </c>
      <c r="AA158" s="124">
        <v>55212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338</v>
      </c>
      <c r="AK158" s="120" t="s">
        <v>887</v>
      </c>
      <c r="AL158" s="120"/>
      <c r="AM158" s="120" t="s">
        <v>890</v>
      </c>
      <c r="AN158" s="124">
        <v>45838</v>
      </c>
      <c r="AO158" s="120"/>
      <c r="AP158" s="123"/>
      <c r="AQ158" s="122">
        <v>6835624</v>
      </c>
      <c r="AR158" s="122">
        <v>104.81</v>
      </c>
      <c r="AS158" s="122">
        <v>1</v>
      </c>
      <c r="AT158" s="122">
        <v>7164.4175100000002</v>
      </c>
      <c r="AU158" s="122">
        <v>7164.4175100000002</v>
      </c>
      <c r="AV158" s="120"/>
      <c r="AW158" s="120"/>
      <c r="AX158" s="120"/>
      <c r="AY158" s="120"/>
      <c r="AZ158" s="123">
        <v>2.4949999999999998E-3</v>
      </c>
      <c r="BA158" s="123">
        <v>1.1900000000000001E-4</v>
      </c>
    </row>
    <row r="159" spans="1:53" ht="15" customHeight="1">
      <c r="A159" s="121">
        <v>313</v>
      </c>
      <c r="B159" s="121">
        <v>313</v>
      </c>
      <c r="C159" s="121"/>
      <c r="D159" s="120"/>
      <c r="E159" s="120"/>
      <c r="F159" s="121">
        <v>78910003</v>
      </c>
      <c r="G159" s="120" t="s">
        <v>1013</v>
      </c>
      <c r="H159" s="120" t="s">
        <v>2617</v>
      </c>
      <c r="I159" s="120" t="s">
        <v>203</v>
      </c>
      <c r="J159" s="120"/>
      <c r="K159" s="120" t="s">
        <v>463</v>
      </c>
      <c r="L159" s="120" t="s">
        <v>338</v>
      </c>
      <c r="M159" s="120" t="s">
        <v>338</v>
      </c>
      <c r="N159" s="121"/>
      <c r="O159" s="124">
        <v>45705</v>
      </c>
      <c r="P159" s="120" t="s">
        <v>2621</v>
      </c>
      <c r="Q159" s="120" t="s">
        <v>414</v>
      </c>
      <c r="R159" s="120" t="s">
        <v>407</v>
      </c>
      <c r="S159" s="120" t="s">
        <v>1218</v>
      </c>
      <c r="T159" s="122">
        <v>10.82</v>
      </c>
      <c r="U159" s="120" t="s">
        <v>2613</v>
      </c>
      <c r="V159" s="123">
        <v>5.2549999999999999E-2</v>
      </c>
      <c r="W159" s="120"/>
      <c r="X159" s="120"/>
      <c r="Y159" s="123"/>
      <c r="Z159" s="123">
        <v>5.3699999999999998E-2</v>
      </c>
      <c r="AA159" s="124">
        <v>55212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338</v>
      </c>
      <c r="AK159" s="120" t="s">
        <v>887</v>
      </c>
      <c r="AL159" s="120"/>
      <c r="AM159" s="120" t="s">
        <v>890</v>
      </c>
      <c r="AN159" s="124">
        <v>45838</v>
      </c>
      <c r="AO159" s="120"/>
      <c r="AP159" s="123"/>
      <c r="AQ159" s="122">
        <v>8483987.1500000004</v>
      </c>
      <c r="AR159" s="122">
        <v>101.2</v>
      </c>
      <c r="AS159" s="122">
        <v>1</v>
      </c>
      <c r="AT159" s="122">
        <v>8585.7950000000001</v>
      </c>
      <c r="AU159" s="122">
        <v>8585.7950000000001</v>
      </c>
      <c r="AV159" s="120"/>
      <c r="AW159" s="120"/>
      <c r="AX159" s="120"/>
      <c r="AY159" s="120"/>
      <c r="AZ159" s="123">
        <v>2.99E-3</v>
      </c>
      <c r="BA159" s="123">
        <v>1.4200000000000001E-4</v>
      </c>
    </row>
    <row r="160" spans="1:53" ht="15" customHeight="1">
      <c r="A160" s="121">
        <v>313</v>
      </c>
      <c r="B160" s="121">
        <v>313</v>
      </c>
      <c r="C160" s="121"/>
      <c r="D160" s="120"/>
      <c r="E160" s="120"/>
      <c r="F160" s="121">
        <v>78900007</v>
      </c>
      <c r="G160" s="120" t="s">
        <v>1013</v>
      </c>
      <c r="H160" s="120" t="s">
        <v>785</v>
      </c>
      <c r="I160" s="120" t="s">
        <v>203</v>
      </c>
      <c r="J160" s="120"/>
      <c r="K160" s="120" t="s">
        <v>446</v>
      </c>
      <c r="L160" s="120" t="s">
        <v>338</v>
      </c>
      <c r="M160" s="120" t="s">
        <v>337</v>
      </c>
      <c r="N160" s="121"/>
      <c r="O160" s="124">
        <v>45580</v>
      </c>
      <c r="P160" s="120" t="s">
        <v>1304</v>
      </c>
      <c r="Q160" s="120" t="s">
        <v>414</v>
      </c>
      <c r="R160" s="120" t="s">
        <v>407</v>
      </c>
      <c r="S160" s="120" t="s">
        <v>1218</v>
      </c>
      <c r="T160" s="122">
        <v>0.89</v>
      </c>
      <c r="U160" s="120" t="s">
        <v>824</v>
      </c>
      <c r="V160" s="123">
        <v>6.6000000000000003E-2</v>
      </c>
      <c r="W160" s="120"/>
      <c r="X160" s="120"/>
      <c r="Y160" s="123"/>
      <c r="Z160" s="123">
        <v>8.9999999999999998E-4</v>
      </c>
      <c r="AA160" s="124">
        <v>46198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45838</v>
      </c>
      <c r="AO160" s="120"/>
      <c r="AP160" s="123"/>
      <c r="AQ160" s="122">
        <v>812332.32</v>
      </c>
      <c r="AR160" s="122">
        <v>106</v>
      </c>
      <c r="AS160" s="122">
        <v>1</v>
      </c>
      <c r="AT160" s="122">
        <v>861.07226000000003</v>
      </c>
      <c r="AU160" s="122">
        <v>861.07226000000003</v>
      </c>
      <c r="AV160" s="120"/>
      <c r="AW160" s="120"/>
      <c r="AX160" s="120"/>
      <c r="AY160" s="120"/>
      <c r="AZ160" s="123">
        <v>2.99E-4</v>
      </c>
      <c r="BA160" s="123">
        <v>1.4E-5</v>
      </c>
    </row>
    <row r="161" spans="1:53" ht="15" customHeight="1">
      <c r="A161" s="121">
        <v>313</v>
      </c>
      <c r="B161" s="121">
        <v>313</v>
      </c>
      <c r="C161" s="121"/>
      <c r="D161" s="120"/>
      <c r="E161" s="120"/>
      <c r="F161" s="121">
        <v>8070021</v>
      </c>
      <c r="G161" s="120" t="s">
        <v>1013</v>
      </c>
      <c r="H161" s="120" t="s">
        <v>812</v>
      </c>
      <c r="I161" s="120" t="s">
        <v>203</v>
      </c>
      <c r="J161" s="120"/>
      <c r="K161" s="120" t="s">
        <v>484</v>
      </c>
      <c r="L161" s="120" t="s">
        <v>338</v>
      </c>
      <c r="M161" s="120" t="s">
        <v>337</v>
      </c>
      <c r="N161" s="121"/>
      <c r="O161" s="124">
        <v>38258</v>
      </c>
      <c r="P161" s="120" t="s">
        <v>1323</v>
      </c>
      <c r="Q161" s="120" t="s">
        <v>414</v>
      </c>
      <c r="R161" s="120" t="s">
        <v>407</v>
      </c>
      <c r="S161" s="120" t="s">
        <v>1218</v>
      </c>
      <c r="T161" s="122">
        <v>1.23</v>
      </c>
      <c r="U161" s="120" t="s">
        <v>2613</v>
      </c>
      <c r="V161" s="123">
        <v>5.1694999999999998E-2</v>
      </c>
      <c r="W161" s="120"/>
      <c r="X161" s="120"/>
      <c r="Y161" s="123"/>
      <c r="Z161" s="123">
        <v>2.5999999999999999E-2</v>
      </c>
      <c r="AA161" s="124">
        <v>46568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45838</v>
      </c>
      <c r="AO161" s="120"/>
      <c r="AP161" s="123"/>
      <c r="AQ161" s="122">
        <v>28188.799999999999</v>
      </c>
      <c r="AR161" s="122">
        <v>159.99</v>
      </c>
      <c r="AS161" s="122">
        <v>1</v>
      </c>
      <c r="AT161" s="122">
        <v>45.099260000000001</v>
      </c>
      <c r="AU161" s="122">
        <v>45.099260000000001</v>
      </c>
      <c r="AV161" s="120"/>
      <c r="AW161" s="120"/>
      <c r="AX161" s="120"/>
      <c r="AY161" s="120"/>
      <c r="AZ161" s="123">
        <v>1.5E-5</v>
      </c>
      <c r="BA161" s="123">
        <v>0</v>
      </c>
    </row>
    <row r="162" spans="1:53" ht="15" customHeight="1">
      <c r="A162" s="121">
        <v>313</v>
      </c>
      <c r="B162" s="121">
        <v>313</v>
      </c>
      <c r="C162" s="121"/>
      <c r="D162" s="120"/>
      <c r="E162" s="120"/>
      <c r="F162" s="121">
        <v>8070039</v>
      </c>
      <c r="G162" s="120" t="s">
        <v>1013</v>
      </c>
      <c r="H162" s="120" t="s">
        <v>812</v>
      </c>
      <c r="I162" s="120" t="s">
        <v>203</v>
      </c>
      <c r="J162" s="120"/>
      <c r="K162" s="120" t="s">
        <v>484</v>
      </c>
      <c r="L162" s="120" t="s">
        <v>338</v>
      </c>
      <c r="M162" s="120" t="s">
        <v>337</v>
      </c>
      <c r="N162" s="121"/>
      <c r="O162" s="124">
        <v>38258</v>
      </c>
      <c r="P162" s="120" t="s">
        <v>1323</v>
      </c>
      <c r="Q162" s="120" t="s">
        <v>414</v>
      </c>
      <c r="R162" s="120" t="s">
        <v>407</v>
      </c>
      <c r="S162" s="120" t="s">
        <v>1218</v>
      </c>
      <c r="T162" s="122">
        <v>1.23</v>
      </c>
      <c r="U162" s="120" t="s">
        <v>2613</v>
      </c>
      <c r="V162" s="123">
        <v>5.1694999999999998E-2</v>
      </c>
      <c r="W162" s="120"/>
      <c r="X162" s="120"/>
      <c r="Y162" s="123"/>
      <c r="Z162" s="123">
        <v>2.5999999999999999E-2</v>
      </c>
      <c r="AA162" s="124">
        <v>46568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45838</v>
      </c>
      <c r="AO162" s="120"/>
      <c r="AP162" s="123"/>
      <c r="AQ162" s="122">
        <v>317189.28000000003</v>
      </c>
      <c r="AR162" s="122">
        <v>161.5</v>
      </c>
      <c r="AS162" s="122">
        <v>1</v>
      </c>
      <c r="AT162" s="122">
        <v>512.26068999999995</v>
      </c>
      <c r="AU162" s="122">
        <v>512.26068999999995</v>
      </c>
      <c r="AV162" s="120"/>
      <c r="AW162" s="120"/>
      <c r="AX162" s="120"/>
      <c r="AY162" s="120"/>
      <c r="AZ162" s="123">
        <v>1.7799999999999999E-4</v>
      </c>
      <c r="BA162" s="123">
        <v>7.9999999999999996E-6</v>
      </c>
    </row>
    <row r="163" spans="1:53" ht="15" customHeight="1">
      <c r="A163" s="121">
        <v>313</v>
      </c>
      <c r="B163" s="121">
        <v>313</v>
      </c>
      <c r="C163" s="121"/>
      <c r="D163" s="120"/>
      <c r="E163" s="120"/>
      <c r="F163" s="121">
        <v>8070047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1323</v>
      </c>
      <c r="Q163" s="120" t="s">
        <v>414</v>
      </c>
      <c r="R163" s="120" t="s">
        <v>407</v>
      </c>
      <c r="S163" s="120" t="s">
        <v>1218</v>
      </c>
      <c r="T163" s="122">
        <v>1.23</v>
      </c>
      <c r="U163" s="120" t="s">
        <v>2613</v>
      </c>
      <c r="V163" s="123">
        <v>5.1694999999999998E-2</v>
      </c>
      <c r="W163" s="120"/>
      <c r="X163" s="120"/>
      <c r="Y163" s="123"/>
      <c r="Z163" s="123">
        <v>2.5999999999999999E-2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45838</v>
      </c>
      <c r="AO163" s="120"/>
      <c r="AP163" s="123"/>
      <c r="AQ163" s="122">
        <v>363486.1</v>
      </c>
      <c r="AR163" s="122">
        <v>159.84</v>
      </c>
      <c r="AS163" s="122">
        <v>1</v>
      </c>
      <c r="AT163" s="122">
        <v>580.99617999999998</v>
      </c>
      <c r="AU163" s="122">
        <v>580.99617999999998</v>
      </c>
      <c r="AV163" s="120"/>
      <c r="AW163" s="120"/>
      <c r="AX163" s="120"/>
      <c r="AY163" s="120"/>
      <c r="AZ163" s="123">
        <v>2.02E-4</v>
      </c>
      <c r="BA163" s="123">
        <v>9.0000000000000002E-6</v>
      </c>
    </row>
    <row r="164" spans="1:53" ht="15" customHeight="1">
      <c r="A164" s="121">
        <v>313</v>
      </c>
      <c r="B164" s="121">
        <v>313</v>
      </c>
      <c r="C164" s="121"/>
      <c r="D164" s="120"/>
      <c r="E164" s="120"/>
      <c r="F164" s="121">
        <v>80739</v>
      </c>
      <c r="G164" s="120" t="s">
        <v>1013</v>
      </c>
      <c r="H164" s="120" t="s">
        <v>812</v>
      </c>
      <c r="I164" s="120" t="s">
        <v>203</v>
      </c>
      <c r="J164" s="120"/>
      <c r="K164" s="120" t="s">
        <v>439</v>
      </c>
      <c r="L164" s="120" t="s">
        <v>338</v>
      </c>
      <c r="M164" s="120" t="s">
        <v>337</v>
      </c>
      <c r="N164" s="121"/>
      <c r="O164" s="124">
        <v>42716</v>
      </c>
      <c r="P164" s="120" t="s">
        <v>409</v>
      </c>
      <c r="Q164" s="120" t="s">
        <v>409</v>
      </c>
      <c r="R164" s="120" t="s">
        <v>409</v>
      </c>
      <c r="S164" s="120" t="s">
        <v>1218</v>
      </c>
      <c r="T164" s="122">
        <v>5.59</v>
      </c>
      <c r="U164" s="120" t="s">
        <v>2613</v>
      </c>
      <c r="V164" s="123">
        <v>4.4999999999999998E-2</v>
      </c>
      <c r="W164" s="120"/>
      <c r="X164" s="120"/>
      <c r="Y164" s="123"/>
      <c r="Z164" s="123">
        <v>5.0900000000000001E-2</v>
      </c>
      <c r="AA164" s="124">
        <v>50399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45838</v>
      </c>
      <c r="AO164" s="120"/>
      <c r="AP164" s="123"/>
      <c r="AQ164" s="122">
        <v>1251810.3600000001</v>
      </c>
      <c r="AR164" s="122">
        <v>114.82</v>
      </c>
      <c r="AS164" s="122">
        <v>1</v>
      </c>
      <c r="AT164" s="122">
        <v>1437.3286599999999</v>
      </c>
      <c r="AU164" s="122">
        <v>1437.3286599999999</v>
      </c>
      <c r="AV164" s="120"/>
      <c r="AW164" s="120"/>
      <c r="AX164" s="120"/>
      <c r="AY164" s="120"/>
      <c r="AZ164" s="123">
        <v>5.0000000000000001E-4</v>
      </c>
      <c r="BA164" s="123">
        <v>2.3E-5</v>
      </c>
    </row>
    <row r="165" spans="1:53" ht="15" customHeight="1">
      <c r="A165" s="121">
        <v>313</v>
      </c>
      <c r="B165" s="121">
        <v>313</v>
      </c>
      <c r="C165" s="121"/>
      <c r="D165" s="120"/>
      <c r="E165" s="120"/>
      <c r="F165" s="121">
        <v>80747</v>
      </c>
      <c r="G165" s="120" t="s">
        <v>1013</v>
      </c>
      <c r="H165" s="120" t="s">
        <v>812</v>
      </c>
      <c r="I165" s="120" t="s">
        <v>203</v>
      </c>
      <c r="J165" s="120"/>
      <c r="K165" s="120" t="s">
        <v>439</v>
      </c>
      <c r="L165" s="120" t="s">
        <v>338</v>
      </c>
      <c r="M165" s="120" t="s">
        <v>337</v>
      </c>
      <c r="N165" s="121"/>
      <c r="O165" s="124">
        <v>42803</v>
      </c>
      <c r="P165" s="120" t="s">
        <v>409</v>
      </c>
      <c r="Q165" s="120" t="s">
        <v>409</v>
      </c>
      <c r="R165" s="120" t="s">
        <v>409</v>
      </c>
      <c r="S165" s="120" t="s">
        <v>1218</v>
      </c>
      <c r="T165" s="122">
        <v>5.59</v>
      </c>
      <c r="U165" s="120" t="s">
        <v>2613</v>
      </c>
      <c r="V165" s="123">
        <v>4.4999999999999998E-2</v>
      </c>
      <c r="W165" s="120"/>
      <c r="X165" s="120"/>
      <c r="Y165" s="123"/>
      <c r="Z165" s="123">
        <v>5.0900000000000001E-2</v>
      </c>
      <c r="AA165" s="124">
        <v>50399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45838</v>
      </c>
      <c r="AO165" s="120"/>
      <c r="AP165" s="123"/>
      <c r="AQ165" s="122">
        <v>8022527.0099999998</v>
      </c>
      <c r="AR165" s="122">
        <v>115.51</v>
      </c>
      <c r="AS165" s="122">
        <v>1</v>
      </c>
      <c r="AT165" s="122">
        <v>9266.8209499999994</v>
      </c>
      <c r="AU165" s="122">
        <v>9266.8209499999994</v>
      </c>
      <c r="AV165" s="120"/>
      <c r="AW165" s="120"/>
      <c r="AX165" s="120"/>
      <c r="AY165" s="120"/>
      <c r="AZ165" s="123">
        <v>3.2269999999999998E-3</v>
      </c>
      <c r="BA165" s="123">
        <v>1.54E-4</v>
      </c>
    </row>
    <row r="166" spans="1:53" ht="15" customHeight="1">
      <c r="A166" s="121">
        <v>313</v>
      </c>
      <c r="B166" s="121">
        <v>313</v>
      </c>
      <c r="C166" s="121"/>
      <c r="D166" s="120"/>
      <c r="E166" s="120"/>
      <c r="F166" s="121">
        <v>80754</v>
      </c>
      <c r="G166" s="120" t="s">
        <v>1013</v>
      </c>
      <c r="H166" s="120" t="s">
        <v>812</v>
      </c>
      <c r="I166" s="120" t="s">
        <v>203</v>
      </c>
      <c r="J166" s="120"/>
      <c r="K166" s="120" t="s">
        <v>439</v>
      </c>
      <c r="L166" s="120" t="s">
        <v>338</v>
      </c>
      <c r="M166" s="120" t="s">
        <v>337</v>
      </c>
      <c r="N166" s="121"/>
      <c r="O166" s="124">
        <v>42898</v>
      </c>
      <c r="P166" s="120" t="s">
        <v>409</v>
      </c>
      <c r="Q166" s="120" t="s">
        <v>409</v>
      </c>
      <c r="R166" s="120" t="s">
        <v>409</v>
      </c>
      <c r="S166" s="120" t="s">
        <v>1218</v>
      </c>
      <c r="T166" s="122">
        <v>5.59</v>
      </c>
      <c r="U166" s="120" t="s">
        <v>2613</v>
      </c>
      <c r="V166" s="123">
        <v>4.4999999999999998E-2</v>
      </c>
      <c r="W166" s="120"/>
      <c r="X166" s="120"/>
      <c r="Y166" s="123"/>
      <c r="Z166" s="123">
        <v>5.0900000000000001E-2</v>
      </c>
      <c r="AA166" s="124">
        <v>50399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45838</v>
      </c>
      <c r="AO166" s="120"/>
      <c r="AP166" s="123"/>
      <c r="AQ166" s="122">
        <v>1508832.61</v>
      </c>
      <c r="AR166" s="122">
        <v>114.93</v>
      </c>
      <c r="AS166" s="122">
        <v>1</v>
      </c>
      <c r="AT166" s="122">
        <v>1734.10132</v>
      </c>
      <c r="AU166" s="122">
        <v>1734.10132</v>
      </c>
      <c r="AV166" s="120"/>
      <c r="AW166" s="120"/>
      <c r="AX166" s="120"/>
      <c r="AY166" s="120"/>
      <c r="AZ166" s="123">
        <v>6.0300000000000002E-4</v>
      </c>
      <c r="BA166" s="123">
        <v>2.8E-5</v>
      </c>
    </row>
    <row r="167" spans="1:53" ht="15" customHeight="1">
      <c r="A167" s="121">
        <v>313</v>
      </c>
      <c r="B167" s="121">
        <v>313</v>
      </c>
      <c r="C167" s="121"/>
      <c r="D167" s="120"/>
      <c r="E167" s="120"/>
      <c r="F167" s="121">
        <v>80762</v>
      </c>
      <c r="G167" s="120" t="s">
        <v>1013</v>
      </c>
      <c r="H167" s="120" t="s">
        <v>812</v>
      </c>
      <c r="I167" s="120" t="s">
        <v>203</v>
      </c>
      <c r="J167" s="120"/>
      <c r="K167" s="120" t="s">
        <v>439</v>
      </c>
      <c r="L167" s="120" t="s">
        <v>338</v>
      </c>
      <c r="M167" s="120" t="s">
        <v>337</v>
      </c>
      <c r="N167" s="121"/>
      <c r="O167" s="124">
        <v>42989</v>
      </c>
      <c r="P167" s="120" t="s">
        <v>409</v>
      </c>
      <c r="Q167" s="120" t="s">
        <v>409</v>
      </c>
      <c r="R167" s="120" t="s">
        <v>409</v>
      </c>
      <c r="S167" s="120" t="s">
        <v>1218</v>
      </c>
      <c r="T167" s="122">
        <v>5.59</v>
      </c>
      <c r="U167" s="120" t="s">
        <v>2613</v>
      </c>
      <c r="V167" s="123">
        <v>4.4999999999999998E-2</v>
      </c>
      <c r="W167" s="120"/>
      <c r="X167" s="120"/>
      <c r="Y167" s="123"/>
      <c r="Z167" s="123">
        <v>5.0900000000000001E-2</v>
      </c>
      <c r="AA167" s="124">
        <v>50399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45838</v>
      </c>
      <c r="AO167" s="120"/>
      <c r="AP167" s="123"/>
      <c r="AQ167" s="122">
        <v>1901317.48</v>
      </c>
      <c r="AR167" s="122">
        <v>115.39</v>
      </c>
      <c r="AS167" s="122">
        <v>1</v>
      </c>
      <c r="AT167" s="122">
        <v>2193.9302400000001</v>
      </c>
      <c r="AU167" s="122">
        <v>2193.9302400000001</v>
      </c>
      <c r="AV167" s="120"/>
      <c r="AW167" s="120"/>
      <c r="AX167" s="120"/>
      <c r="AY167" s="120"/>
      <c r="AZ167" s="123">
        <v>7.6400000000000003E-4</v>
      </c>
      <c r="BA167" s="123">
        <v>3.6000000000000001E-5</v>
      </c>
    </row>
    <row r="168" spans="1:53" ht="15" customHeight="1">
      <c r="A168" s="121">
        <v>313</v>
      </c>
      <c r="B168" s="121">
        <v>313</v>
      </c>
      <c r="C168" s="121"/>
      <c r="D168" s="120"/>
      <c r="E168" s="120"/>
      <c r="F168" s="121">
        <v>80770</v>
      </c>
      <c r="G168" s="120" t="s">
        <v>1013</v>
      </c>
      <c r="H168" s="120" t="s">
        <v>812</v>
      </c>
      <c r="I168" s="120" t="s">
        <v>203</v>
      </c>
      <c r="J168" s="120"/>
      <c r="K168" s="120" t="s">
        <v>439</v>
      </c>
      <c r="L168" s="120" t="s">
        <v>338</v>
      </c>
      <c r="M168" s="120" t="s">
        <v>337</v>
      </c>
      <c r="N168" s="121"/>
      <c r="O168" s="124">
        <v>43080</v>
      </c>
      <c r="P168" s="120" t="s">
        <v>409</v>
      </c>
      <c r="Q168" s="120" t="s">
        <v>409</v>
      </c>
      <c r="R168" s="120" t="s">
        <v>409</v>
      </c>
      <c r="S168" s="120" t="s">
        <v>1218</v>
      </c>
      <c r="T168" s="122">
        <v>5.59</v>
      </c>
      <c r="U168" s="120" t="s">
        <v>2613</v>
      </c>
      <c r="V168" s="123">
        <v>4.4999999999999998E-2</v>
      </c>
      <c r="W168" s="120"/>
      <c r="X168" s="120"/>
      <c r="Y168" s="123"/>
      <c r="Z168" s="123">
        <v>5.0900000000000001E-2</v>
      </c>
      <c r="AA168" s="124">
        <v>50399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45838</v>
      </c>
      <c r="AO168" s="120"/>
      <c r="AP168" s="123"/>
      <c r="AQ168" s="122">
        <v>589092.94999999995</v>
      </c>
      <c r="AR168" s="122">
        <v>114.59</v>
      </c>
      <c r="AS168" s="122">
        <v>1</v>
      </c>
      <c r="AT168" s="122">
        <v>675.04160999999999</v>
      </c>
      <c r="AU168" s="122">
        <v>675.04160999999999</v>
      </c>
      <c r="AV168" s="120"/>
      <c r="AW168" s="120"/>
      <c r="AX168" s="120"/>
      <c r="AY168" s="120"/>
      <c r="AZ168" s="123">
        <v>2.3499999999999999E-4</v>
      </c>
      <c r="BA168" s="123">
        <v>1.1E-5</v>
      </c>
    </row>
    <row r="169" spans="1:53" ht="15" customHeight="1">
      <c r="A169" s="121">
        <v>313</v>
      </c>
      <c r="B169" s="121">
        <v>313</v>
      </c>
      <c r="C169" s="121"/>
      <c r="D169" s="120"/>
      <c r="E169" s="120"/>
      <c r="F169" s="121">
        <v>80705</v>
      </c>
      <c r="G169" s="120" t="s">
        <v>1013</v>
      </c>
      <c r="H169" s="120" t="s">
        <v>812</v>
      </c>
      <c r="I169" s="120" t="s">
        <v>203</v>
      </c>
      <c r="J169" s="120"/>
      <c r="K169" s="120" t="s">
        <v>439</v>
      </c>
      <c r="L169" s="120" t="s">
        <v>338</v>
      </c>
      <c r="M169" s="120" t="s">
        <v>337</v>
      </c>
      <c r="N169" s="121"/>
      <c r="O169" s="124">
        <v>42625</v>
      </c>
      <c r="P169" s="120" t="s">
        <v>409</v>
      </c>
      <c r="Q169" s="120" t="s">
        <v>409</v>
      </c>
      <c r="R169" s="120" t="s">
        <v>409</v>
      </c>
      <c r="S169" s="120" t="s">
        <v>1218</v>
      </c>
      <c r="T169" s="122">
        <v>5.59</v>
      </c>
      <c r="U169" s="120" t="s">
        <v>2613</v>
      </c>
      <c r="V169" s="123">
        <v>4.4999999999999998E-2</v>
      </c>
      <c r="W169" s="120"/>
      <c r="X169" s="120"/>
      <c r="Y169" s="123"/>
      <c r="Z169" s="123">
        <v>5.0900000000000001E-2</v>
      </c>
      <c r="AA169" s="124">
        <v>50399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45838</v>
      </c>
      <c r="AO169" s="120"/>
      <c r="AP169" s="123"/>
      <c r="AQ169" s="122">
        <v>1654609.62</v>
      </c>
      <c r="AR169" s="122">
        <v>114.58</v>
      </c>
      <c r="AS169" s="122">
        <v>1</v>
      </c>
      <c r="AT169" s="122">
        <v>1895.8516999999999</v>
      </c>
      <c r="AU169" s="122">
        <v>1895.8516999999999</v>
      </c>
      <c r="AV169" s="120"/>
      <c r="AW169" s="120"/>
      <c r="AX169" s="120"/>
      <c r="AY169" s="120"/>
      <c r="AZ169" s="123">
        <v>6.6E-4</v>
      </c>
      <c r="BA169" s="123">
        <v>3.1000000000000001E-5</v>
      </c>
    </row>
    <row r="170" spans="1:53" ht="15" customHeight="1">
      <c r="A170" s="121">
        <v>313</v>
      </c>
      <c r="B170" s="121">
        <v>313</v>
      </c>
      <c r="C170" s="121"/>
      <c r="D170" s="120"/>
      <c r="E170" s="120"/>
      <c r="F170" s="121">
        <v>80788</v>
      </c>
      <c r="G170" s="120" t="s">
        <v>1013</v>
      </c>
      <c r="H170" s="120" t="s">
        <v>812</v>
      </c>
      <c r="I170" s="120" t="s">
        <v>203</v>
      </c>
      <c r="J170" s="120"/>
      <c r="K170" s="120" t="s">
        <v>439</v>
      </c>
      <c r="L170" s="120" t="s">
        <v>338</v>
      </c>
      <c r="M170" s="120" t="s">
        <v>337</v>
      </c>
      <c r="N170" s="121"/>
      <c r="O170" s="124">
        <v>43171</v>
      </c>
      <c r="P170" s="120" t="s">
        <v>409</v>
      </c>
      <c r="Q170" s="120" t="s">
        <v>409</v>
      </c>
      <c r="R170" s="120" t="s">
        <v>409</v>
      </c>
      <c r="S170" s="120" t="s">
        <v>1218</v>
      </c>
      <c r="T170" s="122">
        <v>5.59</v>
      </c>
      <c r="U170" s="120" t="s">
        <v>2613</v>
      </c>
      <c r="V170" s="123">
        <v>4.4999999999999998E-2</v>
      </c>
      <c r="W170" s="120"/>
      <c r="X170" s="120"/>
      <c r="Y170" s="123"/>
      <c r="Z170" s="123">
        <v>5.0900000000000001E-2</v>
      </c>
      <c r="AA170" s="124">
        <v>50399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45838</v>
      </c>
      <c r="AO170" s="120"/>
      <c r="AP170" s="123"/>
      <c r="AQ170" s="122">
        <v>441209.94</v>
      </c>
      <c r="AR170" s="122">
        <v>115.39</v>
      </c>
      <c r="AS170" s="122">
        <v>1</v>
      </c>
      <c r="AT170" s="122">
        <v>509.11214999999999</v>
      </c>
      <c r="AU170" s="122">
        <v>509.11214999999999</v>
      </c>
      <c r="AV170" s="120"/>
      <c r="AW170" s="120"/>
      <c r="AX170" s="120"/>
      <c r="AY170" s="120"/>
      <c r="AZ170" s="123">
        <v>1.7699999999999999E-4</v>
      </c>
      <c r="BA170" s="123">
        <v>7.9999999999999996E-6</v>
      </c>
    </row>
    <row r="171" spans="1:53" ht="15" customHeight="1">
      <c r="A171" s="121">
        <v>313</v>
      </c>
      <c r="B171" s="121">
        <v>313</v>
      </c>
      <c r="C171" s="121"/>
      <c r="D171" s="120"/>
      <c r="E171" s="120"/>
      <c r="F171" s="121">
        <v>81018</v>
      </c>
      <c r="G171" s="120" t="s">
        <v>1013</v>
      </c>
      <c r="H171" s="120" t="s">
        <v>812</v>
      </c>
      <c r="I171" s="120" t="s">
        <v>203</v>
      </c>
      <c r="J171" s="120"/>
      <c r="K171" s="120" t="s">
        <v>454</v>
      </c>
      <c r="L171" s="120" t="s">
        <v>338</v>
      </c>
      <c r="M171" s="120" t="s">
        <v>338</v>
      </c>
      <c r="N171" s="121"/>
      <c r="O171" s="124">
        <v>43227</v>
      </c>
      <c r="P171" s="120" t="s">
        <v>2621</v>
      </c>
      <c r="Q171" s="120" t="s">
        <v>414</v>
      </c>
      <c r="R171" s="120" t="s">
        <v>407</v>
      </c>
      <c r="S171" s="120" t="s">
        <v>1218</v>
      </c>
      <c r="T171" s="122">
        <v>6.7</v>
      </c>
      <c r="U171" s="120" t="s">
        <v>2613</v>
      </c>
      <c r="V171" s="123">
        <v>3.1199999999999999E-2</v>
      </c>
      <c r="W171" s="120"/>
      <c r="X171" s="120"/>
      <c r="Y171" s="123"/>
      <c r="Z171" s="123">
        <v>2.8799999999999999E-2</v>
      </c>
      <c r="AA171" s="124">
        <v>51134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45838</v>
      </c>
      <c r="AO171" s="120"/>
      <c r="AP171" s="123"/>
      <c r="AQ171" s="122">
        <v>589950.61</v>
      </c>
      <c r="AR171" s="122">
        <v>120.23</v>
      </c>
      <c r="AS171" s="122">
        <v>1</v>
      </c>
      <c r="AT171" s="122">
        <v>709.29762000000005</v>
      </c>
      <c r="AU171" s="122">
        <v>709.29762000000005</v>
      </c>
      <c r="AV171" s="120"/>
      <c r="AW171" s="120"/>
      <c r="AX171" s="120"/>
      <c r="AY171" s="120"/>
      <c r="AZ171" s="123">
        <v>2.4699999999999999E-4</v>
      </c>
      <c r="BA171" s="123">
        <v>1.1E-5</v>
      </c>
    </row>
    <row r="172" spans="1:53" ht="15" customHeight="1">
      <c r="A172" s="121">
        <v>313</v>
      </c>
      <c r="B172" s="121">
        <v>313</v>
      </c>
      <c r="C172" s="121"/>
      <c r="D172" s="120"/>
      <c r="E172" s="120"/>
      <c r="F172" s="121">
        <v>81026</v>
      </c>
      <c r="G172" s="120" t="s">
        <v>1013</v>
      </c>
      <c r="H172" s="120" t="s">
        <v>812</v>
      </c>
      <c r="I172" s="120" t="s">
        <v>203</v>
      </c>
      <c r="J172" s="120"/>
      <c r="K172" s="120" t="s">
        <v>454</v>
      </c>
      <c r="L172" s="120" t="s">
        <v>338</v>
      </c>
      <c r="M172" s="120" t="s">
        <v>338</v>
      </c>
      <c r="N172" s="121"/>
      <c r="O172" s="124">
        <v>43237</v>
      </c>
      <c r="P172" s="120" t="s">
        <v>1339</v>
      </c>
      <c r="Q172" s="120" t="s">
        <v>414</v>
      </c>
      <c r="R172" s="120" t="s">
        <v>407</v>
      </c>
      <c r="S172" s="120" t="s">
        <v>1218</v>
      </c>
      <c r="T172" s="122">
        <v>6.71</v>
      </c>
      <c r="U172" s="120" t="s">
        <v>2613</v>
      </c>
      <c r="V172" s="123">
        <v>3.3700000000000001E-2</v>
      </c>
      <c r="W172" s="120"/>
      <c r="X172" s="120"/>
      <c r="Y172" s="123"/>
      <c r="Z172" s="123">
        <v>2.8400000000000002E-2</v>
      </c>
      <c r="AA172" s="124">
        <v>51134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45838</v>
      </c>
      <c r="AO172" s="120"/>
      <c r="AP172" s="123"/>
      <c r="AQ172" s="122">
        <v>1278586.3899999999</v>
      </c>
      <c r="AR172" s="122">
        <v>120.44</v>
      </c>
      <c r="AS172" s="122">
        <v>1</v>
      </c>
      <c r="AT172" s="122">
        <v>1539.9294500000001</v>
      </c>
      <c r="AU172" s="122">
        <v>1539.9294500000001</v>
      </c>
      <c r="AV172" s="120"/>
      <c r="AW172" s="120"/>
      <c r="AX172" s="120"/>
      <c r="AY172" s="120"/>
      <c r="AZ172" s="123">
        <v>5.3600000000000002E-4</v>
      </c>
      <c r="BA172" s="123">
        <v>2.5000000000000001E-5</v>
      </c>
    </row>
    <row r="173" spans="1:53" ht="15" customHeight="1">
      <c r="A173" s="121">
        <v>313</v>
      </c>
      <c r="B173" s="121">
        <v>313</v>
      </c>
      <c r="C173" s="121"/>
      <c r="D173" s="120"/>
      <c r="E173" s="120"/>
      <c r="F173" s="121">
        <v>81034</v>
      </c>
      <c r="G173" s="120" t="s">
        <v>1013</v>
      </c>
      <c r="H173" s="120" t="s">
        <v>812</v>
      </c>
      <c r="I173" s="120" t="s">
        <v>203</v>
      </c>
      <c r="J173" s="120"/>
      <c r="K173" s="120" t="s">
        <v>454</v>
      </c>
      <c r="L173" s="120" t="s">
        <v>338</v>
      </c>
      <c r="M173" s="120" t="s">
        <v>338</v>
      </c>
      <c r="N173" s="121"/>
      <c r="O173" s="124">
        <v>43227</v>
      </c>
      <c r="P173" s="120" t="s">
        <v>1339</v>
      </c>
      <c r="Q173" s="120" t="s">
        <v>414</v>
      </c>
      <c r="R173" s="120" t="s">
        <v>407</v>
      </c>
      <c r="S173" s="120" t="s">
        <v>1218</v>
      </c>
      <c r="T173" s="122">
        <v>6.7</v>
      </c>
      <c r="U173" s="120" t="s">
        <v>2613</v>
      </c>
      <c r="V173" s="123">
        <v>3.1199999999999999E-2</v>
      </c>
      <c r="W173" s="120"/>
      <c r="X173" s="120"/>
      <c r="Y173" s="123"/>
      <c r="Z173" s="123">
        <v>2.8799999999999999E-2</v>
      </c>
      <c r="AA173" s="124">
        <v>51134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45838</v>
      </c>
      <c r="AO173" s="120"/>
      <c r="AP173" s="123"/>
      <c r="AQ173" s="122">
        <v>1170665.58</v>
      </c>
      <c r="AR173" s="122">
        <v>120.23</v>
      </c>
      <c r="AS173" s="122">
        <v>1</v>
      </c>
      <c r="AT173" s="122">
        <v>1407.4912300000001</v>
      </c>
      <c r="AU173" s="122">
        <v>1407.4912300000001</v>
      </c>
      <c r="AV173" s="120"/>
      <c r="AW173" s="120"/>
      <c r="AX173" s="120"/>
      <c r="AY173" s="120"/>
      <c r="AZ173" s="123">
        <v>4.8999999999999998E-4</v>
      </c>
      <c r="BA173" s="123">
        <v>2.3E-5</v>
      </c>
    </row>
    <row r="174" spans="1:53" ht="15" customHeight="1">
      <c r="A174" s="121">
        <v>313</v>
      </c>
      <c r="B174" s="121">
        <v>313</v>
      </c>
      <c r="C174" s="121"/>
      <c r="D174" s="120"/>
      <c r="E174" s="120"/>
      <c r="F174" s="121">
        <v>81802</v>
      </c>
      <c r="G174" s="120" t="s">
        <v>1013</v>
      </c>
      <c r="H174" s="120" t="s">
        <v>812</v>
      </c>
      <c r="I174" s="120" t="s">
        <v>203</v>
      </c>
      <c r="J174" s="120"/>
      <c r="K174" s="120" t="s">
        <v>454</v>
      </c>
      <c r="L174" s="120" t="s">
        <v>338</v>
      </c>
      <c r="M174" s="120" t="s">
        <v>338</v>
      </c>
      <c r="N174" s="121"/>
      <c r="O174" s="124">
        <v>43275</v>
      </c>
      <c r="P174" s="120" t="s">
        <v>1339</v>
      </c>
      <c r="Q174" s="120" t="s">
        <v>414</v>
      </c>
      <c r="R174" s="120" t="s">
        <v>407</v>
      </c>
      <c r="S174" s="120" t="s">
        <v>1218</v>
      </c>
      <c r="T174" s="122">
        <v>6.69</v>
      </c>
      <c r="U174" s="120" t="s">
        <v>2613</v>
      </c>
      <c r="V174" s="123">
        <v>3.39E-2</v>
      </c>
      <c r="W174" s="120"/>
      <c r="X174" s="120"/>
      <c r="Y174" s="123"/>
      <c r="Z174" s="123">
        <v>2.9100000000000001E-2</v>
      </c>
      <c r="AA174" s="124">
        <v>51134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45838</v>
      </c>
      <c r="AO174" s="120"/>
      <c r="AP174" s="123"/>
      <c r="AQ174" s="122">
        <v>432453.04</v>
      </c>
      <c r="AR174" s="122">
        <v>119.45</v>
      </c>
      <c r="AS174" s="122">
        <v>1</v>
      </c>
      <c r="AT174" s="122">
        <v>516.56515999999999</v>
      </c>
      <c r="AU174" s="122">
        <v>516.56515999999999</v>
      </c>
      <c r="AV174" s="120"/>
      <c r="AW174" s="120"/>
      <c r="AX174" s="120"/>
      <c r="AY174" s="120"/>
      <c r="AZ174" s="123">
        <v>1.7899999999999999E-4</v>
      </c>
      <c r="BA174" s="123">
        <v>7.9999999999999996E-6</v>
      </c>
    </row>
    <row r="175" spans="1:53" ht="15" customHeight="1">
      <c r="A175" s="121">
        <v>313</v>
      </c>
      <c r="B175" s="121">
        <v>313</v>
      </c>
      <c r="C175" s="121"/>
      <c r="D175" s="120"/>
      <c r="E175" s="120"/>
      <c r="F175" s="121">
        <v>81810</v>
      </c>
      <c r="G175" s="120" t="s">
        <v>1013</v>
      </c>
      <c r="H175" s="120" t="s">
        <v>812</v>
      </c>
      <c r="I175" s="120" t="s">
        <v>203</v>
      </c>
      <c r="J175" s="120"/>
      <c r="K175" s="120" t="s">
        <v>454</v>
      </c>
      <c r="L175" s="120" t="s">
        <v>338</v>
      </c>
      <c r="M175" s="120" t="s">
        <v>338</v>
      </c>
      <c r="N175" s="121"/>
      <c r="O175" s="124">
        <v>43275</v>
      </c>
      <c r="P175" s="120" t="s">
        <v>1339</v>
      </c>
      <c r="Q175" s="120" t="s">
        <v>414</v>
      </c>
      <c r="R175" s="120" t="s">
        <v>407</v>
      </c>
      <c r="S175" s="120" t="s">
        <v>1218</v>
      </c>
      <c r="T175" s="122">
        <v>6.69</v>
      </c>
      <c r="U175" s="120" t="s">
        <v>2613</v>
      </c>
      <c r="V175" s="123">
        <v>3.39E-2</v>
      </c>
      <c r="W175" s="120"/>
      <c r="X175" s="120"/>
      <c r="Y175" s="123"/>
      <c r="Z175" s="123">
        <v>2.9100000000000001E-2</v>
      </c>
      <c r="AA175" s="124">
        <v>51134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45838</v>
      </c>
      <c r="AO175" s="120"/>
      <c r="AP175" s="123"/>
      <c r="AQ175" s="122">
        <v>455421.28</v>
      </c>
      <c r="AR175" s="122">
        <v>119.45</v>
      </c>
      <c r="AS175" s="122">
        <v>1</v>
      </c>
      <c r="AT175" s="122">
        <v>544.00072</v>
      </c>
      <c r="AU175" s="122">
        <v>544.00072</v>
      </c>
      <c r="AV175" s="120"/>
      <c r="AW175" s="120"/>
      <c r="AX175" s="120"/>
      <c r="AY175" s="120"/>
      <c r="AZ175" s="123">
        <v>1.8900000000000001E-4</v>
      </c>
      <c r="BA175" s="123">
        <v>9.0000000000000002E-6</v>
      </c>
    </row>
    <row r="176" spans="1:53" ht="15" customHeight="1">
      <c r="A176" s="121">
        <v>313</v>
      </c>
      <c r="B176" s="121">
        <v>313</v>
      </c>
      <c r="C176" s="121"/>
      <c r="D176" s="120"/>
      <c r="E176" s="120"/>
      <c r="F176" s="121">
        <v>81000</v>
      </c>
      <c r="G176" s="120" t="s">
        <v>1013</v>
      </c>
      <c r="H176" s="120" t="s">
        <v>812</v>
      </c>
      <c r="I176" s="120" t="s">
        <v>203</v>
      </c>
      <c r="J176" s="120"/>
      <c r="K176" s="120" t="s">
        <v>454</v>
      </c>
      <c r="L176" s="120" t="s">
        <v>338</v>
      </c>
      <c r="M176" s="120" t="s">
        <v>338</v>
      </c>
      <c r="N176" s="121"/>
      <c r="O176" s="124">
        <v>43227</v>
      </c>
      <c r="P176" s="120" t="s">
        <v>1339</v>
      </c>
      <c r="Q176" s="120" t="s">
        <v>414</v>
      </c>
      <c r="R176" s="120" t="s">
        <v>407</v>
      </c>
      <c r="S176" s="120" t="s">
        <v>1218</v>
      </c>
      <c r="T176" s="122">
        <v>6.7</v>
      </c>
      <c r="U176" s="120" t="s">
        <v>2613</v>
      </c>
      <c r="V176" s="123">
        <v>3.1199999999999999E-2</v>
      </c>
      <c r="W176" s="120"/>
      <c r="X176" s="120"/>
      <c r="Y176" s="123"/>
      <c r="Z176" s="123">
        <v>2.8799999999999999E-2</v>
      </c>
      <c r="AA176" s="124">
        <v>51134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45838</v>
      </c>
      <c r="AO176" s="120"/>
      <c r="AP176" s="123"/>
      <c r="AQ176" s="122">
        <v>1132547.6399999999</v>
      </c>
      <c r="AR176" s="122">
        <v>120.23</v>
      </c>
      <c r="AS176" s="122">
        <v>1</v>
      </c>
      <c r="AT176" s="122">
        <v>1361.66203</v>
      </c>
      <c r="AU176" s="122">
        <v>1361.66203</v>
      </c>
      <c r="AV176" s="120"/>
      <c r="AW176" s="120"/>
      <c r="AX176" s="120"/>
      <c r="AY176" s="120"/>
      <c r="AZ176" s="123">
        <v>4.7399999999999997E-4</v>
      </c>
      <c r="BA176" s="123">
        <v>2.1999999999999999E-5</v>
      </c>
    </row>
    <row r="177" spans="1:53" ht="15" customHeight="1">
      <c r="A177" s="121">
        <v>313</v>
      </c>
      <c r="B177" s="121">
        <v>313</v>
      </c>
      <c r="C177" s="121"/>
      <c r="D177" s="120"/>
      <c r="E177" s="120"/>
      <c r="F177" s="121">
        <v>78400100</v>
      </c>
      <c r="G177" s="120" t="s">
        <v>1013</v>
      </c>
      <c r="H177" s="120" t="s">
        <v>818</v>
      </c>
      <c r="I177" s="120" t="s">
        <v>203</v>
      </c>
      <c r="J177" s="120"/>
      <c r="K177" s="120" t="s">
        <v>477</v>
      </c>
      <c r="L177" s="120" t="s">
        <v>338</v>
      </c>
      <c r="M177" s="120" t="s">
        <v>338</v>
      </c>
      <c r="N177" s="121"/>
      <c r="O177" s="124">
        <v>44588</v>
      </c>
      <c r="P177" s="120" t="s">
        <v>2622</v>
      </c>
      <c r="Q177" s="120" t="s">
        <v>412</v>
      </c>
      <c r="R177" s="120" t="s">
        <v>407</v>
      </c>
      <c r="S177" s="120" t="s">
        <v>1218</v>
      </c>
      <c r="T177" s="122">
        <v>4.53</v>
      </c>
      <c r="U177" s="120" t="s">
        <v>2613</v>
      </c>
      <c r="V177" s="123">
        <v>1.851E-3</v>
      </c>
      <c r="W177" s="120"/>
      <c r="X177" s="120"/>
      <c r="Y177" s="123"/>
      <c r="Z177" s="123">
        <v>3.5499999999999997E-2</v>
      </c>
      <c r="AA177" s="124">
        <v>47514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45838</v>
      </c>
      <c r="AO177" s="120"/>
      <c r="AP177" s="123"/>
      <c r="AQ177" s="122">
        <v>32200000</v>
      </c>
      <c r="AR177" s="122">
        <v>101.09</v>
      </c>
      <c r="AS177" s="122">
        <v>1</v>
      </c>
      <c r="AT177" s="122">
        <v>32550.98</v>
      </c>
      <c r="AU177" s="122">
        <v>32550.98</v>
      </c>
      <c r="AV177" s="120"/>
      <c r="AW177" s="120"/>
      <c r="AX177" s="120"/>
      <c r="AY177" s="120"/>
      <c r="AZ177" s="123">
        <v>1.1337E-2</v>
      </c>
      <c r="BA177" s="123">
        <v>5.4199999999999995E-4</v>
      </c>
    </row>
    <row r="178" spans="1:53" ht="15" customHeight="1">
      <c r="A178" s="121">
        <v>313</v>
      </c>
      <c r="B178" s="121">
        <v>313</v>
      </c>
      <c r="C178" s="121"/>
      <c r="D178" s="120"/>
      <c r="E178" s="120"/>
      <c r="F178" s="121">
        <v>8070195</v>
      </c>
      <c r="G178" s="120" t="s">
        <v>1013</v>
      </c>
      <c r="H178" s="120" t="s">
        <v>812</v>
      </c>
      <c r="I178" s="120" t="s">
        <v>203</v>
      </c>
      <c r="J178" s="120"/>
      <c r="K178" s="120" t="s">
        <v>484</v>
      </c>
      <c r="L178" s="120" t="s">
        <v>338</v>
      </c>
      <c r="M178" s="120" t="s">
        <v>337</v>
      </c>
      <c r="N178" s="121"/>
      <c r="O178" s="124">
        <v>38258</v>
      </c>
      <c r="P178" s="120" t="s">
        <v>1323</v>
      </c>
      <c r="Q178" s="120" t="s">
        <v>414</v>
      </c>
      <c r="R178" s="120" t="s">
        <v>407</v>
      </c>
      <c r="S178" s="120" t="s">
        <v>1218</v>
      </c>
      <c r="T178" s="122">
        <v>1.23</v>
      </c>
      <c r="U178" s="120" t="s">
        <v>2613</v>
      </c>
      <c r="V178" s="123">
        <v>5.1694999999999998E-2</v>
      </c>
      <c r="W178" s="120"/>
      <c r="X178" s="120"/>
      <c r="Y178" s="123"/>
      <c r="Z178" s="123">
        <v>2.5999999999999999E-2</v>
      </c>
      <c r="AA178" s="124">
        <v>46568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45838</v>
      </c>
      <c r="AO178" s="120"/>
      <c r="AP178" s="123"/>
      <c r="AQ178" s="122">
        <v>239672.04</v>
      </c>
      <c r="AR178" s="122">
        <v>151.13999999999999</v>
      </c>
      <c r="AS178" s="122">
        <v>1</v>
      </c>
      <c r="AT178" s="122">
        <v>362.24032</v>
      </c>
      <c r="AU178" s="122">
        <v>362.24032</v>
      </c>
      <c r="AV178" s="120"/>
      <c r="AW178" s="120"/>
      <c r="AX178" s="120"/>
      <c r="AY178" s="120"/>
      <c r="AZ178" s="123">
        <v>1.26E-4</v>
      </c>
      <c r="BA178" s="123">
        <v>6.0000000000000002E-6</v>
      </c>
    </row>
    <row r="179" spans="1:53" ht="15" customHeight="1">
      <c r="A179" s="121">
        <v>313</v>
      </c>
      <c r="B179" s="121">
        <v>313</v>
      </c>
      <c r="C179" s="121"/>
      <c r="D179" s="120"/>
      <c r="E179" s="120"/>
      <c r="F179" s="121">
        <v>8070179</v>
      </c>
      <c r="G179" s="120" t="s">
        <v>1013</v>
      </c>
      <c r="H179" s="120" t="s">
        <v>812</v>
      </c>
      <c r="I179" s="120" t="s">
        <v>203</v>
      </c>
      <c r="J179" s="120"/>
      <c r="K179" s="120" t="s">
        <v>484</v>
      </c>
      <c r="L179" s="120" t="s">
        <v>338</v>
      </c>
      <c r="M179" s="120" t="s">
        <v>337</v>
      </c>
      <c r="N179" s="121"/>
      <c r="O179" s="124">
        <v>38258</v>
      </c>
      <c r="P179" s="120" t="s">
        <v>1323</v>
      </c>
      <c r="Q179" s="120" t="s">
        <v>414</v>
      </c>
      <c r="R179" s="120" t="s">
        <v>407</v>
      </c>
      <c r="S179" s="120" t="s">
        <v>1218</v>
      </c>
      <c r="T179" s="122">
        <v>1.23</v>
      </c>
      <c r="U179" s="120" t="s">
        <v>2613</v>
      </c>
      <c r="V179" s="123">
        <v>5.1694999999999998E-2</v>
      </c>
      <c r="W179" s="120"/>
      <c r="X179" s="120"/>
      <c r="Y179" s="123"/>
      <c r="Z179" s="123">
        <v>2.5999999999999999E-2</v>
      </c>
      <c r="AA179" s="124">
        <v>46568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45838</v>
      </c>
      <c r="AO179" s="120"/>
      <c r="AP179" s="123"/>
      <c r="AQ179" s="122">
        <v>395495.37</v>
      </c>
      <c r="AR179" s="122">
        <v>149.63</v>
      </c>
      <c r="AS179" s="122">
        <v>1</v>
      </c>
      <c r="AT179" s="122">
        <v>591.77972</v>
      </c>
      <c r="AU179" s="122">
        <v>591.77972</v>
      </c>
      <c r="AV179" s="120"/>
      <c r="AW179" s="120"/>
      <c r="AX179" s="120"/>
      <c r="AY179" s="120"/>
      <c r="AZ179" s="123">
        <v>2.0599999999999999E-4</v>
      </c>
      <c r="BA179" s="123">
        <v>9.0000000000000002E-6</v>
      </c>
    </row>
    <row r="180" spans="1:53" ht="15" customHeight="1">
      <c r="A180" s="121">
        <v>313</v>
      </c>
      <c r="B180" s="121">
        <v>313</v>
      </c>
      <c r="C180" s="121"/>
      <c r="D180" s="120"/>
      <c r="E180" s="120"/>
      <c r="F180" s="121">
        <v>8070054</v>
      </c>
      <c r="G180" s="120" t="s">
        <v>1013</v>
      </c>
      <c r="H180" s="120" t="s">
        <v>812</v>
      </c>
      <c r="I180" s="120" t="s">
        <v>203</v>
      </c>
      <c r="J180" s="120"/>
      <c r="K180" s="120" t="s">
        <v>484</v>
      </c>
      <c r="L180" s="120" t="s">
        <v>338</v>
      </c>
      <c r="M180" s="120" t="s">
        <v>337</v>
      </c>
      <c r="N180" s="121"/>
      <c r="O180" s="124">
        <v>38258</v>
      </c>
      <c r="P180" s="120" t="s">
        <v>1323</v>
      </c>
      <c r="Q180" s="120" t="s">
        <v>414</v>
      </c>
      <c r="R180" s="120" t="s">
        <v>407</v>
      </c>
      <c r="S180" s="120" t="s">
        <v>1218</v>
      </c>
      <c r="T180" s="122">
        <v>1.23</v>
      </c>
      <c r="U180" s="120" t="s">
        <v>2613</v>
      </c>
      <c r="V180" s="123">
        <v>5.1694999999999998E-2</v>
      </c>
      <c r="W180" s="120"/>
      <c r="X180" s="120"/>
      <c r="Y180" s="123"/>
      <c r="Z180" s="123">
        <v>2.5999999999999999E-2</v>
      </c>
      <c r="AA180" s="124">
        <v>46568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45838</v>
      </c>
      <c r="AO180" s="120"/>
      <c r="AP180" s="123"/>
      <c r="AQ180" s="122">
        <v>424193.74</v>
      </c>
      <c r="AR180" s="122">
        <v>159.84</v>
      </c>
      <c r="AS180" s="122">
        <v>1</v>
      </c>
      <c r="AT180" s="122">
        <v>678.03126999999995</v>
      </c>
      <c r="AU180" s="122">
        <v>678.03126999999995</v>
      </c>
      <c r="AV180" s="120"/>
      <c r="AW180" s="120"/>
      <c r="AX180" s="120"/>
      <c r="AY180" s="120"/>
      <c r="AZ180" s="123">
        <v>2.3599999999999999E-4</v>
      </c>
      <c r="BA180" s="123">
        <v>1.1E-5</v>
      </c>
    </row>
    <row r="181" spans="1:53" ht="15" customHeight="1">
      <c r="A181" s="121">
        <v>313</v>
      </c>
      <c r="B181" s="121">
        <v>313</v>
      </c>
      <c r="C181" s="121"/>
      <c r="D181" s="120"/>
      <c r="E181" s="120"/>
      <c r="F181" s="121">
        <v>8070062</v>
      </c>
      <c r="G181" s="120" t="s">
        <v>1013</v>
      </c>
      <c r="H181" s="120" t="s">
        <v>812</v>
      </c>
      <c r="I181" s="120" t="s">
        <v>203</v>
      </c>
      <c r="J181" s="120"/>
      <c r="K181" s="120" t="s">
        <v>484</v>
      </c>
      <c r="L181" s="120" t="s">
        <v>338</v>
      </c>
      <c r="M181" s="120" t="s">
        <v>337</v>
      </c>
      <c r="N181" s="121"/>
      <c r="O181" s="124">
        <v>38258</v>
      </c>
      <c r="P181" s="120" t="s">
        <v>1323</v>
      </c>
      <c r="Q181" s="120" t="s">
        <v>414</v>
      </c>
      <c r="R181" s="120" t="s">
        <v>407</v>
      </c>
      <c r="S181" s="120" t="s">
        <v>1218</v>
      </c>
      <c r="T181" s="122">
        <v>1.23</v>
      </c>
      <c r="U181" s="120" t="s">
        <v>2613</v>
      </c>
      <c r="V181" s="123">
        <v>5.1694999999999998E-2</v>
      </c>
      <c r="W181" s="120"/>
      <c r="X181" s="120"/>
      <c r="Y181" s="123"/>
      <c r="Z181" s="123">
        <v>2.5999999999999999E-2</v>
      </c>
      <c r="AA181" s="124">
        <v>46568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45838</v>
      </c>
      <c r="AO181" s="120"/>
      <c r="AP181" s="123"/>
      <c r="AQ181" s="122">
        <v>430043.83</v>
      </c>
      <c r="AR181" s="122">
        <v>159.84</v>
      </c>
      <c r="AS181" s="122">
        <v>1</v>
      </c>
      <c r="AT181" s="122">
        <v>687.38206000000002</v>
      </c>
      <c r="AU181" s="122">
        <v>687.38206000000002</v>
      </c>
      <c r="AV181" s="120"/>
      <c r="AW181" s="120"/>
      <c r="AX181" s="120"/>
      <c r="AY181" s="120"/>
      <c r="AZ181" s="123">
        <v>2.3900000000000001E-4</v>
      </c>
      <c r="BA181" s="123">
        <v>1.1E-5</v>
      </c>
    </row>
    <row r="182" spans="1:53" ht="15" customHeight="1">
      <c r="A182" s="121">
        <v>313</v>
      </c>
      <c r="B182" s="121">
        <v>313</v>
      </c>
      <c r="C182" s="121"/>
      <c r="D182" s="120"/>
      <c r="E182" s="120"/>
      <c r="F182" s="121">
        <v>8070070</v>
      </c>
      <c r="G182" s="120" t="s">
        <v>1013</v>
      </c>
      <c r="H182" s="120" t="s">
        <v>812</v>
      </c>
      <c r="I182" s="120" t="s">
        <v>203</v>
      </c>
      <c r="J182" s="120"/>
      <c r="K182" s="120" t="s">
        <v>484</v>
      </c>
      <c r="L182" s="120" t="s">
        <v>338</v>
      </c>
      <c r="M182" s="120" t="s">
        <v>337</v>
      </c>
      <c r="N182" s="121"/>
      <c r="O182" s="124">
        <v>38258</v>
      </c>
      <c r="P182" s="120" t="s">
        <v>1323</v>
      </c>
      <c r="Q182" s="120" t="s">
        <v>414</v>
      </c>
      <c r="R182" s="120" t="s">
        <v>407</v>
      </c>
      <c r="S182" s="120" t="s">
        <v>1218</v>
      </c>
      <c r="T182" s="122">
        <v>1.23</v>
      </c>
      <c r="U182" s="120" t="s">
        <v>2613</v>
      </c>
      <c r="V182" s="123">
        <v>5.1694999999999998E-2</v>
      </c>
      <c r="W182" s="120"/>
      <c r="X182" s="120"/>
      <c r="Y182" s="123"/>
      <c r="Z182" s="123">
        <v>2.5999999999999999E-2</v>
      </c>
      <c r="AA182" s="124">
        <v>46568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45838</v>
      </c>
      <c r="AO182" s="120"/>
      <c r="AP182" s="123"/>
      <c r="AQ182" s="122">
        <v>403904.1</v>
      </c>
      <c r="AR182" s="122">
        <v>161.09</v>
      </c>
      <c r="AS182" s="122">
        <v>1</v>
      </c>
      <c r="AT182" s="122">
        <v>650.64910999999995</v>
      </c>
      <c r="AU182" s="122">
        <v>650.64910999999995</v>
      </c>
      <c r="AV182" s="120"/>
      <c r="AW182" s="120"/>
      <c r="AX182" s="120"/>
      <c r="AY182" s="120"/>
      <c r="AZ182" s="123">
        <v>2.2599999999999999E-4</v>
      </c>
      <c r="BA182" s="123">
        <v>1.0000000000000001E-5</v>
      </c>
    </row>
    <row r="183" spans="1:53" ht="15" customHeight="1">
      <c r="A183" s="121">
        <v>313</v>
      </c>
      <c r="B183" s="121">
        <v>313</v>
      </c>
      <c r="C183" s="121"/>
      <c r="D183" s="120"/>
      <c r="E183" s="120"/>
      <c r="F183" s="121">
        <v>8070088</v>
      </c>
      <c r="G183" s="120" t="s">
        <v>1013</v>
      </c>
      <c r="H183" s="120" t="s">
        <v>812</v>
      </c>
      <c r="I183" s="120" t="s">
        <v>203</v>
      </c>
      <c r="J183" s="120"/>
      <c r="K183" s="120" t="s">
        <v>484</v>
      </c>
      <c r="L183" s="120" t="s">
        <v>338</v>
      </c>
      <c r="M183" s="120" t="s">
        <v>337</v>
      </c>
      <c r="N183" s="121"/>
      <c r="O183" s="124">
        <v>38258</v>
      </c>
      <c r="P183" s="120" t="s">
        <v>1323</v>
      </c>
      <c r="Q183" s="120" t="s">
        <v>414</v>
      </c>
      <c r="R183" s="120" t="s">
        <v>407</v>
      </c>
      <c r="S183" s="120" t="s">
        <v>1218</v>
      </c>
      <c r="T183" s="122">
        <v>1.23</v>
      </c>
      <c r="U183" s="120" t="s">
        <v>2613</v>
      </c>
      <c r="V183" s="123">
        <v>5.1694999999999998E-2</v>
      </c>
      <c r="W183" s="120"/>
      <c r="X183" s="120"/>
      <c r="Y183" s="123"/>
      <c r="Z183" s="123">
        <v>2.5999999999999999E-2</v>
      </c>
      <c r="AA183" s="124">
        <v>46568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45838</v>
      </c>
      <c r="AO183" s="120"/>
      <c r="AP183" s="123"/>
      <c r="AQ183" s="122">
        <v>102580.36</v>
      </c>
      <c r="AR183" s="122">
        <v>158.69999999999999</v>
      </c>
      <c r="AS183" s="122">
        <v>1</v>
      </c>
      <c r="AT183" s="122">
        <v>162.79503</v>
      </c>
      <c r="AU183" s="122">
        <v>162.79503</v>
      </c>
      <c r="AV183" s="120"/>
      <c r="AW183" s="120"/>
      <c r="AX183" s="120"/>
      <c r="AY183" s="120"/>
      <c r="AZ183" s="123">
        <v>5.5999999999999999E-5</v>
      </c>
      <c r="BA183" s="123">
        <v>1.9999999999999999E-6</v>
      </c>
    </row>
    <row r="184" spans="1:53" ht="15" customHeight="1">
      <c r="A184" s="121">
        <v>313</v>
      </c>
      <c r="B184" s="121">
        <v>313</v>
      </c>
      <c r="C184" s="121"/>
      <c r="D184" s="120"/>
      <c r="E184" s="120"/>
      <c r="F184" s="121">
        <v>8070096</v>
      </c>
      <c r="G184" s="120" t="s">
        <v>1013</v>
      </c>
      <c r="H184" s="120" t="s">
        <v>812</v>
      </c>
      <c r="I184" s="120" t="s">
        <v>203</v>
      </c>
      <c r="J184" s="120"/>
      <c r="K184" s="120" t="s">
        <v>484</v>
      </c>
      <c r="L184" s="120" t="s">
        <v>338</v>
      </c>
      <c r="M184" s="120" t="s">
        <v>337</v>
      </c>
      <c r="N184" s="121"/>
      <c r="O184" s="124">
        <v>38258</v>
      </c>
      <c r="P184" s="120" t="s">
        <v>1323</v>
      </c>
      <c r="Q184" s="120" t="s">
        <v>414</v>
      </c>
      <c r="R184" s="120" t="s">
        <v>407</v>
      </c>
      <c r="S184" s="120" t="s">
        <v>1218</v>
      </c>
      <c r="T184" s="122">
        <v>1.23</v>
      </c>
      <c r="U184" s="120" t="s">
        <v>2613</v>
      </c>
      <c r="V184" s="123">
        <v>5.1694999999999998E-2</v>
      </c>
      <c r="W184" s="120"/>
      <c r="X184" s="120"/>
      <c r="Y184" s="123"/>
      <c r="Z184" s="123">
        <v>2.5999999999999999E-2</v>
      </c>
      <c r="AA184" s="124">
        <v>46568</v>
      </c>
      <c r="AB184" s="120" t="s">
        <v>411</v>
      </c>
      <c r="AC184" s="120"/>
      <c r="AD184" s="122"/>
      <c r="AE184" s="123"/>
      <c r="AF184" s="124"/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45838</v>
      </c>
      <c r="AO184" s="120"/>
      <c r="AP184" s="123"/>
      <c r="AQ184" s="122">
        <v>1329508.6299999999</v>
      </c>
      <c r="AR184" s="122">
        <v>157.13999999999999</v>
      </c>
      <c r="AS184" s="122">
        <v>1</v>
      </c>
      <c r="AT184" s="122">
        <v>2089.18986</v>
      </c>
      <c r="AU184" s="122">
        <v>2089.18986</v>
      </c>
      <c r="AV184" s="120"/>
      <c r="AW184" s="120"/>
      <c r="AX184" s="120"/>
      <c r="AY184" s="120"/>
      <c r="AZ184" s="123">
        <v>7.27E-4</v>
      </c>
      <c r="BA184" s="123">
        <v>3.4E-5</v>
      </c>
    </row>
    <row r="185" spans="1:53" ht="15" customHeight="1">
      <c r="A185" s="121">
        <v>313</v>
      </c>
      <c r="B185" s="121">
        <v>313</v>
      </c>
      <c r="C185" s="121"/>
      <c r="D185" s="120"/>
      <c r="E185" s="120"/>
      <c r="F185" s="121">
        <v>8070187</v>
      </c>
      <c r="G185" s="120" t="s">
        <v>1013</v>
      </c>
      <c r="H185" s="120" t="s">
        <v>812</v>
      </c>
      <c r="I185" s="120" t="s">
        <v>203</v>
      </c>
      <c r="J185" s="120"/>
      <c r="K185" s="120" t="s">
        <v>484</v>
      </c>
      <c r="L185" s="120" t="s">
        <v>338</v>
      </c>
      <c r="M185" s="120" t="s">
        <v>337</v>
      </c>
      <c r="N185" s="121"/>
      <c r="O185" s="124">
        <v>38258</v>
      </c>
      <c r="P185" s="120" t="s">
        <v>1323</v>
      </c>
      <c r="Q185" s="120" t="s">
        <v>414</v>
      </c>
      <c r="R185" s="120" t="s">
        <v>407</v>
      </c>
      <c r="S185" s="120" t="s">
        <v>1218</v>
      </c>
      <c r="T185" s="122">
        <v>1.23</v>
      </c>
      <c r="U185" s="120" t="s">
        <v>2613</v>
      </c>
      <c r="V185" s="123">
        <v>5.1694999999999998E-2</v>
      </c>
      <c r="W185" s="120"/>
      <c r="X185" s="120"/>
      <c r="Y185" s="123"/>
      <c r="Z185" s="123">
        <v>2.5999999999999999E-2</v>
      </c>
      <c r="AA185" s="124">
        <v>46568</v>
      </c>
      <c r="AB185" s="120" t="s">
        <v>411</v>
      </c>
      <c r="AC185" s="120"/>
      <c r="AD185" s="122"/>
      <c r="AE185" s="123"/>
      <c r="AF185" s="124"/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45838</v>
      </c>
      <c r="AO185" s="120"/>
      <c r="AP185" s="123"/>
      <c r="AQ185" s="122">
        <v>238349.29</v>
      </c>
      <c r="AR185" s="122">
        <v>150.68</v>
      </c>
      <c r="AS185" s="122">
        <v>1</v>
      </c>
      <c r="AT185" s="122">
        <v>359.14470999999998</v>
      </c>
      <c r="AU185" s="122">
        <v>359.14470999999998</v>
      </c>
      <c r="AV185" s="120"/>
      <c r="AW185" s="120"/>
      <c r="AX185" s="120"/>
      <c r="AY185" s="120"/>
      <c r="AZ185" s="123">
        <v>1.25E-4</v>
      </c>
      <c r="BA185" s="123">
        <v>5.0000000000000004E-6</v>
      </c>
    </row>
    <row r="186" spans="1:53" ht="15" customHeight="1">
      <c r="A186" s="121">
        <v>313</v>
      </c>
      <c r="B186" s="121">
        <v>313</v>
      </c>
      <c r="C186" s="121"/>
      <c r="D186" s="120"/>
      <c r="E186" s="120"/>
      <c r="F186" s="121">
        <v>8070104</v>
      </c>
      <c r="G186" s="120" t="s">
        <v>1013</v>
      </c>
      <c r="H186" s="120" t="s">
        <v>812</v>
      </c>
      <c r="I186" s="120" t="s">
        <v>203</v>
      </c>
      <c r="J186" s="120"/>
      <c r="K186" s="120" t="s">
        <v>484</v>
      </c>
      <c r="L186" s="120" t="s">
        <v>338</v>
      </c>
      <c r="M186" s="120" t="s">
        <v>337</v>
      </c>
      <c r="N186" s="121"/>
      <c r="O186" s="124">
        <v>38258</v>
      </c>
      <c r="P186" s="120" t="s">
        <v>1323</v>
      </c>
      <c r="Q186" s="120" t="s">
        <v>414</v>
      </c>
      <c r="R186" s="120" t="s">
        <v>407</v>
      </c>
      <c r="S186" s="120" t="s">
        <v>1218</v>
      </c>
      <c r="T186" s="122">
        <v>1.23</v>
      </c>
      <c r="U186" s="120" t="s">
        <v>2613</v>
      </c>
      <c r="V186" s="123">
        <v>5.1694999999999998E-2</v>
      </c>
      <c r="W186" s="120"/>
      <c r="X186" s="120"/>
      <c r="Y186" s="123"/>
      <c r="Z186" s="123">
        <v>2.5999999999999999E-2</v>
      </c>
      <c r="AA186" s="124">
        <v>46568</v>
      </c>
      <c r="AB186" s="120" t="s">
        <v>411</v>
      </c>
      <c r="AC186" s="120"/>
      <c r="AD186" s="122"/>
      <c r="AE186" s="123"/>
      <c r="AF186" s="124"/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45838</v>
      </c>
      <c r="AO186" s="120"/>
      <c r="AP186" s="123"/>
      <c r="AQ186" s="122">
        <v>883039.51</v>
      </c>
      <c r="AR186" s="122">
        <v>157.61000000000001</v>
      </c>
      <c r="AS186" s="122">
        <v>1</v>
      </c>
      <c r="AT186" s="122">
        <v>1391.75857</v>
      </c>
      <c r="AU186" s="122">
        <v>1391.75857</v>
      </c>
      <c r="AV186" s="120"/>
      <c r="AW186" s="120"/>
      <c r="AX186" s="120"/>
      <c r="AY186" s="120"/>
      <c r="AZ186" s="123">
        <v>4.84E-4</v>
      </c>
      <c r="BA186" s="123">
        <v>2.3E-5</v>
      </c>
    </row>
    <row r="187" spans="1:53" ht="15" customHeight="1">
      <c r="A187" s="121">
        <v>313</v>
      </c>
      <c r="B187" s="121">
        <v>313</v>
      </c>
      <c r="C187" s="121"/>
      <c r="D187" s="120"/>
      <c r="E187" s="120"/>
      <c r="F187" s="121">
        <v>8070120</v>
      </c>
      <c r="G187" s="120" t="s">
        <v>1013</v>
      </c>
      <c r="H187" s="120" t="s">
        <v>812</v>
      </c>
      <c r="I187" s="120" t="s">
        <v>203</v>
      </c>
      <c r="J187" s="120"/>
      <c r="K187" s="120" t="s">
        <v>484</v>
      </c>
      <c r="L187" s="120" t="s">
        <v>338</v>
      </c>
      <c r="M187" s="120" t="s">
        <v>337</v>
      </c>
      <c r="N187" s="121"/>
      <c r="O187" s="124">
        <v>38258</v>
      </c>
      <c r="P187" s="120" t="s">
        <v>1323</v>
      </c>
      <c r="Q187" s="120" t="s">
        <v>414</v>
      </c>
      <c r="R187" s="120" t="s">
        <v>407</v>
      </c>
      <c r="S187" s="120" t="s">
        <v>1218</v>
      </c>
      <c r="T187" s="122">
        <v>1.23</v>
      </c>
      <c r="U187" s="120" t="s">
        <v>2613</v>
      </c>
      <c r="V187" s="123">
        <v>5.1694999999999998E-2</v>
      </c>
      <c r="W187" s="120"/>
      <c r="X187" s="120"/>
      <c r="Y187" s="123"/>
      <c r="Z187" s="123">
        <v>2.5999999999999999E-2</v>
      </c>
      <c r="AA187" s="124">
        <v>46568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45838</v>
      </c>
      <c r="AO187" s="120"/>
      <c r="AP187" s="123"/>
      <c r="AQ187" s="122">
        <v>509456.4</v>
      </c>
      <c r="AR187" s="122">
        <v>150.36000000000001</v>
      </c>
      <c r="AS187" s="122">
        <v>1</v>
      </c>
      <c r="AT187" s="122">
        <v>766.01864</v>
      </c>
      <c r="AU187" s="122">
        <v>766.01864</v>
      </c>
      <c r="AV187" s="120"/>
      <c r="AW187" s="120"/>
      <c r="AX187" s="120"/>
      <c r="AY187" s="120"/>
      <c r="AZ187" s="123">
        <v>2.6600000000000001E-4</v>
      </c>
      <c r="BA187" s="123">
        <v>1.2E-5</v>
      </c>
    </row>
    <row r="188" spans="1:53" ht="15" customHeight="1">
      <c r="A188" s="121">
        <v>313</v>
      </c>
      <c r="B188" s="121">
        <v>313</v>
      </c>
      <c r="C188" s="121"/>
      <c r="D188" s="120"/>
      <c r="E188" s="120"/>
      <c r="F188" s="121">
        <v>8070138</v>
      </c>
      <c r="G188" s="120" t="s">
        <v>1013</v>
      </c>
      <c r="H188" s="120" t="s">
        <v>812</v>
      </c>
      <c r="I188" s="120" t="s">
        <v>203</v>
      </c>
      <c r="J188" s="120"/>
      <c r="K188" s="120" t="s">
        <v>484</v>
      </c>
      <c r="L188" s="120" t="s">
        <v>338</v>
      </c>
      <c r="M188" s="120" t="s">
        <v>337</v>
      </c>
      <c r="N188" s="121"/>
      <c r="O188" s="124">
        <v>38258</v>
      </c>
      <c r="P188" s="120" t="s">
        <v>1323</v>
      </c>
      <c r="Q188" s="120" t="s">
        <v>414</v>
      </c>
      <c r="R188" s="120" t="s">
        <v>407</v>
      </c>
      <c r="S188" s="120" t="s">
        <v>1218</v>
      </c>
      <c r="T188" s="122">
        <v>1.23</v>
      </c>
      <c r="U188" s="120" t="s">
        <v>2613</v>
      </c>
      <c r="V188" s="123">
        <v>5.1694999999999998E-2</v>
      </c>
      <c r="W188" s="120"/>
      <c r="X188" s="120"/>
      <c r="Y188" s="123"/>
      <c r="Z188" s="123">
        <v>2.5999999999999999E-2</v>
      </c>
      <c r="AA188" s="124">
        <v>46568</v>
      </c>
      <c r="AB188" s="120" t="s">
        <v>411</v>
      </c>
      <c r="AC188" s="120"/>
      <c r="AD188" s="122"/>
      <c r="AE188" s="123"/>
      <c r="AF188" s="124"/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45838</v>
      </c>
      <c r="AO188" s="120"/>
      <c r="AP188" s="123"/>
      <c r="AQ188" s="122">
        <v>633823.69999999995</v>
      </c>
      <c r="AR188" s="122">
        <v>148</v>
      </c>
      <c r="AS188" s="122">
        <v>1</v>
      </c>
      <c r="AT188" s="122">
        <v>938.05907999999999</v>
      </c>
      <c r="AU188" s="122">
        <v>938.05907999999999</v>
      </c>
      <c r="AV188" s="120"/>
      <c r="AW188" s="120"/>
      <c r="AX188" s="120"/>
      <c r="AY188" s="120"/>
      <c r="AZ188" s="123">
        <v>3.2600000000000001E-4</v>
      </c>
      <c r="BA188" s="123">
        <v>1.5E-5</v>
      </c>
    </row>
    <row r="189" spans="1:53" ht="15" customHeight="1">
      <c r="A189" s="121">
        <v>313</v>
      </c>
      <c r="B189" s="121">
        <v>313</v>
      </c>
      <c r="C189" s="121"/>
      <c r="D189" s="120"/>
      <c r="E189" s="120"/>
      <c r="F189" s="121">
        <v>8070146</v>
      </c>
      <c r="G189" s="120" t="s">
        <v>1013</v>
      </c>
      <c r="H189" s="120" t="s">
        <v>812</v>
      </c>
      <c r="I189" s="120" t="s">
        <v>203</v>
      </c>
      <c r="J189" s="120"/>
      <c r="K189" s="120" t="s">
        <v>484</v>
      </c>
      <c r="L189" s="120" t="s">
        <v>338</v>
      </c>
      <c r="M189" s="120" t="s">
        <v>337</v>
      </c>
      <c r="N189" s="121"/>
      <c r="O189" s="124">
        <v>38258</v>
      </c>
      <c r="P189" s="120" t="s">
        <v>1323</v>
      </c>
      <c r="Q189" s="120" t="s">
        <v>414</v>
      </c>
      <c r="R189" s="120" t="s">
        <v>407</v>
      </c>
      <c r="S189" s="120" t="s">
        <v>1218</v>
      </c>
      <c r="T189" s="122">
        <v>1.23</v>
      </c>
      <c r="U189" s="120" t="s">
        <v>2613</v>
      </c>
      <c r="V189" s="123">
        <v>5.1694999999999998E-2</v>
      </c>
      <c r="W189" s="120"/>
      <c r="X189" s="120"/>
      <c r="Y189" s="123"/>
      <c r="Z189" s="123">
        <v>2.5999999999999999E-2</v>
      </c>
      <c r="AA189" s="124">
        <v>46568</v>
      </c>
      <c r="AB189" s="120" t="s">
        <v>411</v>
      </c>
      <c r="AC189" s="120"/>
      <c r="AD189" s="122"/>
      <c r="AE189" s="123"/>
      <c r="AF189" s="124"/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45838</v>
      </c>
      <c r="AO189" s="120"/>
      <c r="AP189" s="123"/>
      <c r="AQ189" s="122">
        <v>610358.48</v>
      </c>
      <c r="AR189" s="122">
        <v>147.72999999999999</v>
      </c>
      <c r="AS189" s="122">
        <v>1</v>
      </c>
      <c r="AT189" s="122">
        <v>901.68258000000003</v>
      </c>
      <c r="AU189" s="122">
        <v>901.68258000000003</v>
      </c>
      <c r="AV189" s="120"/>
      <c r="AW189" s="120"/>
      <c r="AX189" s="120"/>
      <c r="AY189" s="120"/>
      <c r="AZ189" s="123">
        <v>3.1399999999999999E-4</v>
      </c>
      <c r="BA189" s="123">
        <v>1.5E-5</v>
      </c>
    </row>
    <row r="190" spans="1:53" ht="15" customHeight="1">
      <c r="A190" s="121">
        <v>313</v>
      </c>
      <c r="B190" s="121">
        <v>313</v>
      </c>
      <c r="C190" s="121"/>
      <c r="D190" s="120"/>
      <c r="E190" s="120"/>
      <c r="F190" s="121">
        <v>8070153</v>
      </c>
      <c r="G190" s="120" t="s">
        <v>1013</v>
      </c>
      <c r="H190" s="120" t="s">
        <v>812</v>
      </c>
      <c r="I190" s="120" t="s">
        <v>203</v>
      </c>
      <c r="J190" s="120"/>
      <c r="K190" s="120" t="s">
        <v>484</v>
      </c>
      <c r="L190" s="120" t="s">
        <v>338</v>
      </c>
      <c r="M190" s="120" t="s">
        <v>337</v>
      </c>
      <c r="N190" s="121"/>
      <c r="O190" s="124">
        <v>38258</v>
      </c>
      <c r="P190" s="120" t="s">
        <v>1323</v>
      </c>
      <c r="Q190" s="120" t="s">
        <v>414</v>
      </c>
      <c r="R190" s="120" t="s">
        <v>407</v>
      </c>
      <c r="S190" s="120" t="s">
        <v>1218</v>
      </c>
      <c r="T190" s="122">
        <v>1.23</v>
      </c>
      <c r="U190" s="120" t="s">
        <v>2613</v>
      </c>
      <c r="V190" s="123">
        <v>5.1694999999999998E-2</v>
      </c>
      <c r="W190" s="120"/>
      <c r="X190" s="120"/>
      <c r="Y190" s="123"/>
      <c r="Z190" s="123">
        <v>2.5999999999999999E-2</v>
      </c>
      <c r="AA190" s="124">
        <v>46568</v>
      </c>
      <c r="AB190" s="120" t="s">
        <v>411</v>
      </c>
      <c r="AC190" s="120"/>
      <c r="AD190" s="122"/>
      <c r="AE190" s="123"/>
      <c r="AF190" s="124"/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45838</v>
      </c>
      <c r="AO190" s="120"/>
      <c r="AP190" s="123"/>
      <c r="AQ190" s="122">
        <v>537773.47</v>
      </c>
      <c r="AR190" s="122">
        <v>147.28</v>
      </c>
      <c r="AS190" s="122">
        <v>1</v>
      </c>
      <c r="AT190" s="122">
        <v>792.03277000000003</v>
      </c>
      <c r="AU190" s="122">
        <v>792.03277000000003</v>
      </c>
      <c r="AV190" s="120"/>
      <c r="AW190" s="120"/>
      <c r="AX190" s="120"/>
      <c r="AY190" s="120"/>
      <c r="AZ190" s="123">
        <v>2.7500000000000002E-4</v>
      </c>
      <c r="BA190" s="123">
        <v>1.2999999999999999E-5</v>
      </c>
    </row>
    <row r="191" spans="1:53" ht="15" customHeight="1">
      <c r="A191" s="121">
        <v>313</v>
      </c>
      <c r="B191" s="121">
        <v>313</v>
      </c>
      <c r="C191" s="121"/>
      <c r="D191" s="120"/>
      <c r="E191" s="120"/>
      <c r="F191" s="121">
        <v>8070161</v>
      </c>
      <c r="G191" s="120" t="s">
        <v>1013</v>
      </c>
      <c r="H191" s="120" t="s">
        <v>812</v>
      </c>
      <c r="I191" s="120" t="s">
        <v>203</v>
      </c>
      <c r="J191" s="120"/>
      <c r="K191" s="120" t="s">
        <v>484</v>
      </c>
      <c r="L191" s="120" t="s">
        <v>338</v>
      </c>
      <c r="M191" s="120" t="s">
        <v>337</v>
      </c>
      <c r="N191" s="121"/>
      <c r="O191" s="124">
        <v>38258</v>
      </c>
      <c r="P191" s="120" t="s">
        <v>1323</v>
      </c>
      <c r="Q191" s="120" t="s">
        <v>414</v>
      </c>
      <c r="R191" s="120" t="s">
        <v>407</v>
      </c>
      <c r="S191" s="120" t="s">
        <v>1218</v>
      </c>
      <c r="T191" s="122">
        <v>1.23</v>
      </c>
      <c r="U191" s="120" t="s">
        <v>2613</v>
      </c>
      <c r="V191" s="123">
        <v>5.1694999999999998E-2</v>
      </c>
      <c r="W191" s="120"/>
      <c r="X191" s="120"/>
      <c r="Y191" s="123"/>
      <c r="Z191" s="123">
        <v>2.6100000000000002E-2</v>
      </c>
      <c r="AA191" s="124">
        <v>46568</v>
      </c>
      <c r="AB191" s="120" t="s">
        <v>411</v>
      </c>
      <c r="AC191" s="120"/>
      <c r="AD191" s="122"/>
      <c r="AE191" s="123"/>
      <c r="AF191" s="124"/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45838</v>
      </c>
      <c r="AO191" s="120"/>
      <c r="AP191" s="123"/>
      <c r="AQ191" s="122">
        <v>557538.36</v>
      </c>
      <c r="AR191" s="122">
        <v>148</v>
      </c>
      <c r="AS191" s="122">
        <v>1</v>
      </c>
      <c r="AT191" s="122">
        <v>825.15677000000005</v>
      </c>
      <c r="AU191" s="122">
        <v>825.15677000000005</v>
      </c>
      <c r="AV191" s="120"/>
      <c r="AW191" s="120"/>
      <c r="AX191" s="120"/>
      <c r="AY191" s="120"/>
      <c r="AZ191" s="123">
        <v>2.8699999999999998E-4</v>
      </c>
      <c r="BA191" s="123">
        <v>1.2999999999999999E-5</v>
      </c>
    </row>
    <row r="192" spans="1:53" ht="15" customHeight="1">
      <c r="A192" s="121">
        <v>313</v>
      </c>
      <c r="B192" s="121">
        <v>313</v>
      </c>
      <c r="C192" s="121"/>
      <c r="D192" s="120"/>
      <c r="E192" s="120"/>
      <c r="F192" s="121">
        <v>8070112</v>
      </c>
      <c r="G192" s="120" t="s">
        <v>1013</v>
      </c>
      <c r="H192" s="120" t="s">
        <v>812</v>
      </c>
      <c r="I192" s="120" t="s">
        <v>203</v>
      </c>
      <c r="J192" s="120"/>
      <c r="K192" s="120" t="s">
        <v>484</v>
      </c>
      <c r="L192" s="120" t="s">
        <v>338</v>
      </c>
      <c r="M192" s="120" t="s">
        <v>337</v>
      </c>
      <c r="N192" s="121"/>
      <c r="O192" s="124">
        <v>38258</v>
      </c>
      <c r="P192" s="120" t="s">
        <v>1323</v>
      </c>
      <c r="Q192" s="120" t="s">
        <v>414</v>
      </c>
      <c r="R192" s="120" t="s">
        <v>407</v>
      </c>
      <c r="S192" s="120" t="s">
        <v>1218</v>
      </c>
      <c r="T192" s="122">
        <v>1.23</v>
      </c>
      <c r="U192" s="120" t="s">
        <v>2613</v>
      </c>
      <c r="V192" s="123">
        <v>5.1694999999999998E-2</v>
      </c>
      <c r="W192" s="120"/>
      <c r="X192" s="120"/>
      <c r="Y192" s="123"/>
      <c r="Z192" s="123">
        <v>2.5999999999999999E-2</v>
      </c>
      <c r="AA192" s="124">
        <v>46568</v>
      </c>
      <c r="AB192" s="120" t="s">
        <v>411</v>
      </c>
      <c r="AC192" s="120"/>
      <c r="AD192" s="122"/>
      <c r="AE192" s="123"/>
      <c r="AF192" s="124"/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45838</v>
      </c>
      <c r="AO192" s="120"/>
      <c r="AP192" s="123"/>
      <c r="AQ192" s="122">
        <v>654713.16</v>
      </c>
      <c r="AR192" s="122">
        <v>154.87</v>
      </c>
      <c r="AS192" s="122">
        <v>1</v>
      </c>
      <c r="AT192" s="122">
        <v>1013.95427</v>
      </c>
      <c r="AU192" s="122">
        <v>1013.95427</v>
      </c>
      <c r="AV192" s="120"/>
      <c r="AW192" s="120"/>
      <c r="AX192" s="120"/>
      <c r="AY192" s="120"/>
      <c r="AZ192" s="123">
        <v>3.5300000000000002E-4</v>
      </c>
      <c r="BA192" s="123">
        <v>1.5999999999999999E-5</v>
      </c>
    </row>
    <row r="193" spans="1:53" ht="15" customHeight="1">
      <c r="A193" s="121">
        <v>313</v>
      </c>
      <c r="B193" s="121">
        <v>313</v>
      </c>
      <c r="C193" s="121"/>
      <c r="D193" s="120"/>
      <c r="E193" s="120"/>
      <c r="F193" s="121">
        <v>78200103</v>
      </c>
      <c r="G193" s="120" t="s">
        <v>1013</v>
      </c>
      <c r="H193" s="120" t="s">
        <v>2623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1"/>
      <c r="O193" s="124">
        <v>44579</v>
      </c>
      <c r="P193" s="120" t="s">
        <v>2616</v>
      </c>
      <c r="Q193" s="120" t="s">
        <v>311</v>
      </c>
      <c r="R193" s="120" t="s">
        <v>407</v>
      </c>
      <c r="S193" s="120" t="s">
        <v>1218</v>
      </c>
      <c r="T193" s="122">
        <v>0.08</v>
      </c>
      <c r="U193" s="120" t="s">
        <v>824</v>
      </c>
      <c r="V193" s="123">
        <v>6.1499999999999999E-2</v>
      </c>
      <c r="W193" s="120"/>
      <c r="X193" s="120"/>
      <c r="Y193" s="123"/>
      <c r="Z193" s="123">
        <v>5.9400000000000001E-2</v>
      </c>
      <c r="AA193" s="124">
        <v>47654</v>
      </c>
      <c r="AB193" s="120" t="s">
        <v>411</v>
      </c>
      <c r="AC193" s="120"/>
      <c r="AD193" s="122"/>
      <c r="AE193" s="123"/>
      <c r="AF193" s="124"/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45838</v>
      </c>
      <c r="AO193" s="120"/>
      <c r="AP193" s="123"/>
      <c r="AQ193" s="122">
        <v>-0.01</v>
      </c>
      <c r="AR193" s="122">
        <v>101.01</v>
      </c>
      <c r="AS193" s="122">
        <v>1</v>
      </c>
      <c r="AT193" s="122">
        <v>-1.0000000000000001E-5</v>
      </c>
      <c r="AU193" s="122">
        <v>-1.0000000000000001E-5</v>
      </c>
      <c r="AV193" s="120"/>
      <c r="AW193" s="120"/>
      <c r="AX193" s="120"/>
      <c r="AY193" s="120"/>
      <c r="AZ193" s="123">
        <v>0</v>
      </c>
      <c r="BA193" s="123">
        <v>0</v>
      </c>
    </row>
    <row r="194" spans="1:53" ht="15" customHeight="1">
      <c r="A194" s="121">
        <v>313</v>
      </c>
      <c r="B194" s="121">
        <v>313</v>
      </c>
      <c r="C194" s="121"/>
      <c r="D194" s="120"/>
      <c r="E194" s="120"/>
      <c r="F194" s="121">
        <v>78100009</v>
      </c>
      <c r="G194" s="120" t="s">
        <v>1013</v>
      </c>
      <c r="H194" s="120" t="s">
        <v>2624</v>
      </c>
      <c r="I194" s="120" t="s">
        <v>203</v>
      </c>
      <c r="J194" s="120"/>
      <c r="K194" s="120" t="s">
        <v>463</v>
      </c>
      <c r="L194" s="120" t="s">
        <v>338</v>
      </c>
      <c r="M194" s="120" t="s">
        <v>337</v>
      </c>
      <c r="N194" s="121"/>
      <c r="O194" s="124">
        <v>44285</v>
      </c>
      <c r="P194" s="120" t="s">
        <v>1451</v>
      </c>
      <c r="Q194" s="120" t="s">
        <v>311</v>
      </c>
      <c r="R194" s="120" t="s">
        <v>407</v>
      </c>
      <c r="S194" s="120" t="s">
        <v>1218</v>
      </c>
      <c r="T194" s="122">
        <v>0.72</v>
      </c>
      <c r="U194" s="120" t="s">
        <v>824</v>
      </c>
      <c r="V194" s="123">
        <v>7.2499999999999995E-2</v>
      </c>
      <c r="W194" s="120"/>
      <c r="X194" s="120"/>
      <c r="Y194" s="123"/>
      <c r="Z194" s="123">
        <v>5.7500000000000002E-2</v>
      </c>
      <c r="AA194" s="124">
        <v>46111</v>
      </c>
      <c r="AB194" s="120" t="s">
        <v>411</v>
      </c>
      <c r="AC194" s="120"/>
      <c r="AD194" s="122"/>
      <c r="AE194" s="123"/>
      <c r="AF194" s="124">
        <v>44652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45838</v>
      </c>
      <c r="AO194" s="120"/>
      <c r="AP194" s="123"/>
      <c r="AQ194" s="122">
        <v>9318881.25</v>
      </c>
      <c r="AR194" s="122">
        <v>101.16</v>
      </c>
      <c r="AS194" s="122">
        <v>1</v>
      </c>
      <c r="AT194" s="122">
        <v>9426.98027</v>
      </c>
      <c r="AU194" s="122">
        <v>9426.98027</v>
      </c>
      <c r="AV194" s="120"/>
      <c r="AW194" s="120"/>
      <c r="AX194" s="120"/>
      <c r="AY194" s="120"/>
      <c r="AZ194" s="123">
        <v>3.2829999999999999E-3</v>
      </c>
      <c r="BA194" s="123">
        <v>1.56E-4</v>
      </c>
    </row>
    <row r="195" spans="1:53" ht="15" customHeight="1">
      <c r="A195" s="121">
        <v>313</v>
      </c>
      <c r="B195" s="121">
        <v>313</v>
      </c>
      <c r="C195" s="121"/>
      <c r="D195" s="120"/>
      <c r="E195" s="120"/>
      <c r="F195" s="121">
        <v>78100008</v>
      </c>
      <c r="G195" s="120" t="s">
        <v>1013</v>
      </c>
      <c r="H195" s="120" t="s">
        <v>785</v>
      </c>
      <c r="I195" s="120" t="s">
        <v>203</v>
      </c>
      <c r="J195" s="120"/>
      <c r="K195" s="120" t="s">
        <v>463</v>
      </c>
      <c r="L195" s="120" t="s">
        <v>338</v>
      </c>
      <c r="M195" s="120" t="s">
        <v>337</v>
      </c>
      <c r="N195" s="121"/>
      <c r="O195" s="124">
        <v>44193</v>
      </c>
      <c r="P195" s="120" t="s">
        <v>2616</v>
      </c>
      <c r="Q195" s="120" t="s">
        <v>311</v>
      </c>
      <c r="R195" s="120" t="s">
        <v>407</v>
      </c>
      <c r="S195" s="120" t="s">
        <v>1218</v>
      </c>
      <c r="T195" s="122">
        <v>0.49</v>
      </c>
      <c r="U195" s="120" t="s">
        <v>2613</v>
      </c>
      <c r="V195" s="123">
        <v>3.0499999999999999E-2</v>
      </c>
      <c r="W195" s="120"/>
      <c r="X195" s="120"/>
      <c r="Y195" s="123"/>
      <c r="Z195" s="123">
        <v>5.1799999999999999E-2</v>
      </c>
      <c r="AA195" s="124">
        <v>46019</v>
      </c>
      <c r="AB195" s="120" t="s">
        <v>411</v>
      </c>
      <c r="AC195" s="120"/>
      <c r="AD195" s="122"/>
      <c r="AE195" s="123"/>
      <c r="AF195" s="124">
        <v>44044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45838</v>
      </c>
      <c r="AO195" s="120"/>
      <c r="AP195" s="123"/>
      <c r="AQ195" s="122">
        <v>21255220</v>
      </c>
      <c r="AR195" s="122">
        <v>99.04</v>
      </c>
      <c r="AS195" s="122">
        <v>1</v>
      </c>
      <c r="AT195" s="122">
        <v>21051.169890000001</v>
      </c>
      <c r="AU195" s="122">
        <v>21051.169890000001</v>
      </c>
      <c r="AV195" s="120"/>
      <c r="AW195" s="120"/>
      <c r="AX195" s="120"/>
      <c r="AY195" s="120"/>
      <c r="AZ195" s="123">
        <v>7.3309999999999998E-3</v>
      </c>
      <c r="BA195" s="123">
        <v>3.5E-4</v>
      </c>
    </row>
    <row r="196" spans="1:53" ht="15" customHeight="1">
      <c r="A196" s="121">
        <v>313</v>
      </c>
      <c r="B196" s="121">
        <v>313</v>
      </c>
      <c r="C196" s="121"/>
      <c r="D196" s="120"/>
      <c r="E196" s="120"/>
      <c r="F196" s="121">
        <v>76000308</v>
      </c>
      <c r="G196" s="120" t="s">
        <v>1013</v>
      </c>
      <c r="H196" s="120" t="s">
        <v>2617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44900</v>
      </c>
      <c r="P196" s="120" t="s">
        <v>409</v>
      </c>
      <c r="Q196" s="120" t="s">
        <v>409</v>
      </c>
      <c r="R196" s="120" t="s">
        <v>409</v>
      </c>
      <c r="S196" s="120" t="s">
        <v>1218</v>
      </c>
      <c r="T196" s="122">
        <v>9.9999999999999995E-7</v>
      </c>
      <c r="U196" s="120" t="s">
        <v>2613</v>
      </c>
      <c r="V196" s="123">
        <v>0</v>
      </c>
      <c r="W196" s="120"/>
      <c r="X196" s="120"/>
      <c r="Y196" s="123"/>
      <c r="Z196" s="123">
        <v>0</v>
      </c>
      <c r="AA196" s="124">
        <v>55858</v>
      </c>
      <c r="AB196" s="120" t="s">
        <v>411</v>
      </c>
      <c r="AC196" s="120"/>
      <c r="AD196" s="122"/>
      <c r="AE196" s="123"/>
      <c r="AF196" s="124">
        <v>44896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45838</v>
      </c>
      <c r="AO196" s="120"/>
      <c r="AP196" s="123"/>
      <c r="AQ196" s="122">
        <v>-74941.14</v>
      </c>
      <c r="AR196" s="122">
        <v>100</v>
      </c>
      <c r="AS196" s="122">
        <v>1</v>
      </c>
      <c r="AT196" s="122">
        <v>-74.941140000000004</v>
      </c>
      <c r="AU196" s="122">
        <v>-74.941140000000004</v>
      </c>
      <c r="AV196" s="120"/>
      <c r="AW196" s="120"/>
      <c r="AX196" s="120"/>
      <c r="AY196" s="120"/>
      <c r="AZ196" s="123">
        <v>-2.5999999999999998E-5</v>
      </c>
      <c r="BA196" s="123">
        <v>-9.9999999999999995E-7</v>
      </c>
    </row>
    <row r="197" spans="1:53" ht="15" customHeight="1">
      <c r="A197" s="121">
        <v>313</v>
      </c>
      <c r="B197" s="121">
        <v>313</v>
      </c>
      <c r="C197" s="121"/>
      <c r="D197" s="120"/>
      <c r="E197" s="120"/>
      <c r="F197" s="121">
        <v>76000309</v>
      </c>
      <c r="G197" s="120" t="s">
        <v>1013</v>
      </c>
      <c r="H197" s="120" t="s">
        <v>2617</v>
      </c>
      <c r="I197" s="120" t="s">
        <v>203</v>
      </c>
      <c r="J197" s="120"/>
      <c r="K197" s="120" t="s">
        <v>463</v>
      </c>
      <c r="L197" s="120" t="s">
        <v>338</v>
      </c>
      <c r="M197" s="120" t="s">
        <v>338</v>
      </c>
      <c r="N197" s="121"/>
      <c r="O197" s="124">
        <v>44900</v>
      </c>
      <c r="P197" s="120" t="s">
        <v>409</v>
      </c>
      <c r="Q197" s="120" t="s">
        <v>409</v>
      </c>
      <c r="R197" s="120" t="s">
        <v>409</v>
      </c>
      <c r="S197" s="120" t="s">
        <v>1218</v>
      </c>
      <c r="T197" s="122">
        <v>9.9999999999999995E-7</v>
      </c>
      <c r="U197" s="120" t="s">
        <v>2613</v>
      </c>
      <c r="V197" s="123">
        <v>0</v>
      </c>
      <c r="W197" s="120"/>
      <c r="X197" s="120"/>
      <c r="Y197" s="123"/>
      <c r="Z197" s="123">
        <v>0</v>
      </c>
      <c r="AA197" s="124">
        <v>55858</v>
      </c>
      <c r="AB197" s="120" t="s">
        <v>411</v>
      </c>
      <c r="AC197" s="120"/>
      <c r="AD197" s="122"/>
      <c r="AE197" s="123"/>
      <c r="AF197" s="124">
        <v>44896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45838</v>
      </c>
      <c r="AO197" s="120"/>
      <c r="AP197" s="123"/>
      <c r="AQ197" s="122">
        <v>-72445.63</v>
      </c>
      <c r="AR197" s="122">
        <v>100</v>
      </c>
      <c r="AS197" s="122">
        <v>1</v>
      </c>
      <c r="AT197" s="122">
        <v>-72.445629999999994</v>
      </c>
      <c r="AU197" s="122">
        <v>-72.445629999999994</v>
      </c>
      <c r="AV197" s="120"/>
      <c r="AW197" s="120"/>
      <c r="AX197" s="120"/>
      <c r="AY197" s="120"/>
      <c r="AZ197" s="123">
        <v>-2.5000000000000001E-5</v>
      </c>
      <c r="BA197" s="123">
        <v>-9.9999999999999995E-7</v>
      </c>
    </row>
    <row r="198" spans="1:53" ht="15" customHeight="1">
      <c r="A198" s="121">
        <v>313</v>
      </c>
      <c r="B198" s="121">
        <v>313</v>
      </c>
      <c r="C198" s="121"/>
      <c r="D198" s="120"/>
      <c r="E198" s="120"/>
      <c r="F198" s="121">
        <v>76000310</v>
      </c>
      <c r="G198" s="120" t="s">
        <v>1013</v>
      </c>
      <c r="H198" s="120" t="s">
        <v>2617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44900</v>
      </c>
      <c r="P198" s="120" t="s">
        <v>409</v>
      </c>
      <c r="Q198" s="120" t="s">
        <v>409</v>
      </c>
      <c r="R198" s="120" t="s">
        <v>409</v>
      </c>
      <c r="S198" s="120" t="s">
        <v>1218</v>
      </c>
      <c r="T198" s="122">
        <v>9.9999999999999995E-7</v>
      </c>
      <c r="U198" s="120" t="s">
        <v>2613</v>
      </c>
      <c r="V198" s="123">
        <v>0</v>
      </c>
      <c r="W198" s="120"/>
      <c r="X198" s="120"/>
      <c r="Y198" s="123"/>
      <c r="Z198" s="123">
        <v>0</v>
      </c>
      <c r="AA198" s="124">
        <v>55858</v>
      </c>
      <c r="AB198" s="120" t="s">
        <v>411</v>
      </c>
      <c r="AC198" s="120"/>
      <c r="AD198" s="122"/>
      <c r="AE198" s="123"/>
      <c r="AF198" s="124">
        <v>44896</v>
      </c>
      <c r="AG198" s="120"/>
      <c r="AH198" s="120"/>
      <c r="AI198" s="120"/>
      <c r="AJ198" s="120" t="s">
        <v>338</v>
      </c>
      <c r="AK198" s="120" t="s">
        <v>887</v>
      </c>
      <c r="AL198" s="120"/>
      <c r="AM198" s="120" t="s">
        <v>890</v>
      </c>
      <c r="AN198" s="124">
        <v>45838</v>
      </c>
      <c r="AO198" s="120"/>
      <c r="AP198" s="123"/>
      <c r="AQ198" s="122">
        <v>-8321.5</v>
      </c>
      <c r="AR198" s="122">
        <v>100</v>
      </c>
      <c r="AS198" s="122">
        <v>1</v>
      </c>
      <c r="AT198" s="122">
        <v>-8.3215000000000003</v>
      </c>
      <c r="AU198" s="122">
        <v>-8.3215000000000003</v>
      </c>
      <c r="AV198" s="120"/>
      <c r="AW198" s="120"/>
      <c r="AX198" s="120"/>
      <c r="AY198" s="120"/>
      <c r="AZ198" s="123">
        <v>-1.9999999999999999E-6</v>
      </c>
      <c r="BA198" s="123">
        <v>0</v>
      </c>
    </row>
    <row r="199" spans="1:53" ht="15" customHeight="1">
      <c r="A199" s="121">
        <v>313</v>
      </c>
      <c r="B199" s="121">
        <v>313</v>
      </c>
      <c r="C199" s="121"/>
      <c r="D199" s="120"/>
      <c r="E199" s="120"/>
      <c r="F199" s="121">
        <v>76000311</v>
      </c>
      <c r="G199" s="120" t="s">
        <v>1013</v>
      </c>
      <c r="H199" s="120" t="s">
        <v>2617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44900</v>
      </c>
      <c r="P199" s="120" t="s">
        <v>409</v>
      </c>
      <c r="Q199" s="120" t="s">
        <v>409</v>
      </c>
      <c r="R199" s="120" t="s">
        <v>409</v>
      </c>
      <c r="S199" s="120" t="s">
        <v>1218</v>
      </c>
      <c r="T199" s="122">
        <v>9.9999999999999995E-7</v>
      </c>
      <c r="U199" s="120" t="s">
        <v>2613</v>
      </c>
      <c r="V199" s="123">
        <v>0</v>
      </c>
      <c r="W199" s="120"/>
      <c r="X199" s="120"/>
      <c r="Y199" s="123"/>
      <c r="Z199" s="123">
        <v>0</v>
      </c>
      <c r="AA199" s="124">
        <v>55858</v>
      </c>
      <c r="AB199" s="120" t="s">
        <v>411</v>
      </c>
      <c r="AC199" s="120"/>
      <c r="AD199" s="122"/>
      <c r="AE199" s="123"/>
      <c r="AF199" s="124">
        <v>44896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45838</v>
      </c>
      <c r="AO199" s="120"/>
      <c r="AP199" s="123"/>
      <c r="AQ199" s="122">
        <v>-82759.350000000006</v>
      </c>
      <c r="AR199" s="122">
        <v>100</v>
      </c>
      <c r="AS199" s="122">
        <v>1</v>
      </c>
      <c r="AT199" s="122">
        <v>-82.759349999999998</v>
      </c>
      <c r="AU199" s="122">
        <v>-82.759349999999998</v>
      </c>
      <c r="AV199" s="120"/>
      <c r="AW199" s="120"/>
      <c r="AX199" s="120"/>
      <c r="AY199" s="120"/>
      <c r="AZ199" s="123">
        <v>-2.8E-5</v>
      </c>
      <c r="BA199" s="123">
        <v>-9.9999999999999995E-7</v>
      </c>
    </row>
    <row r="200" spans="1:53" ht="15" customHeight="1">
      <c r="A200" s="121">
        <v>313</v>
      </c>
      <c r="B200" s="121">
        <v>313</v>
      </c>
      <c r="C200" s="121"/>
      <c r="D200" s="120"/>
      <c r="E200" s="120"/>
      <c r="F200" s="121">
        <v>76000312</v>
      </c>
      <c r="G200" s="120" t="s">
        <v>1013</v>
      </c>
      <c r="H200" s="120" t="s">
        <v>2617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44900</v>
      </c>
      <c r="P200" s="120" t="s">
        <v>409</v>
      </c>
      <c r="Q200" s="120" t="s">
        <v>409</v>
      </c>
      <c r="R200" s="120" t="s">
        <v>409</v>
      </c>
      <c r="S200" s="120" t="s">
        <v>1218</v>
      </c>
      <c r="T200" s="122">
        <v>9.9999999999999995E-7</v>
      </c>
      <c r="U200" s="120" t="s">
        <v>2613</v>
      </c>
      <c r="V200" s="123">
        <v>0</v>
      </c>
      <c r="W200" s="120"/>
      <c r="X200" s="120"/>
      <c r="Y200" s="123"/>
      <c r="Z200" s="123">
        <v>0</v>
      </c>
      <c r="AA200" s="124">
        <v>55858</v>
      </c>
      <c r="AB200" s="120" t="s">
        <v>411</v>
      </c>
      <c r="AC200" s="120"/>
      <c r="AD200" s="122"/>
      <c r="AE200" s="123"/>
      <c r="AF200" s="124">
        <v>44866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45838</v>
      </c>
      <c r="AO200" s="120"/>
      <c r="AP200" s="123"/>
      <c r="AQ200" s="122">
        <v>-146836.1</v>
      </c>
      <c r="AR200" s="122">
        <v>100</v>
      </c>
      <c r="AS200" s="122">
        <v>1</v>
      </c>
      <c r="AT200" s="122">
        <v>-146.83609999999999</v>
      </c>
      <c r="AU200" s="122">
        <v>-146.83609999999999</v>
      </c>
      <c r="AV200" s="120"/>
      <c r="AW200" s="120"/>
      <c r="AX200" s="120"/>
      <c r="AY200" s="120"/>
      <c r="AZ200" s="123">
        <v>-5.1E-5</v>
      </c>
      <c r="BA200" s="123">
        <v>-1.9999999999999999E-6</v>
      </c>
    </row>
    <row r="201" spans="1:53" ht="15" customHeight="1">
      <c r="A201" s="121">
        <v>313</v>
      </c>
      <c r="B201" s="121">
        <v>313</v>
      </c>
      <c r="C201" s="121"/>
      <c r="D201" s="120"/>
      <c r="E201" s="120"/>
      <c r="F201" s="121">
        <v>76000307</v>
      </c>
      <c r="G201" s="120" t="s">
        <v>1013</v>
      </c>
      <c r="H201" s="120" t="s">
        <v>2617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44900</v>
      </c>
      <c r="P201" s="120" t="s">
        <v>409</v>
      </c>
      <c r="Q201" s="120" t="s">
        <v>409</v>
      </c>
      <c r="R201" s="120" t="s">
        <v>409</v>
      </c>
      <c r="S201" s="120" t="s">
        <v>1218</v>
      </c>
      <c r="T201" s="122">
        <v>9.9999999999999995E-7</v>
      </c>
      <c r="U201" s="120" t="s">
        <v>2613</v>
      </c>
      <c r="V201" s="123">
        <v>0</v>
      </c>
      <c r="W201" s="120"/>
      <c r="X201" s="120"/>
      <c r="Y201" s="123"/>
      <c r="Z201" s="123">
        <v>0</v>
      </c>
      <c r="AA201" s="124">
        <v>55858</v>
      </c>
      <c r="AB201" s="120" t="s">
        <v>411</v>
      </c>
      <c r="AC201" s="120"/>
      <c r="AD201" s="122"/>
      <c r="AE201" s="123"/>
      <c r="AF201" s="124">
        <v>44896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45838</v>
      </c>
      <c r="AO201" s="120"/>
      <c r="AP201" s="123"/>
      <c r="AQ201" s="122">
        <v>-118549.44</v>
      </c>
      <c r="AR201" s="122">
        <v>100</v>
      </c>
      <c r="AS201" s="122">
        <v>1</v>
      </c>
      <c r="AT201" s="122">
        <v>-118.54944</v>
      </c>
      <c r="AU201" s="122">
        <v>-118.54944</v>
      </c>
      <c r="AV201" s="120"/>
      <c r="AW201" s="120"/>
      <c r="AX201" s="120"/>
      <c r="AY201" s="120"/>
      <c r="AZ201" s="123">
        <v>-4.1E-5</v>
      </c>
      <c r="BA201" s="123">
        <v>-9.9999999999999995E-7</v>
      </c>
    </row>
    <row r="202" spans="1:53" ht="15" customHeight="1">
      <c r="A202" s="121">
        <v>313</v>
      </c>
      <c r="B202" s="121">
        <v>313</v>
      </c>
      <c r="C202" s="121"/>
      <c r="D202" s="120"/>
      <c r="E202" s="120"/>
      <c r="F202" s="121">
        <v>76000313</v>
      </c>
      <c r="G202" s="120" t="s">
        <v>1013</v>
      </c>
      <c r="H202" s="120" t="s">
        <v>2617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45371</v>
      </c>
      <c r="P202" s="120" t="s">
        <v>409</v>
      </c>
      <c r="Q202" s="120" t="s">
        <v>409</v>
      </c>
      <c r="R202" s="120" t="s">
        <v>409</v>
      </c>
      <c r="S202" s="120" t="s">
        <v>1218</v>
      </c>
      <c r="T202" s="122">
        <v>8.76</v>
      </c>
      <c r="U202" s="120" t="s">
        <v>2613</v>
      </c>
      <c r="V202" s="123">
        <v>0</v>
      </c>
      <c r="W202" s="120"/>
      <c r="X202" s="120"/>
      <c r="Y202" s="123"/>
      <c r="Z202" s="123">
        <v>-1.18E-2</v>
      </c>
      <c r="AA202" s="124">
        <v>55243</v>
      </c>
      <c r="AB202" s="120" t="s">
        <v>411</v>
      </c>
      <c r="AC202" s="120"/>
      <c r="AD202" s="122"/>
      <c r="AE202" s="123"/>
      <c r="AF202" s="124">
        <v>45352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45838</v>
      </c>
      <c r="AO202" s="120"/>
      <c r="AP202" s="123"/>
      <c r="AQ202" s="122">
        <v>4091981.03</v>
      </c>
      <c r="AR202" s="122">
        <v>116.13</v>
      </c>
      <c r="AS202" s="122">
        <v>1</v>
      </c>
      <c r="AT202" s="122">
        <v>4752.01757</v>
      </c>
      <c r="AU202" s="122">
        <v>4752.01757</v>
      </c>
      <c r="AV202" s="120"/>
      <c r="AW202" s="120"/>
      <c r="AX202" s="120"/>
      <c r="AY202" s="120"/>
      <c r="AZ202" s="123">
        <v>1.655E-3</v>
      </c>
      <c r="BA202" s="123">
        <v>7.8999999999999996E-5</v>
      </c>
    </row>
    <row r="203" spans="1:53" ht="15" customHeight="1">
      <c r="A203" s="121">
        <v>313</v>
      </c>
      <c r="B203" s="121">
        <v>313</v>
      </c>
      <c r="C203" s="121"/>
      <c r="D203" s="120"/>
      <c r="E203" s="120"/>
      <c r="F203" s="121">
        <v>76000316</v>
      </c>
      <c r="G203" s="120" t="s">
        <v>1013</v>
      </c>
      <c r="H203" s="120" t="s">
        <v>2617</v>
      </c>
      <c r="I203" s="120" t="s">
        <v>203</v>
      </c>
      <c r="J203" s="120"/>
      <c r="K203" s="120" t="s">
        <v>463</v>
      </c>
      <c r="L203" s="120" t="s">
        <v>338</v>
      </c>
      <c r="M203" s="120" t="s">
        <v>338</v>
      </c>
      <c r="N203" s="121"/>
      <c r="O203" s="124">
        <v>45371</v>
      </c>
      <c r="P203" s="120" t="s">
        <v>409</v>
      </c>
      <c r="Q203" s="120" t="s">
        <v>409</v>
      </c>
      <c r="R203" s="120" t="s">
        <v>409</v>
      </c>
      <c r="S203" s="120" t="s">
        <v>1218</v>
      </c>
      <c r="T203" s="122">
        <v>8.9</v>
      </c>
      <c r="U203" s="120" t="s">
        <v>2613</v>
      </c>
      <c r="V203" s="123">
        <v>0</v>
      </c>
      <c r="W203" s="120"/>
      <c r="X203" s="120"/>
      <c r="Y203" s="123"/>
      <c r="Z203" s="123">
        <v>-1.6199999999999999E-2</v>
      </c>
      <c r="AA203" s="124">
        <v>55243</v>
      </c>
      <c r="AB203" s="120" t="s">
        <v>411</v>
      </c>
      <c r="AC203" s="120"/>
      <c r="AD203" s="122"/>
      <c r="AE203" s="123"/>
      <c r="AF203" s="124">
        <v>45352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45838</v>
      </c>
      <c r="AO203" s="120"/>
      <c r="AP203" s="123"/>
      <c r="AQ203" s="122">
        <v>4243507.16</v>
      </c>
      <c r="AR203" s="122">
        <v>120.81</v>
      </c>
      <c r="AS203" s="122">
        <v>1</v>
      </c>
      <c r="AT203" s="122">
        <v>5126.5810000000001</v>
      </c>
      <c r="AU203" s="122">
        <v>5126.5810000000001</v>
      </c>
      <c r="AV203" s="120"/>
      <c r="AW203" s="120"/>
      <c r="AX203" s="120"/>
      <c r="AY203" s="120"/>
      <c r="AZ203" s="123">
        <v>1.7849999999999999E-3</v>
      </c>
      <c r="BA203" s="123">
        <v>8.5000000000000006E-5</v>
      </c>
    </row>
    <row r="204" spans="1:53" ht="15" customHeight="1">
      <c r="A204" s="121">
        <v>313</v>
      </c>
      <c r="B204" s="121">
        <v>313</v>
      </c>
      <c r="C204" s="121"/>
      <c r="D204" s="120"/>
      <c r="E204" s="120"/>
      <c r="F204" s="121">
        <v>76000317</v>
      </c>
      <c r="G204" s="120" t="s">
        <v>1013</v>
      </c>
      <c r="H204" s="120" t="s">
        <v>2617</v>
      </c>
      <c r="I204" s="120" t="s">
        <v>203</v>
      </c>
      <c r="J204" s="120"/>
      <c r="K204" s="120" t="s">
        <v>463</v>
      </c>
      <c r="L204" s="120" t="s">
        <v>338</v>
      </c>
      <c r="M204" s="120" t="s">
        <v>338</v>
      </c>
      <c r="N204" s="121"/>
      <c r="O204" s="124">
        <v>45371</v>
      </c>
      <c r="P204" s="120" t="s">
        <v>409</v>
      </c>
      <c r="Q204" s="120" t="s">
        <v>409</v>
      </c>
      <c r="R204" s="120" t="s">
        <v>409</v>
      </c>
      <c r="S204" s="120" t="s">
        <v>1218</v>
      </c>
      <c r="T204" s="122">
        <v>8.92</v>
      </c>
      <c r="U204" s="120" t="s">
        <v>2613</v>
      </c>
      <c r="V204" s="123">
        <v>0</v>
      </c>
      <c r="W204" s="120"/>
      <c r="X204" s="120"/>
      <c r="Y204" s="123"/>
      <c r="Z204" s="123">
        <v>-1.6899999999999998E-2</v>
      </c>
      <c r="AA204" s="124">
        <v>55243</v>
      </c>
      <c r="AB204" s="120" t="s">
        <v>411</v>
      </c>
      <c r="AC204" s="120"/>
      <c r="AD204" s="122"/>
      <c r="AE204" s="123"/>
      <c r="AF204" s="124">
        <v>45352</v>
      </c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45838</v>
      </c>
      <c r="AO204" s="120"/>
      <c r="AP204" s="123"/>
      <c r="AQ204" s="122">
        <v>15564114.449999999</v>
      </c>
      <c r="AR204" s="122">
        <v>121.53</v>
      </c>
      <c r="AS204" s="122">
        <v>1</v>
      </c>
      <c r="AT204" s="122">
        <v>18915.068289999999</v>
      </c>
      <c r="AU204" s="122">
        <v>18915.068289999999</v>
      </c>
      <c r="AV204" s="120"/>
      <c r="AW204" s="120"/>
      <c r="AX204" s="120"/>
      <c r="AY204" s="120"/>
      <c r="AZ204" s="123">
        <v>6.587E-3</v>
      </c>
      <c r="BA204" s="123">
        <v>3.1500000000000001E-4</v>
      </c>
    </row>
    <row r="205" spans="1:53" ht="15" customHeight="1">
      <c r="A205" s="121">
        <v>313</v>
      </c>
      <c r="B205" s="121">
        <v>313</v>
      </c>
      <c r="C205" s="121"/>
      <c r="D205" s="120"/>
      <c r="E205" s="120"/>
      <c r="F205" s="121">
        <v>76000320</v>
      </c>
      <c r="G205" s="120" t="s">
        <v>1013</v>
      </c>
      <c r="H205" s="120" t="s">
        <v>2617</v>
      </c>
      <c r="I205" s="120" t="s">
        <v>203</v>
      </c>
      <c r="J205" s="120"/>
      <c r="K205" s="120" t="s">
        <v>463</v>
      </c>
      <c r="L205" s="120" t="s">
        <v>338</v>
      </c>
      <c r="M205" s="120" t="s">
        <v>338</v>
      </c>
      <c r="N205" s="121"/>
      <c r="O205" s="124">
        <v>45371</v>
      </c>
      <c r="P205" s="120" t="s">
        <v>409</v>
      </c>
      <c r="Q205" s="120" t="s">
        <v>409</v>
      </c>
      <c r="R205" s="120" t="s">
        <v>409</v>
      </c>
      <c r="S205" s="120" t="s">
        <v>1218</v>
      </c>
      <c r="T205" s="122">
        <v>8.42</v>
      </c>
      <c r="U205" s="120" t="s">
        <v>824</v>
      </c>
      <c r="V205" s="123">
        <v>0.06</v>
      </c>
      <c r="W205" s="120"/>
      <c r="X205" s="120"/>
      <c r="Y205" s="123"/>
      <c r="Z205" s="123">
        <v>5.5100000000000003E-2</v>
      </c>
      <c r="AA205" s="124">
        <v>55243</v>
      </c>
      <c r="AB205" s="120" t="s">
        <v>411</v>
      </c>
      <c r="AC205" s="120"/>
      <c r="AD205" s="122"/>
      <c r="AE205" s="123"/>
      <c r="AF205" s="124">
        <v>45352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45838</v>
      </c>
      <c r="AO205" s="120"/>
      <c r="AP205" s="123"/>
      <c r="AQ205" s="122">
        <v>14420956.720000001</v>
      </c>
      <c r="AR205" s="122">
        <v>105.78</v>
      </c>
      <c r="AS205" s="122">
        <v>1</v>
      </c>
      <c r="AT205" s="122">
        <v>15254.488020000001</v>
      </c>
      <c r="AU205" s="122">
        <v>15254.488020000001</v>
      </c>
      <c r="AV205" s="120"/>
      <c r="AW205" s="120"/>
      <c r="AX205" s="120"/>
      <c r="AY205" s="120"/>
      <c r="AZ205" s="123">
        <v>5.3119999999999999E-3</v>
      </c>
      <c r="BA205" s="123">
        <v>2.5399999999999999E-4</v>
      </c>
    </row>
    <row r="206" spans="1:53" ht="15" customHeight="1">
      <c r="A206" s="121">
        <v>313</v>
      </c>
      <c r="B206" s="121">
        <v>313</v>
      </c>
      <c r="C206" s="121"/>
      <c r="D206" s="120"/>
      <c r="E206" s="120"/>
      <c r="F206" s="121">
        <v>76000321</v>
      </c>
      <c r="G206" s="120" t="s">
        <v>1013</v>
      </c>
      <c r="H206" s="120" t="s">
        <v>2617</v>
      </c>
      <c r="I206" s="120" t="s">
        <v>203</v>
      </c>
      <c r="J206" s="120"/>
      <c r="K206" s="120" t="s">
        <v>463</v>
      </c>
      <c r="L206" s="120" t="s">
        <v>338</v>
      </c>
      <c r="M206" s="120" t="s">
        <v>338</v>
      </c>
      <c r="N206" s="121"/>
      <c r="O206" s="124">
        <v>45371</v>
      </c>
      <c r="P206" s="120" t="s">
        <v>409</v>
      </c>
      <c r="Q206" s="120" t="s">
        <v>409</v>
      </c>
      <c r="R206" s="120" t="s">
        <v>409</v>
      </c>
      <c r="S206" s="120" t="s">
        <v>1218</v>
      </c>
      <c r="T206" s="122">
        <v>13.08</v>
      </c>
      <c r="U206" s="120" t="s">
        <v>2613</v>
      </c>
      <c r="V206" s="123">
        <v>0</v>
      </c>
      <c r="W206" s="120"/>
      <c r="X206" s="120"/>
      <c r="Y206" s="123"/>
      <c r="Z206" s="123">
        <v>-4.1000000000000003E-3</v>
      </c>
      <c r="AA206" s="124">
        <v>55243</v>
      </c>
      <c r="AB206" s="120" t="s">
        <v>411</v>
      </c>
      <c r="AC206" s="120"/>
      <c r="AD206" s="122"/>
      <c r="AE206" s="123"/>
      <c r="AF206" s="124">
        <v>45352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45838</v>
      </c>
      <c r="AO206" s="120"/>
      <c r="AP206" s="123"/>
      <c r="AQ206" s="122">
        <v>5820791.8600000003</v>
      </c>
      <c r="AR206" s="122">
        <v>105.5</v>
      </c>
      <c r="AS206" s="122">
        <v>1</v>
      </c>
      <c r="AT206" s="122">
        <v>6140.93541</v>
      </c>
      <c r="AU206" s="122">
        <v>6140.93541</v>
      </c>
      <c r="AV206" s="120"/>
      <c r="AW206" s="120"/>
      <c r="AX206" s="120"/>
      <c r="AY206" s="120"/>
      <c r="AZ206" s="123">
        <v>2.1380000000000001E-3</v>
      </c>
      <c r="BA206" s="123">
        <v>1.02E-4</v>
      </c>
    </row>
    <row r="207" spans="1:53" ht="15" customHeight="1">
      <c r="A207" s="121">
        <v>313</v>
      </c>
      <c r="B207" s="121">
        <v>313</v>
      </c>
      <c r="C207" s="121"/>
      <c r="D207" s="120"/>
      <c r="E207" s="120"/>
      <c r="F207" s="121">
        <v>76000323</v>
      </c>
      <c r="G207" s="120" t="s">
        <v>1013</v>
      </c>
      <c r="H207" s="120" t="s">
        <v>2617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45371</v>
      </c>
      <c r="P207" s="120" t="s">
        <v>409</v>
      </c>
      <c r="Q207" s="120" t="s">
        <v>409</v>
      </c>
      <c r="R207" s="120" t="s">
        <v>409</v>
      </c>
      <c r="S207" s="120" t="s">
        <v>1218</v>
      </c>
      <c r="T207" s="122">
        <v>13.15</v>
      </c>
      <c r="U207" s="120" t="s">
        <v>2613</v>
      </c>
      <c r="V207" s="123">
        <v>0</v>
      </c>
      <c r="W207" s="120"/>
      <c r="X207" s="120"/>
      <c r="Y207" s="123"/>
      <c r="Z207" s="123">
        <v>-5.4999999999999997E-3</v>
      </c>
      <c r="AA207" s="124">
        <v>55243</v>
      </c>
      <c r="AB207" s="120" t="s">
        <v>411</v>
      </c>
      <c r="AC207" s="120"/>
      <c r="AD207" s="122"/>
      <c r="AE207" s="123"/>
      <c r="AF207" s="124">
        <v>45352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45838</v>
      </c>
      <c r="AO207" s="120"/>
      <c r="AP207" s="123"/>
      <c r="AQ207" s="122">
        <v>2835388.34</v>
      </c>
      <c r="AR207" s="122">
        <v>107.37</v>
      </c>
      <c r="AS207" s="122">
        <v>1</v>
      </c>
      <c r="AT207" s="122">
        <v>3044.35646</v>
      </c>
      <c r="AU207" s="122">
        <v>3044.35646</v>
      </c>
      <c r="AV207" s="120"/>
      <c r="AW207" s="120"/>
      <c r="AX207" s="120"/>
      <c r="AY207" s="120"/>
      <c r="AZ207" s="123">
        <v>1.06E-3</v>
      </c>
      <c r="BA207" s="123">
        <v>5.0000000000000002E-5</v>
      </c>
    </row>
    <row r="208" spans="1:53" ht="15" customHeight="1">
      <c r="A208" s="121">
        <v>313</v>
      </c>
      <c r="B208" s="121">
        <v>313</v>
      </c>
      <c r="C208" s="121"/>
      <c r="D208" s="120"/>
      <c r="E208" s="120"/>
      <c r="F208" s="121">
        <v>76000315</v>
      </c>
      <c r="G208" s="120" t="s">
        <v>1013</v>
      </c>
      <c r="H208" s="120" t="s">
        <v>2617</v>
      </c>
      <c r="I208" s="120" t="s">
        <v>203</v>
      </c>
      <c r="J208" s="120"/>
      <c r="K208" s="120" t="s">
        <v>463</v>
      </c>
      <c r="L208" s="120" t="s">
        <v>338</v>
      </c>
      <c r="M208" s="120" t="s">
        <v>338</v>
      </c>
      <c r="N208" s="121"/>
      <c r="O208" s="124">
        <v>45371</v>
      </c>
      <c r="P208" s="120" t="s">
        <v>409</v>
      </c>
      <c r="Q208" s="120" t="s">
        <v>409</v>
      </c>
      <c r="R208" s="120" t="s">
        <v>409</v>
      </c>
      <c r="S208" s="120" t="s">
        <v>1218</v>
      </c>
      <c r="T208" s="122">
        <v>8.7799999999999994</v>
      </c>
      <c r="U208" s="120" t="s">
        <v>2613</v>
      </c>
      <c r="V208" s="123">
        <v>0</v>
      </c>
      <c r="W208" s="120"/>
      <c r="X208" s="120"/>
      <c r="Y208" s="123"/>
      <c r="Z208" s="123">
        <v>-1.2500000000000001E-2</v>
      </c>
      <c r="AA208" s="124">
        <v>55243</v>
      </c>
      <c r="AB208" s="120" t="s">
        <v>411</v>
      </c>
      <c r="AC208" s="120"/>
      <c r="AD208" s="122"/>
      <c r="AE208" s="123"/>
      <c r="AF208" s="124">
        <v>45352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45838</v>
      </c>
      <c r="AO208" s="120"/>
      <c r="AP208" s="123"/>
      <c r="AQ208" s="122">
        <v>5306723.0199999996</v>
      </c>
      <c r="AR208" s="122">
        <v>116.84</v>
      </c>
      <c r="AS208" s="122">
        <v>1</v>
      </c>
      <c r="AT208" s="122">
        <v>6200.37518</v>
      </c>
      <c r="AU208" s="122">
        <v>6200.37518</v>
      </c>
      <c r="AV208" s="120"/>
      <c r="AW208" s="120"/>
      <c r="AX208" s="120"/>
      <c r="AY208" s="120"/>
      <c r="AZ208" s="123">
        <v>2.1589999999999999E-3</v>
      </c>
      <c r="BA208" s="123">
        <v>1.03E-4</v>
      </c>
    </row>
    <row r="209" spans="1:53" ht="15" customHeight="1">
      <c r="A209" s="121">
        <v>313</v>
      </c>
      <c r="B209" s="121">
        <v>313</v>
      </c>
      <c r="C209" s="121"/>
      <c r="D209" s="120"/>
      <c r="E209" s="120"/>
      <c r="F209" s="121">
        <v>76000324</v>
      </c>
      <c r="G209" s="120" t="s">
        <v>1013</v>
      </c>
      <c r="H209" s="120" t="s">
        <v>2617</v>
      </c>
      <c r="I209" s="120" t="s">
        <v>203</v>
      </c>
      <c r="J209" s="120"/>
      <c r="K209" s="120" t="s">
        <v>463</v>
      </c>
      <c r="L209" s="120" t="s">
        <v>338</v>
      </c>
      <c r="M209" s="120" t="s">
        <v>338</v>
      </c>
      <c r="N209" s="121"/>
      <c r="O209" s="124">
        <v>45371</v>
      </c>
      <c r="P209" s="120" t="s">
        <v>409</v>
      </c>
      <c r="Q209" s="120" t="s">
        <v>409</v>
      </c>
      <c r="R209" s="120" t="s">
        <v>409</v>
      </c>
      <c r="S209" s="120" t="s">
        <v>1218</v>
      </c>
      <c r="T209" s="122">
        <v>12.92</v>
      </c>
      <c r="U209" s="120" t="s">
        <v>2613</v>
      </c>
      <c r="V209" s="123">
        <v>0</v>
      </c>
      <c r="W209" s="120"/>
      <c r="X209" s="120"/>
      <c r="Y209" s="123"/>
      <c r="Z209" s="123">
        <v>-1.2999999999999999E-3</v>
      </c>
      <c r="AA209" s="124">
        <v>55243</v>
      </c>
      <c r="AB209" s="120" t="s">
        <v>411</v>
      </c>
      <c r="AC209" s="120"/>
      <c r="AD209" s="122"/>
      <c r="AE209" s="123"/>
      <c r="AF209" s="124">
        <v>45352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45838</v>
      </c>
      <c r="AO209" s="120"/>
      <c r="AP209" s="123"/>
      <c r="AQ209" s="122">
        <v>8035954.6600000001</v>
      </c>
      <c r="AR209" s="122">
        <v>101.66</v>
      </c>
      <c r="AS209" s="122">
        <v>1</v>
      </c>
      <c r="AT209" s="122">
        <v>8169.3515100000004</v>
      </c>
      <c r="AU209" s="122">
        <v>8169.3515100000004</v>
      </c>
      <c r="AV209" s="120"/>
      <c r="AW209" s="120"/>
      <c r="AX209" s="120"/>
      <c r="AY209" s="120"/>
      <c r="AZ209" s="123">
        <v>2.8449999999999999E-3</v>
      </c>
      <c r="BA209" s="123">
        <v>1.36E-4</v>
      </c>
    </row>
    <row r="210" spans="1:53" ht="15" customHeight="1">
      <c r="A210" s="121">
        <v>313</v>
      </c>
      <c r="B210" s="121">
        <v>313</v>
      </c>
      <c r="C210" s="121"/>
      <c r="D210" s="120"/>
      <c r="E210" s="120"/>
      <c r="F210" s="121">
        <v>76000305</v>
      </c>
      <c r="G210" s="120" t="s">
        <v>1013</v>
      </c>
      <c r="H210" s="120" t="s">
        <v>2617</v>
      </c>
      <c r="I210" s="120" t="s">
        <v>203</v>
      </c>
      <c r="J210" s="120"/>
      <c r="K210" s="120" t="s">
        <v>463</v>
      </c>
      <c r="L210" s="120" t="s">
        <v>338</v>
      </c>
      <c r="M210" s="120" t="s">
        <v>338</v>
      </c>
      <c r="N210" s="121"/>
      <c r="O210" s="124">
        <v>44892</v>
      </c>
      <c r="P210" s="120" t="s">
        <v>409</v>
      </c>
      <c r="Q210" s="120" t="s">
        <v>409</v>
      </c>
      <c r="R210" s="120" t="s">
        <v>409</v>
      </c>
      <c r="S210" s="120" t="s">
        <v>1218</v>
      </c>
      <c r="T210" s="122">
        <v>7.2</v>
      </c>
      <c r="U210" s="120" t="s">
        <v>824</v>
      </c>
      <c r="V210" s="123">
        <v>0.06</v>
      </c>
      <c r="W210" s="120"/>
      <c r="X210" s="120"/>
      <c r="Y210" s="123"/>
      <c r="Z210" s="123">
        <v>4.6100000000000002E-2</v>
      </c>
      <c r="AA210" s="124">
        <v>55243</v>
      </c>
      <c r="AB210" s="120" t="s">
        <v>411</v>
      </c>
      <c r="AC210" s="120"/>
      <c r="AD210" s="122"/>
      <c r="AE210" s="123"/>
      <c r="AF210" s="124">
        <v>44866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45838</v>
      </c>
      <c r="AO210" s="120"/>
      <c r="AP210" s="123"/>
      <c r="AQ210" s="122">
        <v>18519315.969999999</v>
      </c>
      <c r="AR210" s="122">
        <v>111.4</v>
      </c>
      <c r="AS210" s="122">
        <v>1</v>
      </c>
      <c r="AT210" s="122">
        <v>20630.51799</v>
      </c>
      <c r="AU210" s="122">
        <v>20630.51799</v>
      </c>
      <c r="AV210" s="120"/>
      <c r="AW210" s="120"/>
      <c r="AX210" s="120"/>
      <c r="AY210" s="120"/>
      <c r="AZ210" s="123">
        <v>7.1850000000000004E-3</v>
      </c>
      <c r="BA210" s="123">
        <v>3.4299999999999999E-4</v>
      </c>
    </row>
    <row r="211" spans="1:53" ht="15" customHeight="1">
      <c r="A211" s="121">
        <v>313</v>
      </c>
      <c r="B211" s="121">
        <v>313</v>
      </c>
      <c r="C211" s="121"/>
      <c r="D211" s="120"/>
      <c r="E211" s="120"/>
      <c r="F211" s="121">
        <v>76000303</v>
      </c>
      <c r="G211" s="120" t="s">
        <v>1013</v>
      </c>
      <c r="H211" s="120" t="s">
        <v>2617</v>
      </c>
      <c r="I211" s="120" t="s">
        <v>203</v>
      </c>
      <c r="J211" s="120"/>
      <c r="K211" s="120" t="s">
        <v>463</v>
      </c>
      <c r="L211" s="120" t="s">
        <v>338</v>
      </c>
      <c r="M211" s="120" t="s">
        <v>338</v>
      </c>
      <c r="N211" s="121"/>
      <c r="O211" s="124">
        <v>44892</v>
      </c>
      <c r="P211" s="120" t="s">
        <v>409</v>
      </c>
      <c r="Q211" s="120" t="s">
        <v>409</v>
      </c>
      <c r="R211" s="120" t="s">
        <v>409</v>
      </c>
      <c r="S211" s="120" t="s">
        <v>1218</v>
      </c>
      <c r="T211" s="122">
        <v>7.44</v>
      </c>
      <c r="U211" s="120" t="s">
        <v>2613</v>
      </c>
      <c r="V211" s="123">
        <v>0</v>
      </c>
      <c r="W211" s="120"/>
      <c r="X211" s="120"/>
      <c r="Y211" s="123"/>
      <c r="Z211" s="123">
        <v>-4.7999999999999996E-3</v>
      </c>
      <c r="AA211" s="124">
        <v>55243</v>
      </c>
      <c r="AB211" s="120" t="s">
        <v>411</v>
      </c>
      <c r="AC211" s="120"/>
      <c r="AD211" s="122"/>
      <c r="AE211" s="123"/>
      <c r="AF211" s="124">
        <v>44866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45838</v>
      </c>
      <c r="AO211" s="120"/>
      <c r="AP211" s="123"/>
      <c r="AQ211" s="122">
        <v>2707282.93</v>
      </c>
      <c r="AR211" s="122">
        <v>102.58</v>
      </c>
      <c r="AS211" s="122">
        <v>1</v>
      </c>
      <c r="AT211" s="122">
        <v>2777.1308300000001</v>
      </c>
      <c r="AU211" s="122">
        <v>2777.1308300000001</v>
      </c>
      <c r="AV211" s="120"/>
      <c r="AW211" s="120"/>
      <c r="AX211" s="120"/>
      <c r="AY211" s="120"/>
      <c r="AZ211" s="123">
        <v>9.6699999999999998E-4</v>
      </c>
      <c r="BA211" s="123">
        <v>4.6E-5</v>
      </c>
    </row>
    <row r="212" spans="1:53" ht="15" customHeight="1">
      <c r="A212" s="121">
        <v>313</v>
      </c>
      <c r="B212" s="121">
        <v>313</v>
      </c>
      <c r="C212" s="121"/>
      <c r="D212" s="120"/>
      <c r="E212" s="120"/>
      <c r="F212" s="121">
        <v>75004443</v>
      </c>
      <c r="G212" s="120" t="s">
        <v>1013</v>
      </c>
      <c r="H212" s="120" t="s">
        <v>785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1"/>
      <c r="O212" s="124">
        <v>44195</v>
      </c>
      <c r="P212" s="120" t="s">
        <v>2616</v>
      </c>
      <c r="Q212" s="120" t="s">
        <v>311</v>
      </c>
      <c r="R212" s="120" t="s">
        <v>407</v>
      </c>
      <c r="S212" s="120" t="s">
        <v>1218</v>
      </c>
      <c r="T212" s="122">
        <v>6.24</v>
      </c>
      <c r="U212" s="120" t="s">
        <v>824</v>
      </c>
      <c r="V212" s="123">
        <v>6.25E-2</v>
      </c>
      <c r="W212" s="120"/>
      <c r="X212" s="120"/>
      <c r="Y212" s="123"/>
      <c r="Z212" s="123">
        <v>6.3200000000000006E-2</v>
      </c>
      <c r="AA212" s="124">
        <v>49562</v>
      </c>
      <c r="AB212" s="120" t="s">
        <v>411</v>
      </c>
      <c r="AC212" s="120"/>
      <c r="AD212" s="122"/>
      <c r="AE212" s="123"/>
      <c r="AF212" s="124">
        <v>44896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45838</v>
      </c>
      <c r="AO212" s="120"/>
      <c r="AP212" s="123"/>
      <c r="AQ212" s="122">
        <v>1176019.1000000001</v>
      </c>
      <c r="AR212" s="122">
        <v>100.77</v>
      </c>
      <c r="AS212" s="122">
        <v>1</v>
      </c>
      <c r="AT212" s="122">
        <v>1185.0744500000001</v>
      </c>
      <c r="AU212" s="122">
        <v>1185.0744500000001</v>
      </c>
      <c r="AV212" s="120"/>
      <c r="AW212" s="120"/>
      <c r="AX212" s="120"/>
      <c r="AY212" s="120"/>
      <c r="AZ212" s="123">
        <v>4.1199999999999999E-4</v>
      </c>
      <c r="BA212" s="123">
        <v>1.9000000000000001E-5</v>
      </c>
    </row>
    <row r="213" spans="1:53" ht="15" customHeight="1">
      <c r="A213" s="121">
        <v>313</v>
      </c>
      <c r="B213" s="121">
        <v>313</v>
      </c>
      <c r="C213" s="121"/>
      <c r="D213" s="120"/>
      <c r="E213" s="120"/>
      <c r="F213" s="121">
        <v>75004444</v>
      </c>
      <c r="G213" s="120" t="s">
        <v>1013</v>
      </c>
      <c r="H213" s="120" t="s">
        <v>785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44195</v>
      </c>
      <c r="P213" s="120" t="s">
        <v>2616</v>
      </c>
      <c r="Q213" s="120" t="s">
        <v>311</v>
      </c>
      <c r="R213" s="120" t="s">
        <v>407</v>
      </c>
      <c r="S213" s="120" t="s">
        <v>1218</v>
      </c>
      <c r="T213" s="122">
        <v>6.24</v>
      </c>
      <c r="U213" s="120" t="s">
        <v>824</v>
      </c>
      <c r="V213" s="123">
        <v>6.25E-2</v>
      </c>
      <c r="W213" s="120"/>
      <c r="X213" s="120"/>
      <c r="Y213" s="123"/>
      <c r="Z213" s="123">
        <v>6.3200000000000006E-2</v>
      </c>
      <c r="AA213" s="124">
        <v>49562</v>
      </c>
      <c r="AB213" s="120" t="s">
        <v>411</v>
      </c>
      <c r="AC213" s="120"/>
      <c r="AD213" s="122"/>
      <c r="AE213" s="123"/>
      <c r="AF213" s="124">
        <v>44896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45838</v>
      </c>
      <c r="AO213" s="120"/>
      <c r="AP213" s="123"/>
      <c r="AQ213" s="122">
        <v>392006.69</v>
      </c>
      <c r="AR213" s="122">
        <v>100.77</v>
      </c>
      <c r="AS213" s="122">
        <v>1</v>
      </c>
      <c r="AT213" s="122">
        <v>395.02514000000002</v>
      </c>
      <c r="AU213" s="122">
        <v>395.02514000000002</v>
      </c>
      <c r="AV213" s="120"/>
      <c r="AW213" s="120"/>
      <c r="AX213" s="120"/>
      <c r="AY213" s="120"/>
      <c r="AZ213" s="123">
        <v>1.37E-4</v>
      </c>
      <c r="BA213" s="123">
        <v>6.0000000000000002E-6</v>
      </c>
    </row>
    <row r="214" spans="1:53" ht="15" customHeight="1">
      <c r="A214" s="121">
        <v>313</v>
      </c>
      <c r="B214" s="121">
        <v>313</v>
      </c>
      <c r="C214" s="121"/>
      <c r="D214" s="120"/>
      <c r="E214" s="120"/>
      <c r="F214" s="121">
        <v>75004445</v>
      </c>
      <c r="G214" s="120" t="s">
        <v>1013</v>
      </c>
      <c r="H214" s="120" t="s">
        <v>812</v>
      </c>
      <c r="I214" s="120" t="s">
        <v>203</v>
      </c>
      <c r="J214" s="120"/>
      <c r="K214" s="120" t="s">
        <v>463</v>
      </c>
      <c r="L214" s="120" t="s">
        <v>338</v>
      </c>
      <c r="M214" s="120" t="s">
        <v>337</v>
      </c>
      <c r="N214" s="121"/>
      <c r="O214" s="124">
        <v>44195</v>
      </c>
      <c r="P214" s="120" t="s">
        <v>2616</v>
      </c>
      <c r="Q214" s="120" t="s">
        <v>311</v>
      </c>
      <c r="R214" s="120" t="s">
        <v>407</v>
      </c>
      <c r="S214" s="120" t="s">
        <v>1218</v>
      </c>
      <c r="T214" s="122">
        <v>6.24</v>
      </c>
      <c r="U214" s="120" t="s">
        <v>824</v>
      </c>
      <c r="V214" s="123">
        <v>6.25E-2</v>
      </c>
      <c r="W214" s="120"/>
      <c r="X214" s="120"/>
      <c r="Y214" s="123"/>
      <c r="Z214" s="123">
        <v>6.3200000000000006E-2</v>
      </c>
      <c r="AA214" s="124">
        <v>49562</v>
      </c>
      <c r="AB214" s="120" t="s">
        <v>411</v>
      </c>
      <c r="AC214" s="120"/>
      <c r="AD214" s="122"/>
      <c r="AE214" s="123"/>
      <c r="AF214" s="124">
        <v>44896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45838</v>
      </c>
      <c r="AO214" s="120"/>
      <c r="AP214" s="123"/>
      <c r="AQ214" s="122">
        <v>915705.44</v>
      </c>
      <c r="AR214" s="122">
        <v>100.77</v>
      </c>
      <c r="AS214" s="122">
        <v>1</v>
      </c>
      <c r="AT214" s="122">
        <v>922.75636999999995</v>
      </c>
      <c r="AU214" s="122">
        <v>922.75636999999995</v>
      </c>
      <c r="AV214" s="120"/>
      <c r="AW214" s="120"/>
      <c r="AX214" s="120"/>
      <c r="AY214" s="120"/>
      <c r="AZ214" s="123">
        <v>3.21E-4</v>
      </c>
      <c r="BA214" s="123">
        <v>1.5E-5</v>
      </c>
    </row>
    <row r="215" spans="1:53" ht="15" customHeight="1">
      <c r="A215" s="121">
        <v>313</v>
      </c>
      <c r="B215" s="121">
        <v>313</v>
      </c>
      <c r="C215" s="121"/>
      <c r="D215" s="120"/>
      <c r="E215" s="120"/>
      <c r="F215" s="121">
        <v>75004446</v>
      </c>
      <c r="G215" s="120" t="s">
        <v>1013</v>
      </c>
      <c r="H215" s="120" t="s">
        <v>785</v>
      </c>
      <c r="I215" s="120" t="s">
        <v>203</v>
      </c>
      <c r="J215" s="120"/>
      <c r="K215" s="120" t="s">
        <v>463</v>
      </c>
      <c r="L215" s="120" t="s">
        <v>338</v>
      </c>
      <c r="M215" s="120" t="s">
        <v>337</v>
      </c>
      <c r="N215" s="121"/>
      <c r="O215" s="124">
        <v>44195</v>
      </c>
      <c r="P215" s="120" t="s">
        <v>2616</v>
      </c>
      <c r="Q215" s="120" t="s">
        <v>311</v>
      </c>
      <c r="R215" s="120" t="s">
        <v>407</v>
      </c>
      <c r="S215" s="120" t="s">
        <v>1218</v>
      </c>
      <c r="T215" s="122">
        <v>6.24</v>
      </c>
      <c r="U215" s="120" t="s">
        <v>824</v>
      </c>
      <c r="V215" s="123">
        <v>6.25E-2</v>
      </c>
      <c r="W215" s="120"/>
      <c r="X215" s="120"/>
      <c r="Y215" s="123"/>
      <c r="Z215" s="123">
        <v>6.3200000000000006E-2</v>
      </c>
      <c r="AA215" s="124">
        <v>49562</v>
      </c>
      <c r="AB215" s="120" t="s">
        <v>411</v>
      </c>
      <c r="AC215" s="120"/>
      <c r="AD215" s="122"/>
      <c r="AE215" s="123"/>
      <c r="AF215" s="124">
        <v>44896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45838</v>
      </c>
      <c r="AO215" s="120"/>
      <c r="AP215" s="123"/>
      <c r="AQ215" s="122">
        <v>36497.46</v>
      </c>
      <c r="AR215" s="122">
        <v>100.77</v>
      </c>
      <c r="AS215" s="122">
        <v>1</v>
      </c>
      <c r="AT215" s="122">
        <v>36.778489999999998</v>
      </c>
      <c r="AU215" s="122">
        <v>36.778489999999998</v>
      </c>
      <c r="AV215" s="120"/>
      <c r="AW215" s="120"/>
      <c r="AX215" s="120"/>
      <c r="AY215" s="120"/>
      <c r="AZ215" s="123">
        <v>1.2E-5</v>
      </c>
      <c r="BA215" s="123">
        <v>0</v>
      </c>
    </row>
    <row r="216" spans="1:53" ht="15" customHeight="1">
      <c r="A216" s="121">
        <v>313</v>
      </c>
      <c r="B216" s="121">
        <v>313</v>
      </c>
      <c r="C216" s="121"/>
      <c r="D216" s="120"/>
      <c r="E216" s="120"/>
      <c r="F216" s="121">
        <v>75004447</v>
      </c>
      <c r="G216" s="120" t="s">
        <v>1013</v>
      </c>
      <c r="H216" s="120" t="s">
        <v>785</v>
      </c>
      <c r="I216" s="120" t="s">
        <v>203</v>
      </c>
      <c r="J216" s="120"/>
      <c r="K216" s="120" t="s">
        <v>463</v>
      </c>
      <c r="L216" s="120" t="s">
        <v>338</v>
      </c>
      <c r="M216" s="120" t="s">
        <v>337</v>
      </c>
      <c r="N216" s="121"/>
      <c r="O216" s="124">
        <v>44195</v>
      </c>
      <c r="P216" s="120" t="s">
        <v>2616</v>
      </c>
      <c r="Q216" s="120" t="s">
        <v>311</v>
      </c>
      <c r="R216" s="120" t="s">
        <v>407</v>
      </c>
      <c r="S216" s="120" t="s">
        <v>1218</v>
      </c>
      <c r="T216" s="122">
        <v>6.24</v>
      </c>
      <c r="U216" s="120" t="s">
        <v>824</v>
      </c>
      <c r="V216" s="123">
        <v>6.25E-2</v>
      </c>
      <c r="W216" s="120"/>
      <c r="X216" s="120"/>
      <c r="Y216" s="123"/>
      <c r="Z216" s="123">
        <v>6.3200000000000006E-2</v>
      </c>
      <c r="AA216" s="124">
        <v>49562</v>
      </c>
      <c r="AB216" s="120" t="s">
        <v>411</v>
      </c>
      <c r="AC216" s="120"/>
      <c r="AD216" s="122"/>
      <c r="AE216" s="123"/>
      <c r="AF216" s="124">
        <v>44896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45838</v>
      </c>
      <c r="AO216" s="120"/>
      <c r="AP216" s="123"/>
      <c r="AQ216" s="122">
        <v>613.99</v>
      </c>
      <c r="AR216" s="122">
        <v>100.77</v>
      </c>
      <c r="AS216" s="122">
        <v>1</v>
      </c>
      <c r="AT216" s="122">
        <v>0.61872000000000005</v>
      </c>
      <c r="AU216" s="122">
        <v>0.61872000000000005</v>
      </c>
      <c r="AV216" s="120"/>
      <c r="AW216" s="120"/>
      <c r="AX216" s="120"/>
      <c r="AY216" s="120"/>
      <c r="AZ216" s="123">
        <v>0</v>
      </c>
      <c r="BA216" s="123">
        <v>0</v>
      </c>
    </row>
    <row r="217" spans="1:53" ht="15" customHeight="1">
      <c r="A217" s="121">
        <v>313</v>
      </c>
      <c r="B217" s="121">
        <v>313</v>
      </c>
      <c r="C217" s="121"/>
      <c r="D217" s="120"/>
      <c r="E217" s="120"/>
      <c r="F217" s="121">
        <v>76000304</v>
      </c>
      <c r="G217" s="120" t="s">
        <v>1013</v>
      </c>
      <c r="H217" s="120" t="s">
        <v>2617</v>
      </c>
      <c r="I217" s="120" t="s">
        <v>203</v>
      </c>
      <c r="J217" s="120"/>
      <c r="K217" s="120" t="s">
        <v>463</v>
      </c>
      <c r="L217" s="120" t="s">
        <v>338</v>
      </c>
      <c r="M217" s="120" t="s">
        <v>338</v>
      </c>
      <c r="N217" s="121"/>
      <c r="O217" s="124">
        <v>44892</v>
      </c>
      <c r="P217" s="120" t="s">
        <v>409</v>
      </c>
      <c r="Q217" s="120" t="s">
        <v>409</v>
      </c>
      <c r="R217" s="120" t="s">
        <v>409</v>
      </c>
      <c r="S217" s="120" t="s">
        <v>1218</v>
      </c>
      <c r="T217" s="122">
        <v>10.33</v>
      </c>
      <c r="U217" s="120" t="s">
        <v>2613</v>
      </c>
      <c r="V217" s="123">
        <v>0</v>
      </c>
      <c r="W217" s="120"/>
      <c r="X217" s="120"/>
      <c r="Y217" s="123"/>
      <c r="Z217" s="123">
        <v>-1.9E-2</v>
      </c>
      <c r="AA217" s="124">
        <v>55243</v>
      </c>
      <c r="AB217" s="120" t="s">
        <v>411</v>
      </c>
      <c r="AC217" s="120"/>
      <c r="AD217" s="122"/>
      <c r="AE217" s="123"/>
      <c r="AF217" s="124">
        <v>44866</v>
      </c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45838</v>
      </c>
      <c r="AO217" s="120"/>
      <c r="AP217" s="123"/>
      <c r="AQ217" s="122">
        <v>10496929.279999999</v>
      </c>
      <c r="AR217" s="122">
        <v>121.16</v>
      </c>
      <c r="AS217" s="122">
        <v>1</v>
      </c>
      <c r="AT217" s="122">
        <v>12718.079519999999</v>
      </c>
      <c r="AU217" s="122">
        <v>12718.079519999999</v>
      </c>
      <c r="AV217" s="120"/>
      <c r="AW217" s="120"/>
      <c r="AX217" s="120"/>
      <c r="AY217" s="120"/>
      <c r="AZ217" s="123">
        <v>4.4289999999999998E-3</v>
      </c>
      <c r="BA217" s="123">
        <v>2.1100000000000001E-4</v>
      </c>
    </row>
    <row r="218" spans="1:53" ht="15" customHeight="1">
      <c r="A218" s="121">
        <v>313</v>
      </c>
      <c r="B218" s="121">
        <v>313</v>
      </c>
      <c r="C218" s="121"/>
      <c r="D218" s="120"/>
      <c r="E218" s="120"/>
      <c r="F218" s="121">
        <v>75009600</v>
      </c>
      <c r="G218" s="120" t="s">
        <v>1013</v>
      </c>
      <c r="H218" s="120" t="s">
        <v>2624</v>
      </c>
      <c r="I218" s="120" t="s">
        <v>203</v>
      </c>
      <c r="J218" s="120"/>
      <c r="K218" s="120" t="s">
        <v>463</v>
      </c>
      <c r="L218" s="120" t="s">
        <v>338</v>
      </c>
      <c r="M218" s="120" t="s">
        <v>337</v>
      </c>
      <c r="N218" s="121"/>
      <c r="O218" s="124">
        <v>45328</v>
      </c>
      <c r="P218" s="120" t="s">
        <v>1323</v>
      </c>
      <c r="Q218" s="120" t="s">
        <v>414</v>
      </c>
      <c r="R218" s="120" t="s">
        <v>407</v>
      </c>
      <c r="S218" s="120" t="s">
        <v>1218</v>
      </c>
      <c r="T218" s="122">
        <v>3.98</v>
      </c>
      <c r="U218" s="120" t="s">
        <v>2613</v>
      </c>
      <c r="V218" s="123">
        <v>2.9049999999999999E-2</v>
      </c>
      <c r="W218" s="120"/>
      <c r="X218" s="120"/>
      <c r="Y218" s="123"/>
      <c r="Z218" s="123">
        <v>3.09E-2</v>
      </c>
      <c r="AA218" s="124">
        <v>47520</v>
      </c>
      <c r="AB218" s="120" t="s">
        <v>411</v>
      </c>
      <c r="AC218" s="120"/>
      <c r="AD218" s="122"/>
      <c r="AE218" s="123"/>
      <c r="AF218" s="124">
        <v>44986</v>
      </c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45838</v>
      </c>
      <c r="AO218" s="120"/>
      <c r="AP218" s="123"/>
      <c r="AQ218" s="122">
        <v>22198450</v>
      </c>
      <c r="AR218" s="122">
        <v>105.69</v>
      </c>
      <c r="AS218" s="122">
        <v>1</v>
      </c>
      <c r="AT218" s="122">
        <v>23461.541809999999</v>
      </c>
      <c r="AU218" s="122">
        <v>23461.541809999999</v>
      </c>
      <c r="AV218" s="120"/>
      <c r="AW218" s="120"/>
      <c r="AX218" s="120"/>
      <c r="AY218" s="120"/>
      <c r="AZ218" s="123">
        <v>8.1709999999999994E-3</v>
      </c>
      <c r="BA218" s="123">
        <v>3.8999999999999999E-4</v>
      </c>
    </row>
    <row r="219" spans="1:53" ht="15" customHeight="1">
      <c r="A219" s="121">
        <v>313</v>
      </c>
      <c r="B219" s="121">
        <v>313</v>
      </c>
      <c r="C219" s="121"/>
      <c r="D219" s="120"/>
      <c r="E219" s="120"/>
      <c r="F219" s="121">
        <v>76000113</v>
      </c>
      <c r="G219" s="120" t="s">
        <v>1013</v>
      </c>
      <c r="H219" s="120" t="s">
        <v>812</v>
      </c>
      <c r="I219" s="120" t="s">
        <v>203</v>
      </c>
      <c r="J219" s="120"/>
      <c r="K219" s="120" t="s">
        <v>454</v>
      </c>
      <c r="L219" s="120" t="s">
        <v>338</v>
      </c>
      <c r="M219" s="120" t="s">
        <v>337</v>
      </c>
      <c r="N219" s="121"/>
      <c r="O219" s="124">
        <v>44878</v>
      </c>
      <c r="P219" s="120" t="s">
        <v>2622</v>
      </c>
      <c r="Q219" s="120" t="s">
        <v>412</v>
      </c>
      <c r="R219" s="120" t="s">
        <v>407</v>
      </c>
      <c r="S219" s="120" t="s">
        <v>1218</v>
      </c>
      <c r="T219" s="122">
        <v>6.13</v>
      </c>
      <c r="U219" s="120" t="s">
        <v>2613</v>
      </c>
      <c r="V219" s="123">
        <v>3.0700000000000002E-2</v>
      </c>
      <c r="W219" s="120"/>
      <c r="X219" s="120"/>
      <c r="Y219" s="123"/>
      <c r="Z219" s="123">
        <v>3.2899999999999999E-2</v>
      </c>
      <c r="AA219" s="124">
        <v>51038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45838</v>
      </c>
      <c r="AO219" s="120"/>
      <c r="AP219" s="123"/>
      <c r="AQ219" s="122">
        <v>30245210.039999999</v>
      </c>
      <c r="AR219" s="122">
        <v>108.08</v>
      </c>
      <c r="AS219" s="122">
        <v>1</v>
      </c>
      <c r="AT219" s="122">
        <v>32689.023010000001</v>
      </c>
      <c r="AU219" s="122">
        <v>32689.023010000001</v>
      </c>
      <c r="AV219" s="120"/>
      <c r="AW219" s="120"/>
      <c r="AX219" s="120"/>
      <c r="AY219" s="120"/>
      <c r="AZ219" s="123">
        <v>1.1384999999999999E-2</v>
      </c>
      <c r="BA219" s="123">
        <v>5.44E-4</v>
      </c>
    </row>
    <row r="220" spans="1:53" ht="15" customHeight="1">
      <c r="A220" s="121">
        <v>313</v>
      </c>
      <c r="B220" s="121">
        <v>313</v>
      </c>
      <c r="C220" s="121"/>
      <c r="D220" s="120"/>
      <c r="E220" s="120"/>
      <c r="F220" s="121">
        <v>76000114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44878</v>
      </c>
      <c r="P220" s="120" t="s">
        <v>2622</v>
      </c>
      <c r="Q220" s="120" t="s">
        <v>412</v>
      </c>
      <c r="R220" s="120" t="s">
        <v>407</v>
      </c>
      <c r="S220" s="120" t="s">
        <v>1218</v>
      </c>
      <c r="T220" s="122">
        <v>6.14</v>
      </c>
      <c r="U220" s="120" t="s">
        <v>2613</v>
      </c>
      <c r="V220" s="123">
        <v>3.0700000000000002E-2</v>
      </c>
      <c r="W220" s="120"/>
      <c r="X220" s="120"/>
      <c r="Y220" s="123"/>
      <c r="Z220" s="123">
        <v>3.2800000000000003E-2</v>
      </c>
      <c r="AA220" s="124">
        <v>51038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45838</v>
      </c>
      <c r="AO220" s="120"/>
      <c r="AP220" s="123"/>
      <c r="AQ220" s="122">
        <v>31188929.190000001</v>
      </c>
      <c r="AR220" s="122">
        <v>108.11</v>
      </c>
      <c r="AS220" s="122">
        <v>1</v>
      </c>
      <c r="AT220" s="122">
        <v>33718.351349999997</v>
      </c>
      <c r="AU220" s="122">
        <v>33718.351349999997</v>
      </c>
      <c r="AV220" s="120"/>
      <c r="AW220" s="120"/>
      <c r="AX220" s="120"/>
      <c r="AY220" s="120"/>
      <c r="AZ220" s="123">
        <v>1.1743E-2</v>
      </c>
      <c r="BA220" s="123">
        <v>5.6099999999999998E-4</v>
      </c>
    </row>
    <row r="221" spans="1:53" ht="15" customHeight="1">
      <c r="A221" s="121">
        <v>313</v>
      </c>
      <c r="B221" s="121">
        <v>313</v>
      </c>
      <c r="C221" s="121"/>
      <c r="D221" s="120"/>
      <c r="E221" s="120"/>
      <c r="F221" s="121">
        <v>76000300</v>
      </c>
      <c r="G221" s="120" t="s">
        <v>1013</v>
      </c>
      <c r="H221" s="120" t="s">
        <v>2617</v>
      </c>
      <c r="I221" s="120" t="s">
        <v>203</v>
      </c>
      <c r="J221" s="120"/>
      <c r="K221" s="120" t="s">
        <v>463</v>
      </c>
      <c r="L221" s="120" t="s">
        <v>338</v>
      </c>
      <c r="M221" s="120" t="s">
        <v>338</v>
      </c>
      <c r="N221" s="121"/>
      <c r="O221" s="124">
        <v>44892</v>
      </c>
      <c r="P221" s="120" t="s">
        <v>409</v>
      </c>
      <c r="Q221" s="120" t="s">
        <v>409</v>
      </c>
      <c r="R221" s="120" t="s">
        <v>409</v>
      </c>
      <c r="S221" s="120" t="s">
        <v>1218</v>
      </c>
      <c r="T221" s="122">
        <v>8.66</v>
      </c>
      <c r="U221" s="120" t="s">
        <v>2613</v>
      </c>
      <c r="V221" s="123">
        <v>0</v>
      </c>
      <c r="W221" s="120"/>
      <c r="X221" s="120"/>
      <c r="Y221" s="123"/>
      <c r="Z221" s="123">
        <v>-8.8999999999999999E-3</v>
      </c>
      <c r="AA221" s="124">
        <v>55243</v>
      </c>
      <c r="AB221" s="120" t="s">
        <v>411</v>
      </c>
      <c r="AC221" s="120"/>
      <c r="AD221" s="122"/>
      <c r="AE221" s="123"/>
      <c r="AF221" s="124">
        <v>44866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45838</v>
      </c>
      <c r="AO221" s="120"/>
      <c r="AP221" s="123"/>
      <c r="AQ221" s="122">
        <v>9188870.5899999999</v>
      </c>
      <c r="AR221" s="122">
        <v>127.31</v>
      </c>
      <c r="AS221" s="122">
        <v>1</v>
      </c>
      <c r="AT221" s="122">
        <v>11698.35115</v>
      </c>
      <c r="AU221" s="122">
        <v>11698.35115</v>
      </c>
      <c r="AV221" s="120"/>
      <c r="AW221" s="120"/>
      <c r="AX221" s="120"/>
      <c r="AY221" s="120"/>
      <c r="AZ221" s="123">
        <v>4.0740000000000004E-3</v>
      </c>
      <c r="BA221" s="123">
        <v>1.94E-4</v>
      </c>
    </row>
    <row r="222" spans="1:53" ht="15" customHeight="1">
      <c r="A222" s="121">
        <v>313</v>
      </c>
      <c r="B222" s="121">
        <v>313</v>
      </c>
      <c r="C222" s="121"/>
      <c r="D222" s="120"/>
      <c r="E222" s="120"/>
      <c r="F222" s="121">
        <v>76000301</v>
      </c>
      <c r="G222" s="120" t="s">
        <v>1013</v>
      </c>
      <c r="H222" s="120" t="s">
        <v>2617</v>
      </c>
      <c r="I222" s="120" t="s">
        <v>203</v>
      </c>
      <c r="J222" s="120"/>
      <c r="K222" s="120" t="s">
        <v>463</v>
      </c>
      <c r="L222" s="120" t="s">
        <v>338</v>
      </c>
      <c r="M222" s="120" t="s">
        <v>338</v>
      </c>
      <c r="N222" s="121"/>
      <c r="O222" s="124">
        <v>44892</v>
      </c>
      <c r="P222" s="120" t="s">
        <v>409</v>
      </c>
      <c r="Q222" s="120" t="s">
        <v>409</v>
      </c>
      <c r="R222" s="120" t="s">
        <v>409</v>
      </c>
      <c r="S222" s="120" t="s">
        <v>1218</v>
      </c>
      <c r="T222" s="122">
        <v>7.38</v>
      </c>
      <c r="U222" s="120" t="s">
        <v>2613</v>
      </c>
      <c r="V222" s="123">
        <v>0</v>
      </c>
      <c r="W222" s="120"/>
      <c r="X222" s="120"/>
      <c r="Y222" s="123"/>
      <c r="Z222" s="123">
        <v>-1.47E-2</v>
      </c>
      <c r="AA222" s="124">
        <v>55243</v>
      </c>
      <c r="AB222" s="120" t="s">
        <v>411</v>
      </c>
      <c r="AC222" s="120"/>
      <c r="AD222" s="122"/>
      <c r="AE222" s="123"/>
      <c r="AF222" s="124">
        <v>44866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45838</v>
      </c>
      <c r="AO222" s="120"/>
      <c r="AP222" s="123"/>
      <c r="AQ222" s="122">
        <v>13777010.869999999</v>
      </c>
      <c r="AR222" s="122">
        <v>132.11000000000001</v>
      </c>
      <c r="AS222" s="122">
        <v>1</v>
      </c>
      <c r="AT222" s="122">
        <v>18200.80906</v>
      </c>
      <c r="AU222" s="122">
        <v>18200.80906</v>
      </c>
      <c r="AV222" s="120"/>
      <c r="AW222" s="120"/>
      <c r="AX222" s="120"/>
      <c r="AY222" s="120"/>
      <c r="AZ222" s="123">
        <v>6.339E-3</v>
      </c>
      <c r="BA222" s="123">
        <v>3.0299999999999999E-4</v>
      </c>
    </row>
    <row r="223" spans="1:53" ht="15" customHeight="1">
      <c r="A223" s="121">
        <v>313</v>
      </c>
      <c r="B223" s="121">
        <v>313</v>
      </c>
      <c r="C223" s="121"/>
      <c r="D223" s="120"/>
      <c r="E223" s="120"/>
      <c r="F223" s="121">
        <v>76000302</v>
      </c>
      <c r="G223" s="120" t="s">
        <v>1013</v>
      </c>
      <c r="H223" s="120" t="s">
        <v>2617</v>
      </c>
      <c r="I223" s="120" t="s">
        <v>203</v>
      </c>
      <c r="J223" s="120"/>
      <c r="K223" s="120" t="s">
        <v>463</v>
      </c>
      <c r="L223" s="120" t="s">
        <v>338</v>
      </c>
      <c r="M223" s="120" t="s">
        <v>338</v>
      </c>
      <c r="N223" s="121"/>
      <c r="O223" s="124">
        <v>44892</v>
      </c>
      <c r="P223" s="120" t="s">
        <v>409</v>
      </c>
      <c r="Q223" s="120" t="s">
        <v>409</v>
      </c>
      <c r="R223" s="120" t="s">
        <v>409</v>
      </c>
      <c r="S223" s="120" t="s">
        <v>1218</v>
      </c>
      <c r="T223" s="122">
        <v>8.5399999999999991</v>
      </c>
      <c r="U223" s="120" t="s">
        <v>2613</v>
      </c>
      <c r="V223" s="123">
        <v>0</v>
      </c>
      <c r="W223" s="120"/>
      <c r="X223" s="120"/>
      <c r="Y223" s="123"/>
      <c r="Z223" s="123">
        <v>-5.9999999999999995E-4</v>
      </c>
      <c r="AA223" s="124">
        <v>55243</v>
      </c>
      <c r="AB223" s="120" t="s">
        <v>411</v>
      </c>
      <c r="AC223" s="120"/>
      <c r="AD223" s="122"/>
      <c r="AE223" s="123"/>
      <c r="AF223" s="124">
        <v>44866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45838</v>
      </c>
      <c r="AO223" s="120"/>
      <c r="AP223" s="123"/>
      <c r="AQ223" s="122">
        <v>10722125.82</v>
      </c>
      <c r="AR223" s="122">
        <v>97.91</v>
      </c>
      <c r="AS223" s="122">
        <v>1</v>
      </c>
      <c r="AT223" s="122">
        <v>10498.033390000001</v>
      </c>
      <c r="AU223" s="122">
        <v>10498.033390000001</v>
      </c>
      <c r="AV223" s="120"/>
      <c r="AW223" s="120"/>
      <c r="AX223" s="120"/>
      <c r="AY223" s="120"/>
      <c r="AZ223" s="123">
        <v>3.656E-3</v>
      </c>
      <c r="BA223" s="123">
        <v>1.74E-4</v>
      </c>
    </row>
    <row r="224" spans="1:53" ht="15" customHeight="1">
      <c r="A224" s="121">
        <v>313</v>
      </c>
      <c r="B224" s="121">
        <v>313</v>
      </c>
      <c r="C224" s="121"/>
      <c r="D224" s="120"/>
      <c r="E224" s="120"/>
      <c r="F224" s="121">
        <v>75009601</v>
      </c>
      <c r="G224" s="120" t="s">
        <v>1013</v>
      </c>
      <c r="H224" s="120" t="s">
        <v>2624</v>
      </c>
      <c r="I224" s="120" t="s">
        <v>203</v>
      </c>
      <c r="J224" s="120"/>
      <c r="K224" s="120" t="s">
        <v>463</v>
      </c>
      <c r="L224" s="120" t="s">
        <v>338</v>
      </c>
      <c r="M224" s="120" t="s">
        <v>337</v>
      </c>
      <c r="N224" s="121"/>
      <c r="O224" s="124">
        <v>45328</v>
      </c>
      <c r="P224" s="120" t="s">
        <v>1952</v>
      </c>
      <c r="Q224" s="120" t="s">
        <v>412</v>
      </c>
      <c r="R224" s="120" t="s">
        <v>407</v>
      </c>
      <c r="S224" s="120" t="s">
        <v>1218</v>
      </c>
      <c r="T224" s="122">
        <v>3.98</v>
      </c>
      <c r="U224" s="120" t="s">
        <v>2613</v>
      </c>
      <c r="V224" s="123">
        <v>2.9049999999999999E-2</v>
      </c>
      <c r="W224" s="120"/>
      <c r="X224" s="120"/>
      <c r="Y224" s="123"/>
      <c r="Z224" s="123">
        <v>3.1E-2</v>
      </c>
      <c r="AA224" s="124">
        <v>47520</v>
      </c>
      <c r="AB224" s="120" t="s">
        <v>411</v>
      </c>
      <c r="AC224" s="120"/>
      <c r="AD224" s="122"/>
      <c r="AE224" s="123"/>
      <c r="AF224" s="124">
        <v>44986</v>
      </c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45838</v>
      </c>
      <c r="AO224" s="120"/>
      <c r="AP224" s="123"/>
      <c r="AQ224" s="122">
        <v>22198450</v>
      </c>
      <c r="AR224" s="122">
        <v>105.63</v>
      </c>
      <c r="AS224" s="122">
        <v>1</v>
      </c>
      <c r="AT224" s="122">
        <v>23448.222740000001</v>
      </c>
      <c r="AU224" s="122">
        <v>23448.222740000001</v>
      </c>
      <c r="AV224" s="120"/>
      <c r="AW224" s="120"/>
      <c r="AX224" s="120"/>
      <c r="AY224" s="120"/>
      <c r="AZ224" s="123">
        <v>8.1659999999999996E-3</v>
      </c>
      <c r="BA224" s="123">
        <v>3.8999999999999999E-4</v>
      </c>
    </row>
    <row r="225" spans="1:53" ht="15" customHeight="1">
      <c r="A225" s="121">
        <v>313</v>
      </c>
      <c r="B225" s="121">
        <v>313</v>
      </c>
      <c r="C225" s="121"/>
      <c r="D225" s="120"/>
      <c r="E225" s="120"/>
      <c r="F225" s="121">
        <v>7005013</v>
      </c>
      <c r="G225" s="120" t="s">
        <v>1013</v>
      </c>
      <c r="H225" s="120" t="s">
        <v>812</v>
      </c>
      <c r="I225" s="120" t="s">
        <v>203</v>
      </c>
      <c r="J225" s="120"/>
      <c r="K225" s="120" t="s">
        <v>446</v>
      </c>
      <c r="L225" s="120" t="s">
        <v>338</v>
      </c>
      <c r="M225" s="120" t="s">
        <v>337</v>
      </c>
      <c r="N225" s="121"/>
      <c r="O225" s="124">
        <v>45196</v>
      </c>
      <c r="P225" s="120" t="s">
        <v>1304</v>
      </c>
      <c r="Q225" s="120" t="s">
        <v>414</v>
      </c>
      <c r="R225" s="120" t="s">
        <v>407</v>
      </c>
      <c r="S225" s="120" t="s">
        <v>1215</v>
      </c>
      <c r="T225" s="122">
        <v>2.11</v>
      </c>
      <c r="U225" s="120" t="s">
        <v>2613</v>
      </c>
      <c r="V225" s="123">
        <v>6.0732000000000001E-2</v>
      </c>
      <c r="W225" s="120"/>
      <c r="X225" s="120"/>
      <c r="Y225" s="123"/>
      <c r="Z225" s="123">
        <v>6.1800000000000001E-2</v>
      </c>
      <c r="AA225" s="124">
        <v>46655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45838</v>
      </c>
      <c r="AO225" s="120"/>
      <c r="AP225" s="123"/>
      <c r="AQ225" s="122">
        <v>176814.34</v>
      </c>
      <c r="AR225" s="122">
        <v>99.71</v>
      </c>
      <c r="AS225" s="122">
        <v>3.9552</v>
      </c>
      <c r="AT225" s="122">
        <v>697.30799999999999</v>
      </c>
      <c r="AU225" s="122">
        <v>176.30158</v>
      </c>
      <c r="AV225" s="120"/>
      <c r="AW225" s="120"/>
      <c r="AX225" s="120"/>
      <c r="AY225" s="120"/>
      <c r="AZ225" s="123">
        <v>2.42E-4</v>
      </c>
      <c r="BA225" s="123">
        <v>1.1E-5</v>
      </c>
    </row>
    <row r="226" spans="1:53" ht="15" customHeight="1">
      <c r="A226" s="121">
        <v>313</v>
      </c>
      <c r="B226" s="121">
        <v>313</v>
      </c>
      <c r="C226" s="121"/>
      <c r="D226" s="120"/>
      <c r="E226" s="120"/>
      <c r="F226" s="121">
        <v>76056001</v>
      </c>
      <c r="G226" s="120" t="s">
        <v>1013</v>
      </c>
      <c r="H226" s="120" t="s">
        <v>812</v>
      </c>
      <c r="I226" s="120" t="s">
        <v>203</v>
      </c>
      <c r="J226" s="120"/>
      <c r="K226" s="120" t="s">
        <v>313</v>
      </c>
      <c r="L226" s="120" t="s">
        <v>338</v>
      </c>
      <c r="M226" s="120" t="s">
        <v>337</v>
      </c>
      <c r="N226" s="121"/>
      <c r="O226" s="124">
        <v>45470</v>
      </c>
      <c r="P226" s="120" t="s">
        <v>1952</v>
      </c>
      <c r="Q226" s="120" t="s">
        <v>412</v>
      </c>
      <c r="R226" s="120" t="s">
        <v>407</v>
      </c>
      <c r="S226" s="120" t="s">
        <v>1218</v>
      </c>
      <c r="T226" s="122">
        <v>11.62</v>
      </c>
      <c r="U226" s="120" t="s">
        <v>2613</v>
      </c>
      <c r="V226" s="123">
        <v>4.0514000000000001E-2</v>
      </c>
      <c r="W226" s="120"/>
      <c r="X226" s="120"/>
      <c r="Y226" s="123"/>
      <c r="Z226" s="123">
        <v>3.5499999999999997E-2</v>
      </c>
      <c r="AA226" s="124">
        <v>55512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45838</v>
      </c>
      <c r="AO226" s="120"/>
      <c r="AP226" s="123"/>
      <c r="AQ226" s="122">
        <v>17764521</v>
      </c>
      <c r="AR226" s="122">
        <v>109.69</v>
      </c>
      <c r="AS226" s="122">
        <v>1</v>
      </c>
      <c r="AT226" s="122">
        <v>19485.90308</v>
      </c>
      <c r="AU226" s="122">
        <v>19485.90308</v>
      </c>
      <c r="AV226" s="120"/>
      <c r="AW226" s="120"/>
      <c r="AX226" s="120"/>
      <c r="AY226" s="120"/>
      <c r="AZ226" s="123">
        <v>6.7860000000000004E-3</v>
      </c>
      <c r="BA226" s="123">
        <v>3.2400000000000001E-4</v>
      </c>
    </row>
    <row r="227" spans="1:53" ht="15" customHeight="1">
      <c r="A227" s="121">
        <v>313</v>
      </c>
      <c r="B227" s="121">
        <v>313</v>
      </c>
      <c r="C227" s="121"/>
      <c r="D227" s="120"/>
      <c r="E227" s="120"/>
      <c r="F227" s="121">
        <v>76056003</v>
      </c>
      <c r="G227" s="120" t="s">
        <v>1013</v>
      </c>
      <c r="H227" s="120" t="s">
        <v>812</v>
      </c>
      <c r="I227" s="120" t="s">
        <v>203</v>
      </c>
      <c r="J227" s="120"/>
      <c r="K227" s="120" t="s">
        <v>313</v>
      </c>
      <c r="L227" s="120" t="s">
        <v>338</v>
      </c>
      <c r="M227" s="120" t="s">
        <v>337</v>
      </c>
      <c r="N227" s="121"/>
      <c r="O227" s="124">
        <v>45638</v>
      </c>
      <c r="P227" s="120" t="s">
        <v>1952</v>
      </c>
      <c r="Q227" s="120" t="s">
        <v>412</v>
      </c>
      <c r="R227" s="120" t="s">
        <v>407</v>
      </c>
      <c r="S227" s="120" t="s">
        <v>1218</v>
      </c>
      <c r="T227" s="122">
        <v>11.7</v>
      </c>
      <c r="U227" s="120" t="s">
        <v>2613</v>
      </c>
      <c r="V227" s="123">
        <v>3.7699999999999997E-2</v>
      </c>
      <c r="W227" s="120"/>
      <c r="X227" s="120"/>
      <c r="Y227" s="123"/>
      <c r="Z227" s="123">
        <v>3.6299999999999999E-2</v>
      </c>
      <c r="AA227" s="124">
        <v>55512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338</v>
      </c>
      <c r="AK227" s="120" t="s">
        <v>887</v>
      </c>
      <c r="AL227" s="120"/>
      <c r="AM227" s="120" t="s">
        <v>890</v>
      </c>
      <c r="AN227" s="124">
        <v>45838</v>
      </c>
      <c r="AO227" s="120"/>
      <c r="AP227" s="123"/>
      <c r="AQ227" s="122">
        <v>9200000</v>
      </c>
      <c r="AR227" s="122">
        <v>103.41</v>
      </c>
      <c r="AS227" s="122">
        <v>1</v>
      </c>
      <c r="AT227" s="122">
        <v>9513.7199999999993</v>
      </c>
      <c r="AU227" s="122">
        <v>9513.7199999999993</v>
      </c>
      <c r="AV227" s="120"/>
      <c r="AW227" s="120"/>
      <c r="AX227" s="120"/>
      <c r="AY227" s="120"/>
      <c r="AZ227" s="123">
        <v>3.313E-3</v>
      </c>
      <c r="BA227" s="123">
        <v>1.5799999999999999E-4</v>
      </c>
    </row>
    <row r="228" spans="1:53" ht="15" customHeight="1">
      <c r="A228" s="121">
        <v>313</v>
      </c>
      <c r="B228" s="121">
        <v>313</v>
      </c>
      <c r="C228" s="121"/>
      <c r="D228" s="120"/>
      <c r="E228" s="120"/>
      <c r="F228" s="121">
        <v>78000117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44230</v>
      </c>
      <c r="P228" s="120" t="s">
        <v>1331</v>
      </c>
      <c r="Q228" s="120" t="s">
        <v>414</v>
      </c>
      <c r="R228" s="120" t="s">
        <v>407</v>
      </c>
      <c r="S228" s="120" t="s">
        <v>1218</v>
      </c>
      <c r="T228" s="122">
        <v>3.64</v>
      </c>
      <c r="U228" s="120" t="s">
        <v>2613</v>
      </c>
      <c r="V228" s="123">
        <v>7.9209999999999992E-3</v>
      </c>
      <c r="W228" s="120"/>
      <c r="X228" s="120"/>
      <c r="Y228" s="123"/>
      <c r="Z228" s="123">
        <v>3.2899999999999999E-2</v>
      </c>
      <c r="AA228" s="124">
        <v>48852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45838</v>
      </c>
      <c r="AO228" s="120"/>
      <c r="AP228" s="123"/>
      <c r="AQ228" s="122">
        <v>1737257.14</v>
      </c>
      <c r="AR228" s="122">
        <v>107.17</v>
      </c>
      <c r="AS228" s="122">
        <v>1</v>
      </c>
      <c r="AT228" s="122">
        <v>1861.8184799999999</v>
      </c>
      <c r="AU228" s="122">
        <v>1861.8184799999999</v>
      </c>
      <c r="AV228" s="120"/>
      <c r="AW228" s="120"/>
      <c r="AX228" s="120"/>
      <c r="AY228" s="120"/>
      <c r="AZ228" s="123">
        <v>6.4800000000000003E-4</v>
      </c>
      <c r="BA228" s="123">
        <v>3.1000000000000001E-5</v>
      </c>
    </row>
    <row r="229" spans="1:53" ht="15" customHeight="1">
      <c r="A229" s="121">
        <v>313</v>
      </c>
      <c r="B229" s="121">
        <v>313</v>
      </c>
      <c r="C229" s="121"/>
      <c r="D229" s="120"/>
      <c r="E229" s="120"/>
      <c r="F229" s="121">
        <v>78002001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44985</v>
      </c>
      <c r="P229" s="120" t="s">
        <v>1331</v>
      </c>
      <c r="Q229" s="120" t="s">
        <v>414</v>
      </c>
      <c r="R229" s="120" t="s">
        <v>407</v>
      </c>
      <c r="S229" s="120" t="s">
        <v>1218</v>
      </c>
      <c r="T229" s="122">
        <v>4.8099999999999996</v>
      </c>
      <c r="U229" s="120" t="s">
        <v>2613</v>
      </c>
      <c r="V229" s="123">
        <v>3.1889000000000001E-2</v>
      </c>
      <c r="W229" s="120"/>
      <c r="X229" s="120"/>
      <c r="Y229" s="123"/>
      <c r="Z229" s="123">
        <v>3.2000000000000001E-2</v>
      </c>
      <c r="AA229" s="124">
        <v>49583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45838</v>
      </c>
      <c r="AO229" s="120"/>
      <c r="AP229" s="123"/>
      <c r="AQ229" s="122">
        <v>3985966.42</v>
      </c>
      <c r="AR229" s="122">
        <v>108.92</v>
      </c>
      <c r="AS229" s="122">
        <v>1</v>
      </c>
      <c r="AT229" s="122">
        <v>4341.5146199999999</v>
      </c>
      <c r="AU229" s="122">
        <v>4341.5146199999999</v>
      </c>
      <c r="AV229" s="120"/>
      <c r="AW229" s="120"/>
      <c r="AX229" s="120"/>
      <c r="AY229" s="120"/>
      <c r="AZ229" s="123">
        <v>1.5120000000000001E-3</v>
      </c>
      <c r="BA229" s="123">
        <v>7.2000000000000002E-5</v>
      </c>
    </row>
    <row r="230" spans="1:53" ht="15" customHeight="1">
      <c r="A230" s="121">
        <v>313</v>
      </c>
      <c r="B230" s="121">
        <v>313</v>
      </c>
      <c r="C230" s="121"/>
      <c r="D230" s="120"/>
      <c r="E230" s="120"/>
      <c r="F230" s="121">
        <v>78002002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337</v>
      </c>
      <c r="N230" s="121"/>
      <c r="O230" s="124">
        <v>45036</v>
      </c>
      <c r="P230" s="120" t="s">
        <v>1331</v>
      </c>
      <c r="Q230" s="120" t="s">
        <v>414</v>
      </c>
      <c r="R230" s="120" t="s">
        <v>407</v>
      </c>
      <c r="S230" s="120" t="s">
        <v>1218</v>
      </c>
      <c r="T230" s="122">
        <v>4.84</v>
      </c>
      <c r="U230" s="120" t="s">
        <v>2613</v>
      </c>
      <c r="V230" s="123">
        <v>3.3447999999999999E-2</v>
      </c>
      <c r="W230" s="120"/>
      <c r="X230" s="120"/>
      <c r="Y230" s="123"/>
      <c r="Z230" s="123">
        <v>2.75E-2</v>
      </c>
      <c r="AA230" s="124">
        <v>49583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45838</v>
      </c>
      <c r="AO230" s="120"/>
      <c r="AP230" s="123"/>
      <c r="AQ230" s="122">
        <v>970625.47</v>
      </c>
      <c r="AR230" s="122">
        <v>111.1</v>
      </c>
      <c r="AS230" s="122">
        <v>1</v>
      </c>
      <c r="AT230" s="122">
        <v>1078.3649</v>
      </c>
      <c r="AU230" s="122">
        <v>1078.3649</v>
      </c>
      <c r="AV230" s="120"/>
      <c r="AW230" s="120"/>
      <c r="AX230" s="120"/>
      <c r="AY230" s="120"/>
      <c r="AZ230" s="123">
        <v>3.7500000000000001E-4</v>
      </c>
      <c r="BA230" s="123">
        <v>1.7E-5</v>
      </c>
    </row>
    <row r="231" spans="1:53" ht="15" customHeight="1">
      <c r="A231" s="121">
        <v>313</v>
      </c>
      <c r="B231" s="121">
        <v>313</v>
      </c>
      <c r="C231" s="121"/>
      <c r="D231" s="120"/>
      <c r="E231" s="120"/>
      <c r="F231" s="121">
        <v>78003001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337</v>
      </c>
      <c r="N231" s="121"/>
      <c r="O231" s="124">
        <v>44985</v>
      </c>
      <c r="P231" s="120" t="s">
        <v>1331</v>
      </c>
      <c r="Q231" s="120" t="s">
        <v>414</v>
      </c>
      <c r="R231" s="120" t="s">
        <v>407</v>
      </c>
      <c r="S231" s="120" t="s">
        <v>1218</v>
      </c>
      <c r="T231" s="122">
        <v>7</v>
      </c>
      <c r="U231" s="120" t="s">
        <v>2613</v>
      </c>
      <c r="V231" s="123">
        <v>3.2051000000000003E-2</v>
      </c>
      <c r="W231" s="120"/>
      <c r="X231" s="120"/>
      <c r="Y231" s="123"/>
      <c r="Z231" s="123">
        <v>3.04E-2</v>
      </c>
      <c r="AA231" s="124">
        <v>49582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45838</v>
      </c>
      <c r="AO231" s="120"/>
      <c r="AP231" s="123"/>
      <c r="AQ231" s="122">
        <v>5116034.41</v>
      </c>
      <c r="AR231" s="122">
        <v>111.88</v>
      </c>
      <c r="AS231" s="122">
        <v>1</v>
      </c>
      <c r="AT231" s="122">
        <v>5723.8193000000001</v>
      </c>
      <c r="AU231" s="122">
        <v>5723.8193000000001</v>
      </c>
      <c r="AV231" s="120"/>
      <c r="AW231" s="120"/>
      <c r="AX231" s="120"/>
      <c r="AY231" s="120"/>
      <c r="AZ231" s="123">
        <v>1.993E-3</v>
      </c>
      <c r="BA231" s="123">
        <v>9.5000000000000005E-5</v>
      </c>
    </row>
    <row r="232" spans="1:53" ht="15" customHeight="1">
      <c r="A232" s="121">
        <v>313</v>
      </c>
      <c r="B232" s="121">
        <v>313</v>
      </c>
      <c r="C232" s="121"/>
      <c r="D232" s="120"/>
      <c r="E232" s="120"/>
      <c r="F232" s="121">
        <v>78003002</v>
      </c>
      <c r="G232" s="120" t="s">
        <v>1013</v>
      </c>
      <c r="H232" s="120" t="s">
        <v>812</v>
      </c>
      <c r="I232" s="120" t="s">
        <v>203</v>
      </c>
      <c r="J232" s="120"/>
      <c r="K232" s="120" t="s">
        <v>454</v>
      </c>
      <c r="L232" s="120" t="s">
        <v>338</v>
      </c>
      <c r="M232" s="120" t="s">
        <v>337</v>
      </c>
      <c r="N232" s="121"/>
      <c r="O232" s="124">
        <v>45036</v>
      </c>
      <c r="P232" s="120" t="s">
        <v>1331</v>
      </c>
      <c r="Q232" s="120" t="s">
        <v>414</v>
      </c>
      <c r="R232" s="120" t="s">
        <v>407</v>
      </c>
      <c r="S232" s="120" t="s">
        <v>1218</v>
      </c>
      <c r="T232" s="122">
        <v>6.88</v>
      </c>
      <c r="U232" s="120" t="s">
        <v>2613</v>
      </c>
      <c r="V232" s="123">
        <v>3.3956E-2</v>
      </c>
      <c r="W232" s="120"/>
      <c r="X232" s="120"/>
      <c r="Y232" s="123"/>
      <c r="Z232" s="123">
        <v>3.6900000000000002E-2</v>
      </c>
      <c r="AA232" s="124">
        <v>49582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45838</v>
      </c>
      <c r="AO232" s="120"/>
      <c r="AP232" s="123"/>
      <c r="AQ232" s="122">
        <v>1808139.69</v>
      </c>
      <c r="AR232" s="122">
        <v>107.62</v>
      </c>
      <c r="AS232" s="122">
        <v>1</v>
      </c>
      <c r="AT232" s="122">
        <v>1945.91993</v>
      </c>
      <c r="AU232" s="122">
        <v>1945.91993</v>
      </c>
      <c r="AV232" s="120"/>
      <c r="AW232" s="120"/>
      <c r="AX232" s="120"/>
      <c r="AY232" s="120"/>
      <c r="AZ232" s="123">
        <v>6.7699999999999998E-4</v>
      </c>
      <c r="BA232" s="123">
        <v>3.1999999999999999E-5</v>
      </c>
    </row>
    <row r="233" spans="1:53" ht="15" customHeight="1">
      <c r="A233" s="121">
        <v>313</v>
      </c>
      <c r="B233" s="121">
        <v>313</v>
      </c>
      <c r="C233" s="121"/>
      <c r="D233" s="120"/>
      <c r="E233" s="120"/>
      <c r="F233" s="121">
        <v>78000116</v>
      </c>
      <c r="G233" s="120" t="s">
        <v>1013</v>
      </c>
      <c r="H233" s="120" t="s">
        <v>812</v>
      </c>
      <c r="I233" s="120" t="s">
        <v>203</v>
      </c>
      <c r="J233" s="120"/>
      <c r="K233" s="120" t="s">
        <v>454</v>
      </c>
      <c r="L233" s="120" t="s">
        <v>338</v>
      </c>
      <c r="M233" s="120" t="s">
        <v>337</v>
      </c>
      <c r="N233" s="121"/>
      <c r="O233" s="124">
        <v>44230</v>
      </c>
      <c r="P233" s="120" t="s">
        <v>1331</v>
      </c>
      <c r="Q233" s="120" t="s">
        <v>414</v>
      </c>
      <c r="R233" s="120" t="s">
        <v>407</v>
      </c>
      <c r="S233" s="120" t="s">
        <v>1218</v>
      </c>
      <c r="T233" s="122">
        <v>3.78</v>
      </c>
      <c r="U233" s="120" t="s">
        <v>2613</v>
      </c>
      <c r="V233" s="123">
        <v>7.9399999999999991E-3</v>
      </c>
      <c r="W233" s="120"/>
      <c r="X233" s="120"/>
      <c r="Y233" s="123"/>
      <c r="Z233" s="123">
        <v>3.0800000000000001E-2</v>
      </c>
      <c r="AA233" s="124">
        <v>48760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45838</v>
      </c>
      <c r="AO233" s="120"/>
      <c r="AP233" s="123"/>
      <c r="AQ233" s="122">
        <v>5280881.5</v>
      </c>
      <c r="AR233" s="122">
        <v>107.72</v>
      </c>
      <c r="AS233" s="122">
        <v>1</v>
      </c>
      <c r="AT233" s="122">
        <v>5688.5655500000003</v>
      </c>
      <c r="AU233" s="122">
        <v>5688.5655500000003</v>
      </c>
      <c r="AV233" s="120"/>
      <c r="AW233" s="120"/>
      <c r="AX233" s="120"/>
      <c r="AY233" s="120"/>
      <c r="AZ233" s="123">
        <v>1.9810000000000001E-3</v>
      </c>
      <c r="BA233" s="123">
        <v>9.3999999999999994E-5</v>
      </c>
    </row>
    <row r="234" spans="1:53" ht="15" customHeight="1">
      <c r="A234" s="121">
        <v>313</v>
      </c>
      <c r="B234" s="121">
        <v>313</v>
      </c>
      <c r="C234" s="121"/>
      <c r="D234" s="120"/>
      <c r="E234" s="120"/>
      <c r="F234" s="121">
        <v>78003003</v>
      </c>
      <c r="G234" s="120" t="s">
        <v>1013</v>
      </c>
      <c r="H234" s="120" t="s">
        <v>812</v>
      </c>
      <c r="I234" s="120" t="s">
        <v>203</v>
      </c>
      <c r="J234" s="120"/>
      <c r="K234" s="120" t="s">
        <v>454</v>
      </c>
      <c r="L234" s="120" t="s">
        <v>338</v>
      </c>
      <c r="M234" s="120" t="s">
        <v>337</v>
      </c>
      <c r="N234" s="121"/>
      <c r="O234" s="124">
        <v>45146</v>
      </c>
      <c r="P234" s="120" t="s">
        <v>1331</v>
      </c>
      <c r="Q234" s="120" t="s">
        <v>414</v>
      </c>
      <c r="R234" s="120" t="s">
        <v>407</v>
      </c>
      <c r="S234" s="120" t="s">
        <v>1218</v>
      </c>
      <c r="T234" s="122">
        <v>6.94</v>
      </c>
      <c r="U234" s="120" t="s">
        <v>2613</v>
      </c>
      <c r="V234" s="123">
        <v>3.3236000000000002E-2</v>
      </c>
      <c r="W234" s="120"/>
      <c r="X234" s="120"/>
      <c r="Y234" s="123"/>
      <c r="Z234" s="123">
        <v>3.3399999999999999E-2</v>
      </c>
      <c r="AA234" s="124">
        <v>49582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45838</v>
      </c>
      <c r="AO234" s="120"/>
      <c r="AP234" s="123"/>
      <c r="AQ234" s="122">
        <v>805910.59</v>
      </c>
      <c r="AR234" s="122">
        <v>108.55</v>
      </c>
      <c r="AS234" s="122">
        <v>1</v>
      </c>
      <c r="AT234" s="122">
        <v>874.81595000000004</v>
      </c>
      <c r="AU234" s="122">
        <v>874.81595000000004</v>
      </c>
      <c r="AV234" s="120"/>
      <c r="AW234" s="120"/>
      <c r="AX234" s="120"/>
      <c r="AY234" s="120"/>
      <c r="AZ234" s="123">
        <v>3.0400000000000002E-4</v>
      </c>
      <c r="BA234" s="123">
        <v>1.4E-5</v>
      </c>
    </row>
    <row r="235" spans="1:53" ht="15" customHeight="1">
      <c r="A235" s="121">
        <v>313</v>
      </c>
      <c r="B235" s="121">
        <v>313</v>
      </c>
      <c r="C235" s="121"/>
      <c r="D235" s="120"/>
      <c r="E235" s="120"/>
      <c r="F235" s="121">
        <v>78100001</v>
      </c>
      <c r="G235" s="120" t="s">
        <v>1013</v>
      </c>
      <c r="H235" s="120" t="s">
        <v>2624</v>
      </c>
      <c r="I235" s="120" t="s">
        <v>203</v>
      </c>
      <c r="J235" s="120"/>
      <c r="K235" s="120" t="s">
        <v>463</v>
      </c>
      <c r="L235" s="120" t="s">
        <v>338</v>
      </c>
      <c r="M235" s="120" t="s">
        <v>337</v>
      </c>
      <c r="N235" s="121"/>
      <c r="O235" s="124">
        <v>42088</v>
      </c>
      <c r="P235" s="120" t="s">
        <v>2616</v>
      </c>
      <c r="Q235" s="120" t="s">
        <v>311</v>
      </c>
      <c r="R235" s="120" t="s">
        <v>407</v>
      </c>
      <c r="S235" s="120" t="s">
        <v>1218</v>
      </c>
      <c r="T235" s="122">
        <v>2.84</v>
      </c>
      <c r="U235" s="120" t="s">
        <v>2613</v>
      </c>
      <c r="V235" s="123">
        <v>2.9499999999999998E-2</v>
      </c>
      <c r="W235" s="120"/>
      <c r="X235" s="120"/>
      <c r="Y235" s="123"/>
      <c r="Z235" s="123">
        <v>3.2099999999999997E-2</v>
      </c>
      <c r="AA235" s="124">
        <v>47207</v>
      </c>
      <c r="AB235" s="120" t="s">
        <v>411</v>
      </c>
      <c r="AC235" s="120"/>
      <c r="AD235" s="122"/>
      <c r="AE235" s="123"/>
      <c r="AF235" s="124">
        <v>44531</v>
      </c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45838</v>
      </c>
      <c r="AO235" s="120"/>
      <c r="AP235" s="123"/>
      <c r="AQ235" s="122">
        <v>7663600.8600000003</v>
      </c>
      <c r="AR235" s="122">
        <v>118.19</v>
      </c>
      <c r="AS235" s="122">
        <v>1</v>
      </c>
      <c r="AT235" s="122">
        <v>9057.6098600000005</v>
      </c>
      <c r="AU235" s="122">
        <v>9057.6098600000005</v>
      </c>
      <c r="AV235" s="120"/>
      <c r="AW235" s="120"/>
      <c r="AX235" s="120"/>
      <c r="AY235" s="120"/>
      <c r="AZ235" s="123">
        <v>3.1540000000000001E-3</v>
      </c>
      <c r="BA235" s="123">
        <v>1.4999999999999999E-4</v>
      </c>
    </row>
    <row r="236" spans="1:53" ht="15" customHeight="1">
      <c r="A236" s="121">
        <v>313</v>
      </c>
      <c r="B236" s="121">
        <v>313</v>
      </c>
      <c r="C236" s="121"/>
      <c r="D236" s="120"/>
      <c r="E236" s="120"/>
      <c r="F236" s="121">
        <v>78100002</v>
      </c>
      <c r="G236" s="120" t="s">
        <v>1013</v>
      </c>
      <c r="H236" s="120" t="s">
        <v>2623</v>
      </c>
      <c r="I236" s="120" t="s">
        <v>203</v>
      </c>
      <c r="J236" s="120"/>
      <c r="K236" s="120" t="s">
        <v>463</v>
      </c>
      <c r="L236" s="120" t="s">
        <v>338</v>
      </c>
      <c r="M236" s="120" t="s">
        <v>337</v>
      </c>
      <c r="N236" s="121"/>
      <c r="O236" s="124">
        <v>44263</v>
      </c>
      <c r="P236" s="120" t="s">
        <v>1451</v>
      </c>
      <c r="Q236" s="120" t="s">
        <v>311</v>
      </c>
      <c r="R236" s="120" t="s">
        <v>407</v>
      </c>
      <c r="S236" s="120" t="s">
        <v>1218</v>
      </c>
      <c r="T236" s="122">
        <v>4.99</v>
      </c>
      <c r="U236" s="120" t="s">
        <v>2613</v>
      </c>
      <c r="V236" s="123">
        <v>2.5000000000000001E-2</v>
      </c>
      <c r="W236" s="120"/>
      <c r="X236" s="120"/>
      <c r="Y236" s="123"/>
      <c r="Z236" s="123">
        <v>3.2199999999999999E-2</v>
      </c>
      <c r="AA236" s="124">
        <v>47917</v>
      </c>
      <c r="AB236" s="120" t="s">
        <v>411</v>
      </c>
      <c r="AC236" s="120"/>
      <c r="AD236" s="122"/>
      <c r="AE236" s="123"/>
      <c r="AF236" s="124">
        <v>45170</v>
      </c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45838</v>
      </c>
      <c r="AO236" s="120"/>
      <c r="AP236" s="123"/>
      <c r="AQ236" s="122">
        <v>9280845</v>
      </c>
      <c r="AR236" s="122">
        <v>113.56</v>
      </c>
      <c r="AS236" s="122">
        <v>1</v>
      </c>
      <c r="AT236" s="122">
        <v>10539.327579999999</v>
      </c>
      <c r="AU236" s="122">
        <v>10539.327579999999</v>
      </c>
      <c r="AV236" s="120"/>
      <c r="AW236" s="120"/>
      <c r="AX236" s="120"/>
      <c r="AY236" s="120"/>
      <c r="AZ236" s="123">
        <v>3.6700000000000001E-3</v>
      </c>
      <c r="BA236" s="123">
        <v>1.75E-4</v>
      </c>
    </row>
    <row r="237" spans="1:53" ht="15" customHeight="1">
      <c r="A237" s="121">
        <v>313</v>
      </c>
      <c r="B237" s="121">
        <v>313</v>
      </c>
      <c r="C237" s="121"/>
      <c r="D237" s="120"/>
      <c r="E237" s="120"/>
      <c r="F237" s="121">
        <v>78100003</v>
      </c>
      <c r="G237" s="120" t="s">
        <v>1013</v>
      </c>
      <c r="H237" s="120" t="s">
        <v>785</v>
      </c>
      <c r="I237" s="120" t="s">
        <v>203</v>
      </c>
      <c r="J237" s="120"/>
      <c r="K237" s="120" t="s">
        <v>463</v>
      </c>
      <c r="L237" s="120" t="s">
        <v>338</v>
      </c>
      <c r="M237" s="120" t="s">
        <v>337</v>
      </c>
      <c r="N237" s="121"/>
      <c r="O237" s="124">
        <v>44273</v>
      </c>
      <c r="P237" s="120" t="s">
        <v>2616</v>
      </c>
      <c r="Q237" s="120" t="s">
        <v>311</v>
      </c>
      <c r="R237" s="120" t="s">
        <v>407</v>
      </c>
      <c r="S237" s="120" t="s">
        <v>1218</v>
      </c>
      <c r="T237" s="122">
        <v>4.22</v>
      </c>
      <c r="U237" s="120" t="s">
        <v>2613</v>
      </c>
      <c r="V237" s="123">
        <v>2.1999999999999999E-2</v>
      </c>
      <c r="W237" s="120"/>
      <c r="X237" s="120"/>
      <c r="Y237" s="123"/>
      <c r="Z237" s="123">
        <v>3.1099999999999999E-2</v>
      </c>
      <c r="AA237" s="124">
        <v>47849</v>
      </c>
      <c r="AB237" s="120" t="s">
        <v>411</v>
      </c>
      <c r="AC237" s="120"/>
      <c r="AD237" s="122"/>
      <c r="AE237" s="123"/>
      <c r="AF237" s="124">
        <v>44958</v>
      </c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45838</v>
      </c>
      <c r="AO237" s="120"/>
      <c r="AP237" s="123"/>
      <c r="AQ237" s="122">
        <v>3550050</v>
      </c>
      <c r="AR237" s="122">
        <v>113.29</v>
      </c>
      <c r="AS237" s="122">
        <v>1</v>
      </c>
      <c r="AT237" s="122">
        <v>4021.8516500000001</v>
      </c>
      <c r="AU237" s="122">
        <v>4021.8516500000001</v>
      </c>
      <c r="AV237" s="120"/>
      <c r="AW237" s="120"/>
      <c r="AX237" s="120"/>
      <c r="AY237" s="120"/>
      <c r="AZ237" s="123">
        <v>1.4E-3</v>
      </c>
      <c r="BA237" s="123">
        <v>6.6000000000000005E-5</v>
      </c>
    </row>
    <row r="238" spans="1:53" ht="15" customHeight="1">
      <c r="A238" s="121">
        <v>313</v>
      </c>
      <c r="B238" s="121">
        <v>313</v>
      </c>
      <c r="C238" s="121"/>
      <c r="D238" s="120"/>
      <c r="E238" s="120"/>
      <c r="F238" s="121">
        <v>78100004</v>
      </c>
      <c r="G238" s="120" t="s">
        <v>1013</v>
      </c>
      <c r="H238" s="120" t="s">
        <v>785</v>
      </c>
      <c r="I238" s="120" t="s">
        <v>203</v>
      </c>
      <c r="J238" s="120"/>
      <c r="K238" s="120" t="s">
        <v>463</v>
      </c>
      <c r="L238" s="120" t="s">
        <v>338</v>
      </c>
      <c r="M238" s="120" t="s">
        <v>337</v>
      </c>
      <c r="N238" s="121"/>
      <c r="O238" s="124">
        <v>44273</v>
      </c>
      <c r="P238" s="120" t="s">
        <v>2616</v>
      </c>
      <c r="Q238" s="120" t="s">
        <v>311</v>
      </c>
      <c r="R238" s="120" t="s">
        <v>407</v>
      </c>
      <c r="S238" s="120" t="s">
        <v>1218</v>
      </c>
      <c r="T238" s="122">
        <v>4.04</v>
      </c>
      <c r="U238" s="120" t="s">
        <v>2613</v>
      </c>
      <c r="V238" s="123">
        <v>3.7499999999999999E-2</v>
      </c>
      <c r="W238" s="120"/>
      <c r="X238" s="120"/>
      <c r="Y238" s="123"/>
      <c r="Z238" s="123">
        <v>5.1299999999999998E-2</v>
      </c>
      <c r="AA238" s="124">
        <v>47849</v>
      </c>
      <c r="AB238" s="120" t="s">
        <v>411</v>
      </c>
      <c r="AC238" s="120"/>
      <c r="AD238" s="122"/>
      <c r="AE238" s="123"/>
      <c r="AF238" s="124">
        <v>44958</v>
      </c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45838</v>
      </c>
      <c r="AO238" s="120"/>
      <c r="AP238" s="123"/>
      <c r="AQ238" s="122">
        <v>5325075</v>
      </c>
      <c r="AR238" s="122">
        <v>95.84</v>
      </c>
      <c r="AS238" s="122">
        <v>1</v>
      </c>
      <c r="AT238" s="122">
        <v>5103.55188</v>
      </c>
      <c r="AU238" s="122">
        <v>5103.55188</v>
      </c>
      <c r="AV238" s="120"/>
      <c r="AW238" s="120"/>
      <c r="AX238" s="120"/>
      <c r="AY238" s="120"/>
      <c r="AZ238" s="123">
        <v>1.7769999999999999E-3</v>
      </c>
      <c r="BA238" s="123">
        <v>8.3999999999999995E-5</v>
      </c>
    </row>
    <row r="239" spans="1:53" ht="15" customHeight="1">
      <c r="A239" s="121">
        <v>313</v>
      </c>
      <c r="B239" s="121">
        <v>313</v>
      </c>
      <c r="C239" s="121"/>
      <c r="D239" s="120"/>
      <c r="E239" s="120"/>
      <c r="F239" s="121">
        <v>78100005</v>
      </c>
      <c r="G239" s="120" t="s">
        <v>1013</v>
      </c>
      <c r="H239" s="120" t="s">
        <v>785</v>
      </c>
      <c r="I239" s="120" t="s">
        <v>203</v>
      </c>
      <c r="J239" s="120"/>
      <c r="K239" s="120" t="s">
        <v>463</v>
      </c>
      <c r="L239" s="120" t="s">
        <v>338</v>
      </c>
      <c r="M239" s="120" t="s">
        <v>337</v>
      </c>
      <c r="N239" s="121"/>
      <c r="O239" s="124">
        <v>44273</v>
      </c>
      <c r="P239" s="120" t="s">
        <v>2616</v>
      </c>
      <c r="Q239" s="120" t="s">
        <v>311</v>
      </c>
      <c r="R239" s="120" t="s">
        <v>407</v>
      </c>
      <c r="S239" s="120" t="s">
        <v>1218</v>
      </c>
      <c r="T239" s="122">
        <v>3.76</v>
      </c>
      <c r="U239" s="120" t="s">
        <v>824</v>
      </c>
      <c r="V239" s="123">
        <v>7.3499999999999996E-2</v>
      </c>
      <c r="W239" s="120"/>
      <c r="X239" s="120"/>
      <c r="Y239" s="123"/>
      <c r="Z239" s="123">
        <v>6.8000000000000005E-2</v>
      </c>
      <c r="AA239" s="124">
        <v>47849</v>
      </c>
      <c r="AB239" s="120" t="s">
        <v>411</v>
      </c>
      <c r="AC239" s="120"/>
      <c r="AD239" s="122"/>
      <c r="AE239" s="123"/>
      <c r="AF239" s="124">
        <v>44958</v>
      </c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45838</v>
      </c>
      <c r="AO239" s="120"/>
      <c r="AP239" s="123"/>
      <c r="AQ239" s="122">
        <v>2662537.5</v>
      </c>
      <c r="AR239" s="122">
        <v>104.52</v>
      </c>
      <c r="AS239" s="122">
        <v>1</v>
      </c>
      <c r="AT239" s="122">
        <v>2782.8842</v>
      </c>
      <c r="AU239" s="122">
        <v>2782.8842</v>
      </c>
      <c r="AV239" s="120"/>
      <c r="AW239" s="120"/>
      <c r="AX239" s="120"/>
      <c r="AY239" s="120"/>
      <c r="AZ239" s="123">
        <v>9.6900000000000003E-4</v>
      </c>
      <c r="BA239" s="123">
        <v>4.6E-5</v>
      </c>
    </row>
    <row r="240" spans="1:53" ht="15" customHeight="1">
      <c r="A240" s="121">
        <v>313</v>
      </c>
      <c r="B240" s="121">
        <v>313</v>
      </c>
      <c r="C240" s="121"/>
      <c r="D240" s="120"/>
      <c r="E240" s="120"/>
      <c r="F240" s="121">
        <v>78003004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337</v>
      </c>
      <c r="N240" s="121"/>
      <c r="O240" s="124">
        <v>45278</v>
      </c>
      <c r="P240" s="120" t="s">
        <v>1331</v>
      </c>
      <c r="Q240" s="120" t="s">
        <v>414</v>
      </c>
      <c r="R240" s="120" t="s">
        <v>407</v>
      </c>
      <c r="S240" s="120" t="s">
        <v>1218</v>
      </c>
      <c r="T240" s="122">
        <v>6.83</v>
      </c>
      <c r="U240" s="120" t="s">
        <v>2613</v>
      </c>
      <c r="V240" s="123">
        <v>3.8157000000000003E-2</v>
      </c>
      <c r="W240" s="120"/>
      <c r="X240" s="120"/>
      <c r="Y240" s="123"/>
      <c r="Z240" s="123">
        <v>3.49E-2</v>
      </c>
      <c r="AA240" s="124">
        <v>49582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45838</v>
      </c>
      <c r="AO240" s="120"/>
      <c r="AP240" s="123"/>
      <c r="AQ240" s="122">
        <v>887623.04</v>
      </c>
      <c r="AR240" s="122">
        <v>110.2</v>
      </c>
      <c r="AS240" s="122">
        <v>1</v>
      </c>
      <c r="AT240" s="122">
        <v>978.16058999999996</v>
      </c>
      <c r="AU240" s="122">
        <v>978.16058999999996</v>
      </c>
      <c r="AV240" s="120"/>
      <c r="AW240" s="120"/>
      <c r="AX240" s="120"/>
      <c r="AY240" s="120"/>
      <c r="AZ240" s="123">
        <v>3.4000000000000002E-4</v>
      </c>
      <c r="BA240" s="123">
        <v>1.5999999999999999E-5</v>
      </c>
    </row>
    <row r="241" spans="1:53" ht="15" customHeight="1">
      <c r="A241" s="121">
        <v>313</v>
      </c>
      <c r="B241" s="121">
        <v>313</v>
      </c>
      <c r="C241" s="121"/>
      <c r="D241" s="120"/>
      <c r="E241" s="120"/>
      <c r="F241" s="121">
        <v>76056002</v>
      </c>
      <c r="G241" s="120" t="s">
        <v>1013</v>
      </c>
      <c r="H241" s="120" t="s">
        <v>812</v>
      </c>
      <c r="I241" s="120" t="s">
        <v>203</v>
      </c>
      <c r="J241" s="120"/>
      <c r="K241" s="120" t="s">
        <v>313</v>
      </c>
      <c r="L241" s="120" t="s">
        <v>338</v>
      </c>
      <c r="M241" s="120" t="s">
        <v>337</v>
      </c>
      <c r="N241" s="121"/>
      <c r="O241" s="124">
        <v>45561</v>
      </c>
      <c r="P241" s="120" t="s">
        <v>1952</v>
      </c>
      <c r="Q241" s="120" t="s">
        <v>412</v>
      </c>
      <c r="R241" s="120" t="s">
        <v>407</v>
      </c>
      <c r="S241" s="120" t="s">
        <v>1218</v>
      </c>
      <c r="T241" s="122">
        <v>11.57</v>
      </c>
      <c r="U241" s="120" t="s">
        <v>2613</v>
      </c>
      <c r="V241" s="123">
        <v>4.1399999999999999E-2</v>
      </c>
      <c r="W241" s="120"/>
      <c r="X241" s="120"/>
      <c r="Y241" s="123"/>
      <c r="Z241" s="123">
        <v>3.5999999999999997E-2</v>
      </c>
      <c r="AA241" s="124">
        <v>55512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338</v>
      </c>
      <c r="AK241" s="120" t="s">
        <v>887</v>
      </c>
      <c r="AL241" s="120"/>
      <c r="AM241" s="120" t="s">
        <v>890</v>
      </c>
      <c r="AN241" s="124">
        <v>45838</v>
      </c>
      <c r="AO241" s="120"/>
      <c r="AP241" s="123"/>
      <c r="AQ241" s="122">
        <v>15771428</v>
      </c>
      <c r="AR241" s="122">
        <v>108.43</v>
      </c>
      <c r="AS241" s="122">
        <v>1</v>
      </c>
      <c r="AT241" s="122">
        <v>17100.95938</v>
      </c>
      <c r="AU241" s="122">
        <v>17100.95938</v>
      </c>
      <c r="AV241" s="120"/>
      <c r="AW241" s="120"/>
      <c r="AX241" s="120"/>
      <c r="AY241" s="120"/>
      <c r="AZ241" s="123">
        <v>5.9560000000000004E-3</v>
      </c>
      <c r="BA241" s="123">
        <v>2.8400000000000002E-4</v>
      </c>
    </row>
    <row r="242" spans="1:53" ht="15" customHeight="1">
      <c r="A242" s="121">
        <v>313</v>
      </c>
      <c r="B242" s="121">
        <v>313</v>
      </c>
      <c r="C242" s="121"/>
      <c r="D242" s="120"/>
      <c r="E242" s="120"/>
      <c r="F242" s="121">
        <v>78000115</v>
      </c>
      <c r="G242" s="120" t="s">
        <v>1013</v>
      </c>
      <c r="H242" s="120" t="s">
        <v>812</v>
      </c>
      <c r="I242" s="120" t="s">
        <v>203</v>
      </c>
      <c r="J242" s="120"/>
      <c r="K242" s="120" t="s">
        <v>454</v>
      </c>
      <c r="L242" s="120" t="s">
        <v>338</v>
      </c>
      <c r="M242" s="120" t="s">
        <v>337</v>
      </c>
      <c r="N242" s="121"/>
      <c r="O242" s="124">
        <v>44230</v>
      </c>
      <c r="P242" s="120" t="s">
        <v>1331</v>
      </c>
      <c r="Q242" s="120" t="s">
        <v>414</v>
      </c>
      <c r="R242" s="120" t="s">
        <v>407</v>
      </c>
      <c r="S242" s="120" t="s">
        <v>1218</v>
      </c>
      <c r="T242" s="122">
        <v>4.0199999999999996</v>
      </c>
      <c r="U242" s="120" t="s">
        <v>2613</v>
      </c>
      <c r="V242" s="123">
        <v>8.2660000000000008E-3</v>
      </c>
      <c r="W242" s="120"/>
      <c r="X242" s="120"/>
      <c r="Y242" s="123"/>
      <c r="Z242" s="123">
        <v>3.4599999999999999E-2</v>
      </c>
      <c r="AA242" s="124">
        <v>48944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45838</v>
      </c>
      <c r="AO242" s="120"/>
      <c r="AP242" s="123"/>
      <c r="AQ242" s="122">
        <v>1131848.77</v>
      </c>
      <c r="AR242" s="122">
        <v>105.62</v>
      </c>
      <c r="AS242" s="122">
        <v>1</v>
      </c>
      <c r="AT242" s="122">
        <v>1195.45867</v>
      </c>
      <c r="AU242" s="122">
        <v>1195.45867</v>
      </c>
      <c r="AV242" s="120"/>
      <c r="AW242" s="120"/>
      <c r="AX242" s="120"/>
      <c r="AY242" s="120"/>
      <c r="AZ242" s="123">
        <v>4.1599999999999997E-4</v>
      </c>
      <c r="BA242" s="123">
        <v>1.9000000000000001E-5</v>
      </c>
    </row>
    <row r="243" spans="1:53" ht="15" customHeight="1">
      <c r="A243" s="121">
        <v>313</v>
      </c>
      <c r="B243" s="121">
        <v>313</v>
      </c>
      <c r="C243" s="121"/>
      <c r="D243" s="120"/>
      <c r="E243" s="120"/>
      <c r="F243" s="121">
        <v>78000113</v>
      </c>
      <c r="G243" s="120" t="s">
        <v>1013</v>
      </c>
      <c r="H243" s="120" t="s">
        <v>812</v>
      </c>
      <c r="I243" s="120" t="s">
        <v>203</v>
      </c>
      <c r="J243" s="120"/>
      <c r="K243" s="120" t="s">
        <v>454</v>
      </c>
      <c r="L243" s="120" t="s">
        <v>338</v>
      </c>
      <c r="M243" s="120" t="s">
        <v>337</v>
      </c>
      <c r="N243" s="121"/>
      <c r="O243" s="124">
        <v>44230</v>
      </c>
      <c r="P243" s="120" t="s">
        <v>1331</v>
      </c>
      <c r="Q243" s="120" t="s">
        <v>414</v>
      </c>
      <c r="R243" s="120" t="s">
        <v>407</v>
      </c>
      <c r="S243" s="120" t="s">
        <v>1218</v>
      </c>
      <c r="T243" s="122">
        <v>4.8099999999999996</v>
      </c>
      <c r="U243" s="120" t="s">
        <v>2613</v>
      </c>
      <c r="V243" s="123">
        <v>8.9820000000000004E-3</v>
      </c>
      <c r="W243" s="120"/>
      <c r="X243" s="120"/>
      <c r="Y243" s="123"/>
      <c r="Z243" s="123">
        <v>2.5399999999999999E-2</v>
      </c>
      <c r="AA243" s="124">
        <v>49582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45838</v>
      </c>
      <c r="AO243" s="120"/>
      <c r="AP243" s="123"/>
      <c r="AQ243" s="122">
        <v>12986573.720000001</v>
      </c>
      <c r="AR243" s="122">
        <v>108.56</v>
      </c>
      <c r="AS243" s="122">
        <v>1</v>
      </c>
      <c r="AT243" s="122">
        <v>14098.22443</v>
      </c>
      <c r="AU243" s="122">
        <v>14098.22443</v>
      </c>
      <c r="AV243" s="120"/>
      <c r="AW243" s="120"/>
      <c r="AX243" s="120"/>
      <c r="AY243" s="120"/>
      <c r="AZ243" s="123">
        <v>4.9100000000000003E-3</v>
      </c>
      <c r="BA243" s="123">
        <v>2.34E-4</v>
      </c>
    </row>
    <row r="244" spans="1:53" ht="15" customHeight="1">
      <c r="A244" s="121">
        <v>313</v>
      </c>
      <c r="B244" s="121">
        <v>313</v>
      </c>
      <c r="C244" s="121"/>
      <c r="D244" s="120"/>
      <c r="E244" s="120"/>
      <c r="F244" s="121">
        <v>76056004</v>
      </c>
      <c r="G244" s="120" t="s">
        <v>1013</v>
      </c>
      <c r="H244" s="120" t="s">
        <v>812</v>
      </c>
      <c r="I244" s="120" t="s">
        <v>203</v>
      </c>
      <c r="J244" s="120"/>
      <c r="K244" s="120" t="s">
        <v>313</v>
      </c>
      <c r="L244" s="120" t="s">
        <v>338</v>
      </c>
      <c r="M244" s="120" t="s">
        <v>337</v>
      </c>
      <c r="N244" s="121"/>
      <c r="O244" s="124">
        <v>45743</v>
      </c>
      <c r="P244" s="120" t="s">
        <v>1952</v>
      </c>
      <c r="Q244" s="120" t="s">
        <v>412</v>
      </c>
      <c r="R244" s="120" t="s">
        <v>407</v>
      </c>
      <c r="S244" s="120" t="s">
        <v>1218</v>
      </c>
      <c r="T244" s="122">
        <v>11.68</v>
      </c>
      <c r="U244" s="120" t="s">
        <v>2613</v>
      </c>
      <c r="V244" s="123">
        <v>3.8434999999999997E-2</v>
      </c>
      <c r="W244" s="120"/>
      <c r="X244" s="120"/>
      <c r="Y244" s="123"/>
      <c r="Z244" s="123">
        <v>3.61E-2</v>
      </c>
      <c r="AA244" s="124">
        <v>55512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338</v>
      </c>
      <c r="AK244" s="120" t="s">
        <v>887</v>
      </c>
      <c r="AL244" s="120"/>
      <c r="AM244" s="120" t="s">
        <v>890</v>
      </c>
      <c r="AN244" s="124">
        <v>45838</v>
      </c>
      <c r="AO244" s="120"/>
      <c r="AP244" s="123"/>
      <c r="AQ244" s="122">
        <v>10514286</v>
      </c>
      <c r="AR244" s="122">
        <v>104.59</v>
      </c>
      <c r="AS244" s="122">
        <v>1</v>
      </c>
      <c r="AT244" s="122">
        <v>10996.891729999999</v>
      </c>
      <c r="AU244" s="122">
        <v>10996.891729999999</v>
      </c>
      <c r="AV244" s="120"/>
      <c r="AW244" s="120"/>
      <c r="AX244" s="120"/>
      <c r="AY244" s="120"/>
      <c r="AZ244" s="123">
        <v>3.8300000000000001E-3</v>
      </c>
      <c r="BA244" s="123">
        <v>1.83E-4</v>
      </c>
    </row>
    <row r="245" spans="1:53" ht="15" customHeight="1">
      <c r="A245" s="121">
        <v>313</v>
      </c>
      <c r="B245" s="121">
        <v>313</v>
      </c>
      <c r="C245" s="121"/>
      <c r="D245" s="120"/>
      <c r="E245" s="120"/>
      <c r="F245" s="121">
        <v>76056005</v>
      </c>
      <c r="G245" s="120" t="s">
        <v>1013</v>
      </c>
      <c r="H245" s="120" t="s">
        <v>812</v>
      </c>
      <c r="I245" s="120" t="s">
        <v>203</v>
      </c>
      <c r="J245" s="120"/>
      <c r="K245" s="120" t="s">
        <v>313</v>
      </c>
      <c r="L245" s="120" t="s">
        <v>338</v>
      </c>
      <c r="M245" s="120" t="s">
        <v>337</v>
      </c>
      <c r="N245" s="121"/>
      <c r="O245" s="124">
        <v>45834</v>
      </c>
      <c r="P245" s="120" t="s">
        <v>1952</v>
      </c>
      <c r="Q245" s="120" t="s">
        <v>412</v>
      </c>
      <c r="R245" s="120" t="s">
        <v>407</v>
      </c>
      <c r="S245" s="120" t="s">
        <v>1218</v>
      </c>
      <c r="T245" s="122">
        <v>11.39</v>
      </c>
      <c r="U245" s="120" t="s">
        <v>2613</v>
      </c>
      <c r="V245" s="123">
        <v>4.0140000000000002E-2</v>
      </c>
      <c r="W245" s="120"/>
      <c r="X245" s="120"/>
      <c r="Y245" s="123"/>
      <c r="Z245" s="123">
        <v>4.0800000000000003E-2</v>
      </c>
      <c r="AA245" s="124">
        <v>55512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338</v>
      </c>
      <c r="AK245" s="120" t="s">
        <v>887</v>
      </c>
      <c r="AL245" s="120"/>
      <c r="AM245" s="120" t="s">
        <v>890</v>
      </c>
      <c r="AN245" s="124">
        <v>45838</v>
      </c>
      <c r="AO245" s="120"/>
      <c r="AP245" s="123"/>
      <c r="AQ245" s="122">
        <v>6571429</v>
      </c>
      <c r="AR245" s="122">
        <v>100</v>
      </c>
      <c r="AS245" s="122">
        <v>1</v>
      </c>
      <c r="AT245" s="122">
        <v>6571.4290000000001</v>
      </c>
      <c r="AU245" s="122">
        <v>6571.4290000000001</v>
      </c>
      <c r="AV245" s="120"/>
      <c r="AW245" s="120"/>
      <c r="AX245" s="120"/>
      <c r="AY245" s="120"/>
      <c r="AZ245" s="123">
        <v>2.2880000000000001E-3</v>
      </c>
      <c r="BA245" s="123">
        <v>1.0900000000000001E-4</v>
      </c>
    </row>
    <row r="246" spans="1:53" ht="15" customHeight="1">
      <c r="A246" s="121">
        <v>313</v>
      </c>
      <c r="B246" s="121">
        <v>313</v>
      </c>
      <c r="C246" s="121"/>
      <c r="D246" s="120"/>
      <c r="E246" s="120"/>
      <c r="F246" s="121">
        <v>76500102</v>
      </c>
      <c r="G246" s="120" t="s">
        <v>1013</v>
      </c>
      <c r="H246" s="120" t="s">
        <v>2617</v>
      </c>
      <c r="I246" s="120" t="s">
        <v>203</v>
      </c>
      <c r="J246" s="120"/>
      <c r="K246" s="120" t="s">
        <v>463</v>
      </c>
      <c r="L246" s="120" t="s">
        <v>338</v>
      </c>
      <c r="M246" s="120" t="s">
        <v>337</v>
      </c>
      <c r="N246" s="121"/>
      <c r="O246" s="124">
        <v>44311</v>
      </c>
      <c r="P246" s="120" t="s">
        <v>1339</v>
      </c>
      <c r="Q246" s="120" t="s">
        <v>414</v>
      </c>
      <c r="R246" s="120" t="s">
        <v>407</v>
      </c>
      <c r="S246" s="120" t="s">
        <v>1218</v>
      </c>
      <c r="T246" s="122">
        <v>13.01</v>
      </c>
      <c r="U246" s="120" t="s">
        <v>2613</v>
      </c>
      <c r="V246" s="123">
        <v>2.7202E-2</v>
      </c>
      <c r="W246" s="120"/>
      <c r="X246" s="120"/>
      <c r="Y246" s="123"/>
      <c r="Z246" s="123">
        <v>3.73E-2</v>
      </c>
      <c r="AA246" s="124">
        <v>51597</v>
      </c>
      <c r="AB246" s="120" t="s">
        <v>411</v>
      </c>
      <c r="AC246" s="120"/>
      <c r="AD246" s="122"/>
      <c r="AE246" s="123"/>
      <c r="AF246" s="124">
        <v>45200</v>
      </c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45838</v>
      </c>
      <c r="AO246" s="120"/>
      <c r="AP246" s="123"/>
      <c r="AQ246" s="122">
        <v>18485487.989999998</v>
      </c>
      <c r="AR246" s="122">
        <v>99.87</v>
      </c>
      <c r="AS246" s="122">
        <v>1</v>
      </c>
      <c r="AT246" s="122">
        <v>18461.456859999998</v>
      </c>
      <c r="AU246" s="122">
        <v>18461.456859999998</v>
      </c>
      <c r="AV246" s="120"/>
      <c r="AW246" s="120"/>
      <c r="AX246" s="120"/>
      <c r="AY246" s="120"/>
      <c r="AZ246" s="123">
        <v>6.4289999999999998E-3</v>
      </c>
      <c r="BA246" s="123">
        <v>3.0699999999999998E-4</v>
      </c>
    </row>
    <row r="247" spans="1:53" ht="15" customHeight="1">
      <c r="A247" s="121">
        <v>313</v>
      </c>
      <c r="B247" s="121">
        <v>313</v>
      </c>
      <c r="C247" s="121"/>
      <c r="D247" s="120"/>
      <c r="E247" s="120"/>
      <c r="F247" s="121">
        <v>76500103</v>
      </c>
      <c r="G247" s="120" t="s">
        <v>1013</v>
      </c>
      <c r="H247" s="120" t="s">
        <v>2617</v>
      </c>
      <c r="I247" s="120" t="s">
        <v>203</v>
      </c>
      <c r="J247" s="120"/>
      <c r="K247" s="120" t="s">
        <v>463</v>
      </c>
      <c r="L247" s="120" t="s">
        <v>338</v>
      </c>
      <c r="M247" s="120" t="s">
        <v>337</v>
      </c>
      <c r="N247" s="121"/>
      <c r="O247" s="124">
        <v>44822</v>
      </c>
      <c r="P247" s="120" t="s">
        <v>1339</v>
      </c>
      <c r="Q247" s="120" t="s">
        <v>414</v>
      </c>
      <c r="R247" s="120" t="s">
        <v>407</v>
      </c>
      <c r="S247" s="120" t="s">
        <v>1218</v>
      </c>
      <c r="T247" s="122">
        <v>12.5</v>
      </c>
      <c r="U247" s="120" t="s">
        <v>2613</v>
      </c>
      <c r="V247" s="123">
        <v>3.4250000000000003E-2</v>
      </c>
      <c r="W247" s="120"/>
      <c r="X247" s="120"/>
      <c r="Y247" s="123"/>
      <c r="Z247" s="123">
        <v>3.7199999999999997E-2</v>
      </c>
      <c r="AA247" s="124">
        <v>51597</v>
      </c>
      <c r="AB247" s="120" t="s">
        <v>411</v>
      </c>
      <c r="AC247" s="120"/>
      <c r="AD247" s="122"/>
      <c r="AE247" s="123"/>
      <c r="AF247" s="124">
        <v>45200</v>
      </c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45838</v>
      </c>
      <c r="AO247" s="120"/>
      <c r="AP247" s="123"/>
      <c r="AQ247" s="122">
        <v>4514520.8499999996</v>
      </c>
      <c r="AR247" s="122">
        <v>103.54</v>
      </c>
      <c r="AS247" s="122">
        <v>1</v>
      </c>
      <c r="AT247" s="122">
        <v>4674.3348900000001</v>
      </c>
      <c r="AU247" s="122">
        <v>4674.3348900000001</v>
      </c>
      <c r="AV247" s="120"/>
      <c r="AW247" s="120"/>
      <c r="AX247" s="120"/>
      <c r="AY247" s="120"/>
      <c r="AZ247" s="123">
        <v>1.627E-3</v>
      </c>
      <c r="BA247" s="123">
        <v>7.7000000000000001E-5</v>
      </c>
    </row>
    <row r="248" spans="1:53" ht="15" customHeight="1">
      <c r="A248" s="121">
        <v>313</v>
      </c>
      <c r="B248" s="121">
        <v>313</v>
      </c>
      <c r="C248" s="121"/>
      <c r="D248" s="120"/>
      <c r="E248" s="120"/>
      <c r="F248" s="121">
        <v>77000103</v>
      </c>
      <c r="G248" s="120" t="s">
        <v>1013</v>
      </c>
      <c r="H248" s="120" t="s">
        <v>812</v>
      </c>
      <c r="I248" s="120" t="s">
        <v>203</v>
      </c>
      <c r="J248" s="120"/>
      <c r="K248" s="120" t="s">
        <v>313</v>
      </c>
      <c r="L248" s="120" t="s">
        <v>338</v>
      </c>
      <c r="M248" s="120" t="s">
        <v>337</v>
      </c>
      <c r="N248" s="121"/>
      <c r="O248" s="124">
        <v>44559</v>
      </c>
      <c r="P248" s="120" t="s">
        <v>1438</v>
      </c>
      <c r="Q248" s="120" t="s">
        <v>311</v>
      </c>
      <c r="R248" s="120" t="s">
        <v>407</v>
      </c>
      <c r="S248" s="120" t="s">
        <v>1218</v>
      </c>
      <c r="T248" s="122">
        <v>7.41</v>
      </c>
      <c r="U248" s="120" t="s">
        <v>2613</v>
      </c>
      <c r="V248" s="123">
        <v>1.52E-2</v>
      </c>
      <c r="W248" s="120"/>
      <c r="X248" s="120"/>
      <c r="Y248" s="123"/>
      <c r="Z248" s="123">
        <v>0.03</v>
      </c>
      <c r="AA248" s="124">
        <v>51864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45838</v>
      </c>
      <c r="AO248" s="120"/>
      <c r="AP248" s="123"/>
      <c r="AQ248" s="122">
        <v>7590000</v>
      </c>
      <c r="AR248" s="122">
        <v>102.52</v>
      </c>
      <c r="AS248" s="122">
        <v>1</v>
      </c>
      <c r="AT248" s="122">
        <v>7781.268</v>
      </c>
      <c r="AU248" s="122">
        <v>7781.268</v>
      </c>
      <c r="AV248" s="120"/>
      <c r="AW248" s="120"/>
      <c r="AX248" s="120"/>
      <c r="AY248" s="120"/>
      <c r="AZ248" s="123">
        <v>2.7100000000000002E-3</v>
      </c>
      <c r="BA248" s="123">
        <v>1.2899999999999999E-4</v>
      </c>
    </row>
    <row r="249" spans="1:53" ht="15" customHeight="1">
      <c r="A249" s="121">
        <v>313</v>
      </c>
      <c r="B249" s="121">
        <v>313</v>
      </c>
      <c r="C249" s="121"/>
      <c r="D249" s="120"/>
      <c r="E249" s="120"/>
      <c r="F249" s="121">
        <v>78000114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337</v>
      </c>
      <c r="N249" s="121"/>
      <c r="O249" s="124">
        <v>44230</v>
      </c>
      <c r="P249" s="120" t="s">
        <v>1331</v>
      </c>
      <c r="Q249" s="120" t="s">
        <v>414</v>
      </c>
      <c r="R249" s="120" t="s">
        <v>407</v>
      </c>
      <c r="S249" s="120" t="s">
        <v>1218</v>
      </c>
      <c r="T249" s="122">
        <v>3.91</v>
      </c>
      <c r="U249" s="120" t="s">
        <v>2613</v>
      </c>
      <c r="V249" s="123">
        <v>8.1700000000000002E-3</v>
      </c>
      <c r="W249" s="120"/>
      <c r="X249" s="120"/>
      <c r="Y249" s="123"/>
      <c r="Z249" s="123">
        <v>3.4700000000000002E-2</v>
      </c>
      <c r="AA249" s="124">
        <v>48852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45838</v>
      </c>
      <c r="AO249" s="120"/>
      <c r="AP249" s="123"/>
      <c r="AQ249" s="122">
        <v>643848.49</v>
      </c>
      <c r="AR249" s="122">
        <v>105.85</v>
      </c>
      <c r="AS249" s="122">
        <v>1</v>
      </c>
      <c r="AT249" s="122">
        <v>681.51363000000003</v>
      </c>
      <c r="AU249" s="122">
        <v>681.51363000000003</v>
      </c>
      <c r="AV249" s="120"/>
      <c r="AW249" s="120"/>
      <c r="AX249" s="120"/>
      <c r="AY249" s="120"/>
      <c r="AZ249" s="123">
        <v>2.3699999999999999E-4</v>
      </c>
      <c r="BA249" s="123">
        <v>1.1E-5</v>
      </c>
    </row>
    <row r="250" spans="1:53" ht="15" customHeight="1">
      <c r="A250" s="121">
        <v>313</v>
      </c>
      <c r="B250" s="121">
        <v>313</v>
      </c>
      <c r="C250" s="121"/>
      <c r="D250" s="120"/>
      <c r="E250" s="120"/>
      <c r="F250" s="121">
        <v>77000104</v>
      </c>
      <c r="G250" s="120" t="s">
        <v>1013</v>
      </c>
      <c r="H250" s="120" t="s">
        <v>812</v>
      </c>
      <c r="I250" s="120" t="s">
        <v>203</v>
      </c>
      <c r="J250" s="120"/>
      <c r="K250" s="120" t="s">
        <v>313</v>
      </c>
      <c r="L250" s="120" t="s">
        <v>338</v>
      </c>
      <c r="M250" s="120" t="s">
        <v>337</v>
      </c>
      <c r="N250" s="121"/>
      <c r="O250" s="124">
        <v>45302</v>
      </c>
      <c r="P250" s="120" t="s">
        <v>1438</v>
      </c>
      <c r="Q250" s="120" t="s">
        <v>311</v>
      </c>
      <c r="R250" s="120" t="s">
        <v>407</v>
      </c>
      <c r="S250" s="120" t="s">
        <v>1218</v>
      </c>
      <c r="T250" s="122">
        <v>7.64</v>
      </c>
      <c r="U250" s="120" t="s">
        <v>2613</v>
      </c>
      <c r="V250" s="123">
        <v>3.6700000000000003E-2</v>
      </c>
      <c r="W250" s="120"/>
      <c r="X250" s="120"/>
      <c r="Y250" s="123"/>
      <c r="Z250" s="123">
        <v>3.0700000000000002E-2</v>
      </c>
      <c r="AA250" s="124">
        <v>52607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45838</v>
      </c>
      <c r="AO250" s="120"/>
      <c r="AP250" s="123"/>
      <c r="AQ250" s="122">
        <v>5390625</v>
      </c>
      <c r="AR250" s="122">
        <v>111</v>
      </c>
      <c r="AS250" s="122">
        <v>1</v>
      </c>
      <c r="AT250" s="122">
        <v>5983.59375</v>
      </c>
      <c r="AU250" s="122">
        <v>5983.59375</v>
      </c>
      <c r="AV250" s="120"/>
      <c r="AW250" s="120"/>
      <c r="AX250" s="120"/>
      <c r="AY250" s="120"/>
      <c r="AZ250" s="123">
        <v>2.0830000000000002E-3</v>
      </c>
      <c r="BA250" s="123">
        <v>9.8999999999999994E-5</v>
      </c>
    </row>
    <row r="251" spans="1:53" ht="15" customHeight="1">
      <c r="A251" s="121">
        <v>313</v>
      </c>
      <c r="B251" s="121">
        <v>313</v>
      </c>
      <c r="C251" s="121"/>
      <c r="D251" s="120"/>
      <c r="E251" s="120"/>
      <c r="F251" s="121">
        <v>78000108</v>
      </c>
      <c r="G251" s="120" t="s">
        <v>1013</v>
      </c>
      <c r="H251" s="120" t="s">
        <v>812</v>
      </c>
      <c r="I251" s="120" t="s">
        <v>203</v>
      </c>
      <c r="J251" s="120"/>
      <c r="K251" s="120" t="s">
        <v>454</v>
      </c>
      <c r="L251" s="120" t="s">
        <v>338</v>
      </c>
      <c r="M251" s="120" t="s">
        <v>337</v>
      </c>
      <c r="N251" s="121"/>
      <c r="O251" s="124">
        <v>44227</v>
      </c>
      <c r="P251" s="120" t="s">
        <v>1331</v>
      </c>
      <c r="Q251" s="120" t="s">
        <v>414</v>
      </c>
      <c r="R251" s="120" t="s">
        <v>407</v>
      </c>
      <c r="S251" s="120" t="s">
        <v>1218</v>
      </c>
      <c r="T251" s="122">
        <v>4.8099999999999996</v>
      </c>
      <c r="U251" s="120" t="s">
        <v>2613</v>
      </c>
      <c r="V251" s="123">
        <v>8.6840000000000007E-3</v>
      </c>
      <c r="W251" s="120"/>
      <c r="X251" s="120"/>
      <c r="Y251" s="123"/>
      <c r="Z251" s="123">
        <v>2.52E-2</v>
      </c>
      <c r="AA251" s="124">
        <v>49582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45838</v>
      </c>
      <c r="AO251" s="120"/>
      <c r="AP251" s="123"/>
      <c r="AQ251" s="122">
        <v>24509029.59</v>
      </c>
      <c r="AR251" s="122">
        <v>108.44</v>
      </c>
      <c r="AS251" s="122">
        <v>1</v>
      </c>
      <c r="AT251" s="122">
        <v>26577.591690000001</v>
      </c>
      <c r="AU251" s="122">
        <v>26577.591690000001</v>
      </c>
      <c r="AV251" s="120"/>
      <c r="AW251" s="120"/>
      <c r="AX251" s="120"/>
      <c r="AY251" s="120"/>
      <c r="AZ251" s="123">
        <v>9.2560000000000003E-3</v>
      </c>
      <c r="BA251" s="123">
        <v>4.4200000000000001E-4</v>
      </c>
    </row>
    <row r="252" spans="1:53" ht="15" customHeight="1">
      <c r="A252" s="121">
        <v>313</v>
      </c>
      <c r="B252" s="121">
        <v>313</v>
      </c>
      <c r="C252" s="121"/>
      <c r="D252" s="120"/>
      <c r="E252" s="120"/>
      <c r="F252" s="121">
        <v>78000109</v>
      </c>
      <c r="G252" s="120" t="s">
        <v>1013</v>
      </c>
      <c r="H252" s="120" t="s">
        <v>812</v>
      </c>
      <c r="I252" s="120" t="s">
        <v>203</v>
      </c>
      <c r="J252" s="120"/>
      <c r="K252" s="120" t="s">
        <v>454</v>
      </c>
      <c r="L252" s="120" t="s">
        <v>338</v>
      </c>
      <c r="M252" s="120" t="s">
        <v>337</v>
      </c>
      <c r="N252" s="121"/>
      <c r="O252" s="124">
        <v>44227</v>
      </c>
      <c r="P252" s="120" t="s">
        <v>1331</v>
      </c>
      <c r="Q252" s="120" t="s">
        <v>414</v>
      </c>
      <c r="R252" s="120" t="s">
        <v>407</v>
      </c>
      <c r="S252" s="120" t="s">
        <v>1218</v>
      </c>
      <c r="T252" s="122">
        <v>3.92</v>
      </c>
      <c r="U252" s="120" t="s">
        <v>2613</v>
      </c>
      <c r="V252" s="123">
        <v>7.9089999999999994E-3</v>
      </c>
      <c r="W252" s="120"/>
      <c r="X252" s="120"/>
      <c r="Y252" s="123"/>
      <c r="Z252" s="123">
        <v>3.3500000000000002E-2</v>
      </c>
      <c r="AA252" s="124">
        <v>48852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45838</v>
      </c>
      <c r="AO252" s="120"/>
      <c r="AP252" s="123"/>
      <c r="AQ252" s="122">
        <v>1603406.51</v>
      </c>
      <c r="AR252" s="122">
        <v>106.2</v>
      </c>
      <c r="AS252" s="122">
        <v>1</v>
      </c>
      <c r="AT252" s="122">
        <v>1702.81771</v>
      </c>
      <c r="AU252" s="122">
        <v>1702.81771</v>
      </c>
      <c r="AV252" s="120"/>
      <c r="AW252" s="120"/>
      <c r="AX252" s="120"/>
      <c r="AY252" s="120"/>
      <c r="AZ252" s="123">
        <v>5.9299999999999999E-4</v>
      </c>
      <c r="BA252" s="123">
        <v>2.8E-5</v>
      </c>
    </row>
    <row r="253" spans="1:53" ht="15" customHeight="1">
      <c r="A253" s="121">
        <v>313</v>
      </c>
      <c r="B253" s="121">
        <v>313</v>
      </c>
      <c r="C253" s="121"/>
      <c r="D253" s="120"/>
      <c r="E253" s="120"/>
      <c r="F253" s="121">
        <v>78000110</v>
      </c>
      <c r="G253" s="120" t="s">
        <v>1013</v>
      </c>
      <c r="H253" s="120" t="s">
        <v>812</v>
      </c>
      <c r="I253" s="120" t="s">
        <v>203</v>
      </c>
      <c r="J253" s="120"/>
      <c r="K253" s="120" t="s">
        <v>454</v>
      </c>
      <c r="L253" s="120" t="s">
        <v>338</v>
      </c>
      <c r="M253" s="120" t="s">
        <v>337</v>
      </c>
      <c r="N253" s="121"/>
      <c r="O253" s="124">
        <v>44227</v>
      </c>
      <c r="P253" s="120" t="s">
        <v>1331</v>
      </c>
      <c r="Q253" s="120" t="s">
        <v>414</v>
      </c>
      <c r="R253" s="120" t="s">
        <v>407</v>
      </c>
      <c r="S253" s="120" t="s">
        <v>1218</v>
      </c>
      <c r="T253" s="122">
        <v>4.03</v>
      </c>
      <c r="U253" s="120" t="s">
        <v>2613</v>
      </c>
      <c r="V253" s="123">
        <v>8.0000000000000002E-3</v>
      </c>
      <c r="W253" s="120"/>
      <c r="X253" s="120"/>
      <c r="Y253" s="123"/>
      <c r="Z253" s="123">
        <v>3.3500000000000002E-2</v>
      </c>
      <c r="AA253" s="124">
        <v>48944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45838</v>
      </c>
      <c r="AO253" s="120"/>
      <c r="AP253" s="123"/>
      <c r="AQ253" s="122">
        <v>2816258.11</v>
      </c>
      <c r="AR253" s="122">
        <v>105.96</v>
      </c>
      <c r="AS253" s="122">
        <v>1</v>
      </c>
      <c r="AT253" s="122">
        <v>2984.10709</v>
      </c>
      <c r="AU253" s="122">
        <v>2984.10709</v>
      </c>
      <c r="AV253" s="120"/>
      <c r="AW253" s="120"/>
      <c r="AX253" s="120"/>
      <c r="AY253" s="120"/>
      <c r="AZ253" s="123">
        <v>1.039E-3</v>
      </c>
      <c r="BA253" s="123">
        <v>4.8999999999999998E-5</v>
      </c>
    </row>
    <row r="254" spans="1:53" ht="15" customHeight="1">
      <c r="A254" s="121">
        <v>313</v>
      </c>
      <c r="B254" s="121">
        <v>313</v>
      </c>
      <c r="C254" s="121"/>
      <c r="D254" s="120"/>
      <c r="E254" s="120"/>
      <c r="F254" s="121">
        <v>78000111</v>
      </c>
      <c r="G254" s="120" t="s">
        <v>1013</v>
      </c>
      <c r="H254" s="120" t="s">
        <v>812</v>
      </c>
      <c r="I254" s="120" t="s">
        <v>203</v>
      </c>
      <c r="J254" s="120"/>
      <c r="K254" s="120" t="s">
        <v>454</v>
      </c>
      <c r="L254" s="120" t="s">
        <v>338</v>
      </c>
      <c r="M254" s="120" t="s">
        <v>337</v>
      </c>
      <c r="N254" s="121"/>
      <c r="O254" s="124">
        <v>44227</v>
      </c>
      <c r="P254" s="120" t="s">
        <v>1331</v>
      </c>
      <c r="Q254" s="120" t="s">
        <v>414</v>
      </c>
      <c r="R254" s="120" t="s">
        <v>407</v>
      </c>
      <c r="S254" s="120" t="s">
        <v>1218</v>
      </c>
      <c r="T254" s="122">
        <v>3.78</v>
      </c>
      <c r="U254" s="120" t="s">
        <v>2613</v>
      </c>
      <c r="V254" s="123">
        <v>7.6629999999999997E-3</v>
      </c>
      <c r="W254" s="120"/>
      <c r="X254" s="120"/>
      <c r="Y254" s="123"/>
      <c r="Z254" s="123">
        <v>2.9499999999999998E-2</v>
      </c>
      <c r="AA254" s="124">
        <v>48760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45838</v>
      </c>
      <c r="AO254" s="120"/>
      <c r="AP254" s="123"/>
      <c r="AQ254" s="122">
        <v>5441103.7599999998</v>
      </c>
      <c r="AR254" s="122">
        <v>108.1</v>
      </c>
      <c r="AS254" s="122">
        <v>1</v>
      </c>
      <c r="AT254" s="122">
        <v>5881.8331600000001</v>
      </c>
      <c r="AU254" s="122">
        <v>5881.8331600000001</v>
      </c>
      <c r="AV254" s="120"/>
      <c r="AW254" s="120"/>
      <c r="AX254" s="120"/>
      <c r="AY254" s="120"/>
      <c r="AZ254" s="123">
        <v>2.0479999999999999E-3</v>
      </c>
      <c r="BA254" s="123">
        <v>9.7E-5</v>
      </c>
    </row>
    <row r="255" spans="1:53" ht="15" customHeight="1">
      <c r="A255" s="121">
        <v>313</v>
      </c>
      <c r="B255" s="121">
        <v>313</v>
      </c>
      <c r="C255" s="121"/>
      <c r="D255" s="120"/>
      <c r="E255" s="120"/>
      <c r="F255" s="121">
        <v>78000112</v>
      </c>
      <c r="G255" s="120" t="s">
        <v>1013</v>
      </c>
      <c r="H255" s="120" t="s">
        <v>812</v>
      </c>
      <c r="I255" s="120" t="s">
        <v>203</v>
      </c>
      <c r="J255" s="120"/>
      <c r="K255" s="120" t="s">
        <v>454</v>
      </c>
      <c r="L255" s="120" t="s">
        <v>338</v>
      </c>
      <c r="M255" s="120" t="s">
        <v>337</v>
      </c>
      <c r="N255" s="121"/>
      <c r="O255" s="124">
        <v>44227</v>
      </c>
      <c r="P255" s="120" t="s">
        <v>1331</v>
      </c>
      <c r="Q255" s="120" t="s">
        <v>414</v>
      </c>
      <c r="R255" s="120" t="s">
        <v>407</v>
      </c>
      <c r="S255" s="120" t="s">
        <v>1218</v>
      </c>
      <c r="T255" s="122">
        <v>3.65</v>
      </c>
      <c r="U255" s="120" t="s">
        <v>2613</v>
      </c>
      <c r="V255" s="123">
        <v>7.6249999999999998E-3</v>
      </c>
      <c r="W255" s="120"/>
      <c r="X255" s="120"/>
      <c r="Y255" s="123"/>
      <c r="Z255" s="123">
        <v>3.1600000000000003E-2</v>
      </c>
      <c r="AA255" s="124">
        <v>48852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45838</v>
      </c>
      <c r="AO255" s="120"/>
      <c r="AP255" s="123"/>
      <c r="AQ255" s="122">
        <v>7138682.29</v>
      </c>
      <c r="AR255" s="122">
        <v>107.56</v>
      </c>
      <c r="AS255" s="122">
        <v>1</v>
      </c>
      <c r="AT255" s="122">
        <v>7678.3666700000003</v>
      </c>
      <c r="AU255" s="122">
        <v>7678.3666700000003</v>
      </c>
      <c r="AV255" s="120"/>
      <c r="AW255" s="120"/>
      <c r="AX255" s="120"/>
      <c r="AY255" s="120"/>
      <c r="AZ255" s="123">
        <v>2.6740000000000002E-3</v>
      </c>
      <c r="BA255" s="123">
        <v>1.27E-4</v>
      </c>
    </row>
    <row r="256" spans="1:53" ht="15" customHeight="1">
      <c r="A256" s="121">
        <v>313</v>
      </c>
      <c r="B256" s="121">
        <v>313</v>
      </c>
      <c r="C256" s="121"/>
      <c r="D256" s="120"/>
      <c r="E256" s="120"/>
      <c r="F256" s="121">
        <v>77000105</v>
      </c>
      <c r="G256" s="120" t="s">
        <v>1013</v>
      </c>
      <c r="H256" s="120" t="s">
        <v>812</v>
      </c>
      <c r="I256" s="120" t="s">
        <v>203</v>
      </c>
      <c r="J256" s="120"/>
      <c r="K256" s="120" t="s">
        <v>313</v>
      </c>
      <c r="L256" s="120" t="s">
        <v>338</v>
      </c>
      <c r="M256" s="120" t="s">
        <v>337</v>
      </c>
      <c r="N256" s="121"/>
      <c r="O256" s="124">
        <v>45522</v>
      </c>
      <c r="P256" s="120" t="s">
        <v>1438</v>
      </c>
      <c r="Q256" s="120" t="s">
        <v>311</v>
      </c>
      <c r="R256" s="120" t="s">
        <v>407</v>
      </c>
      <c r="S256" s="120" t="s">
        <v>1218</v>
      </c>
      <c r="T256" s="122">
        <v>7.78</v>
      </c>
      <c r="U256" s="120" t="s">
        <v>2613</v>
      </c>
      <c r="V256" s="123">
        <v>4.1300000000000003E-2</v>
      </c>
      <c r="W256" s="120"/>
      <c r="X256" s="120"/>
      <c r="Y256" s="123"/>
      <c r="Z256" s="123">
        <v>3.2800000000000003E-2</v>
      </c>
      <c r="AA256" s="124">
        <v>52827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338</v>
      </c>
      <c r="AK256" s="120" t="s">
        <v>887</v>
      </c>
      <c r="AL256" s="120"/>
      <c r="AM256" s="120" t="s">
        <v>890</v>
      </c>
      <c r="AN256" s="124">
        <v>45838</v>
      </c>
      <c r="AO256" s="120"/>
      <c r="AP256" s="123"/>
      <c r="AQ256" s="122">
        <v>5534375</v>
      </c>
      <c r="AR256" s="122">
        <v>110.07</v>
      </c>
      <c r="AS256" s="122">
        <v>1</v>
      </c>
      <c r="AT256" s="122">
        <v>6091.6865600000001</v>
      </c>
      <c r="AU256" s="122">
        <v>6091.6865600000001</v>
      </c>
      <c r="AV256" s="120"/>
      <c r="AW256" s="120"/>
      <c r="AX256" s="120"/>
      <c r="AY256" s="120"/>
      <c r="AZ256" s="123">
        <v>2.1210000000000001E-3</v>
      </c>
      <c r="BA256" s="123">
        <v>1.01E-4</v>
      </c>
    </row>
    <row r="257" spans="1:53" ht="15" customHeight="1">
      <c r="A257" s="121">
        <v>313</v>
      </c>
      <c r="B257" s="121">
        <v>313</v>
      </c>
      <c r="C257" s="121"/>
      <c r="D257" s="120"/>
      <c r="E257" s="120"/>
      <c r="F257" s="121">
        <v>70009002</v>
      </c>
      <c r="G257" s="120" t="s">
        <v>1013</v>
      </c>
      <c r="H257" s="120" t="s">
        <v>818</v>
      </c>
      <c r="I257" s="120" t="s">
        <v>203</v>
      </c>
      <c r="J257" s="120"/>
      <c r="K257" s="120" t="s">
        <v>462</v>
      </c>
      <c r="L257" s="120" t="s">
        <v>338</v>
      </c>
      <c r="M257" s="120" t="s">
        <v>338</v>
      </c>
      <c r="N257" s="121"/>
      <c r="O257" s="124">
        <v>44926</v>
      </c>
      <c r="P257" s="120" t="s">
        <v>2615</v>
      </c>
      <c r="Q257" s="120" t="s">
        <v>412</v>
      </c>
      <c r="R257" s="120" t="s">
        <v>407</v>
      </c>
      <c r="S257" s="120" t="s">
        <v>1218</v>
      </c>
      <c r="T257" s="122">
        <v>0.78</v>
      </c>
      <c r="U257" s="120" t="s">
        <v>2613</v>
      </c>
      <c r="V257" s="123">
        <v>4.5823000000000003E-2</v>
      </c>
      <c r="W257" s="120"/>
      <c r="X257" s="120"/>
      <c r="Y257" s="123"/>
      <c r="Z257" s="123">
        <v>6.1400000000000003E-2</v>
      </c>
      <c r="AA257" s="124">
        <v>46126</v>
      </c>
      <c r="AB257" s="120" t="s">
        <v>411</v>
      </c>
      <c r="AC257" s="120"/>
      <c r="AD257" s="122"/>
      <c r="AE257" s="123"/>
      <c r="AF257" s="124"/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45838</v>
      </c>
      <c r="AO257" s="120"/>
      <c r="AP257" s="123"/>
      <c r="AQ257" s="122">
        <v>46000000</v>
      </c>
      <c r="AR257" s="122">
        <v>100.11</v>
      </c>
      <c r="AS257" s="122">
        <v>1</v>
      </c>
      <c r="AT257" s="122">
        <v>46050.6</v>
      </c>
      <c r="AU257" s="122">
        <v>46050.6</v>
      </c>
      <c r="AV257" s="120"/>
      <c r="AW257" s="120"/>
      <c r="AX257" s="120"/>
      <c r="AY257" s="120"/>
      <c r="AZ257" s="123">
        <v>1.6038E-2</v>
      </c>
      <c r="BA257" s="123">
        <v>7.6599999999999997E-4</v>
      </c>
    </row>
    <row r="258" spans="1:53" ht="15" customHeight="1">
      <c r="A258" s="121">
        <v>313</v>
      </c>
      <c r="B258" s="121">
        <v>313</v>
      </c>
      <c r="C258" s="121"/>
      <c r="D258" s="120"/>
      <c r="E258" s="120"/>
      <c r="F258" s="121">
        <v>70007729</v>
      </c>
      <c r="G258" s="120" t="s">
        <v>1013</v>
      </c>
      <c r="H258" s="120" t="s">
        <v>812</v>
      </c>
      <c r="I258" s="120" t="s">
        <v>203</v>
      </c>
      <c r="J258" s="120"/>
      <c r="K258" s="120" t="s">
        <v>446</v>
      </c>
      <c r="L258" s="120" t="s">
        <v>338</v>
      </c>
      <c r="M258" s="120" t="s">
        <v>337</v>
      </c>
      <c r="N258" s="121"/>
      <c r="O258" s="124">
        <v>45825</v>
      </c>
      <c r="P258" s="120" t="s">
        <v>1304</v>
      </c>
      <c r="Q258" s="120" t="s">
        <v>414</v>
      </c>
      <c r="R258" s="120" t="s">
        <v>407</v>
      </c>
      <c r="S258" s="120" t="s">
        <v>1218</v>
      </c>
      <c r="T258" s="122">
        <v>2.74</v>
      </c>
      <c r="U258" s="120" t="s">
        <v>313</v>
      </c>
      <c r="V258" s="123">
        <v>6.6000000000000003E-2</v>
      </c>
      <c r="W258" s="120"/>
      <c r="X258" s="120"/>
      <c r="Y258" s="123"/>
      <c r="Z258" s="123">
        <v>6.7000000000000004E-2</v>
      </c>
      <c r="AA258" s="124">
        <v>46932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338</v>
      </c>
      <c r="AK258" s="120" t="s">
        <v>887</v>
      </c>
      <c r="AL258" s="120"/>
      <c r="AM258" s="120" t="s">
        <v>890</v>
      </c>
      <c r="AN258" s="124">
        <v>45838</v>
      </c>
      <c r="AO258" s="120"/>
      <c r="AP258" s="123"/>
      <c r="AQ258" s="122">
        <v>2679892.87</v>
      </c>
      <c r="AR258" s="122">
        <v>100.18</v>
      </c>
      <c r="AS258" s="122">
        <v>1</v>
      </c>
      <c r="AT258" s="122">
        <v>2684.71668</v>
      </c>
      <c r="AU258" s="122">
        <v>2684.71668</v>
      </c>
      <c r="AV258" s="120"/>
      <c r="AW258" s="120"/>
      <c r="AX258" s="120"/>
      <c r="AY258" s="120"/>
      <c r="AZ258" s="123">
        <v>9.3499999999999996E-4</v>
      </c>
      <c r="BA258" s="123">
        <v>4.3999999999999999E-5</v>
      </c>
    </row>
    <row r="259" spans="1:53" ht="15" customHeight="1">
      <c r="A259" s="121">
        <v>313</v>
      </c>
      <c r="B259" s="121">
        <v>313</v>
      </c>
      <c r="C259" s="121"/>
      <c r="D259" s="120"/>
      <c r="E259" s="120"/>
      <c r="F259" s="121">
        <v>70007728</v>
      </c>
      <c r="G259" s="120" t="s">
        <v>1013</v>
      </c>
      <c r="H259" s="120" t="s">
        <v>812</v>
      </c>
      <c r="I259" s="120" t="s">
        <v>203</v>
      </c>
      <c r="J259" s="120"/>
      <c r="K259" s="120" t="s">
        <v>446</v>
      </c>
      <c r="L259" s="120" t="s">
        <v>338</v>
      </c>
      <c r="M259" s="120" t="s">
        <v>337</v>
      </c>
      <c r="N259" s="121"/>
      <c r="O259" s="124">
        <v>45825</v>
      </c>
      <c r="P259" s="120" t="s">
        <v>1304</v>
      </c>
      <c r="Q259" s="120" t="s">
        <v>414</v>
      </c>
      <c r="R259" s="120" t="s">
        <v>407</v>
      </c>
      <c r="S259" s="120" t="s">
        <v>1218</v>
      </c>
      <c r="T259" s="122">
        <v>3.29</v>
      </c>
      <c r="U259" s="120" t="s">
        <v>313</v>
      </c>
      <c r="V259" s="123">
        <v>6.6000000000000003E-2</v>
      </c>
      <c r="W259" s="120"/>
      <c r="X259" s="120"/>
      <c r="Y259" s="123"/>
      <c r="Z259" s="123">
        <v>6.7100000000000007E-2</v>
      </c>
      <c r="AA259" s="124">
        <v>47177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338</v>
      </c>
      <c r="AK259" s="120" t="s">
        <v>887</v>
      </c>
      <c r="AL259" s="120"/>
      <c r="AM259" s="120" t="s">
        <v>890</v>
      </c>
      <c r="AN259" s="124">
        <v>45838</v>
      </c>
      <c r="AO259" s="120"/>
      <c r="AP259" s="123"/>
      <c r="AQ259" s="122">
        <v>426021.91</v>
      </c>
      <c r="AR259" s="122">
        <v>100.18</v>
      </c>
      <c r="AS259" s="122">
        <v>1</v>
      </c>
      <c r="AT259" s="122">
        <v>426.78874999999999</v>
      </c>
      <c r="AU259" s="122">
        <v>426.78874999999999</v>
      </c>
      <c r="AV259" s="120"/>
      <c r="AW259" s="120"/>
      <c r="AX259" s="120"/>
      <c r="AY259" s="120"/>
      <c r="AZ259" s="123">
        <v>1.4799999999999999E-4</v>
      </c>
      <c r="BA259" s="123">
        <v>6.9999999999999999E-6</v>
      </c>
    </row>
    <row r="260" spans="1:53" ht="15" customHeight="1">
      <c r="A260" s="121">
        <v>313</v>
      </c>
      <c r="B260" s="121">
        <v>313</v>
      </c>
      <c r="C260" s="121"/>
      <c r="D260" s="120"/>
      <c r="E260" s="120"/>
      <c r="F260" s="121">
        <v>50000970</v>
      </c>
      <c r="G260" s="120" t="s">
        <v>1013</v>
      </c>
      <c r="H260" s="120" t="s">
        <v>812</v>
      </c>
      <c r="I260" s="120" t="s">
        <v>203</v>
      </c>
      <c r="J260" s="120"/>
      <c r="K260" s="120" t="s">
        <v>454</v>
      </c>
      <c r="L260" s="120" t="s">
        <v>338</v>
      </c>
      <c r="M260" s="120" t="s">
        <v>338</v>
      </c>
      <c r="N260" s="121"/>
      <c r="O260" s="124">
        <v>45007</v>
      </c>
      <c r="P260" s="120" t="s">
        <v>1331</v>
      </c>
      <c r="Q260" s="120" t="s">
        <v>414</v>
      </c>
      <c r="R260" s="120" t="s">
        <v>407</v>
      </c>
      <c r="S260" s="120" t="s">
        <v>1218</v>
      </c>
      <c r="T260" s="122">
        <v>8.0299999999999994</v>
      </c>
      <c r="U260" s="120" t="s">
        <v>2613</v>
      </c>
      <c r="V260" s="123">
        <v>3.3309999999999999E-2</v>
      </c>
      <c r="W260" s="120"/>
      <c r="X260" s="120"/>
      <c r="Y260" s="123"/>
      <c r="Z260" s="123">
        <v>2.9399999999999999E-2</v>
      </c>
      <c r="AA260" s="124">
        <v>52412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45838</v>
      </c>
      <c r="AO260" s="120"/>
      <c r="AP260" s="123"/>
      <c r="AQ260" s="122">
        <v>236294.14</v>
      </c>
      <c r="AR260" s="122">
        <v>111</v>
      </c>
      <c r="AS260" s="122">
        <v>1</v>
      </c>
      <c r="AT260" s="122">
        <v>262.28649999999999</v>
      </c>
      <c r="AU260" s="122">
        <v>262.28649999999999</v>
      </c>
      <c r="AV260" s="120"/>
      <c r="AW260" s="120"/>
      <c r="AX260" s="120"/>
      <c r="AY260" s="120"/>
      <c r="AZ260" s="123">
        <v>9.1000000000000003E-5</v>
      </c>
      <c r="BA260" s="123">
        <v>3.9999999999999998E-6</v>
      </c>
    </row>
    <row r="261" spans="1:53" ht="15" customHeight="1">
      <c r="A261" s="121">
        <v>313</v>
      </c>
      <c r="B261" s="121">
        <v>313</v>
      </c>
      <c r="C261" s="121"/>
      <c r="D261" s="120"/>
      <c r="E261" s="120"/>
      <c r="F261" s="121">
        <v>50000973</v>
      </c>
      <c r="G261" s="120" t="s">
        <v>1013</v>
      </c>
      <c r="H261" s="120" t="s">
        <v>2617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43926</v>
      </c>
      <c r="P261" s="120" t="s">
        <v>2621</v>
      </c>
      <c r="Q261" s="120" t="s">
        <v>414</v>
      </c>
      <c r="R261" s="120" t="s">
        <v>407</v>
      </c>
      <c r="S261" s="120" t="s">
        <v>1218</v>
      </c>
      <c r="T261" s="122">
        <v>17.72</v>
      </c>
      <c r="U261" s="120" t="s">
        <v>2613</v>
      </c>
      <c r="V261" s="123">
        <v>3.1800000000000002E-2</v>
      </c>
      <c r="W261" s="120"/>
      <c r="X261" s="120"/>
      <c r="Y261" s="123"/>
      <c r="Z261" s="123">
        <v>3.6299999999999999E-2</v>
      </c>
      <c r="AA261" s="124">
        <v>52305</v>
      </c>
      <c r="AB261" s="120" t="s">
        <v>411</v>
      </c>
      <c r="AC261" s="120"/>
      <c r="AD261" s="122"/>
      <c r="AE261" s="123"/>
      <c r="AF261" s="124">
        <v>45108</v>
      </c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45838</v>
      </c>
      <c r="AO261" s="120"/>
      <c r="AP261" s="123"/>
      <c r="AQ261" s="122">
        <v>9672806</v>
      </c>
      <c r="AR261" s="122">
        <v>108.98</v>
      </c>
      <c r="AS261" s="122">
        <v>1</v>
      </c>
      <c r="AT261" s="122">
        <v>10541.42398</v>
      </c>
      <c r="AU261" s="122">
        <v>10541.42398</v>
      </c>
      <c r="AV261" s="120"/>
      <c r="AW261" s="120"/>
      <c r="AX261" s="120"/>
      <c r="AY261" s="120"/>
      <c r="AZ261" s="123">
        <v>3.6709999999999998E-3</v>
      </c>
      <c r="BA261" s="123">
        <v>1.75E-4</v>
      </c>
    </row>
    <row r="262" spans="1:53" ht="15" customHeight="1">
      <c r="A262" s="121">
        <v>313</v>
      </c>
      <c r="B262" s="121">
        <v>313</v>
      </c>
      <c r="C262" s="121"/>
      <c r="D262" s="120"/>
      <c r="E262" s="120"/>
      <c r="F262" s="121">
        <v>50000974</v>
      </c>
      <c r="G262" s="120" t="s">
        <v>1013</v>
      </c>
      <c r="H262" s="120" t="s">
        <v>2617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43926</v>
      </c>
      <c r="P262" s="120" t="s">
        <v>2621</v>
      </c>
      <c r="Q262" s="120" t="s">
        <v>414</v>
      </c>
      <c r="R262" s="120" t="s">
        <v>407</v>
      </c>
      <c r="S262" s="120" t="s">
        <v>1218</v>
      </c>
      <c r="T262" s="122">
        <v>8.1</v>
      </c>
      <c r="U262" s="120" t="s">
        <v>2613</v>
      </c>
      <c r="V262" s="123">
        <v>2.6499999999999999E-2</v>
      </c>
      <c r="W262" s="120"/>
      <c r="X262" s="120"/>
      <c r="Y262" s="123"/>
      <c r="Z262" s="123">
        <v>3.4000000000000002E-2</v>
      </c>
      <c r="AA262" s="124">
        <v>51940</v>
      </c>
      <c r="AB262" s="120" t="s">
        <v>411</v>
      </c>
      <c r="AC262" s="120"/>
      <c r="AD262" s="122"/>
      <c r="AE262" s="123"/>
      <c r="AF262" s="124">
        <v>45108</v>
      </c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45838</v>
      </c>
      <c r="AO262" s="120"/>
      <c r="AP262" s="123"/>
      <c r="AQ262" s="122">
        <v>9875532.7100000009</v>
      </c>
      <c r="AR262" s="122">
        <v>110.48</v>
      </c>
      <c r="AS262" s="122">
        <v>1</v>
      </c>
      <c r="AT262" s="122">
        <v>10910.48854</v>
      </c>
      <c r="AU262" s="122">
        <v>10910.48854</v>
      </c>
      <c r="AV262" s="120"/>
      <c r="AW262" s="120"/>
      <c r="AX262" s="120"/>
      <c r="AY262" s="120"/>
      <c r="AZ262" s="123">
        <v>3.7989999999999999E-3</v>
      </c>
      <c r="BA262" s="123">
        <v>1.8100000000000001E-4</v>
      </c>
    </row>
    <row r="263" spans="1:53" ht="15" customHeight="1">
      <c r="A263" s="121">
        <v>313</v>
      </c>
      <c r="B263" s="121">
        <v>313</v>
      </c>
      <c r="C263" s="121"/>
      <c r="D263" s="120"/>
      <c r="E263" s="120"/>
      <c r="F263" s="121">
        <v>50000976</v>
      </c>
      <c r="G263" s="120" t="s">
        <v>1013</v>
      </c>
      <c r="H263" s="120" t="s">
        <v>2617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45641</v>
      </c>
      <c r="P263" s="120" t="s">
        <v>2621</v>
      </c>
      <c r="Q263" s="120" t="s">
        <v>414</v>
      </c>
      <c r="R263" s="120" t="s">
        <v>407</v>
      </c>
      <c r="S263" s="120" t="s">
        <v>1218</v>
      </c>
      <c r="T263" s="122">
        <v>0.45</v>
      </c>
      <c r="U263" s="120" t="s">
        <v>824</v>
      </c>
      <c r="V263" s="123">
        <v>7.4999999999999997E-2</v>
      </c>
      <c r="W263" s="120"/>
      <c r="X263" s="120"/>
      <c r="Y263" s="123"/>
      <c r="Z263" s="123">
        <v>5.7200000000000001E-2</v>
      </c>
      <c r="AA263" s="124">
        <v>46006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338</v>
      </c>
      <c r="AK263" s="120" t="s">
        <v>887</v>
      </c>
      <c r="AL263" s="120"/>
      <c r="AM263" s="120" t="s">
        <v>890</v>
      </c>
      <c r="AN263" s="124">
        <v>45838</v>
      </c>
      <c r="AO263" s="120"/>
      <c r="AP263" s="123"/>
      <c r="AQ263" s="122">
        <v>5036073.7300000004</v>
      </c>
      <c r="AR263" s="122">
        <v>101.16</v>
      </c>
      <c r="AS263" s="122">
        <v>1</v>
      </c>
      <c r="AT263" s="122">
        <v>5094.4921899999999</v>
      </c>
      <c r="AU263" s="122">
        <v>5094.4921899999999</v>
      </c>
      <c r="AV263" s="120"/>
      <c r="AW263" s="120"/>
      <c r="AX263" s="120"/>
      <c r="AY263" s="120"/>
      <c r="AZ263" s="123">
        <v>1.774E-3</v>
      </c>
      <c r="BA263" s="123">
        <v>8.3999999999999995E-5</v>
      </c>
    </row>
    <row r="264" spans="1:53" ht="15" customHeight="1">
      <c r="A264" s="121">
        <v>313</v>
      </c>
      <c r="B264" s="121">
        <v>313</v>
      </c>
      <c r="C264" s="121"/>
      <c r="D264" s="120"/>
      <c r="E264" s="120"/>
      <c r="F264" s="121">
        <v>50000986</v>
      </c>
      <c r="G264" s="120" t="s">
        <v>1013</v>
      </c>
      <c r="H264" s="120" t="s">
        <v>2617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43958</v>
      </c>
      <c r="P264" s="120" t="s">
        <v>2621</v>
      </c>
      <c r="Q264" s="120" t="s">
        <v>414</v>
      </c>
      <c r="R264" s="120" t="s">
        <v>407</v>
      </c>
      <c r="S264" s="120" t="s">
        <v>1218</v>
      </c>
      <c r="T264" s="122">
        <v>17.72</v>
      </c>
      <c r="U264" s="120" t="s">
        <v>2613</v>
      </c>
      <c r="V264" s="123">
        <v>2.9579999999999999E-2</v>
      </c>
      <c r="W264" s="120"/>
      <c r="X264" s="120"/>
      <c r="Y264" s="123"/>
      <c r="Z264" s="123">
        <v>3.7400000000000003E-2</v>
      </c>
      <c r="AA264" s="124">
        <v>52305</v>
      </c>
      <c r="AB264" s="120" t="s">
        <v>411</v>
      </c>
      <c r="AC264" s="120"/>
      <c r="AD264" s="122"/>
      <c r="AE264" s="123"/>
      <c r="AF264" s="124">
        <v>45108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45838</v>
      </c>
      <c r="AO264" s="120"/>
      <c r="AP264" s="123"/>
      <c r="AQ264" s="122">
        <v>400966.87</v>
      </c>
      <c r="AR264" s="122">
        <v>102.4</v>
      </c>
      <c r="AS264" s="122">
        <v>1</v>
      </c>
      <c r="AT264" s="122">
        <v>410.59007000000003</v>
      </c>
      <c r="AU264" s="122">
        <v>410.59007000000003</v>
      </c>
      <c r="AV264" s="120"/>
      <c r="AW264" s="120"/>
      <c r="AX264" s="120"/>
      <c r="AY264" s="120"/>
      <c r="AZ264" s="123">
        <v>1.4300000000000001E-4</v>
      </c>
      <c r="BA264" s="123">
        <v>6.0000000000000002E-6</v>
      </c>
    </row>
    <row r="265" spans="1:53" ht="15" customHeight="1">
      <c r="A265" s="121">
        <v>313</v>
      </c>
      <c r="B265" s="121">
        <v>313</v>
      </c>
      <c r="C265" s="121"/>
      <c r="D265" s="120"/>
      <c r="E265" s="120"/>
      <c r="F265" s="121">
        <v>50000987</v>
      </c>
      <c r="G265" s="120" t="s">
        <v>1013</v>
      </c>
      <c r="H265" s="120" t="s">
        <v>2617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43958</v>
      </c>
      <c r="P265" s="120" t="s">
        <v>2621</v>
      </c>
      <c r="Q265" s="120" t="s">
        <v>414</v>
      </c>
      <c r="R265" s="120" t="s">
        <v>407</v>
      </c>
      <c r="S265" s="120" t="s">
        <v>1218</v>
      </c>
      <c r="T265" s="122">
        <v>8.1999999999999993</v>
      </c>
      <c r="U265" s="120" t="s">
        <v>2613</v>
      </c>
      <c r="V265" s="123">
        <v>2.4176E-2</v>
      </c>
      <c r="W265" s="120"/>
      <c r="X265" s="120"/>
      <c r="Y265" s="123"/>
      <c r="Z265" s="123">
        <v>3.1699999999999999E-2</v>
      </c>
      <c r="AA265" s="124">
        <v>51940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45838</v>
      </c>
      <c r="AO265" s="120"/>
      <c r="AP265" s="123"/>
      <c r="AQ265" s="122">
        <v>411703.99</v>
      </c>
      <c r="AR265" s="122">
        <v>109.87</v>
      </c>
      <c r="AS265" s="122">
        <v>1</v>
      </c>
      <c r="AT265" s="122">
        <v>452.33917000000002</v>
      </c>
      <c r="AU265" s="122">
        <v>452.33917000000002</v>
      </c>
      <c r="AV265" s="120"/>
      <c r="AW265" s="120"/>
      <c r="AX265" s="120"/>
      <c r="AY265" s="120"/>
      <c r="AZ265" s="123">
        <v>1.5699999999999999E-4</v>
      </c>
      <c r="BA265" s="123">
        <v>6.9999999999999999E-6</v>
      </c>
    </row>
    <row r="266" spans="1:53" ht="15" customHeight="1">
      <c r="A266" s="121">
        <v>313</v>
      </c>
      <c r="B266" s="121">
        <v>313</v>
      </c>
      <c r="C266" s="121"/>
      <c r="D266" s="120"/>
      <c r="E266" s="120"/>
      <c r="F266" s="121">
        <v>50000990</v>
      </c>
      <c r="G266" s="120" t="s">
        <v>1013</v>
      </c>
      <c r="H266" s="120" t="s">
        <v>2617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44054</v>
      </c>
      <c r="P266" s="120" t="s">
        <v>2621</v>
      </c>
      <c r="Q266" s="120" t="s">
        <v>414</v>
      </c>
      <c r="R266" s="120" t="s">
        <v>407</v>
      </c>
      <c r="S266" s="120" t="s">
        <v>1218</v>
      </c>
      <c r="T266" s="122">
        <v>17.72</v>
      </c>
      <c r="U266" s="120" t="s">
        <v>2613</v>
      </c>
      <c r="V266" s="123">
        <v>2.8264999999999998E-2</v>
      </c>
      <c r="W266" s="120"/>
      <c r="X266" s="120"/>
      <c r="Y266" s="123"/>
      <c r="Z266" s="123">
        <v>3.6900000000000002E-2</v>
      </c>
      <c r="AA266" s="124">
        <v>52305</v>
      </c>
      <c r="AB266" s="120" t="s">
        <v>411</v>
      </c>
      <c r="AC266" s="120"/>
      <c r="AD266" s="122"/>
      <c r="AE266" s="123"/>
      <c r="AF266" s="124">
        <v>45108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45838</v>
      </c>
      <c r="AO266" s="120"/>
      <c r="AP266" s="123"/>
      <c r="AQ266" s="122">
        <v>104791.71</v>
      </c>
      <c r="AR266" s="122">
        <v>101.64</v>
      </c>
      <c r="AS266" s="122">
        <v>1</v>
      </c>
      <c r="AT266" s="122">
        <v>106.51029</v>
      </c>
      <c r="AU266" s="122">
        <v>106.51029</v>
      </c>
      <c r="AV266" s="120"/>
      <c r="AW266" s="120"/>
      <c r="AX266" s="120"/>
      <c r="AY266" s="120"/>
      <c r="AZ266" s="123">
        <v>3.6999999999999998E-5</v>
      </c>
      <c r="BA266" s="123">
        <v>9.9999999999999995E-7</v>
      </c>
    </row>
    <row r="267" spans="1:53" ht="15" customHeight="1">
      <c r="A267" s="121">
        <v>313</v>
      </c>
      <c r="B267" s="121">
        <v>313</v>
      </c>
      <c r="C267" s="121"/>
      <c r="D267" s="120"/>
      <c r="E267" s="120"/>
      <c r="F267" s="121">
        <v>50000991</v>
      </c>
      <c r="G267" s="120" t="s">
        <v>1013</v>
      </c>
      <c r="H267" s="120" t="s">
        <v>2617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44054</v>
      </c>
      <c r="P267" s="120" t="s">
        <v>2621</v>
      </c>
      <c r="Q267" s="120" t="s">
        <v>414</v>
      </c>
      <c r="R267" s="120" t="s">
        <v>407</v>
      </c>
      <c r="S267" s="120" t="s">
        <v>1218</v>
      </c>
      <c r="T267" s="122">
        <v>8.2100000000000009</v>
      </c>
      <c r="U267" s="120" t="s">
        <v>2613</v>
      </c>
      <c r="V267" s="123">
        <v>2.2419000000000001E-2</v>
      </c>
      <c r="W267" s="120"/>
      <c r="X267" s="120"/>
      <c r="Y267" s="123"/>
      <c r="Z267" s="123">
        <v>3.3300000000000003E-2</v>
      </c>
      <c r="AA267" s="124">
        <v>51940</v>
      </c>
      <c r="AB267" s="120" t="s">
        <v>411</v>
      </c>
      <c r="AC267" s="120"/>
      <c r="AD267" s="122"/>
      <c r="AE267" s="123"/>
      <c r="AF267" s="124">
        <v>45108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45838</v>
      </c>
      <c r="AO267" s="120"/>
      <c r="AP267" s="123"/>
      <c r="AQ267" s="122">
        <v>107989.2</v>
      </c>
      <c r="AR267" s="122">
        <v>107.6</v>
      </c>
      <c r="AS267" s="122">
        <v>1</v>
      </c>
      <c r="AT267" s="122">
        <v>116.19638</v>
      </c>
      <c r="AU267" s="122">
        <v>116.19638</v>
      </c>
      <c r="AV267" s="120"/>
      <c r="AW267" s="120"/>
      <c r="AX267" s="120"/>
      <c r="AY267" s="120"/>
      <c r="AZ267" s="123">
        <v>4.0000000000000003E-5</v>
      </c>
      <c r="BA267" s="123">
        <v>9.9999999999999995E-7</v>
      </c>
    </row>
    <row r="268" spans="1:53" ht="15" customHeight="1">
      <c r="A268" s="121">
        <v>313</v>
      </c>
      <c r="B268" s="121">
        <v>313</v>
      </c>
      <c r="C268" s="121"/>
      <c r="D268" s="120"/>
      <c r="E268" s="120"/>
      <c r="F268" s="121">
        <v>50000993</v>
      </c>
      <c r="G268" s="120" t="s">
        <v>1013</v>
      </c>
      <c r="H268" s="120" t="s">
        <v>2617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44088</v>
      </c>
      <c r="P268" s="120" t="s">
        <v>2621</v>
      </c>
      <c r="Q268" s="120" t="s">
        <v>414</v>
      </c>
      <c r="R268" s="120" t="s">
        <v>407</v>
      </c>
      <c r="S268" s="120" t="s">
        <v>1218</v>
      </c>
      <c r="T268" s="122">
        <v>8.23</v>
      </c>
      <c r="U268" s="120" t="s">
        <v>2613</v>
      </c>
      <c r="V268" s="123">
        <v>2.1756000000000001E-2</v>
      </c>
      <c r="W268" s="120"/>
      <c r="X268" s="120"/>
      <c r="Y268" s="123"/>
      <c r="Z268" s="123">
        <v>3.3099999999999997E-2</v>
      </c>
      <c r="AA268" s="124">
        <v>51940</v>
      </c>
      <c r="AB268" s="120" t="s">
        <v>411</v>
      </c>
      <c r="AC268" s="120"/>
      <c r="AD268" s="122"/>
      <c r="AE268" s="123"/>
      <c r="AF268" s="124">
        <v>45108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45838</v>
      </c>
      <c r="AO268" s="120"/>
      <c r="AP268" s="123"/>
      <c r="AQ268" s="122">
        <v>58537.05</v>
      </c>
      <c r="AR268" s="122">
        <v>106.89</v>
      </c>
      <c r="AS268" s="122">
        <v>1</v>
      </c>
      <c r="AT268" s="122">
        <v>62.570250000000001</v>
      </c>
      <c r="AU268" s="122">
        <v>62.570250000000001</v>
      </c>
      <c r="AV268" s="120"/>
      <c r="AW268" s="120"/>
      <c r="AX268" s="120"/>
      <c r="AY268" s="120"/>
      <c r="AZ268" s="123">
        <v>2.0999999999999999E-5</v>
      </c>
      <c r="BA268" s="123">
        <v>9.9999999999999995E-7</v>
      </c>
    </row>
    <row r="269" spans="1:53" ht="15" customHeight="1">
      <c r="A269" s="121">
        <v>313</v>
      </c>
      <c r="B269" s="121">
        <v>313</v>
      </c>
      <c r="C269" s="121"/>
      <c r="D269" s="120"/>
      <c r="E269" s="120"/>
      <c r="F269" s="121">
        <v>50000994</v>
      </c>
      <c r="G269" s="120" t="s">
        <v>1013</v>
      </c>
      <c r="H269" s="120" t="s">
        <v>2617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44088</v>
      </c>
      <c r="P269" s="120" t="s">
        <v>2621</v>
      </c>
      <c r="Q269" s="120" t="s">
        <v>414</v>
      </c>
      <c r="R269" s="120" t="s">
        <v>407</v>
      </c>
      <c r="S269" s="120" t="s">
        <v>1218</v>
      </c>
      <c r="T269" s="122">
        <v>17.72</v>
      </c>
      <c r="U269" s="120" t="s">
        <v>2613</v>
      </c>
      <c r="V269" s="123">
        <v>2.7421999999999998E-2</v>
      </c>
      <c r="W269" s="120"/>
      <c r="X269" s="120"/>
      <c r="Y269" s="123"/>
      <c r="Z269" s="123">
        <v>3.6200000000000003E-2</v>
      </c>
      <c r="AA269" s="124">
        <v>52305</v>
      </c>
      <c r="AB269" s="120" t="s">
        <v>411</v>
      </c>
      <c r="AC269" s="120"/>
      <c r="AD269" s="122"/>
      <c r="AE269" s="123"/>
      <c r="AF269" s="124">
        <v>45108</v>
      </c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45838</v>
      </c>
      <c r="AO269" s="120"/>
      <c r="AP269" s="123"/>
      <c r="AQ269" s="122">
        <v>56631.6</v>
      </c>
      <c r="AR269" s="122">
        <v>101.14</v>
      </c>
      <c r="AS269" s="122">
        <v>1</v>
      </c>
      <c r="AT269" s="122">
        <v>57.277200000000001</v>
      </c>
      <c r="AU269" s="122">
        <v>57.277200000000001</v>
      </c>
      <c r="AV269" s="120"/>
      <c r="AW269" s="120"/>
      <c r="AX269" s="120"/>
      <c r="AY269" s="120"/>
      <c r="AZ269" s="123">
        <v>1.9000000000000001E-5</v>
      </c>
      <c r="BA269" s="123">
        <v>0</v>
      </c>
    </row>
    <row r="270" spans="1:53" ht="15" customHeight="1">
      <c r="A270" s="121">
        <v>313</v>
      </c>
      <c r="B270" s="121">
        <v>313</v>
      </c>
      <c r="C270" s="121"/>
      <c r="D270" s="120"/>
      <c r="E270" s="120"/>
      <c r="F270" s="121">
        <v>50000996</v>
      </c>
      <c r="G270" s="120" t="s">
        <v>1013</v>
      </c>
      <c r="H270" s="120" t="s">
        <v>2617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44187</v>
      </c>
      <c r="P270" s="120" t="s">
        <v>2621</v>
      </c>
      <c r="Q270" s="120" t="s">
        <v>414</v>
      </c>
      <c r="R270" s="120" t="s">
        <v>407</v>
      </c>
      <c r="S270" s="120" t="s">
        <v>1218</v>
      </c>
      <c r="T270" s="122">
        <v>8.14</v>
      </c>
      <c r="U270" s="120" t="s">
        <v>2613</v>
      </c>
      <c r="V270" s="123">
        <v>2.3164000000000001E-2</v>
      </c>
      <c r="W270" s="120"/>
      <c r="X270" s="120"/>
      <c r="Y270" s="123"/>
      <c r="Z270" s="123">
        <v>3.5400000000000001E-2</v>
      </c>
      <c r="AA270" s="124">
        <v>51940</v>
      </c>
      <c r="AB270" s="120" t="s">
        <v>411</v>
      </c>
      <c r="AC270" s="120"/>
      <c r="AD270" s="122"/>
      <c r="AE270" s="123"/>
      <c r="AF270" s="124">
        <v>45108</v>
      </c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45838</v>
      </c>
      <c r="AO270" s="120"/>
      <c r="AP270" s="123"/>
      <c r="AQ270" s="122">
        <v>62788.12</v>
      </c>
      <c r="AR270" s="122">
        <v>106.26</v>
      </c>
      <c r="AS270" s="122">
        <v>1</v>
      </c>
      <c r="AT270" s="122">
        <v>66.71866</v>
      </c>
      <c r="AU270" s="122">
        <v>66.71866</v>
      </c>
      <c r="AV270" s="120"/>
      <c r="AW270" s="120"/>
      <c r="AX270" s="120"/>
      <c r="AY270" s="120"/>
      <c r="AZ270" s="123">
        <v>2.3E-5</v>
      </c>
      <c r="BA270" s="123">
        <v>9.9999999999999995E-7</v>
      </c>
    </row>
    <row r="271" spans="1:53" ht="15" customHeight="1">
      <c r="A271" s="121">
        <v>313</v>
      </c>
      <c r="B271" s="121">
        <v>313</v>
      </c>
      <c r="C271" s="121"/>
      <c r="D271" s="120"/>
      <c r="E271" s="120"/>
      <c r="F271" s="121">
        <v>50000911</v>
      </c>
      <c r="G271" s="120" t="s">
        <v>1013</v>
      </c>
      <c r="H271" s="120" t="s">
        <v>818</v>
      </c>
      <c r="I271" s="120" t="s">
        <v>203</v>
      </c>
      <c r="J271" s="120"/>
      <c r="K271" s="120" t="s">
        <v>446</v>
      </c>
      <c r="L271" s="120" t="s">
        <v>338</v>
      </c>
      <c r="M271" s="120" t="s">
        <v>338</v>
      </c>
      <c r="N271" s="121"/>
      <c r="O271" s="124">
        <v>45823</v>
      </c>
      <c r="P271" s="120" t="s">
        <v>1339</v>
      </c>
      <c r="Q271" s="120" t="s">
        <v>414</v>
      </c>
      <c r="R271" s="120" t="s">
        <v>407</v>
      </c>
      <c r="S271" s="120" t="s">
        <v>1218</v>
      </c>
      <c r="T271" s="122">
        <v>3.75</v>
      </c>
      <c r="U271" s="120" t="s">
        <v>2613</v>
      </c>
      <c r="V271" s="123">
        <v>6.3565999999999998E-2</v>
      </c>
      <c r="W271" s="120"/>
      <c r="X271" s="120"/>
      <c r="Y271" s="123"/>
      <c r="Z271" s="123">
        <v>6.0499999999999998E-2</v>
      </c>
      <c r="AA271" s="124">
        <v>48014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338</v>
      </c>
      <c r="AK271" s="120" t="s">
        <v>887</v>
      </c>
      <c r="AL271" s="120"/>
      <c r="AM271" s="120" t="s">
        <v>890</v>
      </c>
      <c r="AN271" s="124">
        <v>45838</v>
      </c>
      <c r="AO271" s="120"/>
      <c r="AP271" s="123"/>
      <c r="AQ271" s="122">
        <v>23000000</v>
      </c>
      <c r="AR271" s="122">
        <v>101.7</v>
      </c>
      <c r="AS271" s="122">
        <v>1</v>
      </c>
      <c r="AT271" s="122">
        <v>23391</v>
      </c>
      <c r="AU271" s="122">
        <v>23391</v>
      </c>
      <c r="AV271" s="120"/>
      <c r="AW271" s="120"/>
      <c r="AX271" s="120"/>
      <c r="AY271" s="120"/>
      <c r="AZ271" s="123">
        <v>8.1460000000000005E-3</v>
      </c>
      <c r="BA271" s="123">
        <v>3.8900000000000002E-4</v>
      </c>
    </row>
    <row r="272" spans="1:53" ht="15" customHeight="1">
      <c r="A272" s="121">
        <v>313</v>
      </c>
      <c r="B272" s="121">
        <v>313</v>
      </c>
      <c r="C272" s="121"/>
      <c r="D272" s="120"/>
      <c r="E272" s="120"/>
      <c r="F272" s="121">
        <v>50000910</v>
      </c>
      <c r="G272" s="120" t="s">
        <v>1013</v>
      </c>
      <c r="H272" s="120" t="s">
        <v>818</v>
      </c>
      <c r="I272" s="120" t="s">
        <v>203</v>
      </c>
      <c r="J272" s="120"/>
      <c r="K272" s="120" t="s">
        <v>446</v>
      </c>
      <c r="L272" s="120" t="s">
        <v>338</v>
      </c>
      <c r="M272" s="120" t="s">
        <v>338</v>
      </c>
      <c r="N272" s="121"/>
      <c r="O272" s="124">
        <v>45098</v>
      </c>
      <c r="P272" s="120" t="s">
        <v>1339</v>
      </c>
      <c r="Q272" s="120" t="s">
        <v>414</v>
      </c>
      <c r="R272" s="120" t="s">
        <v>407</v>
      </c>
      <c r="S272" s="120" t="s">
        <v>1218</v>
      </c>
      <c r="T272" s="122">
        <v>2.5</v>
      </c>
      <c r="U272" s="120" t="s">
        <v>2613</v>
      </c>
      <c r="V272" s="123">
        <v>5.1737999999999999E-2</v>
      </c>
      <c r="W272" s="120"/>
      <c r="X272" s="120"/>
      <c r="Y272" s="123"/>
      <c r="Z272" s="123">
        <v>6.3299999999999995E-2</v>
      </c>
      <c r="AA272" s="124">
        <v>47382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45838</v>
      </c>
      <c r="AO272" s="120"/>
      <c r="AP272" s="123"/>
      <c r="AQ272" s="122">
        <v>9775000</v>
      </c>
      <c r="AR272" s="122">
        <v>103.39</v>
      </c>
      <c r="AS272" s="122">
        <v>1</v>
      </c>
      <c r="AT272" s="122">
        <v>10106.372499999999</v>
      </c>
      <c r="AU272" s="122">
        <v>10106.372499999999</v>
      </c>
      <c r="AV272" s="120"/>
      <c r="AW272" s="120"/>
      <c r="AX272" s="120"/>
      <c r="AY272" s="120"/>
      <c r="AZ272" s="123">
        <v>3.519E-3</v>
      </c>
      <c r="BA272" s="123">
        <v>1.6799999999999999E-4</v>
      </c>
    </row>
    <row r="273" spans="1:53" ht="15" customHeight="1">
      <c r="A273" s="121">
        <v>313</v>
      </c>
      <c r="B273" s="121">
        <v>313</v>
      </c>
      <c r="C273" s="121"/>
      <c r="D273" s="120"/>
      <c r="E273" s="120"/>
      <c r="F273" s="121">
        <v>50000897</v>
      </c>
      <c r="G273" s="120" t="s">
        <v>1013</v>
      </c>
      <c r="H273" s="120" t="s">
        <v>812</v>
      </c>
      <c r="I273" s="120" t="s">
        <v>203</v>
      </c>
      <c r="J273" s="120"/>
      <c r="K273" s="120" t="s">
        <v>454</v>
      </c>
      <c r="L273" s="120" t="s">
        <v>338</v>
      </c>
      <c r="M273" s="120" t="s">
        <v>338</v>
      </c>
      <c r="N273" s="121"/>
      <c r="O273" s="124">
        <v>44497</v>
      </c>
      <c r="P273" s="120" t="s">
        <v>1331</v>
      </c>
      <c r="Q273" s="120" t="s">
        <v>414</v>
      </c>
      <c r="R273" s="120" t="s">
        <v>407</v>
      </c>
      <c r="S273" s="120" t="s">
        <v>1218</v>
      </c>
      <c r="T273" s="122">
        <v>8.1300000000000008</v>
      </c>
      <c r="U273" s="120" t="s">
        <v>2613</v>
      </c>
      <c r="V273" s="123">
        <v>2.6499999999999999E-2</v>
      </c>
      <c r="W273" s="120"/>
      <c r="X273" s="120"/>
      <c r="Y273" s="123"/>
      <c r="Z273" s="123">
        <v>3.4500000000000003E-2</v>
      </c>
      <c r="AA273" s="124">
        <v>52412</v>
      </c>
      <c r="AB273" s="120" t="s">
        <v>411</v>
      </c>
      <c r="AC273" s="120"/>
      <c r="AD273" s="122"/>
      <c r="AE273" s="123"/>
      <c r="AF273" s="124"/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45838</v>
      </c>
      <c r="AO273" s="120"/>
      <c r="AP273" s="123"/>
      <c r="AQ273" s="122">
        <v>608038.76</v>
      </c>
      <c r="AR273" s="122">
        <v>103.03</v>
      </c>
      <c r="AS273" s="122">
        <v>1</v>
      </c>
      <c r="AT273" s="122">
        <v>626.46232999999995</v>
      </c>
      <c r="AU273" s="122">
        <v>626.46232999999995</v>
      </c>
      <c r="AV273" s="120"/>
      <c r="AW273" s="120"/>
      <c r="AX273" s="120"/>
      <c r="AY273" s="120"/>
      <c r="AZ273" s="123">
        <v>2.1800000000000001E-4</v>
      </c>
      <c r="BA273" s="123">
        <v>1.0000000000000001E-5</v>
      </c>
    </row>
    <row r="274" spans="1:53" ht="15" customHeight="1">
      <c r="A274" s="121">
        <v>313</v>
      </c>
      <c r="B274" s="121">
        <v>313</v>
      </c>
      <c r="C274" s="121"/>
      <c r="D274" s="120"/>
      <c r="E274" s="120"/>
      <c r="F274" s="121">
        <v>50000894</v>
      </c>
      <c r="G274" s="120" t="s">
        <v>1013</v>
      </c>
      <c r="H274" s="120" t="s">
        <v>812</v>
      </c>
      <c r="I274" s="120" t="s">
        <v>203</v>
      </c>
      <c r="J274" s="120"/>
      <c r="K274" s="120" t="s">
        <v>454</v>
      </c>
      <c r="L274" s="120" t="s">
        <v>338</v>
      </c>
      <c r="M274" s="120" t="s">
        <v>338</v>
      </c>
      <c r="N274" s="121"/>
      <c r="O274" s="124">
        <v>44497</v>
      </c>
      <c r="P274" s="120" t="s">
        <v>1304</v>
      </c>
      <c r="Q274" s="120" t="s">
        <v>414</v>
      </c>
      <c r="R274" s="120" t="s">
        <v>407</v>
      </c>
      <c r="S274" s="120" t="s">
        <v>1218</v>
      </c>
      <c r="T274" s="122">
        <v>7.97</v>
      </c>
      <c r="U274" s="120" t="s">
        <v>2613</v>
      </c>
      <c r="V274" s="123">
        <v>2.6499999999999999E-2</v>
      </c>
      <c r="W274" s="120"/>
      <c r="X274" s="120"/>
      <c r="Y274" s="123"/>
      <c r="Z274" s="123">
        <v>4.0500000000000001E-2</v>
      </c>
      <c r="AA274" s="124">
        <v>52412</v>
      </c>
      <c r="AB274" s="120" t="s">
        <v>411</v>
      </c>
      <c r="AC274" s="120"/>
      <c r="AD274" s="122"/>
      <c r="AE274" s="123"/>
      <c r="AF274" s="124"/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45838</v>
      </c>
      <c r="AO274" s="120"/>
      <c r="AP274" s="123"/>
      <c r="AQ274" s="122">
        <v>990445.55</v>
      </c>
      <c r="AR274" s="122">
        <v>98.33</v>
      </c>
      <c r="AS274" s="122">
        <v>1</v>
      </c>
      <c r="AT274" s="122">
        <v>973.90511000000004</v>
      </c>
      <c r="AU274" s="122">
        <v>973.90511000000004</v>
      </c>
      <c r="AV274" s="120"/>
      <c r="AW274" s="120"/>
      <c r="AX274" s="120"/>
      <c r="AY274" s="120"/>
      <c r="AZ274" s="123">
        <v>3.39E-4</v>
      </c>
      <c r="BA274" s="123">
        <v>1.5999999999999999E-5</v>
      </c>
    </row>
    <row r="275" spans="1:53" ht="15" customHeight="1">
      <c r="A275" s="121">
        <v>313</v>
      </c>
      <c r="B275" s="121">
        <v>313</v>
      </c>
      <c r="C275" s="121"/>
      <c r="D275" s="120"/>
      <c r="E275" s="120"/>
      <c r="F275" s="121">
        <v>50000700</v>
      </c>
      <c r="G275" s="120" t="s">
        <v>1013</v>
      </c>
      <c r="H275" s="120" t="s">
        <v>812</v>
      </c>
      <c r="I275" s="120" t="s">
        <v>203</v>
      </c>
      <c r="J275" s="120"/>
      <c r="K275" s="120" t="s">
        <v>439</v>
      </c>
      <c r="L275" s="120" t="s">
        <v>338</v>
      </c>
      <c r="M275" s="120" t="s">
        <v>337</v>
      </c>
      <c r="N275" s="121"/>
      <c r="O275" s="124">
        <v>43990</v>
      </c>
      <c r="P275" s="120" t="s">
        <v>409</v>
      </c>
      <c r="Q275" s="120" t="s">
        <v>409</v>
      </c>
      <c r="R275" s="120" t="s">
        <v>409</v>
      </c>
      <c r="S275" s="120" t="s">
        <v>1218</v>
      </c>
      <c r="T275" s="122">
        <v>5.59</v>
      </c>
      <c r="U275" s="120" t="s">
        <v>2613</v>
      </c>
      <c r="V275" s="123">
        <v>4.4999999999999998E-2</v>
      </c>
      <c r="W275" s="120"/>
      <c r="X275" s="120"/>
      <c r="Y275" s="123"/>
      <c r="Z275" s="123">
        <v>5.0900000000000001E-2</v>
      </c>
      <c r="AA275" s="124">
        <v>50399</v>
      </c>
      <c r="AB275" s="120" t="s">
        <v>411</v>
      </c>
      <c r="AC275" s="120"/>
      <c r="AD275" s="122"/>
      <c r="AE275" s="123"/>
      <c r="AF275" s="124"/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45838</v>
      </c>
      <c r="AO275" s="120"/>
      <c r="AP275" s="123"/>
      <c r="AQ275" s="122">
        <v>1138779.5</v>
      </c>
      <c r="AR275" s="122">
        <v>113.67</v>
      </c>
      <c r="AS275" s="122">
        <v>1</v>
      </c>
      <c r="AT275" s="122">
        <v>1294.45066</v>
      </c>
      <c r="AU275" s="122">
        <v>1294.45066</v>
      </c>
      <c r="AV275" s="120"/>
      <c r="AW275" s="120"/>
      <c r="AX275" s="120"/>
      <c r="AY275" s="120"/>
      <c r="AZ275" s="123">
        <v>4.4999999999999999E-4</v>
      </c>
      <c r="BA275" s="123">
        <v>2.0999999999999999E-5</v>
      </c>
    </row>
    <row r="276" spans="1:53" ht="15" customHeight="1">
      <c r="A276" s="121">
        <v>313</v>
      </c>
      <c r="B276" s="121">
        <v>313</v>
      </c>
      <c r="C276" s="121"/>
      <c r="D276" s="120"/>
      <c r="E276" s="120"/>
      <c r="F276" s="121">
        <v>50000766</v>
      </c>
      <c r="G276" s="120" t="s">
        <v>1013</v>
      </c>
      <c r="H276" s="120" t="s">
        <v>2624</v>
      </c>
      <c r="I276" s="120" t="s">
        <v>203</v>
      </c>
      <c r="J276" s="120"/>
      <c r="K276" s="120" t="s">
        <v>463</v>
      </c>
      <c r="L276" s="120" t="s">
        <v>338</v>
      </c>
      <c r="M276" s="120" t="s">
        <v>337</v>
      </c>
      <c r="N276" s="121"/>
      <c r="O276" s="124">
        <v>43832</v>
      </c>
      <c r="P276" s="120" t="s">
        <v>1451</v>
      </c>
      <c r="Q276" s="120" t="s">
        <v>311</v>
      </c>
      <c r="R276" s="120" t="s">
        <v>407</v>
      </c>
      <c r="S276" s="120" t="s">
        <v>1218</v>
      </c>
      <c r="T276" s="122">
        <v>1.43</v>
      </c>
      <c r="U276" s="120" t="s">
        <v>2613</v>
      </c>
      <c r="V276" s="123">
        <v>2.9000000000000001E-2</v>
      </c>
      <c r="W276" s="120"/>
      <c r="X276" s="120"/>
      <c r="Y276" s="123"/>
      <c r="Z276" s="123">
        <v>5.2900000000000003E-2</v>
      </c>
      <c r="AA276" s="124">
        <v>46387</v>
      </c>
      <c r="AB276" s="120" t="s">
        <v>411</v>
      </c>
      <c r="AC276" s="120"/>
      <c r="AD276" s="122"/>
      <c r="AE276" s="123"/>
      <c r="AF276" s="124">
        <v>45323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45838</v>
      </c>
      <c r="AO276" s="120"/>
      <c r="AP276" s="123"/>
      <c r="AQ276" s="122">
        <v>15002740.470000001</v>
      </c>
      <c r="AR276" s="122">
        <v>96.81</v>
      </c>
      <c r="AS276" s="122">
        <v>1</v>
      </c>
      <c r="AT276" s="122">
        <v>14524.153050000001</v>
      </c>
      <c r="AU276" s="122">
        <v>14524.153050000001</v>
      </c>
      <c r="AV276" s="120"/>
      <c r="AW276" s="120"/>
      <c r="AX276" s="120"/>
      <c r="AY276" s="120"/>
      <c r="AZ276" s="123">
        <v>5.058E-3</v>
      </c>
      <c r="BA276" s="123">
        <v>2.41E-4</v>
      </c>
    </row>
    <row r="277" spans="1:53" ht="15" customHeight="1">
      <c r="A277" s="121">
        <v>313</v>
      </c>
      <c r="B277" s="121">
        <v>313</v>
      </c>
      <c r="C277" s="121"/>
      <c r="D277" s="120"/>
      <c r="E277" s="120"/>
      <c r="F277" s="121">
        <v>50000824</v>
      </c>
      <c r="G277" s="120" t="s">
        <v>1013</v>
      </c>
      <c r="H277" s="120" t="s">
        <v>818</v>
      </c>
      <c r="I277" s="120" t="s">
        <v>203</v>
      </c>
      <c r="J277" s="120"/>
      <c r="K277" s="120" t="s">
        <v>444</v>
      </c>
      <c r="L277" s="120" t="s">
        <v>338</v>
      </c>
      <c r="M277" s="120" t="s">
        <v>338</v>
      </c>
      <c r="N277" s="121"/>
      <c r="O277" s="124">
        <v>43795</v>
      </c>
      <c r="P277" s="120" t="s">
        <v>1323</v>
      </c>
      <c r="Q277" s="120" t="s">
        <v>414</v>
      </c>
      <c r="R277" s="120" t="s">
        <v>407</v>
      </c>
      <c r="S277" s="120" t="s">
        <v>1218</v>
      </c>
      <c r="T277" s="122">
        <v>5.71</v>
      </c>
      <c r="U277" s="120" t="s">
        <v>2613</v>
      </c>
      <c r="V277" s="123">
        <v>1.3434E-2</v>
      </c>
      <c r="W277" s="120"/>
      <c r="X277" s="120"/>
      <c r="Y277" s="123"/>
      <c r="Z277" s="123">
        <v>3.1099999999999999E-2</v>
      </c>
      <c r="AA277" s="124">
        <v>48030</v>
      </c>
      <c r="AB277" s="120" t="s">
        <v>411</v>
      </c>
      <c r="AC277" s="120"/>
      <c r="AD277" s="122"/>
      <c r="AE277" s="123"/>
      <c r="AF277" s="124"/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45838</v>
      </c>
      <c r="AO277" s="120"/>
      <c r="AP277" s="123"/>
      <c r="AQ277" s="122">
        <v>34500000</v>
      </c>
      <c r="AR277" s="122">
        <v>106.4</v>
      </c>
      <c r="AS277" s="122">
        <v>1</v>
      </c>
      <c r="AT277" s="122">
        <v>36708</v>
      </c>
      <c r="AU277" s="122">
        <v>36708</v>
      </c>
      <c r="AV277" s="120"/>
      <c r="AW277" s="120"/>
      <c r="AX277" s="120"/>
      <c r="AY277" s="120"/>
      <c r="AZ277" s="123">
        <v>1.2784E-2</v>
      </c>
      <c r="BA277" s="123">
        <v>6.11E-4</v>
      </c>
    </row>
    <row r="278" spans="1:53" ht="15" customHeight="1">
      <c r="A278" s="121">
        <v>313</v>
      </c>
      <c r="B278" s="121">
        <v>313</v>
      </c>
      <c r="C278" s="121"/>
      <c r="D278" s="120"/>
      <c r="E278" s="120"/>
      <c r="F278" s="121">
        <v>50000834</v>
      </c>
      <c r="G278" s="120" t="s">
        <v>1013</v>
      </c>
      <c r="H278" s="120" t="s">
        <v>812</v>
      </c>
      <c r="I278" s="120" t="s">
        <v>203</v>
      </c>
      <c r="J278" s="120"/>
      <c r="K278" s="120" t="s">
        <v>454</v>
      </c>
      <c r="L278" s="120" t="s">
        <v>338</v>
      </c>
      <c r="M278" s="120" t="s">
        <v>337</v>
      </c>
      <c r="N278" s="121"/>
      <c r="O278" s="124">
        <v>43801</v>
      </c>
      <c r="P278" s="120" t="s">
        <v>1304</v>
      </c>
      <c r="Q278" s="120" t="s">
        <v>414</v>
      </c>
      <c r="R278" s="120" t="s">
        <v>407</v>
      </c>
      <c r="S278" s="120" t="s">
        <v>1215</v>
      </c>
      <c r="T278" s="122">
        <v>4.12</v>
      </c>
      <c r="U278" s="120" t="s">
        <v>2613</v>
      </c>
      <c r="V278" s="123">
        <v>2.3630000000000002E-2</v>
      </c>
      <c r="W278" s="120"/>
      <c r="X278" s="120"/>
      <c r="Y278" s="123"/>
      <c r="Z278" s="123">
        <v>4.1500000000000002E-2</v>
      </c>
      <c r="AA278" s="124">
        <v>49034</v>
      </c>
      <c r="AB278" s="120" t="s">
        <v>411</v>
      </c>
      <c r="AC278" s="120"/>
      <c r="AD278" s="122"/>
      <c r="AE278" s="123"/>
      <c r="AF278" s="124"/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45838</v>
      </c>
      <c r="AO278" s="120"/>
      <c r="AP278" s="123"/>
      <c r="AQ278" s="122">
        <v>17141094.440000001</v>
      </c>
      <c r="AR278" s="122">
        <v>93.24</v>
      </c>
      <c r="AS278" s="122">
        <v>3.9552</v>
      </c>
      <c r="AT278" s="122">
        <v>63213.416250000002</v>
      </c>
      <c r="AU278" s="122">
        <v>15982.356460000001</v>
      </c>
      <c r="AV278" s="120"/>
      <c r="AW278" s="120"/>
      <c r="AX278" s="120"/>
      <c r="AY278" s="120"/>
      <c r="AZ278" s="123">
        <v>2.2016000000000001E-2</v>
      </c>
      <c r="BA278" s="123">
        <v>1.052E-3</v>
      </c>
    </row>
    <row r="279" spans="1:53" ht="15" customHeight="1">
      <c r="A279" s="121">
        <v>313</v>
      </c>
      <c r="B279" s="121">
        <v>313</v>
      </c>
      <c r="C279" s="121"/>
      <c r="D279" s="120"/>
      <c r="E279" s="120"/>
      <c r="F279" s="121">
        <v>50000870</v>
      </c>
      <c r="G279" s="120" t="s">
        <v>1013</v>
      </c>
      <c r="H279" s="120" t="s">
        <v>812</v>
      </c>
      <c r="I279" s="120" t="s">
        <v>203</v>
      </c>
      <c r="J279" s="120"/>
      <c r="K279" s="120" t="s">
        <v>454</v>
      </c>
      <c r="L279" s="120" t="s">
        <v>338</v>
      </c>
      <c r="M279" s="120" t="s">
        <v>338</v>
      </c>
      <c r="N279" s="121"/>
      <c r="O279" s="124">
        <v>45007</v>
      </c>
      <c r="P279" s="120" t="s">
        <v>1331</v>
      </c>
      <c r="Q279" s="120" t="s">
        <v>414</v>
      </c>
      <c r="R279" s="120" t="s">
        <v>407</v>
      </c>
      <c r="S279" s="120" t="s">
        <v>1218</v>
      </c>
      <c r="T279" s="122">
        <v>8.0299999999999994</v>
      </c>
      <c r="U279" s="120" t="s">
        <v>2613</v>
      </c>
      <c r="V279" s="123">
        <v>3.3309999999999999E-2</v>
      </c>
      <c r="W279" s="120"/>
      <c r="X279" s="120"/>
      <c r="Y279" s="123"/>
      <c r="Z279" s="123">
        <v>2.9399999999999999E-2</v>
      </c>
      <c r="AA279" s="124">
        <v>52412</v>
      </c>
      <c r="AB279" s="120" t="s">
        <v>411</v>
      </c>
      <c r="AC279" s="120"/>
      <c r="AD279" s="122"/>
      <c r="AE279" s="123"/>
      <c r="AF279" s="124"/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45838</v>
      </c>
      <c r="AO279" s="120"/>
      <c r="AP279" s="123"/>
      <c r="AQ279" s="122">
        <v>243353.65</v>
      </c>
      <c r="AR279" s="122">
        <v>111</v>
      </c>
      <c r="AS279" s="122">
        <v>1</v>
      </c>
      <c r="AT279" s="122">
        <v>270.12254999999999</v>
      </c>
      <c r="AU279" s="122">
        <v>270.12254999999999</v>
      </c>
      <c r="AV279" s="120"/>
      <c r="AW279" s="120"/>
      <c r="AX279" s="120"/>
      <c r="AY279" s="120"/>
      <c r="AZ279" s="123">
        <v>9.3999999999999994E-5</v>
      </c>
      <c r="BA279" s="123">
        <v>3.9999999999999998E-6</v>
      </c>
    </row>
    <row r="280" spans="1:53" ht="15" customHeight="1">
      <c r="A280" s="121">
        <v>313</v>
      </c>
      <c r="B280" s="121">
        <v>313</v>
      </c>
      <c r="C280" s="121"/>
      <c r="D280" s="120"/>
      <c r="E280" s="120"/>
      <c r="F280" s="121">
        <v>50000997</v>
      </c>
      <c r="G280" s="120" t="s">
        <v>1013</v>
      </c>
      <c r="H280" s="120" t="s">
        <v>2617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44187</v>
      </c>
      <c r="P280" s="120" t="s">
        <v>2621</v>
      </c>
      <c r="Q280" s="120" t="s">
        <v>414</v>
      </c>
      <c r="R280" s="120" t="s">
        <v>407</v>
      </c>
      <c r="S280" s="120" t="s">
        <v>1218</v>
      </c>
      <c r="T280" s="122">
        <v>17.72</v>
      </c>
      <c r="U280" s="120" t="s">
        <v>2613</v>
      </c>
      <c r="V280" s="123">
        <v>2.8882999999999999E-2</v>
      </c>
      <c r="W280" s="120"/>
      <c r="X280" s="120"/>
      <c r="Y280" s="123"/>
      <c r="Z280" s="123">
        <v>3.95E-2</v>
      </c>
      <c r="AA280" s="124">
        <v>52305</v>
      </c>
      <c r="AB280" s="120" t="s">
        <v>411</v>
      </c>
      <c r="AC280" s="120"/>
      <c r="AD280" s="122"/>
      <c r="AE280" s="123"/>
      <c r="AF280" s="124">
        <v>45108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45838</v>
      </c>
      <c r="AO280" s="120"/>
      <c r="AP280" s="123"/>
      <c r="AQ280" s="122">
        <v>60875.08</v>
      </c>
      <c r="AR280" s="122">
        <v>98.13</v>
      </c>
      <c r="AS280" s="122">
        <v>1</v>
      </c>
      <c r="AT280" s="122">
        <v>59.736719999999998</v>
      </c>
      <c r="AU280" s="122">
        <v>59.736719999999998</v>
      </c>
      <c r="AV280" s="120"/>
      <c r="AW280" s="120"/>
      <c r="AX280" s="120"/>
      <c r="AY280" s="120"/>
      <c r="AZ280" s="123">
        <v>2.0000000000000002E-5</v>
      </c>
      <c r="BA280" s="123">
        <v>0</v>
      </c>
    </row>
    <row r="281" spans="1:53" ht="15" customHeight="1">
      <c r="A281" s="121">
        <v>313</v>
      </c>
      <c r="B281" s="121">
        <v>313</v>
      </c>
      <c r="C281" s="121"/>
      <c r="D281" s="120"/>
      <c r="E281" s="120"/>
      <c r="F281" s="121">
        <v>50000871</v>
      </c>
      <c r="G281" s="120" t="s">
        <v>1013</v>
      </c>
      <c r="H281" s="120" t="s">
        <v>812</v>
      </c>
      <c r="I281" s="120" t="s">
        <v>203</v>
      </c>
      <c r="J281" s="120"/>
      <c r="K281" s="120" t="s">
        <v>454</v>
      </c>
      <c r="L281" s="120" t="s">
        <v>338</v>
      </c>
      <c r="M281" s="120" t="s">
        <v>338</v>
      </c>
      <c r="N281" s="121"/>
      <c r="O281" s="124">
        <v>44138</v>
      </c>
      <c r="P281" s="120" t="s">
        <v>1331</v>
      </c>
      <c r="Q281" s="120" t="s">
        <v>414</v>
      </c>
      <c r="R281" s="120" t="s">
        <v>407</v>
      </c>
      <c r="S281" s="120" t="s">
        <v>1218</v>
      </c>
      <c r="T281" s="122">
        <v>8.32</v>
      </c>
      <c r="U281" s="120" t="s">
        <v>2613</v>
      </c>
      <c r="V281" s="123">
        <v>2.6499999999999999E-2</v>
      </c>
      <c r="W281" s="120"/>
      <c r="X281" s="120"/>
      <c r="Y281" s="123"/>
      <c r="Z281" s="123">
        <v>2.6800000000000001E-2</v>
      </c>
      <c r="AA281" s="124">
        <v>52412</v>
      </c>
      <c r="AB281" s="120" t="s">
        <v>411</v>
      </c>
      <c r="AC281" s="120"/>
      <c r="AD281" s="122"/>
      <c r="AE281" s="123"/>
      <c r="AF281" s="124"/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45838</v>
      </c>
      <c r="AO281" s="120"/>
      <c r="AP281" s="123"/>
      <c r="AQ281" s="122">
        <v>2188397.84</v>
      </c>
      <c r="AR281" s="122">
        <v>112.3</v>
      </c>
      <c r="AS281" s="122">
        <v>1</v>
      </c>
      <c r="AT281" s="122">
        <v>2457.5707699999998</v>
      </c>
      <c r="AU281" s="122">
        <v>2457.5707699999998</v>
      </c>
      <c r="AV281" s="120"/>
      <c r="AW281" s="120"/>
      <c r="AX281" s="120"/>
      <c r="AY281" s="120"/>
      <c r="AZ281" s="123">
        <v>8.5499999999999997E-4</v>
      </c>
      <c r="BA281" s="123">
        <v>4.0000000000000003E-5</v>
      </c>
    </row>
    <row r="282" spans="1:53" ht="15" customHeight="1">
      <c r="A282" s="121">
        <v>313</v>
      </c>
      <c r="B282" s="121">
        <v>313</v>
      </c>
      <c r="C282" s="121"/>
      <c r="D282" s="120"/>
      <c r="E282" s="120"/>
      <c r="F282" s="121">
        <v>50000875</v>
      </c>
      <c r="G282" s="120" t="s">
        <v>1013</v>
      </c>
      <c r="H282" s="120" t="s">
        <v>812</v>
      </c>
      <c r="I282" s="120" t="s">
        <v>203</v>
      </c>
      <c r="J282" s="120"/>
      <c r="K282" s="120" t="s">
        <v>454</v>
      </c>
      <c r="L282" s="120" t="s">
        <v>338</v>
      </c>
      <c r="M282" s="120" t="s">
        <v>338</v>
      </c>
      <c r="N282" s="121"/>
      <c r="O282" s="124">
        <v>44180</v>
      </c>
      <c r="P282" s="120" t="s">
        <v>1304</v>
      </c>
      <c r="Q282" s="120" t="s">
        <v>414</v>
      </c>
      <c r="R282" s="120" t="s">
        <v>407</v>
      </c>
      <c r="S282" s="120" t="s">
        <v>1218</v>
      </c>
      <c r="T282" s="122">
        <v>8.2899999999999991</v>
      </c>
      <c r="U282" s="120" t="s">
        <v>2613</v>
      </c>
      <c r="V282" s="123">
        <v>2.6499999999999999E-2</v>
      </c>
      <c r="W282" s="120"/>
      <c r="X282" s="120"/>
      <c r="Y282" s="123"/>
      <c r="Z282" s="123">
        <v>2.8799999999999999E-2</v>
      </c>
      <c r="AA282" s="124">
        <v>52412</v>
      </c>
      <c r="AB282" s="120" t="s">
        <v>411</v>
      </c>
      <c r="AC282" s="120"/>
      <c r="AD282" s="122"/>
      <c r="AE282" s="123"/>
      <c r="AF282" s="124"/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45838</v>
      </c>
      <c r="AO282" s="120"/>
      <c r="AP282" s="123"/>
      <c r="AQ282" s="122">
        <v>4478741.07</v>
      </c>
      <c r="AR282" s="122">
        <v>110.22</v>
      </c>
      <c r="AS282" s="122">
        <v>1</v>
      </c>
      <c r="AT282" s="122">
        <v>4936.4684100000004</v>
      </c>
      <c r="AU282" s="122">
        <v>4936.4684100000004</v>
      </c>
      <c r="AV282" s="120"/>
      <c r="AW282" s="120"/>
      <c r="AX282" s="120"/>
      <c r="AY282" s="120"/>
      <c r="AZ282" s="123">
        <v>1.719E-3</v>
      </c>
      <c r="BA282" s="123">
        <v>8.2000000000000001E-5</v>
      </c>
    </row>
    <row r="283" spans="1:53" ht="15" customHeight="1">
      <c r="A283" s="121">
        <v>313</v>
      </c>
      <c r="B283" s="121">
        <v>313</v>
      </c>
      <c r="C283" s="121"/>
      <c r="D283" s="120"/>
      <c r="E283" s="120"/>
      <c r="F283" s="121">
        <v>50000877</v>
      </c>
      <c r="G283" s="120" t="s">
        <v>1013</v>
      </c>
      <c r="H283" s="120" t="s">
        <v>812</v>
      </c>
      <c r="I283" s="120" t="s">
        <v>203</v>
      </c>
      <c r="J283" s="120"/>
      <c r="K283" s="120" t="s">
        <v>454</v>
      </c>
      <c r="L283" s="120" t="s">
        <v>338</v>
      </c>
      <c r="M283" s="120" t="s">
        <v>338</v>
      </c>
      <c r="N283" s="121"/>
      <c r="O283" s="124">
        <v>44270</v>
      </c>
      <c r="P283" s="120" t="s">
        <v>1331</v>
      </c>
      <c r="Q283" s="120" t="s">
        <v>414</v>
      </c>
      <c r="R283" s="120" t="s">
        <v>407</v>
      </c>
      <c r="S283" s="120" t="s">
        <v>1218</v>
      </c>
      <c r="T283" s="122">
        <v>8.2899999999999991</v>
      </c>
      <c r="U283" s="120" t="s">
        <v>2613</v>
      </c>
      <c r="V283" s="123">
        <v>2.6499999999999999E-2</v>
      </c>
      <c r="W283" s="120"/>
      <c r="X283" s="120"/>
      <c r="Y283" s="123"/>
      <c r="Z283" s="123">
        <v>2.8199999999999999E-2</v>
      </c>
      <c r="AA283" s="124">
        <v>52412</v>
      </c>
      <c r="AB283" s="120" t="s">
        <v>411</v>
      </c>
      <c r="AC283" s="120"/>
      <c r="AD283" s="122"/>
      <c r="AE283" s="123"/>
      <c r="AF283" s="124"/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45838</v>
      </c>
      <c r="AO283" s="120"/>
      <c r="AP283" s="123"/>
      <c r="AQ283" s="122">
        <v>1025598.73</v>
      </c>
      <c r="AR283" s="122">
        <v>111.21</v>
      </c>
      <c r="AS283" s="122">
        <v>1</v>
      </c>
      <c r="AT283" s="122">
        <v>1140.56835</v>
      </c>
      <c r="AU283" s="122">
        <v>1140.56835</v>
      </c>
      <c r="AV283" s="120"/>
      <c r="AW283" s="120"/>
      <c r="AX283" s="120"/>
      <c r="AY283" s="120"/>
      <c r="AZ283" s="123">
        <v>3.97E-4</v>
      </c>
      <c r="BA283" s="123">
        <v>1.8E-5</v>
      </c>
    </row>
    <row r="284" spans="1:53" ht="15" customHeight="1">
      <c r="A284" s="121">
        <v>313</v>
      </c>
      <c r="B284" s="121">
        <v>313</v>
      </c>
      <c r="C284" s="121"/>
      <c r="D284" s="120"/>
      <c r="E284" s="120"/>
      <c r="F284" s="121">
        <v>50000879</v>
      </c>
      <c r="G284" s="120" t="s">
        <v>1013</v>
      </c>
      <c r="H284" s="120" t="s">
        <v>812</v>
      </c>
      <c r="I284" s="120" t="s">
        <v>203</v>
      </c>
      <c r="J284" s="120"/>
      <c r="K284" s="120" t="s">
        <v>454</v>
      </c>
      <c r="L284" s="120" t="s">
        <v>338</v>
      </c>
      <c r="M284" s="120" t="s">
        <v>338</v>
      </c>
      <c r="N284" s="121"/>
      <c r="O284" s="124">
        <v>44270</v>
      </c>
      <c r="P284" s="120" t="s">
        <v>1331</v>
      </c>
      <c r="Q284" s="120" t="s">
        <v>414</v>
      </c>
      <c r="R284" s="120" t="s">
        <v>407</v>
      </c>
      <c r="S284" s="120" t="s">
        <v>1218</v>
      </c>
      <c r="T284" s="122">
        <v>8.2899999999999991</v>
      </c>
      <c r="U284" s="120" t="s">
        <v>2613</v>
      </c>
      <c r="V284" s="123">
        <v>2.6499999999999999E-2</v>
      </c>
      <c r="W284" s="120"/>
      <c r="X284" s="120"/>
      <c r="Y284" s="123"/>
      <c r="Z284" s="123">
        <v>2.8199999999999999E-2</v>
      </c>
      <c r="AA284" s="124">
        <v>52412</v>
      </c>
      <c r="AB284" s="120" t="s">
        <v>411</v>
      </c>
      <c r="AC284" s="120"/>
      <c r="AD284" s="122"/>
      <c r="AE284" s="123"/>
      <c r="AF284" s="124"/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45838</v>
      </c>
      <c r="AO284" s="120"/>
      <c r="AP284" s="123"/>
      <c r="AQ284" s="122">
        <v>1006105.06</v>
      </c>
      <c r="AR284" s="122">
        <v>111.21</v>
      </c>
      <c r="AS284" s="122">
        <v>1</v>
      </c>
      <c r="AT284" s="122">
        <v>1118.8894399999999</v>
      </c>
      <c r="AU284" s="122">
        <v>1118.8894399999999</v>
      </c>
      <c r="AV284" s="120"/>
      <c r="AW284" s="120"/>
      <c r="AX284" s="120"/>
      <c r="AY284" s="120"/>
      <c r="AZ284" s="123">
        <v>3.8900000000000002E-4</v>
      </c>
      <c r="BA284" s="123">
        <v>1.8E-5</v>
      </c>
    </row>
    <row r="285" spans="1:53" ht="15" customHeight="1">
      <c r="A285" s="121">
        <v>313</v>
      </c>
      <c r="B285" s="121">
        <v>313</v>
      </c>
      <c r="C285" s="121"/>
      <c r="D285" s="120"/>
      <c r="E285" s="120"/>
      <c r="F285" s="121">
        <v>50000887</v>
      </c>
      <c r="G285" s="120" t="s">
        <v>1013</v>
      </c>
      <c r="H285" s="120" t="s">
        <v>812</v>
      </c>
      <c r="I285" s="120" t="s">
        <v>203</v>
      </c>
      <c r="J285" s="120"/>
      <c r="K285" s="120" t="s">
        <v>454</v>
      </c>
      <c r="L285" s="120" t="s">
        <v>338</v>
      </c>
      <c r="M285" s="120" t="s">
        <v>338</v>
      </c>
      <c r="N285" s="121"/>
      <c r="O285" s="124">
        <v>44270</v>
      </c>
      <c r="P285" s="120" t="s">
        <v>1304</v>
      </c>
      <c r="Q285" s="120" t="s">
        <v>414</v>
      </c>
      <c r="R285" s="120" t="s">
        <v>407</v>
      </c>
      <c r="S285" s="120" t="s">
        <v>1218</v>
      </c>
      <c r="T285" s="122">
        <v>8.3000000000000007</v>
      </c>
      <c r="U285" s="120" t="s">
        <v>2613</v>
      </c>
      <c r="V285" s="123">
        <v>2.6499999999999999E-2</v>
      </c>
      <c r="W285" s="120"/>
      <c r="X285" s="120"/>
      <c r="Y285" s="123"/>
      <c r="Z285" s="123">
        <v>2.87E-2</v>
      </c>
      <c r="AA285" s="124">
        <v>52412</v>
      </c>
      <c r="AB285" s="120" t="s">
        <v>411</v>
      </c>
      <c r="AC285" s="120"/>
      <c r="AD285" s="122"/>
      <c r="AE285" s="123"/>
      <c r="AF285" s="124"/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45838</v>
      </c>
      <c r="AO285" s="120"/>
      <c r="AP285" s="123"/>
      <c r="AQ285" s="122">
        <v>1705346.98</v>
      </c>
      <c r="AR285" s="122">
        <v>110.74</v>
      </c>
      <c r="AS285" s="122">
        <v>1</v>
      </c>
      <c r="AT285" s="122">
        <v>1888.50125</v>
      </c>
      <c r="AU285" s="122">
        <v>1888.50125</v>
      </c>
      <c r="AV285" s="120"/>
      <c r="AW285" s="120"/>
      <c r="AX285" s="120"/>
      <c r="AY285" s="120"/>
      <c r="AZ285" s="123">
        <v>6.5700000000000003E-4</v>
      </c>
      <c r="BA285" s="123">
        <v>3.1000000000000001E-5</v>
      </c>
    </row>
    <row r="286" spans="1:53" ht="15" customHeight="1">
      <c r="A286" s="121">
        <v>313</v>
      </c>
      <c r="B286" s="121">
        <v>313</v>
      </c>
      <c r="C286" s="121"/>
      <c r="D286" s="120"/>
      <c r="E286" s="120"/>
      <c r="F286" s="121">
        <v>50000890</v>
      </c>
      <c r="G286" s="120" t="s">
        <v>1013</v>
      </c>
      <c r="H286" s="120" t="s">
        <v>812</v>
      </c>
      <c r="I286" s="120" t="s">
        <v>203</v>
      </c>
      <c r="J286" s="120"/>
      <c r="K286" s="120" t="s">
        <v>454</v>
      </c>
      <c r="L286" s="120" t="s">
        <v>338</v>
      </c>
      <c r="M286" s="120" t="s">
        <v>338</v>
      </c>
      <c r="N286" s="121"/>
      <c r="O286" s="124">
        <v>44497</v>
      </c>
      <c r="P286" s="120" t="s">
        <v>1331</v>
      </c>
      <c r="Q286" s="120" t="s">
        <v>414</v>
      </c>
      <c r="R286" s="120" t="s">
        <v>407</v>
      </c>
      <c r="S286" s="120" t="s">
        <v>1218</v>
      </c>
      <c r="T286" s="122">
        <v>8.09</v>
      </c>
      <c r="U286" s="120" t="s">
        <v>2613</v>
      </c>
      <c r="V286" s="123">
        <v>2.6499999999999999E-2</v>
      </c>
      <c r="W286" s="120"/>
      <c r="X286" s="120"/>
      <c r="Y286" s="123"/>
      <c r="Z286" s="123">
        <v>3.5900000000000001E-2</v>
      </c>
      <c r="AA286" s="124">
        <v>52412</v>
      </c>
      <c r="AB286" s="120" t="s">
        <v>411</v>
      </c>
      <c r="AC286" s="120"/>
      <c r="AD286" s="122"/>
      <c r="AE286" s="123"/>
      <c r="AF286" s="124"/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45838</v>
      </c>
      <c r="AO286" s="120"/>
      <c r="AP286" s="123"/>
      <c r="AQ286" s="122">
        <v>522036.25</v>
      </c>
      <c r="AR286" s="122">
        <v>101.96</v>
      </c>
      <c r="AS286" s="122">
        <v>1</v>
      </c>
      <c r="AT286" s="122">
        <v>532.26815999999997</v>
      </c>
      <c r="AU286" s="122">
        <v>532.26815999999997</v>
      </c>
      <c r="AV286" s="120"/>
      <c r="AW286" s="120"/>
      <c r="AX286" s="120"/>
      <c r="AY286" s="120"/>
      <c r="AZ286" s="123">
        <v>1.85E-4</v>
      </c>
      <c r="BA286" s="123">
        <v>7.9999999999999996E-6</v>
      </c>
    </row>
    <row r="287" spans="1:53" ht="15" customHeight="1">
      <c r="A287" s="121">
        <v>313</v>
      </c>
      <c r="B287" s="121">
        <v>313</v>
      </c>
      <c r="C287" s="121"/>
      <c r="D287" s="120"/>
      <c r="E287" s="120"/>
      <c r="F287" s="121">
        <v>50000873</v>
      </c>
      <c r="G287" s="120" t="s">
        <v>1013</v>
      </c>
      <c r="H287" s="120" t="s">
        <v>812</v>
      </c>
      <c r="I287" s="120" t="s">
        <v>203</v>
      </c>
      <c r="J287" s="120"/>
      <c r="K287" s="120" t="s">
        <v>454</v>
      </c>
      <c r="L287" s="120" t="s">
        <v>338</v>
      </c>
      <c r="M287" s="120" t="s">
        <v>338</v>
      </c>
      <c r="N287" s="121"/>
      <c r="O287" s="124">
        <v>44138</v>
      </c>
      <c r="P287" s="120" t="s">
        <v>1331</v>
      </c>
      <c r="Q287" s="120" t="s">
        <v>414</v>
      </c>
      <c r="R287" s="120" t="s">
        <v>407</v>
      </c>
      <c r="S287" s="120" t="s">
        <v>1218</v>
      </c>
      <c r="T287" s="122">
        <v>8.31</v>
      </c>
      <c r="U287" s="120" t="s">
        <v>2613</v>
      </c>
      <c r="V287" s="123">
        <v>2.6499999999999999E-2</v>
      </c>
      <c r="W287" s="120"/>
      <c r="X287" s="120"/>
      <c r="Y287" s="123"/>
      <c r="Z287" s="123">
        <v>2.7199999999999998E-2</v>
      </c>
      <c r="AA287" s="124">
        <v>52412</v>
      </c>
      <c r="AB287" s="120" t="s">
        <v>411</v>
      </c>
      <c r="AC287" s="120"/>
      <c r="AD287" s="122"/>
      <c r="AE287" s="123"/>
      <c r="AF287" s="124"/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45838</v>
      </c>
      <c r="AO287" s="120"/>
      <c r="AP287" s="123"/>
      <c r="AQ287" s="122">
        <v>2282080.15</v>
      </c>
      <c r="AR287" s="122">
        <v>111.94</v>
      </c>
      <c r="AS287" s="122">
        <v>1</v>
      </c>
      <c r="AT287" s="122">
        <v>2554.56052</v>
      </c>
      <c r="AU287" s="122">
        <v>2554.56052</v>
      </c>
      <c r="AV287" s="120"/>
      <c r="AW287" s="120"/>
      <c r="AX287" s="120"/>
      <c r="AY287" s="120"/>
      <c r="AZ287" s="123">
        <v>8.8900000000000003E-4</v>
      </c>
      <c r="BA287" s="123">
        <v>4.1999999999999998E-5</v>
      </c>
    </row>
    <row r="288" spans="1:53" ht="15" customHeight="1">
      <c r="A288" s="121">
        <v>313</v>
      </c>
      <c r="B288" s="121">
        <v>313</v>
      </c>
      <c r="C288" s="121"/>
      <c r="D288" s="120"/>
      <c r="E288" s="120"/>
      <c r="F288" s="121">
        <v>50000999</v>
      </c>
      <c r="G288" s="120" t="s">
        <v>1013</v>
      </c>
      <c r="H288" s="120" t="s">
        <v>2617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44221</v>
      </c>
      <c r="P288" s="120" t="s">
        <v>2621</v>
      </c>
      <c r="Q288" s="120" t="s">
        <v>414</v>
      </c>
      <c r="R288" s="120" t="s">
        <v>407</v>
      </c>
      <c r="S288" s="120" t="s">
        <v>1218</v>
      </c>
      <c r="T288" s="122">
        <v>8.1999999999999993</v>
      </c>
      <c r="U288" s="120" t="s">
        <v>2613</v>
      </c>
      <c r="V288" s="123">
        <v>2.1346E-2</v>
      </c>
      <c r="W288" s="120"/>
      <c r="X288" s="120"/>
      <c r="Y288" s="123"/>
      <c r="Z288" s="123">
        <v>3.49E-2</v>
      </c>
      <c r="AA288" s="124">
        <v>51940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45838</v>
      </c>
      <c r="AO288" s="120"/>
      <c r="AP288" s="123"/>
      <c r="AQ288" s="122">
        <v>281995.96999999997</v>
      </c>
      <c r="AR288" s="122">
        <v>105.12</v>
      </c>
      <c r="AS288" s="122">
        <v>1</v>
      </c>
      <c r="AT288" s="122">
        <v>296.43416000000002</v>
      </c>
      <c r="AU288" s="122">
        <v>296.43416000000002</v>
      </c>
      <c r="AV288" s="120"/>
      <c r="AW288" s="120"/>
      <c r="AX288" s="120"/>
      <c r="AY288" s="120"/>
      <c r="AZ288" s="123">
        <v>1.03E-4</v>
      </c>
      <c r="BA288" s="123">
        <v>3.9999999999999998E-6</v>
      </c>
    </row>
    <row r="289" spans="1:53" ht="15" customHeight="1">
      <c r="A289" s="121">
        <v>313</v>
      </c>
      <c r="B289" s="121">
        <v>313</v>
      </c>
      <c r="C289" s="121"/>
      <c r="D289" s="120"/>
      <c r="E289" s="120"/>
      <c r="F289" s="121">
        <v>50001000</v>
      </c>
      <c r="G289" s="120" t="s">
        <v>1013</v>
      </c>
      <c r="H289" s="120" t="s">
        <v>2617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44221</v>
      </c>
      <c r="P289" s="120" t="s">
        <v>2621</v>
      </c>
      <c r="Q289" s="120" t="s">
        <v>414</v>
      </c>
      <c r="R289" s="120" t="s">
        <v>407</v>
      </c>
      <c r="S289" s="120" t="s">
        <v>1218</v>
      </c>
      <c r="T289" s="122">
        <v>17.72</v>
      </c>
      <c r="U289" s="120" t="s">
        <v>2613</v>
      </c>
      <c r="V289" s="123">
        <v>2.7025E-2</v>
      </c>
      <c r="W289" s="120"/>
      <c r="X289" s="120"/>
      <c r="Y289" s="123"/>
      <c r="Z289" s="123">
        <v>3.8300000000000001E-2</v>
      </c>
      <c r="AA289" s="124">
        <v>52305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45838</v>
      </c>
      <c r="AO289" s="120"/>
      <c r="AP289" s="123"/>
      <c r="AQ289" s="122">
        <v>271998.05</v>
      </c>
      <c r="AR289" s="122">
        <v>97</v>
      </c>
      <c r="AS289" s="122">
        <v>1</v>
      </c>
      <c r="AT289" s="122">
        <v>263.83810999999997</v>
      </c>
      <c r="AU289" s="122">
        <v>263.83810999999997</v>
      </c>
      <c r="AV289" s="120"/>
      <c r="AW289" s="120"/>
      <c r="AX289" s="120"/>
      <c r="AY289" s="120"/>
      <c r="AZ289" s="123">
        <v>9.1000000000000003E-5</v>
      </c>
      <c r="BA289" s="123">
        <v>3.9999999999999998E-6</v>
      </c>
    </row>
    <row r="290" spans="1:53" ht="15" customHeight="1">
      <c r="A290" s="121">
        <v>313</v>
      </c>
      <c r="B290" s="121">
        <v>313</v>
      </c>
      <c r="C290" s="121"/>
      <c r="D290" s="120"/>
      <c r="E290" s="120"/>
      <c r="F290" s="121">
        <v>50001002</v>
      </c>
      <c r="G290" s="120" t="s">
        <v>1013</v>
      </c>
      <c r="H290" s="120" t="s">
        <v>2617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44249</v>
      </c>
      <c r="P290" s="120" t="s">
        <v>2621</v>
      </c>
      <c r="Q290" s="120" t="s">
        <v>414</v>
      </c>
      <c r="R290" s="120" t="s">
        <v>407</v>
      </c>
      <c r="S290" s="120" t="s">
        <v>1218</v>
      </c>
      <c r="T290" s="122">
        <v>8.16</v>
      </c>
      <c r="U290" s="120" t="s">
        <v>2613</v>
      </c>
      <c r="V290" s="123">
        <v>2.2970000000000001E-2</v>
      </c>
      <c r="W290" s="120"/>
      <c r="X290" s="120"/>
      <c r="Y290" s="123"/>
      <c r="Z290" s="123">
        <v>3.49E-2</v>
      </c>
      <c r="AA290" s="124">
        <v>51940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45838</v>
      </c>
      <c r="AO290" s="120"/>
      <c r="AP290" s="123"/>
      <c r="AQ290" s="122">
        <v>128583.11</v>
      </c>
      <c r="AR290" s="122">
        <v>106.78</v>
      </c>
      <c r="AS290" s="122">
        <v>1</v>
      </c>
      <c r="AT290" s="122">
        <v>137.30104</v>
      </c>
      <c r="AU290" s="122">
        <v>137.30104</v>
      </c>
      <c r="AV290" s="120"/>
      <c r="AW290" s="120"/>
      <c r="AX290" s="120"/>
      <c r="AY290" s="120"/>
      <c r="AZ290" s="123">
        <v>4.6999999999999997E-5</v>
      </c>
      <c r="BA290" s="123">
        <v>1.9999999999999999E-6</v>
      </c>
    </row>
    <row r="291" spans="1:53" ht="15" customHeight="1">
      <c r="A291" s="121">
        <v>313</v>
      </c>
      <c r="B291" s="121">
        <v>313</v>
      </c>
      <c r="C291" s="121"/>
      <c r="D291" s="120"/>
      <c r="E291" s="120"/>
      <c r="F291" s="121">
        <v>50001024</v>
      </c>
      <c r="G291" s="120" t="s">
        <v>1013</v>
      </c>
      <c r="H291" s="120" t="s">
        <v>2617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44523</v>
      </c>
      <c r="P291" s="120" t="s">
        <v>2621</v>
      </c>
      <c r="Q291" s="120" t="s">
        <v>414</v>
      </c>
      <c r="R291" s="120" t="s">
        <v>407</v>
      </c>
      <c r="S291" s="120" t="s">
        <v>1218</v>
      </c>
      <c r="T291" s="122">
        <v>17.72</v>
      </c>
      <c r="U291" s="120" t="s">
        <v>2613</v>
      </c>
      <c r="V291" s="123">
        <v>2.4625999999999999E-2</v>
      </c>
      <c r="W291" s="120"/>
      <c r="X291" s="120"/>
      <c r="Y291" s="123"/>
      <c r="Z291" s="123">
        <v>0.04</v>
      </c>
      <c r="AA291" s="124">
        <v>52305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45838</v>
      </c>
      <c r="AO291" s="120"/>
      <c r="AP291" s="123"/>
      <c r="AQ291" s="122">
        <v>320002.26</v>
      </c>
      <c r="AR291" s="122">
        <v>88.14</v>
      </c>
      <c r="AS291" s="122">
        <v>1</v>
      </c>
      <c r="AT291" s="122">
        <v>282.04998999999998</v>
      </c>
      <c r="AU291" s="122">
        <v>282.04998999999998</v>
      </c>
      <c r="AV291" s="120"/>
      <c r="AW291" s="120"/>
      <c r="AX291" s="120"/>
      <c r="AY291" s="120"/>
      <c r="AZ291" s="123">
        <v>9.7999999999999997E-5</v>
      </c>
      <c r="BA291" s="123">
        <v>3.9999999999999998E-6</v>
      </c>
    </row>
    <row r="292" spans="1:53" ht="15" customHeight="1">
      <c r="A292" s="121">
        <v>313</v>
      </c>
      <c r="B292" s="121">
        <v>313</v>
      </c>
      <c r="C292" s="121"/>
      <c r="D292" s="120"/>
      <c r="E292" s="120"/>
      <c r="F292" s="121">
        <v>50001026</v>
      </c>
      <c r="G292" s="120" t="s">
        <v>1013</v>
      </c>
      <c r="H292" s="120" t="s">
        <v>2617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44546</v>
      </c>
      <c r="P292" s="120" t="s">
        <v>2621</v>
      </c>
      <c r="Q292" s="120" t="s">
        <v>414</v>
      </c>
      <c r="R292" s="120" t="s">
        <v>407</v>
      </c>
      <c r="S292" s="120" t="s">
        <v>1218</v>
      </c>
      <c r="T292" s="122">
        <v>8.31</v>
      </c>
      <c r="U292" s="120" t="s">
        <v>2613</v>
      </c>
      <c r="V292" s="123">
        <v>1.5526999999999999E-2</v>
      </c>
      <c r="W292" s="120"/>
      <c r="X292" s="120"/>
      <c r="Y292" s="123"/>
      <c r="Z292" s="123">
        <v>3.6299999999999999E-2</v>
      </c>
      <c r="AA292" s="124">
        <v>51940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45838</v>
      </c>
      <c r="AO292" s="120"/>
      <c r="AP292" s="123"/>
      <c r="AQ292" s="122">
        <v>462519.98</v>
      </c>
      <c r="AR292" s="122">
        <v>96.21</v>
      </c>
      <c r="AS292" s="122">
        <v>1</v>
      </c>
      <c r="AT292" s="122">
        <v>444.99047000000002</v>
      </c>
      <c r="AU292" s="122">
        <v>444.99047000000002</v>
      </c>
      <c r="AV292" s="120"/>
      <c r="AW292" s="120"/>
      <c r="AX292" s="120"/>
      <c r="AY292" s="120"/>
      <c r="AZ292" s="123">
        <v>1.54E-4</v>
      </c>
      <c r="BA292" s="123">
        <v>6.9999999999999999E-6</v>
      </c>
    </row>
    <row r="293" spans="1:53" ht="15" customHeight="1">
      <c r="A293" s="121">
        <v>313</v>
      </c>
      <c r="B293" s="121">
        <v>313</v>
      </c>
      <c r="C293" s="121"/>
      <c r="D293" s="120"/>
      <c r="E293" s="120"/>
      <c r="F293" s="121">
        <v>50001027</v>
      </c>
      <c r="G293" s="120" t="s">
        <v>1013</v>
      </c>
      <c r="H293" s="120" t="s">
        <v>2617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44546</v>
      </c>
      <c r="P293" s="120" t="s">
        <v>2621</v>
      </c>
      <c r="Q293" s="120" t="s">
        <v>414</v>
      </c>
      <c r="R293" s="120" t="s">
        <v>407</v>
      </c>
      <c r="S293" s="120" t="s">
        <v>1218</v>
      </c>
      <c r="T293" s="122">
        <v>17.72</v>
      </c>
      <c r="U293" s="120" t="s">
        <v>2613</v>
      </c>
      <c r="V293" s="123">
        <v>2.4500999999999998E-2</v>
      </c>
      <c r="W293" s="120"/>
      <c r="X293" s="120"/>
      <c r="Y293" s="123"/>
      <c r="Z293" s="123">
        <v>3.9199999999999999E-2</v>
      </c>
      <c r="AA293" s="124">
        <v>52305</v>
      </c>
      <c r="AB293" s="120" t="s">
        <v>411</v>
      </c>
      <c r="AC293" s="120"/>
      <c r="AD293" s="122"/>
      <c r="AE293" s="123"/>
      <c r="AF293" s="124">
        <v>45108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45838</v>
      </c>
      <c r="AO293" s="120"/>
      <c r="AP293" s="123"/>
      <c r="AQ293" s="122">
        <v>442578.54</v>
      </c>
      <c r="AR293" s="122">
        <v>89.15</v>
      </c>
      <c r="AS293" s="122">
        <v>1</v>
      </c>
      <c r="AT293" s="122">
        <v>394.55876999999998</v>
      </c>
      <c r="AU293" s="122">
        <v>394.55876999999998</v>
      </c>
      <c r="AV293" s="120"/>
      <c r="AW293" s="120"/>
      <c r="AX293" s="120"/>
      <c r="AY293" s="120"/>
      <c r="AZ293" s="123">
        <v>1.37E-4</v>
      </c>
      <c r="BA293" s="123">
        <v>6.0000000000000002E-6</v>
      </c>
    </row>
    <row r="294" spans="1:53" ht="15" customHeight="1">
      <c r="A294" s="121">
        <v>313</v>
      </c>
      <c r="B294" s="121">
        <v>313</v>
      </c>
      <c r="C294" s="121"/>
      <c r="D294" s="120"/>
      <c r="E294" s="120"/>
      <c r="F294" s="121">
        <v>50001029</v>
      </c>
      <c r="G294" s="120" t="s">
        <v>1013</v>
      </c>
      <c r="H294" s="120" t="s">
        <v>2617</v>
      </c>
      <c r="I294" s="120" t="s">
        <v>203</v>
      </c>
      <c r="J294" s="120"/>
      <c r="K294" s="120" t="s">
        <v>446</v>
      </c>
      <c r="L294" s="120" t="s">
        <v>338</v>
      </c>
      <c r="M294" s="120" t="s">
        <v>337</v>
      </c>
      <c r="N294" s="121"/>
      <c r="O294" s="124">
        <v>44574</v>
      </c>
      <c r="P294" s="120" t="s">
        <v>2621</v>
      </c>
      <c r="Q294" s="120" t="s">
        <v>414</v>
      </c>
      <c r="R294" s="120" t="s">
        <v>407</v>
      </c>
      <c r="S294" s="120" t="s">
        <v>1218</v>
      </c>
      <c r="T294" s="122">
        <v>8.32</v>
      </c>
      <c r="U294" s="120" t="s">
        <v>2613</v>
      </c>
      <c r="V294" s="123">
        <v>1.5233999999999999E-2</v>
      </c>
      <c r="W294" s="120"/>
      <c r="X294" s="120"/>
      <c r="Y294" s="123"/>
      <c r="Z294" s="123">
        <v>3.6200000000000003E-2</v>
      </c>
      <c r="AA294" s="124">
        <v>51940</v>
      </c>
      <c r="AB294" s="120" t="s">
        <v>411</v>
      </c>
      <c r="AC294" s="120"/>
      <c r="AD294" s="122"/>
      <c r="AE294" s="123"/>
      <c r="AF294" s="124">
        <v>45108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45838</v>
      </c>
      <c r="AO294" s="120"/>
      <c r="AP294" s="123"/>
      <c r="AQ294" s="122">
        <v>496273.76</v>
      </c>
      <c r="AR294" s="122">
        <v>96.09</v>
      </c>
      <c r="AS294" s="122">
        <v>1</v>
      </c>
      <c r="AT294" s="122">
        <v>476.86946</v>
      </c>
      <c r="AU294" s="122">
        <v>476.86946</v>
      </c>
      <c r="AV294" s="120"/>
      <c r="AW294" s="120"/>
      <c r="AX294" s="120"/>
      <c r="AY294" s="120"/>
      <c r="AZ294" s="123">
        <v>1.66E-4</v>
      </c>
      <c r="BA294" s="123">
        <v>6.9999999999999999E-6</v>
      </c>
    </row>
    <row r="295" spans="1:53" ht="15" customHeight="1">
      <c r="A295" s="121">
        <v>313</v>
      </c>
      <c r="B295" s="121">
        <v>313</v>
      </c>
      <c r="C295" s="121"/>
      <c r="D295" s="120"/>
      <c r="E295" s="120"/>
      <c r="F295" s="121">
        <v>50001030</v>
      </c>
      <c r="G295" s="120" t="s">
        <v>1013</v>
      </c>
      <c r="H295" s="120" t="s">
        <v>2617</v>
      </c>
      <c r="I295" s="120" t="s">
        <v>203</v>
      </c>
      <c r="J295" s="120"/>
      <c r="K295" s="120" t="s">
        <v>446</v>
      </c>
      <c r="L295" s="120" t="s">
        <v>338</v>
      </c>
      <c r="M295" s="120" t="s">
        <v>337</v>
      </c>
      <c r="N295" s="121"/>
      <c r="O295" s="124">
        <v>44574</v>
      </c>
      <c r="P295" s="120" t="s">
        <v>2621</v>
      </c>
      <c r="Q295" s="120" t="s">
        <v>414</v>
      </c>
      <c r="R295" s="120" t="s">
        <v>407</v>
      </c>
      <c r="S295" s="120" t="s">
        <v>1218</v>
      </c>
      <c r="T295" s="122">
        <v>17.72</v>
      </c>
      <c r="U295" s="120" t="s">
        <v>2613</v>
      </c>
      <c r="V295" s="123">
        <v>2.3888E-2</v>
      </c>
      <c r="W295" s="120"/>
      <c r="X295" s="120"/>
      <c r="Y295" s="123"/>
      <c r="Z295" s="123">
        <v>4.0399999999999998E-2</v>
      </c>
      <c r="AA295" s="124">
        <v>52305</v>
      </c>
      <c r="AB295" s="120" t="s">
        <v>411</v>
      </c>
      <c r="AC295" s="120"/>
      <c r="AD295" s="122"/>
      <c r="AE295" s="123"/>
      <c r="AF295" s="124">
        <v>45108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45838</v>
      </c>
      <c r="AO295" s="120"/>
      <c r="AP295" s="123"/>
      <c r="AQ295" s="122">
        <v>473690.13</v>
      </c>
      <c r="AR295" s="122">
        <v>86.42</v>
      </c>
      <c r="AS295" s="122">
        <v>1</v>
      </c>
      <c r="AT295" s="122">
        <v>409.36300999999997</v>
      </c>
      <c r="AU295" s="122">
        <v>409.36300999999997</v>
      </c>
      <c r="AV295" s="120"/>
      <c r="AW295" s="120"/>
      <c r="AX295" s="120"/>
      <c r="AY295" s="120"/>
      <c r="AZ295" s="123">
        <v>1.4200000000000001E-4</v>
      </c>
      <c r="BA295" s="123">
        <v>6.0000000000000002E-6</v>
      </c>
    </row>
    <row r="296" spans="1:53" ht="15" customHeight="1">
      <c r="A296" s="121">
        <v>313</v>
      </c>
      <c r="B296" s="121">
        <v>313</v>
      </c>
      <c r="C296" s="121"/>
      <c r="D296" s="120"/>
      <c r="E296" s="120"/>
      <c r="F296" s="121">
        <v>50001023</v>
      </c>
      <c r="G296" s="120" t="s">
        <v>1013</v>
      </c>
      <c r="H296" s="120" t="s">
        <v>2617</v>
      </c>
      <c r="I296" s="120" t="s">
        <v>203</v>
      </c>
      <c r="J296" s="120"/>
      <c r="K296" s="120" t="s">
        <v>446</v>
      </c>
      <c r="L296" s="120" t="s">
        <v>338</v>
      </c>
      <c r="M296" s="120" t="s">
        <v>337</v>
      </c>
      <c r="N296" s="121"/>
      <c r="O296" s="124">
        <v>44523</v>
      </c>
      <c r="P296" s="120" t="s">
        <v>2621</v>
      </c>
      <c r="Q296" s="120" t="s">
        <v>414</v>
      </c>
      <c r="R296" s="120" t="s">
        <v>407</v>
      </c>
      <c r="S296" s="120" t="s">
        <v>1218</v>
      </c>
      <c r="T296" s="122">
        <v>8.2899999999999991</v>
      </c>
      <c r="U296" s="120" t="s">
        <v>2613</v>
      </c>
      <c r="V296" s="123">
        <v>1.5906E-2</v>
      </c>
      <c r="W296" s="120"/>
      <c r="X296" s="120"/>
      <c r="Y296" s="123"/>
      <c r="Z296" s="123">
        <v>3.6600000000000001E-2</v>
      </c>
      <c r="AA296" s="124">
        <v>51940</v>
      </c>
      <c r="AB296" s="120" t="s">
        <v>411</v>
      </c>
      <c r="AC296" s="120"/>
      <c r="AD296" s="122"/>
      <c r="AE296" s="123"/>
      <c r="AF296" s="124">
        <v>45108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45838</v>
      </c>
      <c r="AO296" s="120"/>
      <c r="AP296" s="123"/>
      <c r="AQ296" s="122">
        <v>334219.2</v>
      </c>
      <c r="AR296" s="122">
        <v>96.23</v>
      </c>
      <c r="AS296" s="122">
        <v>1</v>
      </c>
      <c r="AT296" s="122">
        <v>321.61914000000002</v>
      </c>
      <c r="AU296" s="122">
        <v>321.61914000000002</v>
      </c>
      <c r="AV296" s="120"/>
      <c r="AW296" s="120"/>
      <c r="AX296" s="120"/>
      <c r="AY296" s="120"/>
      <c r="AZ296" s="123">
        <v>1.12E-4</v>
      </c>
      <c r="BA296" s="123">
        <v>5.0000000000000004E-6</v>
      </c>
    </row>
    <row r="297" spans="1:53" ht="15" customHeight="1">
      <c r="A297" s="121">
        <v>313</v>
      </c>
      <c r="B297" s="121">
        <v>313</v>
      </c>
      <c r="C297" s="121"/>
      <c r="D297" s="120"/>
      <c r="E297" s="120"/>
      <c r="F297" s="121">
        <v>50001031</v>
      </c>
      <c r="G297" s="120" t="s">
        <v>1013</v>
      </c>
      <c r="H297" s="120" t="s">
        <v>2617</v>
      </c>
      <c r="I297" s="120" t="s">
        <v>203</v>
      </c>
      <c r="J297" s="120"/>
      <c r="K297" s="120" t="s">
        <v>446</v>
      </c>
      <c r="L297" s="120" t="s">
        <v>338</v>
      </c>
      <c r="M297" s="120" t="s">
        <v>337</v>
      </c>
      <c r="N297" s="121"/>
      <c r="O297" s="124">
        <v>44619</v>
      </c>
      <c r="P297" s="120" t="s">
        <v>2621</v>
      </c>
      <c r="Q297" s="120" t="s">
        <v>414</v>
      </c>
      <c r="R297" s="120" t="s">
        <v>407</v>
      </c>
      <c r="S297" s="120" t="s">
        <v>1218</v>
      </c>
      <c r="T297" s="122">
        <v>8.1999999999999993</v>
      </c>
      <c r="U297" s="120" t="s">
        <v>2613</v>
      </c>
      <c r="V297" s="123">
        <v>2.1697999999999999E-2</v>
      </c>
      <c r="W297" s="120"/>
      <c r="X297" s="120"/>
      <c r="Y297" s="123"/>
      <c r="Z297" s="123">
        <v>3.4299999999999997E-2</v>
      </c>
      <c r="AA297" s="124">
        <v>51940</v>
      </c>
      <c r="AB297" s="120" t="s">
        <v>411</v>
      </c>
      <c r="AC297" s="120"/>
      <c r="AD297" s="122"/>
      <c r="AE297" s="123"/>
      <c r="AF297" s="124">
        <v>45108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45838</v>
      </c>
      <c r="AO297" s="120"/>
      <c r="AP297" s="123"/>
      <c r="AQ297" s="122">
        <v>189836.73</v>
      </c>
      <c r="AR297" s="122">
        <v>102.9</v>
      </c>
      <c r="AS297" s="122">
        <v>1</v>
      </c>
      <c r="AT297" s="122">
        <v>195.34200000000001</v>
      </c>
      <c r="AU297" s="122">
        <v>195.34200000000001</v>
      </c>
      <c r="AV297" s="120"/>
      <c r="AW297" s="120"/>
      <c r="AX297" s="120"/>
      <c r="AY297" s="120"/>
      <c r="AZ297" s="123">
        <v>6.7999999999999999E-5</v>
      </c>
      <c r="BA297" s="123">
        <v>3.0000000000000001E-6</v>
      </c>
    </row>
    <row r="298" spans="1:53" ht="15" customHeight="1">
      <c r="A298" s="121">
        <v>313</v>
      </c>
      <c r="B298" s="121">
        <v>313</v>
      </c>
      <c r="C298" s="121"/>
      <c r="D298" s="120"/>
      <c r="E298" s="120"/>
      <c r="F298" s="121">
        <v>50001033</v>
      </c>
      <c r="G298" s="120" t="s">
        <v>1013</v>
      </c>
      <c r="H298" s="120" t="s">
        <v>2617</v>
      </c>
      <c r="I298" s="120" t="s">
        <v>203</v>
      </c>
      <c r="J298" s="120"/>
      <c r="K298" s="120" t="s">
        <v>446</v>
      </c>
      <c r="L298" s="120" t="s">
        <v>338</v>
      </c>
      <c r="M298" s="120" t="s">
        <v>337</v>
      </c>
      <c r="N298" s="121"/>
      <c r="O298" s="124">
        <v>44664</v>
      </c>
      <c r="P298" s="120" t="s">
        <v>2621</v>
      </c>
      <c r="Q298" s="120" t="s">
        <v>414</v>
      </c>
      <c r="R298" s="120" t="s">
        <v>407</v>
      </c>
      <c r="S298" s="120" t="s">
        <v>1218</v>
      </c>
      <c r="T298" s="122">
        <v>8.2200000000000006</v>
      </c>
      <c r="U298" s="120" t="s">
        <v>2613</v>
      </c>
      <c r="V298" s="123">
        <v>2.1465000000000001E-2</v>
      </c>
      <c r="W298" s="120"/>
      <c r="X298" s="120"/>
      <c r="Y298" s="123"/>
      <c r="Z298" s="123">
        <v>3.3700000000000001E-2</v>
      </c>
      <c r="AA298" s="124">
        <v>51940</v>
      </c>
      <c r="AB298" s="120" t="s">
        <v>411</v>
      </c>
      <c r="AC298" s="120"/>
      <c r="AD298" s="122"/>
      <c r="AE298" s="123"/>
      <c r="AF298" s="124">
        <v>45108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45838</v>
      </c>
      <c r="AO298" s="120"/>
      <c r="AP298" s="123"/>
      <c r="AQ298" s="122">
        <v>364546.01</v>
      </c>
      <c r="AR298" s="122">
        <v>102.45</v>
      </c>
      <c r="AS298" s="122">
        <v>1</v>
      </c>
      <c r="AT298" s="122">
        <v>373.47739000000001</v>
      </c>
      <c r="AU298" s="122">
        <v>373.47739000000001</v>
      </c>
      <c r="AV298" s="120"/>
      <c r="AW298" s="120"/>
      <c r="AX298" s="120"/>
      <c r="AY298" s="120"/>
      <c r="AZ298" s="123">
        <v>1.2999999999999999E-4</v>
      </c>
      <c r="BA298" s="123">
        <v>6.0000000000000002E-6</v>
      </c>
    </row>
    <row r="299" spans="1:53" ht="15" customHeight="1">
      <c r="A299" s="121">
        <v>313</v>
      </c>
      <c r="B299" s="121">
        <v>313</v>
      </c>
      <c r="C299" s="121"/>
      <c r="D299" s="120"/>
      <c r="E299" s="120"/>
      <c r="F299" s="121">
        <v>50001034</v>
      </c>
      <c r="G299" s="120" t="s">
        <v>1013</v>
      </c>
      <c r="H299" s="120" t="s">
        <v>2617</v>
      </c>
      <c r="I299" s="120" t="s">
        <v>203</v>
      </c>
      <c r="J299" s="120"/>
      <c r="K299" s="120" t="s">
        <v>446</v>
      </c>
      <c r="L299" s="120" t="s">
        <v>338</v>
      </c>
      <c r="M299" s="120" t="s">
        <v>337</v>
      </c>
      <c r="N299" s="121"/>
      <c r="O299" s="124">
        <v>44664</v>
      </c>
      <c r="P299" s="120" t="s">
        <v>2621</v>
      </c>
      <c r="Q299" s="120" t="s">
        <v>414</v>
      </c>
      <c r="R299" s="120" t="s">
        <v>407</v>
      </c>
      <c r="S299" s="120" t="s">
        <v>1218</v>
      </c>
      <c r="T299" s="122">
        <v>17.72</v>
      </c>
      <c r="U299" s="120" t="s">
        <v>2613</v>
      </c>
      <c r="V299" s="123">
        <v>2.9392000000000001E-2</v>
      </c>
      <c r="W299" s="120"/>
      <c r="X299" s="120"/>
      <c r="Y299" s="123"/>
      <c r="Z299" s="123">
        <v>3.8199999999999998E-2</v>
      </c>
      <c r="AA299" s="124">
        <v>52305</v>
      </c>
      <c r="AB299" s="120" t="s">
        <v>411</v>
      </c>
      <c r="AC299" s="120"/>
      <c r="AD299" s="122"/>
      <c r="AE299" s="123"/>
      <c r="AF299" s="124">
        <v>45108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45838</v>
      </c>
      <c r="AO299" s="120"/>
      <c r="AP299" s="123"/>
      <c r="AQ299" s="122">
        <v>351817.1</v>
      </c>
      <c r="AR299" s="122">
        <v>97.65</v>
      </c>
      <c r="AS299" s="122">
        <v>1</v>
      </c>
      <c r="AT299" s="122">
        <v>343.54939999999999</v>
      </c>
      <c r="AU299" s="122">
        <v>343.54939999999999</v>
      </c>
      <c r="AV299" s="120"/>
      <c r="AW299" s="120"/>
      <c r="AX299" s="120"/>
      <c r="AY299" s="120"/>
      <c r="AZ299" s="123">
        <v>1.1900000000000001E-4</v>
      </c>
      <c r="BA299" s="123">
        <v>5.0000000000000004E-6</v>
      </c>
    </row>
    <row r="300" spans="1:53" ht="15" customHeight="1">
      <c r="A300" s="121">
        <v>313</v>
      </c>
      <c r="B300" s="121">
        <v>313</v>
      </c>
      <c r="C300" s="121"/>
      <c r="D300" s="120"/>
      <c r="E300" s="120"/>
      <c r="F300" s="121">
        <v>50001036</v>
      </c>
      <c r="G300" s="120" t="s">
        <v>1013</v>
      </c>
      <c r="H300" s="120" t="s">
        <v>2617</v>
      </c>
      <c r="I300" s="120" t="s">
        <v>203</v>
      </c>
      <c r="J300" s="120"/>
      <c r="K300" s="120" t="s">
        <v>446</v>
      </c>
      <c r="L300" s="120" t="s">
        <v>338</v>
      </c>
      <c r="M300" s="120" t="s">
        <v>337</v>
      </c>
      <c r="N300" s="121"/>
      <c r="O300" s="124">
        <v>44710</v>
      </c>
      <c r="P300" s="120" t="s">
        <v>2621</v>
      </c>
      <c r="Q300" s="120" t="s">
        <v>414</v>
      </c>
      <c r="R300" s="120" t="s">
        <v>407</v>
      </c>
      <c r="S300" s="120" t="s">
        <v>1218</v>
      </c>
      <c r="T300" s="122">
        <v>8.08</v>
      </c>
      <c r="U300" s="120" t="s">
        <v>2613</v>
      </c>
      <c r="V300" s="123">
        <v>2.8858000000000002E-2</v>
      </c>
      <c r="W300" s="120"/>
      <c r="X300" s="120"/>
      <c r="Y300" s="123"/>
      <c r="Z300" s="123">
        <v>3.2599999999999997E-2</v>
      </c>
      <c r="AA300" s="124">
        <v>51940</v>
      </c>
      <c r="AB300" s="120" t="s">
        <v>411</v>
      </c>
      <c r="AC300" s="120"/>
      <c r="AD300" s="122"/>
      <c r="AE300" s="123"/>
      <c r="AF300" s="124">
        <v>45108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45838</v>
      </c>
      <c r="AO300" s="120"/>
      <c r="AP300" s="123"/>
      <c r="AQ300" s="122">
        <v>416223.13</v>
      </c>
      <c r="AR300" s="122">
        <v>108.54</v>
      </c>
      <c r="AS300" s="122">
        <v>1</v>
      </c>
      <c r="AT300" s="122">
        <v>451.76859000000002</v>
      </c>
      <c r="AU300" s="122">
        <v>451.76859000000002</v>
      </c>
      <c r="AV300" s="120"/>
      <c r="AW300" s="120"/>
      <c r="AX300" s="120"/>
      <c r="AY300" s="120"/>
      <c r="AZ300" s="123">
        <v>1.5699999999999999E-4</v>
      </c>
      <c r="BA300" s="123">
        <v>6.9999999999999999E-6</v>
      </c>
    </row>
    <row r="301" spans="1:53" ht="15" customHeight="1">
      <c r="A301" s="121">
        <v>313</v>
      </c>
      <c r="B301" s="121">
        <v>313</v>
      </c>
      <c r="C301" s="121"/>
      <c r="D301" s="120"/>
      <c r="E301" s="120"/>
      <c r="F301" s="121">
        <v>50001037</v>
      </c>
      <c r="G301" s="120" t="s">
        <v>1013</v>
      </c>
      <c r="H301" s="120" t="s">
        <v>2617</v>
      </c>
      <c r="I301" s="120" t="s">
        <v>203</v>
      </c>
      <c r="J301" s="120"/>
      <c r="K301" s="120" t="s">
        <v>446</v>
      </c>
      <c r="L301" s="120" t="s">
        <v>338</v>
      </c>
      <c r="M301" s="120" t="s">
        <v>337</v>
      </c>
      <c r="N301" s="121"/>
      <c r="O301" s="124">
        <v>44710</v>
      </c>
      <c r="P301" s="120" t="s">
        <v>2621</v>
      </c>
      <c r="Q301" s="120" t="s">
        <v>414</v>
      </c>
      <c r="R301" s="120" t="s">
        <v>407</v>
      </c>
      <c r="S301" s="120" t="s">
        <v>1218</v>
      </c>
      <c r="T301" s="122">
        <v>17.72</v>
      </c>
      <c r="U301" s="120" t="s">
        <v>2613</v>
      </c>
      <c r="V301" s="123">
        <v>3.3675999999999998E-2</v>
      </c>
      <c r="W301" s="120"/>
      <c r="X301" s="120"/>
      <c r="Y301" s="123"/>
      <c r="Z301" s="123">
        <v>3.85E-2</v>
      </c>
      <c r="AA301" s="124">
        <v>52305</v>
      </c>
      <c r="AB301" s="120" t="s">
        <v>411</v>
      </c>
      <c r="AC301" s="120"/>
      <c r="AD301" s="122"/>
      <c r="AE301" s="123"/>
      <c r="AF301" s="124">
        <v>45108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45838</v>
      </c>
      <c r="AO301" s="120"/>
      <c r="AP301" s="123"/>
      <c r="AQ301" s="122">
        <v>404870.91</v>
      </c>
      <c r="AR301" s="122">
        <v>103.48</v>
      </c>
      <c r="AS301" s="122">
        <v>1</v>
      </c>
      <c r="AT301" s="122">
        <v>418.96042</v>
      </c>
      <c r="AU301" s="122">
        <v>418.96042</v>
      </c>
      <c r="AV301" s="120"/>
      <c r="AW301" s="120"/>
      <c r="AX301" s="120"/>
      <c r="AY301" s="120"/>
      <c r="AZ301" s="123">
        <v>1.45E-4</v>
      </c>
      <c r="BA301" s="123">
        <v>6.0000000000000002E-6</v>
      </c>
    </row>
    <row r="302" spans="1:53" ht="15" customHeight="1">
      <c r="A302" s="121">
        <v>313</v>
      </c>
      <c r="B302" s="121">
        <v>313</v>
      </c>
      <c r="C302" s="121"/>
      <c r="D302" s="120"/>
      <c r="E302" s="120"/>
      <c r="F302" s="121">
        <v>50001038</v>
      </c>
      <c r="G302" s="120" t="s">
        <v>1013</v>
      </c>
      <c r="H302" s="120" t="s">
        <v>2617</v>
      </c>
      <c r="I302" s="120" t="s">
        <v>203</v>
      </c>
      <c r="J302" s="120"/>
      <c r="K302" s="120" t="s">
        <v>446</v>
      </c>
      <c r="L302" s="120" t="s">
        <v>338</v>
      </c>
      <c r="M302" s="120" t="s">
        <v>337</v>
      </c>
      <c r="N302" s="121"/>
      <c r="O302" s="124">
        <v>44741</v>
      </c>
      <c r="P302" s="120" t="s">
        <v>2621</v>
      </c>
      <c r="Q302" s="120" t="s">
        <v>414</v>
      </c>
      <c r="R302" s="120" t="s">
        <v>407</v>
      </c>
      <c r="S302" s="120" t="s">
        <v>1218</v>
      </c>
      <c r="T302" s="122">
        <v>8</v>
      </c>
      <c r="U302" s="120" t="s">
        <v>2613</v>
      </c>
      <c r="V302" s="123">
        <v>3.1085000000000002E-2</v>
      </c>
      <c r="W302" s="120"/>
      <c r="X302" s="120"/>
      <c r="Y302" s="123"/>
      <c r="Z302" s="123">
        <v>3.4500000000000003E-2</v>
      </c>
      <c r="AA302" s="124">
        <v>51940</v>
      </c>
      <c r="AB302" s="120" t="s">
        <v>411</v>
      </c>
      <c r="AC302" s="120"/>
      <c r="AD302" s="122"/>
      <c r="AE302" s="123"/>
      <c r="AF302" s="124">
        <v>45108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45838</v>
      </c>
      <c r="AO302" s="120"/>
      <c r="AP302" s="123"/>
      <c r="AQ302" s="122">
        <v>257567.74</v>
      </c>
      <c r="AR302" s="122">
        <v>108.28</v>
      </c>
      <c r="AS302" s="122">
        <v>1</v>
      </c>
      <c r="AT302" s="122">
        <v>278.89434999999997</v>
      </c>
      <c r="AU302" s="122">
        <v>278.89434999999997</v>
      </c>
      <c r="AV302" s="120"/>
      <c r="AW302" s="120"/>
      <c r="AX302" s="120"/>
      <c r="AY302" s="120"/>
      <c r="AZ302" s="123">
        <v>9.7E-5</v>
      </c>
      <c r="BA302" s="123">
        <v>3.9999999999999998E-6</v>
      </c>
    </row>
    <row r="303" spans="1:53" ht="15" customHeight="1">
      <c r="A303" s="121">
        <v>313</v>
      </c>
      <c r="B303" s="121">
        <v>313</v>
      </c>
      <c r="C303" s="121"/>
      <c r="D303" s="120"/>
      <c r="E303" s="120"/>
      <c r="F303" s="121">
        <v>50001032</v>
      </c>
      <c r="G303" s="120" t="s">
        <v>1013</v>
      </c>
      <c r="H303" s="120" t="s">
        <v>2617</v>
      </c>
      <c r="I303" s="120" t="s">
        <v>203</v>
      </c>
      <c r="J303" s="120"/>
      <c r="K303" s="120" t="s">
        <v>446</v>
      </c>
      <c r="L303" s="120" t="s">
        <v>338</v>
      </c>
      <c r="M303" s="120" t="s">
        <v>337</v>
      </c>
      <c r="N303" s="121"/>
      <c r="O303" s="124">
        <v>44619</v>
      </c>
      <c r="P303" s="120" t="s">
        <v>2621</v>
      </c>
      <c r="Q303" s="120" t="s">
        <v>414</v>
      </c>
      <c r="R303" s="120" t="s">
        <v>407</v>
      </c>
      <c r="S303" s="120" t="s">
        <v>1218</v>
      </c>
      <c r="T303" s="122">
        <v>17.72</v>
      </c>
      <c r="U303" s="120" t="s">
        <v>2613</v>
      </c>
      <c r="V303" s="123">
        <v>2.9106E-2</v>
      </c>
      <c r="W303" s="120"/>
      <c r="X303" s="120"/>
      <c r="Y303" s="123"/>
      <c r="Z303" s="123">
        <v>3.78E-2</v>
      </c>
      <c r="AA303" s="124">
        <v>52305</v>
      </c>
      <c r="AB303" s="120" t="s">
        <v>411</v>
      </c>
      <c r="AC303" s="120"/>
      <c r="AD303" s="122"/>
      <c r="AE303" s="123"/>
      <c r="AF303" s="124">
        <v>45108</v>
      </c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45838</v>
      </c>
      <c r="AO303" s="120"/>
      <c r="AP303" s="123"/>
      <c r="AQ303" s="122">
        <v>182512.42</v>
      </c>
      <c r="AR303" s="122">
        <v>98.59</v>
      </c>
      <c r="AS303" s="122">
        <v>1</v>
      </c>
      <c r="AT303" s="122">
        <v>179.93898999999999</v>
      </c>
      <c r="AU303" s="122">
        <v>179.93898999999999</v>
      </c>
      <c r="AV303" s="120"/>
      <c r="AW303" s="120"/>
      <c r="AX303" s="120"/>
      <c r="AY303" s="120"/>
      <c r="AZ303" s="123">
        <v>6.2000000000000003E-5</v>
      </c>
      <c r="BA303" s="123">
        <v>1.9999999999999999E-6</v>
      </c>
    </row>
    <row r="304" spans="1:53" ht="15" customHeight="1">
      <c r="A304" s="121">
        <v>313</v>
      </c>
      <c r="B304" s="121">
        <v>313</v>
      </c>
      <c r="C304" s="121"/>
      <c r="D304" s="120"/>
      <c r="E304" s="120"/>
      <c r="F304" s="121">
        <v>50000603</v>
      </c>
      <c r="G304" s="120" t="s">
        <v>1013</v>
      </c>
      <c r="H304" s="120" t="s">
        <v>812</v>
      </c>
      <c r="I304" s="120" t="s">
        <v>203</v>
      </c>
      <c r="J304" s="120"/>
      <c r="K304" s="120" t="s">
        <v>454</v>
      </c>
      <c r="L304" s="120" t="s">
        <v>338</v>
      </c>
      <c r="M304" s="120" t="s">
        <v>338</v>
      </c>
      <c r="N304" s="121"/>
      <c r="O304" s="124">
        <v>43422</v>
      </c>
      <c r="P304" s="120" t="s">
        <v>1339</v>
      </c>
      <c r="Q304" s="120" t="s">
        <v>414</v>
      </c>
      <c r="R304" s="120" t="s">
        <v>407</v>
      </c>
      <c r="S304" s="120" t="s">
        <v>1218</v>
      </c>
      <c r="T304" s="122">
        <v>6.67</v>
      </c>
      <c r="U304" s="120" t="s">
        <v>2613</v>
      </c>
      <c r="V304" s="123">
        <v>3.4500000000000003E-2</v>
      </c>
      <c r="W304" s="120"/>
      <c r="X304" s="120"/>
      <c r="Y304" s="123"/>
      <c r="Z304" s="123">
        <v>2.8500000000000001E-2</v>
      </c>
      <c r="AA304" s="124">
        <v>51134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45838</v>
      </c>
      <c r="AO304" s="120"/>
      <c r="AP304" s="123"/>
      <c r="AQ304" s="122">
        <v>693139.78</v>
      </c>
      <c r="AR304" s="122">
        <v>121.26</v>
      </c>
      <c r="AS304" s="122">
        <v>1</v>
      </c>
      <c r="AT304" s="122">
        <v>840.50130000000001</v>
      </c>
      <c r="AU304" s="122">
        <v>840.50130000000001</v>
      </c>
      <c r="AV304" s="120"/>
      <c r="AW304" s="120"/>
      <c r="AX304" s="120"/>
      <c r="AY304" s="120"/>
      <c r="AZ304" s="123">
        <v>2.92E-4</v>
      </c>
      <c r="BA304" s="123">
        <v>1.2999999999999999E-5</v>
      </c>
    </row>
    <row r="305" spans="1:53" ht="15" customHeight="1">
      <c r="A305" s="121">
        <v>313</v>
      </c>
      <c r="B305" s="121">
        <v>313</v>
      </c>
      <c r="C305" s="121"/>
      <c r="D305" s="120"/>
      <c r="E305" s="120"/>
      <c r="F305" s="121">
        <v>50001022</v>
      </c>
      <c r="G305" s="120" t="s">
        <v>1013</v>
      </c>
      <c r="H305" s="120" t="s">
        <v>2617</v>
      </c>
      <c r="I305" s="120" t="s">
        <v>203</v>
      </c>
      <c r="J305" s="120"/>
      <c r="K305" s="120" t="s">
        <v>446</v>
      </c>
      <c r="L305" s="120" t="s">
        <v>338</v>
      </c>
      <c r="M305" s="120" t="s">
        <v>337</v>
      </c>
      <c r="N305" s="121"/>
      <c r="O305" s="124">
        <v>44487</v>
      </c>
      <c r="P305" s="120" t="s">
        <v>2621</v>
      </c>
      <c r="Q305" s="120" t="s">
        <v>414</v>
      </c>
      <c r="R305" s="120" t="s">
        <v>407</v>
      </c>
      <c r="S305" s="120" t="s">
        <v>1218</v>
      </c>
      <c r="T305" s="122">
        <v>17.72</v>
      </c>
      <c r="U305" s="120" t="s">
        <v>2613</v>
      </c>
      <c r="V305" s="123">
        <v>2.7651999999999999E-2</v>
      </c>
      <c r="W305" s="120"/>
      <c r="X305" s="120"/>
      <c r="Y305" s="123"/>
      <c r="Z305" s="123">
        <v>3.95E-2</v>
      </c>
      <c r="AA305" s="124">
        <v>52305</v>
      </c>
      <c r="AB305" s="120" t="s">
        <v>411</v>
      </c>
      <c r="AC305" s="120"/>
      <c r="AD305" s="122"/>
      <c r="AE305" s="123"/>
      <c r="AF305" s="124">
        <v>45108</v>
      </c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45838</v>
      </c>
      <c r="AO305" s="120"/>
      <c r="AP305" s="123"/>
      <c r="AQ305" s="122">
        <v>529913.88</v>
      </c>
      <c r="AR305" s="122">
        <v>93.85</v>
      </c>
      <c r="AS305" s="122">
        <v>1</v>
      </c>
      <c r="AT305" s="122">
        <v>497.32418000000001</v>
      </c>
      <c r="AU305" s="122">
        <v>497.32418000000001</v>
      </c>
      <c r="AV305" s="120"/>
      <c r="AW305" s="120"/>
      <c r="AX305" s="120"/>
      <c r="AY305" s="120"/>
      <c r="AZ305" s="123">
        <v>1.73E-4</v>
      </c>
      <c r="BA305" s="123">
        <v>7.9999999999999996E-6</v>
      </c>
    </row>
    <row r="306" spans="1:53" ht="15" customHeight="1">
      <c r="A306" s="121">
        <v>313</v>
      </c>
      <c r="B306" s="121">
        <v>313</v>
      </c>
      <c r="C306" s="121"/>
      <c r="D306" s="120"/>
      <c r="E306" s="120"/>
      <c r="F306" s="121">
        <v>50001020</v>
      </c>
      <c r="G306" s="120" t="s">
        <v>1013</v>
      </c>
      <c r="H306" s="120" t="s">
        <v>2617</v>
      </c>
      <c r="I306" s="120" t="s">
        <v>203</v>
      </c>
      <c r="J306" s="120"/>
      <c r="K306" s="120" t="s">
        <v>446</v>
      </c>
      <c r="L306" s="120" t="s">
        <v>338</v>
      </c>
      <c r="M306" s="120" t="s">
        <v>337</v>
      </c>
      <c r="N306" s="121"/>
      <c r="O306" s="124">
        <v>44452</v>
      </c>
      <c r="P306" s="120" t="s">
        <v>2621</v>
      </c>
      <c r="Q306" s="120" t="s">
        <v>414</v>
      </c>
      <c r="R306" s="120" t="s">
        <v>407</v>
      </c>
      <c r="S306" s="120" t="s">
        <v>1218</v>
      </c>
      <c r="T306" s="122">
        <v>17.72</v>
      </c>
      <c r="U306" s="120" t="s">
        <v>2613</v>
      </c>
      <c r="V306" s="123">
        <v>2.7560999999999999E-2</v>
      </c>
      <c r="W306" s="120"/>
      <c r="X306" s="120"/>
      <c r="Y306" s="123"/>
      <c r="Z306" s="123">
        <v>3.78E-2</v>
      </c>
      <c r="AA306" s="124">
        <v>52305</v>
      </c>
      <c r="AB306" s="120" t="s">
        <v>411</v>
      </c>
      <c r="AC306" s="120"/>
      <c r="AD306" s="122"/>
      <c r="AE306" s="123"/>
      <c r="AF306" s="124">
        <v>45108</v>
      </c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45838</v>
      </c>
      <c r="AO306" s="120"/>
      <c r="AP306" s="123"/>
      <c r="AQ306" s="122">
        <v>94934.94</v>
      </c>
      <c r="AR306" s="122">
        <v>96.88</v>
      </c>
      <c r="AS306" s="122">
        <v>1</v>
      </c>
      <c r="AT306" s="122">
        <v>91.972970000000004</v>
      </c>
      <c r="AU306" s="122">
        <v>91.972970000000004</v>
      </c>
      <c r="AV306" s="120"/>
      <c r="AW306" s="120"/>
      <c r="AX306" s="120"/>
      <c r="AY306" s="120"/>
      <c r="AZ306" s="123">
        <v>3.1999999999999999E-5</v>
      </c>
      <c r="BA306" s="123">
        <v>9.9999999999999995E-7</v>
      </c>
    </row>
    <row r="307" spans="1:53" ht="15" customHeight="1">
      <c r="A307" s="121">
        <v>313</v>
      </c>
      <c r="B307" s="121">
        <v>313</v>
      </c>
      <c r="C307" s="121"/>
      <c r="D307" s="120"/>
      <c r="E307" s="120"/>
      <c r="F307" s="121">
        <v>50001003</v>
      </c>
      <c r="G307" s="120" t="s">
        <v>1013</v>
      </c>
      <c r="H307" s="120" t="s">
        <v>2617</v>
      </c>
      <c r="I307" s="120" t="s">
        <v>203</v>
      </c>
      <c r="J307" s="120"/>
      <c r="K307" s="120" t="s">
        <v>446</v>
      </c>
      <c r="L307" s="120" t="s">
        <v>338</v>
      </c>
      <c r="M307" s="120" t="s">
        <v>337</v>
      </c>
      <c r="N307" s="121"/>
      <c r="O307" s="124">
        <v>44249</v>
      </c>
      <c r="P307" s="120" t="s">
        <v>2621</v>
      </c>
      <c r="Q307" s="120" t="s">
        <v>414</v>
      </c>
      <c r="R307" s="120" t="s">
        <v>407</v>
      </c>
      <c r="S307" s="120" t="s">
        <v>1218</v>
      </c>
      <c r="T307" s="122">
        <v>17.72</v>
      </c>
      <c r="U307" s="120" t="s">
        <v>2613</v>
      </c>
      <c r="V307" s="123">
        <v>2.8549999999999999E-2</v>
      </c>
      <c r="W307" s="120"/>
      <c r="X307" s="120"/>
      <c r="Y307" s="123"/>
      <c r="Z307" s="123">
        <v>3.7999999999999999E-2</v>
      </c>
      <c r="AA307" s="124">
        <v>52305</v>
      </c>
      <c r="AB307" s="120" t="s">
        <v>411</v>
      </c>
      <c r="AC307" s="120"/>
      <c r="AD307" s="122"/>
      <c r="AE307" s="123"/>
      <c r="AF307" s="124">
        <v>45108</v>
      </c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45838</v>
      </c>
      <c r="AO307" s="120"/>
      <c r="AP307" s="123"/>
      <c r="AQ307" s="122">
        <v>123973.23</v>
      </c>
      <c r="AR307" s="122">
        <v>100.28</v>
      </c>
      <c r="AS307" s="122">
        <v>1</v>
      </c>
      <c r="AT307" s="122">
        <v>124.32035999999999</v>
      </c>
      <c r="AU307" s="122">
        <v>124.32035999999999</v>
      </c>
      <c r="AV307" s="120"/>
      <c r="AW307" s="120"/>
      <c r="AX307" s="120"/>
      <c r="AY307" s="120"/>
      <c r="AZ307" s="123">
        <v>4.3000000000000002E-5</v>
      </c>
      <c r="BA307" s="123">
        <v>1.9999999999999999E-6</v>
      </c>
    </row>
    <row r="308" spans="1:53" ht="15" customHeight="1">
      <c r="A308" s="121">
        <v>313</v>
      </c>
      <c r="B308" s="121">
        <v>313</v>
      </c>
      <c r="C308" s="121"/>
      <c r="D308" s="120"/>
      <c r="E308" s="120"/>
      <c r="F308" s="121">
        <v>50001005</v>
      </c>
      <c r="G308" s="120" t="s">
        <v>1013</v>
      </c>
      <c r="H308" s="120" t="s">
        <v>2617</v>
      </c>
      <c r="I308" s="120" t="s">
        <v>203</v>
      </c>
      <c r="J308" s="120"/>
      <c r="K308" s="120" t="s">
        <v>446</v>
      </c>
      <c r="L308" s="120" t="s">
        <v>338</v>
      </c>
      <c r="M308" s="120" t="s">
        <v>337</v>
      </c>
      <c r="N308" s="121"/>
      <c r="O308" s="124">
        <v>44312</v>
      </c>
      <c r="P308" s="120" t="s">
        <v>2621</v>
      </c>
      <c r="Q308" s="120" t="s">
        <v>414</v>
      </c>
      <c r="R308" s="120" t="s">
        <v>407</v>
      </c>
      <c r="S308" s="120" t="s">
        <v>1218</v>
      </c>
      <c r="T308" s="122">
        <v>8.14</v>
      </c>
      <c r="U308" s="120" t="s">
        <v>2613</v>
      </c>
      <c r="V308" s="123">
        <v>2.3333E-2</v>
      </c>
      <c r="W308" s="120"/>
      <c r="X308" s="120"/>
      <c r="Y308" s="123"/>
      <c r="Z308" s="123">
        <v>3.5299999999999998E-2</v>
      </c>
      <c r="AA308" s="124">
        <v>51940</v>
      </c>
      <c r="AB308" s="120" t="s">
        <v>411</v>
      </c>
      <c r="AC308" s="120"/>
      <c r="AD308" s="122"/>
      <c r="AE308" s="123"/>
      <c r="AF308" s="124">
        <v>45108</v>
      </c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45838</v>
      </c>
      <c r="AO308" s="120"/>
      <c r="AP308" s="123"/>
      <c r="AQ308" s="122">
        <v>79734.34</v>
      </c>
      <c r="AR308" s="122">
        <v>105.81</v>
      </c>
      <c r="AS308" s="122">
        <v>1</v>
      </c>
      <c r="AT308" s="122">
        <v>84.366910000000004</v>
      </c>
      <c r="AU308" s="122">
        <v>84.366910000000004</v>
      </c>
      <c r="AV308" s="120"/>
      <c r="AW308" s="120"/>
      <c r="AX308" s="120"/>
      <c r="AY308" s="120"/>
      <c r="AZ308" s="123">
        <v>2.9E-5</v>
      </c>
      <c r="BA308" s="123">
        <v>9.9999999999999995E-7</v>
      </c>
    </row>
    <row r="309" spans="1:53" ht="15" customHeight="1">
      <c r="A309" s="121">
        <v>313</v>
      </c>
      <c r="B309" s="121">
        <v>313</v>
      </c>
      <c r="C309" s="121"/>
      <c r="D309" s="120"/>
      <c r="E309" s="120"/>
      <c r="F309" s="121">
        <v>50001006</v>
      </c>
      <c r="G309" s="120" t="s">
        <v>1013</v>
      </c>
      <c r="H309" s="120" t="s">
        <v>2617</v>
      </c>
      <c r="I309" s="120" t="s">
        <v>203</v>
      </c>
      <c r="J309" s="120"/>
      <c r="K309" s="120" t="s">
        <v>446</v>
      </c>
      <c r="L309" s="120" t="s">
        <v>338</v>
      </c>
      <c r="M309" s="120" t="s">
        <v>337</v>
      </c>
      <c r="N309" s="121"/>
      <c r="O309" s="124">
        <v>44312</v>
      </c>
      <c r="P309" s="120" t="s">
        <v>2621</v>
      </c>
      <c r="Q309" s="120" t="s">
        <v>414</v>
      </c>
      <c r="R309" s="120" t="s">
        <v>407</v>
      </c>
      <c r="S309" s="120" t="s">
        <v>1218</v>
      </c>
      <c r="T309" s="122">
        <v>17.72</v>
      </c>
      <c r="U309" s="120" t="s">
        <v>2613</v>
      </c>
      <c r="V309" s="123">
        <v>2.8784000000000001E-2</v>
      </c>
      <c r="W309" s="120"/>
      <c r="X309" s="120"/>
      <c r="Y309" s="123"/>
      <c r="Z309" s="123">
        <v>3.85E-2</v>
      </c>
      <c r="AA309" s="124">
        <v>52305</v>
      </c>
      <c r="AB309" s="120" t="s">
        <v>411</v>
      </c>
      <c r="AC309" s="120"/>
      <c r="AD309" s="122"/>
      <c r="AE309" s="123"/>
      <c r="AF309" s="124">
        <v>45108</v>
      </c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45838</v>
      </c>
      <c r="AO309" s="120"/>
      <c r="AP309" s="123"/>
      <c r="AQ309" s="122">
        <v>77106</v>
      </c>
      <c r="AR309" s="122">
        <v>98.96</v>
      </c>
      <c r="AS309" s="122">
        <v>1</v>
      </c>
      <c r="AT309" s="122">
        <v>76.304100000000005</v>
      </c>
      <c r="AU309" s="122">
        <v>76.304100000000005</v>
      </c>
      <c r="AV309" s="120"/>
      <c r="AW309" s="120"/>
      <c r="AX309" s="120"/>
      <c r="AY309" s="120"/>
      <c r="AZ309" s="123">
        <v>2.5999999999999998E-5</v>
      </c>
      <c r="BA309" s="123">
        <v>9.9999999999999995E-7</v>
      </c>
    </row>
    <row r="310" spans="1:53" ht="15" customHeight="1">
      <c r="A310" s="121">
        <v>313</v>
      </c>
      <c r="B310" s="121">
        <v>313</v>
      </c>
      <c r="C310" s="121"/>
      <c r="D310" s="120"/>
      <c r="E310" s="120"/>
      <c r="F310" s="121">
        <v>50001008</v>
      </c>
      <c r="G310" s="120" t="s">
        <v>1013</v>
      </c>
      <c r="H310" s="120" t="s">
        <v>2617</v>
      </c>
      <c r="I310" s="120" t="s">
        <v>203</v>
      </c>
      <c r="J310" s="120"/>
      <c r="K310" s="120" t="s">
        <v>446</v>
      </c>
      <c r="L310" s="120" t="s">
        <v>338</v>
      </c>
      <c r="M310" s="120" t="s">
        <v>337</v>
      </c>
      <c r="N310" s="121"/>
      <c r="O310" s="124">
        <v>44336</v>
      </c>
      <c r="P310" s="120" t="s">
        <v>2621</v>
      </c>
      <c r="Q310" s="120" t="s">
        <v>414</v>
      </c>
      <c r="R310" s="120" t="s">
        <v>407</v>
      </c>
      <c r="S310" s="120" t="s">
        <v>1218</v>
      </c>
      <c r="T310" s="122">
        <v>8.17</v>
      </c>
      <c r="U310" s="120" t="s">
        <v>2613</v>
      </c>
      <c r="V310" s="123">
        <v>2.1857999999999999E-2</v>
      </c>
      <c r="W310" s="120"/>
      <c r="X310" s="120"/>
      <c r="Y310" s="123"/>
      <c r="Z310" s="123">
        <v>3.5499999999999997E-2</v>
      </c>
      <c r="AA310" s="124">
        <v>51940</v>
      </c>
      <c r="AB310" s="120" t="s">
        <v>411</v>
      </c>
      <c r="AC310" s="120"/>
      <c r="AD310" s="122"/>
      <c r="AE310" s="123"/>
      <c r="AF310" s="124">
        <v>45108</v>
      </c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45838</v>
      </c>
      <c r="AO310" s="120"/>
      <c r="AP310" s="123"/>
      <c r="AQ310" s="122">
        <v>214097.39</v>
      </c>
      <c r="AR310" s="122">
        <v>103.97</v>
      </c>
      <c r="AS310" s="122">
        <v>1</v>
      </c>
      <c r="AT310" s="122">
        <v>222.59706</v>
      </c>
      <c r="AU310" s="122">
        <v>222.59706</v>
      </c>
      <c r="AV310" s="120"/>
      <c r="AW310" s="120"/>
      <c r="AX310" s="120"/>
      <c r="AY310" s="120"/>
      <c r="AZ310" s="123">
        <v>7.7000000000000001E-5</v>
      </c>
      <c r="BA310" s="123">
        <v>3.0000000000000001E-6</v>
      </c>
    </row>
    <row r="311" spans="1:53" ht="15" customHeight="1">
      <c r="A311" s="121">
        <v>313</v>
      </c>
      <c r="B311" s="121">
        <v>313</v>
      </c>
      <c r="C311" s="121"/>
      <c r="D311" s="120"/>
      <c r="E311" s="120"/>
      <c r="F311" s="121">
        <v>50001009</v>
      </c>
      <c r="G311" s="120" t="s">
        <v>1013</v>
      </c>
      <c r="H311" s="120" t="s">
        <v>2617</v>
      </c>
      <c r="I311" s="120" t="s">
        <v>203</v>
      </c>
      <c r="J311" s="120"/>
      <c r="K311" s="120" t="s">
        <v>446</v>
      </c>
      <c r="L311" s="120" t="s">
        <v>338</v>
      </c>
      <c r="M311" s="120" t="s">
        <v>337</v>
      </c>
      <c r="N311" s="121"/>
      <c r="O311" s="124">
        <v>44336</v>
      </c>
      <c r="P311" s="120" t="s">
        <v>2621</v>
      </c>
      <c r="Q311" s="120" t="s">
        <v>414</v>
      </c>
      <c r="R311" s="120" t="s">
        <v>407</v>
      </c>
      <c r="S311" s="120" t="s">
        <v>1218</v>
      </c>
      <c r="T311" s="122">
        <v>17.72</v>
      </c>
      <c r="U311" s="120" t="s">
        <v>2613</v>
      </c>
      <c r="V311" s="123">
        <v>2.9763000000000001E-2</v>
      </c>
      <c r="W311" s="120"/>
      <c r="X311" s="120"/>
      <c r="Y311" s="123"/>
      <c r="Z311" s="123">
        <v>3.8699999999999998E-2</v>
      </c>
      <c r="AA311" s="124">
        <v>52305</v>
      </c>
      <c r="AB311" s="120" t="s">
        <v>411</v>
      </c>
      <c r="AC311" s="120"/>
      <c r="AD311" s="122"/>
      <c r="AE311" s="123"/>
      <c r="AF311" s="124">
        <v>45108</v>
      </c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45838</v>
      </c>
      <c r="AO311" s="120"/>
      <c r="AP311" s="123"/>
      <c r="AQ311" s="122">
        <v>208273.68</v>
      </c>
      <c r="AR311" s="122">
        <v>100.07</v>
      </c>
      <c r="AS311" s="122">
        <v>1</v>
      </c>
      <c r="AT311" s="122">
        <v>208.41946999999999</v>
      </c>
      <c r="AU311" s="122">
        <v>208.41946999999999</v>
      </c>
      <c r="AV311" s="120"/>
      <c r="AW311" s="120"/>
      <c r="AX311" s="120"/>
      <c r="AY311" s="120"/>
      <c r="AZ311" s="123">
        <v>7.2000000000000002E-5</v>
      </c>
      <c r="BA311" s="123">
        <v>3.0000000000000001E-6</v>
      </c>
    </row>
    <row r="312" spans="1:53" ht="15" customHeight="1">
      <c r="A312" s="121">
        <v>313</v>
      </c>
      <c r="B312" s="121">
        <v>313</v>
      </c>
      <c r="C312" s="121"/>
      <c r="D312" s="120"/>
      <c r="E312" s="120"/>
      <c r="F312" s="121">
        <v>50001021</v>
      </c>
      <c r="G312" s="120" t="s">
        <v>1013</v>
      </c>
      <c r="H312" s="120" t="s">
        <v>2617</v>
      </c>
      <c r="I312" s="120" t="s">
        <v>203</v>
      </c>
      <c r="J312" s="120"/>
      <c r="K312" s="120" t="s">
        <v>446</v>
      </c>
      <c r="L312" s="120" t="s">
        <v>338</v>
      </c>
      <c r="M312" s="120" t="s">
        <v>337</v>
      </c>
      <c r="N312" s="121"/>
      <c r="O312" s="124">
        <v>44487</v>
      </c>
      <c r="P312" s="120" t="s">
        <v>2621</v>
      </c>
      <c r="Q312" s="120" t="s">
        <v>414</v>
      </c>
      <c r="R312" s="120" t="s">
        <v>407</v>
      </c>
      <c r="S312" s="120" t="s">
        <v>1218</v>
      </c>
      <c r="T312" s="122">
        <v>8.24</v>
      </c>
      <c r="U312" s="120" t="s">
        <v>2613</v>
      </c>
      <c r="V312" s="123">
        <v>1.8280999999999999E-2</v>
      </c>
      <c r="W312" s="120"/>
      <c r="X312" s="120"/>
      <c r="Y312" s="123"/>
      <c r="Z312" s="123">
        <v>3.6200000000000003E-2</v>
      </c>
      <c r="AA312" s="124">
        <v>51940</v>
      </c>
      <c r="AB312" s="120" t="s">
        <v>411</v>
      </c>
      <c r="AC312" s="120"/>
      <c r="AD312" s="122"/>
      <c r="AE312" s="123"/>
      <c r="AF312" s="124">
        <v>45108</v>
      </c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45838</v>
      </c>
      <c r="AO312" s="120"/>
      <c r="AP312" s="123"/>
      <c r="AQ312" s="122">
        <v>548431.93000000005</v>
      </c>
      <c r="AR312" s="122">
        <v>98.81</v>
      </c>
      <c r="AS312" s="122">
        <v>1</v>
      </c>
      <c r="AT312" s="122">
        <v>541.90558999999996</v>
      </c>
      <c r="AU312" s="122">
        <v>541.90558999999996</v>
      </c>
      <c r="AV312" s="120"/>
      <c r="AW312" s="120"/>
      <c r="AX312" s="120"/>
      <c r="AY312" s="120"/>
      <c r="AZ312" s="123">
        <v>1.8799999999999999E-4</v>
      </c>
      <c r="BA312" s="123">
        <v>9.0000000000000002E-6</v>
      </c>
    </row>
    <row r="313" spans="1:53" ht="15" customHeight="1">
      <c r="A313" s="121">
        <v>313</v>
      </c>
      <c r="B313" s="121">
        <v>313</v>
      </c>
      <c r="C313" s="121"/>
      <c r="D313" s="120"/>
      <c r="E313" s="120"/>
      <c r="F313" s="121">
        <v>50001011</v>
      </c>
      <c r="G313" s="120" t="s">
        <v>1013</v>
      </c>
      <c r="H313" s="120" t="s">
        <v>2617</v>
      </c>
      <c r="I313" s="120" t="s">
        <v>203</v>
      </c>
      <c r="J313" s="120"/>
      <c r="K313" s="120" t="s">
        <v>446</v>
      </c>
      <c r="L313" s="120" t="s">
        <v>338</v>
      </c>
      <c r="M313" s="120" t="s">
        <v>337</v>
      </c>
      <c r="N313" s="121"/>
      <c r="O313" s="124">
        <v>44357</v>
      </c>
      <c r="P313" s="120" t="s">
        <v>2621</v>
      </c>
      <c r="Q313" s="120" t="s">
        <v>414</v>
      </c>
      <c r="R313" s="120" t="s">
        <v>407</v>
      </c>
      <c r="S313" s="120" t="s">
        <v>1218</v>
      </c>
      <c r="T313" s="122">
        <v>8.19</v>
      </c>
      <c r="U313" s="120" t="s">
        <v>2613</v>
      </c>
      <c r="V313" s="123">
        <v>2.1097999999999999E-2</v>
      </c>
      <c r="W313" s="120"/>
      <c r="X313" s="120"/>
      <c r="Y313" s="123"/>
      <c r="Z313" s="123">
        <v>3.5400000000000001E-2</v>
      </c>
      <c r="AA313" s="124">
        <v>51940</v>
      </c>
      <c r="AB313" s="120" t="s">
        <v>411</v>
      </c>
      <c r="AC313" s="120"/>
      <c r="AD313" s="122"/>
      <c r="AE313" s="123"/>
      <c r="AF313" s="124">
        <v>45108</v>
      </c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45838</v>
      </c>
      <c r="AO313" s="120"/>
      <c r="AP313" s="123"/>
      <c r="AQ313" s="122">
        <v>142728.23000000001</v>
      </c>
      <c r="AR313" s="122">
        <v>103.33</v>
      </c>
      <c r="AS313" s="122">
        <v>1</v>
      </c>
      <c r="AT313" s="122">
        <v>147.48107999999999</v>
      </c>
      <c r="AU313" s="122">
        <v>147.48107999999999</v>
      </c>
      <c r="AV313" s="120"/>
      <c r="AW313" s="120"/>
      <c r="AX313" s="120"/>
      <c r="AY313" s="120"/>
      <c r="AZ313" s="123">
        <v>5.1E-5</v>
      </c>
      <c r="BA313" s="123">
        <v>1.9999999999999999E-6</v>
      </c>
    </row>
    <row r="314" spans="1:53" ht="15" customHeight="1">
      <c r="A314" s="121">
        <v>313</v>
      </c>
      <c r="B314" s="121">
        <v>313</v>
      </c>
      <c r="C314" s="121"/>
      <c r="D314" s="120"/>
      <c r="E314" s="120"/>
      <c r="F314" s="121">
        <v>50001014</v>
      </c>
      <c r="G314" s="120" t="s">
        <v>1013</v>
      </c>
      <c r="H314" s="120" t="s">
        <v>2617</v>
      </c>
      <c r="I314" s="120" t="s">
        <v>203</v>
      </c>
      <c r="J314" s="120"/>
      <c r="K314" s="120" t="s">
        <v>446</v>
      </c>
      <c r="L314" s="120" t="s">
        <v>338</v>
      </c>
      <c r="M314" s="120" t="s">
        <v>337</v>
      </c>
      <c r="N314" s="121"/>
      <c r="O314" s="124">
        <v>44402</v>
      </c>
      <c r="P314" s="120" t="s">
        <v>2621</v>
      </c>
      <c r="Q314" s="120" t="s">
        <v>414</v>
      </c>
      <c r="R314" s="120" t="s">
        <v>407</v>
      </c>
      <c r="S314" s="120" t="s">
        <v>1218</v>
      </c>
      <c r="T314" s="122">
        <v>8.19</v>
      </c>
      <c r="U314" s="120" t="s">
        <v>2613</v>
      </c>
      <c r="V314" s="123">
        <v>2.1395000000000001E-2</v>
      </c>
      <c r="W314" s="120"/>
      <c r="X314" s="120"/>
      <c r="Y314" s="123"/>
      <c r="Z314" s="123">
        <v>3.5299999999999998E-2</v>
      </c>
      <c r="AA314" s="124">
        <v>51940</v>
      </c>
      <c r="AB314" s="120" t="s">
        <v>411</v>
      </c>
      <c r="AC314" s="120"/>
      <c r="AD314" s="122"/>
      <c r="AE314" s="123"/>
      <c r="AF314" s="124">
        <v>45108</v>
      </c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45838</v>
      </c>
      <c r="AO314" s="120"/>
      <c r="AP314" s="123"/>
      <c r="AQ314" s="122">
        <v>397696.61</v>
      </c>
      <c r="AR314" s="122">
        <v>103.2</v>
      </c>
      <c r="AS314" s="122">
        <v>1</v>
      </c>
      <c r="AT314" s="122">
        <v>410.42290000000003</v>
      </c>
      <c r="AU314" s="122">
        <v>410.42290000000003</v>
      </c>
      <c r="AV314" s="120"/>
      <c r="AW314" s="120"/>
      <c r="AX314" s="120"/>
      <c r="AY314" s="120"/>
      <c r="AZ314" s="123">
        <v>1.4200000000000001E-4</v>
      </c>
      <c r="BA314" s="123">
        <v>6.0000000000000002E-6</v>
      </c>
    </row>
    <row r="315" spans="1:53" ht="15" customHeight="1">
      <c r="A315" s="121">
        <v>313</v>
      </c>
      <c r="B315" s="121">
        <v>313</v>
      </c>
      <c r="C315" s="121"/>
      <c r="D315" s="120"/>
      <c r="E315" s="120"/>
      <c r="F315" s="121">
        <v>50001015</v>
      </c>
      <c r="G315" s="120" t="s">
        <v>1013</v>
      </c>
      <c r="H315" s="120" t="s">
        <v>2624</v>
      </c>
      <c r="I315" s="120" t="s">
        <v>203</v>
      </c>
      <c r="J315" s="120"/>
      <c r="K315" s="120" t="s">
        <v>446</v>
      </c>
      <c r="L315" s="120" t="s">
        <v>338</v>
      </c>
      <c r="M315" s="120" t="s">
        <v>337</v>
      </c>
      <c r="N315" s="121"/>
      <c r="O315" s="124">
        <v>44402</v>
      </c>
      <c r="P315" s="120" t="s">
        <v>2621</v>
      </c>
      <c r="Q315" s="120" t="s">
        <v>414</v>
      </c>
      <c r="R315" s="120" t="s">
        <v>407</v>
      </c>
      <c r="S315" s="120" t="s">
        <v>1218</v>
      </c>
      <c r="T315" s="122">
        <v>17.72</v>
      </c>
      <c r="U315" s="120" t="s">
        <v>2613</v>
      </c>
      <c r="V315" s="123">
        <v>2.8568E-2</v>
      </c>
      <c r="W315" s="120"/>
      <c r="X315" s="120"/>
      <c r="Y315" s="123"/>
      <c r="Z315" s="123">
        <v>3.8699999999999998E-2</v>
      </c>
      <c r="AA315" s="124">
        <v>52305</v>
      </c>
      <c r="AB315" s="120" t="s">
        <v>411</v>
      </c>
      <c r="AC315" s="120"/>
      <c r="AD315" s="122"/>
      <c r="AE315" s="123"/>
      <c r="AF315" s="124">
        <v>45108</v>
      </c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45838</v>
      </c>
      <c r="AO315" s="120"/>
      <c r="AP315" s="123"/>
      <c r="AQ315" s="122">
        <v>384793.46</v>
      </c>
      <c r="AR315" s="122">
        <v>97.56</v>
      </c>
      <c r="AS315" s="122">
        <v>1</v>
      </c>
      <c r="AT315" s="122">
        <v>375.40449999999998</v>
      </c>
      <c r="AU315" s="122">
        <v>375.40449999999998</v>
      </c>
      <c r="AV315" s="120"/>
      <c r="AW315" s="120"/>
      <c r="AX315" s="120"/>
      <c r="AY315" s="120"/>
      <c r="AZ315" s="123">
        <v>1.2999999999999999E-4</v>
      </c>
      <c r="BA315" s="123">
        <v>6.0000000000000002E-6</v>
      </c>
    </row>
    <row r="316" spans="1:53" ht="15" customHeight="1">
      <c r="A316" s="121">
        <v>313</v>
      </c>
      <c r="B316" s="121">
        <v>313</v>
      </c>
      <c r="C316" s="121"/>
      <c r="D316" s="120"/>
      <c r="E316" s="120"/>
      <c r="F316" s="121">
        <v>50001017</v>
      </c>
      <c r="G316" s="120" t="s">
        <v>1013</v>
      </c>
      <c r="H316" s="120" t="s">
        <v>2617</v>
      </c>
      <c r="I316" s="120" t="s">
        <v>203</v>
      </c>
      <c r="J316" s="120"/>
      <c r="K316" s="120" t="s">
        <v>446</v>
      </c>
      <c r="L316" s="120" t="s">
        <v>338</v>
      </c>
      <c r="M316" s="120" t="s">
        <v>337</v>
      </c>
      <c r="N316" s="121"/>
      <c r="O316" s="124">
        <v>44426</v>
      </c>
      <c r="P316" s="120" t="s">
        <v>2621</v>
      </c>
      <c r="Q316" s="120" t="s">
        <v>414</v>
      </c>
      <c r="R316" s="120" t="s">
        <v>407</v>
      </c>
      <c r="S316" s="120" t="s">
        <v>1218</v>
      </c>
      <c r="T316" s="122">
        <v>8.2100000000000009</v>
      </c>
      <c r="U316" s="120" t="s">
        <v>2613</v>
      </c>
      <c r="V316" s="123">
        <v>2.0329E-2</v>
      </c>
      <c r="W316" s="120"/>
      <c r="X316" s="120"/>
      <c r="Y316" s="123"/>
      <c r="Z316" s="123">
        <v>3.5400000000000001E-2</v>
      </c>
      <c r="AA316" s="124">
        <v>51940</v>
      </c>
      <c r="AB316" s="120" t="s">
        <v>411</v>
      </c>
      <c r="AC316" s="120"/>
      <c r="AD316" s="122"/>
      <c r="AE316" s="123"/>
      <c r="AF316" s="124">
        <v>45108</v>
      </c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45838</v>
      </c>
      <c r="AO316" s="120"/>
      <c r="AP316" s="123"/>
      <c r="AQ316" s="122">
        <v>223897.47</v>
      </c>
      <c r="AR316" s="122">
        <v>101.76</v>
      </c>
      <c r="AS316" s="122">
        <v>1</v>
      </c>
      <c r="AT316" s="122">
        <v>227.83806999999999</v>
      </c>
      <c r="AU316" s="122">
        <v>227.83806999999999</v>
      </c>
      <c r="AV316" s="120"/>
      <c r="AW316" s="120"/>
      <c r="AX316" s="120"/>
      <c r="AY316" s="120"/>
      <c r="AZ316" s="123">
        <v>7.8999999999999996E-5</v>
      </c>
      <c r="BA316" s="123">
        <v>3.0000000000000001E-6</v>
      </c>
    </row>
    <row r="317" spans="1:53" ht="15" customHeight="1">
      <c r="A317" s="121">
        <v>313</v>
      </c>
      <c r="B317" s="121">
        <v>313</v>
      </c>
      <c r="C317" s="121"/>
      <c r="D317" s="120"/>
      <c r="E317" s="120"/>
      <c r="F317" s="121">
        <v>50001018</v>
      </c>
      <c r="G317" s="120" t="s">
        <v>1013</v>
      </c>
      <c r="H317" s="120" t="s">
        <v>2624</v>
      </c>
      <c r="I317" s="120" t="s">
        <v>203</v>
      </c>
      <c r="J317" s="120"/>
      <c r="K317" s="120" t="s">
        <v>446</v>
      </c>
      <c r="L317" s="120" t="s">
        <v>338</v>
      </c>
      <c r="M317" s="120" t="s">
        <v>337</v>
      </c>
      <c r="N317" s="121"/>
      <c r="O317" s="124">
        <v>44426</v>
      </c>
      <c r="P317" s="120" t="s">
        <v>2621</v>
      </c>
      <c r="Q317" s="120" t="s">
        <v>414</v>
      </c>
      <c r="R317" s="120" t="s">
        <v>407</v>
      </c>
      <c r="S317" s="120" t="s">
        <v>1218</v>
      </c>
      <c r="T317" s="122">
        <v>17.72</v>
      </c>
      <c r="U317" s="120" t="s">
        <v>2613</v>
      </c>
      <c r="V317" s="123">
        <v>2.8376999999999999E-2</v>
      </c>
      <c r="W317" s="120"/>
      <c r="X317" s="120"/>
      <c r="Y317" s="123"/>
      <c r="Z317" s="123">
        <v>3.85E-2</v>
      </c>
      <c r="AA317" s="124">
        <v>52305</v>
      </c>
      <c r="AB317" s="120" t="s">
        <v>411</v>
      </c>
      <c r="AC317" s="120"/>
      <c r="AD317" s="122"/>
      <c r="AE317" s="123"/>
      <c r="AF317" s="124">
        <v>45108</v>
      </c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45838</v>
      </c>
      <c r="AO317" s="120"/>
      <c r="AP317" s="123"/>
      <c r="AQ317" s="122">
        <v>216681.73</v>
      </c>
      <c r="AR317" s="122">
        <v>97.16</v>
      </c>
      <c r="AS317" s="122">
        <v>1</v>
      </c>
      <c r="AT317" s="122">
        <v>210.52797000000001</v>
      </c>
      <c r="AU317" s="122">
        <v>210.52797000000001</v>
      </c>
      <c r="AV317" s="120"/>
      <c r="AW317" s="120"/>
      <c r="AX317" s="120"/>
      <c r="AY317" s="120"/>
      <c r="AZ317" s="123">
        <v>7.2999999999999999E-5</v>
      </c>
      <c r="BA317" s="123">
        <v>3.0000000000000001E-6</v>
      </c>
    </row>
    <row r="318" spans="1:53" ht="15" customHeight="1">
      <c r="A318" s="121">
        <v>313</v>
      </c>
      <c r="B318" s="121">
        <v>313</v>
      </c>
      <c r="C318" s="121"/>
      <c r="D318" s="120"/>
      <c r="E318" s="120"/>
      <c r="F318" s="121">
        <v>50001019</v>
      </c>
      <c r="G318" s="120" t="s">
        <v>1013</v>
      </c>
      <c r="H318" s="120" t="s">
        <v>2617</v>
      </c>
      <c r="I318" s="120" t="s">
        <v>203</v>
      </c>
      <c r="J318" s="120"/>
      <c r="K318" s="120" t="s">
        <v>446</v>
      </c>
      <c r="L318" s="120" t="s">
        <v>338</v>
      </c>
      <c r="M318" s="120" t="s">
        <v>337</v>
      </c>
      <c r="N318" s="121"/>
      <c r="O318" s="124">
        <v>44452</v>
      </c>
      <c r="P318" s="120" t="s">
        <v>2621</v>
      </c>
      <c r="Q318" s="120" t="s">
        <v>414</v>
      </c>
      <c r="R318" s="120" t="s">
        <v>407</v>
      </c>
      <c r="S318" s="120" t="s">
        <v>1218</v>
      </c>
      <c r="T318" s="122">
        <v>8.24</v>
      </c>
      <c r="U318" s="120" t="s">
        <v>2613</v>
      </c>
      <c r="V318" s="123">
        <v>1.9311999999999999E-2</v>
      </c>
      <c r="W318" s="120"/>
      <c r="X318" s="120"/>
      <c r="Y318" s="123"/>
      <c r="Z318" s="123">
        <v>3.5200000000000002E-2</v>
      </c>
      <c r="AA318" s="124">
        <v>51940</v>
      </c>
      <c r="AB318" s="120" t="s">
        <v>411</v>
      </c>
      <c r="AC318" s="120"/>
      <c r="AD318" s="122"/>
      <c r="AE318" s="123"/>
      <c r="AF318" s="124">
        <v>45108</v>
      </c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45838</v>
      </c>
      <c r="AO318" s="120"/>
      <c r="AP318" s="123"/>
      <c r="AQ318" s="122">
        <v>98326.29</v>
      </c>
      <c r="AR318" s="122">
        <v>101</v>
      </c>
      <c r="AS318" s="122">
        <v>1</v>
      </c>
      <c r="AT318" s="122">
        <v>99.309550000000002</v>
      </c>
      <c r="AU318" s="122">
        <v>99.309550000000002</v>
      </c>
      <c r="AV318" s="120"/>
      <c r="AW318" s="120"/>
      <c r="AX318" s="120"/>
      <c r="AY318" s="120"/>
      <c r="AZ318" s="123">
        <v>3.4E-5</v>
      </c>
      <c r="BA318" s="123">
        <v>9.9999999999999995E-7</v>
      </c>
    </row>
    <row r="319" spans="1:53" ht="15" customHeight="1">
      <c r="A319" s="121">
        <v>313</v>
      </c>
      <c r="B319" s="121">
        <v>313</v>
      </c>
      <c r="C319" s="121"/>
      <c r="D319" s="120"/>
      <c r="E319" s="120"/>
      <c r="F319" s="121">
        <v>50001012</v>
      </c>
      <c r="G319" s="120" t="s">
        <v>1013</v>
      </c>
      <c r="H319" s="120" t="s">
        <v>2624</v>
      </c>
      <c r="I319" s="120" t="s">
        <v>203</v>
      </c>
      <c r="J319" s="120"/>
      <c r="K319" s="120" t="s">
        <v>446</v>
      </c>
      <c r="L319" s="120" t="s">
        <v>338</v>
      </c>
      <c r="M319" s="120" t="s">
        <v>337</v>
      </c>
      <c r="N319" s="121"/>
      <c r="O319" s="124">
        <v>44357</v>
      </c>
      <c r="P319" s="120" t="s">
        <v>2621</v>
      </c>
      <c r="Q319" s="120" t="s">
        <v>414</v>
      </c>
      <c r="R319" s="120" t="s">
        <v>407</v>
      </c>
      <c r="S319" s="120" t="s">
        <v>1218</v>
      </c>
      <c r="T319" s="122">
        <v>17.72</v>
      </c>
      <c r="U319" s="120" t="s">
        <v>2613</v>
      </c>
      <c r="V319" s="123">
        <v>2.9551000000000001E-2</v>
      </c>
      <c r="W319" s="120"/>
      <c r="X319" s="120"/>
      <c r="Y319" s="123"/>
      <c r="Z319" s="123">
        <v>3.85E-2</v>
      </c>
      <c r="AA319" s="124">
        <v>52305</v>
      </c>
      <c r="AB319" s="120" t="s">
        <v>411</v>
      </c>
      <c r="AC319" s="120"/>
      <c r="AD319" s="122"/>
      <c r="AE319" s="123"/>
      <c r="AF319" s="124">
        <v>45108</v>
      </c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45838</v>
      </c>
      <c r="AO319" s="120"/>
      <c r="AP319" s="123"/>
      <c r="AQ319" s="122">
        <v>138825.67000000001</v>
      </c>
      <c r="AR319" s="122">
        <v>100.08</v>
      </c>
      <c r="AS319" s="122">
        <v>1</v>
      </c>
      <c r="AT319" s="122">
        <v>138.93673000000001</v>
      </c>
      <c r="AU319" s="122">
        <v>138.93673000000001</v>
      </c>
      <c r="AV319" s="120"/>
      <c r="AW319" s="120"/>
      <c r="AX319" s="120"/>
      <c r="AY319" s="120"/>
      <c r="AZ319" s="123">
        <v>4.8000000000000001E-5</v>
      </c>
      <c r="BA319" s="123">
        <v>1.9999999999999999E-6</v>
      </c>
    </row>
    <row r="320" spans="1:53" ht="15" customHeight="1">
      <c r="A320" s="121">
        <v>313</v>
      </c>
      <c r="B320" s="121">
        <v>313</v>
      </c>
      <c r="C320" s="121"/>
      <c r="D320" s="120"/>
      <c r="E320" s="120"/>
      <c r="F320" s="121">
        <v>50000504</v>
      </c>
      <c r="G320" s="120" t="s">
        <v>1013</v>
      </c>
      <c r="H320" s="120" t="s">
        <v>812</v>
      </c>
      <c r="I320" s="120" t="s">
        <v>203</v>
      </c>
      <c r="J320" s="120"/>
      <c r="K320" s="120" t="s">
        <v>454</v>
      </c>
      <c r="L320" s="120" t="s">
        <v>338</v>
      </c>
      <c r="M320" s="120" t="s">
        <v>338</v>
      </c>
      <c r="N320" s="121"/>
      <c r="O320" s="124">
        <v>43422</v>
      </c>
      <c r="P320" s="120" t="s">
        <v>1339</v>
      </c>
      <c r="Q320" s="120" t="s">
        <v>414</v>
      </c>
      <c r="R320" s="120" t="s">
        <v>407</v>
      </c>
      <c r="S320" s="120" t="s">
        <v>1218</v>
      </c>
      <c r="T320" s="122">
        <v>6.67</v>
      </c>
      <c r="U320" s="120" t="s">
        <v>2613</v>
      </c>
      <c r="V320" s="123">
        <v>3.4500000000000003E-2</v>
      </c>
      <c r="W320" s="120"/>
      <c r="X320" s="120"/>
      <c r="Y320" s="123"/>
      <c r="Z320" s="123">
        <v>2.8500000000000001E-2</v>
      </c>
      <c r="AA320" s="124">
        <v>51134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45838</v>
      </c>
      <c r="AO320" s="120"/>
      <c r="AP320" s="123"/>
      <c r="AQ320" s="122">
        <v>631193.46</v>
      </c>
      <c r="AR320" s="122">
        <v>121.26</v>
      </c>
      <c r="AS320" s="122">
        <v>1</v>
      </c>
      <c r="AT320" s="122">
        <v>765.38518999999997</v>
      </c>
      <c r="AU320" s="122">
        <v>765.38518999999997</v>
      </c>
      <c r="AV320" s="120"/>
      <c r="AW320" s="120"/>
      <c r="AX320" s="120"/>
      <c r="AY320" s="120"/>
      <c r="AZ320" s="123">
        <v>2.6600000000000001E-4</v>
      </c>
      <c r="BA320" s="123">
        <v>1.2E-5</v>
      </c>
    </row>
    <row r="321" spans="1:53" ht="15" customHeight="1">
      <c r="A321" s="121">
        <v>313</v>
      </c>
      <c r="B321" s="121">
        <v>313</v>
      </c>
      <c r="C321" s="121"/>
      <c r="D321" s="120"/>
      <c r="E321" s="120"/>
      <c r="F321" s="121">
        <v>50000405</v>
      </c>
      <c r="G321" s="120" t="s">
        <v>1013</v>
      </c>
      <c r="H321" s="120" t="s">
        <v>812</v>
      </c>
      <c r="I321" s="120" t="s">
        <v>203</v>
      </c>
      <c r="J321" s="120"/>
      <c r="K321" s="120" t="s">
        <v>454</v>
      </c>
      <c r="L321" s="120" t="s">
        <v>338</v>
      </c>
      <c r="M321" s="120" t="s">
        <v>338</v>
      </c>
      <c r="N321" s="121"/>
      <c r="O321" s="124">
        <v>43422</v>
      </c>
      <c r="P321" s="120" t="s">
        <v>2621</v>
      </c>
      <c r="Q321" s="120" t="s">
        <v>414</v>
      </c>
      <c r="R321" s="120" t="s">
        <v>407</v>
      </c>
      <c r="S321" s="120" t="s">
        <v>1218</v>
      </c>
      <c r="T321" s="122">
        <v>6.67</v>
      </c>
      <c r="U321" s="120" t="s">
        <v>2613</v>
      </c>
      <c r="V321" s="123">
        <v>3.4500000000000003E-2</v>
      </c>
      <c r="W321" s="120"/>
      <c r="X321" s="120"/>
      <c r="Y321" s="123"/>
      <c r="Z321" s="123">
        <v>2.8500000000000001E-2</v>
      </c>
      <c r="AA321" s="124">
        <v>51134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45838</v>
      </c>
      <c r="AO321" s="120"/>
      <c r="AP321" s="123"/>
      <c r="AQ321" s="122">
        <v>198877.88</v>
      </c>
      <c r="AR321" s="122">
        <v>121.26</v>
      </c>
      <c r="AS321" s="122">
        <v>1</v>
      </c>
      <c r="AT321" s="122">
        <v>241.15932000000001</v>
      </c>
      <c r="AU321" s="122">
        <v>241.15932000000001</v>
      </c>
      <c r="AV321" s="120"/>
      <c r="AW321" s="120"/>
      <c r="AX321" s="120"/>
      <c r="AY321" s="120"/>
      <c r="AZ321" s="123">
        <v>8.2999999999999998E-5</v>
      </c>
      <c r="BA321" s="123">
        <v>3.9999999999999998E-6</v>
      </c>
    </row>
    <row r="322" spans="1:53" ht="15" customHeight="1">
      <c r="A322" s="121">
        <v>313</v>
      </c>
      <c r="B322" s="121">
        <v>313</v>
      </c>
      <c r="C322" s="121"/>
      <c r="D322" s="120"/>
      <c r="E322" s="120"/>
      <c r="F322" s="121">
        <v>50000399</v>
      </c>
      <c r="G322" s="120" t="s">
        <v>1013</v>
      </c>
      <c r="H322" s="120" t="s">
        <v>812</v>
      </c>
      <c r="I322" s="120" t="s">
        <v>203</v>
      </c>
      <c r="J322" s="120"/>
      <c r="K322" s="120" t="s">
        <v>446</v>
      </c>
      <c r="L322" s="120" t="s">
        <v>338</v>
      </c>
      <c r="M322" s="120" t="s">
        <v>337</v>
      </c>
      <c r="N322" s="121"/>
      <c r="O322" s="124">
        <v>44280</v>
      </c>
      <c r="P322" s="120" t="s">
        <v>1335</v>
      </c>
      <c r="Q322" s="120" t="s">
        <v>414</v>
      </c>
      <c r="R322" s="120" t="s">
        <v>407</v>
      </c>
      <c r="S322" s="120" t="s">
        <v>1218</v>
      </c>
      <c r="T322" s="122">
        <v>10.039999999999999</v>
      </c>
      <c r="U322" s="120" t="s">
        <v>2613</v>
      </c>
      <c r="V322" s="123">
        <v>0.03</v>
      </c>
      <c r="W322" s="120"/>
      <c r="X322" s="120"/>
      <c r="Y322" s="123"/>
      <c r="Z322" s="123">
        <v>3.4099999999999998E-2</v>
      </c>
      <c r="AA322" s="124">
        <v>54239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45838</v>
      </c>
      <c r="AO322" s="120"/>
      <c r="AP322" s="123"/>
      <c r="AQ322" s="122">
        <v>5027091.78</v>
      </c>
      <c r="AR322" s="122">
        <v>112.62</v>
      </c>
      <c r="AS322" s="122">
        <v>1</v>
      </c>
      <c r="AT322" s="122">
        <v>5661.5107600000001</v>
      </c>
      <c r="AU322" s="122">
        <v>5661.5107600000001</v>
      </c>
      <c r="AV322" s="120"/>
      <c r="AW322" s="120"/>
      <c r="AX322" s="120"/>
      <c r="AY322" s="120"/>
      <c r="AZ322" s="123">
        <v>1.9710000000000001E-3</v>
      </c>
      <c r="BA322" s="123">
        <v>9.3999999999999994E-5</v>
      </c>
    </row>
    <row r="323" spans="1:53" ht="15" customHeight="1">
      <c r="A323" s="121">
        <v>313</v>
      </c>
      <c r="B323" s="121">
        <v>313</v>
      </c>
      <c r="C323" s="121"/>
      <c r="D323" s="120"/>
      <c r="E323" s="120"/>
      <c r="F323" s="121">
        <v>29116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40917</v>
      </c>
      <c r="P323" s="120" t="s">
        <v>1285</v>
      </c>
      <c r="Q323" s="120" t="s">
        <v>412</v>
      </c>
      <c r="R323" s="120" t="s">
        <v>407</v>
      </c>
      <c r="S323" s="120" t="s">
        <v>1218</v>
      </c>
      <c r="T323" s="122">
        <v>3.06</v>
      </c>
      <c r="U323" s="120" t="s">
        <v>2613</v>
      </c>
      <c r="V323" s="123">
        <v>5.6415E-2</v>
      </c>
      <c r="W323" s="120"/>
      <c r="X323" s="120"/>
      <c r="Y323" s="123"/>
      <c r="Z323" s="123">
        <v>2.9700000000000001E-2</v>
      </c>
      <c r="AA323" s="124">
        <v>47994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45838</v>
      </c>
      <c r="AO323" s="120"/>
      <c r="AP323" s="123"/>
      <c r="AQ323" s="122">
        <v>40434.949999999997</v>
      </c>
      <c r="AR323" s="122">
        <v>130.01</v>
      </c>
      <c r="AS323" s="122">
        <v>1</v>
      </c>
      <c r="AT323" s="122">
        <v>52.569479999999999</v>
      </c>
      <c r="AU323" s="122">
        <v>52.569479999999999</v>
      </c>
      <c r="AV323" s="120"/>
      <c r="AW323" s="120"/>
      <c r="AX323" s="120"/>
      <c r="AY323" s="120"/>
      <c r="AZ323" s="123">
        <v>1.8E-5</v>
      </c>
      <c r="BA323" s="123">
        <v>0</v>
      </c>
    </row>
    <row r="324" spans="1:53" ht="15" customHeight="1">
      <c r="A324" s="121">
        <v>313</v>
      </c>
      <c r="B324" s="121">
        <v>313</v>
      </c>
      <c r="C324" s="121"/>
      <c r="D324" s="120"/>
      <c r="E324" s="120"/>
      <c r="F324" s="121">
        <v>29124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40938</v>
      </c>
      <c r="P324" s="120" t="s">
        <v>1285</v>
      </c>
      <c r="Q324" s="120" t="s">
        <v>412</v>
      </c>
      <c r="R324" s="120" t="s">
        <v>407</v>
      </c>
      <c r="S324" s="120" t="s">
        <v>1218</v>
      </c>
      <c r="T324" s="122">
        <v>3.06</v>
      </c>
      <c r="U324" s="120" t="s">
        <v>2613</v>
      </c>
      <c r="V324" s="123">
        <v>5.5E-2</v>
      </c>
      <c r="W324" s="120"/>
      <c r="X324" s="120"/>
      <c r="Y324" s="123"/>
      <c r="Z324" s="123">
        <v>2.98E-2</v>
      </c>
      <c r="AA324" s="124">
        <v>47994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45838</v>
      </c>
      <c r="AO324" s="120"/>
      <c r="AP324" s="123"/>
      <c r="AQ324" s="122">
        <v>747823.21</v>
      </c>
      <c r="AR324" s="122">
        <v>129.44</v>
      </c>
      <c r="AS324" s="122">
        <v>1</v>
      </c>
      <c r="AT324" s="122">
        <v>967.98235999999997</v>
      </c>
      <c r="AU324" s="122">
        <v>967.98235999999997</v>
      </c>
      <c r="AV324" s="120"/>
      <c r="AW324" s="120"/>
      <c r="AX324" s="120"/>
      <c r="AY324" s="120"/>
      <c r="AZ324" s="123">
        <v>3.3700000000000001E-4</v>
      </c>
      <c r="BA324" s="123">
        <v>1.5999999999999999E-5</v>
      </c>
    </row>
    <row r="325" spans="1:53" ht="15" customHeight="1">
      <c r="A325" s="121">
        <v>313</v>
      </c>
      <c r="B325" s="121">
        <v>313</v>
      </c>
      <c r="C325" s="121"/>
      <c r="D325" s="120"/>
      <c r="E325" s="120"/>
      <c r="F325" s="121">
        <v>29132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40952</v>
      </c>
      <c r="P325" s="120" t="s">
        <v>1285</v>
      </c>
      <c r="Q325" s="120" t="s">
        <v>412</v>
      </c>
      <c r="R325" s="120" t="s">
        <v>407</v>
      </c>
      <c r="S325" s="120" t="s">
        <v>1218</v>
      </c>
      <c r="T325" s="122">
        <v>3.06</v>
      </c>
      <c r="U325" s="120" t="s">
        <v>2613</v>
      </c>
      <c r="V325" s="123">
        <v>5.5E-2</v>
      </c>
      <c r="W325" s="120"/>
      <c r="X325" s="120"/>
      <c r="Y325" s="123"/>
      <c r="Z325" s="123">
        <v>2.98E-2</v>
      </c>
      <c r="AA325" s="124">
        <v>47994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45838</v>
      </c>
      <c r="AO325" s="120"/>
      <c r="AP325" s="123"/>
      <c r="AQ325" s="122">
        <v>717468.87</v>
      </c>
      <c r="AR325" s="122">
        <v>129.44</v>
      </c>
      <c r="AS325" s="122">
        <v>1</v>
      </c>
      <c r="AT325" s="122">
        <v>928.69170999999994</v>
      </c>
      <c r="AU325" s="122">
        <v>928.69170999999994</v>
      </c>
      <c r="AV325" s="120"/>
      <c r="AW325" s="120"/>
      <c r="AX325" s="120"/>
      <c r="AY325" s="120"/>
      <c r="AZ325" s="123">
        <v>3.2299999999999999E-4</v>
      </c>
      <c r="BA325" s="123">
        <v>1.5E-5</v>
      </c>
    </row>
    <row r="326" spans="1:53" ht="15" customHeight="1">
      <c r="A326" s="121">
        <v>313</v>
      </c>
      <c r="B326" s="121">
        <v>313</v>
      </c>
      <c r="C326" s="121"/>
      <c r="D326" s="120"/>
      <c r="E326" s="120"/>
      <c r="F326" s="121">
        <v>29140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41018</v>
      </c>
      <c r="P326" s="120" t="s">
        <v>1285</v>
      </c>
      <c r="Q326" s="120" t="s">
        <v>412</v>
      </c>
      <c r="R326" s="120" t="s">
        <v>407</v>
      </c>
      <c r="S326" s="120" t="s">
        <v>1218</v>
      </c>
      <c r="T326" s="122">
        <v>3.06</v>
      </c>
      <c r="U326" s="120" t="s">
        <v>2613</v>
      </c>
      <c r="V326" s="123">
        <v>5.5094999999999998E-2</v>
      </c>
      <c r="W326" s="120"/>
      <c r="X326" s="120"/>
      <c r="Y326" s="123"/>
      <c r="Z326" s="123">
        <v>2.9700000000000001E-2</v>
      </c>
      <c r="AA326" s="124">
        <v>47994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45838</v>
      </c>
      <c r="AO326" s="120"/>
      <c r="AP326" s="123"/>
      <c r="AQ326" s="122">
        <v>157878.24</v>
      </c>
      <c r="AR326" s="122">
        <v>129.01</v>
      </c>
      <c r="AS326" s="122">
        <v>1</v>
      </c>
      <c r="AT326" s="122">
        <v>203.67872</v>
      </c>
      <c r="AU326" s="122">
        <v>203.67872</v>
      </c>
      <c r="AV326" s="120"/>
      <c r="AW326" s="120"/>
      <c r="AX326" s="120"/>
      <c r="AY326" s="120"/>
      <c r="AZ326" s="123">
        <v>6.9999999999999994E-5</v>
      </c>
      <c r="BA326" s="123">
        <v>3.0000000000000001E-6</v>
      </c>
    </row>
    <row r="327" spans="1:53" ht="15" customHeight="1">
      <c r="A327" s="121">
        <v>313</v>
      </c>
      <c r="B327" s="121">
        <v>313</v>
      </c>
      <c r="C327" s="121"/>
      <c r="D327" s="120"/>
      <c r="E327" s="120"/>
      <c r="F327" s="121">
        <v>29157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41032</v>
      </c>
      <c r="P327" s="120" t="s">
        <v>1285</v>
      </c>
      <c r="Q327" s="120" t="s">
        <v>412</v>
      </c>
      <c r="R327" s="120" t="s">
        <v>407</v>
      </c>
      <c r="S327" s="120" t="s">
        <v>1218</v>
      </c>
      <c r="T327" s="122">
        <v>3.06</v>
      </c>
      <c r="U327" s="120" t="s">
        <v>2613</v>
      </c>
      <c r="V327" s="123">
        <v>5.5062E-2</v>
      </c>
      <c r="W327" s="120"/>
      <c r="X327" s="120"/>
      <c r="Y327" s="123"/>
      <c r="Z327" s="123">
        <v>2.98E-2</v>
      </c>
      <c r="AA327" s="124">
        <v>47994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45838</v>
      </c>
      <c r="AO327" s="120"/>
      <c r="AP327" s="123"/>
      <c r="AQ327" s="122">
        <v>740285.39</v>
      </c>
      <c r="AR327" s="122">
        <v>128.96</v>
      </c>
      <c r="AS327" s="122">
        <v>1</v>
      </c>
      <c r="AT327" s="122">
        <v>954.67204000000004</v>
      </c>
      <c r="AU327" s="122">
        <v>954.67204000000004</v>
      </c>
      <c r="AV327" s="120"/>
      <c r="AW327" s="120"/>
      <c r="AX327" s="120"/>
      <c r="AY327" s="120"/>
      <c r="AZ327" s="123">
        <v>3.3199999999999999E-4</v>
      </c>
      <c r="BA327" s="123">
        <v>1.5E-5</v>
      </c>
    </row>
    <row r="328" spans="1:53" ht="15" customHeight="1">
      <c r="A328" s="121">
        <v>313</v>
      </c>
      <c r="B328" s="121">
        <v>313</v>
      </c>
      <c r="C328" s="121"/>
      <c r="D328" s="120"/>
      <c r="E328" s="120"/>
      <c r="F328" s="121">
        <v>29108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40891</v>
      </c>
      <c r="P328" s="120" t="s">
        <v>1285</v>
      </c>
      <c r="Q328" s="120" t="s">
        <v>412</v>
      </c>
      <c r="R328" s="120" t="s">
        <v>407</v>
      </c>
      <c r="S328" s="120" t="s">
        <v>1218</v>
      </c>
      <c r="T328" s="122">
        <v>3.06</v>
      </c>
      <c r="U328" s="120" t="s">
        <v>2613</v>
      </c>
      <c r="V328" s="123">
        <v>5.6691999999999999E-2</v>
      </c>
      <c r="W328" s="120"/>
      <c r="X328" s="120"/>
      <c r="Y328" s="123"/>
      <c r="Z328" s="123">
        <v>2.98E-2</v>
      </c>
      <c r="AA328" s="124">
        <v>47994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45838</v>
      </c>
      <c r="AO328" s="120"/>
      <c r="AP328" s="123"/>
      <c r="AQ328" s="122">
        <v>728184.21</v>
      </c>
      <c r="AR328" s="122">
        <v>129.96</v>
      </c>
      <c r="AS328" s="122">
        <v>1</v>
      </c>
      <c r="AT328" s="122">
        <v>946.34820000000002</v>
      </c>
      <c r="AU328" s="122">
        <v>946.34820000000002</v>
      </c>
      <c r="AV328" s="120"/>
      <c r="AW328" s="120"/>
      <c r="AX328" s="120"/>
      <c r="AY328" s="120"/>
      <c r="AZ328" s="123">
        <v>3.2899999999999997E-4</v>
      </c>
      <c r="BA328" s="123">
        <v>1.5E-5</v>
      </c>
    </row>
    <row r="329" spans="1:53" ht="15" customHeight="1">
      <c r="A329" s="121">
        <v>313</v>
      </c>
      <c r="B329" s="121">
        <v>313</v>
      </c>
      <c r="C329" s="121"/>
      <c r="D329" s="120"/>
      <c r="E329" s="120"/>
      <c r="F329" s="121">
        <v>29165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41057</v>
      </c>
      <c r="P329" s="120" t="s">
        <v>1285</v>
      </c>
      <c r="Q329" s="120" t="s">
        <v>412</v>
      </c>
      <c r="R329" s="120" t="s">
        <v>407</v>
      </c>
      <c r="S329" s="120" t="s">
        <v>1218</v>
      </c>
      <c r="T329" s="122">
        <v>3.06</v>
      </c>
      <c r="U329" s="120" t="s">
        <v>2613</v>
      </c>
      <c r="V329" s="123">
        <v>5.5E-2</v>
      </c>
      <c r="W329" s="120"/>
      <c r="X329" s="120"/>
      <c r="Y329" s="123"/>
      <c r="Z329" s="123">
        <v>2.98E-2</v>
      </c>
      <c r="AA329" s="124">
        <v>47994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45838</v>
      </c>
      <c r="AO329" s="120"/>
      <c r="AP329" s="123"/>
      <c r="AQ329" s="122">
        <v>721558.94</v>
      </c>
      <c r="AR329" s="122">
        <v>127.84</v>
      </c>
      <c r="AS329" s="122">
        <v>1</v>
      </c>
      <c r="AT329" s="122">
        <v>922.44095000000004</v>
      </c>
      <c r="AU329" s="122">
        <v>922.44095000000004</v>
      </c>
      <c r="AV329" s="120"/>
      <c r="AW329" s="120"/>
      <c r="AX329" s="120"/>
      <c r="AY329" s="120"/>
      <c r="AZ329" s="123">
        <v>3.21E-4</v>
      </c>
      <c r="BA329" s="123">
        <v>1.5E-5</v>
      </c>
    </row>
    <row r="330" spans="1:53" ht="15" customHeight="1">
      <c r="A330" s="121">
        <v>313</v>
      </c>
      <c r="B330" s="121">
        <v>313</v>
      </c>
      <c r="C330" s="121"/>
      <c r="D330" s="120"/>
      <c r="E330" s="120"/>
      <c r="F330" s="121">
        <v>33084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40871</v>
      </c>
      <c r="P330" s="120" t="s">
        <v>1285</v>
      </c>
      <c r="Q330" s="120" t="s">
        <v>412</v>
      </c>
      <c r="R330" s="120" t="s">
        <v>407</v>
      </c>
      <c r="S330" s="120" t="s">
        <v>1218</v>
      </c>
      <c r="T330" s="122">
        <v>3.06</v>
      </c>
      <c r="U330" s="120" t="s">
        <v>2613</v>
      </c>
      <c r="V330" s="123">
        <v>5.5888E-2</v>
      </c>
      <c r="W330" s="120"/>
      <c r="X330" s="120"/>
      <c r="Y330" s="123"/>
      <c r="Z330" s="123">
        <v>2.98E-2</v>
      </c>
      <c r="AA330" s="124">
        <v>47986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45838</v>
      </c>
      <c r="AO330" s="120"/>
      <c r="AP330" s="123"/>
      <c r="AQ330" s="122">
        <v>724859.02</v>
      </c>
      <c r="AR330" s="122">
        <v>129.65</v>
      </c>
      <c r="AS330" s="122">
        <v>1</v>
      </c>
      <c r="AT330" s="122">
        <v>939.77972</v>
      </c>
      <c r="AU330" s="122">
        <v>939.77972</v>
      </c>
      <c r="AV330" s="120"/>
      <c r="AW330" s="120"/>
      <c r="AX330" s="120"/>
      <c r="AY330" s="120"/>
      <c r="AZ330" s="123">
        <v>3.2699999999999998E-4</v>
      </c>
      <c r="BA330" s="123">
        <v>1.5E-5</v>
      </c>
    </row>
    <row r="331" spans="1:53" ht="15" customHeight="1">
      <c r="A331" s="121">
        <v>313</v>
      </c>
      <c r="B331" s="121">
        <v>313</v>
      </c>
      <c r="C331" s="121"/>
      <c r="D331" s="120"/>
      <c r="E331" s="120"/>
      <c r="F331" s="121">
        <v>33241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40993</v>
      </c>
      <c r="P331" s="120" t="s">
        <v>1285</v>
      </c>
      <c r="Q331" s="120" t="s">
        <v>412</v>
      </c>
      <c r="R331" s="120" t="s">
        <v>407</v>
      </c>
      <c r="S331" s="120" t="s">
        <v>1218</v>
      </c>
      <c r="T331" s="122">
        <v>3.06</v>
      </c>
      <c r="U331" s="120" t="s">
        <v>2613</v>
      </c>
      <c r="V331" s="123">
        <v>5.5452000000000001E-2</v>
      </c>
      <c r="W331" s="120"/>
      <c r="X331" s="120"/>
      <c r="Y331" s="123"/>
      <c r="Z331" s="123">
        <v>2.98E-2</v>
      </c>
      <c r="AA331" s="124">
        <v>47986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45838</v>
      </c>
      <c r="AO331" s="120"/>
      <c r="AP331" s="123"/>
      <c r="AQ331" s="122">
        <v>1697304.93</v>
      </c>
      <c r="AR331" s="122">
        <v>129.61000000000001</v>
      </c>
      <c r="AS331" s="122">
        <v>1</v>
      </c>
      <c r="AT331" s="122">
        <v>2199.8769200000002</v>
      </c>
      <c r="AU331" s="122">
        <v>2199.8769200000002</v>
      </c>
      <c r="AV331" s="120"/>
      <c r="AW331" s="120"/>
      <c r="AX331" s="120"/>
      <c r="AY331" s="120"/>
      <c r="AZ331" s="123">
        <v>7.6599999999999997E-4</v>
      </c>
      <c r="BA331" s="123">
        <v>3.6000000000000001E-5</v>
      </c>
    </row>
    <row r="332" spans="1:53" ht="15" customHeight="1">
      <c r="A332" s="121">
        <v>313</v>
      </c>
      <c r="B332" s="121">
        <v>313</v>
      </c>
      <c r="C332" s="121"/>
      <c r="D332" s="120"/>
      <c r="E332" s="120"/>
      <c r="F332" s="121">
        <v>33266</v>
      </c>
      <c r="G332" s="120" t="s">
        <v>1013</v>
      </c>
      <c r="H332" s="120" t="s">
        <v>812</v>
      </c>
      <c r="I332" s="120" t="s">
        <v>203</v>
      </c>
      <c r="J332" s="120"/>
      <c r="K332" s="120" t="s">
        <v>484</v>
      </c>
      <c r="L332" s="120" t="s">
        <v>338</v>
      </c>
      <c r="M332" s="120" t="s">
        <v>337</v>
      </c>
      <c r="N332" s="121"/>
      <c r="O332" s="124">
        <v>40903</v>
      </c>
      <c r="P332" s="120" t="s">
        <v>1285</v>
      </c>
      <c r="Q332" s="120" t="s">
        <v>412</v>
      </c>
      <c r="R332" s="120" t="s">
        <v>407</v>
      </c>
      <c r="S332" s="120" t="s">
        <v>1218</v>
      </c>
      <c r="T332" s="122">
        <v>3.06</v>
      </c>
      <c r="U332" s="120" t="s">
        <v>2613</v>
      </c>
      <c r="V332" s="123">
        <v>5.6619999999999997E-2</v>
      </c>
      <c r="W332" s="120"/>
      <c r="X332" s="120"/>
      <c r="Y332" s="123"/>
      <c r="Z332" s="123">
        <v>3.0599999999999999E-2</v>
      </c>
      <c r="AA332" s="124">
        <v>47986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45838</v>
      </c>
      <c r="AO332" s="120"/>
      <c r="AP332" s="123"/>
      <c r="AQ332" s="122">
        <v>684707.63</v>
      </c>
      <c r="AR332" s="122">
        <v>129.76</v>
      </c>
      <c r="AS332" s="122">
        <v>1</v>
      </c>
      <c r="AT332" s="122">
        <v>888.47662000000003</v>
      </c>
      <c r="AU332" s="122">
        <v>888.47662000000003</v>
      </c>
      <c r="AV332" s="120"/>
      <c r="AW332" s="120"/>
      <c r="AX332" s="120"/>
      <c r="AY332" s="120"/>
      <c r="AZ332" s="123">
        <v>3.0899999999999998E-4</v>
      </c>
      <c r="BA332" s="123">
        <v>1.4E-5</v>
      </c>
    </row>
    <row r="333" spans="1:53" ht="15" customHeight="1">
      <c r="A333" s="121">
        <v>313</v>
      </c>
      <c r="B333" s="121">
        <v>313</v>
      </c>
      <c r="C333" s="121"/>
      <c r="D333" s="120"/>
      <c r="E333" s="120"/>
      <c r="F333" s="121">
        <v>33290</v>
      </c>
      <c r="G333" s="120" t="s">
        <v>1013</v>
      </c>
      <c r="H333" s="120" t="s">
        <v>812</v>
      </c>
      <c r="I333" s="120" t="s">
        <v>203</v>
      </c>
      <c r="J333" s="120"/>
      <c r="K333" s="120" t="s">
        <v>484</v>
      </c>
      <c r="L333" s="120" t="s">
        <v>338</v>
      </c>
      <c r="M333" s="120" t="s">
        <v>337</v>
      </c>
      <c r="N333" s="121"/>
      <c r="O333" s="124">
        <v>40933</v>
      </c>
      <c r="P333" s="120" t="s">
        <v>1285</v>
      </c>
      <c r="Q333" s="120" t="s">
        <v>412</v>
      </c>
      <c r="R333" s="120" t="s">
        <v>407</v>
      </c>
      <c r="S333" s="120" t="s">
        <v>1218</v>
      </c>
      <c r="T333" s="122">
        <v>3.07</v>
      </c>
      <c r="U333" s="120" t="s">
        <v>2613</v>
      </c>
      <c r="V333" s="123">
        <v>5.5309999999999998E-2</v>
      </c>
      <c r="W333" s="120"/>
      <c r="X333" s="120"/>
      <c r="Y333" s="123"/>
      <c r="Z333" s="123">
        <v>2.98E-2</v>
      </c>
      <c r="AA333" s="124">
        <v>47986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45838</v>
      </c>
      <c r="AO333" s="120"/>
      <c r="AP333" s="123"/>
      <c r="AQ333" s="122">
        <v>2615030.64</v>
      </c>
      <c r="AR333" s="122">
        <v>129.56</v>
      </c>
      <c r="AS333" s="122">
        <v>1</v>
      </c>
      <c r="AT333" s="122">
        <v>3388.0337</v>
      </c>
      <c r="AU333" s="122">
        <v>3388.0337</v>
      </c>
      <c r="AV333" s="120"/>
      <c r="AW333" s="120"/>
      <c r="AX333" s="120"/>
      <c r="AY333" s="120"/>
      <c r="AZ333" s="123">
        <v>1.1800000000000001E-3</v>
      </c>
      <c r="BA333" s="123">
        <v>5.5999999999999999E-5</v>
      </c>
    </row>
    <row r="334" spans="1:53" ht="15" customHeight="1">
      <c r="A334" s="121">
        <v>313</v>
      </c>
      <c r="B334" s="121">
        <v>313</v>
      </c>
      <c r="C334" s="121"/>
      <c r="D334" s="120"/>
      <c r="E334" s="120"/>
      <c r="F334" s="121">
        <v>33357</v>
      </c>
      <c r="G334" s="120" t="s">
        <v>1013</v>
      </c>
      <c r="H334" s="120" t="s">
        <v>812</v>
      </c>
      <c r="I334" s="120" t="s">
        <v>203</v>
      </c>
      <c r="J334" s="120"/>
      <c r="K334" s="120" t="s">
        <v>484</v>
      </c>
      <c r="L334" s="120" t="s">
        <v>338</v>
      </c>
      <c r="M334" s="120" t="s">
        <v>337</v>
      </c>
      <c r="N334" s="121"/>
      <c r="O334" s="124">
        <v>41053</v>
      </c>
      <c r="P334" s="120" t="s">
        <v>1285</v>
      </c>
      <c r="Q334" s="120" t="s">
        <v>412</v>
      </c>
      <c r="R334" s="120" t="s">
        <v>407</v>
      </c>
      <c r="S334" s="120" t="s">
        <v>1218</v>
      </c>
      <c r="T334" s="122">
        <v>3.07</v>
      </c>
      <c r="U334" s="120" t="s">
        <v>2613</v>
      </c>
      <c r="V334" s="123">
        <v>5.5E-2</v>
      </c>
      <c r="W334" s="120"/>
      <c r="X334" s="120"/>
      <c r="Y334" s="123"/>
      <c r="Z334" s="123">
        <v>2.98E-2</v>
      </c>
      <c r="AA334" s="124">
        <v>47986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45838</v>
      </c>
      <c r="AO334" s="120"/>
      <c r="AP334" s="123"/>
      <c r="AQ334" s="122">
        <v>1041291.89</v>
      </c>
      <c r="AR334" s="122">
        <v>127.84</v>
      </c>
      <c r="AS334" s="122">
        <v>1</v>
      </c>
      <c r="AT334" s="122">
        <v>1331.1875500000001</v>
      </c>
      <c r="AU334" s="122">
        <v>1331.1875500000001</v>
      </c>
      <c r="AV334" s="120"/>
      <c r="AW334" s="120"/>
      <c r="AX334" s="120"/>
      <c r="AY334" s="120"/>
      <c r="AZ334" s="123">
        <v>4.6299999999999998E-4</v>
      </c>
      <c r="BA334" s="123">
        <v>2.1999999999999999E-5</v>
      </c>
    </row>
    <row r="335" spans="1:53" ht="15" customHeight="1">
      <c r="A335" s="121">
        <v>313</v>
      </c>
      <c r="B335" s="121">
        <v>313</v>
      </c>
      <c r="C335" s="121"/>
      <c r="D335" s="120"/>
      <c r="E335" s="120"/>
      <c r="F335" s="121">
        <v>31021</v>
      </c>
      <c r="G335" s="120" t="s">
        <v>1013</v>
      </c>
      <c r="H335" s="120" t="s">
        <v>785</v>
      </c>
      <c r="I335" s="120" t="s">
        <v>203</v>
      </c>
      <c r="J335" s="120"/>
      <c r="K335" s="120" t="s">
        <v>463</v>
      </c>
      <c r="L335" s="120" t="s">
        <v>338</v>
      </c>
      <c r="M335" s="120" t="s">
        <v>338</v>
      </c>
      <c r="N335" s="121"/>
      <c r="O335" s="124">
        <v>42165</v>
      </c>
      <c r="P335" s="120" t="s">
        <v>1438</v>
      </c>
      <c r="Q335" s="120" t="s">
        <v>311</v>
      </c>
      <c r="R335" s="120" t="s">
        <v>407</v>
      </c>
      <c r="S335" s="120" t="s">
        <v>1218</v>
      </c>
      <c r="T335" s="122">
        <v>3.86</v>
      </c>
      <c r="U335" s="120" t="s">
        <v>2613</v>
      </c>
      <c r="V335" s="123">
        <v>2.8500000000000001E-2</v>
      </c>
      <c r="W335" s="120"/>
      <c r="X335" s="120"/>
      <c r="Y335" s="123"/>
      <c r="Z335" s="123">
        <v>2.4899999999999999E-2</v>
      </c>
      <c r="AA335" s="124">
        <v>47664</v>
      </c>
      <c r="AB335" s="120" t="s">
        <v>411</v>
      </c>
      <c r="AC335" s="120"/>
      <c r="AD335" s="122"/>
      <c r="AE335" s="123"/>
      <c r="AF335" s="124">
        <v>45261</v>
      </c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45838</v>
      </c>
      <c r="AO335" s="120"/>
      <c r="AP335" s="123"/>
      <c r="AQ335" s="122">
        <v>48779999.5</v>
      </c>
      <c r="AR335" s="122">
        <v>119.56</v>
      </c>
      <c r="AS335" s="122">
        <v>1</v>
      </c>
      <c r="AT335" s="122">
        <v>58321.367400000003</v>
      </c>
      <c r="AU335" s="122">
        <v>58321.367400000003</v>
      </c>
      <c r="AV335" s="120"/>
      <c r="AW335" s="120"/>
      <c r="AX335" s="120"/>
      <c r="AY335" s="120"/>
      <c r="AZ335" s="123">
        <v>2.0312E-2</v>
      </c>
      <c r="BA335" s="123">
        <v>9.7099999999999997E-4</v>
      </c>
    </row>
    <row r="336" spans="1:53" ht="15" customHeight="1">
      <c r="A336" s="121">
        <v>313</v>
      </c>
      <c r="B336" s="121">
        <v>313</v>
      </c>
      <c r="C336" s="121"/>
      <c r="D336" s="120"/>
      <c r="E336" s="120"/>
      <c r="F336" s="121">
        <v>34488</v>
      </c>
      <c r="G336" s="120" t="s">
        <v>1013</v>
      </c>
      <c r="H336" s="120" t="s">
        <v>812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1"/>
      <c r="O336" s="124">
        <v>41179</v>
      </c>
      <c r="P336" s="120" t="s">
        <v>1285</v>
      </c>
      <c r="Q336" s="120" t="s">
        <v>412</v>
      </c>
      <c r="R336" s="120" t="s">
        <v>407</v>
      </c>
      <c r="S336" s="120" t="s">
        <v>1218</v>
      </c>
      <c r="T336" s="122">
        <v>3.07</v>
      </c>
      <c r="U336" s="120" t="s">
        <v>2613</v>
      </c>
      <c r="V336" s="123">
        <v>5.5E-2</v>
      </c>
      <c r="W336" s="120"/>
      <c r="X336" s="120"/>
      <c r="Y336" s="123"/>
      <c r="Z336" s="123">
        <v>2.98E-2</v>
      </c>
      <c r="AA336" s="124">
        <v>47986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45838</v>
      </c>
      <c r="AO336" s="120"/>
      <c r="AP336" s="123"/>
      <c r="AQ336" s="122">
        <v>1113794.8700000001</v>
      </c>
      <c r="AR336" s="122">
        <v>126.75</v>
      </c>
      <c r="AS336" s="122">
        <v>1</v>
      </c>
      <c r="AT336" s="122">
        <v>1411.7349999999999</v>
      </c>
      <c r="AU336" s="122">
        <v>1411.7349999999999</v>
      </c>
      <c r="AV336" s="120"/>
      <c r="AW336" s="120"/>
      <c r="AX336" s="120"/>
      <c r="AY336" s="120"/>
      <c r="AZ336" s="123">
        <v>4.9100000000000001E-4</v>
      </c>
      <c r="BA336" s="123">
        <v>2.3E-5</v>
      </c>
    </row>
    <row r="337" spans="1:53" ht="15" customHeight="1">
      <c r="A337" s="121">
        <v>313</v>
      </c>
      <c r="B337" s="121">
        <v>313</v>
      </c>
      <c r="C337" s="121"/>
      <c r="D337" s="120"/>
      <c r="E337" s="120"/>
      <c r="F337" s="121">
        <v>29090</v>
      </c>
      <c r="G337" s="120" t="s">
        <v>1013</v>
      </c>
      <c r="H337" s="120" t="s">
        <v>812</v>
      </c>
      <c r="I337" s="120" t="s">
        <v>203</v>
      </c>
      <c r="J337" s="120"/>
      <c r="K337" s="120" t="s">
        <v>484</v>
      </c>
      <c r="L337" s="120" t="s">
        <v>338</v>
      </c>
      <c r="M337" s="120" t="s">
        <v>337</v>
      </c>
      <c r="N337" s="121"/>
      <c r="O337" s="124">
        <v>40883</v>
      </c>
      <c r="P337" s="120" t="s">
        <v>1285</v>
      </c>
      <c r="Q337" s="120" t="s">
        <v>412</v>
      </c>
      <c r="R337" s="120" t="s">
        <v>407</v>
      </c>
      <c r="S337" s="120" t="s">
        <v>1218</v>
      </c>
      <c r="T337" s="122">
        <v>3.06</v>
      </c>
      <c r="U337" s="120" t="s">
        <v>2613</v>
      </c>
      <c r="V337" s="123">
        <v>5.6809999999999999E-2</v>
      </c>
      <c r="W337" s="120"/>
      <c r="X337" s="120"/>
      <c r="Y337" s="123"/>
      <c r="Z337" s="123">
        <v>2.9700000000000001E-2</v>
      </c>
      <c r="AA337" s="124">
        <v>47994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45838</v>
      </c>
      <c r="AO337" s="120"/>
      <c r="AP337" s="123"/>
      <c r="AQ337" s="122">
        <v>67384.11</v>
      </c>
      <c r="AR337" s="122">
        <v>130.04</v>
      </c>
      <c r="AS337" s="122">
        <v>1</v>
      </c>
      <c r="AT337" s="122">
        <v>87.626300000000001</v>
      </c>
      <c r="AU337" s="122">
        <v>87.626300000000001</v>
      </c>
      <c r="AV337" s="120"/>
      <c r="AW337" s="120"/>
      <c r="AX337" s="120"/>
      <c r="AY337" s="120"/>
      <c r="AZ337" s="123">
        <v>3.0000000000000001E-5</v>
      </c>
      <c r="BA337" s="123">
        <v>9.9999999999999995E-7</v>
      </c>
    </row>
    <row r="338" spans="1:53" ht="15" customHeight="1">
      <c r="A338" s="121">
        <v>313</v>
      </c>
      <c r="B338" s="121">
        <v>313</v>
      </c>
      <c r="C338" s="121"/>
      <c r="D338" s="120"/>
      <c r="E338" s="120"/>
      <c r="F338" s="121">
        <v>29074</v>
      </c>
      <c r="G338" s="120" t="s">
        <v>1013</v>
      </c>
      <c r="H338" s="120" t="s">
        <v>812</v>
      </c>
      <c r="I338" s="120" t="s">
        <v>203</v>
      </c>
      <c r="J338" s="120"/>
      <c r="K338" s="120" t="s">
        <v>484</v>
      </c>
      <c r="L338" s="120" t="s">
        <v>338</v>
      </c>
      <c r="M338" s="120" t="s">
        <v>337</v>
      </c>
      <c r="N338" s="121"/>
      <c r="O338" s="124">
        <v>40841</v>
      </c>
      <c r="P338" s="120" t="s">
        <v>1285</v>
      </c>
      <c r="Q338" s="120" t="s">
        <v>412</v>
      </c>
      <c r="R338" s="120" t="s">
        <v>407</v>
      </c>
      <c r="S338" s="120" t="s">
        <v>1218</v>
      </c>
      <c r="T338" s="122">
        <v>3.06</v>
      </c>
      <c r="U338" s="120" t="s">
        <v>2613</v>
      </c>
      <c r="V338" s="123">
        <v>5.6919999999999998E-2</v>
      </c>
      <c r="W338" s="120"/>
      <c r="X338" s="120"/>
      <c r="Y338" s="123"/>
      <c r="Z338" s="123">
        <v>2.98E-2</v>
      </c>
      <c r="AA338" s="124">
        <v>47994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45838</v>
      </c>
      <c r="AO338" s="120"/>
      <c r="AP338" s="123"/>
      <c r="AQ338" s="122">
        <v>731344.13</v>
      </c>
      <c r="AR338" s="122">
        <v>130.16999999999999</v>
      </c>
      <c r="AS338" s="122">
        <v>1</v>
      </c>
      <c r="AT338" s="122">
        <v>951.99064999999996</v>
      </c>
      <c r="AU338" s="122">
        <v>951.99064999999996</v>
      </c>
      <c r="AV338" s="120"/>
      <c r="AW338" s="120"/>
      <c r="AX338" s="120"/>
      <c r="AY338" s="120"/>
      <c r="AZ338" s="123">
        <v>3.3100000000000002E-4</v>
      </c>
      <c r="BA338" s="123">
        <v>1.5E-5</v>
      </c>
    </row>
    <row r="339" spans="1:53" ht="15" customHeight="1">
      <c r="A339" s="121">
        <v>313</v>
      </c>
      <c r="B339" s="121">
        <v>313</v>
      </c>
      <c r="C339" s="121"/>
      <c r="D339" s="120"/>
      <c r="E339" s="120"/>
      <c r="F339" s="121">
        <v>24554</v>
      </c>
      <c r="G339" s="120" t="s">
        <v>1013</v>
      </c>
      <c r="H339" s="120" t="s">
        <v>812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1"/>
      <c r="O339" s="124">
        <v>40570</v>
      </c>
      <c r="P339" s="120" t="s">
        <v>1285</v>
      </c>
      <c r="Q339" s="120" t="s">
        <v>412</v>
      </c>
      <c r="R339" s="120" t="s">
        <v>407</v>
      </c>
      <c r="S339" s="120" t="s">
        <v>1218</v>
      </c>
      <c r="T339" s="122">
        <v>3.07</v>
      </c>
      <c r="U339" s="120" t="s">
        <v>2613</v>
      </c>
      <c r="V339" s="123">
        <v>5.5E-2</v>
      </c>
      <c r="W339" s="120"/>
      <c r="X339" s="120"/>
      <c r="Y339" s="123"/>
      <c r="Z339" s="123">
        <v>2.9700000000000001E-2</v>
      </c>
      <c r="AA339" s="124">
        <v>47986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45838</v>
      </c>
      <c r="AO339" s="120"/>
      <c r="AP339" s="123"/>
      <c r="AQ339" s="122">
        <v>13013832.310000001</v>
      </c>
      <c r="AR339" s="122">
        <v>132.28</v>
      </c>
      <c r="AS339" s="122">
        <v>1</v>
      </c>
      <c r="AT339" s="122">
        <v>17214.697380000001</v>
      </c>
      <c r="AU339" s="122">
        <v>17214.697380000001</v>
      </c>
      <c r="AV339" s="120"/>
      <c r="AW339" s="120"/>
      <c r="AX339" s="120"/>
      <c r="AY339" s="120"/>
      <c r="AZ339" s="123">
        <v>5.9950000000000003E-3</v>
      </c>
      <c r="BA339" s="123">
        <v>2.8600000000000001E-4</v>
      </c>
    </row>
    <row r="340" spans="1:53" ht="15" customHeight="1">
      <c r="A340" s="121">
        <v>313</v>
      </c>
      <c r="B340" s="121">
        <v>313</v>
      </c>
      <c r="C340" s="121"/>
      <c r="D340" s="120"/>
      <c r="E340" s="120"/>
      <c r="F340" s="121">
        <v>24794</v>
      </c>
      <c r="G340" s="120" t="s">
        <v>1013</v>
      </c>
      <c r="H340" s="120" t="s">
        <v>812</v>
      </c>
      <c r="I340" s="120" t="s">
        <v>203</v>
      </c>
      <c r="J340" s="120"/>
      <c r="K340" s="120" t="s">
        <v>484</v>
      </c>
      <c r="L340" s="120" t="s">
        <v>338</v>
      </c>
      <c r="M340" s="120" t="s">
        <v>337</v>
      </c>
      <c r="N340" s="121"/>
      <c r="O340" s="124">
        <v>41085</v>
      </c>
      <c r="P340" s="120" t="s">
        <v>1285</v>
      </c>
      <c r="Q340" s="120" t="s">
        <v>412</v>
      </c>
      <c r="R340" s="120" t="s">
        <v>407</v>
      </c>
      <c r="S340" s="120" t="s">
        <v>1218</v>
      </c>
      <c r="T340" s="122">
        <v>3.07</v>
      </c>
      <c r="U340" s="120" t="s">
        <v>2613</v>
      </c>
      <c r="V340" s="123">
        <v>5.5E-2</v>
      </c>
      <c r="W340" s="120"/>
      <c r="X340" s="120"/>
      <c r="Y340" s="123"/>
      <c r="Z340" s="123">
        <v>2.98E-2</v>
      </c>
      <c r="AA340" s="124">
        <v>47986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45838</v>
      </c>
      <c r="AO340" s="120"/>
      <c r="AP340" s="123"/>
      <c r="AQ340" s="122">
        <v>2050080.45</v>
      </c>
      <c r="AR340" s="122">
        <v>127.84</v>
      </c>
      <c r="AS340" s="122">
        <v>1</v>
      </c>
      <c r="AT340" s="122">
        <v>2620.82285</v>
      </c>
      <c r="AU340" s="122">
        <v>2620.82285</v>
      </c>
      <c r="AV340" s="120"/>
      <c r="AW340" s="120"/>
      <c r="AX340" s="120"/>
      <c r="AY340" s="120"/>
      <c r="AZ340" s="123">
        <v>9.1200000000000005E-4</v>
      </c>
      <c r="BA340" s="123">
        <v>4.3000000000000002E-5</v>
      </c>
    </row>
    <row r="341" spans="1:53" ht="15" customHeight="1">
      <c r="A341" s="121">
        <v>313</v>
      </c>
      <c r="B341" s="121">
        <v>313</v>
      </c>
      <c r="C341" s="121"/>
      <c r="D341" s="120"/>
      <c r="E341" s="120"/>
      <c r="F341" s="121">
        <v>24828</v>
      </c>
      <c r="G341" s="120" t="s">
        <v>1013</v>
      </c>
      <c r="H341" s="120" t="s">
        <v>812</v>
      </c>
      <c r="I341" s="120" t="s">
        <v>203</v>
      </c>
      <c r="J341" s="120"/>
      <c r="K341" s="120" t="s">
        <v>484</v>
      </c>
      <c r="L341" s="120" t="s">
        <v>338</v>
      </c>
      <c r="M341" s="120" t="s">
        <v>337</v>
      </c>
      <c r="N341" s="121"/>
      <c r="O341" s="124">
        <v>41115</v>
      </c>
      <c r="P341" s="120" t="s">
        <v>1285</v>
      </c>
      <c r="Q341" s="120" t="s">
        <v>412</v>
      </c>
      <c r="R341" s="120" t="s">
        <v>407</v>
      </c>
      <c r="S341" s="120" t="s">
        <v>1218</v>
      </c>
      <c r="T341" s="122">
        <v>3.07</v>
      </c>
      <c r="U341" s="120" t="s">
        <v>2613</v>
      </c>
      <c r="V341" s="123">
        <v>5.5E-2</v>
      </c>
      <c r="W341" s="120"/>
      <c r="X341" s="120"/>
      <c r="Y341" s="123"/>
      <c r="Z341" s="123">
        <v>2.98E-2</v>
      </c>
      <c r="AA341" s="124">
        <v>47986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45838</v>
      </c>
      <c r="AO341" s="120"/>
      <c r="AP341" s="123"/>
      <c r="AQ341" s="122">
        <v>879642.76</v>
      </c>
      <c r="AR341" s="122">
        <v>128.19999999999999</v>
      </c>
      <c r="AS341" s="122">
        <v>1</v>
      </c>
      <c r="AT341" s="122">
        <v>1127.7020199999999</v>
      </c>
      <c r="AU341" s="122">
        <v>1127.7020199999999</v>
      </c>
      <c r="AV341" s="120"/>
      <c r="AW341" s="120"/>
      <c r="AX341" s="120"/>
      <c r="AY341" s="120"/>
      <c r="AZ341" s="123">
        <v>3.9199999999999999E-4</v>
      </c>
      <c r="BA341" s="123">
        <v>1.8E-5</v>
      </c>
    </row>
    <row r="342" spans="1:53" ht="15" customHeight="1">
      <c r="A342" s="121">
        <v>313</v>
      </c>
      <c r="B342" s="121">
        <v>313</v>
      </c>
      <c r="C342" s="121"/>
      <c r="D342" s="120"/>
      <c r="E342" s="120"/>
      <c r="F342" s="121">
        <v>24851</v>
      </c>
      <c r="G342" s="120" t="s">
        <v>1013</v>
      </c>
      <c r="H342" s="120" t="s">
        <v>812</v>
      </c>
      <c r="I342" s="120" t="s">
        <v>203</v>
      </c>
      <c r="J342" s="120"/>
      <c r="K342" s="120" t="s">
        <v>484</v>
      </c>
      <c r="L342" s="120" t="s">
        <v>338</v>
      </c>
      <c r="M342" s="120" t="s">
        <v>337</v>
      </c>
      <c r="N342" s="121"/>
      <c r="O342" s="124">
        <v>41207</v>
      </c>
      <c r="P342" s="120" t="s">
        <v>1285</v>
      </c>
      <c r="Q342" s="120" t="s">
        <v>412</v>
      </c>
      <c r="R342" s="120" t="s">
        <v>407</v>
      </c>
      <c r="S342" s="120" t="s">
        <v>1218</v>
      </c>
      <c r="T342" s="122">
        <v>3.07</v>
      </c>
      <c r="U342" s="120" t="s">
        <v>2613</v>
      </c>
      <c r="V342" s="123">
        <v>5.5E-2</v>
      </c>
      <c r="W342" s="120"/>
      <c r="X342" s="120"/>
      <c r="Y342" s="123"/>
      <c r="Z342" s="123">
        <v>2.9700000000000001E-2</v>
      </c>
      <c r="AA342" s="124">
        <v>47986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45838</v>
      </c>
      <c r="AO342" s="120"/>
      <c r="AP342" s="123"/>
      <c r="AQ342" s="122">
        <v>254072.89</v>
      </c>
      <c r="AR342" s="122">
        <v>126.79</v>
      </c>
      <c r="AS342" s="122">
        <v>1</v>
      </c>
      <c r="AT342" s="122">
        <v>322.13902000000002</v>
      </c>
      <c r="AU342" s="122">
        <v>322.13902000000002</v>
      </c>
      <c r="AV342" s="120"/>
      <c r="AW342" s="120"/>
      <c r="AX342" s="120"/>
      <c r="AY342" s="120"/>
      <c r="AZ342" s="123">
        <v>1.12E-4</v>
      </c>
      <c r="BA342" s="123">
        <v>5.0000000000000004E-6</v>
      </c>
    </row>
    <row r="343" spans="1:53" ht="15" customHeight="1">
      <c r="A343" s="121">
        <v>313</v>
      </c>
      <c r="B343" s="121">
        <v>313</v>
      </c>
      <c r="C343" s="121"/>
      <c r="D343" s="120"/>
      <c r="E343" s="120"/>
      <c r="F343" s="121">
        <v>24869</v>
      </c>
      <c r="G343" s="120" t="s">
        <v>1013</v>
      </c>
      <c r="H343" s="120" t="s">
        <v>812</v>
      </c>
      <c r="I343" s="120" t="s">
        <v>203</v>
      </c>
      <c r="J343" s="120"/>
      <c r="K343" s="120" t="s">
        <v>484</v>
      </c>
      <c r="L343" s="120" t="s">
        <v>338</v>
      </c>
      <c r="M343" s="120" t="s">
        <v>337</v>
      </c>
      <c r="N343" s="121"/>
      <c r="O343" s="124">
        <v>41239</v>
      </c>
      <c r="P343" s="120" t="s">
        <v>1285</v>
      </c>
      <c r="Q343" s="120" t="s">
        <v>412</v>
      </c>
      <c r="R343" s="120" t="s">
        <v>407</v>
      </c>
      <c r="S343" s="120" t="s">
        <v>1218</v>
      </c>
      <c r="T343" s="122">
        <v>3.07</v>
      </c>
      <c r="U343" s="120" t="s">
        <v>2613</v>
      </c>
      <c r="V343" s="123">
        <v>5.5E-2</v>
      </c>
      <c r="W343" s="120"/>
      <c r="X343" s="120"/>
      <c r="Y343" s="123"/>
      <c r="Z343" s="123">
        <v>2.98E-2</v>
      </c>
      <c r="AA343" s="124">
        <v>47986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45838</v>
      </c>
      <c r="AO343" s="120"/>
      <c r="AP343" s="123"/>
      <c r="AQ343" s="122">
        <v>2240528.9500000002</v>
      </c>
      <c r="AR343" s="122">
        <v>126.99</v>
      </c>
      <c r="AS343" s="122">
        <v>1</v>
      </c>
      <c r="AT343" s="122">
        <v>2845.2477100000001</v>
      </c>
      <c r="AU343" s="122">
        <v>2845.2477100000001</v>
      </c>
      <c r="AV343" s="120"/>
      <c r="AW343" s="120"/>
      <c r="AX343" s="120"/>
      <c r="AY343" s="120"/>
      <c r="AZ343" s="123">
        <v>9.8999999999999999E-4</v>
      </c>
      <c r="BA343" s="123">
        <v>4.6999999999999997E-5</v>
      </c>
    </row>
    <row r="344" spans="1:53" ht="15" customHeight="1">
      <c r="A344" s="121">
        <v>313</v>
      </c>
      <c r="B344" s="121">
        <v>313</v>
      </c>
      <c r="C344" s="121"/>
      <c r="D344" s="120"/>
      <c r="E344" s="120"/>
      <c r="F344" s="121">
        <v>29082</v>
      </c>
      <c r="G344" s="120" t="s">
        <v>1013</v>
      </c>
      <c r="H344" s="120" t="s">
        <v>812</v>
      </c>
      <c r="I344" s="120" t="s">
        <v>203</v>
      </c>
      <c r="J344" s="120"/>
      <c r="K344" s="120" t="s">
        <v>484</v>
      </c>
      <c r="L344" s="120" t="s">
        <v>338</v>
      </c>
      <c r="M344" s="120" t="s">
        <v>337</v>
      </c>
      <c r="N344" s="121"/>
      <c r="O344" s="124">
        <v>40864</v>
      </c>
      <c r="P344" s="120" t="s">
        <v>1285</v>
      </c>
      <c r="Q344" s="120" t="s">
        <v>412</v>
      </c>
      <c r="R344" s="120" t="s">
        <v>407</v>
      </c>
      <c r="S344" s="120" t="s">
        <v>1218</v>
      </c>
      <c r="T344" s="122">
        <v>3.06</v>
      </c>
      <c r="U344" s="120" t="s">
        <v>2613</v>
      </c>
      <c r="V344" s="123">
        <v>5.5827000000000002E-2</v>
      </c>
      <c r="W344" s="120"/>
      <c r="X344" s="120"/>
      <c r="Y344" s="123"/>
      <c r="Z344" s="123">
        <v>2.9700000000000001E-2</v>
      </c>
      <c r="AA344" s="124">
        <v>47994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45838</v>
      </c>
      <c r="AO344" s="120"/>
      <c r="AP344" s="123"/>
      <c r="AQ344" s="122">
        <v>33465.120000000003</v>
      </c>
      <c r="AR344" s="122">
        <v>129.66</v>
      </c>
      <c r="AS344" s="122">
        <v>1</v>
      </c>
      <c r="AT344" s="122">
        <v>43.39087</v>
      </c>
      <c r="AU344" s="122">
        <v>43.39087</v>
      </c>
      <c r="AV344" s="120"/>
      <c r="AW344" s="120"/>
      <c r="AX344" s="120"/>
      <c r="AY344" s="120"/>
      <c r="AZ344" s="123">
        <v>1.5E-5</v>
      </c>
      <c r="BA344" s="123">
        <v>0</v>
      </c>
    </row>
    <row r="345" spans="1:53" ht="15" customHeight="1">
      <c r="A345" s="121">
        <v>313</v>
      </c>
      <c r="B345" s="121">
        <v>313</v>
      </c>
      <c r="C345" s="121"/>
      <c r="D345" s="120"/>
      <c r="E345" s="120"/>
      <c r="F345" s="121">
        <v>27276</v>
      </c>
      <c r="G345" s="120" t="s">
        <v>1013</v>
      </c>
      <c r="H345" s="120" t="s">
        <v>818</v>
      </c>
      <c r="I345" s="120" t="s">
        <v>203</v>
      </c>
      <c r="J345" s="120"/>
      <c r="K345" s="120" t="s">
        <v>444</v>
      </c>
      <c r="L345" s="120" t="s">
        <v>338</v>
      </c>
      <c r="M345" s="120" t="s">
        <v>338</v>
      </c>
      <c r="N345" s="121"/>
      <c r="O345" s="124">
        <v>42703</v>
      </c>
      <c r="P345" s="120" t="s">
        <v>1323</v>
      </c>
      <c r="Q345" s="120" t="s">
        <v>414</v>
      </c>
      <c r="R345" s="120" t="s">
        <v>407</v>
      </c>
      <c r="S345" s="120" t="s">
        <v>1218</v>
      </c>
      <c r="T345" s="122">
        <v>5.46</v>
      </c>
      <c r="U345" s="120" t="s">
        <v>2613</v>
      </c>
      <c r="V345" s="123">
        <v>2.784E-2</v>
      </c>
      <c r="W345" s="120"/>
      <c r="X345" s="120"/>
      <c r="Y345" s="123"/>
      <c r="Z345" s="123">
        <v>3.0300000000000001E-2</v>
      </c>
      <c r="AA345" s="124">
        <v>48030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45838</v>
      </c>
      <c r="AO345" s="120"/>
      <c r="AP345" s="123"/>
      <c r="AQ345" s="122">
        <v>25000000</v>
      </c>
      <c r="AR345" s="122">
        <v>119.67</v>
      </c>
      <c r="AS345" s="122">
        <v>1</v>
      </c>
      <c r="AT345" s="122">
        <v>29917.5</v>
      </c>
      <c r="AU345" s="122">
        <v>29917.5</v>
      </c>
      <c r="AV345" s="120"/>
      <c r="AW345" s="120"/>
      <c r="AX345" s="120"/>
      <c r="AY345" s="120"/>
      <c r="AZ345" s="123">
        <v>1.0418999999999999E-2</v>
      </c>
      <c r="BA345" s="123">
        <v>4.9799999999999996E-4</v>
      </c>
    </row>
    <row r="346" spans="1:53" ht="15" customHeight="1">
      <c r="A346" s="121">
        <v>313</v>
      </c>
      <c r="B346" s="121">
        <v>313</v>
      </c>
      <c r="C346" s="121"/>
      <c r="D346" s="120"/>
      <c r="E346" s="120"/>
      <c r="F346" s="121">
        <v>28415</v>
      </c>
      <c r="G346" s="120" t="s">
        <v>1013</v>
      </c>
      <c r="H346" s="120" t="s">
        <v>812</v>
      </c>
      <c r="I346" s="120" t="s">
        <v>203</v>
      </c>
      <c r="J346" s="120"/>
      <c r="K346" s="120" t="s">
        <v>484</v>
      </c>
      <c r="L346" s="120" t="s">
        <v>338</v>
      </c>
      <c r="M346" s="120" t="s">
        <v>337</v>
      </c>
      <c r="N346" s="121"/>
      <c r="O346" s="124">
        <v>41422</v>
      </c>
      <c r="P346" s="120" t="s">
        <v>1285</v>
      </c>
      <c r="Q346" s="120" t="s">
        <v>412</v>
      </c>
      <c r="R346" s="120" t="s">
        <v>407</v>
      </c>
      <c r="S346" s="120" t="s">
        <v>1218</v>
      </c>
      <c r="T346" s="122">
        <v>3.07</v>
      </c>
      <c r="U346" s="120" t="s">
        <v>2613</v>
      </c>
      <c r="V346" s="123">
        <v>5.5E-2</v>
      </c>
      <c r="W346" s="120"/>
      <c r="X346" s="120"/>
      <c r="Y346" s="123"/>
      <c r="Z346" s="123">
        <v>2.9700000000000001E-2</v>
      </c>
      <c r="AA346" s="124">
        <v>47986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45838</v>
      </c>
      <c r="AO346" s="120"/>
      <c r="AP346" s="123"/>
      <c r="AQ346" s="122">
        <v>306730.17</v>
      </c>
      <c r="AR346" s="122">
        <v>126.85</v>
      </c>
      <c r="AS346" s="122">
        <v>1</v>
      </c>
      <c r="AT346" s="122">
        <v>389.08722</v>
      </c>
      <c r="AU346" s="122">
        <v>389.08722</v>
      </c>
      <c r="AV346" s="120"/>
      <c r="AW346" s="120"/>
      <c r="AX346" s="120"/>
      <c r="AY346" s="120"/>
      <c r="AZ346" s="123">
        <v>1.35E-4</v>
      </c>
      <c r="BA346" s="123">
        <v>6.0000000000000002E-6</v>
      </c>
    </row>
    <row r="347" spans="1:53" ht="15" customHeight="1">
      <c r="A347" s="121">
        <v>313</v>
      </c>
      <c r="B347" s="121">
        <v>313</v>
      </c>
      <c r="C347" s="121"/>
      <c r="D347" s="120"/>
      <c r="E347" s="120"/>
      <c r="F347" s="121">
        <v>28449</v>
      </c>
      <c r="G347" s="120" t="s">
        <v>1013</v>
      </c>
      <c r="H347" s="120" t="s">
        <v>812</v>
      </c>
      <c r="I347" s="120" t="s">
        <v>203</v>
      </c>
      <c r="J347" s="120"/>
      <c r="K347" s="120" t="s">
        <v>484</v>
      </c>
      <c r="L347" s="120" t="s">
        <v>338</v>
      </c>
      <c r="M347" s="120" t="s">
        <v>337</v>
      </c>
      <c r="N347" s="121"/>
      <c r="O347" s="124">
        <v>41450</v>
      </c>
      <c r="P347" s="120" t="s">
        <v>1285</v>
      </c>
      <c r="Q347" s="120" t="s">
        <v>412</v>
      </c>
      <c r="R347" s="120" t="s">
        <v>407</v>
      </c>
      <c r="S347" s="120" t="s">
        <v>1218</v>
      </c>
      <c r="T347" s="122">
        <v>3.07</v>
      </c>
      <c r="U347" s="120" t="s">
        <v>2613</v>
      </c>
      <c r="V347" s="123">
        <v>5.5E-2</v>
      </c>
      <c r="W347" s="120"/>
      <c r="X347" s="120"/>
      <c r="Y347" s="123"/>
      <c r="Z347" s="123">
        <v>2.9700000000000001E-2</v>
      </c>
      <c r="AA347" s="124">
        <v>47986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45838</v>
      </c>
      <c r="AO347" s="120"/>
      <c r="AP347" s="123"/>
      <c r="AQ347" s="122">
        <v>505560.05</v>
      </c>
      <c r="AR347" s="122">
        <v>126.73</v>
      </c>
      <c r="AS347" s="122">
        <v>1</v>
      </c>
      <c r="AT347" s="122">
        <v>640.69624999999996</v>
      </c>
      <c r="AU347" s="122">
        <v>640.69624999999996</v>
      </c>
      <c r="AV347" s="120"/>
      <c r="AW347" s="120"/>
      <c r="AX347" s="120"/>
      <c r="AY347" s="120"/>
      <c r="AZ347" s="123">
        <v>2.23E-4</v>
      </c>
      <c r="BA347" s="123">
        <v>1.0000000000000001E-5</v>
      </c>
    </row>
    <row r="348" spans="1:53" ht="15" customHeight="1">
      <c r="A348" s="121">
        <v>313</v>
      </c>
      <c r="B348" s="121">
        <v>313</v>
      </c>
      <c r="C348" s="121"/>
      <c r="D348" s="120"/>
      <c r="E348" s="120"/>
      <c r="F348" s="121">
        <v>28464</v>
      </c>
      <c r="G348" s="120" t="s">
        <v>1013</v>
      </c>
      <c r="H348" s="120" t="s">
        <v>812</v>
      </c>
      <c r="I348" s="120" t="s">
        <v>203</v>
      </c>
      <c r="J348" s="120"/>
      <c r="K348" s="120" t="s">
        <v>484</v>
      </c>
      <c r="L348" s="120" t="s">
        <v>338</v>
      </c>
      <c r="M348" s="120" t="s">
        <v>337</v>
      </c>
      <c r="N348" s="121"/>
      <c r="O348" s="124">
        <v>41480</v>
      </c>
      <c r="P348" s="120" t="s">
        <v>1285</v>
      </c>
      <c r="Q348" s="120" t="s">
        <v>412</v>
      </c>
      <c r="R348" s="120" t="s">
        <v>407</v>
      </c>
      <c r="S348" s="120" t="s">
        <v>1218</v>
      </c>
      <c r="T348" s="122">
        <v>3.07</v>
      </c>
      <c r="U348" s="120" t="s">
        <v>2613</v>
      </c>
      <c r="V348" s="123">
        <v>5.5E-2</v>
      </c>
      <c r="W348" s="120"/>
      <c r="X348" s="120"/>
      <c r="Y348" s="123"/>
      <c r="Z348" s="123">
        <v>2.9700000000000001E-2</v>
      </c>
      <c r="AA348" s="124">
        <v>47986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45838</v>
      </c>
      <c r="AO348" s="120"/>
      <c r="AP348" s="123"/>
      <c r="AQ348" s="122">
        <v>443918.68</v>
      </c>
      <c r="AR348" s="122">
        <v>125.73</v>
      </c>
      <c r="AS348" s="122">
        <v>1</v>
      </c>
      <c r="AT348" s="122">
        <v>558.13896</v>
      </c>
      <c r="AU348" s="122">
        <v>558.13896</v>
      </c>
      <c r="AV348" s="120"/>
      <c r="AW348" s="120"/>
      <c r="AX348" s="120"/>
      <c r="AY348" s="120"/>
      <c r="AZ348" s="123">
        <v>1.94E-4</v>
      </c>
      <c r="BA348" s="123">
        <v>9.0000000000000002E-6</v>
      </c>
    </row>
    <row r="349" spans="1:53" ht="15" customHeight="1">
      <c r="A349" s="121">
        <v>313</v>
      </c>
      <c r="B349" s="121">
        <v>313</v>
      </c>
      <c r="C349" s="121"/>
      <c r="D349" s="120"/>
      <c r="E349" s="120"/>
      <c r="F349" s="121">
        <v>28498</v>
      </c>
      <c r="G349" s="120" t="s">
        <v>1013</v>
      </c>
      <c r="H349" s="120" t="s">
        <v>812</v>
      </c>
      <c r="I349" s="120" t="s">
        <v>203</v>
      </c>
      <c r="J349" s="120"/>
      <c r="K349" s="120" t="s">
        <v>484</v>
      </c>
      <c r="L349" s="120" t="s">
        <v>338</v>
      </c>
      <c r="M349" s="120" t="s">
        <v>337</v>
      </c>
      <c r="N349" s="121"/>
      <c r="O349" s="124">
        <v>41512</v>
      </c>
      <c r="P349" s="120" t="s">
        <v>1285</v>
      </c>
      <c r="Q349" s="120" t="s">
        <v>412</v>
      </c>
      <c r="R349" s="120" t="s">
        <v>407</v>
      </c>
      <c r="S349" s="120" t="s">
        <v>1218</v>
      </c>
      <c r="T349" s="122">
        <v>3.06</v>
      </c>
      <c r="U349" s="120" t="s">
        <v>2613</v>
      </c>
      <c r="V349" s="123">
        <v>5.5E-2</v>
      </c>
      <c r="W349" s="120"/>
      <c r="X349" s="120"/>
      <c r="Y349" s="123"/>
      <c r="Z349" s="123">
        <v>3.0599999999999999E-2</v>
      </c>
      <c r="AA349" s="124">
        <v>47986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45838</v>
      </c>
      <c r="AO349" s="120"/>
      <c r="AP349" s="123"/>
      <c r="AQ349" s="122">
        <v>1384522.76</v>
      </c>
      <c r="AR349" s="122">
        <v>125.02</v>
      </c>
      <c r="AS349" s="122">
        <v>1</v>
      </c>
      <c r="AT349" s="122">
        <v>1730.9303500000001</v>
      </c>
      <c r="AU349" s="122">
        <v>1730.9303500000001</v>
      </c>
      <c r="AV349" s="120"/>
      <c r="AW349" s="120"/>
      <c r="AX349" s="120"/>
      <c r="AY349" s="120"/>
      <c r="AZ349" s="123">
        <v>6.02E-4</v>
      </c>
      <c r="BA349" s="123">
        <v>2.8E-5</v>
      </c>
    </row>
    <row r="350" spans="1:53" ht="15" customHeight="1">
      <c r="A350" s="121">
        <v>313</v>
      </c>
      <c r="B350" s="121">
        <v>313</v>
      </c>
      <c r="C350" s="121"/>
      <c r="D350" s="120"/>
      <c r="E350" s="120"/>
      <c r="F350" s="121">
        <v>29066</v>
      </c>
      <c r="G350" s="120" t="s">
        <v>1013</v>
      </c>
      <c r="H350" s="120" t="s">
        <v>812</v>
      </c>
      <c r="I350" s="120" t="s">
        <v>203</v>
      </c>
      <c r="J350" s="120"/>
      <c r="K350" s="120" t="s">
        <v>484</v>
      </c>
      <c r="L350" s="120" t="s">
        <v>338</v>
      </c>
      <c r="M350" s="120" t="s">
        <v>337</v>
      </c>
      <c r="N350" s="121"/>
      <c r="O350" s="124">
        <v>40840</v>
      </c>
      <c r="P350" s="120" t="s">
        <v>1285</v>
      </c>
      <c r="Q350" s="120" t="s">
        <v>412</v>
      </c>
      <c r="R350" s="120" t="s">
        <v>407</v>
      </c>
      <c r="S350" s="120" t="s">
        <v>1218</v>
      </c>
      <c r="T350" s="122">
        <v>3.04</v>
      </c>
      <c r="U350" s="120" t="s">
        <v>2613</v>
      </c>
      <c r="V350" s="123">
        <v>5.6934999999999999E-2</v>
      </c>
      <c r="W350" s="120"/>
      <c r="X350" s="120"/>
      <c r="Y350" s="123"/>
      <c r="Z350" s="123">
        <v>3.1300000000000001E-2</v>
      </c>
      <c r="AA350" s="124">
        <v>47994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45838</v>
      </c>
      <c r="AO350" s="120"/>
      <c r="AP350" s="123"/>
      <c r="AQ350" s="122">
        <v>155007.95000000001</v>
      </c>
      <c r="AR350" s="122">
        <v>130.21</v>
      </c>
      <c r="AS350" s="122">
        <v>1</v>
      </c>
      <c r="AT350" s="122">
        <v>201.83584999999999</v>
      </c>
      <c r="AU350" s="122">
        <v>201.83584999999999</v>
      </c>
      <c r="AV350" s="120"/>
      <c r="AW350" s="120"/>
      <c r="AX350" s="120"/>
      <c r="AY350" s="120"/>
      <c r="AZ350" s="123">
        <v>6.9999999999999994E-5</v>
      </c>
      <c r="BA350" s="123">
        <v>3.0000000000000001E-6</v>
      </c>
    </row>
    <row r="351" spans="1:53" ht="15" customHeight="1">
      <c r="A351" s="121">
        <v>313</v>
      </c>
      <c r="B351" s="121">
        <v>313</v>
      </c>
      <c r="C351" s="121"/>
      <c r="D351" s="120"/>
      <c r="E351" s="120"/>
      <c r="F351" s="121">
        <v>28134</v>
      </c>
      <c r="G351" s="120" t="s">
        <v>1013</v>
      </c>
      <c r="H351" s="120" t="s">
        <v>812</v>
      </c>
      <c r="I351" s="120" t="s">
        <v>203</v>
      </c>
      <c r="J351" s="120"/>
      <c r="K351" s="120" t="s">
        <v>484</v>
      </c>
      <c r="L351" s="120" t="s">
        <v>338</v>
      </c>
      <c r="M351" s="120" t="s">
        <v>337</v>
      </c>
      <c r="N351" s="121"/>
      <c r="O351" s="124">
        <v>42565</v>
      </c>
      <c r="P351" s="120" t="s">
        <v>1285</v>
      </c>
      <c r="Q351" s="120" t="s">
        <v>412</v>
      </c>
      <c r="R351" s="120" t="s">
        <v>407</v>
      </c>
      <c r="S351" s="120" t="s">
        <v>1218</v>
      </c>
      <c r="T351" s="122">
        <v>3.06</v>
      </c>
      <c r="U351" s="120" t="s">
        <v>2613</v>
      </c>
      <c r="V351" s="123">
        <v>5.5E-2</v>
      </c>
      <c r="W351" s="120"/>
      <c r="X351" s="120"/>
      <c r="Y351" s="123"/>
      <c r="Z351" s="123">
        <v>2.98E-2</v>
      </c>
      <c r="AA351" s="124">
        <v>47986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45838</v>
      </c>
      <c r="AO351" s="120"/>
      <c r="AP351" s="123"/>
      <c r="AQ351" s="122">
        <v>3527712.38</v>
      </c>
      <c r="AR351" s="122">
        <v>126.97</v>
      </c>
      <c r="AS351" s="122">
        <v>1</v>
      </c>
      <c r="AT351" s="122">
        <v>4479.1364100000001</v>
      </c>
      <c r="AU351" s="122">
        <v>4479.1364100000001</v>
      </c>
      <c r="AV351" s="120"/>
      <c r="AW351" s="120"/>
      <c r="AX351" s="120"/>
      <c r="AY351" s="120"/>
      <c r="AZ351" s="123">
        <v>1.56E-3</v>
      </c>
      <c r="BA351" s="123">
        <v>7.3999999999999996E-5</v>
      </c>
    </row>
    <row r="352" spans="1:53" ht="15" customHeight="1">
      <c r="A352" s="121">
        <v>313</v>
      </c>
      <c r="B352" s="121">
        <v>313</v>
      </c>
      <c r="C352" s="121"/>
      <c r="D352" s="120"/>
      <c r="E352" s="120"/>
      <c r="F352" s="121">
        <v>50001039</v>
      </c>
      <c r="G352" s="120" t="s">
        <v>1013</v>
      </c>
      <c r="H352" s="120" t="s">
        <v>2617</v>
      </c>
      <c r="I352" s="120" t="s">
        <v>203</v>
      </c>
      <c r="J352" s="120"/>
      <c r="K352" s="120" t="s">
        <v>446</v>
      </c>
      <c r="L352" s="120" t="s">
        <v>338</v>
      </c>
      <c r="M352" s="120" t="s">
        <v>337</v>
      </c>
      <c r="N352" s="121"/>
      <c r="O352" s="124">
        <v>44741</v>
      </c>
      <c r="P352" s="120" t="s">
        <v>2621</v>
      </c>
      <c r="Q352" s="120" t="s">
        <v>414</v>
      </c>
      <c r="R352" s="120" t="s">
        <v>407</v>
      </c>
      <c r="S352" s="120" t="s">
        <v>1218</v>
      </c>
      <c r="T352" s="122">
        <v>17.72</v>
      </c>
      <c r="U352" s="120" t="s">
        <v>2613</v>
      </c>
      <c r="V352" s="123">
        <v>3.4952999999999998E-2</v>
      </c>
      <c r="W352" s="120"/>
      <c r="X352" s="120"/>
      <c r="Y352" s="123"/>
      <c r="Z352" s="123">
        <v>4.2299999999999997E-2</v>
      </c>
      <c r="AA352" s="124">
        <v>52305</v>
      </c>
      <c r="AB352" s="120" t="s">
        <v>411</v>
      </c>
      <c r="AC352" s="120"/>
      <c r="AD352" s="122"/>
      <c r="AE352" s="123"/>
      <c r="AF352" s="124">
        <v>45108</v>
      </c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45838</v>
      </c>
      <c r="AO352" s="120"/>
      <c r="AP352" s="123"/>
      <c r="AQ352" s="122">
        <v>251121.26</v>
      </c>
      <c r="AR352" s="122">
        <v>98.66</v>
      </c>
      <c r="AS352" s="122">
        <v>1</v>
      </c>
      <c r="AT352" s="122">
        <v>247.75623999999999</v>
      </c>
      <c r="AU352" s="122">
        <v>247.75623999999999</v>
      </c>
      <c r="AV352" s="120"/>
      <c r="AW352" s="120"/>
      <c r="AX352" s="120"/>
      <c r="AY352" s="120"/>
      <c r="AZ352" s="123">
        <v>8.6000000000000003E-5</v>
      </c>
      <c r="BA352" s="123">
        <v>3.9999999999999998E-6</v>
      </c>
    </row>
    <row r="353" spans="1:53" ht="15" customHeight="1">
      <c r="A353" s="121">
        <v>313</v>
      </c>
      <c r="B353" s="121">
        <v>313</v>
      </c>
      <c r="C353" s="121"/>
      <c r="D353" s="120"/>
      <c r="E353" s="120"/>
      <c r="F353" s="121">
        <v>34777</v>
      </c>
      <c r="G353" s="120" t="s">
        <v>1013</v>
      </c>
      <c r="H353" s="120" t="s">
        <v>812</v>
      </c>
      <c r="I353" s="120" t="s">
        <v>203</v>
      </c>
      <c r="J353" s="120"/>
      <c r="K353" s="120" t="s">
        <v>439</v>
      </c>
      <c r="L353" s="120" t="s">
        <v>338</v>
      </c>
      <c r="M353" s="120" t="s">
        <v>337</v>
      </c>
      <c r="N353" s="121"/>
      <c r="O353" s="124">
        <v>41281</v>
      </c>
      <c r="P353" s="120" t="s">
        <v>1294</v>
      </c>
      <c r="Q353" s="120" t="s">
        <v>414</v>
      </c>
      <c r="R353" s="120" t="s">
        <v>407</v>
      </c>
      <c r="S353" s="120" t="s">
        <v>1218</v>
      </c>
      <c r="T353" s="122">
        <v>3.56</v>
      </c>
      <c r="U353" s="120" t="s">
        <v>2613</v>
      </c>
      <c r="V353" s="123">
        <v>5.3499999999999999E-2</v>
      </c>
      <c r="W353" s="120"/>
      <c r="X353" s="120"/>
      <c r="Y353" s="123"/>
      <c r="Z353" s="123">
        <v>2.4500000000000001E-2</v>
      </c>
      <c r="AA353" s="124">
        <v>48479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45838</v>
      </c>
      <c r="AO353" s="120"/>
      <c r="AP353" s="123"/>
      <c r="AQ353" s="122">
        <v>2085963.73</v>
      </c>
      <c r="AR353" s="122">
        <v>133.58000000000001</v>
      </c>
      <c r="AS353" s="122">
        <v>1</v>
      </c>
      <c r="AT353" s="122">
        <v>2786.4303500000001</v>
      </c>
      <c r="AU353" s="122">
        <v>2786.4303500000001</v>
      </c>
      <c r="AV353" s="120"/>
      <c r="AW353" s="120"/>
      <c r="AX353" s="120"/>
      <c r="AY353" s="120"/>
      <c r="AZ353" s="123">
        <v>9.7000000000000005E-4</v>
      </c>
      <c r="BA353" s="123">
        <v>4.6E-5</v>
      </c>
    </row>
    <row r="354" spans="1:53" ht="15" customHeight="1">
      <c r="A354" s="121">
        <v>313</v>
      </c>
      <c r="B354" s="121">
        <v>313</v>
      </c>
      <c r="C354" s="121"/>
      <c r="D354" s="120"/>
      <c r="E354" s="120"/>
      <c r="F354" s="121">
        <v>34850</v>
      </c>
      <c r="G354" s="120" t="s">
        <v>1013</v>
      </c>
      <c r="H354" s="120" t="s">
        <v>812</v>
      </c>
      <c r="I354" s="120" t="s">
        <v>203</v>
      </c>
      <c r="J354" s="120"/>
      <c r="K354" s="120" t="s">
        <v>484</v>
      </c>
      <c r="L354" s="120" t="s">
        <v>338</v>
      </c>
      <c r="M354" s="120" t="s">
        <v>337</v>
      </c>
      <c r="N354" s="121"/>
      <c r="O354" s="124">
        <v>41389</v>
      </c>
      <c r="P354" s="120" t="s">
        <v>1285</v>
      </c>
      <c r="Q354" s="120" t="s">
        <v>412</v>
      </c>
      <c r="R354" s="120" t="s">
        <v>407</v>
      </c>
      <c r="S354" s="120" t="s">
        <v>1218</v>
      </c>
      <c r="T354" s="122">
        <v>3.07</v>
      </c>
      <c r="U354" s="120" t="s">
        <v>2613</v>
      </c>
      <c r="V354" s="123">
        <v>5.5E-2</v>
      </c>
      <c r="W354" s="120"/>
      <c r="X354" s="120"/>
      <c r="Y354" s="123"/>
      <c r="Z354" s="123">
        <v>2.9700000000000001E-2</v>
      </c>
      <c r="AA354" s="124">
        <v>47986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45838</v>
      </c>
      <c r="AO354" s="120"/>
      <c r="AP354" s="123"/>
      <c r="AQ354" s="122">
        <v>837730.94</v>
      </c>
      <c r="AR354" s="122">
        <v>127.36</v>
      </c>
      <c r="AS354" s="122">
        <v>1</v>
      </c>
      <c r="AT354" s="122">
        <v>1066.9341300000001</v>
      </c>
      <c r="AU354" s="122">
        <v>1066.9341300000001</v>
      </c>
      <c r="AV354" s="120"/>
      <c r="AW354" s="120"/>
      <c r="AX354" s="120"/>
      <c r="AY354" s="120"/>
      <c r="AZ354" s="123">
        <v>3.7100000000000002E-4</v>
      </c>
      <c r="BA354" s="123">
        <v>1.7E-5</v>
      </c>
    </row>
    <row r="355" spans="1:53" ht="15" customHeight="1">
      <c r="A355" s="121">
        <v>313</v>
      </c>
      <c r="B355" s="121">
        <v>313</v>
      </c>
      <c r="C355" s="121"/>
      <c r="D355" s="120"/>
      <c r="E355" s="120"/>
      <c r="F355" s="121">
        <v>44644</v>
      </c>
      <c r="G355" s="120" t="s">
        <v>1013</v>
      </c>
      <c r="H355" s="120" t="s">
        <v>818</v>
      </c>
      <c r="I355" s="120" t="s">
        <v>203</v>
      </c>
      <c r="J355" s="120"/>
      <c r="K355" s="120" t="s">
        <v>313</v>
      </c>
      <c r="L355" s="120" t="s">
        <v>338</v>
      </c>
      <c r="M355" s="120" t="s">
        <v>338</v>
      </c>
      <c r="N355" s="121"/>
      <c r="O355" s="124">
        <v>42505</v>
      </c>
      <c r="P355" s="120" t="s">
        <v>409</v>
      </c>
      <c r="Q355" s="120" t="s">
        <v>409</v>
      </c>
      <c r="R355" s="120" t="s">
        <v>409</v>
      </c>
      <c r="S355" s="120" t="s">
        <v>1218</v>
      </c>
      <c r="T355" s="122">
        <v>3.22</v>
      </c>
      <c r="U355" s="120" t="s">
        <v>824</v>
      </c>
      <c r="V355" s="123">
        <v>7.5999999999999998E-2</v>
      </c>
      <c r="W355" s="120"/>
      <c r="X355" s="120"/>
      <c r="Y355" s="123"/>
      <c r="Z355" s="123">
        <v>-3.3099999999999997E-2</v>
      </c>
      <c r="AA355" s="124">
        <v>48228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45838</v>
      </c>
      <c r="AO355" s="120"/>
      <c r="AP355" s="123"/>
      <c r="AQ355" s="122">
        <v>21208713.940000001</v>
      </c>
      <c r="AR355" s="122">
        <v>139.22550000000001</v>
      </c>
      <c r="AS355" s="122">
        <v>1</v>
      </c>
      <c r="AT355" s="122">
        <v>29527.943960000001</v>
      </c>
      <c r="AU355" s="122">
        <v>29527.943960000001</v>
      </c>
      <c r="AV355" s="120"/>
      <c r="AW355" s="120"/>
      <c r="AX355" s="120"/>
      <c r="AY355" s="120"/>
      <c r="AZ355" s="123">
        <v>1.0284E-2</v>
      </c>
      <c r="BA355" s="123">
        <v>4.9100000000000001E-4</v>
      </c>
    </row>
    <row r="356" spans="1:53" ht="15" customHeight="1">
      <c r="A356" s="121">
        <v>313</v>
      </c>
      <c r="B356" s="121">
        <v>313</v>
      </c>
      <c r="C356" s="121"/>
      <c r="D356" s="120"/>
      <c r="E356" s="120"/>
      <c r="F356" s="121">
        <v>44727</v>
      </c>
      <c r="G356" s="120" t="s">
        <v>1013</v>
      </c>
      <c r="H356" s="120" t="s">
        <v>812</v>
      </c>
      <c r="I356" s="120" t="s">
        <v>203</v>
      </c>
      <c r="J356" s="120"/>
      <c r="K356" s="120" t="s">
        <v>439</v>
      </c>
      <c r="L356" s="120" t="s">
        <v>338</v>
      </c>
      <c r="M356" s="120" t="s">
        <v>337</v>
      </c>
      <c r="N356" s="121"/>
      <c r="O356" s="124">
        <v>42218</v>
      </c>
      <c r="P356" s="120" t="s">
        <v>1304</v>
      </c>
      <c r="Q356" s="120" t="s">
        <v>414</v>
      </c>
      <c r="R356" s="120" t="s">
        <v>407</v>
      </c>
      <c r="S356" s="120" t="s">
        <v>1218</v>
      </c>
      <c r="T356" s="122">
        <v>3.39</v>
      </c>
      <c r="U356" s="120" t="s">
        <v>2613</v>
      </c>
      <c r="V356" s="123">
        <v>3.4845000000000001E-2</v>
      </c>
      <c r="W356" s="120"/>
      <c r="X356" s="120"/>
      <c r="Y356" s="123"/>
      <c r="Z356" s="123">
        <v>2.6800000000000001E-2</v>
      </c>
      <c r="AA356" s="124">
        <v>48213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45838</v>
      </c>
      <c r="AO356" s="120"/>
      <c r="AP356" s="123"/>
      <c r="AQ356" s="122">
        <v>5515145.3600000003</v>
      </c>
      <c r="AR356" s="122">
        <v>120.55</v>
      </c>
      <c r="AS356" s="122">
        <v>1</v>
      </c>
      <c r="AT356" s="122">
        <v>6648.5077300000003</v>
      </c>
      <c r="AU356" s="122">
        <v>6648.5077300000003</v>
      </c>
      <c r="AV356" s="120"/>
      <c r="AW356" s="120"/>
      <c r="AX356" s="120"/>
      <c r="AY356" s="120"/>
      <c r="AZ356" s="123">
        <v>2.3149999999999998E-3</v>
      </c>
      <c r="BA356" s="123">
        <v>1.1E-4</v>
      </c>
    </row>
    <row r="357" spans="1:53" ht="15" customHeight="1">
      <c r="A357" s="121">
        <v>313</v>
      </c>
      <c r="B357" s="121">
        <v>313</v>
      </c>
      <c r="C357" s="121"/>
      <c r="D357" s="120"/>
      <c r="E357" s="120"/>
      <c r="F357" s="121">
        <v>44743</v>
      </c>
      <c r="G357" s="120" t="s">
        <v>1013</v>
      </c>
      <c r="H357" s="120" t="s">
        <v>812</v>
      </c>
      <c r="I357" s="120" t="s">
        <v>203</v>
      </c>
      <c r="J357" s="120"/>
      <c r="K357" s="120" t="s">
        <v>439</v>
      </c>
      <c r="L357" s="120" t="s">
        <v>338</v>
      </c>
      <c r="M357" s="120" t="s">
        <v>337</v>
      </c>
      <c r="N357" s="121"/>
      <c r="O357" s="124">
        <v>42218</v>
      </c>
      <c r="P357" s="120" t="s">
        <v>1304</v>
      </c>
      <c r="Q357" s="120" t="s">
        <v>414</v>
      </c>
      <c r="R357" s="120" t="s">
        <v>407</v>
      </c>
      <c r="S357" s="120" t="s">
        <v>1218</v>
      </c>
      <c r="T357" s="122">
        <v>3.85</v>
      </c>
      <c r="U357" s="120" t="s">
        <v>2613</v>
      </c>
      <c r="V357" s="123">
        <v>3.5522999999999999E-2</v>
      </c>
      <c r="W357" s="120"/>
      <c r="X357" s="120"/>
      <c r="Y357" s="123"/>
      <c r="Z357" s="123">
        <v>2.6599999999999999E-2</v>
      </c>
      <c r="AA357" s="124">
        <v>48579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45838</v>
      </c>
      <c r="AO357" s="120"/>
      <c r="AP357" s="123"/>
      <c r="AQ357" s="122">
        <v>4235856.3499999996</v>
      </c>
      <c r="AR357" s="122">
        <v>121.4</v>
      </c>
      <c r="AS357" s="122">
        <v>1</v>
      </c>
      <c r="AT357" s="122">
        <v>5142.3296099999998</v>
      </c>
      <c r="AU357" s="122">
        <v>5142.3296099999998</v>
      </c>
      <c r="AV357" s="120"/>
      <c r="AW357" s="120"/>
      <c r="AX357" s="120"/>
      <c r="AY357" s="120"/>
      <c r="AZ357" s="123">
        <v>1.7899999999999999E-3</v>
      </c>
      <c r="BA357" s="123">
        <v>8.5000000000000006E-5</v>
      </c>
    </row>
    <row r="358" spans="1:53" ht="15" customHeight="1">
      <c r="A358" s="121">
        <v>313</v>
      </c>
      <c r="B358" s="121">
        <v>313</v>
      </c>
      <c r="C358" s="121"/>
      <c r="D358" s="120"/>
      <c r="E358" s="120"/>
      <c r="F358" s="121">
        <v>44768</v>
      </c>
      <c r="G358" s="120" t="s">
        <v>1013</v>
      </c>
      <c r="H358" s="120" t="s">
        <v>812</v>
      </c>
      <c r="I358" s="120" t="s">
        <v>203</v>
      </c>
      <c r="J358" s="120"/>
      <c r="K358" s="120" t="s">
        <v>439</v>
      </c>
      <c r="L358" s="120" t="s">
        <v>338</v>
      </c>
      <c r="M358" s="120" t="s">
        <v>337</v>
      </c>
      <c r="N358" s="121"/>
      <c r="O358" s="124">
        <v>42218</v>
      </c>
      <c r="P358" s="120" t="s">
        <v>1304</v>
      </c>
      <c r="Q358" s="120" t="s">
        <v>414</v>
      </c>
      <c r="R358" s="120" t="s">
        <v>407</v>
      </c>
      <c r="S358" s="120" t="s">
        <v>1218</v>
      </c>
      <c r="T358" s="122">
        <v>3.39</v>
      </c>
      <c r="U358" s="120" t="s">
        <v>2613</v>
      </c>
      <c r="V358" s="123">
        <v>3.4848999999999998E-2</v>
      </c>
      <c r="W358" s="120"/>
      <c r="X358" s="120"/>
      <c r="Y358" s="123"/>
      <c r="Z358" s="123">
        <v>2.6800000000000001E-2</v>
      </c>
      <c r="AA358" s="124">
        <v>48213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45838</v>
      </c>
      <c r="AO358" s="120"/>
      <c r="AP358" s="123"/>
      <c r="AQ358" s="122">
        <v>6249181.7000000002</v>
      </c>
      <c r="AR358" s="122">
        <v>120.56</v>
      </c>
      <c r="AS358" s="122">
        <v>1</v>
      </c>
      <c r="AT358" s="122">
        <v>7534.0134600000001</v>
      </c>
      <c r="AU358" s="122">
        <v>7534.0134600000001</v>
      </c>
      <c r="AV358" s="120"/>
      <c r="AW358" s="120"/>
      <c r="AX358" s="120"/>
      <c r="AY358" s="120"/>
      <c r="AZ358" s="123">
        <v>2.6229999999999999E-3</v>
      </c>
      <c r="BA358" s="123">
        <v>1.25E-4</v>
      </c>
    </row>
    <row r="359" spans="1:53" ht="15" customHeight="1">
      <c r="A359" s="121">
        <v>313</v>
      </c>
      <c r="B359" s="121">
        <v>313</v>
      </c>
      <c r="C359" s="121"/>
      <c r="D359" s="120"/>
      <c r="E359" s="120"/>
      <c r="F359" s="121">
        <v>44784</v>
      </c>
      <c r="G359" s="120" t="s">
        <v>1013</v>
      </c>
      <c r="H359" s="120" t="s">
        <v>812</v>
      </c>
      <c r="I359" s="120" t="s">
        <v>203</v>
      </c>
      <c r="J359" s="120"/>
      <c r="K359" s="120" t="s">
        <v>439</v>
      </c>
      <c r="L359" s="120" t="s">
        <v>338</v>
      </c>
      <c r="M359" s="120" t="s">
        <v>337</v>
      </c>
      <c r="N359" s="121"/>
      <c r="O359" s="124">
        <v>42004</v>
      </c>
      <c r="P359" s="120" t="s">
        <v>1304</v>
      </c>
      <c r="Q359" s="120" t="s">
        <v>414</v>
      </c>
      <c r="R359" s="120" t="s">
        <v>407</v>
      </c>
      <c r="S359" s="120" t="s">
        <v>1218</v>
      </c>
      <c r="T359" s="122">
        <v>3.3</v>
      </c>
      <c r="U359" s="120" t="s">
        <v>2613</v>
      </c>
      <c r="V359" s="123">
        <v>3.9899999999999998E-2</v>
      </c>
      <c r="W359" s="120"/>
      <c r="X359" s="120"/>
      <c r="Y359" s="123"/>
      <c r="Z359" s="123">
        <v>2.6599999999999999E-2</v>
      </c>
      <c r="AA359" s="124">
        <v>48213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45838</v>
      </c>
      <c r="AO359" s="120"/>
      <c r="AP359" s="123"/>
      <c r="AQ359" s="122">
        <v>1816761.83</v>
      </c>
      <c r="AR359" s="122">
        <v>122.22</v>
      </c>
      <c r="AS359" s="122">
        <v>1</v>
      </c>
      <c r="AT359" s="122">
        <v>2220.4463099999998</v>
      </c>
      <c r="AU359" s="122">
        <v>2220.4463099999998</v>
      </c>
      <c r="AV359" s="120"/>
      <c r="AW359" s="120"/>
      <c r="AX359" s="120"/>
      <c r="AY359" s="120"/>
      <c r="AZ359" s="123">
        <v>7.7300000000000003E-4</v>
      </c>
      <c r="BA359" s="123">
        <v>3.6000000000000001E-5</v>
      </c>
    </row>
    <row r="360" spans="1:53" ht="15" customHeight="1">
      <c r="A360" s="121">
        <v>313</v>
      </c>
      <c r="B360" s="121">
        <v>313</v>
      </c>
      <c r="C360" s="121"/>
      <c r="D360" s="120"/>
      <c r="E360" s="120"/>
      <c r="F360" s="121">
        <v>44636</v>
      </c>
      <c r="G360" s="120" t="s">
        <v>1013</v>
      </c>
      <c r="H360" s="120" t="s">
        <v>818</v>
      </c>
      <c r="I360" s="120" t="s">
        <v>203</v>
      </c>
      <c r="J360" s="120"/>
      <c r="K360" s="120" t="s">
        <v>447</v>
      </c>
      <c r="L360" s="120" t="s">
        <v>338</v>
      </c>
      <c r="M360" s="120" t="s">
        <v>338</v>
      </c>
      <c r="N360" s="121"/>
      <c r="O360" s="124">
        <v>42505</v>
      </c>
      <c r="P360" s="120" t="s">
        <v>1211</v>
      </c>
      <c r="Q360" s="120" t="s">
        <v>412</v>
      </c>
      <c r="R360" s="120" t="s">
        <v>407</v>
      </c>
      <c r="S360" s="120" t="s">
        <v>1218</v>
      </c>
      <c r="T360" s="122">
        <v>9.9999999999999995E-7</v>
      </c>
      <c r="U360" s="120" t="s">
        <v>824</v>
      </c>
      <c r="V360" s="123">
        <v>6.0499999999999998E-2</v>
      </c>
      <c r="W360" s="120"/>
      <c r="X360" s="120"/>
      <c r="Y360" s="123"/>
      <c r="Z360" s="123">
        <v>0</v>
      </c>
      <c r="AA360" s="124">
        <v>48780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45838</v>
      </c>
      <c r="AO360" s="120"/>
      <c r="AP360" s="123"/>
      <c r="AQ360" s="122">
        <v>3986566.7</v>
      </c>
      <c r="AR360" s="122">
        <v>101.1101</v>
      </c>
      <c r="AS360" s="122">
        <v>1</v>
      </c>
      <c r="AT360" s="122">
        <v>4030.8219800000002</v>
      </c>
      <c r="AU360" s="122">
        <v>4030.8219800000002</v>
      </c>
      <c r="AV360" s="120"/>
      <c r="AW360" s="120"/>
      <c r="AX360" s="120"/>
      <c r="AY360" s="120"/>
      <c r="AZ360" s="123">
        <v>1.403E-3</v>
      </c>
      <c r="BA360" s="123">
        <v>6.7000000000000002E-5</v>
      </c>
    </row>
    <row r="361" spans="1:53" ht="15" customHeight="1">
      <c r="A361" s="121">
        <v>313</v>
      </c>
      <c r="B361" s="121">
        <v>313</v>
      </c>
      <c r="C361" s="121"/>
      <c r="D361" s="120"/>
      <c r="E361" s="120"/>
      <c r="F361" s="121">
        <v>44800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337</v>
      </c>
      <c r="N361" s="121"/>
      <c r="O361" s="124">
        <v>42004</v>
      </c>
      <c r="P361" s="120" t="s">
        <v>1304</v>
      </c>
      <c r="Q361" s="120" t="s">
        <v>414</v>
      </c>
      <c r="R361" s="120" t="s">
        <v>407</v>
      </c>
      <c r="S361" s="120" t="s">
        <v>1218</v>
      </c>
      <c r="T361" s="122">
        <v>3.37</v>
      </c>
      <c r="U361" s="120" t="s">
        <v>2613</v>
      </c>
      <c r="V361" s="123">
        <v>3.9899999999999998E-2</v>
      </c>
      <c r="W361" s="120"/>
      <c r="X361" s="120"/>
      <c r="Y361" s="123"/>
      <c r="Z361" s="123">
        <v>2.6499999999999999E-2</v>
      </c>
      <c r="AA361" s="124">
        <v>48213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45838</v>
      </c>
      <c r="AO361" s="120"/>
      <c r="AP361" s="123"/>
      <c r="AQ361" s="122">
        <v>2053408.57</v>
      </c>
      <c r="AR361" s="122">
        <v>122.36</v>
      </c>
      <c r="AS361" s="122">
        <v>1</v>
      </c>
      <c r="AT361" s="122">
        <v>2512.5507299999999</v>
      </c>
      <c r="AU361" s="122">
        <v>2512.5507299999999</v>
      </c>
      <c r="AV361" s="120"/>
      <c r="AW361" s="120"/>
      <c r="AX361" s="120"/>
      <c r="AY361" s="120"/>
      <c r="AZ361" s="123">
        <v>8.7500000000000002E-4</v>
      </c>
      <c r="BA361" s="123">
        <v>4.1E-5</v>
      </c>
    </row>
    <row r="362" spans="1:53" ht="15" customHeight="1">
      <c r="A362" s="121">
        <v>313</v>
      </c>
      <c r="B362" s="121">
        <v>313</v>
      </c>
      <c r="C362" s="121"/>
      <c r="D362" s="120"/>
      <c r="E362" s="120"/>
      <c r="F362" s="121">
        <v>50000306</v>
      </c>
      <c r="G362" s="120" t="s">
        <v>1013</v>
      </c>
      <c r="H362" s="120" t="s">
        <v>812</v>
      </c>
      <c r="I362" s="120" t="s">
        <v>203</v>
      </c>
      <c r="J362" s="120"/>
      <c r="K362" s="120" t="s">
        <v>454</v>
      </c>
      <c r="L362" s="120" t="s">
        <v>338</v>
      </c>
      <c r="M362" s="120" t="s">
        <v>338</v>
      </c>
      <c r="N362" s="121"/>
      <c r="O362" s="124">
        <v>43422</v>
      </c>
      <c r="P362" s="120" t="s">
        <v>1339</v>
      </c>
      <c r="Q362" s="120" t="s">
        <v>414</v>
      </c>
      <c r="R362" s="120" t="s">
        <v>407</v>
      </c>
      <c r="S362" s="120" t="s">
        <v>1218</v>
      </c>
      <c r="T362" s="122">
        <v>6.67</v>
      </c>
      <c r="U362" s="120" t="s">
        <v>2613</v>
      </c>
      <c r="V362" s="123">
        <v>3.4500000000000003E-2</v>
      </c>
      <c r="W362" s="120"/>
      <c r="X362" s="120"/>
      <c r="Y362" s="123"/>
      <c r="Z362" s="123">
        <v>2.8500000000000001E-2</v>
      </c>
      <c r="AA362" s="124">
        <v>51134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45838</v>
      </c>
      <c r="AO362" s="120"/>
      <c r="AP362" s="123"/>
      <c r="AQ362" s="122">
        <v>580324.1</v>
      </c>
      <c r="AR362" s="122">
        <v>121.26</v>
      </c>
      <c r="AS362" s="122">
        <v>1</v>
      </c>
      <c r="AT362" s="122">
        <v>703.70100000000002</v>
      </c>
      <c r="AU362" s="122">
        <v>703.70100000000002</v>
      </c>
      <c r="AV362" s="120"/>
      <c r="AW362" s="120"/>
      <c r="AX362" s="120"/>
      <c r="AY362" s="120"/>
      <c r="AZ362" s="123">
        <v>2.4499999999999999E-4</v>
      </c>
      <c r="BA362" s="123">
        <v>1.1E-5</v>
      </c>
    </row>
    <row r="363" spans="1:53" ht="15" customHeight="1">
      <c r="A363" s="121">
        <v>313</v>
      </c>
      <c r="B363" s="121">
        <v>313</v>
      </c>
      <c r="C363" s="121"/>
      <c r="D363" s="120"/>
      <c r="E363" s="120"/>
      <c r="F363" s="121">
        <v>50000324</v>
      </c>
      <c r="G363" s="120" t="s">
        <v>1013</v>
      </c>
      <c r="H363" s="120" t="s">
        <v>812</v>
      </c>
      <c r="I363" s="120" t="s">
        <v>203</v>
      </c>
      <c r="J363" s="120"/>
      <c r="K363" s="120" t="s">
        <v>446</v>
      </c>
      <c r="L363" s="120" t="s">
        <v>338</v>
      </c>
      <c r="M363" s="120" t="s">
        <v>337</v>
      </c>
      <c r="N363" s="121"/>
      <c r="O363" s="124">
        <v>43675</v>
      </c>
      <c r="P363" s="120" t="s">
        <v>1304</v>
      </c>
      <c r="Q363" s="120" t="s">
        <v>414</v>
      </c>
      <c r="R363" s="120" t="s">
        <v>407</v>
      </c>
      <c r="S363" s="120" t="s">
        <v>1218</v>
      </c>
      <c r="T363" s="122">
        <v>1.88</v>
      </c>
      <c r="U363" s="120" t="s">
        <v>2613</v>
      </c>
      <c r="V363" s="123">
        <v>2.1111000000000001E-2</v>
      </c>
      <c r="W363" s="120"/>
      <c r="X363" s="120"/>
      <c r="Y363" s="123"/>
      <c r="Z363" s="123">
        <v>3.1899999999999998E-2</v>
      </c>
      <c r="AA363" s="124">
        <v>47118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45838</v>
      </c>
      <c r="AO363" s="120"/>
      <c r="AP363" s="123"/>
      <c r="AQ363" s="122">
        <v>3236385.01</v>
      </c>
      <c r="AR363" s="122">
        <v>113.75</v>
      </c>
      <c r="AS363" s="122">
        <v>1</v>
      </c>
      <c r="AT363" s="122">
        <v>3681.3879499999998</v>
      </c>
      <c r="AU363" s="122">
        <v>3681.3879499999998</v>
      </c>
      <c r="AV363" s="120"/>
      <c r="AW363" s="120"/>
      <c r="AX363" s="120"/>
      <c r="AY363" s="120"/>
      <c r="AZ363" s="123">
        <v>1.2819999999999999E-3</v>
      </c>
      <c r="BA363" s="123">
        <v>6.0999999999999999E-5</v>
      </c>
    </row>
    <row r="364" spans="1:53" ht="15" customHeight="1">
      <c r="A364" s="121">
        <v>313</v>
      </c>
      <c r="B364" s="121">
        <v>313</v>
      </c>
      <c r="C364" s="121"/>
      <c r="D364" s="120"/>
      <c r="E364" s="120"/>
      <c r="F364" s="121">
        <v>50000327</v>
      </c>
      <c r="G364" s="120" t="s">
        <v>1013</v>
      </c>
      <c r="H364" s="120" t="s">
        <v>812</v>
      </c>
      <c r="I364" s="120" t="s">
        <v>203</v>
      </c>
      <c r="J364" s="120"/>
      <c r="K364" s="120" t="s">
        <v>446</v>
      </c>
      <c r="L364" s="120" t="s">
        <v>338</v>
      </c>
      <c r="M364" s="120" t="s">
        <v>337</v>
      </c>
      <c r="N364" s="121"/>
      <c r="O364" s="124">
        <v>43675</v>
      </c>
      <c r="P364" s="120" t="s">
        <v>1294</v>
      </c>
      <c r="Q364" s="120" t="s">
        <v>414</v>
      </c>
      <c r="R364" s="120" t="s">
        <v>407</v>
      </c>
      <c r="S364" s="120" t="s">
        <v>1218</v>
      </c>
      <c r="T364" s="122">
        <v>7.06</v>
      </c>
      <c r="U364" s="120" t="s">
        <v>2613</v>
      </c>
      <c r="V364" s="123">
        <v>2.9756999999999999E-2</v>
      </c>
      <c r="W364" s="120"/>
      <c r="X364" s="120"/>
      <c r="Y364" s="123"/>
      <c r="Z364" s="123">
        <v>2.9499999999999998E-2</v>
      </c>
      <c r="AA364" s="124">
        <v>50770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45838</v>
      </c>
      <c r="AO364" s="120"/>
      <c r="AP364" s="123"/>
      <c r="AQ364" s="122">
        <v>34687411.960000001</v>
      </c>
      <c r="AR364" s="122">
        <v>116.44</v>
      </c>
      <c r="AS364" s="122">
        <v>1</v>
      </c>
      <c r="AT364" s="122">
        <v>40390.022490000003</v>
      </c>
      <c r="AU364" s="122">
        <v>40390.022490000003</v>
      </c>
      <c r="AV364" s="120"/>
      <c r="AW364" s="120"/>
      <c r="AX364" s="120"/>
      <c r="AY364" s="120"/>
      <c r="AZ364" s="123">
        <v>1.4067E-2</v>
      </c>
      <c r="BA364" s="123">
        <v>6.7199999999999996E-4</v>
      </c>
    </row>
    <row r="365" spans="1:53" ht="15" customHeight="1">
      <c r="A365" s="121">
        <v>313</v>
      </c>
      <c r="B365" s="121">
        <v>313</v>
      </c>
      <c r="C365" s="121"/>
      <c r="D365" s="120"/>
      <c r="E365" s="120"/>
      <c r="F365" s="121">
        <v>50000348</v>
      </c>
      <c r="G365" s="120" t="s">
        <v>1013</v>
      </c>
      <c r="H365" s="120" t="s">
        <v>818</v>
      </c>
      <c r="I365" s="120" t="s">
        <v>203</v>
      </c>
      <c r="J365" s="120"/>
      <c r="K365" s="120" t="s">
        <v>450</v>
      </c>
      <c r="L365" s="120" t="s">
        <v>338</v>
      </c>
      <c r="M365" s="120" t="s">
        <v>338</v>
      </c>
      <c r="N365" s="121"/>
      <c r="O365" s="124">
        <v>43692</v>
      </c>
      <c r="P365" s="120" t="s">
        <v>1929</v>
      </c>
      <c r="Q365" s="120" t="s">
        <v>412</v>
      </c>
      <c r="R365" s="120" t="s">
        <v>407</v>
      </c>
      <c r="S365" s="120" t="s">
        <v>1218</v>
      </c>
      <c r="T365" s="122">
        <v>2.89</v>
      </c>
      <c r="U365" s="120" t="s">
        <v>2613</v>
      </c>
      <c r="V365" s="123">
        <v>3.0099999999999998E-2</v>
      </c>
      <c r="W365" s="120"/>
      <c r="X365" s="120"/>
      <c r="Y365" s="123"/>
      <c r="Z365" s="123">
        <v>4.8599999999999997E-2</v>
      </c>
      <c r="AA365" s="124">
        <v>48075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45838</v>
      </c>
      <c r="AO365" s="120"/>
      <c r="AP365" s="123"/>
      <c r="AQ365" s="122">
        <v>27168750</v>
      </c>
      <c r="AR365" s="122">
        <v>95.39</v>
      </c>
      <c r="AS365" s="122">
        <v>1</v>
      </c>
      <c r="AT365" s="122">
        <v>25916.270629999999</v>
      </c>
      <c r="AU365" s="122">
        <v>25916.270629999999</v>
      </c>
      <c r="AV365" s="120"/>
      <c r="AW365" s="120"/>
      <c r="AX365" s="120"/>
      <c r="AY365" s="120"/>
      <c r="AZ365" s="123">
        <v>9.0259999999999993E-3</v>
      </c>
      <c r="BA365" s="123">
        <v>4.3100000000000001E-4</v>
      </c>
    </row>
    <row r="366" spans="1:53" ht="15" customHeight="1">
      <c r="A366" s="121">
        <v>313</v>
      </c>
      <c r="B366" s="121">
        <v>313</v>
      </c>
      <c r="C366" s="121"/>
      <c r="D366" s="120"/>
      <c r="E366" s="120"/>
      <c r="F366" s="121">
        <v>50000398</v>
      </c>
      <c r="G366" s="120" t="s">
        <v>1013</v>
      </c>
      <c r="H366" s="120" t="s">
        <v>812</v>
      </c>
      <c r="I366" s="120" t="s">
        <v>203</v>
      </c>
      <c r="J366" s="120"/>
      <c r="K366" s="120" t="s">
        <v>446</v>
      </c>
      <c r="L366" s="120" t="s">
        <v>338</v>
      </c>
      <c r="M366" s="120" t="s">
        <v>337</v>
      </c>
      <c r="N366" s="121"/>
      <c r="O366" s="124">
        <v>44280</v>
      </c>
      <c r="P366" s="120" t="s">
        <v>1335</v>
      </c>
      <c r="Q366" s="120" t="s">
        <v>414</v>
      </c>
      <c r="R366" s="120" t="s">
        <v>407</v>
      </c>
      <c r="S366" s="120" t="s">
        <v>1218</v>
      </c>
      <c r="T366" s="122">
        <v>10.039999999999999</v>
      </c>
      <c r="U366" s="120" t="s">
        <v>2613</v>
      </c>
      <c r="V366" s="123">
        <v>0.03</v>
      </c>
      <c r="W366" s="120"/>
      <c r="X366" s="120"/>
      <c r="Y366" s="123"/>
      <c r="Z366" s="123">
        <v>3.4099999999999998E-2</v>
      </c>
      <c r="AA366" s="124">
        <v>54239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45838</v>
      </c>
      <c r="AO366" s="120"/>
      <c r="AP366" s="123"/>
      <c r="AQ366" s="122">
        <v>77615874.579999998</v>
      </c>
      <c r="AR366" s="122">
        <v>112.62</v>
      </c>
      <c r="AS366" s="122">
        <v>1</v>
      </c>
      <c r="AT366" s="122">
        <v>87410.997950000004</v>
      </c>
      <c r="AU366" s="122">
        <v>87410.997950000004</v>
      </c>
      <c r="AV366" s="120"/>
      <c r="AW366" s="120"/>
      <c r="AX366" s="120"/>
      <c r="AY366" s="120"/>
      <c r="AZ366" s="123">
        <v>3.0443000000000001E-2</v>
      </c>
      <c r="BA366" s="123">
        <v>1.4549999999999999E-3</v>
      </c>
    </row>
    <row r="367" spans="1:53" ht="15" customHeight="1">
      <c r="A367" s="121">
        <v>313</v>
      </c>
      <c r="B367" s="121">
        <v>313</v>
      </c>
      <c r="C367" s="121"/>
      <c r="D367" s="120"/>
      <c r="E367" s="120"/>
      <c r="F367" s="121">
        <v>46003</v>
      </c>
      <c r="G367" s="120" t="s">
        <v>1013</v>
      </c>
      <c r="H367" s="120" t="s">
        <v>812</v>
      </c>
      <c r="I367" s="120" t="s">
        <v>203</v>
      </c>
      <c r="J367" s="120"/>
      <c r="K367" s="120" t="s">
        <v>439</v>
      </c>
      <c r="L367" s="120" t="s">
        <v>338</v>
      </c>
      <c r="M367" s="120" t="s">
        <v>338</v>
      </c>
      <c r="N367" s="121"/>
      <c r="O367" s="124">
        <v>42241</v>
      </c>
      <c r="P367" s="120" t="s">
        <v>409</v>
      </c>
      <c r="Q367" s="120" t="s">
        <v>409</v>
      </c>
      <c r="R367" s="120" t="s">
        <v>409</v>
      </c>
      <c r="S367" s="120" t="s">
        <v>1218</v>
      </c>
      <c r="T367" s="122">
        <v>3.97</v>
      </c>
      <c r="U367" s="120" t="s">
        <v>2613</v>
      </c>
      <c r="V367" s="123">
        <v>3.8138999999999999E-2</v>
      </c>
      <c r="W367" s="120"/>
      <c r="X367" s="120"/>
      <c r="Y367" s="123"/>
      <c r="Z367" s="123">
        <v>2.64E-2</v>
      </c>
      <c r="AA367" s="124">
        <v>48944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45838</v>
      </c>
      <c r="AO367" s="120"/>
      <c r="AP367" s="123"/>
      <c r="AQ367" s="122">
        <v>3336142.44</v>
      </c>
      <c r="AR367" s="122">
        <v>122.54</v>
      </c>
      <c r="AS367" s="122">
        <v>1</v>
      </c>
      <c r="AT367" s="122">
        <v>4088.1089499999998</v>
      </c>
      <c r="AU367" s="122">
        <v>4088.1089499999998</v>
      </c>
      <c r="AV367" s="120"/>
      <c r="AW367" s="120"/>
      <c r="AX367" s="120"/>
      <c r="AY367" s="120"/>
      <c r="AZ367" s="123">
        <v>1.423E-3</v>
      </c>
      <c r="BA367" s="123">
        <v>6.7999999999999999E-5</v>
      </c>
    </row>
    <row r="368" spans="1:53" ht="15" customHeight="1">
      <c r="A368" s="121">
        <v>313</v>
      </c>
      <c r="B368" s="121">
        <v>313</v>
      </c>
      <c r="C368" s="121"/>
      <c r="D368" s="120"/>
      <c r="E368" s="120"/>
      <c r="F368" s="121">
        <v>34835</v>
      </c>
      <c r="G368" s="120" t="s">
        <v>1013</v>
      </c>
      <c r="H368" s="120" t="s">
        <v>812</v>
      </c>
      <c r="I368" s="120" t="s">
        <v>203</v>
      </c>
      <c r="J368" s="120"/>
      <c r="K368" s="120" t="s">
        <v>484</v>
      </c>
      <c r="L368" s="120" t="s">
        <v>338</v>
      </c>
      <c r="M368" s="120" t="s">
        <v>337</v>
      </c>
      <c r="N368" s="121"/>
      <c r="O368" s="124">
        <v>41298</v>
      </c>
      <c r="P368" s="120" t="s">
        <v>1285</v>
      </c>
      <c r="Q368" s="120" t="s">
        <v>412</v>
      </c>
      <c r="R368" s="120" t="s">
        <v>407</v>
      </c>
      <c r="S368" s="120" t="s">
        <v>1218</v>
      </c>
      <c r="T368" s="122">
        <v>3.07</v>
      </c>
      <c r="U368" s="120" t="s">
        <v>2613</v>
      </c>
      <c r="V368" s="123">
        <v>5.5E-2</v>
      </c>
      <c r="W368" s="120"/>
      <c r="X368" s="120"/>
      <c r="Y368" s="123"/>
      <c r="Z368" s="123">
        <v>2.98E-2</v>
      </c>
      <c r="AA368" s="124">
        <v>47986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45838</v>
      </c>
      <c r="AO368" s="120"/>
      <c r="AP368" s="123"/>
      <c r="AQ368" s="122">
        <v>1235137.8799999999</v>
      </c>
      <c r="AR368" s="122">
        <v>127.35</v>
      </c>
      <c r="AS368" s="122">
        <v>1</v>
      </c>
      <c r="AT368" s="122">
        <v>1572.9480900000001</v>
      </c>
      <c r="AU368" s="122">
        <v>1572.9480900000001</v>
      </c>
      <c r="AV368" s="120"/>
      <c r="AW368" s="120"/>
      <c r="AX368" s="120"/>
      <c r="AY368" s="120"/>
      <c r="AZ368" s="123">
        <v>5.4699999999999996E-4</v>
      </c>
      <c r="BA368" s="123">
        <v>2.5999999999999998E-5</v>
      </c>
    </row>
    <row r="369" spans="1:53" ht="15" customHeight="1">
      <c r="A369" s="121">
        <v>313</v>
      </c>
      <c r="B369" s="121">
        <v>313</v>
      </c>
      <c r="C369" s="121"/>
      <c r="D369" s="120"/>
      <c r="E369" s="120"/>
      <c r="F369" s="121">
        <v>44164</v>
      </c>
      <c r="G369" s="120" t="s">
        <v>1013</v>
      </c>
      <c r="H369" s="120" t="s">
        <v>812</v>
      </c>
      <c r="I369" s="120" t="s">
        <v>203</v>
      </c>
      <c r="J369" s="120"/>
      <c r="K369" s="120" t="s">
        <v>484</v>
      </c>
      <c r="L369" s="120" t="s">
        <v>338</v>
      </c>
      <c r="M369" s="120" t="s">
        <v>337</v>
      </c>
      <c r="N369" s="121"/>
      <c r="O369" s="124">
        <v>41330</v>
      </c>
      <c r="P369" s="120" t="s">
        <v>1285</v>
      </c>
      <c r="Q369" s="120" t="s">
        <v>412</v>
      </c>
      <c r="R369" s="120" t="s">
        <v>407</v>
      </c>
      <c r="S369" s="120" t="s">
        <v>1218</v>
      </c>
      <c r="T369" s="122">
        <v>3.07</v>
      </c>
      <c r="U369" s="120" t="s">
        <v>2613</v>
      </c>
      <c r="V369" s="123">
        <v>5.5E-2</v>
      </c>
      <c r="W369" s="120"/>
      <c r="X369" s="120"/>
      <c r="Y369" s="123"/>
      <c r="Z369" s="123">
        <v>2.98E-2</v>
      </c>
      <c r="AA369" s="124">
        <v>47986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45838</v>
      </c>
      <c r="AO369" s="120"/>
      <c r="AP369" s="123"/>
      <c r="AQ369" s="122">
        <v>1914810.99</v>
      </c>
      <c r="AR369" s="122">
        <v>127.58</v>
      </c>
      <c r="AS369" s="122">
        <v>1</v>
      </c>
      <c r="AT369" s="122">
        <v>2442.9158600000001</v>
      </c>
      <c r="AU369" s="122">
        <v>2442.9158600000001</v>
      </c>
      <c r="AV369" s="120"/>
      <c r="AW369" s="120"/>
      <c r="AX369" s="120"/>
      <c r="AY369" s="120"/>
      <c r="AZ369" s="123">
        <v>8.4999999999999995E-4</v>
      </c>
      <c r="BA369" s="123">
        <v>4.0000000000000003E-5</v>
      </c>
    </row>
    <row r="370" spans="1:53" ht="15" customHeight="1">
      <c r="A370" s="121">
        <v>313</v>
      </c>
      <c r="B370" s="121">
        <v>313</v>
      </c>
      <c r="C370" s="121"/>
      <c r="D370" s="120"/>
      <c r="E370" s="120"/>
      <c r="F370" s="121">
        <v>44123</v>
      </c>
      <c r="G370" s="120" t="s">
        <v>1013</v>
      </c>
      <c r="H370" s="120" t="s">
        <v>812</v>
      </c>
      <c r="I370" s="120" t="s">
        <v>203</v>
      </c>
      <c r="J370" s="120"/>
      <c r="K370" s="120" t="s">
        <v>439</v>
      </c>
      <c r="L370" s="120" t="s">
        <v>338</v>
      </c>
      <c r="M370" s="120" t="s">
        <v>337</v>
      </c>
      <c r="N370" s="121"/>
      <c r="O370" s="124">
        <v>41269</v>
      </c>
      <c r="P370" s="120" t="s">
        <v>1294</v>
      </c>
      <c r="Q370" s="120" t="s">
        <v>414</v>
      </c>
      <c r="R370" s="120" t="s">
        <v>407</v>
      </c>
      <c r="S370" s="120" t="s">
        <v>1218</v>
      </c>
      <c r="T370" s="122">
        <v>3.56</v>
      </c>
      <c r="U370" s="120" t="s">
        <v>2613</v>
      </c>
      <c r="V370" s="123">
        <v>5.3499999999999999E-2</v>
      </c>
      <c r="W370" s="120"/>
      <c r="X370" s="120"/>
      <c r="Y370" s="123"/>
      <c r="Z370" s="123">
        <v>2.4400000000000002E-2</v>
      </c>
      <c r="AA370" s="124">
        <v>48479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45838</v>
      </c>
      <c r="AO370" s="120"/>
      <c r="AP370" s="123"/>
      <c r="AQ370" s="122">
        <v>1558319.86</v>
      </c>
      <c r="AR370" s="122">
        <v>133.6</v>
      </c>
      <c r="AS370" s="122">
        <v>1</v>
      </c>
      <c r="AT370" s="122">
        <v>2081.9153299999998</v>
      </c>
      <c r="AU370" s="122">
        <v>2081.9153299999998</v>
      </c>
      <c r="AV370" s="120"/>
      <c r="AW370" s="120"/>
      <c r="AX370" s="120"/>
      <c r="AY370" s="120"/>
      <c r="AZ370" s="123">
        <v>7.2499999999999995E-4</v>
      </c>
      <c r="BA370" s="123">
        <v>3.4E-5</v>
      </c>
    </row>
    <row r="371" spans="1:53" ht="15" customHeight="1">
      <c r="A371" s="121">
        <v>313</v>
      </c>
      <c r="B371" s="121">
        <v>313</v>
      </c>
      <c r="C371" s="121"/>
      <c r="D371" s="120"/>
      <c r="E371" s="120"/>
      <c r="F371" s="121">
        <v>34900</v>
      </c>
      <c r="G371" s="120" t="s">
        <v>1013</v>
      </c>
      <c r="H371" s="120" t="s">
        <v>812</v>
      </c>
      <c r="I371" s="120" t="s">
        <v>203</v>
      </c>
      <c r="J371" s="120"/>
      <c r="K371" s="120" t="s">
        <v>439</v>
      </c>
      <c r="L371" s="120" t="s">
        <v>338</v>
      </c>
      <c r="M371" s="120" t="s">
        <v>337</v>
      </c>
      <c r="N371" s="121"/>
      <c r="O371" s="124">
        <v>41281</v>
      </c>
      <c r="P371" s="120" t="s">
        <v>1294</v>
      </c>
      <c r="Q371" s="120" t="s">
        <v>414</v>
      </c>
      <c r="R371" s="120" t="s">
        <v>407</v>
      </c>
      <c r="S371" s="120" t="s">
        <v>1218</v>
      </c>
      <c r="T371" s="122">
        <v>3.56</v>
      </c>
      <c r="U371" s="120" t="s">
        <v>2613</v>
      </c>
      <c r="V371" s="123">
        <v>5.3499999999999999E-2</v>
      </c>
      <c r="W371" s="120"/>
      <c r="X371" s="120"/>
      <c r="Y371" s="123"/>
      <c r="Z371" s="123">
        <v>2.4500000000000001E-2</v>
      </c>
      <c r="AA371" s="124">
        <v>48479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45838</v>
      </c>
      <c r="AO371" s="120"/>
      <c r="AP371" s="123"/>
      <c r="AQ371" s="122">
        <v>1804594.35</v>
      </c>
      <c r="AR371" s="122">
        <v>133.58000000000001</v>
      </c>
      <c r="AS371" s="122">
        <v>1</v>
      </c>
      <c r="AT371" s="122">
        <v>2410.5771300000001</v>
      </c>
      <c r="AU371" s="122">
        <v>2410.5771300000001</v>
      </c>
      <c r="AV371" s="120"/>
      <c r="AW371" s="120"/>
      <c r="AX371" s="120"/>
      <c r="AY371" s="120"/>
      <c r="AZ371" s="123">
        <v>8.3900000000000001E-4</v>
      </c>
      <c r="BA371" s="123">
        <v>4.0000000000000003E-5</v>
      </c>
    </row>
    <row r="372" spans="1:53" ht="15" customHeight="1">
      <c r="A372" s="121">
        <v>313</v>
      </c>
      <c r="B372" s="121">
        <v>313</v>
      </c>
      <c r="C372" s="121"/>
      <c r="D372" s="120"/>
      <c r="E372" s="120"/>
      <c r="F372" s="121">
        <v>34918</v>
      </c>
      <c r="G372" s="120" t="s">
        <v>1013</v>
      </c>
      <c r="H372" s="120" t="s">
        <v>812</v>
      </c>
      <c r="I372" s="120" t="s">
        <v>203</v>
      </c>
      <c r="J372" s="120"/>
      <c r="K372" s="120" t="s">
        <v>439</v>
      </c>
      <c r="L372" s="120" t="s">
        <v>338</v>
      </c>
      <c r="M372" s="120" t="s">
        <v>337</v>
      </c>
      <c r="N372" s="121"/>
      <c r="O372" s="124">
        <v>41281</v>
      </c>
      <c r="P372" s="120" t="s">
        <v>1294</v>
      </c>
      <c r="Q372" s="120" t="s">
        <v>414</v>
      </c>
      <c r="R372" s="120" t="s">
        <v>407</v>
      </c>
      <c r="S372" s="120" t="s">
        <v>1218</v>
      </c>
      <c r="T372" s="122">
        <v>3.56</v>
      </c>
      <c r="U372" s="120" t="s">
        <v>2613</v>
      </c>
      <c r="V372" s="123">
        <v>5.3499999999999999E-2</v>
      </c>
      <c r="W372" s="120"/>
      <c r="X372" s="120"/>
      <c r="Y372" s="123"/>
      <c r="Z372" s="123">
        <v>2.4500000000000001E-2</v>
      </c>
      <c r="AA372" s="124">
        <v>48479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45838</v>
      </c>
      <c r="AO372" s="120"/>
      <c r="AP372" s="123"/>
      <c r="AQ372" s="122">
        <v>1502600.95</v>
      </c>
      <c r="AR372" s="122">
        <v>133.58000000000001</v>
      </c>
      <c r="AS372" s="122">
        <v>1</v>
      </c>
      <c r="AT372" s="122">
        <v>2007.17435</v>
      </c>
      <c r="AU372" s="122">
        <v>2007.17435</v>
      </c>
      <c r="AV372" s="120"/>
      <c r="AW372" s="120"/>
      <c r="AX372" s="120"/>
      <c r="AY372" s="120"/>
      <c r="AZ372" s="123">
        <v>6.9899999999999997E-4</v>
      </c>
      <c r="BA372" s="123">
        <v>3.3000000000000003E-5</v>
      </c>
    </row>
    <row r="373" spans="1:53" ht="15" customHeight="1">
      <c r="A373" s="121">
        <v>313</v>
      </c>
      <c r="B373" s="121">
        <v>313</v>
      </c>
      <c r="C373" s="121"/>
      <c r="D373" s="120"/>
      <c r="E373" s="120"/>
      <c r="F373" s="121">
        <v>35683</v>
      </c>
      <c r="G373" s="120" t="s">
        <v>1013</v>
      </c>
      <c r="H373" s="120" t="s">
        <v>812</v>
      </c>
      <c r="I373" s="120" t="s">
        <v>203</v>
      </c>
      <c r="J373" s="120"/>
      <c r="K373" s="120" t="s">
        <v>470</v>
      </c>
      <c r="L373" s="120" t="s">
        <v>338</v>
      </c>
      <c r="M373" s="120" t="s">
        <v>338</v>
      </c>
      <c r="N373" s="121"/>
      <c r="O373" s="124">
        <v>41681</v>
      </c>
      <c r="P373" s="120" t="s">
        <v>1331</v>
      </c>
      <c r="Q373" s="120" t="s">
        <v>414</v>
      </c>
      <c r="R373" s="120" t="s">
        <v>407</v>
      </c>
      <c r="S373" s="120" t="s">
        <v>1218</v>
      </c>
      <c r="T373" s="122">
        <v>1.71</v>
      </c>
      <c r="U373" s="120" t="s">
        <v>2613</v>
      </c>
      <c r="V373" s="123">
        <v>4.5999999999999999E-2</v>
      </c>
      <c r="W373" s="120"/>
      <c r="X373" s="120"/>
      <c r="Y373" s="123"/>
      <c r="Z373" s="123">
        <v>2.6800000000000001E-2</v>
      </c>
      <c r="AA373" s="124">
        <v>46934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45838</v>
      </c>
      <c r="AO373" s="120"/>
      <c r="AP373" s="123"/>
      <c r="AQ373" s="122">
        <v>967644.03</v>
      </c>
      <c r="AR373" s="122">
        <v>120.65</v>
      </c>
      <c r="AS373" s="122">
        <v>1</v>
      </c>
      <c r="AT373" s="122">
        <v>1167.46252</v>
      </c>
      <c r="AU373" s="122">
        <v>1167.46252</v>
      </c>
      <c r="AV373" s="120"/>
      <c r="AW373" s="120"/>
      <c r="AX373" s="120"/>
      <c r="AY373" s="120"/>
      <c r="AZ373" s="123">
        <v>4.06E-4</v>
      </c>
      <c r="BA373" s="123">
        <v>1.9000000000000001E-5</v>
      </c>
    </row>
    <row r="374" spans="1:53" ht="15" customHeight="1">
      <c r="A374" s="121">
        <v>313</v>
      </c>
      <c r="B374" s="121">
        <v>313</v>
      </c>
      <c r="C374" s="121"/>
      <c r="D374" s="120"/>
      <c r="E374" s="120"/>
      <c r="F374" s="121">
        <v>36228</v>
      </c>
      <c r="G374" s="120" t="s">
        <v>1013</v>
      </c>
      <c r="H374" s="120" t="s">
        <v>812</v>
      </c>
      <c r="I374" s="120" t="s">
        <v>203</v>
      </c>
      <c r="J374" s="120"/>
      <c r="K374" s="120" t="s">
        <v>439</v>
      </c>
      <c r="L374" s="120" t="s">
        <v>338</v>
      </c>
      <c r="M374" s="120" t="s">
        <v>337</v>
      </c>
      <c r="N374" s="121"/>
      <c r="O374" s="124">
        <v>41816</v>
      </c>
      <c r="P374" s="120" t="s">
        <v>409</v>
      </c>
      <c r="Q374" s="120" t="s">
        <v>409</v>
      </c>
      <c r="R374" s="120" t="s">
        <v>409</v>
      </c>
      <c r="S374" s="120" t="s">
        <v>1218</v>
      </c>
      <c r="T374" s="122">
        <v>5.59</v>
      </c>
      <c r="U374" s="120" t="s">
        <v>2613</v>
      </c>
      <c r="V374" s="123">
        <v>4.4999999999999998E-2</v>
      </c>
      <c r="W374" s="120"/>
      <c r="X374" s="120"/>
      <c r="Y374" s="123"/>
      <c r="Z374" s="123">
        <v>5.0900000000000001E-2</v>
      </c>
      <c r="AA374" s="124">
        <v>50399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45838</v>
      </c>
      <c r="AO374" s="120"/>
      <c r="AP374" s="123"/>
      <c r="AQ374" s="122">
        <v>5942027.2300000004</v>
      </c>
      <c r="AR374" s="122">
        <v>114.01</v>
      </c>
      <c r="AS374" s="122">
        <v>1</v>
      </c>
      <c r="AT374" s="122">
        <v>6774.5052400000004</v>
      </c>
      <c r="AU374" s="122">
        <v>6774.5052400000004</v>
      </c>
      <c r="AV374" s="120"/>
      <c r="AW374" s="120"/>
      <c r="AX374" s="120"/>
      <c r="AY374" s="120"/>
      <c r="AZ374" s="123">
        <v>2.359E-3</v>
      </c>
      <c r="BA374" s="123">
        <v>1.12E-4</v>
      </c>
    </row>
    <row r="375" spans="1:53" ht="15" customHeight="1">
      <c r="A375" s="121">
        <v>313</v>
      </c>
      <c r="B375" s="121">
        <v>313</v>
      </c>
      <c r="C375" s="121"/>
      <c r="D375" s="120"/>
      <c r="E375" s="120"/>
      <c r="F375" s="121">
        <v>36251</v>
      </c>
      <c r="G375" s="120" t="s">
        <v>1013</v>
      </c>
      <c r="H375" s="120" t="s">
        <v>812</v>
      </c>
      <c r="I375" s="120" t="s">
        <v>203</v>
      </c>
      <c r="J375" s="120"/>
      <c r="K375" s="120" t="s">
        <v>439</v>
      </c>
      <c r="L375" s="120" t="s">
        <v>338</v>
      </c>
      <c r="M375" s="120" t="s">
        <v>337</v>
      </c>
      <c r="N375" s="121"/>
      <c r="O375" s="124">
        <v>41893</v>
      </c>
      <c r="P375" s="120" t="s">
        <v>409</v>
      </c>
      <c r="Q375" s="120" t="s">
        <v>409</v>
      </c>
      <c r="R375" s="120" t="s">
        <v>409</v>
      </c>
      <c r="S375" s="120" t="s">
        <v>1218</v>
      </c>
      <c r="T375" s="122">
        <v>5.59</v>
      </c>
      <c r="U375" s="120" t="s">
        <v>2613</v>
      </c>
      <c r="V375" s="123">
        <v>4.4999999999999998E-2</v>
      </c>
      <c r="W375" s="120"/>
      <c r="X375" s="120"/>
      <c r="Y375" s="123"/>
      <c r="Z375" s="123">
        <v>5.0900000000000001E-2</v>
      </c>
      <c r="AA375" s="124">
        <v>50399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45838</v>
      </c>
      <c r="AO375" s="120"/>
      <c r="AP375" s="123"/>
      <c r="AQ375" s="122">
        <v>1165761.97</v>
      </c>
      <c r="AR375" s="122">
        <v>113.56</v>
      </c>
      <c r="AS375" s="122">
        <v>1</v>
      </c>
      <c r="AT375" s="122">
        <v>1323.8392899999999</v>
      </c>
      <c r="AU375" s="122">
        <v>1323.8392899999999</v>
      </c>
      <c r="AV375" s="120"/>
      <c r="AW375" s="120"/>
      <c r="AX375" s="120"/>
      <c r="AY375" s="120"/>
      <c r="AZ375" s="123">
        <v>4.6099999999999998E-4</v>
      </c>
      <c r="BA375" s="123">
        <v>2.1999999999999999E-5</v>
      </c>
    </row>
    <row r="376" spans="1:53" ht="15" customHeight="1">
      <c r="A376" s="121">
        <v>313</v>
      </c>
      <c r="B376" s="121">
        <v>313</v>
      </c>
      <c r="C376" s="121"/>
      <c r="D376" s="120"/>
      <c r="E376" s="120"/>
      <c r="F376" s="121">
        <v>44131</v>
      </c>
      <c r="G376" s="120" t="s">
        <v>1013</v>
      </c>
      <c r="H376" s="120" t="s">
        <v>812</v>
      </c>
      <c r="I376" s="120" t="s">
        <v>203</v>
      </c>
      <c r="J376" s="120"/>
      <c r="K376" s="120" t="s">
        <v>484</v>
      </c>
      <c r="L376" s="120" t="s">
        <v>338</v>
      </c>
      <c r="M376" s="120" t="s">
        <v>337</v>
      </c>
      <c r="N376" s="121"/>
      <c r="O376" s="124">
        <v>41269</v>
      </c>
      <c r="P376" s="120" t="s">
        <v>1285</v>
      </c>
      <c r="Q376" s="120" t="s">
        <v>412</v>
      </c>
      <c r="R376" s="120" t="s">
        <v>407</v>
      </c>
      <c r="S376" s="120" t="s">
        <v>1218</v>
      </c>
      <c r="T376" s="122">
        <v>3.07</v>
      </c>
      <c r="U376" s="120" t="s">
        <v>2613</v>
      </c>
      <c r="V376" s="123">
        <v>5.5E-2</v>
      </c>
      <c r="W376" s="120"/>
      <c r="X376" s="120"/>
      <c r="Y376" s="123"/>
      <c r="Z376" s="123">
        <v>2.9700000000000001E-2</v>
      </c>
      <c r="AA376" s="124">
        <v>47986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45838</v>
      </c>
      <c r="AO376" s="120"/>
      <c r="AP376" s="123"/>
      <c r="AQ376" s="122">
        <v>610325.52</v>
      </c>
      <c r="AR376" s="122">
        <v>127.63</v>
      </c>
      <c r="AS376" s="122">
        <v>1</v>
      </c>
      <c r="AT376" s="122">
        <v>778.95845999999995</v>
      </c>
      <c r="AU376" s="122">
        <v>778.95845999999995</v>
      </c>
      <c r="AV376" s="120"/>
      <c r="AW376" s="120"/>
      <c r="AX376" s="120"/>
      <c r="AY376" s="120"/>
      <c r="AZ376" s="123">
        <v>2.7099999999999997E-4</v>
      </c>
      <c r="BA376" s="123">
        <v>1.2E-5</v>
      </c>
    </row>
    <row r="377" spans="1:53" ht="15" customHeight="1">
      <c r="A377" s="121">
        <v>313</v>
      </c>
      <c r="B377" s="121">
        <v>313</v>
      </c>
      <c r="C377" s="121"/>
      <c r="D377" s="120"/>
      <c r="E377" s="120"/>
      <c r="F377" s="121">
        <v>36608</v>
      </c>
      <c r="G377" s="120" t="s">
        <v>1013</v>
      </c>
      <c r="H377" s="120" t="s">
        <v>812</v>
      </c>
      <c r="I377" s="120" t="s">
        <v>203</v>
      </c>
      <c r="J377" s="120"/>
      <c r="K377" s="120" t="s">
        <v>439</v>
      </c>
      <c r="L377" s="120" t="s">
        <v>338</v>
      </c>
      <c r="M377" s="120" t="s">
        <v>337</v>
      </c>
      <c r="N377" s="121"/>
      <c r="O377" s="124">
        <v>41767</v>
      </c>
      <c r="P377" s="120" t="s">
        <v>1294</v>
      </c>
      <c r="Q377" s="120" t="s">
        <v>414</v>
      </c>
      <c r="R377" s="120" t="s">
        <v>407</v>
      </c>
      <c r="S377" s="120" t="s">
        <v>1218</v>
      </c>
      <c r="T377" s="122">
        <v>3.55</v>
      </c>
      <c r="U377" s="120" t="s">
        <v>2613</v>
      </c>
      <c r="V377" s="123">
        <v>5.3499999999999999E-2</v>
      </c>
      <c r="W377" s="120"/>
      <c r="X377" s="120"/>
      <c r="Y377" s="123"/>
      <c r="Z377" s="123">
        <v>2.7099999999999999E-2</v>
      </c>
      <c r="AA377" s="124">
        <v>48479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45838</v>
      </c>
      <c r="AO377" s="120"/>
      <c r="AP377" s="123"/>
      <c r="AQ377" s="122">
        <v>321820.08</v>
      </c>
      <c r="AR377" s="122">
        <v>130.4</v>
      </c>
      <c r="AS377" s="122">
        <v>1</v>
      </c>
      <c r="AT377" s="122">
        <v>419.65338000000003</v>
      </c>
      <c r="AU377" s="122">
        <v>419.65338000000003</v>
      </c>
      <c r="AV377" s="120"/>
      <c r="AW377" s="120"/>
      <c r="AX377" s="120"/>
      <c r="AY377" s="120"/>
      <c r="AZ377" s="123">
        <v>1.46E-4</v>
      </c>
      <c r="BA377" s="123">
        <v>6.0000000000000002E-6</v>
      </c>
    </row>
    <row r="378" spans="1:53" ht="15" customHeight="1">
      <c r="A378" s="121">
        <v>313</v>
      </c>
      <c r="B378" s="121">
        <v>313</v>
      </c>
      <c r="C378" s="121"/>
      <c r="D378" s="120"/>
      <c r="E378" s="120"/>
      <c r="F378" s="121">
        <v>36624</v>
      </c>
      <c r="G378" s="120" t="s">
        <v>1013</v>
      </c>
      <c r="H378" s="120" t="s">
        <v>812</v>
      </c>
      <c r="I378" s="120" t="s">
        <v>203</v>
      </c>
      <c r="J378" s="120"/>
      <c r="K378" s="120" t="s">
        <v>439</v>
      </c>
      <c r="L378" s="120" t="s">
        <v>338</v>
      </c>
      <c r="M378" s="120" t="s">
        <v>337</v>
      </c>
      <c r="N378" s="121"/>
      <c r="O378" s="124">
        <v>41767</v>
      </c>
      <c r="P378" s="120" t="s">
        <v>1294</v>
      </c>
      <c r="Q378" s="120" t="s">
        <v>414</v>
      </c>
      <c r="R378" s="120" t="s">
        <v>407</v>
      </c>
      <c r="S378" s="120" t="s">
        <v>1218</v>
      </c>
      <c r="T378" s="122">
        <v>3.55</v>
      </c>
      <c r="U378" s="120" t="s">
        <v>2613</v>
      </c>
      <c r="V378" s="123">
        <v>5.3499999999999999E-2</v>
      </c>
      <c r="W378" s="120"/>
      <c r="X378" s="120"/>
      <c r="Y378" s="123"/>
      <c r="Z378" s="123">
        <v>2.7099999999999999E-2</v>
      </c>
      <c r="AA378" s="124">
        <v>48479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45838</v>
      </c>
      <c r="AO378" s="120"/>
      <c r="AP378" s="123"/>
      <c r="AQ378" s="122">
        <v>251859.07</v>
      </c>
      <c r="AR378" s="122">
        <v>130.4</v>
      </c>
      <c r="AS378" s="122">
        <v>1</v>
      </c>
      <c r="AT378" s="122">
        <v>328.42423000000002</v>
      </c>
      <c r="AU378" s="122">
        <v>328.42423000000002</v>
      </c>
      <c r="AV378" s="120"/>
      <c r="AW378" s="120"/>
      <c r="AX378" s="120"/>
      <c r="AY378" s="120"/>
      <c r="AZ378" s="123">
        <v>1.1400000000000001E-4</v>
      </c>
      <c r="BA378" s="123">
        <v>5.0000000000000004E-6</v>
      </c>
    </row>
    <row r="379" spans="1:53" ht="15" customHeight="1">
      <c r="A379" s="121">
        <v>313</v>
      </c>
      <c r="B379" s="121">
        <v>313</v>
      </c>
      <c r="C379" s="121"/>
      <c r="D379" s="120"/>
      <c r="E379" s="120"/>
      <c r="F379" s="121">
        <v>36632</v>
      </c>
      <c r="G379" s="120" t="s">
        <v>1013</v>
      </c>
      <c r="H379" s="120" t="s">
        <v>812</v>
      </c>
      <c r="I379" s="120" t="s">
        <v>203</v>
      </c>
      <c r="J379" s="120"/>
      <c r="K379" s="120" t="s">
        <v>439</v>
      </c>
      <c r="L379" s="120" t="s">
        <v>338</v>
      </c>
      <c r="M379" s="120" t="s">
        <v>337</v>
      </c>
      <c r="N379" s="121"/>
      <c r="O379" s="124">
        <v>41767</v>
      </c>
      <c r="P379" s="120" t="s">
        <v>1294</v>
      </c>
      <c r="Q379" s="120" t="s">
        <v>414</v>
      </c>
      <c r="R379" s="120" t="s">
        <v>407</v>
      </c>
      <c r="S379" s="120" t="s">
        <v>1218</v>
      </c>
      <c r="T379" s="122">
        <v>3.55</v>
      </c>
      <c r="U379" s="120" t="s">
        <v>2613</v>
      </c>
      <c r="V379" s="123">
        <v>5.3499999999999999E-2</v>
      </c>
      <c r="W379" s="120"/>
      <c r="X379" s="120"/>
      <c r="Y379" s="123"/>
      <c r="Z379" s="123">
        <v>2.7099999999999999E-2</v>
      </c>
      <c r="AA379" s="124">
        <v>48479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45838</v>
      </c>
      <c r="AO379" s="120"/>
      <c r="AP379" s="123"/>
      <c r="AQ379" s="122">
        <v>377984.28</v>
      </c>
      <c r="AR379" s="122">
        <v>130.4</v>
      </c>
      <c r="AS379" s="122">
        <v>1</v>
      </c>
      <c r="AT379" s="122">
        <v>492.89150000000001</v>
      </c>
      <c r="AU379" s="122">
        <v>492.89150000000001</v>
      </c>
      <c r="AV379" s="120"/>
      <c r="AW379" s="120"/>
      <c r="AX379" s="120"/>
      <c r="AY379" s="120"/>
      <c r="AZ379" s="123">
        <v>1.7100000000000001E-4</v>
      </c>
      <c r="BA379" s="123">
        <v>7.9999999999999996E-6</v>
      </c>
    </row>
    <row r="380" spans="1:53" ht="15" customHeight="1">
      <c r="A380" s="121">
        <v>313</v>
      </c>
      <c r="B380" s="121">
        <v>313</v>
      </c>
      <c r="C380" s="121"/>
      <c r="D380" s="120"/>
      <c r="E380" s="120"/>
      <c r="F380" s="121">
        <v>36640</v>
      </c>
      <c r="G380" s="120" t="s">
        <v>1013</v>
      </c>
      <c r="H380" s="120" t="s">
        <v>812</v>
      </c>
      <c r="I380" s="120" t="s">
        <v>203</v>
      </c>
      <c r="J380" s="120"/>
      <c r="K380" s="120" t="s">
        <v>439</v>
      </c>
      <c r="L380" s="120" t="s">
        <v>338</v>
      </c>
      <c r="M380" s="120" t="s">
        <v>337</v>
      </c>
      <c r="N380" s="121"/>
      <c r="O380" s="124">
        <v>41767</v>
      </c>
      <c r="P380" s="120" t="s">
        <v>1294</v>
      </c>
      <c r="Q380" s="120" t="s">
        <v>414</v>
      </c>
      <c r="R380" s="120" t="s">
        <v>407</v>
      </c>
      <c r="S380" s="120" t="s">
        <v>1218</v>
      </c>
      <c r="T380" s="122">
        <v>3.55</v>
      </c>
      <c r="U380" s="120" t="s">
        <v>2613</v>
      </c>
      <c r="V380" s="123">
        <v>5.3499999999999999E-2</v>
      </c>
      <c r="W380" s="120"/>
      <c r="X380" s="120"/>
      <c r="Y380" s="123"/>
      <c r="Z380" s="123">
        <v>2.7099999999999999E-2</v>
      </c>
      <c r="AA380" s="124">
        <v>48479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45838</v>
      </c>
      <c r="AO380" s="120"/>
      <c r="AP380" s="123"/>
      <c r="AQ380" s="122">
        <v>307827.90999999997</v>
      </c>
      <c r="AR380" s="122">
        <v>130.4</v>
      </c>
      <c r="AS380" s="122">
        <v>1</v>
      </c>
      <c r="AT380" s="122">
        <v>401.40759000000003</v>
      </c>
      <c r="AU380" s="122">
        <v>401.40759000000003</v>
      </c>
      <c r="AV380" s="120"/>
      <c r="AW380" s="120"/>
      <c r="AX380" s="120"/>
      <c r="AY380" s="120"/>
      <c r="AZ380" s="123">
        <v>1.3899999999999999E-4</v>
      </c>
      <c r="BA380" s="123">
        <v>6.0000000000000002E-6</v>
      </c>
    </row>
    <row r="381" spans="1:53" ht="15" customHeight="1">
      <c r="A381" s="121">
        <v>313</v>
      </c>
      <c r="B381" s="121">
        <v>313</v>
      </c>
      <c r="C381" s="121"/>
      <c r="D381" s="120"/>
      <c r="E381" s="120"/>
      <c r="F381" s="121">
        <v>36723</v>
      </c>
      <c r="G381" s="120" t="s">
        <v>1013</v>
      </c>
      <c r="H381" s="120" t="s">
        <v>812</v>
      </c>
      <c r="I381" s="120" t="s">
        <v>203</v>
      </c>
      <c r="J381" s="120"/>
      <c r="K381" s="120" t="s">
        <v>439</v>
      </c>
      <c r="L381" s="120" t="s">
        <v>338</v>
      </c>
      <c r="M381" s="120" t="s">
        <v>338</v>
      </c>
      <c r="N381" s="121"/>
      <c r="O381" s="124">
        <v>41966</v>
      </c>
      <c r="P381" s="120" t="s">
        <v>1335</v>
      </c>
      <c r="Q381" s="120" t="s">
        <v>414</v>
      </c>
      <c r="R381" s="120" t="s">
        <v>407</v>
      </c>
      <c r="S381" s="120" t="s">
        <v>1218</v>
      </c>
      <c r="T381" s="122">
        <v>3.29</v>
      </c>
      <c r="U381" s="120" t="s">
        <v>2613</v>
      </c>
      <c r="V381" s="123">
        <v>3.5000000000000003E-2</v>
      </c>
      <c r="W381" s="120"/>
      <c r="X381" s="120"/>
      <c r="Y381" s="123"/>
      <c r="Z381" s="123">
        <v>2.5700000000000001E-2</v>
      </c>
      <c r="AA381" s="124">
        <v>48304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45838</v>
      </c>
      <c r="AO381" s="120"/>
      <c r="AP381" s="123"/>
      <c r="AQ381" s="122">
        <v>9373413.7400000002</v>
      </c>
      <c r="AR381" s="122">
        <v>121.45</v>
      </c>
      <c r="AS381" s="122">
        <v>1</v>
      </c>
      <c r="AT381" s="122">
        <v>11384.010990000001</v>
      </c>
      <c r="AU381" s="122">
        <v>11384.010990000001</v>
      </c>
      <c r="AV381" s="120"/>
      <c r="AW381" s="120"/>
      <c r="AX381" s="120"/>
      <c r="AY381" s="120"/>
      <c r="AZ381" s="123">
        <v>3.9639999999999996E-3</v>
      </c>
      <c r="BA381" s="123">
        <v>1.8900000000000001E-4</v>
      </c>
    </row>
    <row r="382" spans="1:53" ht="15" customHeight="1">
      <c r="A382" s="121">
        <v>313</v>
      </c>
      <c r="B382" s="121">
        <v>313</v>
      </c>
      <c r="C382" s="121"/>
      <c r="D382" s="120"/>
      <c r="E382" s="120"/>
      <c r="F382" s="121">
        <v>44115</v>
      </c>
      <c r="G382" s="120" t="s">
        <v>1013</v>
      </c>
      <c r="H382" s="120" t="s">
        <v>812</v>
      </c>
      <c r="I382" s="120" t="s">
        <v>203</v>
      </c>
      <c r="J382" s="120"/>
      <c r="K382" s="120" t="s">
        <v>439</v>
      </c>
      <c r="L382" s="120" t="s">
        <v>338</v>
      </c>
      <c r="M382" s="120" t="s">
        <v>337</v>
      </c>
      <c r="N382" s="121"/>
      <c r="O382" s="124">
        <v>41269</v>
      </c>
      <c r="P382" s="120" t="s">
        <v>1294</v>
      </c>
      <c r="Q382" s="120" t="s">
        <v>414</v>
      </c>
      <c r="R382" s="120" t="s">
        <v>407</v>
      </c>
      <c r="S382" s="120" t="s">
        <v>1218</v>
      </c>
      <c r="T382" s="122">
        <v>3.56</v>
      </c>
      <c r="U382" s="120" t="s">
        <v>2613</v>
      </c>
      <c r="V382" s="123">
        <v>5.3499999999999999E-2</v>
      </c>
      <c r="W382" s="120"/>
      <c r="X382" s="120"/>
      <c r="Y382" s="123"/>
      <c r="Z382" s="123">
        <v>2.4400000000000002E-2</v>
      </c>
      <c r="AA382" s="124">
        <v>48479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45838</v>
      </c>
      <c r="AO382" s="120"/>
      <c r="AP382" s="123"/>
      <c r="AQ382" s="122">
        <v>1655716.7</v>
      </c>
      <c r="AR382" s="122">
        <v>133.6</v>
      </c>
      <c r="AS382" s="122">
        <v>1</v>
      </c>
      <c r="AT382" s="122">
        <v>2212.0375100000001</v>
      </c>
      <c r="AU382" s="122">
        <v>2212.0375100000001</v>
      </c>
      <c r="AV382" s="120"/>
      <c r="AW382" s="120"/>
      <c r="AX382" s="120"/>
      <c r="AY382" s="120"/>
      <c r="AZ382" s="123">
        <v>7.6999999999999996E-4</v>
      </c>
      <c r="BA382" s="123">
        <v>3.6000000000000001E-5</v>
      </c>
    </row>
    <row r="383" spans="1:53" ht="15" customHeight="1">
      <c r="A383" s="121">
        <v>313</v>
      </c>
      <c r="B383" s="121">
        <v>313</v>
      </c>
      <c r="C383" s="121"/>
      <c r="D383" s="120"/>
      <c r="E383" s="120"/>
      <c r="F383" s="121">
        <v>36616</v>
      </c>
      <c r="G383" s="120" t="s">
        <v>1013</v>
      </c>
      <c r="H383" s="120" t="s">
        <v>812</v>
      </c>
      <c r="I383" s="120" t="s">
        <v>203</v>
      </c>
      <c r="J383" s="120"/>
      <c r="K383" s="120" t="s">
        <v>439</v>
      </c>
      <c r="L383" s="120" t="s">
        <v>338</v>
      </c>
      <c r="M383" s="120" t="s">
        <v>337</v>
      </c>
      <c r="N383" s="121"/>
      <c r="O383" s="124">
        <v>41767</v>
      </c>
      <c r="P383" s="120" t="s">
        <v>1294</v>
      </c>
      <c r="Q383" s="120" t="s">
        <v>414</v>
      </c>
      <c r="R383" s="120" t="s">
        <v>407</v>
      </c>
      <c r="S383" s="120" t="s">
        <v>1218</v>
      </c>
      <c r="T383" s="122">
        <v>3.55</v>
      </c>
      <c r="U383" s="120" t="s">
        <v>2613</v>
      </c>
      <c r="V383" s="123">
        <v>5.3499999999999999E-2</v>
      </c>
      <c r="W383" s="120"/>
      <c r="X383" s="120"/>
      <c r="Y383" s="123"/>
      <c r="Z383" s="123">
        <v>2.7099999999999999E-2</v>
      </c>
      <c r="AA383" s="124">
        <v>48479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45838</v>
      </c>
      <c r="AO383" s="120"/>
      <c r="AP383" s="123"/>
      <c r="AQ383" s="122">
        <v>321820.08</v>
      </c>
      <c r="AR383" s="122">
        <v>130.4</v>
      </c>
      <c r="AS383" s="122">
        <v>1</v>
      </c>
      <c r="AT383" s="122">
        <v>419.65338000000003</v>
      </c>
      <c r="AU383" s="122">
        <v>419.65338000000003</v>
      </c>
      <c r="AV383" s="120"/>
      <c r="AW383" s="120"/>
      <c r="AX383" s="120"/>
      <c r="AY383" s="120"/>
      <c r="AZ383" s="123">
        <v>1.46E-4</v>
      </c>
      <c r="BA383" s="123">
        <v>6.0000000000000002E-6</v>
      </c>
    </row>
    <row r="384" spans="1:53" ht="15" customHeight="1">
      <c r="A384" s="121">
        <v>313</v>
      </c>
      <c r="B384" s="121">
        <v>313</v>
      </c>
      <c r="C384" s="121"/>
      <c r="D384" s="120"/>
      <c r="E384" s="120"/>
      <c r="F384" s="121">
        <v>81828</v>
      </c>
      <c r="G384" s="120" t="s">
        <v>1013</v>
      </c>
      <c r="H384" s="120" t="s">
        <v>812</v>
      </c>
      <c r="I384" s="120" t="s">
        <v>203</v>
      </c>
      <c r="J384" s="120"/>
      <c r="K384" s="120" t="s">
        <v>454</v>
      </c>
      <c r="L384" s="120" t="s">
        <v>338</v>
      </c>
      <c r="M384" s="120" t="s">
        <v>338</v>
      </c>
      <c r="N384" s="121"/>
      <c r="O384" s="124">
        <v>43275</v>
      </c>
      <c r="P384" s="120" t="s">
        <v>2621</v>
      </c>
      <c r="Q384" s="120" t="s">
        <v>414</v>
      </c>
      <c r="R384" s="120" t="s">
        <v>407</v>
      </c>
      <c r="S384" s="120" t="s">
        <v>1218</v>
      </c>
      <c r="T384" s="122">
        <v>6.69</v>
      </c>
      <c r="U384" s="120" t="s">
        <v>2613</v>
      </c>
      <c r="V384" s="123">
        <v>3.39E-2</v>
      </c>
      <c r="W384" s="120"/>
      <c r="X384" s="120"/>
      <c r="Y384" s="123"/>
      <c r="Z384" s="123">
        <v>2.9100000000000001E-2</v>
      </c>
      <c r="AA384" s="124">
        <v>51134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45838</v>
      </c>
      <c r="AO384" s="120"/>
      <c r="AP384" s="123"/>
      <c r="AQ384" s="122">
        <v>172770.78</v>
      </c>
      <c r="AR384" s="122">
        <v>119.45</v>
      </c>
      <c r="AS384" s="122">
        <v>1</v>
      </c>
      <c r="AT384" s="122">
        <v>206.37469999999999</v>
      </c>
      <c r="AU384" s="122">
        <v>206.37469999999999</v>
      </c>
      <c r="AV384" s="120"/>
      <c r="AW384" s="120"/>
      <c r="AX384" s="120"/>
      <c r="AY384" s="120"/>
      <c r="AZ384" s="123">
        <v>7.1000000000000005E-5</v>
      </c>
      <c r="BA384" s="123">
        <v>3.0000000000000001E-6</v>
      </c>
    </row>
    <row r="385" spans="1:53" ht="15" customHeight="1">
      <c r="A385" s="121">
        <v>313</v>
      </c>
      <c r="B385" s="121">
        <v>313</v>
      </c>
      <c r="C385" s="121"/>
      <c r="D385" s="120"/>
      <c r="E385" s="120"/>
      <c r="F385" s="121">
        <v>50001041</v>
      </c>
      <c r="G385" s="120" t="s">
        <v>1013</v>
      </c>
      <c r="H385" s="120" t="s">
        <v>2617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44769</v>
      </c>
      <c r="P385" s="120" t="s">
        <v>2621</v>
      </c>
      <c r="Q385" s="120" t="s">
        <v>414</v>
      </c>
      <c r="R385" s="120" t="s">
        <v>407</v>
      </c>
      <c r="S385" s="120" t="s">
        <v>1218</v>
      </c>
      <c r="T385" s="122">
        <v>17.72</v>
      </c>
      <c r="U385" s="120" t="s">
        <v>2613</v>
      </c>
      <c r="V385" s="123">
        <v>3.3371999999999999E-2</v>
      </c>
      <c r="W385" s="120"/>
      <c r="X385" s="120"/>
      <c r="Y385" s="123"/>
      <c r="Z385" s="123">
        <v>4.1700000000000001E-2</v>
      </c>
      <c r="AA385" s="124">
        <v>52305</v>
      </c>
      <c r="AB385" s="120" t="s">
        <v>411</v>
      </c>
      <c r="AC385" s="120"/>
      <c r="AD385" s="122"/>
      <c r="AE385" s="123"/>
      <c r="AF385" s="124">
        <v>45108</v>
      </c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45838</v>
      </c>
      <c r="AO385" s="120"/>
      <c r="AP385" s="123"/>
      <c r="AQ385" s="122">
        <v>195320.19</v>
      </c>
      <c r="AR385" s="122">
        <v>96.57</v>
      </c>
      <c r="AS385" s="122">
        <v>1</v>
      </c>
      <c r="AT385" s="122">
        <v>188.62071</v>
      </c>
      <c r="AU385" s="122">
        <v>188.62071</v>
      </c>
      <c r="AV385" s="120"/>
      <c r="AW385" s="120"/>
      <c r="AX385" s="120"/>
      <c r="AY385" s="120"/>
      <c r="AZ385" s="123">
        <v>6.4999999999999994E-5</v>
      </c>
      <c r="BA385" s="123">
        <v>3.0000000000000001E-6</v>
      </c>
    </row>
    <row r="386" spans="1:53" ht="15" customHeight="1">
      <c r="A386" s="121">
        <v>313</v>
      </c>
      <c r="B386" s="121">
        <v>313</v>
      </c>
      <c r="C386" s="121"/>
      <c r="D386" s="120"/>
      <c r="E386" s="120"/>
      <c r="F386" s="121">
        <v>50001043</v>
      </c>
      <c r="G386" s="120" t="s">
        <v>1013</v>
      </c>
      <c r="H386" s="120" t="s">
        <v>2617</v>
      </c>
      <c r="I386" s="120" t="s">
        <v>203</v>
      </c>
      <c r="J386" s="120"/>
      <c r="K386" s="120" t="s">
        <v>446</v>
      </c>
      <c r="L386" s="120" t="s">
        <v>338</v>
      </c>
      <c r="M386" s="120" t="s">
        <v>337</v>
      </c>
      <c r="N386" s="121"/>
      <c r="O386" s="124">
        <v>44803</v>
      </c>
      <c r="P386" s="120" t="s">
        <v>2621</v>
      </c>
      <c r="Q386" s="120" t="s">
        <v>414</v>
      </c>
      <c r="R386" s="120" t="s">
        <v>407</v>
      </c>
      <c r="S386" s="120" t="s">
        <v>1218</v>
      </c>
      <c r="T386" s="122">
        <v>8.0500000000000007</v>
      </c>
      <c r="U386" s="120" t="s">
        <v>2613</v>
      </c>
      <c r="V386" s="123">
        <v>2.8946E-2</v>
      </c>
      <c r="W386" s="120"/>
      <c r="X386" s="120"/>
      <c r="Y386" s="123"/>
      <c r="Z386" s="123">
        <v>3.4200000000000001E-2</v>
      </c>
      <c r="AA386" s="124">
        <v>51940</v>
      </c>
      <c r="AB386" s="120" t="s">
        <v>411</v>
      </c>
      <c r="AC386" s="120"/>
      <c r="AD386" s="122"/>
      <c r="AE386" s="123"/>
      <c r="AF386" s="124">
        <v>45108</v>
      </c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45838</v>
      </c>
      <c r="AO386" s="120"/>
      <c r="AP386" s="123"/>
      <c r="AQ386" s="122">
        <v>88304.84</v>
      </c>
      <c r="AR386" s="122">
        <v>105.07</v>
      </c>
      <c r="AS386" s="122">
        <v>1</v>
      </c>
      <c r="AT386" s="122">
        <v>92.781899999999993</v>
      </c>
      <c r="AU386" s="122">
        <v>92.781899999999993</v>
      </c>
      <c r="AV386" s="120"/>
      <c r="AW386" s="120"/>
      <c r="AX386" s="120"/>
      <c r="AY386" s="120"/>
      <c r="AZ386" s="123">
        <v>3.1999999999999999E-5</v>
      </c>
      <c r="BA386" s="123">
        <v>9.9999999999999995E-7</v>
      </c>
    </row>
    <row r="387" spans="1:53" ht="15" customHeight="1">
      <c r="A387" s="121">
        <v>313</v>
      </c>
      <c r="B387" s="121">
        <v>313</v>
      </c>
      <c r="C387" s="121"/>
      <c r="D387" s="120"/>
      <c r="E387" s="120"/>
      <c r="F387" s="121">
        <v>70005211</v>
      </c>
      <c r="G387" s="120" t="s">
        <v>1013</v>
      </c>
      <c r="H387" s="120" t="s">
        <v>2617</v>
      </c>
      <c r="I387" s="120" t="s">
        <v>203</v>
      </c>
      <c r="J387" s="120"/>
      <c r="K387" s="120" t="s">
        <v>463</v>
      </c>
      <c r="L387" s="120" t="s">
        <v>338</v>
      </c>
      <c r="M387" s="120" t="s">
        <v>337</v>
      </c>
      <c r="N387" s="121"/>
      <c r="O387" s="124">
        <v>45711</v>
      </c>
      <c r="P387" s="120" t="s">
        <v>1331</v>
      </c>
      <c r="Q387" s="120" t="s">
        <v>414</v>
      </c>
      <c r="R387" s="120" t="s">
        <v>407</v>
      </c>
      <c r="S387" s="120" t="s">
        <v>1218</v>
      </c>
      <c r="T387" s="122">
        <v>0.3</v>
      </c>
      <c r="U387" s="120" t="s">
        <v>824</v>
      </c>
      <c r="V387" s="123">
        <v>6.9000000000000006E-2</v>
      </c>
      <c r="W387" s="120"/>
      <c r="X387" s="120"/>
      <c r="Y387" s="123"/>
      <c r="Z387" s="123">
        <v>6.0699999999999997E-2</v>
      </c>
      <c r="AA387" s="124">
        <v>45949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338</v>
      </c>
      <c r="AK387" s="120" t="s">
        <v>887</v>
      </c>
      <c r="AL387" s="120"/>
      <c r="AM387" s="120" t="s">
        <v>890</v>
      </c>
      <c r="AN387" s="124">
        <v>45838</v>
      </c>
      <c r="AO387" s="120"/>
      <c r="AP387" s="123"/>
      <c r="AQ387" s="122">
        <v>10120000</v>
      </c>
      <c r="AR387" s="122">
        <v>100.29</v>
      </c>
      <c r="AS387" s="122">
        <v>1</v>
      </c>
      <c r="AT387" s="122">
        <v>10149.348</v>
      </c>
      <c r="AU387" s="122">
        <v>10149.348</v>
      </c>
      <c r="AV387" s="120"/>
      <c r="AW387" s="120"/>
      <c r="AX387" s="120"/>
      <c r="AY387" s="120"/>
      <c r="AZ387" s="123">
        <v>3.5339999999999998E-3</v>
      </c>
      <c r="BA387" s="123">
        <v>1.6899999999999999E-4</v>
      </c>
    </row>
    <row r="388" spans="1:53" ht="15" customHeight="1">
      <c r="A388" s="121">
        <v>313</v>
      </c>
      <c r="B388" s="121">
        <v>313</v>
      </c>
      <c r="C388" s="121"/>
      <c r="D388" s="120"/>
      <c r="E388" s="120"/>
      <c r="F388" s="121">
        <v>70005257</v>
      </c>
      <c r="G388" s="120" t="s">
        <v>1013</v>
      </c>
      <c r="H388" s="120" t="s">
        <v>794</v>
      </c>
      <c r="I388" s="120" t="s">
        <v>203</v>
      </c>
      <c r="J388" s="120"/>
      <c r="K388" s="120" t="s">
        <v>463</v>
      </c>
      <c r="L388" s="120" t="s">
        <v>338</v>
      </c>
      <c r="M388" s="120" t="s">
        <v>338</v>
      </c>
      <c r="N388" s="121"/>
      <c r="O388" s="124">
        <v>44553</v>
      </c>
      <c r="P388" s="120" t="s">
        <v>1331</v>
      </c>
      <c r="Q388" s="120" t="s">
        <v>414</v>
      </c>
      <c r="R388" s="120" t="s">
        <v>407</v>
      </c>
      <c r="S388" s="120" t="s">
        <v>1218</v>
      </c>
      <c r="T388" s="122">
        <v>9.48</v>
      </c>
      <c r="U388" s="120" t="s">
        <v>2613</v>
      </c>
      <c r="V388" s="123">
        <v>1.5677E-2</v>
      </c>
      <c r="W388" s="120"/>
      <c r="X388" s="120"/>
      <c r="Y388" s="123"/>
      <c r="Z388" s="123">
        <v>3.8800000000000001E-2</v>
      </c>
      <c r="AA388" s="124">
        <v>53600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45838</v>
      </c>
      <c r="AO388" s="120"/>
      <c r="AP388" s="123"/>
      <c r="AQ388" s="122">
        <v>4143786.42</v>
      </c>
      <c r="AR388" s="122">
        <v>91.58</v>
      </c>
      <c r="AS388" s="122">
        <v>1</v>
      </c>
      <c r="AT388" s="122">
        <v>3794.8796000000002</v>
      </c>
      <c r="AU388" s="122">
        <v>3794.8796000000002</v>
      </c>
      <c r="AV388" s="120"/>
      <c r="AW388" s="120"/>
      <c r="AX388" s="120"/>
      <c r="AY388" s="120"/>
      <c r="AZ388" s="123">
        <v>1.3209999999999999E-3</v>
      </c>
      <c r="BA388" s="123">
        <v>6.3E-5</v>
      </c>
    </row>
    <row r="389" spans="1:53" ht="15" customHeight="1">
      <c r="A389" s="121">
        <v>313</v>
      </c>
      <c r="B389" s="121">
        <v>313</v>
      </c>
      <c r="C389" s="121"/>
      <c r="D389" s="120"/>
      <c r="E389" s="120"/>
      <c r="F389" s="121">
        <v>70005258</v>
      </c>
      <c r="G389" s="120" t="s">
        <v>1013</v>
      </c>
      <c r="H389" s="120" t="s">
        <v>794</v>
      </c>
      <c r="I389" s="120" t="s">
        <v>203</v>
      </c>
      <c r="J389" s="120"/>
      <c r="K389" s="120" t="s">
        <v>463</v>
      </c>
      <c r="L389" s="120" t="s">
        <v>338</v>
      </c>
      <c r="M389" s="120" t="s">
        <v>338</v>
      </c>
      <c r="N389" s="121"/>
      <c r="O389" s="124">
        <v>44644</v>
      </c>
      <c r="P389" s="120" t="s">
        <v>1331</v>
      </c>
      <c r="Q389" s="120" t="s">
        <v>414</v>
      </c>
      <c r="R389" s="120" t="s">
        <v>407</v>
      </c>
      <c r="S389" s="120" t="s">
        <v>1218</v>
      </c>
      <c r="T389" s="122">
        <v>9.39</v>
      </c>
      <c r="U389" s="120" t="s">
        <v>2613</v>
      </c>
      <c r="V389" s="123">
        <v>2.1054E-2</v>
      </c>
      <c r="W389" s="120"/>
      <c r="X389" s="120"/>
      <c r="Y389" s="123"/>
      <c r="Z389" s="123">
        <v>3.6900000000000002E-2</v>
      </c>
      <c r="AA389" s="124">
        <v>53600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45838</v>
      </c>
      <c r="AO389" s="120"/>
      <c r="AP389" s="123"/>
      <c r="AQ389" s="122">
        <v>5913260.6699999999</v>
      </c>
      <c r="AR389" s="122">
        <v>97.49</v>
      </c>
      <c r="AS389" s="122">
        <v>1</v>
      </c>
      <c r="AT389" s="122">
        <v>5764.8378300000004</v>
      </c>
      <c r="AU389" s="122">
        <v>5764.8378300000004</v>
      </c>
      <c r="AV389" s="120"/>
      <c r="AW389" s="120"/>
      <c r="AX389" s="120"/>
      <c r="AY389" s="120"/>
      <c r="AZ389" s="123">
        <v>2.0070000000000001E-3</v>
      </c>
      <c r="BA389" s="123">
        <v>9.6000000000000002E-5</v>
      </c>
    </row>
    <row r="390" spans="1:53" ht="15" customHeight="1">
      <c r="A390" s="121">
        <v>313</v>
      </c>
      <c r="B390" s="121">
        <v>313</v>
      </c>
      <c r="C390" s="121"/>
      <c r="D390" s="120"/>
      <c r="E390" s="120"/>
      <c r="F390" s="121">
        <v>70005259</v>
      </c>
      <c r="G390" s="120" t="s">
        <v>1013</v>
      </c>
      <c r="H390" s="120" t="s">
        <v>794</v>
      </c>
      <c r="I390" s="120" t="s">
        <v>203</v>
      </c>
      <c r="J390" s="120"/>
      <c r="K390" s="120" t="s">
        <v>463</v>
      </c>
      <c r="L390" s="120" t="s">
        <v>338</v>
      </c>
      <c r="M390" s="120" t="s">
        <v>338</v>
      </c>
      <c r="N390" s="121"/>
      <c r="O390" s="124">
        <v>44739</v>
      </c>
      <c r="P390" s="120" t="s">
        <v>1331</v>
      </c>
      <c r="Q390" s="120" t="s">
        <v>414</v>
      </c>
      <c r="R390" s="120" t="s">
        <v>407</v>
      </c>
      <c r="S390" s="120" t="s">
        <v>1218</v>
      </c>
      <c r="T390" s="122">
        <v>8.66</v>
      </c>
      <c r="U390" s="120" t="s">
        <v>2613</v>
      </c>
      <c r="V390" s="123">
        <v>2.9973E-2</v>
      </c>
      <c r="W390" s="120"/>
      <c r="X390" s="120"/>
      <c r="Y390" s="123"/>
      <c r="Z390" s="123">
        <v>5.1499999999999997E-2</v>
      </c>
      <c r="AA390" s="124">
        <v>53600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45838</v>
      </c>
      <c r="AO390" s="120"/>
      <c r="AP390" s="123"/>
      <c r="AQ390" s="122">
        <v>4703735.84</v>
      </c>
      <c r="AR390" s="122">
        <v>92.24</v>
      </c>
      <c r="AS390" s="122">
        <v>1</v>
      </c>
      <c r="AT390" s="122">
        <v>4338.7259400000003</v>
      </c>
      <c r="AU390" s="122">
        <v>4338.7259400000003</v>
      </c>
      <c r="AV390" s="120"/>
      <c r="AW390" s="120"/>
      <c r="AX390" s="120"/>
      <c r="AY390" s="120"/>
      <c r="AZ390" s="123">
        <v>1.511E-3</v>
      </c>
      <c r="BA390" s="123">
        <v>7.2000000000000002E-5</v>
      </c>
    </row>
    <row r="391" spans="1:53" ht="15" customHeight="1">
      <c r="A391" s="121">
        <v>313</v>
      </c>
      <c r="B391" s="121">
        <v>313</v>
      </c>
      <c r="C391" s="121"/>
      <c r="D391" s="120"/>
      <c r="E391" s="120"/>
      <c r="F391" s="121">
        <v>70005260</v>
      </c>
      <c r="G391" s="120" t="s">
        <v>1013</v>
      </c>
      <c r="H391" s="120" t="s">
        <v>794</v>
      </c>
      <c r="I391" s="120" t="s">
        <v>203</v>
      </c>
      <c r="J391" s="120"/>
      <c r="K391" s="120" t="s">
        <v>463</v>
      </c>
      <c r="L391" s="120" t="s">
        <v>338</v>
      </c>
      <c r="M391" s="120" t="s">
        <v>338</v>
      </c>
      <c r="N391" s="121"/>
      <c r="O391" s="124">
        <v>44824</v>
      </c>
      <c r="P391" s="120" t="s">
        <v>1331</v>
      </c>
      <c r="Q391" s="120" t="s">
        <v>414</v>
      </c>
      <c r="R391" s="120" t="s">
        <v>407</v>
      </c>
      <c r="S391" s="120" t="s">
        <v>1218</v>
      </c>
      <c r="T391" s="122">
        <v>9.14</v>
      </c>
      <c r="U391" s="120" t="s">
        <v>2613</v>
      </c>
      <c r="V391" s="123">
        <v>2.9246999999999999E-2</v>
      </c>
      <c r="W391" s="120"/>
      <c r="X391" s="120"/>
      <c r="Y391" s="123"/>
      <c r="Z391" s="123">
        <v>3.7600000000000001E-2</v>
      </c>
      <c r="AA391" s="124">
        <v>53600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45838</v>
      </c>
      <c r="AO391" s="120"/>
      <c r="AP391" s="123"/>
      <c r="AQ391" s="122">
        <v>4318177.3499999996</v>
      </c>
      <c r="AR391" s="122">
        <v>101.82</v>
      </c>
      <c r="AS391" s="122">
        <v>1</v>
      </c>
      <c r="AT391" s="122">
        <v>4396.76818</v>
      </c>
      <c r="AU391" s="122">
        <v>4396.76818</v>
      </c>
      <c r="AV391" s="120"/>
      <c r="AW391" s="120"/>
      <c r="AX391" s="120"/>
      <c r="AY391" s="120"/>
      <c r="AZ391" s="123">
        <v>1.531E-3</v>
      </c>
      <c r="BA391" s="123">
        <v>7.2999999999999999E-5</v>
      </c>
    </row>
    <row r="392" spans="1:53" ht="15" customHeight="1">
      <c r="A392" s="121">
        <v>313</v>
      </c>
      <c r="B392" s="121">
        <v>313</v>
      </c>
      <c r="C392" s="121"/>
      <c r="D392" s="120"/>
      <c r="E392" s="120"/>
      <c r="F392" s="121">
        <v>70005261</v>
      </c>
      <c r="G392" s="120" t="s">
        <v>1013</v>
      </c>
      <c r="H392" s="120" t="s">
        <v>794</v>
      </c>
      <c r="I392" s="120" t="s">
        <v>203</v>
      </c>
      <c r="J392" s="120"/>
      <c r="K392" s="120" t="s">
        <v>463</v>
      </c>
      <c r="L392" s="120" t="s">
        <v>338</v>
      </c>
      <c r="M392" s="120" t="s">
        <v>338</v>
      </c>
      <c r="N392" s="121"/>
      <c r="O392" s="124">
        <v>44924</v>
      </c>
      <c r="P392" s="120" t="s">
        <v>1331</v>
      </c>
      <c r="Q392" s="120" t="s">
        <v>414</v>
      </c>
      <c r="R392" s="120" t="s">
        <v>407</v>
      </c>
      <c r="S392" s="120" t="s">
        <v>1218</v>
      </c>
      <c r="T392" s="122">
        <v>8.98</v>
      </c>
      <c r="U392" s="120" t="s">
        <v>2613</v>
      </c>
      <c r="V392" s="123">
        <v>3.2183999999999997E-2</v>
      </c>
      <c r="W392" s="120"/>
      <c r="X392" s="120"/>
      <c r="Y392" s="123"/>
      <c r="Z392" s="123">
        <v>4.0399999999999998E-2</v>
      </c>
      <c r="AA392" s="124">
        <v>53600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45838</v>
      </c>
      <c r="AO392" s="120"/>
      <c r="AP392" s="123"/>
      <c r="AQ392" s="122">
        <v>4531370.51</v>
      </c>
      <c r="AR392" s="122">
        <v>101.35</v>
      </c>
      <c r="AS392" s="122">
        <v>1</v>
      </c>
      <c r="AT392" s="122">
        <v>4592.5440099999996</v>
      </c>
      <c r="AU392" s="122">
        <v>4592.5440099999996</v>
      </c>
      <c r="AV392" s="120"/>
      <c r="AW392" s="120"/>
      <c r="AX392" s="120"/>
      <c r="AY392" s="120"/>
      <c r="AZ392" s="123">
        <v>1.5989999999999999E-3</v>
      </c>
      <c r="BA392" s="123">
        <v>7.6000000000000004E-5</v>
      </c>
    </row>
    <row r="393" spans="1:53" ht="15" customHeight="1">
      <c r="A393" s="121">
        <v>313</v>
      </c>
      <c r="B393" s="121">
        <v>313</v>
      </c>
      <c r="C393" s="121"/>
      <c r="D393" s="120"/>
      <c r="E393" s="120"/>
      <c r="F393" s="121">
        <v>70005262</v>
      </c>
      <c r="G393" s="120" t="s">
        <v>1013</v>
      </c>
      <c r="H393" s="120" t="s">
        <v>794</v>
      </c>
      <c r="I393" s="120" t="s">
        <v>203</v>
      </c>
      <c r="J393" s="120"/>
      <c r="K393" s="120" t="s">
        <v>463</v>
      </c>
      <c r="L393" s="120" t="s">
        <v>338</v>
      </c>
      <c r="M393" s="120" t="s">
        <v>338</v>
      </c>
      <c r="N393" s="121"/>
      <c r="O393" s="124">
        <v>45644</v>
      </c>
      <c r="P393" s="120" t="s">
        <v>1331</v>
      </c>
      <c r="Q393" s="120" t="s">
        <v>414</v>
      </c>
      <c r="R393" s="120" t="s">
        <v>407</v>
      </c>
      <c r="S393" s="120" t="s">
        <v>1218</v>
      </c>
      <c r="T393" s="122">
        <v>8.99</v>
      </c>
      <c r="U393" s="120" t="s">
        <v>2613</v>
      </c>
      <c r="V393" s="123">
        <v>4.2283000000000001E-2</v>
      </c>
      <c r="W393" s="120"/>
      <c r="X393" s="120"/>
      <c r="Y393" s="123"/>
      <c r="Z393" s="123">
        <v>4.0300000000000002E-2</v>
      </c>
      <c r="AA393" s="124">
        <v>53600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338</v>
      </c>
      <c r="AK393" s="120" t="s">
        <v>887</v>
      </c>
      <c r="AL393" s="120"/>
      <c r="AM393" s="120" t="s">
        <v>890</v>
      </c>
      <c r="AN393" s="124">
        <v>45838</v>
      </c>
      <c r="AO393" s="120"/>
      <c r="AP393" s="123"/>
      <c r="AQ393" s="122">
        <v>2161724</v>
      </c>
      <c r="AR393" s="122">
        <v>103.93</v>
      </c>
      <c r="AS393" s="122">
        <v>1</v>
      </c>
      <c r="AT393" s="122">
        <v>2246.6797499999998</v>
      </c>
      <c r="AU393" s="122">
        <v>2246.6797499999998</v>
      </c>
      <c r="AV393" s="120"/>
      <c r="AW393" s="120"/>
      <c r="AX393" s="120"/>
      <c r="AY393" s="120"/>
      <c r="AZ393" s="123">
        <v>7.8200000000000003E-4</v>
      </c>
      <c r="BA393" s="123">
        <v>3.6999999999999998E-5</v>
      </c>
    </row>
    <row r="394" spans="1:53" ht="15" customHeight="1">
      <c r="A394" s="121">
        <v>313</v>
      </c>
      <c r="B394" s="121">
        <v>313</v>
      </c>
      <c r="C394" s="121"/>
      <c r="D394" s="120"/>
      <c r="E394" s="120"/>
      <c r="F394" s="121">
        <v>70006701</v>
      </c>
      <c r="G394" s="120" t="s">
        <v>1013</v>
      </c>
      <c r="H394" s="120" t="s">
        <v>2623</v>
      </c>
      <c r="I394" s="120" t="s">
        <v>203</v>
      </c>
      <c r="J394" s="120"/>
      <c r="K394" s="120" t="s">
        <v>463</v>
      </c>
      <c r="L394" s="120" t="s">
        <v>338</v>
      </c>
      <c r="M394" s="120" t="s">
        <v>337</v>
      </c>
      <c r="N394" s="121"/>
      <c r="O394" s="124">
        <v>44783</v>
      </c>
      <c r="P394" s="120" t="s">
        <v>2616</v>
      </c>
      <c r="Q394" s="120" t="s">
        <v>311</v>
      </c>
      <c r="R394" s="120" t="s">
        <v>407</v>
      </c>
      <c r="S394" s="120" t="s">
        <v>1218</v>
      </c>
      <c r="T394" s="122">
        <v>3.71</v>
      </c>
      <c r="U394" s="120" t="s">
        <v>2613</v>
      </c>
      <c r="V394" s="123">
        <v>4.5100000000000001E-2</v>
      </c>
      <c r="W394" s="120"/>
      <c r="X394" s="120"/>
      <c r="Y394" s="123"/>
      <c r="Z394" s="123">
        <v>4.9299999999999997E-2</v>
      </c>
      <c r="AA394" s="124">
        <v>47480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45838</v>
      </c>
      <c r="AO394" s="120"/>
      <c r="AP394" s="123"/>
      <c r="AQ394" s="122">
        <v>4872550</v>
      </c>
      <c r="AR394" s="122">
        <v>97.99</v>
      </c>
      <c r="AS394" s="122">
        <v>1</v>
      </c>
      <c r="AT394" s="122">
        <v>4774.61175</v>
      </c>
      <c r="AU394" s="122">
        <v>4774.61175</v>
      </c>
      <c r="AV394" s="120"/>
      <c r="AW394" s="120"/>
      <c r="AX394" s="120"/>
      <c r="AY394" s="120"/>
      <c r="AZ394" s="123">
        <v>1.6620000000000001E-3</v>
      </c>
      <c r="BA394" s="123">
        <v>7.8999999999999996E-5</v>
      </c>
    </row>
    <row r="395" spans="1:53" ht="15" customHeight="1">
      <c r="A395" s="121">
        <v>313</v>
      </c>
      <c r="B395" s="121">
        <v>313</v>
      </c>
      <c r="C395" s="121"/>
      <c r="D395" s="120"/>
      <c r="E395" s="120"/>
      <c r="F395" s="121">
        <v>70006801</v>
      </c>
      <c r="G395" s="120" t="s">
        <v>1013</v>
      </c>
      <c r="H395" s="120" t="s">
        <v>2623</v>
      </c>
      <c r="I395" s="120" t="s">
        <v>203</v>
      </c>
      <c r="J395" s="120"/>
      <c r="K395" s="120" t="s">
        <v>463</v>
      </c>
      <c r="L395" s="120" t="s">
        <v>338</v>
      </c>
      <c r="M395" s="120" t="s">
        <v>337</v>
      </c>
      <c r="N395" s="121"/>
      <c r="O395" s="124">
        <v>44819</v>
      </c>
      <c r="P395" s="120" t="s">
        <v>2616</v>
      </c>
      <c r="Q395" s="120" t="s">
        <v>311</v>
      </c>
      <c r="R395" s="120" t="s">
        <v>407</v>
      </c>
      <c r="S395" s="120" t="s">
        <v>1218</v>
      </c>
      <c r="T395" s="122">
        <v>3.67</v>
      </c>
      <c r="U395" s="120" t="s">
        <v>2613</v>
      </c>
      <c r="V395" s="123">
        <v>5.2400000000000002E-2</v>
      </c>
      <c r="W395" s="120"/>
      <c r="X395" s="120"/>
      <c r="Y395" s="123"/>
      <c r="Z395" s="123">
        <v>4.87E-2</v>
      </c>
      <c r="AA395" s="124">
        <v>47480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45838</v>
      </c>
      <c r="AO395" s="120"/>
      <c r="AP395" s="123"/>
      <c r="AQ395" s="122">
        <v>6443565</v>
      </c>
      <c r="AR395" s="122">
        <v>100.84</v>
      </c>
      <c r="AS395" s="122">
        <v>1</v>
      </c>
      <c r="AT395" s="122">
        <v>6497.6909500000002</v>
      </c>
      <c r="AU395" s="122">
        <v>6497.6909500000002</v>
      </c>
      <c r="AV395" s="120"/>
      <c r="AW395" s="120"/>
      <c r="AX395" s="120"/>
      <c r="AY395" s="120"/>
      <c r="AZ395" s="123">
        <v>2.2629999999999998E-3</v>
      </c>
      <c r="BA395" s="123">
        <v>1.08E-4</v>
      </c>
    </row>
    <row r="396" spans="1:53" ht="15" customHeight="1">
      <c r="A396" s="121">
        <v>313</v>
      </c>
      <c r="B396" s="121">
        <v>313</v>
      </c>
      <c r="C396" s="121"/>
      <c r="D396" s="120"/>
      <c r="E396" s="120"/>
      <c r="F396" s="121">
        <v>70006901</v>
      </c>
      <c r="G396" s="120" t="s">
        <v>1013</v>
      </c>
      <c r="H396" s="120" t="s">
        <v>2623</v>
      </c>
      <c r="I396" s="120" t="s">
        <v>203</v>
      </c>
      <c r="J396" s="120"/>
      <c r="K396" s="120" t="s">
        <v>463</v>
      </c>
      <c r="L396" s="120" t="s">
        <v>338</v>
      </c>
      <c r="M396" s="120" t="s">
        <v>337</v>
      </c>
      <c r="N396" s="121"/>
      <c r="O396" s="124">
        <v>44853</v>
      </c>
      <c r="P396" s="120" t="s">
        <v>2616</v>
      </c>
      <c r="Q396" s="120" t="s">
        <v>311</v>
      </c>
      <c r="R396" s="120" t="s">
        <v>407</v>
      </c>
      <c r="S396" s="120" t="s">
        <v>1218</v>
      </c>
      <c r="T396" s="122">
        <v>3.66</v>
      </c>
      <c r="U396" s="120" t="s">
        <v>2613</v>
      </c>
      <c r="V396" s="123">
        <v>5.4800000000000001E-2</v>
      </c>
      <c r="W396" s="120"/>
      <c r="X396" s="120"/>
      <c r="Y396" s="123"/>
      <c r="Z396" s="123">
        <v>4.7399999999999998E-2</v>
      </c>
      <c r="AA396" s="124">
        <v>47480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45838</v>
      </c>
      <c r="AO396" s="120"/>
      <c r="AP396" s="123"/>
      <c r="AQ396" s="122">
        <v>3907435.5</v>
      </c>
      <c r="AR396" s="122">
        <v>102.15</v>
      </c>
      <c r="AS396" s="122">
        <v>1</v>
      </c>
      <c r="AT396" s="122">
        <v>3991.4453600000002</v>
      </c>
      <c r="AU396" s="122">
        <v>3991.4453600000002</v>
      </c>
      <c r="AV396" s="120"/>
      <c r="AW396" s="120"/>
      <c r="AX396" s="120"/>
      <c r="AY396" s="120"/>
      <c r="AZ396" s="123">
        <v>1.39E-3</v>
      </c>
      <c r="BA396" s="123">
        <v>6.6000000000000005E-5</v>
      </c>
    </row>
    <row r="397" spans="1:53" ht="15" customHeight="1">
      <c r="A397" s="121">
        <v>313</v>
      </c>
      <c r="B397" s="121">
        <v>313</v>
      </c>
      <c r="C397" s="121"/>
      <c r="D397" s="120"/>
      <c r="E397" s="120"/>
      <c r="F397" s="121">
        <v>70006902</v>
      </c>
      <c r="G397" s="120" t="s">
        <v>1013</v>
      </c>
      <c r="H397" s="120" t="s">
        <v>2623</v>
      </c>
      <c r="I397" s="120" t="s">
        <v>203</v>
      </c>
      <c r="J397" s="120"/>
      <c r="K397" s="120" t="s">
        <v>463</v>
      </c>
      <c r="L397" s="120" t="s">
        <v>338</v>
      </c>
      <c r="M397" s="120" t="s">
        <v>337</v>
      </c>
      <c r="N397" s="121"/>
      <c r="O397" s="124">
        <v>44910</v>
      </c>
      <c r="P397" s="120" t="s">
        <v>2616</v>
      </c>
      <c r="Q397" s="120" t="s">
        <v>311</v>
      </c>
      <c r="R397" s="120" t="s">
        <v>407</v>
      </c>
      <c r="S397" s="120" t="s">
        <v>1218</v>
      </c>
      <c r="T397" s="122">
        <v>3.66</v>
      </c>
      <c r="U397" s="120" t="s">
        <v>2613</v>
      </c>
      <c r="V397" s="123">
        <v>5.57E-2</v>
      </c>
      <c r="W397" s="120"/>
      <c r="X397" s="120"/>
      <c r="Y397" s="123"/>
      <c r="Z397" s="123">
        <v>4.7600000000000003E-2</v>
      </c>
      <c r="AA397" s="124">
        <v>47480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45838</v>
      </c>
      <c r="AO397" s="120"/>
      <c r="AP397" s="123"/>
      <c r="AQ397" s="122">
        <v>2577644.5</v>
      </c>
      <c r="AR397" s="122">
        <v>102.41</v>
      </c>
      <c r="AS397" s="122">
        <v>1</v>
      </c>
      <c r="AT397" s="122">
        <v>2639.7657300000001</v>
      </c>
      <c r="AU397" s="122">
        <v>2639.7657300000001</v>
      </c>
      <c r="AV397" s="120"/>
      <c r="AW397" s="120"/>
      <c r="AX397" s="120"/>
      <c r="AY397" s="120"/>
      <c r="AZ397" s="123">
        <v>9.19E-4</v>
      </c>
      <c r="BA397" s="123">
        <v>4.3000000000000002E-5</v>
      </c>
    </row>
    <row r="398" spans="1:53" ht="15" customHeight="1">
      <c r="A398" s="121">
        <v>313</v>
      </c>
      <c r="B398" s="121">
        <v>313</v>
      </c>
      <c r="C398" s="121"/>
      <c r="D398" s="120"/>
      <c r="E398" s="120"/>
      <c r="F398" s="121">
        <v>70005018</v>
      </c>
      <c r="G398" s="120" t="s">
        <v>1013</v>
      </c>
      <c r="H398" s="120" t="s">
        <v>812</v>
      </c>
      <c r="I398" s="120" t="s">
        <v>203</v>
      </c>
      <c r="J398" s="120"/>
      <c r="K398" s="120" t="s">
        <v>455</v>
      </c>
      <c r="L398" s="120" t="s">
        <v>338</v>
      </c>
      <c r="M398" s="120" t="s">
        <v>337</v>
      </c>
      <c r="N398" s="121"/>
      <c r="O398" s="124">
        <v>45748</v>
      </c>
      <c r="P398" s="120" t="s">
        <v>1339</v>
      </c>
      <c r="Q398" s="120" t="s">
        <v>414</v>
      </c>
      <c r="R398" s="120" t="s">
        <v>407</v>
      </c>
      <c r="S398" s="120" t="s">
        <v>1218</v>
      </c>
      <c r="T398" s="122">
        <v>0.9</v>
      </c>
      <c r="U398" s="120" t="s">
        <v>824</v>
      </c>
      <c r="V398" s="123">
        <v>7.5999999999999998E-2</v>
      </c>
      <c r="W398" s="120"/>
      <c r="X398" s="120"/>
      <c r="Y398" s="123"/>
      <c r="Z398" s="123">
        <v>7.1999999999999995E-2</v>
      </c>
      <c r="AA398" s="124">
        <v>46172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338</v>
      </c>
      <c r="AK398" s="120" t="s">
        <v>887</v>
      </c>
      <c r="AL398" s="120"/>
      <c r="AM398" s="120" t="s">
        <v>890</v>
      </c>
      <c r="AN398" s="124">
        <v>45838</v>
      </c>
      <c r="AO398" s="120"/>
      <c r="AP398" s="123"/>
      <c r="AQ398" s="122">
        <v>3452207.45</v>
      </c>
      <c r="AR398" s="122">
        <v>101.1</v>
      </c>
      <c r="AS398" s="122">
        <v>1</v>
      </c>
      <c r="AT398" s="122">
        <v>3490.1817299999998</v>
      </c>
      <c r="AU398" s="122">
        <v>3490.1817299999998</v>
      </c>
      <c r="AV398" s="120"/>
      <c r="AW398" s="120"/>
      <c r="AX398" s="120"/>
      <c r="AY398" s="120"/>
      <c r="AZ398" s="123">
        <v>1.2149999999999999E-3</v>
      </c>
      <c r="BA398" s="123">
        <v>5.8E-5</v>
      </c>
    </row>
    <row r="399" spans="1:53" ht="15" customHeight="1">
      <c r="A399" s="121">
        <v>313</v>
      </c>
      <c r="B399" s="121">
        <v>313</v>
      </c>
      <c r="C399" s="121"/>
      <c r="D399" s="120"/>
      <c r="E399" s="120"/>
      <c r="F399" s="121">
        <v>70005017</v>
      </c>
      <c r="G399" s="120" t="s">
        <v>1013</v>
      </c>
      <c r="H399" s="120" t="s">
        <v>812</v>
      </c>
      <c r="I399" s="120" t="s">
        <v>203</v>
      </c>
      <c r="J399" s="120"/>
      <c r="K399" s="120" t="s">
        <v>455</v>
      </c>
      <c r="L399" s="120" t="s">
        <v>338</v>
      </c>
      <c r="M399" s="120" t="s">
        <v>337</v>
      </c>
      <c r="N399" s="121"/>
      <c r="O399" s="124">
        <v>45729</v>
      </c>
      <c r="P399" s="120" t="s">
        <v>1339</v>
      </c>
      <c r="Q399" s="120" t="s">
        <v>414</v>
      </c>
      <c r="R399" s="120" t="s">
        <v>407</v>
      </c>
      <c r="S399" s="120" t="s">
        <v>1218</v>
      </c>
      <c r="T399" s="122">
        <v>0.9</v>
      </c>
      <c r="U399" s="120" t="s">
        <v>824</v>
      </c>
      <c r="V399" s="123">
        <v>7.5999999999999998E-2</v>
      </c>
      <c r="W399" s="120"/>
      <c r="X399" s="120"/>
      <c r="Y399" s="123"/>
      <c r="Z399" s="123">
        <v>7.0699999999999999E-2</v>
      </c>
      <c r="AA399" s="124">
        <v>46172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338</v>
      </c>
      <c r="AK399" s="120" t="s">
        <v>887</v>
      </c>
      <c r="AL399" s="120"/>
      <c r="AM399" s="120" t="s">
        <v>890</v>
      </c>
      <c r="AN399" s="124">
        <v>45838</v>
      </c>
      <c r="AO399" s="120"/>
      <c r="AP399" s="123"/>
      <c r="AQ399" s="122">
        <v>701721.59</v>
      </c>
      <c r="AR399" s="122">
        <v>101.21</v>
      </c>
      <c r="AS399" s="122">
        <v>1</v>
      </c>
      <c r="AT399" s="122">
        <v>710.21241999999995</v>
      </c>
      <c r="AU399" s="122">
        <v>710.21241999999995</v>
      </c>
      <c r="AV399" s="120"/>
      <c r="AW399" s="120"/>
      <c r="AX399" s="120"/>
      <c r="AY399" s="120"/>
      <c r="AZ399" s="123">
        <v>2.4699999999999999E-4</v>
      </c>
      <c r="BA399" s="123">
        <v>1.1E-5</v>
      </c>
    </row>
    <row r="400" spans="1:53" ht="15" customHeight="1">
      <c r="A400" s="121">
        <v>313</v>
      </c>
      <c r="B400" s="121">
        <v>313</v>
      </c>
      <c r="C400" s="121"/>
      <c r="D400" s="120"/>
      <c r="E400" s="120"/>
      <c r="F400" s="121">
        <v>70005016</v>
      </c>
      <c r="G400" s="120" t="s">
        <v>1013</v>
      </c>
      <c r="H400" s="120" t="s">
        <v>812</v>
      </c>
      <c r="I400" s="120" t="s">
        <v>203</v>
      </c>
      <c r="J400" s="120"/>
      <c r="K400" s="120" t="s">
        <v>455</v>
      </c>
      <c r="L400" s="120" t="s">
        <v>338</v>
      </c>
      <c r="M400" s="120" t="s">
        <v>337</v>
      </c>
      <c r="N400" s="121"/>
      <c r="O400" s="124">
        <v>45687</v>
      </c>
      <c r="P400" s="120" t="s">
        <v>1339</v>
      </c>
      <c r="Q400" s="120" t="s">
        <v>414</v>
      </c>
      <c r="R400" s="120" t="s">
        <v>407</v>
      </c>
      <c r="S400" s="120" t="s">
        <v>1218</v>
      </c>
      <c r="T400" s="122">
        <v>0.9</v>
      </c>
      <c r="U400" s="120" t="s">
        <v>824</v>
      </c>
      <c r="V400" s="123">
        <v>7.5999999999999998E-2</v>
      </c>
      <c r="W400" s="120"/>
      <c r="X400" s="120"/>
      <c r="Y400" s="123"/>
      <c r="Z400" s="123">
        <v>6.9699999999999998E-2</v>
      </c>
      <c r="AA400" s="124">
        <v>46172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338</v>
      </c>
      <c r="AK400" s="120" t="s">
        <v>887</v>
      </c>
      <c r="AL400" s="120"/>
      <c r="AM400" s="120" t="s">
        <v>890</v>
      </c>
      <c r="AN400" s="124">
        <v>45838</v>
      </c>
      <c r="AO400" s="120"/>
      <c r="AP400" s="123"/>
      <c r="AQ400" s="122">
        <v>1527891.48</v>
      </c>
      <c r="AR400" s="122">
        <v>101.29</v>
      </c>
      <c r="AS400" s="122">
        <v>1</v>
      </c>
      <c r="AT400" s="122">
        <v>1547.6012800000001</v>
      </c>
      <c r="AU400" s="122">
        <v>1547.6012800000001</v>
      </c>
      <c r="AV400" s="120"/>
      <c r="AW400" s="120"/>
      <c r="AX400" s="120"/>
      <c r="AY400" s="120"/>
      <c r="AZ400" s="123">
        <v>5.3899999999999998E-4</v>
      </c>
      <c r="BA400" s="123">
        <v>2.5000000000000001E-5</v>
      </c>
    </row>
    <row r="401" spans="1:53" ht="15" customHeight="1">
      <c r="A401" s="121">
        <v>313</v>
      </c>
      <c r="B401" s="121">
        <v>313</v>
      </c>
      <c r="C401" s="121"/>
      <c r="D401" s="120"/>
      <c r="E401" s="120"/>
      <c r="F401" s="121">
        <v>70005015</v>
      </c>
      <c r="G401" s="120" t="s">
        <v>1013</v>
      </c>
      <c r="H401" s="120" t="s">
        <v>812</v>
      </c>
      <c r="I401" s="120" t="s">
        <v>203</v>
      </c>
      <c r="J401" s="120"/>
      <c r="K401" s="120" t="s">
        <v>455</v>
      </c>
      <c r="L401" s="120" t="s">
        <v>338</v>
      </c>
      <c r="M401" s="120" t="s">
        <v>337</v>
      </c>
      <c r="N401" s="121"/>
      <c r="O401" s="124">
        <v>45656</v>
      </c>
      <c r="P401" s="120" t="s">
        <v>1339</v>
      </c>
      <c r="Q401" s="120" t="s">
        <v>414</v>
      </c>
      <c r="R401" s="120" t="s">
        <v>407</v>
      </c>
      <c r="S401" s="120" t="s">
        <v>1218</v>
      </c>
      <c r="T401" s="122">
        <v>0.9</v>
      </c>
      <c r="U401" s="120" t="s">
        <v>824</v>
      </c>
      <c r="V401" s="123">
        <v>7.5999999999999998E-2</v>
      </c>
      <c r="W401" s="120"/>
      <c r="X401" s="120"/>
      <c r="Y401" s="123"/>
      <c r="Z401" s="123">
        <v>5.96E-2</v>
      </c>
      <c r="AA401" s="124">
        <v>46172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338</v>
      </c>
      <c r="AK401" s="120" t="s">
        <v>887</v>
      </c>
      <c r="AL401" s="120"/>
      <c r="AM401" s="120" t="s">
        <v>890</v>
      </c>
      <c r="AN401" s="124">
        <v>45838</v>
      </c>
      <c r="AO401" s="120"/>
      <c r="AP401" s="123"/>
      <c r="AQ401" s="122">
        <v>366507.95</v>
      </c>
      <c r="AR401" s="122">
        <v>102.17</v>
      </c>
      <c r="AS401" s="122">
        <v>1</v>
      </c>
      <c r="AT401" s="122">
        <v>374.46116999999998</v>
      </c>
      <c r="AU401" s="122">
        <v>374.46116999999998</v>
      </c>
      <c r="AV401" s="120"/>
      <c r="AW401" s="120"/>
      <c r="AX401" s="120"/>
      <c r="AY401" s="120"/>
      <c r="AZ401" s="123">
        <v>1.2999999999999999E-4</v>
      </c>
      <c r="BA401" s="123">
        <v>6.0000000000000002E-6</v>
      </c>
    </row>
    <row r="402" spans="1:53" ht="15" customHeight="1">
      <c r="A402" s="121">
        <v>313</v>
      </c>
      <c r="B402" s="121">
        <v>313</v>
      </c>
      <c r="C402" s="121"/>
      <c r="D402" s="120"/>
      <c r="E402" s="120"/>
      <c r="F402" s="121">
        <v>70005003</v>
      </c>
      <c r="G402" s="120" t="s">
        <v>1013</v>
      </c>
      <c r="H402" s="120" t="s">
        <v>812</v>
      </c>
      <c r="I402" s="120" t="s">
        <v>203</v>
      </c>
      <c r="J402" s="120"/>
      <c r="K402" s="120" t="s">
        <v>455</v>
      </c>
      <c r="L402" s="120" t="s">
        <v>338</v>
      </c>
      <c r="M402" s="120" t="s">
        <v>337</v>
      </c>
      <c r="N402" s="121"/>
      <c r="O402" s="124">
        <v>45183</v>
      </c>
      <c r="P402" s="120" t="s">
        <v>1339</v>
      </c>
      <c r="Q402" s="120" t="s">
        <v>414</v>
      </c>
      <c r="R402" s="120" t="s">
        <v>407</v>
      </c>
      <c r="S402" s="120" t="s">
        <v>1218</v>
      </c>
      <c r="T402" s="122">
        <v>0.91</v>
      </c>
      <c r="U402" s="120" t="s">
        <v>824</v>
      </c>
      <c r="V402" s="123">
        <v>7.5999999999999998E-2</v>
      </c>
      <c r="W402" s="120"/>
      <c r="X402" s="120"/>
      <c r="Y402" s="123"/>
      <c r="Z402" s="123">
        <v>4.9299999999999997E-2</v>
      </c>
      <c r="AA402" s="124">
        <v>46173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45838</v>
      </c>
      <c r="AO402" s="120"/>
      <c r="AP402" s="123"/>
      <c r="AQ402" s="122">
        <v>73288.06</v>
      </c>
      <c r="AR402" s="122">
        <v>103.08</v>
      </c>
      <c r="AS402" s="122">
        <v>1</v>
      </c>
      <c r="AT402" s="122">
        <v>75.545330000000007</v>
      </c>
      <c r="AU402" s="122">
        <v>75.545330000000007</v>
      </c>
      <c r="AV402" s="120"/>
      <c r="AW402" s="120"/>
      <c r="AX402" s="120"/>
      <c r="AY402" s="120"/>
      <c r="AZ402" s="123">
        <v>2.5999999999999998E-5</v>
      </c>
      <c r="BA402" s="123">
        <v>9.9999999999999995E-7</v>
      </c>
    </row>
    <row r="403" spans="1:53" ht="15" customHeight="1">
      <c r="A403" s="121">
        <v>313</v>
      </c>
      <c r="B403" s="121">
        <v>313</v>
      </c>
      <c r="C403" s="121"/>
      <c r="D403" s="120"/>
      <c r="E403" s="120"/>
      <c r="F403" s="121">
        <v>70005004</v>
      </c>
      <c r="G403" s="120" t="s">
        <v>1013</v>
      </c>
      <c r="H403" s="120" t="s">
        <v>812</v>
      </c>
      <c r="I403" s="120" t="s">
        <v>203</v>
      </c>
      <c r="J403" s="120"/>
      <c r="K403" s="120" t="s">
        <v>455</v>
      </c>
      <c r="L403" s="120" t="s">
        <v>338</v>
      </c>
      <c r="M403" s="120" t="s">
        <v>337</v>
      </c>
      <c r="N403" s="121"/>
      <c r="O403" s="124">
        <v>45291</v>
      </c>
      <c r="P403" s="120" t="s">
        <v>1339</v>
      </c>
      <c r="Q403" s="120" t="s">
        <v>414</v>
      </c>
      <c r="R403" s="120" t="s">
        <v>407</v>
      </c>
      <c r="S403" s="120" t="s">
        <v>1218</v>
      </c>
      <c r="T403" s="122">
        <v>0.91</v>
      </c>
      <c r="U403" s="120" t="s">
        <v>824</v>
      </c>
      <c r="V403" s="123">
        <v>7.5999999999999998E-2</v>
      </c>
      <c r="W403" s="120"/>
      <c r="X403" s="120"/>
      <c r="Y403" s="123"/>
      <c r="Z403" s="123">
        <v>4.9500000000000002E-2</v>
      </c>
      <c r="AA403" s="124">
        <v>46173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45838</v>
      </c>
      <c r="AO403" s="120"/>
      <c r="AP403" s="123"/>
      <c r="AQ403" s="122">
        <v>608864.74</v>
      </c>
      <c r="AR403" s="122">
        <v>103.06</v>
      </c>
      <c r="AS403" s="122">
        <v>1</v>
      </c>
      <c r="AT403" s="122">
        <v>627.49599999999998</v>
      </c>
      <c r="AU403" s="122">
        <v>627.49599999999998</v>
      </c>
      <c r="AV403" s="120"/>
      <c r="AW403" s="120"/>
      <c r="AX403" s="120"/>
      <c r="AY403" s="120"/>
      <c r="AZ403" s="123">
        <v>2.1800000000000001E-4</v>
      </c>
      <c r="BA403" s="123">
        <v>1.0000000000000001E-5</v>
      </c>
    </row>
    <row r="404" spans="1:53" ht="15" customHeight="1">
      <c r="A404" s="121">
        <v>313</v>
      </c>
      <c r="B404" s="121">
        <v>313</v>
      </c>
      <c r="C404" s="121"/>
      <c r="D404" s="120"/>
      <c r="E404" s="120"/>
      <c r="F404" s="121">
        <v>70005005</v>
      </c>
      <c r="G404" s="120" t="s">
        <v>1013</v>
      </c>
      <c r="H404" s="120" t="s">
        <v>812</v>
      </c>
      <c r="I404" s="120" t="s">
        <v>203</v>
      </c>
      <c r="J404" s="120"/>
      <c r="K404" s="120" t="s">
        <v>455</v>
      </c>
      <c r="L404" s="120" t="s">
        <v>338</v>
      </c>
      <c r="M404" s="120" t="s">
        <v>337</v>
      </c>
      <c r="N404" s="121"/>
      <c r="O404" s="124">
        <v>45319</v>
      </c>
      <c r="P404" s="120" t="s">
        <v>1339</v>
      </c>
      <c r="Q404" s="120" t="s">
        <v>414</v>
      </c>
      <c r="R404" s="120" t="s">
        <v>407</v>
      </c>
      <c r="S404" s="120" t="s">
        <v>1218</v>
      </c>
      <c r="T404" s="122">
        <v>0.9</v>
      </c>
      <c r="U404" s="120" t="s">
        <v>824</v>
      </c>
      <c r="V404" s="123">
        <v>7.5999999999999998E-2</v>
      </c>
      <c r="W404" s="120"/>
      <c r="X404" s="120"/>
      <c r="Y404" s="123"/>
      <c r="Z404" s="123">
        <v>4.99E-2</v>
      </c>
      <c r="AA404" s="124">
        <v>46172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45838</v>
      </c>
      <c r="AO404" s="120"/>
      <c r="AP404" s="123"/>
      <c r="AQ404" s="122">
        <v>2493957.56</v>
      </c>
      <c r="AR404" s="122">
        <v>103.02</v>
      </c>
      <c r="AS404" s="122">
        <v>1</v>
      </c>
      <c r="AT404" s="122">
        <v>2569.2750799999999</v>
      </c>
      <c r="AU404" s="122">
        <v>2569.2750799999999</v>
      </c>
      <c r="AV404" s="120"/>
      <c r="AW404" s="120"/>
      <c r="AX404" s="120"/>
      <c r="AY404" s="120"/>
      <c r="AZ404" s="123">
        <v>8.9400000000000005E-4</v>
      </c>
      <c r="BA404" s="123">
        <v>4.1999999999999998E-5</v>
      </c>
    </row>
    <row r="405" spans="1:53" ht="15" customHeight="1">
      <c r="A405" s="121">
        <v>313</v>
      </c>
      <c r="B405" s="121">
        <v>313</v>
      </c>
      <c r="C405" s="121"/>
      <c r="D405" s="120"/>
      <c r="E405" s="120"/>
      <c r="F405" s="121">
        <v>70005006</v>
      </c>
      <c r="G405" s="120" t="s">
        <v>1013</v>
      </c>
      <c r="H405" s="120" t="s">
        <v>812</v>
      </c>
      <c r="I405" s="120" t="s">
        <v>203</v>
      </c>
      <c r="J405" s="120"/>
      <c r="K405" s="120" t="s">
        <v>455</v>
      </c>
      <c r="L405" s="120" t="s">
        <v>338</v>
      </c>
      <c r="M405" s="120" t="s">
        <v>337</v>
      </c>
      <c r="N405" s="121"/>
      <c r="O405" s="124">
        <v>45351</v>
      </c>
      <c r="P405" s="120" t="s">
        <v>1339</v>
      </c>
      <c r="Q405" s="120" t="s">
        <v>414</v>
      </c>
      <c r="R405" s="120" t="s">
        <v>407</v>
      </c>
      <c r="S405" s="120" t="s">
        <v>1218</v>
      </c>
      <c r="T405" s="122">
        <v>0.9</v>
      </c>
      <c r="U405" s="120" t="s">
        <v>824</v>
      </c>
      <c r="V405" s="123">
        <v>7.5999999999999998E-2</v>
      </c>
      <c r="W405" s="120"/>
      <c r="X405" s="120"/>
      <c r="Y405" s="123"/>
      <c r="Z405" s="123">
        <v>5.0700000000000002E-2</v>
      </c>
      <c r="AA405" s="124">
        <v>46172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45838</v>
      </c>
      <c r="AO405" s="120"/>
      <c r="AP405" s="123"/>
      <c r="AQ405" s="122">
        <v>212333.87</v>
      </c>
      <c r="AR405" s="122">
        <v>102.93</v>
      </c>
      <c r="AS405" s="122">
        <v>1</v>
      </c>
      <c r="AT405" s="122">
        <v>218.55525</v>
      </c>
      <c r="AU405" s="122">
        <v>218.55525</v>
      </c>
      <c r="AV405" s="120"/>
      <c r="AW405" s="120"/>
      <c r="AX405" s="120"/>
      <c r="AY405" s="120"/>
      <c r="AZ405" s="123">
        <v>7.6000000000000004E-5</v>
      </c>
      <c r="BA405" s="123">
        <v>3.0000000000000001E-6</v>
      </c>
    </row>
    <row r="406" spans="1:53" ht="15" customHeight="1">
      <c r="A406" s="121">
        <v>313</v>
      </c>
      <c r="B406" s="121">
        <v>313</v>
      </c>
      <c r="C406" s="121"/>
      <c r="D406" s="120"/>
      <c r="E406" s="120"/>
      <c r="F406" s="121">
        <v>70005007</v>
      </c>
      <c r="G406" s="120" t="s">
        <v>1013</v>
      </c>
      <c r="H406" s="120" t="s">
        <v>812</v>
      </c>
      <c r="I406" s="120" t="s">
        <v>203</v>
      </c>
      <c r="J406" s="120"/>
      <c r="K406" s="120" t="s">
        <v>455</v>
      </c>
      <c r="L406" s="120" t="s">
        <v>338</v>
      </c>
      <c r="M406" s="120" t="s">
        <v>337</v>
      </c>
      <c r="N406" s="121"/>
      <c r="O406" s="124">
        <v>45382</v>
      </c>
      <c r="P406" s="120" t="s">
        <v>1339</v>
      </c>
      <c r="Q406" s="120" t="s">
        <v>414</v>
      </c>
      <c r="R406" s="120" t="s">
        <v>407</v>
      </c>
      <c r="S406" s="120" t="s">
        <v>1218</v>
      </c>
      <c r="T406" s="122">
        <v>0.9</v>
      </c>
      <c r="U406" s="120" t="s">
        <v>824</v>
      </c>
      <c r="V406" s="123">
        <v>7.5999999999999998E-2</v>
      </c>
      <c r="W406" s="120"/>
      <c r="X406" s="120"/>
      <c r="Y406" s="123"/>
      <c r="Z406" s="123">
        <v>5.3199999999999997E-2</v>
      </c>
      <c r="AA406" s="124">
        <v>46172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45838</v>
      </c>
      <c r="AO406" s="120"/>
      <c r="AP406" s="123"/>
      <c r="AQ406" s="122">
        <v>302493.23</v>
      </c>
      <c r="AR406" s="122">
        <v>102.71</v>
      </c>
      <c r="AS406" s="122">
        <v>1</v>
      </c>
      <c r="AT406" s="122">
        <v>310.69080000000002</v>
      </c>
      <c r="AU406" s="122">
        <v>310.69080000000002</v>
      </c>
      <c r="AV406" s="120"/>
      <c r="AW406" s="120"/>
      <c r="AX406" s="120"/>
      <c r="AY406" s="120"/>
      <c r="AZ406" s="123">
        <v>1.08E-4</v>
      </c>
      <c r="BA406" s="123">
        <v>5.0000000000000004E-6</v>
      </c>
    </row>
    <row r="407" spans="1:53" ht="15" customHeight="1">
      <c r="A407" s="121">
        <v>313</v>
      </c>
      <c r="B407" s="121">
        <v>313</v>
      </c>
      <c r="C407" s="121"/>
      <c r="D407" s="120"/>
      <c r="E407" s="120"/>
      <c r="F407" s="121">
        <v>70006903</v>
      </c>
      <c r="G407" s="120" t="s">
        <v>1013</v>
      </c>
      <c r="H407" s="120" t="s">
        <v>2623</v>
      </c>
      <c r="I407" s="120" t="s">
        <v>203</v>
      </c>
      <c r="J407" s="120"/>
      <c r="K407" s="120" t="s">
        <v>463</v>
      </c>
      <c r="L407" s="120" t="s">
        <v>338</v>
      </c>
      <c r="M407" s="120" t="s">
        <v>337</v>
      </c>
      <c r="N407" s="121"/>
      <c r="O407" s="124">
        <v>44941</v>
      </c>
      <c r="P407" s="120" t="s">
        <v>2616</v>
      </c>
      <c r="Q407" s="120" t="s">
        <v>311</v>
      </c>
      <c r="R407" s="120" t="s">
        <v>407</v>
      </c>
      <c r="S407" s="120" t="s">
        <v>1218</v>
      </c>
      <c r="T407" s="122">
        <v>3.65</v>
      </c>
      <c r="U407" s="120" t="s">
        <v>2613</v>
      </c>
      <c r="V407" s="123">
        <v>5.6000000000000001E-2</v>
      </c>
      <c r="W407" s="120"/>
      <c r="X407" s="120"/>
      <c r="Y407" s="123"/>
      <c r="Z407" s="123">
        <v>4.9099999999999998E-2</v>
      </c>
      <c r="AA407" s="124">
        <v>47480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45838</v>
      </c>
      <c r="AO407" s="120"/>
      <c r="AP407" s="123"/>
      <c r="AQ407" s="122">
        <v>894757.5</v>
      </c>
      <c r="AR407" s="122">
        <v>101.98</v>
      </c>
      <c r="AS407" s="122">
        <v>1</v>
      </c>
      <c r="AT407" s="122">
        <v>912.47370000000001</v>
      </c>
      <c r="AU407" s="122">
        <v>912.47370000000001</v>
      </c>
      <c r="AV407" s="120"/>
      <c r="AW407" s="120"/>
      <c r="AX407" s="120"/>
      <c r="AY407" s="120"/>
      <c r="AZ407" s="123">
        <v>3.1700000000000001E-4</v>
      </c>
      <c r="BA407" s="123">
        <v>1.5E-5</v>
      </c>
    </row>
    <row r="408" spans="1:53" ht="15" customHeight="1">
      <c r="A408" s="121">
        <v>313</v>
      </c>
      <c r="B408" s="121">
        <v>313</v>
      </c>
      <c r="C408" s="121"/>
      <c r="D408" s="120"/>
      <c r="E408" s="120"/>
      <c r="F408" s="121">
        <v>70005008</v>
      </c>
      <c r="G408" s="120" t="s">
        <v>1013</v>
      </c>
      <c r="H408" s="120" t="s">
        <v>812</v>
      </c>
      <c r="I408" s="120" t="s">
        <v>203</v>
      </c>
      <c r="J408" s="120"/>
      <c r="K408" s="120" t="s">
        <v>455</v>
      </c>
      <c r="L408" s="120" t="s">
        <v>338</v>
      </c>
      <c r="M408" s="120" t="s">
        <v>337</v>
      </c>
      <c r="N408" s="121"/>
      <c r="O408" s="124">
        <v>45442</v>
      </c>
      <c r="P408" s="120" t="s">
        <v>1339</v>
      </c>
      <c r="Q408" s="120" t="s">
        <v>414</v>
      </c>
      <c r="R408" s="120" t="s">
        <v>407</v>
      </c>
      <c r="S408" s="120" t="s">
        <v>1218</v>
      </c>
      <c r="T408" s="122">
        <v>0.9</v>
      </c>
      <c r="U408" s="120" t="s">
        <v>824</v>
      </c>
      <c r="V408" s="123">
        <v>7.5999999999999998E-2</v>
      </c>
      <c r="W408" s="120"/>
      <c r="X408" s="120"/>
      <c r="Y408" s="123"/>
      <c r="Z408" s="123">
        <v>5.4800000000000001E-2</v>
      </c>
      <c r="AA408" s="124">
        <v>46172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45838</v>
      </c>
      <c r="AO408" s="120"/>
      <c r="AP408" s="123"/>
      <c r="AQ408" s="122">
        <v>20835.310000000001</v>
      </c>
      <c r="AR408" s="122">
        <v>102.59</v>
      </c>
      <c r="AS408" s="122">
        <v>1</v>
      </c>
      <c r="AT408" s="122">
        <v>21.374939999999999</v>
      </c>
      <c r="AU408" s="122">
        <v>21.374939999999999</v>
      </c>
      <c r="AV408" s="120"/>
      <c r="AW408" s="120"/>
      <c r="AX408" s="120"/>
      <c r="AY408" s="120"/>
      <c r="AZ408" s="123">
        <v>6.9999999999999999E-6</v>
      </c>
      <c r="BA408" s="123">
        <v>0</v>
      </c>
    </row>
    <row r="409" spans="1:53" ht="15" customHeight="1">
      <c r="A409" s="121">
        <v>313</v>
      </c>
      <c r="B409" s="121">
        <v>313</v>
      </c>
      <c r="C409" s="121"/>
      <c r="D409" s="120"/>
      <c r="E409" s="120"/>
      <c r="F409" s="121">
        <v>70005010</v>
      </c>
      <c r="G409" s="120" t="s">
        <v>1013</v>
      </c>
      <c r="H409" s="120" t="s">
        <v>812</v>
      </c>
      <c r="I409" s="120" t="s">
        <v>203</v>
      </c>
      <c r="J409" s="120"/>
      <c r="K409" s="120" t="s">
        <v>455</v>
      </c>
      <c r="L409" s="120" t="s">
        <v>338</v>
      </c>
      <c r="M409" s="120" t="s">
        <v>337</v>
      </c>
      <c r="N409" s="121"/>
      <c r="O409" s="124">
        <v>45504</v>
      </c>
      <c r="P409" s="120" t="s">
        <v>1339</v>
      </c>
      <c r="Q409" s="120" t="s">
        <v>414</v>
      </c>
      <c r="R409" s="120" t="s">
        <v>407</v>
      </c>
      <c r="S409" s="120" t="s">
        <v>1218</v>
      </c>
      <c r="T409" s="122">
        <v>0.9</v>
      </c>
      <c r="U409" s="120" t="s">
        <v>824</v>
      </c>
      <c r="V409" s="123">
        <v>7.5999999999999998E-2</v>
      </c>
      <c r="W409" s="120"/>
      <c r="X409" s="120"/>
      <c r="Y409" s="123"/>
      <c r="Z409" s="123">
        <v>5.3199999999999997E-2</v>
      </c>
      <c r="AA409" s="124">
        <v>46172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338</v>
      </c>
      <c r="AK409" s="120" t="s">
        <v>887</v>
      </c>
      <c r="AL409" s="120"/>
      <c r="AM409" s="120" t="s">
        <v>890</v>
      </c>
      <c r="AN409" s="124">
        <v>45838</v>
      </c>
      <c r="AO409" s="120"/>
      <c r="AP409" s="123"/>
      <c r="AQ409" s="122">
        <v>61744.28</v>
      </c>
      <c r="AR409" s="122">
        <v>102.71</v>
      </c>
      <c r="AS409" s="122">
        <v>1</v>
      </c>
      <c r="AT409" s="122">
        <v>63.417549999999999</v>
      </c>
      <c r="AU409" s="122">
        <v>63.417549999999999</v>
      </c>
      <c r="AV409" s="120"/>
      <c r="AW409" s="120"/>
      <c r="AX409" s="120"/>
      <c r="AY409" s="120"/>
      <c r="AZ409" s="123">
        <v>2.1999999999999999E-5</v>
      </c>
      <c r="BA409" s="123">
        <v>9.9999999999999995E-7</v>
      </c>
    </row>
    <row r="410" spans="1:53" ht="15" customHeight="1">
      <c r="A410" s="121">
        <v>313</v>
      </c>
      <c r="B410" s="121">
        <v>313</v>
      </c>
      <c r="C410" s="121"/>
      <c r="D410" s="120"/>
      <c r="E410" s="120"/>
      <c r="F410" s="121">
        <v>70005011</v>
      </c>
      <c r="G410" s="120" t="s">
        <v>1013</v>
      </c>
      <c r="H410" s="120" t="s">
        <v>812</v>
      </c>
      <c r="I410" s="120" t="s">
        <v>203</v>
      </c>
      <c r="J410" s="120"/>
      <c r="K410" s="120" t="s">
        <v>455</v>
      </c>
      <c r="L410" s="120" t="s">
        <v>338</v>
      </c>
      <c r="M410" s="120" t="s">
        <v>337</v>
      </c>
      <c r="N410" s="121"/>
      <c r="O410" s="124">
        <v>45519</v>
      </c>
      <c r="P410" s="120" t="s">
        <v>1339</v>
      </c>
      <c r="Q410" s="120" t="s">
        <v>414</v>
      </c>
      <c r="R410" s="120" t="s">
        <v>407</v>
      </c>
      <c r="S410" s="120" t="s">
        <v>1218</v>
      </c>
      <c r="T410" s="122">
        <v>0.9</v>
      </c>
      <c r="U410" s="120" t="s">
        <v>824</v>
      </c>
      <c r="V410" s="123">
        <v>7.5999999999999998E-2</v>
      </c>
      <c r="W410" s="120"/>
      <c r="X410" s="120"/>
      <c r="Y410" s="123"/>
      <c r="Z410" s="123">
        <v>5.11E-2</v>
      </c>
      <c r="AA410" s="124">
        <v>46172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338</v>
      </c>
      <c r="AK410" s="120" t="s">
        <v>887</v>
      </c>
      <c r="AL410" s="120"/>
      <c r="AM410" s="120" t="s">
        <v>890</v>
      </c>
      <c r="AN410" s="124">
        <v>45838</v>
      </c>
      <c r="AO410" s="120"/>
      <c r="AP410" s="123"/>
      <c r="AQ410" s="122">
        <v>1333715.21</v>
      </c>
      <c r="AR410" s="122">
        <v>102.89</v>
      </c>
      <c r="AS410" s="122">
        <v>1</v>
      </c>
      <c r="AT410" s="122">
        <v>1372.2595799999999</v>
      </c>
      <c r="AU410" s="122">
        <v>1372.2595799999999</v>
      </c>
      <c r="AV410" s="120"/>
      <c r="AW410" s="120"/>
      <c r="AX410" s="120"/>
      <c r="AY410" s="120"/>
      <c r="AZ410" s="123">
        <v>4.7699999999999999E-4</v>
      </c>
      <c r="BA410" s="123">
        <v>2.1999999999999999E-5</v>
      </c>
    </row>
    <row r="411" spans="1:53" ht="15" customHeight="1">
      <c r="A411" s="121">
        <v>313</v>
      </c>
      <c r="B411" s="121">
        <v>313</v>
      </c>
      <c r="C411" s="121"/>
      <c r="D411" s="120"/>
      <c r="E411" s="120"/>
      <c r="F411" s="121">
        <v>70005012</v>
      </c>
      <c r="G411" s="120" t="s">
        <v>1013</v>
      </c>
      <c r="H411" s="120" t="s">
        <v>812</v>
      </c>
      <c r="I411" s="120" t="s">
        <v>203</v>
      </c>
      <c r="J411" s="120"/>
      <c r="K411" s="120" t="s">
        <v>455</v>
      </c>
      <c r="L411" s="120" t="s">
        <v>338</v>
      </c>
      <c r="M411" s="120" t="s">
        <v>337</v>
      </c>
      <c r="N411" s="121"/>
      <c r="O411" s="124">
        <v>45565</v>
      </c>
      <c r="P411" s="120" t="s">
        <v>1339</v>
      </c>
      <c r="Q411" s="120" t="s">
        <v>414</v>
      </c>
      <c r="R411" s="120" t="s">
        <v>407</v>
      </c>
      <c r="S411" s="120" t="s">
        <v>1218</v>
      </c>
      <c r="T411" s="122">
        <v>0.9</v>
      </c>
      <c r="U411" s="120" t="s">
        <v>824</v>
      </c>
      <c r="V411" s="123">
        <v>7.5999999999999998E-2</v>
      </c>
      <c r="W411" s="120"/>
      <c r="X411" s="120"/>
      <c r="Y411" s="123"/>
      <c r="Z411" s="123">
        <v>5.4800000000000001E-2</v>
      </c>
      <c r="AA411" s="124">
        <v>46172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338</v>
      </c>
      <c r="AK411" s="120" t="s">
        <v>887</v>
      </c>
      <c r="AL411" s="120"/>
      <c r="AM411" s="120" t="s">
        <v>890</v>
      </c>
      <c r="AN411" s="124">
        <v>45838</v>
      </c>
      <c r="AO411" s="120"/>
      <c r="AP411" s="123"/>
      <c r="AQ411" s="122">
        <v>2059855.96</v>
      </c>
      <c r="AR411" s="122">
        <v>102.57</v>
      </c>
      <c r="AS411" s="122">
        <v>1</v>
      </c>
      <c r="AT411" s="122">
        <v>2112.7942600000001</v>
      </c>
      <c r="AU411" s="122">
        <v>2112.7942600000001</v>
      </c>
      <c r="AV411" s="120"/>
      <c r="AW411" s="120"/>
      <c r="AX411" s="120"/>
      <c r="AY411" s="120"/>
      <c r="AZ411" s="123">
        <v>7.3499999999999998E-4</v>
      </c>
      <c r="BA411" s="123">
        <v>3.4999999999999997E-5</v>
      </c>
    </row>
    <row r="412" spans="1:53" ht="15" customHeight="1">
      <c r="A412" s="121">
        <v>313</v>
      </c>
      <c r="B412" s="121">
        <v>313</v>
      </c>
      <c r="C412" s="121"/>
      <c r="D412" s="120"/>
      <c r="E412" s="120"/>
      <c r="F412" s="121">
        <v>70005013</v>
      </c>
      <c r="G412" s="120" t="s">
        <v>1013</v>
      </c>
      <c r="H412" s="120" t="s">
        <v>812</v>
      </c>
      <c r="I412" s="120" t="s">
        <v>203</v>
      </c>
      <c r="J412" s="120"/>
      <c r="K412" s="120" t="s">
        <v>455</v>
      </c>
      <c r="L412" s="120" t="s">
        <v>338</v>
      </c>
      <c r="M412" s="120" t="s">
        <v>337</v>
      </c>
      <c r="N412" s="121"/>
      <c r="O412" s="124">
        <v>45596</v>
      </c>
      <c r="P412" s="120" t="s">
        <v>1339</v>
      </c>
      <c r="Q412" s="120" t="s">
        <v>414</v>
      </c>
      <c r="R412" s="120" t="s">
        <v>407</v>
      </c>
      <c r="S412" s="120" t="s">
        <v>1218</v>
      </c>
      <c r="T412" s="122">
        <v>0.9</v>
      </c>
      <c r="U412" s="120" t="s">
        <v>824</v>
      </c>
      <c r="V412" s="123">
        <v>7.5999999999999998E-2</v>
      </c>
      <c r="W412" s="120"/>
      <c r="X412" s="120"/>
      <c r="Y412" s="123"/>
      <c r="Z412" s="123">
        <v>5.6500000000000002E-2</v>
      </c>
      <c r="AA412" s="124">
        <v>46172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338</v>
      </c>
      <c r="AK412" s="120" t="s">
        <v>887</v>
      </c>
      <c r="AL412" s="120"/>
      <c r="AM412" s="120" t="s">
        <v>890</v>
      </c>
      <c r="AN412" s="124">
        <v>45838</v>
      </c>
      <c r="AO412" s="120"/>
      <c r="AP412" s="123"/>
      <c r="AQ412" s="122">
        <v>1839819.23</v>
      </c>
      <c r="AR412" s="122">
        <v>102.42</v>
      </c>
      <c r="AS412" s="122">
        <v>1</v>
      </c>
      <c r="AT412" s="122">
        <v>1884.34286</v>
      </c>
      <c r="AU412" s="122">
        <v>1884.34286</v>
      </c>
      <c r="AV412" s="120"/>
      <c r="AW412" s="120"/>
      <c r="AX412" s="120"/>
      <c r="AY412" s="120"/>
      <c r="AZ412" s="123">
        <v>6.5600000000000001E-4</v>
      </c>
      <c r="BA412" s="123">
        <v>3.1000000000000001E-5</v>
      </c>
    </row>
    <row r="413" spans="1:53" ht="15" customHeight="1">
      <c r="A413" s="121">
        <v>313</v>
      </c>
      <c r="B413" s="121">
        <v>313</v>
      </c>
      <c r="C413" s="121"/>
      <c r="D413" s="120"/>
      <c r="E413" s="120"/>
      <c r="F413" s="121">
        <v>70005014</v>
      </c>
      <c r="G413" s="120" t="s">
        <v>1013</v>
      </c>
      <c r="H413" s="120" t="s">
        <v>812</v>
      </c>
      <c r="I413" s="120" t="s">
        <v>203</v>
      </c>
      <c r="J413" s="120"/>
      <c r="K413" s="120" t="s">
        <v>455</v>
      </c>
      <c r="L413" s="120" t="s">
        <v>338</v>
      </c>
      <c r="M413" s="120" t="s">
        <v>337</v>
      </c>
      <c r="N413" s="121"/>
      <c r="O413" s="124">
        <v>45624</v>
      </c>
      <c r="P413" s="120" t="s">
        <v>1339</v>
      </c>
      <c r="Q413" s="120" t="s">
        <v>414</v>
      </c>
      <c r="R413" s="120" t="s">
        <v>407</v>
      </c>
      <c r="S413" s="120" t="s">
        <v>1218</v>
      </c>
      <c r="T413" s="122">
        <v>0.9</v>
      </c>
      <c r="U413" s="120" t="s">
        <v>824</v>
      </c>
      <c r="V413" s="123">
        <v>7.5999999999999998E-2</v>
      </c>
      <c r="W413" s="120"/>
      <c r="X413" s="120"/>
      <c r="Y413" s="123"/>
      <c r="Z413" s="123">
        <v>5.7599999999999998E-2</v>
      </c>
      <c r="AA413" s="124">
        <v>46172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338</v>
      </c>
      <c r="AK413" s="120" t="s">
        <v>887</v>
      </c>
      <c r="AL413" s="120"/>
      <c r="AM413" s="120" t="s">
        <v>890</v>
      </c>
      <c r="AN413" s="124">
        <v>45838</v>
      </c>
      <c r="AO413" s="120"/>
      <c r="AP413" s="123"/>
      <c r="AQ413" s="122">
        <v>1096882.3500000001</v>
      </c>
      <c r="AR413" s="122">
        <v>102.32</v>
      </c>
      <c r="AS413" s="122">
        <v>1</v>
      </c>
      <c r="AT413" s="122">
        <v>1122.3300200000001</v>
      </c>
      <c r="AU413" s="122">
        <v>1122.3300200000001</v>
      </c>
      <c r="AV413" s="120"/>
      <c r="AW413" s="120"/>
      <c r="AX413" s="120"/>
      <c r="AY413" s="120"/>
      <c r="AZ413" s="123">
        <v>3.8999999999999999E-4</v>
      </c>
      <c r="BA413" s="123">
        <v>1.8E-5</v>
      </c>
    </row>
    <row r="414" spans="1:53" ht="15" customHeight="1">
      <c r="A414" s="121">
        <v>313</v>
      </c>
      <c r="B414" s="121">
        <v>313</v>
      </c>
      <c r="C414" s="121"/>
      <c r="D414" s="120"/>
      <c r="E414" s="120"/>
      <c r="F414" s="121">
        <v>70005009</v>
      </c>
      <c r="G414" s="120" t="s">
        <v>1013</v>
      </c>
      <c r="H414" s="120" t="s">
        <v>812</v>
      </c>
      <c r="I414" s="120" t="s">
        <v>203</v>
      </c>
      <c r="J414" s="120"/>
      <c r="K414" s="120" t="s">
        <v>455</v>
      </c>
      <c r="L414" s="120" t="s">
        <v>338</v>
      </c>
      <c r="M414" s="120" t="s">
        <v>337</v>
      </c>
      <c r="N414" s="121"/>
      <c r="O414" s="124">
        <v>45473</v>
      </c>
      <c r="P414" s="120" t="s">
        <v>1339</v>
      </c>
      <c r="Q414" s="120" t="s">
        <v>414</v>
      </c>
      <c r="R414" s="120" t="s">
        <v>407</v>
      </c>
      <c r="S414" s="120" t="s">
        <v>1218</v>
      </c>
      <c r="T414" s="122">
        <v>0.9</v>
      </c>
      <c r="U414" s="120" t="s">
        <v>824</v>
      </c>
      <c r="V414" s="123">
        <v>7.5999999999999998E-2</v>
      </c>
      <c r="W414" s="120"/>
      <c r="X414" s="120"/>
      <c r="Y414" s="123"/>
      <c r="Z414" s="123">
        <v>5.16E-2</v>
      </c>
      <c r="AA414" s="124">
        <v>46172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338</v>
      </c>
      <c r="AK414" s="120" t="s">
        <v>887</v>
      </c>
      <c r="AL414" s="120"/>
      <c r="AM414" s="120" t="s">
        <v>890</v>
      </c>
      <c r="AN414" s="124">
        <v>45838</v>
      </c>
      <c r="AO414" s="120"/>
      <c r="AP414" s="123"/>
      <c r="AQ414" s="122">
        <v>172552.47</v>
      </c>
      <c r="AR414" s="122">
        <v>102.87</v>
      </c>
      <c r="AS414" s="122">
        <v>1</v>
      </c>
      <c r="AT414" s="122">
        <v>177.50473</v>
      </c>
      <c r="AU414" s="122">
        <v>177.50473</v>
      </c>
      <c r="AV414" s="120"/>
      <c r="AW414" s="120"/>
      <c r="AX414" s="120"/>
      <c r="AY414" s="120"/>
      <c r="AZ414" s="123">
        <v>6.0999999999999999E-5</v>
      </c>
      <c r="BA414" s="123">
        <v>1.9999999999999999E-6</v>
      </c>
    </row>
    <row r="415" spans="1:53" ht="15" customHeight="1">
      <c r="A415" s="121">
        <v>313</v>
      </c>
      <c r="B415" s="121">
        <v>313</v>
      </c>
      <c r="C415" s="121"/>
      <c r="D415" s="120"/>
      <c r="E415" s="120"/>
      <c r="F415" s="121">
        <v>70006904</v>
      </c>
      <c r="G415" s="120" t="s">
        <v>1013</v>
      </c>
      <c r="H415" s="120" t="s">
        <v>2623</v>
      </c>
      <c r="I415" s="120" t="s">
        <v>203</v>
      </c>
      <c r="J415" s="120"/>
      <c r="K415" s="120" t="s">
        <v>463</v>
      </c>
      <c r="L415" s="120" t="s">
        <v>338</v>
      </c>
      <c r="M415" s="120" t="s">
        <v>337</v>
      </c>
      <c r="N415" s="121"/>
      <c r="O415" s="124">
        <v>45032</v>
      </c>
      <c r="P415" s="120" t="s">
        <v>2616</v>
      </c>
      <c r="Q415" s="120" t="s">
        <v>311</v>
      </c>
      <c r="R415" s="120" t="s">
        <v>407</v>
      </c>
      <c r="S415" s="120" t="s">
        <v>1218</v>
      </c>
      <c r="T415" s="122">
        <v>3.64</v>
      </c>
      <c r="U415" s="120" t="s">
        <v>2613</v>
      </c>
      <c r="V415" s="123">
        <v>5.9400000000000001E-2</v>
      </c>
      <c r="W415" s="120"/>
      <c r="X415" s="120"/>
      <c r="Y415" s="123"/>
      <c r="Z415" s="123">
        <v>4.6399999999999997E-2</v>
      </c>
      <c r="AA415" s="124">
        <v>47480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45838</v>
      </c>
      <c r="AO415" s="120"/>
      <c r="AP415" s="123"/>
      <c r="AQ415" s="122">
        <v>655500</v>
      </c>
      <c r="AR415" s="122">
        <v>104.2</v>
      </c>
      <c r="AS415" s="122">
        <v>1</v>
      </c>
      <c r="AT415" s="122">
        <v>683.03099999999995</v>
      </c>
      <c r="AU415" s="122">
        <v>683.03099999999995</v>
      </c>
      <c r="AV415" s="120"/>
      <c r="AW415" s="120"/>
      <c r="AX415" s="120"/>
      <c r="AY415" s="120"/>
      <c r="AZ415" s="123">
        <v>2.3699999999999999E-4</v>
      </c>
      <c r="BA415" s="123">
        <v>1.1E-5</v>
      </c>
    </row>
    <row r="416" spans="1:53" ht="15" customHeight="1">
      <c r="A416" s="121">
        <v>313</v>
      </c>
      <c r="B416" s="121">
        <v>313</v>
      </c>
      <c r="C416" s="121"/>
      <c r="D416" s="120"/>
      <c r="E416" s="120"/>
      <c r="F416" s="121">
        <v>70006905</v>
      </c>
      <c r="G416" s="120" t="s">
        <v>1013</v>
      </c>
      <c r="H416" s="120" t="s">
        <v>2623</v>
      </c>
      <c r="I416" s="120" t="s">
        <v>203</v>
      </c>
      <c r="J416" s="120"/>
      <c r="K416" s="120" t="s">
        <v>463</v>
      </c>
      <c r="L416" s="120" t="s">
        <v>338</v>
      </c>
      <c r="M416" s="120" t="s">
        <v>337</v>
      </c>
      <c r="N416" s="121"/>
      <c r="O416" s="124">
        <v>45060</v>
      </c>
      <c r="P416" s="120" t="s">
        <v>2616</v>
      </c>
      <c r="Q416" s="120" t="s">
        <v>311</v>
      </c>
      <c r="R416" s="120" t="s">
        <v>407</v>
      </c>
      <c r="S416" s="120" t="s">
        <v>1218</v>
      </c>
      <c r="T416" s="122">
        <v>3.64</v>
      </c>
      <c r="U416" s="120" t="s">
        <v>2613</v>
      </c>
      <c r="V416" s="123">
        <v>5.8700000000000002E-2</v>
      </c>
      <c r="W416" s="120"/>
      <c r="X416" s="120"/>
      <c r="Y416" s="123"/>
      <c r="Z416" s="123">
        <v>4.7300000000000002E-2</v>
      </c>
      <c r="AA416" s="124">
        <v>47480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45838</v>
      </c>
      <c r="AO416" s="120"/>
      <c r="AP416" s="123"/>
      <c r="AQ416" s="122">
        <v>589950</v>
      </c>
      <c r="AR416" s="122">
        <v>103.61</v>
      </c>
      <c r="AS416" s="122">
        <v>1</v>
      </c>
      <c r="AT416" s="122">
        <v>611.24720000000002</v>
      </c>
      <c r="AU416" s="122">
        <v>611.24720000000002</v>
      </c>
      <c r="AV416" s="120"/>
      <c r="AW416" s="120"/>
      <c r="AX416" s="120"/>
      <c r="AY416" s="120"/>
      <c r="AZ416" s="123">
        <v>2.12E-4</v>
      </c>
      <c r="BA416" s="123">
        <v>1.0000000000000001E-5</v>
      </c>
    </row>
    <row r="417" spans="1:53" ht="15" customHeight="1">
      <c r="A417" s="121">
        <v>313</v>
      </c>
      <c r="B417" s="121">
        <v>313</v>
      </c>
      <c r="C417" s="121"/>
      <c r="D417" s="120"/>
      <c r="E417" s="120"/>
      <c r="F417" s="121">
        <v>70006906</v>
      </c>
      <c r="G417" s="120" t="s">
        <v>1013</v>
      </c>
      <c r="H417" s="120" t="s">
        <v>2623</v>
      </c>
      <c r="I417" s="120" t="s">
        <v>203</v>
      </c>
      <c r="J417" s="120"/>
      <c r="K417" s="120" t="s">
        <v>463</v>
      </c>
      <c r="L417" s="120" t="s">
        <v>338</v>
      </c>
      <c r="M417" s="120" t="s">
        <v>337</v>
      </c>
      <c r="N417" s="121"/>
      <c r="O417" s="124">
        <v>45152</v>
      </c>
      <c r="P417" s="120" t="s">
        <v>2616</v>
      </c>
      <c r="Q417" s="120" t="s">
        <v>311</v>
      </c>
      <c r="R417" s="120" t="s">
        <v>407</v>
      </c>
      <c r="S417" s="120" t="s">
        <v>1218</v>
      </c>
      <c r="T417" s="122">
        <v>3.63</v>
      </c>
      <c r="U417" s="120" t="s">
        <v>2613</v>
      </c>
      <c r="V417" s="123">
        <v>6.0699999999999997E-2</v>
      </c>
      <c r="W417" s="120"/>
      <c r="X417" s="120"/>
      <c r="Y417" s="123"/>
      <c r="Z417" s="123">
        <v>4.7800000000000002E-2</v>
      </c>
      <c r="AA417" s="124">
        <v>47480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45838</v>
      </c>
      <c r="AO417" s="120"/>
      <c r="AP417" s="123"/>
      <c r="AQ417" s="122">
        <v>480700</v>
      </c>
      <c r="AR417" s="122">
        <v>104.14</v>
      </c>
      <c r="AS417" s="122">
        <v>1</v>
      </c>
      <c r="AT417" s="122">
        <v>500.60097999999999</v>
      </c>
      <c r="AU417" s="122">
        <v>500.60097999999999</v>
      </c>
      <c r="AV417" s="120"/>
      <c r="AW417" s="120"/>
      <c r="AX417" s="120"/>
      <c r="AY417" s="120"/>
      <c r="AZ417" s="123">
        <v>1.74E-4</v>
      </c>
      <c r="BA417" s="123">
        <v>7.9999999999999996E-6</v>
      </c>
    </row>
    <row r="418" spans="1:53" ht="15" customHeight="1">
      <c r="A418" s="121">
        <v>313</v>
      </c>
      <c r="B418" s="121">
        <v>313</v>
      </c>
      <c r="C418" s="121"/>
      <c r="D418" s="120"/>
      <c r="E418" s="120"/>
      <c r="F418" s="121">
        <v>70007715</v>
      </c>
      <c r="G418" s="120" t="s">
        <v>1013</v>
      </c>
      <c r="H418" s="120" t="s">
        <v>812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45614</v>
      </c>
      <c r="P418" s="120" t="s">
        <v>1304</v>
      </c>
      <c r="Q418" s="120" t="s">
        <v>414</v>
      </c>
      <c r="R418" s="120" t="s">
        <v>407</v>
      </c>
      <c r="S418" s="120" t="s">
        <v>1218</v>
      </c>
      <c r="T418" s="122">
        <v>1.59</v>
      </c>
      <c r="U418" s="120" t="s">
        <v>824</v>
      </c>
      <c r="V418" s="123">
        <v>6.6000000000000003E-2</v>
      </c>
      <c r="W418" s="120"/>
      <c r="X418" s="120"/>
      <c r="Y418" s="123"/>
      <c r="Z418" s="123">
        <v>6.4100000000000004E-2</v>
      </c>
      <c r="AA418" s="124">
        <v>46446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338</v>
      </c>
      <c r="AK418" s="120" t="s">
        <v>887</v>
      </c>
      <c r="AL418" s="120"/>
      <c r="AM418" s="120" t="s">
        <v>890</v>
      </c>
      <c r="AN418" s="124">
        <v>45838</v>
      </c>
      <c r="AO418" s="120"/>
      <c r="AP418" s="123"/>
      <c r="AQ418" s="122">
        <v>2938867.62</v>
      </c>
      <c r="AR418" s="122">
        <v>100.55</v>
      </c>
      <c r="AS418" s="122">
        <v>1</v>
      </c>
      <c r="AT418" s="122">
        <v>2955.0313900000001</v>
      </c>
      <c r="AU418" s="122">
        <v>2955.0313900000001</v>
      </c>
      <c r="AV418" s="120"/>
      <c r="AW418" s="120"/>
      <c r="AX418" s="120"/>
      <c r="AY418" s="120"/>
      <c r="AZ418" s="123">
        <v>1.029E-3</v>
      </c>
      <c r="BA418" s="123">
        <v>4.8999999999999998E-5</v>
      </c>
    </row>
    <row r="419" spans="1:53" ht="15" customHeight="1">
      <c r="A419" s="121">
        <v>313</v>
      </c>
      <c r="B419" s="121">
        <v>313</v>
      </c>
      <c r="C419" s="121"/>
      <c r="D419" s="120"/>
      <c r="E419" s="120"/>
      <c r="F419" s="121">
        <v>70007716</v>
      </c>
      <c r="G419" s="120" t="s">
        <v>1013</v>
      </c>
      <c r="H419" s="120" t="s">
        <v>812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45642</v>
      </c>
      <c r="P419" s="120" t="s">
        <v>1304</v>
      </c>
      <c r="Q419" s="120" t="s">
        <v>414</v>
      </c>
      <c r="R419" s="120" t="s">
        <v>407</v>
      </c>
      <c r="S419" s="120" t="s">
        <v>1218</v>
      </c>
      <c r="T419" s="122">
        <v>1.59</v>
      </c>
      <c r="U419" s="120" t="s">
        <v>824</v>
      </c>
      <c r="V419" s="123">
        <v>6.6000000000000003E-2</v>
      </c>
      <c r="W419" s="120"/>
      <c r="X419" s="120"/>
      <c r="Y419" s="123"/>
      <c r="Z419" s="123">
        <v>6.3799999999999996E-2</v>
      </c>
      <c r="AA419" s="124">
        <v>46446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338</v>
      </c>
      <c r="AK419" s="120" t="s">
        <v>887</v>
      </c>
      <c r="AL419" s="120"/>
      <c r="AM419" s="120" t="s">
        <v>890</v>
      </c>
      <c r="AN419" s="124">
        <v>45838</v>
      </c>
      <c r="AO419" s="120"/>
      <c r="AP419" s="123"/>
      <c r="AQ419" s="122">
        <v>2048704.78</v>
      </c>
      <c r="AR419" s="122">
        <v>100.6</v>
      </c>
      <c r="AS419" s="122">
        <v>1</v>
      </c>
      <c r="AT419" s="122">
        <v>2060.99701</v>
      </c>
      <c r="AU419" s="122">
        <v>2060.99701</v>
      </c>
      <c r="AV419" s="120"/>
      <c r="AW419" s="120"/>
      <c r="AX419" s="120"/>
      <c r="AY419" s="120"/>
      <c r="AZ419" s="123">
        <v>7.1699999999999997E-4</v>
      </c>
      <c r="BA419" s="123">
        <v>3.4E-5</v>
      </c>
    </row>
    <row r="420" spans="1:53" ht="15" customHeight="1">
      <c r="A420" s="121">
        <v>313</v>
      </c>
      <c r="B420" s="121">
        <v>313</v>
      </c>
      <c r="C420" s="121"/>
      <c r="D420" s="120"/>
      <c r="E420" s="120"/>
      <c r="F420" s="121">
        <v>70007717</v>
      </c>
      <c r="G420" s="120" t="s">
        <v>1013</v>
      </c>
      <c r="H420" s="120" t="s">
        <v>812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45672</v>
      </c>
      <c r="P420" s="120" t="s">
        <v>1304</v>
      </c>
      <c r="Q420" s="120" t="s">
        <v>414</v>
      </c>
      <c r="R420" s="120" t="s">
        <v>407</v>
      </c>
      <c r="S420" s="120" t="s">
        <v>1218</v>
      </c>
      <c r="T420" s="122">
        <v>3.29</v>
      </c>
      <c r="U420" s="120" t="s">
        <v>824</v>
      </c>
      <c r="V420" s="123">
        <v>6.6000000000000003E-2</v>
      </c>
      <c r="W420" s="120"/>
      <c r="X420" s="120"/>
      <c r="Y420" s="123"/>
      <c r="Z420" s="123">
        <v>6.9199999999999998E-2</v>
      </c>
      <c r="AA420" s="124">
        <v>47177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338</v>
      </c>
      <c r="AK420" s="120" t="s">
        <v>887</v>
      </c>
      <c r="AL420" s="120"/>
      <c r="AM420" s="120" t="s">
        <v>890</v>
      </c>
      <c r="AN420" s="124">
        <v>45838</v>
      </c>
      <c r="AO420" s="120"/>
      <c r="AP420" s="123"/>
      <c r="AQ420" s="122">
        <v>513349</v>
      </c>
      <c r="AR420" s="122">
        <v>99.54</v>
      </c>
      <c r="AS420" s="122">
        <v>1</v>
      </c>
      <c r="AT420" s="122">
        <v>510.98759000000001</v>
      </c>
      <c r="AU420" s="122">
        <v>510.98759000000001</v>
      </c>
      <c r="AV420" s="120"/>
      <c r="AW420" s="120"/>
      <c r="AX420" s="120"/>
      <c r="AY420" s="120"/>
      <c r="AZ420" s="123">
        <v>1.7699999999999999E-4</v>
      </c>
      <c r="BA420" s="123">
        <v>7.9999999999999996E-6</v>
      </c>
    </row>
    <row r="421" spans="1:53" ht="15" customHeight="1">
      <c r="A421" s="121">
        <v>313</v>
      </c>
      <c r="B421" s="121">
        <v>313</v>
      </c>
      <c r="C421" s="121"/>
      <c r="D421" s="120"/>
      <c r="E421" s="120"/>
      <c r="F421" s="121">
        <v>70007718</v>
      </c>
      <c r="G421" s="120" t="s">
        <v>1013</v>
      </c>
      <c r="H421" s="120" t="s">
        <v>812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45672</v>
      </c>
      <c r="P421" s="120" t="s">
        <v>1304</v>
      </c>
      <c r="Q421" s="120" t="s">
        <v>414</v>
      </c>
      <c r="R421" s="120" t="s">
        <v>407</v>
      </c>
      <c r="S421" s="120" t="s">
        <v>1218</v>
      </c>
      <c r="T421" s="122">
        <v>1.59</v>
      </c>
      <c r="U421" s="120" t="s">
        <v>824</v>
      </c>
      <c r="V421" s="123">
        <v>6.6000000000000003E-2</v>
      </c>
      <c r="W421" s="120"/>
      <c r="X421" s="120"/>
      <c r="Y421" s="123"/>
      <c r="Z421" s="123">
        <v>6.9900000000000004E-2</v>
      </c>
      <c r="AA421" s="124">
        <v>46446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338</v>
      </c>
      <c r="AK421" s="120" t="s">
        <v>887</v>
      </c>
      <c r="AL421" s="120"/>
      <c r="AM421" s="120" t="s">
        <v>890</v>
      </c>
      <c r="AN421" s="124">
        <v>45838</v>
      </c>
      <c r="AO421" s="120"/>
      <c r="AP421" s="123"/>
      <c r="AQ421" s="122">
        <v>627829.5</v>
      </c>
      <c r="AR421" s="122">
        <v>99.69</v>
      </c>
      <c r="AS421" s="122">
        <v>1</v>
      </c>
      <c r="AT421" s="122">
        <v>625.88323000000003</v>
      </c>
      <c r="AU421" s="122">
        <v>625.88323000000003</v>
      </c>
      <c r="AV421" s="120"/>
      <c r="AW421" s="120"/>
      <c r="AX421" s="120"/>
      <c r="AY421" s="120"/>
      <c r="AZ421" s="123">
        <v>2.1699999999999999E-4</v>
      </c>
      <c r="BA421" s="123">
        <v>1.0000000000000001E-5</v>
      </c>
    </row>
    <row r="422" spans="1:53" ht="15" customHeight="1">
      <c r="A422" s="121">
        <v>313</v>
      </c>
      <c r="B422" s="121">
        <v>313</v>
      </c>
      <c r="C422" s="121"/>
      <c r="D422" s="120"/>
      <c r="E422" s="120"/>
      <c r="F422" s="121">
        <v>70007719</v>
      </c>
      <c r="G422" s="120" t="s">
        <v>1013</v>
      </c>
      <c r="H422" s="120" t="s">
        <v>812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45705</v>
      </c>
      <c r="P422" s="120" t="s">
        <v>1304</v>
      </c>
      <c r="Q422" s="120" t="s">
        <v>414</v>
      </c>
      <c r="R422" s="120" t="s">
        <v>407</v>
      </c>
      <c r="S422" s="120" t="s">
        <v>1218</v>
      </c>
      <c r="T422" s="122">
        <v>3.29</v>
      </c>
      <c r="U422" s="120" t="s">
        <v>824</v>
      </c>
      <c r="V422" s="123">
        <v>6.6000000000000003E-2</v>
      </c>
      <c r="W422" s="120"/>
      <c r="X422" s="120"/>
      <c r="Y422" s="123"/>
      <c r="Z422" s="123">
        <v>6.7900000000000002E-2</v>
      </c>
      <c r="AA422" s="124">
        <v>47177</v>
      </c>
      <c r="AB422" s="120" t="s">
        <v>411</v>
      </c>
      <c r="AC422" s="120"/>
      <c r="AD422" s="122"/>
      <c r="AE422" s="123"/>
      <c r="AF422" s="124"/>
      <c r="AG422" s="120"/>
      <c r="AH422" s="120"/>
      <c r="AI422" s="120"/>
      <c r="AJ422" s="120" t="s">
        <v>338</v>
      </c>
      <c r="AK422" s="120" t="s">
        <v>887</v>
      </c>
      <c r="AL422" s="120"/>
      <c r="AM422" s="120" t="s">
        <v>890</v>
      </c>
      <c r="AN422" s="124">
        <v>45838</v>
      </c>
      <c r="AO422" s="120"/>
      <c r="AP422" s="123"/>
      <c r="AQ422" s="122">
        <v>232360.41</v>
      </c>
      <c r="AR422" s="122">
        <v>99.92</v>
      </c>
      <c r="AS422" s="122">
        <v>1</v>
      </c>
      <c r="AT422" s="122">
        <v>232.17452</v>
      </c>
      <c r="AU422" s="122">
        <v>232.17452</v>
      </c>
      <c r="AV422" s="120"/>
      <c r="AW422" s="120"/>
      <c r="AX422" s="120"/>
      <c r="AY422" s="120"/>
      <c r="AZ422" s="123">
        <v>8.0000000000000007E-5</v>
      </c>
      <c r="BA422" s="123">
        <v>3.0000000000000001E-6</v>
      </c>
    </row>
    <row r="423" spans="1:53" ht="15" customHeight="1">
      <c r="A423" s="121">
        <v>313</v>
      </c>
      <c r="B423" s="121">
        <v>313</v>
      </c>
      <c r="C423" s="121"/>
      <c r="D423" s="120"/>
      <c r="E423" s="120"/>
      <c r="F423" s="121">
        <v>70007714</v>
      </c>
      <c r="G423" s="120" t="s">
        <v>1013</v>
      </c>
      <c r="H423" s="120" t="s">
        <v>812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45580</v>
      </c>
      <c r="P423" s="120" t="s">
        <v>1304</v>
      </c>
      <c r="Q423" s="120" t="s">
        <v>414</v>
      </c>
      <c r="R423" s="120" t="s">
        <v>407</v>
      </c>
      <c r="S423" s="120" t="s">
        <v>1218</v>
      </c>
      <c r="T423" s="122">
        <v>3.29</v>
      </c>
      <c r="U423" s="120" t="s">
        <v>824</v>
      </c>
      <c r="V423" s="123">
        <v>6.6000000000000003E-2</v>
      </c>
      <c r="W423" s="120"/>
      <c r="X423" s="120"/>
      <c r="Y423" s="123"/>
      <c r="Z423" s="123">
        <v>6.0900000000000003E-2</v>
      </c>
      <c r="AA423" s="124">
        <v>47177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338</v>
      </c>
      <c r="AK423" s="120" t="s">
        <v>887</v>
      </c>
      <c r="AL423" s="120"/>
      <c r="AM423" s="120" t="s">
        <v>890</v>
      </c>
      <c r="AN423" s="124">
        <v>45838</v>
      </c>
      <c r="AO423" s="120"/>
      <c r="AP423" s="123"/>
      <c r="AQ423" s="122">
        <v>415392</v>
      </c>
      <c r="AR423" s="122">
        <v>102.11</v>
      </c>
      <c r="AS423" s="122">
        <v>1</v>
      </c>
      <c r="AT423" s="122">
        <v>424.15676999999999</v>
      </c>
      <c r="AU423" s="122">
        <v>424.15676999999999</v>
      </c>
      <c r="AV423" s="120"/>
      <c r="AW423" s="120"/>
      <c r="AX423" s="120"/>
      <c r="AY423" s="120"/>
      <c r="AZ423" s="123">
        <v>1.47E-4</v>
      </c>
      <c r="BA423" s="123">
        <v>6.9999999999999999E-6</v>
      </c>
    </row>
    <row r="424" spans="1:53" ht="15" customHeight="1">
      <c r="A424" s="121">
        <v>313</v>
      </c>
      <c r="B424" s="121">
        <v>313</v>
      </c>
      <c r="C424" s="121"/>
      <c r="D424" s="120"/>
      <c r="E424" s="120"/>
      <c r="F424" s="121">
        <v>70007721</v>
      </c>
      <c r="G424" s="120" t="s">
        <v>1013</v>
      </c>
      <c r="H424" s="120" t="s">
        <v>812</v>
      </c>
      <c r="I424" s="120" t="s">
        <v>203</v>
      </c>
      <c r="J424" s="120"/>
      <c r="K424" s="120" t="s">
        <v>446</v>
      </c>
      <c r="L424" s="120" t="s">
        <v>338</v>
      </c>
      <c r="M424" s="120" t="s">
        <v>337</v>
      </c>
      <c r="N424" s="121"/>
      <c r="O424" s="124">
        <v>45705</v>
      </c>
      <c r="P424" s="120" t="s">
        <v>1304</v>
      </c>
      <c r="Q424" s="120" t="s">
        <v>414</v>
      </c>
      <c r="R424" s="120" t="s">
        <v>407</v>
      </c>
      <c r="S424" s="120" t="s">
        <v>1218</v>
      </c>
      <c r="T424" s="122">
        <v>2.4700000000000002</v>
      </c>
      <c r="U424" s="120" t="s">
        <v>824</v>
      </c>
      <c r="V424" s="123">
        <v>6.6000000000000003E-2</v>
      </c>
      <c r="W424" s="120"/>
      <c r="X424" s="120"/>
      <c r="Y424" s="123"/>
      <c r="Z424" s="123">
        <v>6.7900000000000002E-2</v>
      </c>
      <c r="AA424" s="124">
        <v>46811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338</v>
      </c>
      <c r="AK424" s="120" t="s">
        <v>887</v>
      </c>
      <c r="AL424" s="120"/>
      <c r="AM424" s="120" t="s">
        <v>890</v>
      </c>
      <c r="AN424" s="124">
        <v>45838</v>
      </c>
      <c r="AO424" s="120"/>
      <c r="AP424" s="123"/>
      <c r="AQ424" s="122">
        <v>2781996.27</v>
      </c>
      <c r="AR424" s="122">
        <v>99.96</v>
      </c>
      <c r="AS424" s="122">
        <v>1</v>
      </c>
      <c r="AT424" s="122">
        <v>2780.8834700000002</v>
      </c>
      <c r="AU424" s="122">
        <v>2780.8834700000002</v>
      </c>
      <c r="AV424" s="120"/>
      <c r="AW424" s="120"/>
      <c r="AX424" s="120"/>
      <c r="AY424" s="120"/>
      <c r="AZ424" s="123">
        <v>9.68E-4</v>
      </c>
      <c r="BA424" s="123">
        <v>4.6E-5</v>
      </c>
    </row>
    <row r="425" spans="1:53" ht="15" customHeight="1">
      <c r="A425" s="121">
        <v>313</v>
      </c>
      <c r="B425" s="121">
        <v>313</v>
      </c>
      <c r="C425" s="121"/>
      <c r="D425" s="120"/>
      <c r="E425" s="120"/>
      <c r="F425" s="121">
        <v>70007723</v>
      </c>
      <c r="G425" s="120" t="s">
        <v>1013</v>
      </c>
      <c r="H425" s="120" t="s">
        <v>812</v>
      </c>
      <c r="I425" s="120" t="s">
        <v>203</v>
      </c>
      <c r="J425" s="120"/>
      <c r="K425" s="120" t="s">
        <v>446</v>
      </c>
      <c r="L425" s="120" t="s">
        <v>338</v>
      </c>
      <c r="M425" s="120" t="s">
        <v>337</v>
      </c>
      <c r="N425" s="121"/>
      <c r="O425" s="124">
        <v>45733</v>
      </c>
      <c r="P425" s="120" t="s">
        <v>1304</v>
      </c>
      <c r="Q425" s="120" t="s">
        <v>414</v>
      </c>
      <c r="R425" s="120" t="s">
        <v>407</v>
      </c>
      <c r="S425" s="120" t="s">
        <v>1218</v>
      </c>
      <c r="T425" s="122">
        <v>2.4700000000000002</v>
      </c>
      <c r="U425" s="120" t="s">
        <v>824</v>
      </c>
      <c r="V425" s="123">
        <v>6.6000000000000003E-2</v>
      </c>
      <c r="W425" s="120"/>
      <c r="X425" s="120"/>
      <c r="Y425" s="123"/>
      <c r="Z425" s="123">
        <v>6.54E-2</v>
      </c>
      <c r="AA425" s="124">
        <v>46811</v>
      </c>
      <c r="AB425" s="120" t="s">
        <v>411</v>
      </c>
      <c r="AC425" s="120"/>
      <c r="AD425" s="122"/>
      <c r="AE425" s="123"/>
      <c r="AF425" s="124"/>
      <c r="AG425" s="120"/>
      <c r="AH425" s="120"/>
      <c r="AI425" s="120"/>
      <c r="AJ425" s="120" t="s">
        <v>338</v>
      </c>
      <c r="AK425" s="120" t="s">
        <v>887</v>
      </c>
      <c r="AL425" s="120"/>
      <c r="AM425" s="120" t="s">
        <v>890</v>
      </c>
      <c r="AN425" s="124">
        <v>45838</v>
      </c>
      <c r="AO425" s="120"/>
      <c r="AP425" s="123"/>
      <c r="AQ425" s="122">
        <v>1548933.71</v>
      </c>
      <c r="AR425" s="122">
        <v>100.53</v>
      </c>
      <c r="AS425" s="122">
        <v>1</v>
      </c>
      <c r="AT425" s="122">
        <v>1557.1430600000001</v>
      </c>
      <c r="AU425" s="122">
        <v>1557.1430600000001</v>
      </c>
      <c r="AV425" s="120"/>
      <c r="AW425" s="120"/>
      <c r="AX425" s="120"/>
      <c r="AY425" s="120"/>
      <c r="AZ425" s="123">
        <v>5.4199999999999995E-4</v>
      </c>
      <c r="BA425" s="123">
        <v>2.5000000000000001E-5</v>
      </c>
    </row>
    <row r="426" spans="1:53" ht="15" customHeight="1">
      <c r="A426" s="121">
        <v>313</v>
      </c>
      <c r="B426" s="121">
        <v>313</v>
      </c>
      <c r="C426" s="121"/>
      <c r="D426" s="120"/>
      <c r="E426" s="120"/>
      <c r="F426" s="121">
        <v>70007724</v>
      </c>
      <c r="G426" s="120" t="s">
        <v>1013</v>
      </c>
      <c r="H426" s="120" t="s">
        <v>812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45757</v>
      </c>
      <c r="P426" s="120" t="s">
        <v>1304</v>
      </c>
      <c r="Q426" s="120" t="s">
        <v>414</v>
      </c>
      <c r="R426" s="120" t="s">
        <v>407</v>
      </c>
      <c r="S426" s="120" t="s">
        <v>1218</v>
      </c>
      <c r="T426" s="122">
        <v>2.4700000000000002</v>
      </c>
      <c r="U426" s="120" t="s">
        <v>824</v>
      </c>
      <c r="V426" s="123">
        <v>6.6000000000000003E-2</v>
      </c>
      <c r="W426" s="120"/>
      <c r="X426" s="120"/>
      <c r="Y426" s="123"/>
      <c r="Z426" s="123">
        <v>6.2899999999999998E-2</v>
      </c>
      <c r="AA426" s="124">
        <v>46811</v>
      </c>
      <c r="AB426" s="120" t="s">
        <v>411</v>
      </c>
      <c r="AC426" s="120"/>
      <c r="AD426" s="122"/>
      <c r="AE426" s="123"/>
      <c r="AF426" s="124"/>
      <c r="AG426" s="120"/>
      <c r="AH426" s="120"/>
      <c r="AI426" s="120"/>
      <c r="AJ426" s="120" t="s">
        <v>338</v>
      </c>
      <c r="AK426" s="120" t="s">
        <v>887</v>
      </c>
      <c r="AL426" s="120"/>
      <c r="AM426" s="120" t="s">
        <v>890</v>
      </c>
      <c r="AN426" s="124">
        <v>45838</v>
      </c>
      <c r="AO426" s="120"/>
      <c r="AP426" s="123"/>
      <c r="AQ426" s="122">
        <v>2914772.04</v>
      </c>
      <c r="AR426" s="122">
        <v>101.12</v>
      </c>
      <c r="AS426" s="122">
        <v>1</v>
      </c>
      <c r="AT426" s="122">
        <v>2947.4174899999998</v>
      </c>
      <c r="AU426" s="122">
        <v>2947.4174899999998</v>
      </c>
      <c r="AV426" s="120"/>
      <c r="AW426" s="120"/>
      <c r="AX426" s="120"/>
      <c r="AY426" s="120"/>
      <c r="AZ426" s="123">
        <v>1.026E-3</v>
      </c>
      <c r="BA426" s="123">
        <v>4.8999999999999998E-5</v>
      </c>
    </row>
    <row r="427" spans="1:53" ht="15" customHeight="1">
      <c r="A427" s="121">
        <v>313</v>
      </c>
      <c r="B427" s="121">
        <v>313</v>
      </c>
      <c r="C427" s="121"/>
      <c r="D427" s="120"/>
      <c r="E427" s="120"/>
      <c r="F427" s="121">
        <v>70007725</v>
      </c>
      <c r="G427" s="120" t="s">
        <v>1013</v>
      </c>
      <c r="H427" s="120" t="s">
        <v>812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45792</v>
      </c>
      <c r="P427" s="120" t="s">
        <v>1304</v>
      </c>
      <c r="Q427" s="120" t="s">
        <v>414</v>
      </c>
      <c r="R427" s="120" t="s">
        <v>407</v>
      </c>
      <c r="S427" s="120" t="s">
        <v>1218</v>
      </c>
      <c r="T427" s="122">
        <v>2.4700000000000002</v>
      </c>
      <c r="U427" s="120" t="s">
        <v>824</v>
      </c>
      <c r="V427" s="123">
        <v>6.6000000000000003E-2</v>
      </c>
      <c r="W427" s="120"/>
      <c r="X427" s="120"/>
      <c r="Y427" s="123"/>
      <c r="Z427" s="123">
        <v>6.6299999999999998E-2</v>
      </c>
      <c r="AA427" s="124">
        <v>46811</v>
      </c>
      <c r="AB427" s="120" t="s">
        <v>411</v>
      </c>
      <c r="AC427" s="120"/>
      <c r="AD427" s="122"/>
      <c r="AE427" s="123"/>
      <c r="AF427" s="124"/>
      <c r="AG427" s="120"/>
      <c r="AH427" s="120"/>
      <c r="AI427" s="120"/>
      <c r="AJ427" s="120" t="s">
        <v>338</v>
      </c>
      <c r="AK427" s="120" t="s">
        <v>887</v>
      </c>
      <c r="AL427" s="120"/>
      <c r="AM427" s="120" t="s">
        <v>890</v>
      </c>
      <c r="AN427" s="124">
        <v>45838</v>
      </c>
      <c r="AO427" s="120"/>
      <c r="AP427" s="123"/>
      <c r="AQ427" s="122">
        <v>1814530.16</v>
      </c>
      <c r="AR427" s="122">
        <v>100.32</v>
      </c>
      <c r="AS427" s="122">
        <v>1</v>
      </c>
      <c r="AT427" s="122">
        <v>1820.3366599999999</v>
      </c>
      <c r="AU427" s="122">
        <v>1820.3366599999999</v>
      </c>
      <c r="AV427" s="120"/>
      <c r="AW427" s="120"/>
      <c r="AX427" s="120"/>
      <c r="AY427" s="120"/>
      <c r="AZ427" s="123">
        <v>6.3299999999999999E-4</v>
      </c>
      <c r="BA427" s="123">
        <v>3.0000000000000001E-5</v>
      </c>
    </row>
    <row r="428" spans="1:53" ht="15" customHeight="1">
      <c r="A428" s="121">
        <v>313</v>
      </c>
      <c r="B428" s="121">
        <v>313</v>
      </c>
      <c r="C428" s="121"/>
      <c r="D428" s="120"/>
      <c r="E428" s="120"/>
      <c r="F428" s="121">
        <v>70007726</v>
      </c>
      <c r="G428" s="120" t="s">
        <v>1013</v>
      </c>
      <c r="H428" s="120" t="s">
        <v>812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45792</v>
      </c>
      <c r="P428" s="120" t="s">
        <v>1304</v>
      </c>
      <c r="Q428" s="120" t="s">
        <v>414</v>
      </c>
      <c r="R428" s="120" t="s">
        <v>407</v>
      </c>
      <c r="S428" s="120" t="s">
        <v>1218</v>
      </c>
      <c r="T428" s="122">
        <v>3.29</v>
      </c>
      <c r="U428" s="120" t="s">
        <v>824</v>
      </c>
      <c r="V428" s="123">
        <v>6.6000000000000003E-2</v>
      </c>
      <c r="W428" s="120"/>
      <c r="X428" s="120"/>
      <c r="Y428" s="123"/>
      <c r="Z428" s="123">
        <v>6.6400000000000001E-2</v>
      </c>
      <c r="AA428" s="124">
        <v>47177</v>
      </c>
      <c r="AB428" s="120" t="s">
        <v>411</v>
      </c>
      <c r="AC428" s="120"/>
      <c r="AD428" s="122"/>
      <c r="AE428" s="123"/>
      <c r="AF428" s="124"/>
      <c r="AG428" s="120"/>
      <c r="AH428" s="120"/>
      <c r="AI428" s="120"/>
      <c r="AJ428" s="120" t="s">
        <v>338</v>
      </c>
      <c r="AK428" s="120" t="s">
        <v>887</v>
      </c>
      <c r="AL428" s="120"/>
      <c r="AM428" s="120" t="s">
        <v>890</v>
      </c>
      <c r="AN428" s="124">
        <v>45838</v>
      </c>
      <c r="AO428" s="120"/>
      <c r="AP428" s="123"/>
      <c r="AQ428" s="122">
        <v>214792.1</v>
      </c>
      <c r="AR428" s="122">
        <v>100.39</v>
      </c>
      <c r="AS428" s="122">
        <v>1</v>
      </c>
      <c r="AT428" s="122">
        <v>215.62979000000001</v>
      </c>
      <c r="AU428" s="122">
        <v>215.62979000000001</v>
      </c>
      <c r="AV428" s="120"/>
      <c r="AW428" s="120"/>
      <c r="AX428" s="120"/>
      <c r="AY428" s="120"/>
      <c r="AZ428" s="123">
        <v>7.4999999999999993E-5</v>
      </c>
      <c r="BA428" s="123">
        <v>3.0000000000000001E-6</v>
      </c>
    </row>
    <row r="429" spans="1:53" ht="15" customHeight="1">
      <c r="A429" s="121">
        <v>313</v>
      </c>
      <c r="B429" s="121">
        <v>313</v>
      </c>
      <c r="C429" s="121"/>
      <c r="D429" s="120"/>
      <c r="E429" s="120"/>
      <c r="F429" s="121">
        <v>70007727</v>
      </c>
      <c r="G429" s="120" t="s">
        <v>1013</v>
      </c>
      <c r="H429" s="120" t="s">
        <v>812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45792</v>
      </c>
      <c r="P429" s="120" t="s">
        <v>1304</v>
      </c>
      <c r="Q429" s="120" t="s">
        <v>414</v>
      </c>
      <c r="R429" s="120" t="s">
        <v>407</v>
      </c>
      <c r="S429" s="120" t="s">
        <v>1218</v>
      </c>
      <c r="T429" s="122">
        <v>2.74</v>
      </c>
      <c r="U429" s="120" t="s">
        <v>824</v>
      </c>
      <c r="V429" s="123">
        <v>6.6000000000000003E-2</v>
      </c>
      <c r="W429" s="120"/>
      <c r="X429" s="120"/>
      <c r="Y429" s="123"/>
      <c r="Z429" s="123">
        <v>6.6299999999999998E-2</v>
      </c>
      <c r="AA429" s="124">
        <v>46932</v>
      </c>
      <c r="AB429" s="120" t="s">
        <v>411</v>
      </c>
      <c r="AC429" s="120"/>
      <c r="AD429" s="122"/>
      <c r="AE429" s="123"/>
      <c r="AF429" s="124"/>
      <c r="AG429" s="120"/>
      <c r="AH429" s="120"/>
      <c r="AI429" s="120"/>
      <c r="AJ429" s="120" t="s">
        <v>338</v>
      </c>
      <c r="AK429" s="120" t="s">
        <v>887</v>
      </c>
      <c r="AL429" s="120"/>
      <c r="AM429" s="120" t="s">
        <v>890</v>
      </c>
      <c r="AN429" s="124">
        <v>45838</v>
      </c>
      <c r="AO429" s="120"/>
      <c r="AP429" s="123"/>
      <c r="AQ429" s="122">
        <v>648783</v>
      </c>
      <c r="AR429" s="122">
        <v>100.35</v>
      </c>
      <c r="AS429" s="122">
        <v>1</v>
      </c>
      <c r="AT429" s="122">
        <v>651.05373999999995</v>
      </c>
      <c r="AU429" s="122">
        <v>651.05373999999995</v>
      </c>
      <c r="AV429" s="120"/>
      <c r="AW429" s="120"/>
      <c r="AX429" s="120"/>
      <c r="AY429" s="120"/>
      <c r="AZ429" s="123">
        <v>2.2599999999999999E-4</v>
      </c>
      <c r="BA429" s="123">
        <v>1.0000000000000001E-5</v>
      </c>
    </row>
    <row r="430" spans="1:53" ht="15" customHeight="1">
      <c r="A430" s="121">
        <v>313</v>
      </c>
      <c r="B430" s="121">
        <v>313</v>
      </c>
      <c r="C430" s="121"/>
      <c r="D430" s="120"/>
      <c r="E430" s="120"/>
      <c r="F430" s="121">
        <v>70007722</v>
      </c>
      <c r="G430" s="120" t="s">
        <v>1013</v>
      </c>
      <c r="H430" s="120" t="s">
        <v>812</v>
      </c>
      <c r="I430" s="120" t="s">
        <v>203</v>
      </c>
      <c r="J430" s="120"/>
      <c r="K430" s="120" t="s">
        <v>446</v>
      </c>
      <c r="L430" s="120" t="s">
        <v>338</v>
      </c>
      <c r="M430" s="120" t="s">
        <v>337</v>
      </c>
      <c r="N430" s="121"/>
      <c r="O430" s="124">
        <v>45733</v>
      </c>
      <c r="P430" s="120" t="s">
        <v>1304</v>
      </c>
      <c r="Q430" s="120" t="s">
        <v>414</v>
      </c>
      <c r="R430" s="120" t="s">
        <v>407</v>
      </c>
      <c r="S430" s="120" t="s">
        <v>1218</v>
      </c>
      <c r="T430" s="122">
        <v>3.29</v>
      </c>
      <c r="U430" s="120" t="s">
        <v>824</v>
      </c>
      <c r="V430" s="123">
        <v>6.6000000000000003E-2</v>
      </c>
      <c r="W430" s="120"/>
      <c r="X430" s="120"/>
      <c r="Y430" s="123"/>
      <c r="Z430" s="123">
        <v>6.5500000000000003E-2</v>
      </c>
      <c r="AA430" s="124">
        <v>47177</v>
      </c>
      <c r="AB430" s="120" t="s">
        <v>411</v>
      </c>
      <c r="AC430" s="120"/>
      <c r="AD430" s="122"/>
      <c r="AE430" s="123"/>
      <c r="AF430" s="124"/>
      <c r="AG430" s="120"/>
      <c r="AH430" s="120"/>
      <c r="AI430" s="120"/>
      <c r="AJ430" s="120" t="s">
        <v>338</v>
      </c>
      <c r="AK430" s="120" t="s">
        <v>887</v>
      </c>
      <c r="AL430" s="120"/>
      <c r="AM430" s="120" t="s">
        <v>890</v>
      </c>
      <c r="AN430" s="124">
        <v>45838</v>
      </c>
      <c r="AO430" s="120"/>
      <c r="AP430" s="123"/>
      <c r="AQ430" s="122">
        <v>330791.71000000002</v>
      </c>
      <c r="AR430" s="122">
        <v>100.67</v>
      </c>
      <c r="AS430" s="122">
        <v>1</v>
      </c>
      <c r="AT430" s="122">
        <v>333.00801000000001</v>
      </c>
      <c r="AU430" s="122">
        <v>333.00801000000001</v>
      </c>
      <c r="AV430" s="120"/>
      <c r="AW430" s="120"/>
      <c r="AX430" s="120"/>
      <c r="AY430" s="120"/>
      <c r="AZ430" s="123">
        <v>1.15E-4</v>
      </c>
      <c r="BA430" s="123">
        <v>5.0000000000000004E-6</v>
      </c>
    </row>
    <row r="431" spans="1:53" ht="15" customHeight="1">
      <c r="A431" s="121">
        <v>313</v>
      </c>
      <c r="B431" s="121">
        <v>313</v>
      </c>
      <c r="C431" s="121"/>
      <c r="D431" s="120"/>
      <c r="E431" s="120"/>
      <c r="F431" s="121">
        <v>70004201</v>
      </c>
      <c r="G431" s="120" t="s">
        <v>1013</v>
      </c>
      <c r="H431" s="120" t="s">
        <v>812</v>
      </c>
      <c r="I431" s="120" t="s">
        <v>203</v>
      </c>
      <c r="J431" s="120"/>
      <c r="K431" s="120" t="s">
        <v>454</v>
      </c>
      <c r="L431" s="120" t="s">
        <v>338</v>
      </c>
      <c r="M431" s="120" t="s">
        <v>337</v>
      </c>
      <c r="N431" s="121"/>
      <c r="O431" s="124">
        <v>44886</v>
      </c>
      <c r="P431" s="120" t="s">
        <v>1331</v>
      </c>
      <c r="Q431" s="120" t="s">
        <v>414</v>
      </c>
      <c r="R431" s="120" t="s">
        <v>407</v>
      </c>
      <c r="S431" s="120" t="s">
        <v>1218</v>
      </c>
      <c r="T431" s="122">
        <v>7.62</v>
      </c>
      <c r="U431" s="120" t="s">
        <v>2613</v>
      </c>
      <c r="V431" s="123">
        <v>3.0550999999999998E-2</v>
      </c>
      <c r="W431" s="120"/>
      <c r="X431" s="120"/>
      <c r="Y431" s="123"/>
      <c r="Z431" s="123">
        <v>3.3399999999999999E-2</v>
      </c>
      <c r="AA431" s="124">
        <v>52139</v>
      </c>
      <c r="AB431" s="120" t="s">
        <v>411</v>
      </c>
      <c r="AC431" s="120"/>
      <c r="AD431" s="122"/>
      <c r="AE431" s="123"/>
      <c r="AF431" s="124"/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45838</v>
      </c>
      <c r="AO431" s="120"/>
      <c r="AP431" s="123"/>
      <c r="AQ431" s="122">
        <v>1961139.97</v>
      </c>
      <c r="AR431" s="122">
        <v>106.63</v>
      </c>
      <c r="AS431" s="122">
        <v>1</v>
      </c>
      <c r="AT431" s="122">
        <v>2091.1635500000002</v>
      </c>
      <c r="AU431" s="122">
        <v>2091.1635500000002</v>
      </c>
      <c r="AV431" s="120"/>
      <c r="AW431" s="120"/>
      <c r="AX431" s="120"/>
      <c r="AY431" s="120"/>
      <c r="AZ431" s="123">
        <v>7.2800000000000002E-4</v>
      </c>
      <c r="BA431" s="123">
        <v>3.4E-5</v>
      </c>
    </row>
    <row r="432" spans="1:53" ht="15" customHeight="1">
      <c r="A432" s="121">
        <v>313</v>
      </c>
      <c r="B432" s="121">
        <v>313</v>
      </c>
      <c r="C432" s="121"/>
      <c r="D432" s="120"/>
      <c r="E432" s="120"/>
      <c r="F432" s="121">
        <v>70007713</v>
      </c>
      <c r="G432" s="120" t="s">
        <v>1013</v>
      </c>
      <c r="H432" s="120" t="s">
        <v>812</v>
      </c>
      <c r="I432" s="120" t="s">
        <v>203</v>
      </c>
      <c r="J432" s="120"/>
      <c r="K432" s="120" t="s">
        <v>446</v>
      </c>
      <c r="L432" s="120" t="s">
        <v>338</v>
      </c>
      <c r="M432" s="120" t="s">
        <v>337</v>
      </c>
      <c r="N432" s="121"/>
      <c r="O432" s="124">
        <v>45580</v>
      </c>
      <c r="P432" s="120" t="s">
        <v>1304</v>
      </c>
      <c r="Q432" s="120" t="s">
        <v>414</v>
      </c>
      <c r="R432" s="120" t="s">
        <v>407</v>
      </c>
      <c r="S432" s="120" t="s">
        <v>1218</v>
      </c>
      <c r="T432" s="122">
        <v>1.59</v>
      </c>
      <c r="U432" s="120" t="s">
        <v>824</v>
      </c>
      <c r="V432" s="123">
        <v>6.6000000000000003E-2</v>
      </c>
      <c r="W432" s="120"/>
      <c r="X432" s="120"/>
      <c r="Y432" s="123"/>
      <c r="Z432" s="123">
        <v>6.0600000000000001E-2</v>
      </c>
      <c r="AA432" s="124">
        <v>46446</v>
      </c>
      <c r="AB432" s="120" t="s">
        <v>411</v>
      </c>
      <c r="AC432" s="120"/>
      <c r="AD432" s="122"/>
      <c r="AE432" s="123"/>
      <c r="AF432" s="124"/>
      <c r="AG432" s="120"/>
      <c r="AH432" s="120"/>
      <c r="AI432" s="120"/>
      <c r="AJ432" s="120" t="s">
        <v>338</v>
      </c>
      <c r="AK432" s="120" t="s">
        <v>887</v>
      </c>
      <c r="AL432" s="120"/>
      <c r="AM432" s="120" t="s">
        <v>890</v>
      </c>
      <c r="AN432" s="124">
        <v>45838</v>
      </c>
      <c r="AO432" s="120"/>
      <c r="AP432" s="123"/>
      <c r="AQ432" s="122">
        <v>2196934</v>
      </c>
      <c r="AR432" s="122">
        <v>101.08</v>
      </c>
      <c r="AS432" s="122">
        <v>1</v>
      </c>
      <c r="AT432" s="122">
        <v>2220.6608900000001</v>
      </c>
      <c r="AU432" s="122">
        <v>2220.6608900000001</v>
      </c>
      <c r="AV432" s="120"/>
      <c r="AW432" s="120"/>
      <c r="AX432" s="120"/>
      <c r="AY432" s="120"/>
      <c r="AZ432" s="123">
        <v>7.7300000000000003E-4</v>
      </c>
      <c r="BA432" s="123">
        <v>3.6000000000000001E-5</v>
      </c>
    </row>
    <row r="433" spans="1:53" ht="15" customHeight="1">
      <c r="A433" s="121">
        <v>313</v>
      </c>
      <c r="B433" s="121">
        <v>313</v>
      </c>
      <c r="C433" s="121"/>
      <c r="D433" s="120"/>
      <c r="E433" s="120"/>
      <c r="F433" s="121">
        <v>70007711</v>
      </c>
      <c r="G433" s="120" t="s">
        <v>1013</v>
      </c>
      <c r="H433" s="120" t="s">
        <v>812</v>
      </c>
      <c r="I433" s="120" t="s">
        <v>203</v>
      </c>
      <c r="J433" s="120"/>
      <c r="K433" s="120" t="s">
        <v>446</v>
      </c>
      <c r="L433" s="120" t="s">
        <v>338</v>
      </c>
      <c r="M433" s="120" t="s">
        <v>337</v>
      </c>
      <c r="N433" s="121"/>
      <c r="O433" s="124">
        <v>45505</v>
      </c>
      <c r="P433" s="120" t="s">
        <v>1304</v>
      </c>
      <c r="Q433" s="120" t="s">
        <v>414</v>
      </c>
      <c r="R433" s="120" t="s">
        <v>407</v>
      </c>
      <c r="S433" s="120" t="s">
        <v>1218</v>
      </c>
      <c r="T433" s="122">
        <v>3.29</v>
      </c>
      <c r="U433" s="120" t="s">
        <v>824</v>
      </c>
      <c r="V433" s="123">
        <v>6.6000000000000003E-2</v>
      </c>
      <c r="W433" s="120"/>
      <c r="X433" s="120"/>
      <c r="Y433" s="123"/>
      <c r="Z433" s="123">
        <v>5.8500000000000003E-2</v>
      </c>
      <c r="AA433" s="124">
        <v>47177</v>
      </c>
      <c r="AB433" s="120" t="s">
        <v>411</v>
      </c>
      <c r="AC433" s="120"/>
      <c r="AD433" s="122"/>
      <c r="AE433" s="123"/>
      <c r="AF433" s="124"/>
      <c r="AG433" s="120"/>
      <c r="AH433" s="120"/>
      <c r="AI433" s="120"/>
      <c r="AJ433" s="120" t="s">
        <v>338</v>
      </c>
      <c r="AK433" s="120" t="s">
        <v>887</v>
      </c>
      <c r="AL433" s="120"/>
      <c r="AM433" s="120" t="s">
        <v>890</v>
      </c>
      <c r="AN433" s="124">
        <v>45838</v>
      </c>
      <c r="AO433" s="120"/>
      <c r="AP433" s="123"/>
      <c r="AQ433" s="122">
        <v>453040</v>
      </c>
      <c r="AR433" s="122">
        <v>102.88</v>
      </c>
      <c r="AS433" s="122">
        <v>1</v>
      </c>
      <c r="AT433" s="122">
        <v>466.08755000000002</v>
      </c>
      <c r="AU433" s="122">
        <v>466.08755000000002</v>
      </c>
      <c r="AV433" s="120"/>
      <c r="AW433" s="120"/>
      <c r="AX433" s="120"/>
      <c r="AY433" s="120"/>
      <c r="AZ433" s="123">
        <v>1.6200000000000001E-4</v>
      </c>
      <c r="BA433" s="123">
        <v>6.9999999999999999E-6</v>
      </c>
    </row>
    <row r="434" spans="1:53" ht="15" customHeight="1">
      <c r="A434" s="121">
        <v>313</v>
      </c>
      <c r="B434" s="121">
        <v>313</v>
      </c>
      <c r="C434" s="121"/>
      <c r="D434" s="120"/>
      <c r="E434" s="120"/>
      <c r="F434" s="121">
        <v>70006907</v>
      </c>
      <c r="G434" s="120" t="s">
        <v>1013</v>
      </c>
      <c r="H434" s="120" t="s">
        <v>2623</v>
      </c>
      <c r="I434" s="120" t="s">
        <v>203</v>
      </c>
      <c r="J434" s="120"/>
      <c r="K434" s="120" t="s">
        <v>463</v>
      </c>
      <c r="L434" s="120" t="s">
        <v>338</v>
      </c>
      <c r="M434" s="120" t="s">
        <v>337</v>
      </c>
      <c r="N434" s="121"/>
      <c r="O434" s="124">
        <v>45214</v>
      </c>
      <c r="P434" s="120" t="s">
        <v>2616</v>
      </c>
      <c r="Q434" s="120" t="s">
        <v>311</v>
      </c>
      <c r="R434" s="120" t="s">
        <v>407</v>
      </c>
      <c r="S434" s="120" t="s">
        <v>1218</v>
      </c>
      <c r="T434" s="122">
        <v>3.61</v>
      </c>
      <c r="U434" s="120" t="s">
        <v>2613</v>
      </c>
      <c r="V434" s="123">
        <v>6.54E-2</v>
      </c>
      <c r="W434" s="120"/>
      <c r="X434" s="120"/>
      <c r="Y434" s="123"/>
      <c r="Z434" s="123">
        <v>4.8000000000000001E-2</v>
      </c>
      <c r="AA434" s="124">
        <v>47480</v>
      </c>
      <c r="AB434" s="120" t="s">
        <v>411</v>
      </c>
      <c r="AC434" s="120"/>
      <c r="AD434" s="122"/>
      <c r="AE434" s="123"/>
      <c r="AF434" s="124"/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45838</v>
      </c>
      <c r="AO434" s="120"/>
      <c r="AP434" s="123"/>
      <c r="AQ434" s="122">
        <v>1427897.5</v>
      </c>
      <c r="AR434" s="122">
        <v>105.79</v>
      </c>
      <c r="AS434" s="122">
        <v>1</v>
      </c>
      <c r="AT434" s="122">
        <v>1510.57277</v>
      </c>
      <c r="AU434" s="122">
        <v>1510.57277</v>
      </c>
      <c r="AV434" s="120"/>
      <c r="AW434" s="120"/>
      <c r="AX434" s="120"/>
      <c r="AY434" s="120"/>
      <c r="AZ434" s="123">
        <v>5.2599999999999999E-4</v>
      </c>
      <c r="BA434" s="123">
        <v>2.5000000000000001E-5</v>
      </c>
    </row>
    <row r="435" spans="1:53" ht="15" customHeight="1">
      <c r="A435" s="121">
        <v>313</v>
      </c>
      <c r="B435" s="121">
        <v>313</v>
      </c>
      <c r="C435" s="121"/>
      <c r="D435" s="120"/>
      <c r="E435" s="120"/>
      <c r="F435" s="121">
        <v>70006908</v>
      </c>
      <c r="G435" s="120" t="s">
        <v>1013</v>
      </c>
      <c r="H435" s="120" t="s">
        <v>2623</v>
      </c>
      <c r="I435" s="120" t="s">
        <v>203</v>
      </c>
      <c r="J435" s="120"/>
      <c r="K435" s="120" t="s">
        <v>463</v>
      </c>
      <c r="L435" s="120" t="s">
        <v>338</v>
      </c>
      <c r="M435" s="120" t="s">
        <v>337</v>
      </c>
      <c r="N435" s="121"/>
      <c r="O435" s="124">
        <v>45398</v>
      </c>
      <c r="P435" s="120" t="s">
        <v>2616</v>
      </c>
      <c r="Q435" s="120" t="s">
        <v>311</v>
      </c>
      <c r="R435" s="120" t="s">
        <v>407</v>
      </c>
      <c r="S435" s="120" t="s">
        <v>1218</v>
      </c>
      <c r="T435" s="122">
        <v>3.59</v>
      </c>
      <c r="U435" s="120" t="s">
        <v>2613</v>
      </c>
      <c r="V435" s="123">
        <v>6.5100000000000005E-2</v>
      </c>
      <c r="W435" s="120"/>
      <c r="X435" s="120"/>
      <c r="Y435" s="123"/>
      <c r="Z435" s="123">
        <v>5.3400000000000003E-2</v>
      </c>
      <c r="AA435" s="124">
        <v>47480</v>
      </c>
      <c r="AB435" s="120" t="s">
        <v>411</v>
      </c>
      <c r="AC435" s="120"/>
      <c r="AD435" s="122"/>
      <c r="AE435" s="123"/>
      <c r="AF435" s="124"/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45838</v>
      </c>
      <c r="AO435" s="120"/>
      <c r="AP435" s="123"/>
      <c r="AQ435" s="122">
        <v>218500</v>
      </c>
      <c r="AR435" s="122">
        <v>104.8</v>
      </c>
      <c r="AS435" s="122">
        <v>1</v>
      </c>
      <c r="AT435" s="122">
        <v>228.988</v>
      </c>
      <c r="AU435" s="122">
        <v>228.988</v>
      </c>
      <c r="AV435" s="120"/>
      <c r="AW435" s="120"/>
      <c r="AX435" s="120"/>
      <c r="AY435" s="120"/>
      <c r="AZ435" s="123">
        <v>7.8999999999999996E-5</v>
      </c>
      <c r="BA435" s="123">
        <v>3.0000000000000001E-6</v>
      </c>
    </row>
    <row r="436" spans="1:53" ht="15" customHeight="1">
      <c r="A436" s="121">
        <v>313</v>
      </c>
      <c r="B436" s="121">
        <v>313</v>
      </c>
      <c r="C436" s="121"/>
      <c r="D436" s="120"/>
      <c r="E436" s="120"/>
      <c r="F436" s="121">
        <v>70006909</v>
      </c>
      <c r="G436" s="120" t="s">
        <v>1013</v>
      </c>
      <c r="H436" s="120" t="s">
        <v>2623</v>
      </c>
      <c r="I436" s="120" t="s">
        <v>203</v>
      </c>
      <c r="J436" s="120"/>
      <c r="K436" s="120" t="s">
        <v>463</v>
      </c>
      <c r="L436" s="120" t="s">
        <v>338</v>
      </c>
      <c r="M436" s="120" t="s">
        <v>337</v>
      </c>
      <c r="N436" s="121"/>
      <c r="O436" s="124">
        <v>45447</v>
      </c>
      <c r="P436" s="120" t="s">
        <v>2616</v>
      </c>
      <c r="Q436" s="120" t="s">
        <v>311</v>
      </c>
      <c r="R436" s="120" t="s">
        <v>407</v>
      </c>
      <c r="S436" s="120" t="s">
        <v>1218</v>
      </c>
      <c r="T436" s="122">
        <v>3.57</v>
      </c>
      <c r="U436" s="120" t="s">
        <v>2613</v>
      </c>
      <c r="V436" s="123">
        <v>6.9699999999999998E-2</v>
      </c>
      <c r="W436" s="120"/>
      <c r="X436" s="120"/>
      <c r="Y436" s="123"/>
      <c r="Z436" s="123">
        <v>5.6500000000000002E-2</v>
      </c>
      <c r="AA436" s="124">
        <v>47480</v>
      </c>
      <c r="AB436" s="120" t="s">
        <v>411</v>
      </c>
      <c r="AC436" s="120"/>
      <c r="AD436" s="122"/>
      <c r="AE436" s="123"/>
      <c r="AF436" s="124"/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45838</v>
      </c>
      <c r="AO436" s="120"/>
      <c r="AP436" s="123"/>
      <c r="AQ436" s="122">
        <v>7975250</v>
      </c>
      <c r="AR436" s="122">
        <v>104.96</v>
      </c>
      <c r="AS436" s="122">
        <v>1</v>
      </c>
      <c r="AT436" s="122">
        <v>8370.8223999999991</v>
      </c>
      <c r="AU436" s="122">
        <v>8370.8223999999991</v>
      </c>
      <c r="AV436" s="120"/>
      <c r="AW436" s="120"/>
      <c r="AX436" s="120"/>
      <c r="AY436" s="120"/>
      <c r="AZ436" s="123">
        <v>2.9150000000000001E-3</v>
      </c>
      <c r="BA436" s="123">
        <v>1.3899999999999999E-4</v>
      </c>
    </row>
    <row r="437" spans="1:53" ht="15" customHeight="1">
      <c r="A437" s="121">
        <v>313</v>
      </c>
      <c r="B437" s="121">
        <v>313</v>
      </c>
      <c r="C437" s="121"/>
      <c r="D437" s="120"/>
      <c r="E437" s="120"/>
      <c r="F437" s="121">
        <v>70007701</v>
      </c>
      <c r="G437" s="120" t="s">
        <v>1013</v>
      </c>
      <c r="H437" s="120" t="s">
        <v>812</v>
      </c>
      <c r="I437" s="120" t="s">
        <v>203</v>
      </c>
      <c r="J437" s="120"/>
      <c r="K437" s="120" t="s">
        <v>446</v>
      </c>
      <c r="L437" s="120" t="s">
        <v>338</v>
      </c>
      <c r="M437" s="120" t="s">
        <v>337</v>
      </c>
      <c r="N437" s="121"/>
      <c r="O437" s="124">
        <v>45155</v>
      </c>
      <c r="P437" s="120" t="s">
        <v>1304</v>
      </c>
      <c r="Q437" s="120" t="s">
        <v>414</v>
      </c>
      <c r="R437" s="120" t="s">
        <v>407</v>
      </c>
      <c r="S437" s="120" t="s">
        <v>1218</v>
      </c>
      <c r="T437" s="122">
        <v>0.66</v>
      </c>
      <c r="U437" s="120" t="s">
        <v>824</v>
      </c>
      <c r="V437" s="123">
        <v>6.6000000000000003E-2</v>
      </c>
      <c r="W437" s="120"/>
      <c r="X437" s="120"/>
      <c r="Y437" s="123"/>
      <c r="Z437" s="123">
        <v>5.45E-2</v>
      </c>
      <c r="AA437" s="124">
        <v>46081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45838</v>
      </c>
      <c r="AO437" s="120"/>
      <c r="AP437" s="123"/>
      <c r="AQ437" s="122">
        <v>1741551.18</v>
      </c>
      <c r="AR437" s="122">
        <v>100.84</v>
      </c>
      <c r="AS437" s="122">
        <v>1</v>
      </c>
      <c r="AT437" s="122">
        <v>1756.18021</v>
      </c>
      <c r="AU437" s="122">
        <v>1756.18021</v>
      </c>
      <c r="AV437" s="120"/>
      <c r="AW437" s="120"/>
      <c r="AX437" s="120"/>
      <c r="AY437" s="120"/>
      <c r="AZ437" s="123">
        <v>6.11E-4</v>
      </c>
      <c r="BA437" s="123">
        <v>2.9E-5</v>
      </c>
    </row>
    <row r="438" spans="1:53" ht="15" customHeight="1">
      <c r="A438" s="121">
        <v>313</v>
      </c>
      <c r="B438" s="121">
        <v>313</v>
      </c>
      <c r="C438" s="121"/>
      <c r="D438" s="120"/>
      <c r="E438" s="120"/>
      <c r="F438" s="121">
        <v>70007702</v>
      </c>
      <c r="G438" s="120" t="s">
        <v>1013</v>
      </c>
      <c r="H438" s="120" t="s">
        <v>812</v>
      </c>
      <c r="I438" s="120" t="s">
        <v>203</v>
      </c>
      <c r="J438" s="120"/>
      <c r="K438" s="120" t="s">
        <v>446</v>
      </c>
      <c r="L438" s="120" t="s">
        <v>338</v>
      </c>
      <c r="M438" s="120" t="s">
        <v>337</v>
      </c>
      <c r="N438" s="121"/>
      <c r="O438" s="124">
        <v>45232</v>
      </c>
      <c r="P438" s="120" t="s">
        <v>1304</v>
      </c>
      <c r="Q438" s="120" t="s">
        <v>414</v>
      </c>
      <c r="R438" s="120" t="s">
        <v>407</v>
      </c>
      <c r="S438" s="120" t="s">
        <v>1218</v>
      </c>
      <c r="T438" s="122">
        <v>0.66</v>
      </c>
      <c r="U438" s="120" t="s">
        <v>824</v>
      </c>
      <c r="V438" s="123">
        <v>6.6000000000000003E-2</v>
      </c>
      <c r="W438" s="120"/>
      <c r="X438" s="120"/>
      <c r="Y438" s="123"/>
      <c r="Z438" s="123">
        <v>5.2699999999999997E-2</v>
      </c>
      <c r="AA438" s="124">
        <v>46081</v>
      </c>
      <c r="AB438" s="120" t="s">
        <v>411</v>
      </c>
      <c r="AC438" s="120"/>
      <c r="AD438" s="122"/>
      <c r="AE438" s="123"/>
      <c r="AF438" s="124"/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45838</v>
      </c>
      <c r="AO438" s="120"/>
      <c r="AP438" s="123"/>
      <c r="AQ438" s="122">
        <v>2981602.81</v>
      </c>
      <c r="AR438" s="122">
        <v>100.95</v>
      </c>
      <c r="AS438" s="122">
        <v>1</v>
      </c>
      <c r="AT438" s="122">
        <v>3009.9280399999998</v>
      </c>
      <c r="AU438" s="122">
        <v>3009.9280399999998</v>
      </c>
      <c r="AV438" s="120"/>
      <c r="AW438" s="120"/>
      <c r="AX438" s="120"/>
      <c r="AY438" s="120"/>
      <c r="AZ438" s="123">
        <v>1.0480000000000001E-3</v>
      </c>
      <c r="BA438" s="123">
        <v>5.0000000000000002E-5</v>
      </c>
    </row>
    <row r="439" spans="1:53" ht="15" customHeight="1">
      <c r="A439" s="121">
        <v>313</v>
      </c>
      <c r="B439" s="121">
        <v>313</v>
      </c>
      <c r="C439" s="121"/>
      <c r="D439" s="120"/>
      <c r="E439" s="120"/>
      <c r="F439" s="121">
        <v>70007712</v>
      </c>
      <c r="G439" s="120" t="s">
        <v>1013</v>
      </c>
      <c r="H439" s="120" t="s">
        <v>812</v>
      </c>
      <c r="I439" s="120" t="s">
        <v>203</v>
      </c>
      <c r="J439" s="120"/>
      <c r="K439" s="120" t="s">
        <v>446</v>
      </c>
      <c r="L439" s="120" t="s">
        <v>338</v>
      </c>
      <c r="M439" s="120" t="s">
        <v>337</v>
      </c>
      <c r="N439" s="121"/>
      <c r="O439" s="124">
        <v>45550</v>
      </c>
      <c r="P439" s="120" t="s">
        <v>1304</v>
      </c>
      <c r="Q439" s="120" t="s">
        <v>414</v>
      </c>
      <c r="R439" s="120" t="s">
        <v>407</v>
      </c>
      <c r="S439" s="120" t="s">
        <v>1218</v>
      </c>
      <c r="T439" s="122">
        <v>1.59</v>
      </c>
      <c r="U439" s="120" t="s">
        <v>824</v>
      </c>
      <c r="V439" s="123">
        <v>6.6000000000000003E-2</v>
      </c>
      <c r="W439" s="120"/>
      <c r="X439" s="120"/>
      <c r="Y439" s="123"/>
      <c r="Z439" s="123">
        <v>5.8799999999999998E-2</v>
      </c>
      <c r="AA439" s="124">
        <v>46446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338</v>
      </c>
      <c r="AK439" s="120" t="s">
        <v>887</v>
      </c>
      <c r="AL439" s="120"/>
      <c r="AM439" s="120" t="s">
        <v>890</v>
      </c>
      <c r="AN439" s="124">
        <v>45838</v>
      </c>
      <c r="AO439" s="120"/>
      <c r="AP439" s="123"/>
      <c r="AQ439" s="122">
        <v>1959245.08</v>
      </c>
      <c r="AR439" s="122">
        <v>101.36</v>
      </c>
      <c r="AS439" s="122">
        <v>1</v>
      </c>
      <c r="AT439" s="122">
        <v>1985.8908100000001</v>
      </c>
      <c r="AU439" s="122">
        <v>1985.8908100000001</v>
      </c>
      <c r="AV439" s="120"/>
      <c r="AW439" s="120"/>
      <c r="AX439" s="120"/>
      <c r="AY439" s="120"/>
      <c r="AZ439" s="123">
        <v>6.9099999999999999E-4</v>
      </c>
      <c r="BA439" s="123">
        <v>3.3000000000000003E-5</v>
      </c>
    </row>
    <row r="440" spans="1:53" ht="15" customHeight="1">
      <c r="A440" s="121">
        <v>313</v>
      </c>
      <c r="B440" s="121">
        <v>313</v>
      </c>
      <c r="C440" s="121"/>
      <c r="D440" s="120"/>
      <c r="E440" s="120"/>
      <c r="F440" s="121">
        <v>70007703</v>
      </c>
      <c r="G440" s="120" t="s">
        <v>1013</v>
      </c>
      <c r="H440" s="120" t="s">
        <v>812</v>
      </c>
      <c r="I440" s="120" t="s">
        <v>203</v>
      </c>
      <c r="J440" s="120"/>
      <c r="K440" s="120" t="s">
        <v>446</v>
      </c>
      <c r="L440" s="120" t="s">
        <v>338</v>
      </c>
      <c r="M440" s="120" t="s">
        <v>337</v>
      </c>
      <c r="N440" s="121"/>
      <c r="O440" s="124">
        <v>45258</v>
      </c>
      <c r="P440" s="120" t="s">
        <v>1304</v>
      </c>
      <c r="Q440" s="120" t="s">
        <v>414</v>
      </c>
      <c r="R440" s="120" t="s">
        <v>407</v>
      </c>
      <c r="S440" s="120" t="s">
        <v>1218</v>
      </c>
      <c r="T440" s="122">
        <v>1.1299999999999999</v>
      </c>
      <c r="U440" s="120" t="s">
        <v>824</v>
      </c>
      <c r="V440" s="123">
        <v>6.6000000000000003E-2</v>
      </c>
      <c r="W440" s="120"/>
      <c r="X440" s="120"/>
      <c r="Y440" s="123"/>
      <c r="Z440" s="123">
        <v>5.4600000000000003E-2</v>
      </c>
      <c r="AA440" s="124">
        <v>46262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45838</v>
      </c>
      <c r="AO440" s="120"/>
      <c r="AP440" s="123"/>
      <c r="AQ440" s="122">
        <v>2612326.77</v>
      </c>
      <c r="AR440" s="122">
        <v>101.42</v>
      </c>
      <c r="AS440" s="122">
        <v>1</v>
      </c>
      <c r="AT440" s="122">
        <v>2649.4218099999998</v>
      </c>
      <c r="AU440" s="122">
        <v>2649.4218099999998</v>
      </c>
      <c r="AV440" s="120"/>
      <c r="AW440" s="120"/>
      <c r="AX440" s="120"/>
      <c r="AY440" s="120"/>
      <c r="AZ440" s="123">
        <v>9.2199999999999997E-4</v>
      </c>
      <c r="BA440" s="123">
        <v>4.3999999999999999E-5</v>
      </c>
    </row>
    <row r="441" spans="1:53" ht="15" customHeight="1">
      <c r="A441" s="121">
        <v>313</v>
      </c>
      <c r="B441" s="121">
        <v>313</v>
      </c>
      <c r="C441" s="121"/>
      <c r="D441" s="120"/>
      <c r="E441" s="120"/>
      <c r="F441" s="121">
        <v>70007705</v>
      </c>
      <c r="G441" s="120" t="s">
        <v>1013</v>
      </c>
      <c r="H441" s="120" t="s">
        <v>812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45369</v>
      </c>
      <c r="P441" s="120" t="s">
        <v>1304</v>
      </c>
      <c r="Q441" s="120" t="s">
        <v>414</v>
      </c>
      <c r="R441" s="120" t="s">
        <v>407</v>
      </c>
      <c r="S441" s="120" t="s">
        <v>1218</v>
      </c>
      <c r="T441" s="122">
        <v>1.1299999999999999</v>
      </c>
      <c r="U441" s="120" t="s">
        <v>824</v>
      </c>
      <c r="V441" s="123">
        <v>6.6000000000000003E-2</v>
      </c>
      <c r="W441" s="120"/>
      <c r="X441" s="120"/>
      <c r="Y441" s="123"/>
      <c r="Z441" s="123">
        <v>5.7500000000000002E-2</v>
      </c>
      <c r="AA441" s="124">
        <v>46262</v>
      </c>
      <c r="AB441" s="120" t="s">
        <v>411</v>
      </c>
      <c r="AC441" s="120"/>
      <c r="AD441" s="122"/>
      <c r="AE441" s="123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45838</v>
      </c>
      <c r="AO441" s="120"/>
      <c r="AP441" s="123"/>
      <c r="AQ441" s="122">
        <v>1138555.98</v>
      </c>
      <c r="AR441" s="122">
        <v>101.1</v>
      </c>
      <c r="AS441" s="122">
        <v>1</v>
      </c>
      <c r="AT441" s="122">
        <v>1151.0800999999999</v>
      </c>
      <c r="AU441" s="122">
        <v>1151.0800999999999</v>
      </c>
      <c r="AV441" s="120"/>
      <c r="AW441" s="120"/>
      <c r="AX441" s="120"/>
      <c r="AY441" s="120"/>
      <c r="AZ441" s="123">
        <v>4.0000000000000002E-4</v>
      </c>
      <c r="BA441" s="123">
        <v>1.9000000000000001E-5</v>
      </c>
    </row>
    <row r="442" spans="1:53" ht="15" customHeight="1">
      <c r="A442" s="121">
        <v>313</v>
      </c>
      <c r="B442" s="121">
        <v>313</v>
      </c>
      <c r="C442" s="121"/>
      <c r="D442" s="120"/>
      <c r="E442" s="120"/>
      <c r="F442" s="121">
        <v>70007706</v>
      </c>
      <c r="G442" s="120" t="s">
        <v>1013</v>
      </c>
      <c r="H442" s="120" t="s">
        <v>812</v>
      </c>
      <c r="I442" s="120" t="s">
        <v>203</v>
      </c>
      <c r="J442" s="120"/>
      <c r="K442" s="120" t="s">
        <v>446</v>
      </c>
      <c r="L442" s="120" t="s">
        <v>338</v>
      </c>
      <c r="M442" s="120" t="s">
        <v>337</v>
      </c>
      <c r="N442" s="121"/>
      <c r="O442" s="124">
        <v>45369</v>
      </c>
      <c r="P442" s="120" t="s">
        <v>1304</v>
      </c>
      <c r="Q442" s="120" t="s">
        <v>414</v>
      </c>
      <c r="R442" s="120" t="s">
        <v>407</v>
      </c>
      <c r="S442" s="120" t="s">
        <v>1218</v>
      </c>
      <c r="T442" s="122">
        <v>1.1299999999999999</v>
      </c>
      <c r="U442" s="120" t="s">
        <v>824</v>
      </c>
      <c r="V442" s="123">
        <v>6.6000000000000003E-2</v>
      </c>
      <c r="W442" s="120"/>
      <c r="X442" s="120"/>
      <c r="Y442" s="123"/>
      <c r="Z442" s="123">
        <v>5.7500000000000002E-2</v>
      </c>
      <c r="AA442" s="124">
        <v>46262</v>
      </c>
      <c r="AB442" s="120" t="s">
        <v>411</v>
      </c>
      <c r="AC442" s="120"/>
      <c r="AD442" s="122"/>
      <c r="AE442" s="123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45838</v>
      </c>
      <c r="AO442" s="120"/>
      <c r="AP442" s="123"/>
      <c r="AQ442" s="122">
        <v>1081921.78</v>
      </c>
      <c r="AR442" s="122">
        <v>101.1</v>
      </c>
      <c r="AS442" s="122">
        <v>1</v>
      </c>
      <c r="AT442" s="122">
        <v>1093.8229200000001</v>
      </c>
      <c r="AU442" s="122">
        <v>1093.8229200000001</v>
      </c>
      <c r="AV442" s="120"/>
      <c r="AW442" s="120"/>
      <c r="AX442" s="120"/>
      <c r="AY442" s="120"/>
      <c r="AZ442" s="123">
        <v>3.8000000000000002E-4</v>
      </c>
      <c r="BA442" s="123">
        <v>1.8E-5</v>
      </c>
    </row>
    <row r="443" spans="1:53" ht="15" customHeight="1">
      <c r="A443" s="121">
        <v>313</v>
      </c>
      <c r="B443" s="121">
        <v>313</v>
      </c>
      <c r="C443" s="121"/>
      <c r="D443" s="120"/>
      <c r="E443" s="120"/>
      <c r="F443" s="121">
        <v>70007707</v>
      </c>
      <c r="G443" s="120" t="s">
        <v>1013</v>
      </c>
      <c r="H443" s="120" t="s">
        <v>812</v>
      </c>
      <c r="I443" s="120" t="s">
        <v>203</v>
      </c>
      <c r="J443" s="120"/>
      <c r="K443" s="120" t="s">
        <v>446</v>
      </c>
      <c r="L443" s="120" t="s">
        <v>338</v>
      </c>
      <c r="M443" s="120" t="s">
        <v>337</v>
      </c>
      <c r="N443" s="121"/>
      <c r="O443" s="124">
        <v>45427</v>
      </c>
      <c r="P443" s="120" t="s">
        <v>1304</v>
      </c>
      <c r="Q443" s="120" t="s">
        <v>414</v>
      </c>
      <c r="R443" s="120" t="s">
        <v>407</v>
      </c>
      <c r="S443" s="120" t="s">
        <v>1218</v>
      </c>
      <c r="T443" s="122">
        <v>1.1299999999999999</v>
      </c>
      <c r="U443" s="120" t="s">
        <v>824</v>
      </c>
      <c r="V443" s="123">
        <v>6.6000000000000003E-2</v>
      </c>
      <c r="W443" s="120"/>
      <c r="X443" s="120"/>
      <c r="Y443" s="123"/>
      <c r="Z443" s="123">
        <v>5.9200000000000003E-2</v>
      </c>
      <c r="AA443" s="124">
        <v>46262</v>
      </c>
      <c r="AB443" s="120" t="s">
        <v>411</v>
      </c>
      <c r="AC443" s="120"/>
      <c r="AD443" s="122"/>
      <c r="AE443" s="123"/>
      <c r="AF443" s="124"/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45838</v>
      </c>
      <c r="AO443" s="120"/>
      <c r="AP443" s="123"/>
      <c r="AQ443" s="122">
        <v>1741551.18</v>
      </c>
      <c r="AR443" s="122">
        <v>100.92</v>
      </c>
      <c r="AS443" s="122">
        <v>1</v>
      </c>
      <c r="AT443" s="122">
        <v>1757.5734500000001</v>
      </c>
      <c r="AU443" s="122">
        <v>1757.5734500000001</v>
      </c>
      <c r="AV443" s="120"/>
      <c r="AW443" s="120"/>
      <c r="AX443" s="120"/>
      <c r="AY443" s="120"/>
      <c r="AZ443" s="123">
        <v>6.1200000000000002E-4</v>
      </c>
      <c r="BA443" s="123">
        <v>2.9E-5</v>
      </c>
    </row>
    <row r="444" spans="1:53" ht="15" customHeight="1">
      <c r="A444" s="121">
        <v>313</v>
      </c>
      <c r="B444" s="121">
        <v>313</v>
      </c>
      <c r="C444" s="121"/>
      <c r="D444" s="120"/>
      <c r="E444" s="120"/>
      <c r="F444" s="121">
        <v>70007708</v>
      </c>
      <c r="G444" s="120" t="s">
        <v>1013</v>
      </c>
      <c r="H444" s="120" t="s">
        <v>812</v>
      </c>
      <c r="I444" s="120" t="s">
        <v>203</v>
      </c>
      <c r="J444" s="120"/>
      <c r="K444" s="120" t="s">
        <v>446</v>
      </c>
      <c r="L444" s="120" t="s">
        <v>338</v>
      </c>
      <c r="M444" s="120" t="s">
        <v>337</v>
      </c>
      <c r="N444" s="121"/>
      <c r="O444" s="124">
        <v>45459</v>
      </c>
      <c r="P444" s="120" t="s">
        <v>1304</v>
      </c>
      <c r="Q444" s="120" t="s">
        <v>414</v>
      </c>
      <c r="R444" s="120" t="s">
        <v>407</v>
      </c>
      <c r="S444" s="120" t="s">
        <v>1218</v>
      </c>
      <c r="T444" s="122">
        <v>1.1299999999999999</v>
      </c>
      <c r="U444" s="120" t="s">
        <v>824</v>
      </c>
      <c r="V444" s="123">
        <v>6.6000000000000003E-2</v>
      </c>
      <c r="W444" s="120"/>
      <c r="X444" s="120"/>
      <c r="Y444" s="123"/>
      <c r="Z444" s="123">
        <v>5.79E-2</v>
      </c>
      <c r="AA444" s="124">
        <v>46262</v>
      </c>
      <c r="AB444" s="120" t="s">
        <v>411</v>
      </c>
      <c r="AC444" s="120"/>
      <c r="AD444" s="122"/>
      <c r="AE444" s="123"/>
      <c r="AF444" s="124"/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45838</v>
      </c>
      <c r="AO444" s="120"/>
      <c r="AP444" s="123"/>
      <c r="AQ444" s="122">
        <v>1741551.18</v>
      </c>
      <c r="AR444" s="122">
        <v>101.06</v>
      </c>
      <c r="AS444" s="122">
        <v>1</v>
      </c>
      <c r="AT444" s="122">
        <v>1760.01162</v>
      </c>
      <c r="AU444" s="122">
        <v>1760.01162</v>
      </c>
      <c r="AV444" s="120"/>
      <c r="AW444" s="120"/>
      <c r="AX444" s="120"/>
      <c r="AY444" s="120"/>
      <c r="AZ444" s="123">
        <v>6.1200000000000002E-4</v>
      </c>
      <c r="BA444" s="123">
        <v>2.9E-5</v>
      </c>
    </row>
    <row r="445" spans="1:53" ht="15" customHeight="1">
      <c r="A445" s="121">
        <v>313</v>
      </c>
      <c r="B445" s="121">
        <v>313</v>
      </c>
      <c r="C445" s="121"/>
      <c r="D445" s="120"/>
      <c r="E445" s="120"/>
      <c r="F445" s="121">
        <v>70007709</v>
      </c>
      <c r="G445" s="120" t="s">
        <v>1013</v>
      </c>
      <c r="H445" s="120" t="s">
        <v>812</v>
      </c>
      <c r="I445" s="120" t="s">
        <v>203</v>
      </c>
      <c r="J445" s="120"/>
      <c r="K445" s="120" t="s">
        <v>446</v>
      </c>
      <c r="L445" s="120" t="s">
        <v>338</v>
      </c>
      <c r="M445" s="120" t="s">
        <v>337</v>
      </c>
      <c r="N445" s="121"/>
      <c r="O445" s="124">
        <v>45505</v>
      </c>
      <c r="P445" s="120" t="s">
        <v>1304</v>
      </c>
      <c r="Q445" s="120" t="s">
        <v>414</v>
      </c>
      <c r="R445" s="120" t="s">
        <v>407</v>
      </c>
      <c r="S445" s="120" t="s">
        <v>1218</v>
      </c>
      <c r="T445" s="122">
        <v>1.59</v>
      </c>
      <c r="U445" s="120" t="s">
        <v>824</v>
      </c>
      <c r="V445" s="123">
        <v>6.6000000000000003E-2</v>
      </c>
      <c r="W445" s="120"/>
      <c r="X445" s="120"/>
      <c r="Y445" s="123"/>
      <c r="Z445" s="123">
        <v>5.8200000000000002E-2</v>
      </c>
      <c r="AA445" s="124">
        <v>46446</v>
      </c>
      <c r="AB445" s="120" t="s">
        <v>411</v>
      </c>
      <c r="AC445" s="120"/>
      <c r="AD445" s="122"/>
      <c r="AE445" s="123"/>
      <c r="AF445" s="124"/>
      <c r="AG445" s="120"/>
      <c r="AH445" s="120"/>
      <c r="AI445" s="120"/>
      <c r="AJ445" s="120" t="s">
        <v>338</v>
      </c>
      <c r="AK445" s="120" t="s">
        <v>887</v>
      </c>
      <c r="AL445" s="120"/>
      <c r="AM445" s="120" t="s">
        <v>890</v>
      </c>
      <c r="AN445" s="124">
        <v>45838</v>
      </c>
      <c r="AO445" s="120"/>
      <c r="AP445" s="123"/>
      <c r="AQ445" s="122">
        <v>2942985</v>
      </c>
      <c r="AR445" s="122">
        <v>101.44</v>
      </c>
      <c r="AS445" s="122">
        <v>1</v>
      </c>
      <c r="AT445" s="122">
        <v>2985.3639800000001</v>
      </c>
      <c r="AU445" s="122">
        <v>2985.3639800000001</v>
      </c>
      <c r="AV445" s="120"/>
      <c r="AW445" s="120"/>
      <c r="AX445" s="120"/>
      <c r="AY445" s="120"/>
      <c r="AZ445" s="123">
        <v>1.039E-3</v>
      </c>
      <c r="BA445" s="123">
        <v>4.8999999999999998E-5</v>
      </c>
    </row>
    <row r="446" spans="1:53" ht="15" customHeight="1">
      <c r="A446" s="121">
        <v>313</v>
      </c>
      <c r="B446" s="121">
        <v>313</v>
      </c>
      <c r="C446" s="121"/>
      <c r="D446" s="120"/>
      <c r="E446" s="120"/>
      <c r="F446" s="121">
        <v>70007704</v>
      </c>
      <c r="G446" s="120" t="s">
        <v>1013</v>
      </c>
      <c r="H446" s="120" t="s">
        <v>812</v>
      </c>
      <c r="I446" s="120" t="s">
        <v>203</v>
      </c>
      <c r="J446" s="120"/>
      <c r="K446" s="120" t="s">
        <v>446</v>
      </c>
      <c r="L446" s="120" t="s">
        <v>338</v>
      </c>
      <c r="M446" s="120" t="s">
        <v>337</v>
      </c>
      <c r="N446" s="121"/>
      <c r="O446" s="124">
        <v>45306</v>
      </c>
      <c r="P446" s="120" t="s">
        <v>1304</v>
      </c>
      <c r="Q446" s="120" t="s">
        <v>414</v>
      </c>
      <c r="R446" s="120" t="s">
        <v>407</v>
      </c>
      <c r="S446" s="120" t="s">
        <v>1218</v>
      </c>
      <c r="T446" s="122">
        <v>1.1299999999999999</v>
      </c>
      <c r="U446" s="120" t="s">
        <v>824</v>
      </c>
      <c r="V446" s="123">
        <v>6.6000000000000003E-2</v>
      </c>
      <c r="W446" s="120"/>
      <c r="X446" s="120"/>
      <c r="Y446" s="123"/>
      <c r="Z446" s="123">
        <v>5.6099999999999997E-2</v>
      </c>
      <c r="AA446" s="124">
        <v>46262</v>
      </c>
      <c r="AB446" s="120" t="s">
        <v>411</v>
      </c>
      <c r="AC446" s="120"/>
      <c r="AD446" s="122"/>
      <c r="AE446" s="123"/>
      <c r="AF446" s="124"/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45838</v>
      </c>
      <c r="AO446" s="120"/>
      <c r="AP446" s="123"/>
      <c r="AQ446" s="122">
        <v>1741551.18</v>
      </c>
      <c r="AR446" s="122">
        <v>101.26</v>
      </c>
      <c r="AS446" s="122">
        <v>1</v>
      </c>
      <c r="AT446" s="122">
        <v>1763.4947199999999</v>
      </c>
      <c r="AU446" s="122">
        <v>1763.4947199999999</v>
      </c>
      <c r="AV446" s="120"/>
      <c r="AW446" s="120"/>
      <c r="AX446" s="120"/>
      <c r="AY446" s="120"/>
      <c r="AZ446" s="123">
        <v>6.1399999999999996E-4</v>
      </c>
      <c r="BA446" s="123">
        <v>2.9E-5</v>
      </c>
    </row>
    <row r="447" spans="1:53" ht="15" customHeight="1">
      <c r="A447" s="121">
        <v>313</v>
      </c>
      <c r="B447" s="121">
        <v>313</v>
      </c>
      <c r="C447" s="121"/>
      <c r="D447" s="120"/>
      <c r="E447" s="120"/>
      <c r="F447" s="121">
        <v>70003001</v>
      </c>
      <c r="G447" s="120" t="s">
        <v>1013</v>
      </c>
      <c r="H447" s="120" t="s">
        <v>2617</v>
      </c>
      <c r="I447" s="120" t="s">
        <v>203</v>
      </c>
      <c r="J447" s="120"/>
      <c r="K447" s="120" t="s">
        <v>463</v>
      </c>
      <c r="L447" s="120" t="s">
        <v>338</v>
      </c>
      <c r="M447" s="120" t="s">
        <v>337</v>
      </c>
      <c r="N447" s="121"/>
      <c r="O447" s="124">
        <v>44543</v>
      </c>
      <c r="P447" s="120" t="s">
        <v>1331</v>
      </c>
      <c r="Q447" s="120" t="s">
        <v>414</v>
      </c>
      <c r="R447" s="120" t="s">
        <v>407</v>
      </c>
      <c r="S447" s="120" t="s">
        <v>1218</v>
      </c>
      <c r="T447" s="122">
        <v>4.3</v>
      </c>
      <c r="U447" s="120" t="s">
        <v>2613</v>
      </c>
      <c r="V447" s="123">
        <v>3.5460000000000001E-3</v>
      </c>
      <c r="W447" s="120"/>
      <c r="X447" s="120"/>
      <c r="Y447" s="123"/>
      <c r="Z447" s="123">
        <v>3.0099999999999998E-2</v>
      </c>
      <c r="AA447" s="124">
        <v>47479</v>
      </c>
      <c r="AB447" s="120" t="s">
        <v>411</v>
      </c>
      <c r="AC447" s="120"/>
      <c r="AD447" s="122"/>
      <c r="AE447" s="123"/>
      <c r="AF447" s="124">
        <v>45261</v>
      </c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45838</v>
      </c>
      <c r="AO447" s="120"/>
      <c r="AP447" s="123"/>
      <c r="AQ447" s="122">
        <v>24283671.870000001</v>
      </c>
      <c r="AR447" s="122">
        <v>102.02</v>
      </c>
      <c r="AS447" s="122">
        <v>1</v>
      </c>
      <c r="AT447" s="122">
        <v>24774.20204</v>
      </c>
      <c r="AU447" s="122">
        <v>24774.20204</v>
      </c>
      <c r="AV447" s="120"/>
      <c r="AW447" s="120"/>
      <c r="AX447" s="120"/>
      <c r="AY447" s="120"/>
      <c r="AZ447" s="123">
        <v>8.6280000000000003E-3</v>
      </c>
      <c r="BA447" s="123">
        <v>4.1199999999999999E-4</v>
      </c>
    </row>
    <row r="448" spans="1:53" ht="15" customHeight="1">
      <c r="A448" s="121">
        <v>313</v>
      </c>
      <c r="B448" s="121">
        <v>313</v>
      </c>
      <c r="C448" s="121"/>
      <c r="D448" s="120"/>
      <c r="E448" s="120"/>
      <c r="F448" s="121">
        <v>63941</v>
      </c>
      <c r="G448" s="120" t="s">
        <v>1013</v>
      </c>
      <c r="H448" s="120" t="s">
        <v>812</v>
      </c>
      <c r="I448" s="120" t="s">
        <v>203</v>
      </c>
      <c r="J448" s="120"/>
      <c r="K448" s="120" t="s">
        <v>446</v>
      </c>
      <c r="L448" s="120" t="s">
        <v>338</v>
      </c>
      <c r="M448" s="120" t="s">
        <v>337</v>
      </c>
      <c r="N448" s="121"/>
      <c r="O448" s="124">
        <v>43222</v>
      </c>
      <c r="P448" s="120" t="s">
        <v>1952</v>
      </c>
      <c r="Q448" s="120" t="s">
        <v>412</v>
      </c>
      <c r="R448" s="120" t="s">
        <v>407</v>
      </c>
      <c r="S448" s="120" t="s">
        <v>1218</v>
      </c>
      <c r="T448" s="122">
        <v>5.44</v>
      </c>
      <c r="U448" s="120" t="s">
        <v>2613</v>
      </c>
      <c r="V448" s="123">
        <v>3.3099999999999997E-2</v>
      </c>
      <c r="W448" s="120"/>
      <c r="X448" s="120"/>
      <c r="Y448" s="123"/>
      <c r="Z448" s="123">
        <v>3.3500000000000002E-2</v>
      </c>
      <c r="AA448" s="124">
        <v>50040</v>
      </c>
      <c r="AB448" s="120" t="s">
        <v>411</v>
      </c>
      <c r="AC448" s="120"/>
      <c r="AD448" s="122"/>
      <c r="AE448" s="123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45838</v>
      </c>
      <c r="AO448" s="120"/>
      <c r="AP448" s="123"/>
      <c r="AQ448" s="122">
        <v>750915.5</v>
      </c>
      <c r="AR448" s="122">
        <v>118.1</v>
      </c>
      <c r="AS448" s="122">
        <v>1</v>
      </c>
      <c r="AT448" s="122">
        <v>886.83121000000006</v>
      </c>
      <c r="AU448" s="122">
        <v>886.83121000000006</v>
      </c>
      <c r="AV448" s="120"/>
      <c r="AW448" s="120"/>
      <c r="AX448" s="120"/>
      <c r="AY448" s="120"/>
      <c r="AZ448" s="123">
        <v>3.0800000000000001E-4</v>
      </c>
      <c r="BA448" s="123">
        <v>1.4E-5</v>
      </c>
    </row>
    <row r="449" spans="1:53" ht="15" customHeight="1">
      <c r="A449" s="121">
        <v>313</v>
      </c>
      <c r="B449" s="121">
        <v>313</v>
      </c>
      <c r="C449" s="121"/>
      <c r="D449" s="120"/>
      <c r="E449" s="120"/>
      <c r="F449" s="121">
        <v>63883</v>
      </c>
      <c r="G449" s="120" t="s">
        <v>1013</v>
      </c>
      <c r="H449" s="120" t="s">
        <v>812</v>
      </c>
      <c r="I449" s="120" t="s">
        <v>203</v>
      </c>
      <c r="J449" s="120"/>
      <c r="K449" s="120" t="s">
        <v>446</v>
      </c>
      <c r="L449" s="120" t="s">
        <v>338</v>
      </c>
      <c r="M449" s="120" t="s">
        <v>337</v>
      </c>
      <c r="N449" s="121"/>
      <c r="O449" s="124">
        <v>42942</v>
      </c>
      <c r="P449" s="120" t="s">
        <v>1952</v>
      </c>
      <c r="Q449" s="120" t="s">
        <v>412</v>
      </c>
      <c r="R449" s="120" t="s">
        <v>407</v>
      </c>
      <c r="S449" s="120" t="s">
        <v>1218</v>
      </c>
      <c r="T449" s="122">
        <v>5.47</v>
      </c>
      <c r="U449" s="120" t="s">
        <v>2613</v>
      </c>
      <c r="V449" s="123">
        <v>3.4099999999999998E-2</v>
      </c>
      <c r="W449" s="120"/>
      <c r="X449" s="120"/>
      <c r="Y449" s="123"/>
      <c r="Z449" s="123">
        <v>3.0700000000000002E-2</v>
      </c>
      <c r="AA449" s="124">
        <v>50040</v>
      </c>
      <c r="AB449" s="120" t="s">
        <v>411</v>
      </c>
      <c r="AC449" s="120"/>
      <c r="AD449" s="122"/>
      <c r="AE449" s="123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45838</v>
      </c>
      <c r="AO449" s="120"/>
      <c r="AP449" s="123"/>
      <c r="AQ449" s="122">
        <v>74080803.310000002</v>
      </c>
      <c r="AR449" s="122">
        <v>120.26</v>
      </c>
      <c r="AS449" s="122">
        <v>1</v>
      </c>
      <c r="AT449" s="122">
        <v>89089.574059999999</v>
      </c>
      <c r="AU449" s="122">
        <v>89089.574059999999</v>
      </c>
      <c r="AV449" s="120"/>
      <c r="AW449" s="120"/>
      <c r="AX449" s="120"/>
      <c r="AY449" s="120"/>
      <c r="AZ449" s="123">
        <v>3.1028E-2</v>
      </c>
      <c r="BA449" s="123">
        <v>1.4829999999999999E-3</v>
      </c>
    </row>
    <row r="450" spans="1:53" ht="15" customHeight="1">
      <c r="A450" s="121">
        <v>313</v>
      </c>
      <c r="B450" s="121">
        <v>313</v>
      </c>
      <c r="C450" s="121"/>
      <c r="D450" s="120"/>
      <c r="E450" s="120"/>
      <c r="F450" s="121">
        <v>50001768</v>
      </c>
      <c r="G450" s="120" t="s">
        <v>1013</v>
      </c>
      <c r="H450" s="120" t="s">
        <v>2624</v>
      </c>
      <c r="I450" s="120" t="s">
        <v>203</v>
      </c>
      <c r="J450" s="120"/>
      <c r="K450" s="120" t="s">
        <v>463</v>
      </c>
      <c r="L450" s="120" t="s">
        <v>338</v>
      </c>
      <c r="M450" s="120" t="s">
        <v>337</v>
      </c>
      <c r="N450" s="121"/>
      <c r="O450" s="124">
        <v>43832</v>
      </c>
      <c r="P450" s="120" t="s">
        <v>1451</v>
      </c>
      <c r="Q450" s="120" t="s">
        <v>311</v>
      </c>
      <c r="R450" s="120" t="s">
        <v>407</v>
      </c>
      <c r="S450" s="120" t="s">
        <v>1218</v>
      </c>
      <c r="T450" s="122">
        <v>1.43</v>
      </c>
      <c r="U450" s="120" t="s">
        <v>2613</v>
      </c>
      <c r="V450" s="123">
        <v>2.9000000000000001E-2</v>
      </c>
      <c r="W450" s="120"/>
      <c r="X450" s="120"/>
      <c r="Y450" s="123"/>
      <c r="Z450" s="123">
        <v>5.2900000000000003E-2</v>
      </c>
      <c r="AA450" s="124">
        <v>46387</v>
      </c>
      <c r="AB450" s="120" t="s">
        <v>411</v>
      </c>
      <c r="AC450" s="120"/>
      <c r="AD450" s="122"/>
      <c r="AE450" s="123"/>
      <c r="AF450" s="124">
        <v>45323</v>
      </c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45838</v>
      </c>
      <c r="AO450" s="120"/>
      <c r="AP450" s="123"/>
      <c r="AQ450" s="122">
        <v>750137.07</v>
      </c>
      <c r="AR450" s="122">
        <v>96.81</v>
      </c>
      <c r="AS450" s="122">
        <v>1</v>
      </c>
      <c r="AT450" s="122">
        <v>726.20770000000005</v>
      </c>
      <c r="AU450" s="122">
        <v>726.20770000000005</v>
      </c>
      <c r="AV450" s="120"/>
      <c r="AW450" s="120"/>
      <c r="AX450" s="120"/>
      <c r="AY450" s="120"/>
      <c r="AZ450" s="123">
        <v>2.52E-4</v>
      </c>
      <c r="BA450" s="123">
        <v>1.2E-5</v>
      </c>
    </row>
    <row r="451" spans="1:53" ht="15" customHeight="1">
      <c r="A451" s="121">
        <v>313</v>
      </c>
      <c r="B451" s="121">
        <v>313</v>
      </c>
      <c r="C451" s="121"/>
      <c r="D451" s="120"/>
      <c r="E451" s="120"/>
      <c r="F451" s="121">
        <v>50001769</v>
      </c>
      <c r="G451" s="120" t="s">
        <v>1013</v>
      </c>
      <c r="H451" s="120" t="s">
        <v>2624</v>
      </c>
      <c r="I451" s="120" t="s">
        <v>203</v>
      </c>
      <c r="J451" s="120"/>
      <c r="K451" s="120" t="s">
        <v>463</v>
      </c>
      <c r="L451" s="120" t="s">
        <v>338</v>
      </c>
      <c r="M451" s="120" t="s">
        <v>337</v>
      </c>
      <c r="N451" s="121"/>
      <c r="O451" s="124">
        <v>43832</v>
      </c>
      <c r="P451" s="120" t="s">
        <v>1451</v>
      </c>
      <c r="Q451" s="120" t="s">
        <v>311</v>
      </c>
      <c r="R451" s="120" t="s">
        <v>407</v>
      </c>
      <c r="S451" s="120" t="s">
        <v>1218</v>
      </c>
      <c r="T451" s="122">
        <v>1.43</v>
      </c>
      <c r="U451" s="120" t="s">
        <v>2613</v>
      </c>
      <c r="V451" s="123">
        <v>2.9000000000000001E-2</v>
      </c>
      <c r="W451" s="120"/>
      <c r="X451" s="120"/>
      <c r="Y451" s="123"/>
      <c r="Z451" s="123">
        <v>5.2900000000000003E-2</v>
      </c>
      <c r="AA451" s="124">
        <v>46387</v>
      </c>
      <c r="AB451" s="120" t="s">
        <v>411</v>
      </c>
      <c r="AC451" s="120"/>
      <c r="AD451" s="122"/>
      <c r="AE451" s="123"/>
      <c r="AF451" s="124">
        <v>45323</v>
      </c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45838</v>
      </c>
      <c r="AO451" s="120"/>
      <c r="AP451" s="123"/>
      <c r="AQ451" s="122">
        <v>750137.06</v>
      </c>
      <c r="AR451" s="122">
        <v>96.81</v>
      </c>
      <c r="AS451" s="122">
        <v>1</v>
      </c>
      <c r="AT451" s="122">
        <v>726.20768999999996</v>
      </c>
      <c r="AU451" s="122">
        <v>726.20768999999996</v>
      </c>
      <c r="AV451" s="120"/>
      <c r="AW451" s="120"/>
      <c r="AX451" s="120"/>
      <c r="AY451" s="120"/>
      <c r="AZ451" s="123">
        <v>2.52E-4</v>
      </c>
      <c r="BA451" s="123">
        <v>1.2E-5</v>
      </c>
    </row>
    <row r="452" spans="1:53" ht="15" customHeight="1">
      <c r="A452" s="121">
        <v>313</v>
      </c>
      <c r="B452" s="121">
        <v>313</v>
      </c>
      <c r="C452" s="121"/>
      <c r="D452" s="120"/>
      <c r="E452" s="120"/>
      <c r="F452" s="121">
        <v>50001770</v>
      </c>
      <c r="G452" s="120" t="s">
        <v>1013</v>
      </c>
      <c r="H452" s="120" t="s">
        <v>2624</v>
      </c>
      <c r="I452" s="120" t="s">
        <v>203</v>
      </c>
      <c r="J452" s="120"/>
      <c r="K452" s="120" t="s">
        <v>463</v>
      </c>
      <c r="L452" s="120" t="s">
        <v>338</v>
      </c>
      <c r="M452" s="120" t="s">
        <v>337</v>
      </c>
      <c r="N452" s="121"/>
      <c r="O452" s="124">
        <v>43832</v>
      </c>
      <c r="P452" s="120" t="s">
        <v>1451</v>
      </c>
      <c r="Q452" s="120" t="s">
        <v>311</v>
      </c>
      <c r="R452" s="120" t="s">
        <v>407</v>
      </c>
      <c r="S452" s="120" t="s">
        <v>1218</v>
      </c>
      <c r="T452" s="122">
        <v>1.43</v>
      </c>
      <c r="U452" s="120" t="s">
        <v>2613</v>
      </c>
      <c r="V452" s="123">
        <v>2.9000000000000001E-2</v>
      </c>
      <c r="W452" s="120"/>
      <c r="X452" s="120"/>
      <c r="Y452" s="123"/>
      <c r="Z452" s="123">
        <v>5.2900000000000003E-2</v>
      </c>
      <c r="AA452" s="124">
        <v>46387</v>
      </c>
      <c r="AB452" s="120" t="s">
        <v>411</v>
      </c>
      <c r="AC452" s="120"/>
      <c r="AD452" s="122"/>
      <c r="AE452" s="123"/>
      <c r="AF452" s="124">
        <v>45323</v>
      </c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45838</v>
      </c>
      <c r="AO452" s="120"/>
      <c r="AP452" s="123"/>
      <c r="AQ452" s="122">
        <v>750137.06</v>
      </c>
      <c r="AR452" s="122">
        <v>96.81</v>
      </c>
      <c r="AS452" s="122">
        <v>1</v>
      </c>
      <c r="AT452" s="122">
        <v>726.20768999999996</v>
      </c>
      <c r="AU452" s="122">
        <v>726.20768999999996</v>
      </c>
      <c r="AV452" s="120"/>
      <c r="AW452" s="120"/>
      <c r="AX452" s="120"/>
      <c r="AY452" s="120"/>
      <c r="AZ452" s="123">
        <v>2.52E-4</v>
      </c>
      <c r="BA452" s="123">
        <v>1.2E-5</v>
      </c>
    </row>
    <row r="453" spans="1:53" ht="15" customHeight="1">
      <c r="A453" s="121">
        <v>313</v>
      </c>
      <c r="B453" s="121">
        <v>313</v>
      </c>
      <c r="C453" s="121"/>
      <c r="D453" s="120"/>
      <c r="E453" s="120"/>
      <c r="F453" s="121">
        <v>50001771</v>
      </c>
      <c r="G453" s="120" t="s">
        <v>1013</v>
      </c>
      <c r="H453" s="120" t="s">
        <v>2624</v>
      </c>
      <c r="I453" s="120" t="s">
        <v>203</v>
      </c>
      <c r="J453" s="120"/>
      <c r="K453" s="120" t="s">
        <v>463</v>
      </c>
      <c r="L453" s="120" t="s">
        <v>338</v>
      </c>
      <c r="M453" s="120" t="s">
        <v>337</v>
      </c>
      <c r="N453" s="121"/>
      <c r="O453" s="124">
        <v>43832</v>
      </c>
      <c r="P453" s="120" t="s">
        <v>1451</v>
      </c>
      <c r="Q453" s="120" t="s">
        <v>311</v>
      </c>
      <c r="R453" s="120" t="s">
        <v>407</v>
      </c>
      <c r="S453" s="120" t="s">
        <v>1218</v>
      </c>
      <c r="T453" s="122">
        <v>1.43</v>
      </c>
      <c r="U453" s="120" t="s">
        <v>2613</v>
      </c>
      <c r="V453" s="123">
        <v>2.9000000000000001E-2</v>
      </c>
      <c r="W453" s="120"/>
      <c r="X453" s="120"/>
      <c r="Y453" s="123"/>
      <c r="Z453" s="123">
        <v>5.2900000000000003E-2</v>
      </c>
      <c r="AA453" s="124">
        <v>46387</v>
      </c>
      <c r="AB453" s="120" t="s">
        <v>411</v>
      </c>
      <c r="AC453" s="120"/>
      <c r="AD453" s="122"/>
      <c r="AE453" s="123"/>
      <c r="AF453" s="124">
        <v>45323</v>
      </c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45838</v>
      </c>
      <c r="AO453" s="120"/>
      <c r="AP453" s="123"/>
      <c r="AQ453" s="122">
        <v>750137.06</v>
      </c>
      <c r="AR453" s="122">
        <v>96.81</v>
      </c>
      <c r="AS453" s="122">
        <v>1</v>
      </c>
      <c r="AT453" s="122">
        <v>726.20768999999996</v>
      </c>
      <c r="AU453" s="122">
        <v>726.20768999999996</v>
      </c>
      <c r="AV453" s="120"/>
      <c r="AW453" s="120"/>
      <c r="AX453" s="120"/>
      <c r="AY453" s="120"/>
      <c r="AZ453" s="123">
        <v>2.52E-4</v>
      </c>
      <c r="BA453" s="123">
        <v>1.2E-5</v>
      </c>
    </row>
    <row r="454" spans="1:53" ht="15" customHeight="1">
      <c r="A454" s="121">
        <v>313</v>
      </c>
      <c r="B454" s="121">
        <v>313</v>
      </c>
      <c r="C454" s="121"/>
      <c r="D454" s="120"/>
      <c r="E454" s="120"/>
      <c r="F454" s="121">
        <v>51000100</v>
      </c>
      <c r="G454" s="120" t="s">
        <v>1013</v>
      </c>
      <c r="H454" s="120" t="s">
        <v>812</v>
      </c>
      <c r="I454" s="120" t="s">
        <v>203</v>
      </c>
      <c r="J454" s="120"/>
      <c r="K454" s="120" t="s">
        <v>454</v>
      </c>
      <c r="L454" s="120" t="s">
        <v>338</v>
      </c>
      <c r="M454" s="120" t="s">
        <v>337</v>
      </c>
      <c r="N454" s="121"/>
      <c r="O454" s="124">
        <v>44167</v>
      </c>
      <c r="P454" s="120" t="s">
        <v>1304</v>
      </c>
      <c r="Q454" s="120" t="s">
        <v>414</v>
      </c>
      <c r="R454" s="120" t="s">
        <v>407</v>
      </c>
      <c r="S454" s="120" t="s">
        <v>1215</v>
      </c>
      <c r="T454" s="122">
        <v>5.83</v>
      </c>
      <c r="U454" s="120" t="s">
        <v>2613</v>
      </c>
      <c r="V454" s="123">
        <v>2.3451E-2</v>
      </c>
      <c r="W454" s="120"/>
      <c r="X454" s="120"/>
      <c r="Y454" s="123"/>
      <c r="Z454" s="123">
        <v>4.48E-2</v>
      </c>
      <c r="AA454" s="124">
        <v>51501</v>
      </c>
      <c r="AB454" s="120" t="s">
        <v>411</v>
      </c>
      <c r="AC454" s="120"/>
      <c r="AD454" s="122"/>
      <c r="AE454" s="123"/>
      <c r="AF454" s="124"/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45838</v>
      </c>
      <c r="AO454" s="120"/>
      <c r="AP454" s="123"/>
      <c r="AQ454" s="122">
        <v>27500474.789999999</v>
      </c>
      <c r="AR454" s="122">
        <v>88.65</v>
      </c>
      <c r="AS454" s="122">
        <v>3.9552</v>
      </c>
      <c r="AT454" s="122">
        <v>96424.496750000006</v>
      </c>
      <c r="AU454" s="122">
        <v>24379.170900000001</v>
      </c>
      <c r="AV454" s="120"/>
      <c r="AW454" s="120"/>
      <c r="AX454" s="120"/>
      <c r="AY454" s="120"/>
      <c r="AZ454" s="123">
        <v>3.3583000000000002E-2</v>
      </c>
      <c r="BA454" s="123">
        <v>1.6050000000000001E-3</v>
      </c>
    </row>
    <row r="455" spans="1:53" ht="15" customHeight="1">
      <c r="A455" s="121">
        <v>313</v>
      </c>
      <c r="B455" s="121">
        <v>313</v>
      </c>
      <c r="C455" s="121"/>
      <c r="D455" s="120"/>
      <c r="E455" s="120"/>
      <c r="F455" s="121">
        <v>50001767</v>
      </c>
      <c r="G455" s="120" t="s">
        <v>1013</v>
      </c>
      <c r="H455" s="120" t="s">
        <v>2624</v>
      </c>
      <c r="I455" s="120" t="s">
        <v>203</v>
      </c>
      <c r="J455" s="120"/>
      <c r="K455" s="120" t="s">
        <v>463</v>
      </c>
      <c r="L455" s="120" t="s">
        <v>338</v>
      </c>
      <c r="M455" s="120" t="s">
        <v>337</v>
      </c>
      <c r="N455" s="121"/>
      <c r="O455" s="124">
        <v>43832</v>
      </c>
      <c r="P455" s="120" t="s">
        <v>1451</v>
      </c>
      <c r="Q455" s="120" t="s">
        <v>311</v>
      </c>
      <c r="R455" s="120" t="s">
        <v>407</v>
      </c>
      <c r="S455" s="120" t="s">
        <v>1218</v>
      </c>
      <c r="T455" s="122">
        <v>1.43</v>
      </c>
      <c r="U455" s="120" t="s">
        <v>2613</v>
      </c>
      <c r="V455" s="123">
        <v>2.9000000000000001E-2</v>
      </c>
      <c r="W455" s="120"/>
      <c r="X455" s="120"/>
      <c r="Y455" s="123"/>
      <c r="Z455" s="123">
        <v>5.2900000000000003E-2</v>
      </c>
      <c r="AA455" s="124">
        <v>46387</v>
      </c>
      <c r="AB455" s="120" t="s">
        <v>411</v>
      </c>
      <c r="AC455" s="120"/>
      <c r="AD455" s="122"/>
      <c r="AE455" s="123"/>
      <c r="AF455" s="124">
        <v>45323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45838</v>
      </c>
      <c r="AO455" s="120"/>
      <c r="AP455" s="123"/>
      <c r="AQ455" s="122">
        <v>12002192.4</v>
      </c>
      <c r="AR455" s="122">
        <v>96.81</v>
      </c>
      <c r="AS455" s="122">
        <v>1</v>
      </c>
      <c r="AT455" s="122">
        <v>11619.322459999999</v>
      </c>
      <c r="AU455" s="122">
        <v>11619.322459999999</v>
      </c>
      <c r="AV455" s="120"/>
      <c r="AW455" s="120"/>
      <c r="AX455" s="120"/>
      <c r="AY455" s="120"/>
      <c r="AZ455" s="123">
        <v>4.0460000000000001E-3</v>
      </c>
      <c r="BA455" s="123">
        <v>1.93E-4</v>
      </c>
    </row>
    <row r="456" spans="1:53" ht="15" customHeight="1">
      <c r="A456" s="121">
        <v>313</v>
      </c>
      <c r="B456" s="121">
        <v>313</v>
      </c>
      <c r="C456" s="121"/>
      <c r="D456" s="120"/>
      <c r="E456" s="120"/>
      <c r="F456" s="121">
        <v>53702</v>
      </c>
      <c r="G456" s="120" t="s">
        <v>1013</v>
      </c>
      <c r="H456" s="120" t="s">
        <v>812</v>
      </c>
      <c r="I456" s="120" t="s">
        <v>203</v>
      </c>
      <c r="J456" s="120"/>
      <c r="K456" s="120" t="s">
        <v>484</v>
      </c>
      <c r="L456" s="120" t="s">
        <v>338</v>
      </c>
      <c r="M456" s="120" t="s">
        <v>337</v>
      </c>
      <c r="N456" s="121"/>
      <c r="O456" s="124">
        <v>42122</v>
      </c>
      <c r="P456" s="120" t="s">
        <v>1335</v>
      </c>
      <c r="Q456" s="120" t="s">
        <v>414</v>
      </c>
      <c r="R456" s="120" t="s">
        <v>407</v>
      </c>
      <c r="S456" s="120" t="s">
        <v>1218</v>
      </c>
      <c r="T456" s="122">
        <v>3.52</v>
      </c>
      <c r="U456" s="120" t="s">
        <v>2613</v>
      </c>
      <c r="V456" s="123">
        <v>2.5562999999999999E-2</v>
      </c>
      <c r="W456" s="120"/>
      <c r="X456" s="120"/>
      <c r="Y456" s="123"/>
      <c r="Z456" s="123">
        <v>2.9700000000000001E-2</v>
      </c>
      <c r="AA456" s="124">
        <v>48482</v>
      </c>
      <c r="AB456" s="120" t="s">
        <v>411</v>
      </c>
      <c r="AC456" s="120"/>
      <c r="AD456" s="122"/>
      <c r="AE456" s="123"/>
      <c r="AF456" s="124"/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45838</v>
      </c>
      <c r="AO456" s="120"/>
      <c r="AP456" s="123"/>
      <c r="AQ456" s="122">
        <v>37831031.609999999</v>
      </c>
      <c r="AR456" s="122">
        <v>118.78</v>
      </c>
      <c r="AS456" s="122">
        <v>1</v>
      </c>
      <c r="AT456" s="122">
        <v>44935.699350000003</v>
      </c>
      <c r="AU456" s="122">
        <v>44935.699350000003</v>
      </c>
      <c r="AV456" s="120"/>
      <c r="AW456" s="120"/>
      <c r="AX456" s="120"/>
      <c r="AY456" s="120"/>
      <c r="AZ456" s="123">
        <v>1.5650000000000001E-2</v>
      </c>
      <c r="BA456" s="123">
        <v>7.4799999999999997E-4</v>
      </c>
    </row>
    <row r="457" spans="1:53" ht="15" customHeight="1">
      <c r="A457" s="121">
        <v>313</v>
      </c>
      <c r="B457" s="121">
        <v>313</v>
      </c>
      <c r="C457" s="121"/>
      <c r="D457" s="120"/>
      <c r="E457" s="120"/>
      <c r="F457" s="121">
        <v>54023</v>
      </c>
      <c r="G457" s="120" t="s">
        <v>1013</v>
      </c>
      <c r="H457" s="120" t="s">
        <v>812</v>
      </c>
      <c r="I457" s="120" t="s">
        <v>203</v>
      </c>
      <c r="J457" s="120"/>
      <c r="K457" s="120" t="s">
        <v>484</v>
      </c>
      <c r="L457" s="120" t="s">
        <v>338</v>
      </c>
      <c r="M457" s="120" t="s">
        <v>337</v>
      </c>
      <c r="N457" s="121"/>
      <c r="O457" s="124">
        <v>41571</v>
      </c>
      <c r="P457" s="120" t="s">
        <v>1285</v>
      </c>
      <c r="Q457" s="120" t="s">
        <v>412</v>
      </c>
      <c r="R457" s="120" t="s">
        <v>407</v>
      </c>
      <c r="S457" s="120" t="s">
        <v>1218</v>
      </c>
      <c r="T457" s="122">
        <v>3.07</v>
      </c>
      <c r="U457" s="120" t="s">
        <v>2613</v>
      </c>
      <c r="V457" s="123">
        <v>5.5E-2</v>
      </c>
      <c r="W457" s="120"/>
      <c r="X457" s="120"/>
      <c r="Y457" s="123"/>
      <c r="Z457" s="123">
        <v>2.9700000000000001E-2</v>
      </c>
      <c r="AA457" s="124">
        <v>47986</v>
      </c>
      <c r="AB457" s="120" t="s">
        <v>411</v>
      </c>
      <c r="AC457" s="120"/>
      <c r="AD457" s="122"/>
      <c r="AE457" s="123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45838</v>
      </c>
      <c r="AO457" s="120"/>
      <c r="AP457" s="123"/>
      <c r="AQ457" s="122">
        <v>494068.73</v>
      </c>
      <c r="AR457" s="122">
        <v>125.11</v>
      </c>
      <c r="AS457" s="122">
        <v>1</v>
      </c>
      <c r="AT457" s="122">
        <v>618.12938999999994</v>
      </c>
      <c r="AU457" s="122">
        <v>618.12938999999994</v>
      </c>
      <c r="AV457" s="120"/>
      <c r="AW457" s="120"/>
      <c r="AX457" s="120"/>
      <c r="AY457" s="120"/>
      <c r="AZ457" s="123">
        <v>2.1499999999999999E-4</v>
      </c>
      <c r="BA457" s="123">
        <v>1.0000000000000001E-5</v>
      </c>
    </row>
    <row r="458" spans="1:53" ht="15" customHeight="1">
      <c r="A458" s="121">
        <v>313</v>
      </c>
      <c r="B458" s="121">
        <v>313</v>
      </c>
      <c r="C458" s="121"/>
      <c r="D458" s="120"/>
      <c r="E458" s="120"/>
      <c r="F458" s="121">
        <v>54031</v>
      </c>
      <c r="G458" s="120" t="s">
        <v>1013</v>
      </c>
      <c r="H458" s="120" t="s">
        <v>812</v>
      </c>
      <c r="I458" s="120" t="s">
        <v>203</v>
      </c>
      <c r="J458" s="120"/>
      <c r="K458" s="120" t="s">
        <v>484</v>
      </c>
      <c r="L458" s="120" t="s">
        <v>338</v>
      </c>
      <c r="M458" s="120" t="s">
        <v>337</v>
      </c>
      <c r="N458" s="121"/>
      <c r="O458" s="124">
        <v>41597</v>
      </c>
      <c r="P458" s="120" t="s">
        <v>1285</v>
      </c>
      <c r="Q458" s="120" t="s">
        <v>412</v>
      </c>
      <c r="R458" s="120" t="s">
        <v>407</v>
      </c>
      <c r="S458" s="120" t="s">
        <v>1218</v>
      </c>
      <c r="T458" s="122">
        <v>3.07</v>
      </c>
      <c r="U458" s="120" t="s">
        <v>2613</v>
      </c>
      <c r="V458" s="123">
        <v>5.5E-2</v>
      </c>
      <c r="W458" s="120"/>
      <c r="X458" s="120"/>
      <c r="Y458" s="123"/>
      <c r="Z458" s="123">
        <v>2.9700000000000001E-2</v>
      </c>
      <c r="AA458" s="124">
        <v>47986</v>
      </c>
      <c r="AB458" s="120" t="s">
        <v>411</v>
      </c>
      <c r="AC458" s="120"/>
      <c r="AD458" s="122"/>
      <c r="AE458" s="123"/>
      <c r="AF458" s="124"/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45838</v>
      </c>
      <c r="AO458" s="120"/>
      <c r="AP458" s="123"/>
      <c r="AQ458" s="122">
        <v>127108.27</v>
      </c>
      <c r="AR458" s="122">
        <v>124.75</v>
      </c>
      <c r="AS458" s="122">
        <v>1</v>
      </c>
      <c r="AT458" s="122">
        <v>158.56756999999999</v>
      </c>
      <c r="AU458" s="122">
        <v>158.56756999999999</v>
      </c>
      <c r="AV458" s="120"/>
      <c r="AW458" s="120"/>
      <c r="AX458" s="120"/>
      <c r="AY458" s="120"/>
      <c r="AZ458" s="123">
        <v>5.5000000000000002E-5</v>
      </c>
      <c r="BA458" s="123">
        <v>1.9999999999999999E-6</v>
      </c>
    </row>
    <row r="459" spans="1:53" ht="15" customHeight="1">
      <c r="A459" s="121">
        <v>313</v>
      </c>
      <c r="B459" s="121">
        <v>313</v>
      </c>
      <c r="C459" s="121"/>
      <c r="D459" s="120"/>
      <c r="E459" s="120"/>
      <c r="F459" s="121">
        <v>54049</v>
      </c>
      <c r="G459" s="120" t="s">
        <v>1013</v>
      </c>
      <c r="H459" s="120" t="s">
        <v>812</v>
      </c>
      <c r="I459" s="120" t="s">
        <v>203</v>
      </c>
      <c r="J459" s="120"/>
      <c r="K459" s="120" t="s">
        <v>484</v>
      </c>
      <c r="L459" s="120" t="s">
        <v>338</v>
      </c>
      <c r="M459" s="120" t="s">
        <v>337</v>
      </c>
      <c r="N459" s="121"/>
      <c r="O459" s="124">
        <v>41630</v>
      </c>
      <c r="P459" s="120" t="s">
        <v>1285</v>
      </c>
      <c r="Q459" s="120" t="s">
        <v>412</v>
      </c>
      <c r="R459" s="120" t="s">
        <v>407</v>
      </c>
      <c r="S459" s="120" t="s">
        <v>1218</v>
      </c>
      <c r="T459" s="122">
        <v>3.07</v>
      </c>
      <c r="U459" s="120" t="s">
        <v>2613</v>
      </c>
      <c r="V459" s="123">
        <v>5.5E-2</v>
      </c>
      <c r="W459" s="120"/>
      <c r="X459" s="120"/>
      <c r="Y459" s="123"/>
      <c r="Z459" s="123">
        <v>2.98E-2</v>
      </c>
      <c r="AA459" s="124">
        <v>47986</v>
      </c>
      <c r="AB459" s="120" t="s">
        <v>411</v>
      </c>
      <c r="AC459" s="120"/>
      <c r="AD459" s="122"/>
      <c r="AE459" s="123"/>
      <c r="AF459" s="124"/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45838</v>
      </c>
      <c r="AO459" s="120"/>
      <c r="AP459" s="123"/>
      <c r="AQ459" s="122">
        <v>1451397.6</v>
      </c>
      <c r="AR459" s="122">
        <v>125.2</v>
      </c>
      <c r="AS459" s="122">
        <v>1</v>
      </c>
      <c r="AT459" s="122">
        <v>1817.1497999999999</v>
      </c>
      <c r="AU459" s="122">
        <v>1817.1497999999999</v>
      </c>
      <c r="AV459" s="120"/>
      <c r="AW459" s="120"/>
      <c r="AX459" s="120"/>
      <c r="AY459" s="120"/>
      <c r="AZ459" s="123">
        <v>6.3199999999999997E-4</v>
      </c>
      <c r="BA459" s="123">
        <v>3.0000000000000001E-5</v>
      </c>
    </row>
    <row r="460" spans="1:53" ht="15" customHeight="1">
      <c r="A460" s="121">
        <v>313</v>
      </c>
      <c r="B460" s="121">
        <v>313</v>
      </c>
      <c r="C460" s="121"/>
      <c r="D460" s="120"/>
      <c r="E460" s="120"/>
      <c r="F460" s="121">
        <v>54056</v>
      </c>
      <c r="G460" s="120" t="s">
        <v>1013</v>
      </c>
      <c r="H460" s="120" t="s">
        <v>812</v>
      </c>
      <c r="I460" s="120" t="s">
        <v>203</v>
      </c>
      <c r="J460" s="120"/>
      <c r="K460" s="120" t="s">
        <v>484</v>
      </c>
      <c r="L460" s="120" t="s">
        <v>338</v>
      </c>
      <c r="M460" s="120" t="s">
        <v>337</v>
      </c>
      <c r="N460" s="121"/>
      <c r="O460" s="124">
        <v>41666</v>
      </c>
      <c r="P460" s="120" t="s">
        <v>1285</v>
      </c>
      <c r="Q460" s="120" t="s">
        <v>412</v>
      </c>
      <c r="R460" s="120" t="s">
        <v>407</v>
      </c>
      <c r="S460" s="120" t="s">
        <v>1218</v>
      </c>
      <c r="T460" s="122">
        <v>3.07</v>
      </c>
      <c r="U460" s="120" t="s">
        <v>2613</v>
      </c>
      <c r="V460" s="123">
        <v>5.5E-2</v>
      </c>
      <c r="W460" s="120"/>
      <c r="X460" s="120"/>
      <c r="Y460" s="123"/>
      <c r="Z460" s="123">
        <v>2.98E-2</v>
      </c>
      <c r="AA460" s="124">
        <v>47986</v>
      </c>
      <c r="AB460" s="120" t="s">
        <v>411</v>
      </c>
      <c r="AC460" s="120"/>
      <c r="AD460" s="122"/>
      <c r="AE460" s="123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45838</v>
      </c>
      <c r="AO460" s="120"/>
      <c r="AP460" s="123"/>
      <c r="AQ460" s="122">
        <v>280411.40000000002</v>
      </c>
      <c r="AR460" s="122">
        <v>125.08</v>
      </c>
      <c r="AS460" s="122">
        <v>1</v>
      </c>
      <c r="AT460" s="122">
        <v>350.73858000000001</v>
      </c>
      <c r="AU460" s="122">
        <v>350.73858000000001</v>
      </c>
      <c r="AV460" s="120"/>
      <c r="AW460" s="120"/>
      <c r="AX460" s="120"/>
      <c r="AY460" s="120"/>
      <c r="AZ460" s="123">
        <v>1.22E-4</v>
      </c>
      <c r="BA460" s="123">
        <v>5.0000000000000004E-6</v>
      </c>
    </row>
    <row r="461" spans="1:53" ht="15" customHeight="1">
      <c r="A461" s="121">
        <v>313</v>
      </c>
      <c r="B461" s="121">
        <v>313</v>
      </c>
      <c r="C461" s="121"/>
      <c r="D461" s="120"/>
      <c r="E461" s="120"/>
      <c r="F461" s="121">
        <v>54064</v>
      </c>
      <c r="G461" s="120" t="s">
        <v>1013</v>
      </c>
      <c r="H461" s="120" t="s">
        <v>812</v>
      </c>
      <c r="I461" s="120" t="s">
        <v>203</v>
      </c>
      <c r="J461" s="120"/>
      <c r="K461" s="120" t="s">
        <v>484</v>
      </c>
      <c r="L461" s="120" t="s">
        <v>338</v>
      </c>
      <c r="M461" s="120" t="s">
        <v>337</v>
      </c>
      <c r="N461" s="121"/>
      <c r="O461" s="124">
        <v>41696</v>
      </c>
      <c r="P461" s="120" t="s">
        <v>1285</v>
      </c>
      <c r="Q461" s="120" t="s">
        <v>412</v>
      </c>
      <c r="R461" s="120" t="s">
        <v>407</v>
      </c>
      <c r="S461" s="120" t="s">
        <v>1218</v>
      </c>
      <c r="T461" s="122">
        <v>3.07</v>
      </c>
      <c r="U461" s="120" t="s">
        <v>2613</v>
      </c>
      <c r="V461" s="123">
        <v>5.5E-2</v>
      </c>
      <c r="W461" s="120"/>
      <c r="X461" s="120"/>
      <c r="Y461" s="123"/>
      <c r="Z461" s="123">
        <v>2.98E-2</v>
      </c>
      <c r="AA461" s="124">
        <v>47986</v>
      </c>
      <c r="AB461" s="120" t="s">
        <v>411</v>
      </c>
      <c r="AC461" s="120"/>
      <c r="AD461" s="122"/>
      <c r="AE461" s="123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45838</v>
      </c>
      <c r="AO461" s="120"/>
      <c r="AP461" s="123"/>
      <c r="AQ461" s="122">
        <v>269988.51</v>
      </c>
      <c r="AR461" s="122">
        <v>125.82</v>
      </c>
      <c r="AS461" s="122">
        <v>1</v>
      </c>
      <c r="AT461" s="122">
        <v>339.69954000000001</v>
      </c>
      <c r="AU461" s="122">
        <v>339.69954000000001</v>
      </c>
      <c r="AV461" s="120"/>
      <c r="AW461" s="120"/>
      <c r="AX461" s="120"/>
      <c r="AY461" s="120"/>
      <c r="AZ461" s="123">
        <v>1.18E-4</v>
      </c>
      <c r="BA461" s="123">
        <v>5.0000000000000004E-6</v>
      </c>
    </row>
    <row r="462" spans="1:53" ht="15" customHeight="1">
      <c r="A462" s="121">
        <v>313</v>
      </c>
      <c r="B462" s="121">
        <v>313</v>
      </c>
      <c r="C462" s="121"/>
      <c r="D462" s="120"/>
      <c r="E462" s="120"/>
      <c r="F462" s="121">
        <v>54015</v>
      </c>
      <c r="G462" s="120" t="s">
        <v>1013</v>
      </c>
      <c r="H462" s="120" t="s">
        <v>812</v>
      </c>
      <c r="I462" s="120" t="s">
        <v>203</v>
      </c>
      <c r="J462" s="120"/>
      <c r="K462" s="120" t="s">
        <v>484</v>
      </c>
      <c r="L462" s="120" t="s">
        <v>338</v>
      </c>
      <c r="M462" s="120" t="s">
        <v>337</v>
      </c>
      <c r="N462" s="121"/>
      <c r="O462" s="124">
        <v>41547</v>
      </c>
      <c r="P462" s="120" t="s">
        <v>1285</v>
      </c>
      <c r="Q462" s="120" t="s">
        <v>412</v>
      </c>
      <c r="R462" s="120" t="s">
        <v>407</v>
      </c>
      <c r="S462" s="120" t="s">
        <v>1218</v>
      </c>
      <c r="T462" s="122">
        <v>3.06</v>
      </c>
      <c r="U462" s="120" t="s">
        <v>2613</v>
      </c>
      <c r="V462" s="123">
        <v>5.5E-2</v>
      </c>
      <c r="W462" s="120"/>
      <c r="X462" s="120"/>
      <c r="Y462" s="123"/>
      <c r="Z462" s="123">
        <v>3.0599999999999999E-2</v>
      </c>
      <c r="AA462" s="124">
        <v>47986</v>
      </c>
      <c r="AB462" s="120" t="s">
        <v>411</v>
      </c>
      <c r="AC462" s="120"/>
      <c r="AD462" s="122"/>
      <c r="AE462" s="123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45838</v>
      </c>
      <c r="AO462" s="120"/>
      <c r="AP462" s="123"/>
      <c r="AQ462" s="122">
        <v>1013094.48</v>
      </c>
      <c r="AR462" s="122">
        <v>124.78</v>
      </c>
      <c r="AS462" s="122">
        <v>1</v>
      </c>
      <c r="AT462" s="122">
        <v>1264.1392900000001</v>
      </c>
      <c r="AU462" s="122">
        <v>1264.1392900000001</v>
      </c>
      <c r="AV462" s="120"/>
      <c r="AW462" s="120"/>
      <c r="AX462" s="120"/>
      <c r="AY462" s="120"/>
      <c r="AZ462" s="123">
        <v>4.4000000000000002E-4</v>
      </c>
      <c r="BA462" s="123">
        <v>2.0999999999999999E-5</v>
      </c>
    </row>
    <row r="463" spans="1:53" ht="15" customHeight="1">
      <c r="A463" s="121">
        <v>313</v>
      </c>
      <c r="B463" s="121">
        <v>313</v>
      </c>
      <c r="C463" s="121"/>
      <c r="D463" s="120"/>
      <c r="E463" s="120"/>
      <c r="F463" s="121">
        <v>54072</v>
      </c>
      <c r="G463" s="120" t="s">
        <v>1013</v>
      </c>
      <c r="H463" s="120" t="s">
        <v>812</v>
      </c>
      <c r="I463" s="120" t="s">
        <v>203</v>
      </c>
      <c r="J463" s="120"/>
      <c r="K463" s="120" t="s">
        <v>484</v>
      </c>
      <c r="L463" s="120" t="s">
        <v>338</v>
      </c>
      <c r="M463" s="120" t="s">
        <v>337</v>
      </c>
      <c r="N463" s="121"/>
      <c r="O463" s="124">
        <v>41725</v>
      </c>
      <c r="P463" s="120" t="s">
        <v>1285</v>
      </c>
      <c r="Q463" s="120" t="s">
        <v>412</v>
      </c>
      <c r="R463" s="120" t="s">
        <v>407</v>
      </c>
      <c r="S463" s="120" t="s">
        <v>1218</v>
      </c>
      <c r="T463" s="122">
        <v>3.07</v>
      </c>
      <c r="U463" s="120" t="s">
        <v>2613</v>
      </c>
      <c r="V463" s="123">
        <v>5.5E-2</v>
      </c>
      <c r="W463" s="120"/>
      <c r="X463" s="120"/>
      <c r="Y463" s="123"/>
      <c r="Z463" s="123">
        <v>2.98E-2</v>
      </c>
      <c r="AA463" s="124">
        <v>47986</v>
      </c>
      <c r="AB463" s="120" t="s">
        <v>411</v>
      </c>
      <c r="AC463" s="120"/>
      <c r="AD463" s="122"/>
      <c r="AE463" s="123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45838</v>
      </c>
      <c r="AO463" s="120"/>
      <c r="AP463" s="123"/>
      <c r="AQ463" s="122">
        <v>537986.64</v>
      </c>
      <c r="AR463" s="122">
        <v>126.07</v>
      </c>
      <c r="AS463" s="122">
        <v>1</v>
      </c>
      <c r="AT463" s="122">
        <v>678.23976000000005</v>
      </c>
      <c r="AU463" s="122">
        <v>678.23976000000005</v>
      </c>
      <c r="AV463" s="120"/>
      <c r="AW463" s="120"/>
      <c r="AX463" s="120"/>
      <c r="AY463" s="120"/>
      <c r="AZ463" s="123">
        <v>2.3599999999999999E-4</v>
      </c>
      <c r="BA463" s="123">
        <v>1.1E-5</v>
      </c>
    </row>
    <row r="464" spans="1:53" ht="15" customHeight="1">
      <c r="A464" s="121">
        <v>313</v>
      </c>
      <c r="B464" s="121">
        <v>313</v>
      </c>
      <c r="C464" s="121"/>
      <c r="D464" s="120"/>
      <c r="E464" s="120"/>
      <c r="F464" s="121">
        <v>50001064</v>
      </c>
      <c r="G464" s="120" t="s">
        <v>1013</v>
      </c>
      <c r="H464" s="120" t="s">
        <v>2617</v>
      </c>
      <c r="I464" s="120" t="s">
        <v>203</v>
      </c>
      <c r="J464" s="120"/>
      <c r="K464" s="120" t="s">
        <v>446</v>
      </c>
      <c r="L464" s="120" t="s">
        <v>338</v>
      </c>
      <c r="M464" s="120" t="s">
        <v>337</v>
      </c>
      <c r="N464" s="121"/>
      <c r="O464" s="124">
        <v>45148</v>
      </c>
      <c r="P464" s="120" t="s">
        <v>2621</v>
      </c>
      <c r="Q464" s="120" t="s">
        <v>414</v>
      </c>
      <c r="R464" s="120" t="s">
        <v>407</v>
      </c>
      <c r="S464" s="120" t="s">
        <v>1218</v>
      </c>
      <c r="T464" s="122">
        <v>17.72</v>
      </c>
      <c r="U464" s="120" t="s">
        <v>2613</v>
      </c>
      <c r="V464" s="123">
        <v>4.2220000000000001E-2</v>
      </c>
      <c r="W464" s="120"/>
      <c r="X464" s="120"/>
      <c r="Y464" s="123"/>
      <c r="Z464" s="123">
        <v>4.3299999999999998E-2</v>
      </c>
      <c r="AA464" s="124">
        <v>52305</v>
      </c>
      <c r="AB464" s="120" t="s">
        <v>411</v>
      </c>
      <c r="AC464" s="120"/>
      <c r="AD464" s="122"/>
      <c r="AE464" s="123"/>
      <c r="AF464" s="124">
        <v>45108</v>
      </c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45838</v>
      </c>
      <c r="AO464" s="120"/>
      <c r="AP464" s="123"/>
      <c r="AQ464" s="122">
        <v>854443.64</v>
      </c>
      <c r="AR464" s="122">
        <v>105.31</v>
      </c>
      <c r="AS464" s="122">
        <v>1</v>
      </c>
      <c r="AT464" s="122">
        <v>899.81460000000004</v>
      </c>
      <c r="AU464" s="122">
        <v>899.81460000000004</v>
      </c>
      <c r="AV464" s="120"/>
      <c r="AW464" s="120"/>
      <c r="AX464" s="120"/>
      <c r="AY464" s="120"/>
      <c r="AZ464" s="123">
        <v>3.1300000000000002E-4</v>
      </c>
      <c r="BA464" s="123">
        <v>1.4E-5</v>
      </c>
    </row>
    <row r="465" spans="1:53" ht="15" customHeight="1">
      <c r="A465" s="121">
        <v>313</v>
      </c>
      <c r="B465" s="121">
        <v>313</v>
      </c>
      <c r="C465" s="121"/>
      <c r="D465" s="120"/>
      <c r="E465" s="120"/>
      <c r="F465" s="121">
        <v>50001060</v>
      </c>
      <c r="G465" s="120" t="s">
        <v>1013</v>
      </c>
      <c r="H465" s="120" t="s">
        <v>2617</v>
      </c>
      <c r="I465" s="120" t="s">
        <v>203</v>
      </c>
      <c r="J465" s="120"/>
      <c r="K465" s="120" t="s">
        <v>446</v>
      </c>
      <c r="L465" s="120" t="s">
        <v>338</v>
      </c>
      <c r="M465" s="120" t="s">
        <v>337</v>
      </c>
      <c r="N465" s="121"/>
      <c r="O465" s="124">
        <v>45124</v>
      </c>
      <c r="P465" s="120" t="s">
        <v>2621</v>
      </c>
      <c r="Q465" s="120" t="s">
        <v>414</v>
      </c>
      <c r="R465" s="120" t="s">
        <v>407</v>
      </c>
      <c r="S465" s="120" t="s">
        <v>1218</v>
      </c>
      <c r="T465" s="122">
        <v>17.87</v>
      </c>
      <c r="U465" s="120" t="s">
        <v>2613</v>
      </c>
      <c r="V465" s="123">
        <v>4.1821999999999998E-2</v>
      </c>
      <c r="W465" s="120"/>
      <c r="X465" s="120"/>
      <c r="Y465" s="123"/>
      <c r="Z465" s="123">
        <v>5.3900000000000003E-2</v>
      </c>
      <c r="AA465" s="124">
        <v>52305</v>
      </c>
      <c r="AB465" s="120" t="s">
        <v>411</v>
      </c>
      <c r="AC465" s="120"/>
      <c r="AD465" s="122"/>
      <c r="AE465" s="123"/>
      <c r="AF465" s="124">
        <v>45108</v>
      </c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45838</v>
      </c>
      <c r="AO465" s="120"/>
      <c r="AP465" s="123"/>
      <c r="AQ465" s="122">
        <v>84184.29</v>
      </c>
      <c r="AR465" s="122">
        <v>102.44</v>
      </c>
      <c r="AS465" s="122">
        <v>1</v>
      </c>
      <c r="AT465" s="122">
        <v>86.238389999999995</v>
      </c>
      <c r="AU465" s="122">
        <v>86.238389999999995</v>
      </c>
      <c r="AV465" s="120"/>
      <c r="AW465" s="120"/>
      <c r="AX465" s="120"/>
      <c r="AY465" s="120"/>
      <c r="AZ465" s="123">
        <v>3.0000000000000001E-5</v>
      </c>
      <c r="BA465" s="123">
        <v>9.9999999999999995E-7</v>
      </c>
    </row>
    <row r="466" spans="1:53" ht="15" customHeight="1">
      <c r="A466" s="121">
        <v>313</v>
      </c>
      <c r="B466" s="121">
        <v>313</v>
      </c>
      <c r="C466" s="121"/>
      <c r="D466" s="120"/>
      <c r="E466" s="120"/>
      <c r="F466" s="121">
        <v>50001044</v>
      </c>
      <c r="G466" s="120" t="s">
        <v>1013</v>
      </c>
      <c r="H466" s="120" t="s">
        <v>2617</v>
      </c>
      <c r="I466" s="120" t="s">
        <v>203</v>
      </c>
      <c r="J466" s="120"/>
      <c r="K466" s="120" t="s">
        <v>446</v>
      </c>
      <c r="L466" s="120" t="s">
        <v>338</v>
      </c>
      <c r="M466" s="120" t="s">
        <v>337</v>
      </c>
      <c r="N466" s="121"/>
      <c r="O466" s="124">
        <v>44803</v>
      </c>
      <c r="P466" s="120" t="s">
        <v>2621</v>
      </c>
      <c r="Q466" s="120" t="s">
        <v>414</v>
      </c>
      <c r="R466" s="120" t="s">
        <v>407</v>
      </c>
      <c r="S466" s="120" t="s">
        <v>1218</v>
      </c>
      <c r="T466" s="122">
        <v>17.72</v>
      </c>
      <c r="U466" s="120" t="s">
        <v>2613</v>
      </c>
      <c r="V466" s="123">
        <v>3.4255000000000001E-2</v>
      </c>
      <c r="W466" s="120"/>
      <c r="X466" s="120"/>
      <c r="Y466" s="123"/>
      <c r="Z466" s="123">
        <v>4.1799999999999997E-2</v>
      </c>
      <c r="AA466" s="124">
        <v>52305</v>
      </c>
      <c r="AB466" s="120" t="s">
        <v>411</v>
      </c>
      <c r="AC466" s="120"/>
      <c r="AD466" s="122"/>
      <c r="AE466" s="123"/>
      <c r="AF466" s="124">
        <v>45108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45838</v>
      </c>
      <c r="AO466" s="120"/>
      <c r="AP466" s="123"/>
      <c r="AQ466" s="122">
        <v>85978.89</v>
      </c>
      <c r="AR466" s="122">
        <v>96.75</v>
      </c>
      <c r="AS466" s="122">
        <v>1</v>
      </c>
      <c r="AT466" s="122">
        <v>83.184579999999997</v>
      </c>
      <c r="AU466" s="122">
        <v>83.184579999999997</v>
      </c>
      <c r="AV466" s="120"/>
      <c r="AW466" s="120"/>
      <c r="AX466" s="120"/>
      <c r="AY466" s="120"/>
      <c r="AZ466" s="123">
        <v>2.8E-5</v>
      </c>
      <c r="BA466" s="123">
        <v>9.9999999999999995E-7</v>
      </c>
    </row>
    <row r="467" spans="1:53" ht="15" customHeight="1">
      <c r="A467" s="121">
        <v>313</v>
      </c>
      <c r="B467" s="121">
        <v>313</v>
      </c>
      <c r="C467" s="121"/>
      <c r="D467" s="120"/>
      <c r="E467" s="120"/>
      <c r="F467" s="121">
        <v>50001046</v>
      </c>
      <c r="G467" s="120" t="s">
        <v>1013</v>
      </c>
      <c r="H467" s="120" t="s">
        <v>2617</v>
      </c>
      <c r="I467" s="120" t="s">
        <v>203</v>
      </c>
      <c r="J467" s="120"/>
      <c r="K467" s="120" t="s">
        <v>446</v>
      </c>
      <c r="L467" s="120" t="s">
        <v>338</v>
      </c>
      <c r="M467" s="120" t="s">
        <v>337</v>
      </c>
      <c r="N467" s="121"/>
      <c r="O467" s="124">
        <v>44896</v>
      </c>
      <c r="P467" s="120" t="s">
        <v>2621</v>
      </c>
      <c r="Q467" s="120" t="s">
        <v>414</v>
      </c>
      <c r="R467" s="120" t="s">
        <v>407</v>
      </c>
      <c r="S467" s="120" t="s">
        <v>1218</v>
      </c>
      <c r="T467" s="122">
        <v>7.99</v>
      </c>
      <c r="U467" s="120" t="s">
        <v>2613</v>
      </c>
      <c r="V467" s="123">
        <v>3.2099000000000003E-2</v>
      </c>
      <c r="W467" s="120"/>
      <c r="X467" s="120"/>
      <c r="Y467" s="123"/>
      <c r="Z467" s="123">
        <v>3.3700000000000001E-2</v>
      </c>
      <c r="AA467" s="124">
        <v>51940</v>
      </c>
      <c r="AB467" s="120" t="s">
        <v>411</v>
      </c>
      <c r="AC467" s="120"/>
      <c r="AD467" s="122"/>
      <c r="AE467" s="123"/>
      <c r="AF467" s="124">
        <v>45108</v>
      </c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45838</v>
      </c>
      <c r="AO467" s="120"/>
      <c r="AP467" s="123"/>
      <c r="AQ467" s="122">
        <v>911763.26</v>
      </c>
      <c r="AR467" s="122">
        <v>107.69</v>
      </c>
      <c r="AS467" s="122">
        <v>1</v>
      </c>
      <c r="AT467" s="122">
        <v>981.87784999999997</v>
      </c>
      <c r="AU467" s="122">
        <v>981.87784999999997</v>
      </c>
      <c r="AV467" s="120"/>
      <c r="AW467" s="120"/>
      <c r="AX467" s="120"/>
      <c r="AY467" s="120"/>
      <c r="AZ467" s="123">
        <v>3.4099999999999999E-4</v>
      </c>
      <c r="BA467" s="123">
        <v>1.5999999999999999E-5</v>
      </c>
    </row>
    <row r="468" spans="1:53" ht="15" customHeight="1">
      <c r="A468" s="121">
        <v>313</v>
      </c>
      <c r="B468" s="121">
        <v>313</v>
      </c>
      <c r="C468" s="121"/>
      <c r="D468" s="120"/>
      <c r="E468" s="120"/>
      <c r="F468" s="121">
        <v>50001047</v>
      </c>
      <c r="G468" s="120" t="s">
        <v>1013</v>
      </c>
      <c r="H468" s="120" t="s">
        <v>2617</v>
      </c>
      <c r="I468" s="120" t="s">
        <v>203</v>
      </c>
      <c r="J468" s="120"/>
      <c r="K468" s="120" t="s">
        <v>446</v>
      </c>
      <c r="L468" s="120" t="s">
        <v>338</v>
      </c>
      <c r="M468" s="120" t="s">
        <v>337</v>
      </c>
      <c r="N468" s="121"/>
      <c r="O468" s="124">
        <v>44896</v>
      </c>
      <c r="P468" s="120" t="s">
        <v>2621</v>
      </c>
      <c r="Q468" s="120" t="s">
        <v>414</v>
      </c>
      <c r="R468" s="120" t="s">
        <v>407</v>
      </c>
      <c r="S468" s="120" t="s">
        <v>1218</v>
      </c>
      <c r="T468" s="122">
        <v>17.72</v>
      </c>
      <c r="U468" s="120" t="s">
        <v>2613</v>
      </c>
      <c r="V468" s="123">
        <v>3.4210999999999998E-2</v>
      </c>
      <c r="W468" s="120"/>
      <c r="X468" s="120"/>
      <c r="Y468" s="123"/>
      <c r="Z468" s="123">
        <v>4.0399999999999998E-2</v>
      </c>
      <c r="AA468" s="124">
        <v>52305</v>
      </c>
      <c r="AB468" s="120" t="s">
        <v>411</v>
      </c>
      <c r="AC468" s="120"/>
      <c r="AD468" s="122"/>
      <c r="AE468" s="123"/>
      <c r="AF468" s="124">
        <v>45108</v>
      </c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45838</v>
      </c>
      <c r="AO468" s="120"/>
      <c r="AP468" s="123"/>
      <c r="AQ468" s="122">
        <v>885787.34</v>
      </c>
      <c r="AR468" s="122">
        <v>98.51</v>
      </c>
      <c r="AS468" s="122">
        <v>1</v>
      </c>
      <c r="AT468" s="122">
        <v>872.58911000000001</v>
      </c>
      <c r="AU468" s="122">
        <v>872.58911000000001</v>
      </c>
      <c r="AV468" s="120"/>
      <c r="AW468" s="120"/>
      <c r="AX468" s="120"/>
      <c r="AY468" s="120"/>
      <c r="AZ468" s="123">
        <v>3.0299999999999999E-4</v>
      </c>
      <c r="BA468" s="123">
        <v>1.4E-5</v>
      </c>
    </row>
    <row r="469" spans="1:53" ht="15" customHeight="1">
      <c r="A469" s="121">
        <v>313</v>
      </c>
      <c r="B469" s="121">
        <v>313</v>
      </c>
      <c r="C469" s="121"/>
      <c r="D469" s="120"/>
      <c r="E469" s="120"/>
      <c r="F469" s="121">
        <v>50001048</v>
      </c>
      <c r="G469" s="120" t="s">
        <v>1013</v>
      </c>
      <c r="H469" s="120" t="s">
        <v>2617</v>
      </c>
      <c r="I469" s="120" t="s">
        <v>203</v>
      </c>
      <c r="J469" s="120"/>
      <c r="K469" s="120" t="s">
        <v>446</v>
      </c>
      <c r="L469" s="120" t="s">
        <v>338</v>
      </c>
      <c r="M469" s="120" t="s">
        <v>337</v>
      </c>
      <c r="N469" s="121"/>
      <c r="O469" s="124">
        <v>44943</v>
      </c>
      <c r="P469" s="120" t="s">
        <v>2621</v>
      </c>
      <c r="Q469" s="120" t="s">
        <v>414</v>
      </c>
      <c r="R469" s="120" t="s">
        <v>407</v>
      </c>
      <c r="S469" s="120" t="s">
        <v>1218</v>
      </c>
      <c r="T469" s="122">
        <v>7.96</v>
      </c>
      <c r="U469" s="120" t="s">
        <v>2613</v>
      </c>
      <c r="V469" s="123">
        <v>3.2842000000000003E-2</v>
      </c>
      <c r="W469" s="120"/>
      <c r="X469" s="120"/>
      <c r="Y469" s="123"/>
      <c r="Z469" s="123">
        <v>3.4500000000000003E-2</v>
      </c>
      <c r="AA469" s="124">
        <v>51940</v>
      </c>
      <c r="AB469" s="120" t="s">
        <v>411</v>
      </c>
      <c r="AC469" s="120"/>
      <c r="AD469" s="122"/>
      <c r="AE469" s="123"/>
      <c r="AF469" s="124">
        <v>45108</v>
      </c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45838</v>
      </c>
      <c r="AO469" s="120"/>
      <c r="AP469" s="123"/>
      <c r="AQ469" s="122">
        <v>178565.19</v>
      </c>
      <c r="AR469" s="122">
        <v>107.28</v>
      </c>
      <c r="AS469" s="122">
        <v>1</v>
      </c>
      <c r="AT469" s="122">
        <v>191.56474</v>
      </c>
      <c r="AU469" s="122">
        <v>191.56474</v>
      </c>
      <c r="AV469" s="120"/>
      <c r="AW469" s="120"/>
      <c r="AX469" s="120"/>
      <c r="AY469" s="120"/>
      <c r="AZ469" s="123">
        <v>6.6000000000000005E-5</v>
      </c>
      <c r="BA469" s="123">
        <v>3.0000000000000001E-6</v>
      </c>
    </row>
    <row r="470" spans="1:53" ht="15" customHeight="1">
      <c r="A470" s="121">
        <v>313</v>
      </c>
      <c r="B470" s="121">
        <v>313</v>
      </c>
      <c r="C470" s="121"/>
      <c r="D470" s="120"/>
      <c r="E470" s="120"/>
      <c r="F470" s="121">
        <v>50001049</v>
      </c>
      <c r="G470" s="120" t="s">
        <v>1013</v>
      </c>
      <c r="H470" s="120" t="s">
        <v>2617</v>
      </c>
      <c r="I470" s="120" t="s">
        <v>203</v>
      </c>
      <c r="J470" s="120"/>
      <c r="K470" s="120" t="s">
        <v>446</v>
      </c>
      <c r="L470" s="120" t="s">
        <v>338</v>
      </c>
      <c r="M470" s="120" t="s">
        <v>337</v>
      </c>
      <c r="N470" s="121"/>
      <c r="O470" s="124">
        <v>44943</v>
      </c>
      <c r="P470" s="120" t="s">
        <v>2621</v>
      </c>
      <c r="Q470" s="120" t="s">
        <v>414</v>
      </c>
      <c r="R470" s="120" t="s">
        <v>407</v>
      </c>
      <c r="S470" s="120" t="s">
        <v>1218</v>
      </c>
      <c r="T470" s="122">
        <v>17.72</v>
      </c>
      <c r="U470" s="120" t="s">
        <v>2613</v>
      </c>
      <c r="V470" s="123">
        <v>3.4471000000000002E-2</v>
      </c>
      <c r="W470" s="120"/>
      <c r="X470" s="120"/>
      <c r="Y470" s="123"/>
      <c r="Z470" s="123">
        <v>4.3200000000000002E-2</v>
      </c>
      <c r="AA470" s="124">
        <v>52305</v>
      </c>
      <c r="AB470" s="120" t="s">
        <v>411</v>
      </c>
      <c r="AC470" s="120"/>
      <c r="AD470" s="122"/>
      <c r="AE470" s="123"/>
      <c r="AF470" s="124">
        <v>45108</v>
      </c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45838</v>
      </c>
      <c r="AO470" s="120"/>
      <c r="AP470" s="123"/>
      <c r="AQ470" s="122">
        <v>173115.31</v>
      </c>
      <c r="AR470" s="122">
        <v>93.98</v>
      </c>
      <c r="AS470" s="122">
        <v>1</v>
      </c>
      <c r="AT470" s="122">
        <v>162.69377</v>
      </c>
      <c r="AU470" s="122">
        <v>162.69377</v>
      </c>
      <c r="AV470" s="120"/>
      <c r="AW470" s="120"/>
      <c r="AX470" s="120"/>
      <c r="AY470" s="120"/>
      <c r="AZ470" s="123">
        <v>5.5999999999999999E-5</v>
      </c>
      <c r="BA470" s="123">
        <v>1.9999999999999999E-6</v>
      </c>
    </row>
    <row r="471" spans="1:53" ht="15" customHeight="1">
      <c r="A471" s="121">
        <v>313</v>
      </c>
      <c r="B471" s="121">
        <v>313</v>
      </c>
      <c r="C471" s="121"/>
      <c r="D471" s="120"/>
      <c r="E471" s="120"/>
      <c r="F471" s="121">
        <v>50001063</v>
      </c>
      <c r="G471" s="120" t="s">
        <v>1013</v>
      </c>
      <c r="H471" s="120" t="s">
        <v>2617</v>
      </c>
      <c r="I471" s="120" t="s">
        <v>203</v>
      </c>
      <c r="J471" s="120"/>
      <c r="K471" s="120" t="s">
        <v>446</v>
      </c>
      <c r="L471" s="120" t="s">
        <v>338</v>
      </c>
      <c r="M471" s="120" t="s">
        <v>337</v>
      </c>
      <c r="N471" s="121"/>
      <c r="O471" s="124">
        <v>45148</v>
      </c>
      <c r="P471" s="120" t="s">
        <v>2621</v>
      </c>
      <c r="Q471" s="120" t="s">
        <v>414</v>
      </c>
      <c r="R471" s="120" t="s">
        <v>407</v>
      </c>
      <c r="S471" s="120" t="s">
        <v>1218</v>
      </c>
      <c r="T471" s="122">
        <v>7.82</v>
      </c>
      <c r="U471" s="120" t="s">
        <v>2613</v>
      </c>
      <c r="V471" s="123">
        <v>4.1568000000000001E-2</v>
      </c>
      <c r="W471" s="120"/>
      <c r="X471" s="120"/>
      <c r="Y471" s="123"/>
      <c r="Z471" s="123">
        <v>3.3500000000000002E-2</v>
      </c>
      <c r="AA471" s="124">
        <v>51940</v>
      </c>
      <c r="AB471" s="120" t="s">
        <v>411</v>
      </c>
      <c r="AC471" s="120"/>
      <c r="AD471" s="122"/>
      <c r="AE471" s="123"/>
      <c r="AF471" s="124">
        <v>45108</v>
      </c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45838</v>
      </c>
      <c r="AO471" s="120"/>
      <c r="AP471" s="123"/>
      <c r="AQ471" s="122">
        <v>885753.71</v>
      </c>
      <c r="AR471" s="122">
        <v>113.13</v>
      </c>
      <c r="AS471" s="122">
        <v>1</v>
      </c>
      <c r="AT471" s="122">
        <v>1002.05317</v>
      </c>
      <c r="AU471" s="122">
        <v>1002.05317</v>
      </c>
      <c r="AV471" s="120"/>
      <c r="AW471" s="120"/>
      <c r="AX471" s="120"/>
      <c r="AY471" s="120"/>
      <c r="AZ471" s="123">
        <v>3.48E-4</v>
      </c>
      <c r="BA471" s="123">
        <v>1.5999999999999999E-5</v>
      </c>
    </row>
    <row r="472" spans="1:53" ht="15" customHeight="1">
      <c r="A472" s="121">
        <v>313</v>
      </c>
      <c r="B472" s="121">
        <v>313</v>
      </c>
      <c r="C472" s="121"/>
      <c r="D472" s="120"/>
      <c r="E472" s="120"/>
      <c r="F472" s="121">
        <v>50001050</v>
      </c>
      <c r="G472" s="120" t="s">
        <v>1013</v>
      </c>
      <c r="H472" s="120" t="s">
        <v>2617</v>
      </c>
      <c r="I472" s="120" t="s">
        <v>203</v>
      </c>
      <c r="J472" s="120"/>
      <c r="K472" s="120" t="s">
        <v>446</v>
      </c>
      <c r="L472" s="120" t="s">
        <v>338</v>
      </c>
      <c r="M472" s="120" t="s">
        <v>337</v>
      </c>
      <c r="N472" s="121"/>
      <c r="O472" s="124">
        <v>44994</v>
      </c>
      <c r="P472" s="120" t="s">
        <v>2621</v>
      </c>
      <c r="Q472" s="120" t="s">
        <v>414</v>
      </c>
      <c r="R472" s="120" t="s">
        <v>407</v>
      </c>
      <c r="S472" s="120" t="s">
        <v>1218</v>
      </c>
      <c r="T472" s="122">
        <v>7.83</v>
      </c>
      <c r="U472" s="120" t="s">
        <v>2613</v>
      </c>
      <c r="V472" s="123">
        <v>4.1725999999999999E-2</v>
      </c>
      <c r="W472" s="120"/>
      <c r="X472" s="120"/>
      <c r="Y472" s="123"/>
      <c r="Z472" s="123">
        <v>3.3300000000000003E-2</v>
      </c>
      <c r="AA472" s="124">
        <v>51940</v>
      </c>
      <c r="AB472" s="120" t="s">
        <v>411</v>
      </c>
      <c r="AC472" s="120"/>
      <c r="AD472" s="122"/>
      <c r="AE472" s="123"/>
      <c r="AF472" s="124">
        <v>45108</v>
      </c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45838</v>
      </c>
      <c r="AO472" s="120"/>
      <c r="AP472" s="123"/>
      <c r="AQ472" s="122">
        <v>480402.75</v>
      </c>
      <c r="AR472" s="122">
        <v>115.59</v>
      </c>
      <c r="AS472" s="122">
        <v>1</v>
      </c>
      <c r="AT472" s="122">
        <v>555.29754000000003</v>
      </c>
      <c r="AU472" s="122">
        <v>555.29754000000003</v>
      </c>
      <c r="AV472" s="120"/>
      <c r="AW472" s="120"/>
      <c r="AX472" s="120"/>
      <c r="AY472" s="120"/>
      <c r="AZ472" s="123">
        <v>1.93E-4</v>
      </c>
      <c r="BA472" s="123">
        <v>9.0000000000000002E-6</v>
      </c>
    </row>
    <row r="473" spans="1:53" ht="15" customHeight="1">
      <c r="A473" s="121">
        <v>313</v>
      </c>
      <c r="B473" s="121">
        <v>313</v>
      </c>
      <c r="C473" s="121"/>
      <c r="D473" s="120"/>
      <c r="E473" s="120"/>
      <c r="F473" s="121">
        <v>50001055</v>
      </c>
      <c r="G473" s="120" t="s">
        <v>1013</v>
      </c>
      <c r="H473" s="120" t="s">
        <v>2617</v>
      </c>
      <c r="I473" s="120" t="s">
        <v>203</v>
      </c>
      <c r="J473" s="120"/>
      <c r="K473" s="120" t="s">
        <v>446</v>
      </c>
      <c r="L473" s="120" t="s">
        <v>338</v>
      </c>
      <c r="M473" s="120" t="s">
        <v>337</v>
      </c>
      <c r="N473" s="121"/>
      <c r="O473" s="124">
        <v>45034</v>
      </c>
      <c r="P473" s="120" t="s">
        <v>2621</v>
      </c>
      <c r="Q473" s="120" t="s">
        <v>414</v>
      </c>
      <c r="R473" s="120" t="s">
        <v>407</v>
      </c>
      <c r="S473" s="120" t="s">
        <v>1218</v>
      </c>
      <c r="T473" s="122">
        <v>7.87</v>
      </c>
      <c r="U473" s="120" t="s">
        <v>2613</v>
      </c>
      <c r="V473" s="123">
        <v>3.9663999999999998E-2</v>
      </c>
      <c r="W473" s="120"/>
      <c r="X473" s="120"/>
      <c r="Y473" s="123"/>
      <c r="Z473" s="123">
        <v>3.3000000000000002E-2</v>
      </c>
      <c r="AA473" s="124">
        <v>51940</v>
      </c>
      <c r="AB473" s="120" t="s">
        <v>411</v>
      </c>
      <c r="AC473" s="120"/>
      <c r="AD473" s="122"/>
      <c r="AE473" s="123"/>
      <c r="AF473" s="124">
        <v>45108</v>
      </c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45838</v>
      </c>
      <c r="AO473" s="120"/>
      <c r="AP473" s="123"/>
      <c r="AQ473" s="122">
        <v>263225.76</v>
      </c>
      <c r="AR473" s="122">
        <v>113.04</v>
      </c>
      <c r="AS473" s="122">
        <v>1</v>
      </c>
      <c r="AT473" s="122">
        <v>297.55040000000002</v>
      </c>
      <c r="AU473" s="122">
        <v>297.55040000000002</v>
      </c>
      <c r="AV473" s="120"/>
      <c r="AW473" s="120"/>
      <c r="AX473" s="120"/>
      <c r="AY473" s="120"/>
      <c r="AZ473" s="123">
        <v>1.03E-4</v>
      </c>
      <c r="BA473" s="123">
        <v>3.9999999999999998E-6</v>
      </c>
    </row>
    <row r="474" spans="1:53" ht="15" customHeight="1">
      <c r="A474" s="121">
        <v>313</v>
      </c>
      <c r="B474" s="121">
        <v>313</v>
      </c>
      <c r="C474" s="121"/>
      <c r="D474" s="120"/>
      <c r="E474" s="120"/>
      <c r="F474" s="121">
        <v>50001056</v>
      </c>
      <c r="G474" s="120" t="s">
        <v>1013</v>
      </c>
      <c r="H474" s="120" t="s">
        <v>2617</v>
      </c>
      <c r="I474" s="120" t="s">
        <v>203</v>
      </c>
      <c r="J474" s="120"/>
      <c r="K474" s="120" t="s">
        <v>446</v>
      </c>
      <c r="L474" s="120" t="s">
        <v>338</v>
      </c>
      <c r="M474" s="120" t="s">
        <v>337</v>
      </c>
      <c r="N474" s="121"/>
      <c r="O474" s="124">
        <v>45034</v>
      </c>
      <c r="P474" s="120" t="s">
        <v>2621</v>
      </c>
      <c r="Q474" s="120" t="s">
        <v>414</v>
      </c>
      <c r="R474" s="120" t="s">
        <v>407</v>
      </c>
      <c r="S474" s="120" t="s">
        <v>1218</v>
      </c>
      <c r="T474" s="122">
        <v>17.72</v>
      </c>
      <c r="U474" s="120" t="s">
        <v>2613</v>
      </c>
      <c r="V474" s="123">
        <v>4.0836999999999998E-2</v>
      </c>
      <c r="W474" s="120"/>
      <c r="X474" s="120"/>
      <c r="Y474" s="123"/>
      <c r="Z474" s="123">
        <v>4.2700000000000002E-2</v>
      </c>
      <c r="AA474" s="124">
        <v>52305</v>
      </c>
      <c r="AB474" s="120" t="s">
        <v>411</v>
      </c>
      <c r="AC474" s="120"/>
      <c r="AD474" s="122"/>
      <c r="AE474" s="123"/>
      <c r="AF474" s="124">
        <v>45108</v>
      </c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45838</v>
      </c>
      <c r="AO474" s="120"/>
      <c r="AP474" s="123"/>
      <c r="AQ474" s="122">
        <v>258304.46</v>
      </c>
      <c r="AR474" s="122">
        <v>104.75</v>
      </c>
      <c r="AS474" s="122">
        <v>1</v>
      </c>
      <c r="AT474" s="122">
        <v>270.57391999999999</v>
      </c>
      <c r="AU474" s="122">
        <v>270.57391999999999</v>
      </c>
      <c r="AV474" s="120"/>
      <c r="AW474" s="120"/>
      <c r="AX474" s="120"/>
      <c r="AY474" s="120"/>
      <c r="AZ474" s="123">
        <v>9.3999999999999994E-5</v>
      </c>
      <c r="BA474" s="123">
        <v>3.9999999999999998E-6</v>
      </c>
    </row>
    <row r="475" spans="1:53" ht="15" customHeight="1">
      <c r="A475" s="121">
        <v>313</v>
      </c>
      <c r="B475" s="121">
        <v>313</v>
      </c>
      <c r="C475" s="121"/>
      <c r="D475" s="120"/>
      <c r="E475" s="120"/>
      <c r="F475" s="121">
        <v>50001057</v>
      </c>
      <c r="G475" s="120" t="s">
        <v>1013</v>
      </c>
      <c r="H475" s="120" t="s">
        <v>2617</v>
      </c>
      <c r="I475" s="120" t="s">
        <v>203</v>
      </c>
      <c r="J475" s="120"/>
      <c r="K475" s="120" t="s">
        <v>446</v>
      </c>
      <c r="L475" s="120" t="s">
        <v>338</v>
      </c>
      <c r="M475" s="120" t="s">
        <v>337</v>
      </c>
      <c r="N475" s="121"/>
      <c r="O475" s="124">
        <v>45095</v>
      </c>
      <c r="P475" s="120" t="s">
        <v>2621</v>
      </c>
      <c r="Q475" s="120" t="s">
        <v>414</v>
      </c>
      <c r="R475" s="120" t="s">
        <v>407</v>
      </c>
      <c r="S475" s="120" t="s">
        <v>1218</v>
      </c>
      <c r="T475" s="122">
        <v>7.83</v>
      </c>
      <c r="U475" s="120" t="s">
        <v>2613</v>
      </c>
      <c r="V475" s="123">
        <v>4.1367000000000001E-2</v>
      </c>
      <c r="W475" s="120"/>
      <c r="X475" s="120"/>
      <c r="Y475" s="123"/>
      <c r="Z475" s="123">
        <v>3.3399999999999999E-2</v>
      </c>
      <c r="AA475" s="124">
        <v>51940</v>
      </c>
      <c r="AB475" s="120" t="s">
        <v>411</v>
      </c>
      <c r="AC475" s="120"/>
      <c r="AD475" s="122"/>
      <c r="AE475" s="123"/>
      <c r="AF475" s="124">
        <v>45108</v>
      </c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45838</v>
      </c>
      <c r="AO475" s="120"/>
      <c r="AP475" s="123"/>
      <c r="AQ475" s="122">
        <v>388197.8</v>
      </c>
      <c r="AR475" s="122">
        <v>113.05</v>
      </c>
      <c r="AS475" s="122">
        <v>1</v>
      </c>
      <c r="AT475" s="122">
        <v>438.85761000000002</v>
      </c>
      <c r="AU475" s="122">
        <v>438.85761000000002</v>
      </c>
      <c r="AV475" s="120"/>
      <c r="AW475" s="120"/>
      <c r="AX475" s="120"/>
      <c r="AY475" s="120"/>
      <c r="AZ475" s="123">
        <v>1.5200000000000001E-4</v>
      </c>
      <c r="BA475" s="123">
        <v>6.9999999999999999E-6</v>
      </c>
    </row>
    <row r="476" spans="1:53" ht="15" customHeight="1">
      <c r="A476" s="121">
        <v>313</v>
      </c>
      <c r="B476" s="121">
        <v>313</v>
      </c>
      <c r="C476" s="121"/>
      <c r="D476" s="120"/>
      <c r="E476" s="120"/>
      <c r="F476" s="121">
        <v>50001058</v>
      </c>
      <c r="G476" s="120" t="s">
        <v>1013</v>
      </c>
      <c r="H476" s="120" t="s">
        <v>2617</v>
      </c>
      <c r="I476" s="120" t="s">
        <v>203</v>
      </c>
      <c r="J476" s="120"/>
      <c r="K476" s="120" t="s">
        <v>446</v>
      </c>
      <c r="L476" s="120" t="s">
        <v>338</v>
      </c>
      <c r="M476" s="120" t="s">
        <v>337</v>
      </c>
      <c r="N476" s="121"/>
      <c r="O476" s="124">
        <v>45095</v>
      </c>
      <c r="P476" s="120" t="s">
        <v>2621</v>
      </c>
      <c r="Q476" s="120" t="s">
        <v>414</v>
      </c>
      <c r="R476" s="120" t="s">
        <v>407</v>
      </c>
      <c r="S476" s="120" t="s">
        <v>1218</v>
      </c>
      <c r="T476" s="122">
        <v>17.72</v>
      </c>
      <c r="U476" s="120" t="s">
        <v>2613</v>
      </c>
      <c r="V476" s="123">
        <v>4.2514000000000003E-2</v>
      </c>
      <c r="W476" s="120"/>
      <c r="X476" s="120"/>
      <c r="Y476" s="123"/>
      <c r="Z476" s="123">
        <v>4.4400000000000002E-2</v>
      </c>
      <c r="AA476" s="124">
        <v>52305</v>
      </c>
      <c r="AB476" s="120" t="s">
        <v>411</v>
      </c>
      <c r="AC476" s="120"/>
      <c r="AD476" s="122"/>
      <c r="AE476" s="123"/>
      <c r="AF476" s="124">
        <v>45108</v>
      </c>
      <c r="AG476" s="120"/>
      <c r="AH476" s="120"/>
      <c r="AI476" s="120"/>
      <c r="AJ476" s="120" t="s">
        <v>337</v>
      </c>
      <c r="AK476" s="120" t="s">
        <v>887</v>
      </c>
      <c r="AL476" s="120"/>
      <c r="AM476" s="120" t="s">
        <v>890</v>
      </c>
      <c r="AN476" s="124">
        <v>45838</v>
      </c>
      <c r="AO476" s="120"/>
      <c r="AP476" s="123"/>
      <c r="AQ476" s="122">
        <v>376981.15</v>
      </c>
      <c r="AR476" s="122">
        <v>103.83</v>
      </c>
      <c r="AS476" s="122">
        <v>1</v>
      </c>
      <c r="AT476" s="122">
        <v>391.41953000000001</v>
      </c>
      <c r="AU476" s="122">
        <v>391.41953000000001</v>
      </c>
      <c r="AV476" s="120"/>
      <c r="AW476" s="120"/>
      <c r="AX476" s="120"/>
      <c r="AY476" s="120"/>
      <c r="AZ476" s="123">
        <v>1.36E-4</v>
      </c>
      <c r="BA476" s="123">
        <v>6.0000000000000002E-6</v>
      </c>
    </row>
    <row r="477" spans="1:53" ht="15" customHeight="1">
      <c r="A477" s="121">
        <v>313</v>
      </c>
      <c r="B477" s="121">
        <v>313</v>
      </c>
      <c r="C477" s="121"/>
      <c r="D477" s="120"/>
      <c r="E477" s="120"/>
      <c r="F477" s="121">
        <v>50001059</v>
      </c>
      <c r="G477" s="120" t="s">
        <v>1013</v>
      </c>
      <c r="H477" s="120" t="s">
        <v>2617</v>
      </c>
      <c r="I477" s="120" t="s">
        <v>203</v>
      </c>
      <c r="J477" s="120"/>
      <c r="K477" s="120" t="s">
        <v>446</v>
      </c>
      <c r="L477" s="120" t="s">
        <v>338</v>
      </c>
      <c r="M477" s="120" t="s">
        <v>337</v>
      </c>
      <c r="N477" s="121"/>
      <c r="O477" s="124">
        <v>45124</v>
      </c>
      <c r="P477" s="120" t="s">
        <v>2621</v>
      </c>
      <c r="Q477" s="120" t="s">
        <v>414</v>
      </c>
      <c r="R477" s="120" t="s">
        <v>407</v>
      </c>
      <c r="S477" s="120" t="s">
        <v>1218</v>
      </c>
      <c r="T477" s="122">
        <v>7.83</v>
      </c>
      <c r="U477" s="120" t="s">
        <v>2613</v>
      </c>
      <c r="V477" s="123">
        <v>4.0876999999999997E-2</v>
      </c>
      <c r="W477" s="120"/>
      <c r="X477" s="120"/>
      <c r="Y477" s="123"/>
      <c r="Z477" s="123">
        <v>3.4000000000000002E-2</v>
      </c>
      <c r="AA477" s="124">
        <v>51940</v>
      </c>
      <c r="AB477" s="120" t="s">
        <v>411</v>
      </c>
      <c r="AC477" s="120"/>
      <c r="AD477" s="122"/>
      <c r="AE477" s="123"/>
      <c r="AF477" s="124">
        <v>45108</v>
      </c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45838</v>
      </c>
      <c r="AO477" s="120"/>
      <c r="AP477" s="123"/>
      <c r="AQ477" s="122">
        <v>87094.74</v>
      </c>
      <c r="AR477" s="122">
        <v>112.2</v>
      </c>
      <c r="AS477" s="122">
        <v>1</v>
      </c>
      <c r="AT477" s="122">
        <v>97.720299999999995</v>
      </c>
      <c r="AU477" s="122">
        <v>97.720299999999995</v>
      </c>
      <c r="AV477" s="120"/>
      <c r="AW477" s="120"/>
      <c r="AX477" s="120"/>
      <c r="AY477" s="120"/>
      <c r="AZ477" s="123">
        <v>3.4E-5</v>
      </c>
      <c r="BA477" s="123">
        <v>9.9999999999999995E-7</v>
      </c>
    </row>
    <row r="478" spans="1:53" ht="15" customHeight="1">
      <c r="A478" s="121">
        <v>313</v>
      </c>
      <c r="B478" s="121">
        <v>313</v>
      </c>
      <c r="C478" s="121"/>
      <c r="D478" s="120"/>
      <c r="E478" s="120"/>
      <c r="F478" s="121">
        <v>50001051</v>
      </c>
      <c r="G478" s="120" t="s">
        <v>1013</v>
      </c>
      <c r="H478" s="120" t="s">
        <v>2617</v>
      </c>
      <c r="I478" s="120" t="s">
        <v>203</v>
      </c>
      <c r="J478" s="120"/>
      <c r="K478" s="120" t="s">
        <v>446</v>
      </c>
      <c r="L478" s="120" t="s">
        <v>338</v>
      </c>
      <c r="M478" s="120" t="s">
        <v>337</v>
      </c>
      <c r="N478" s="121"/>
      <c r="O478" s="124">
        <v>44994</v>
      </c>
      <c r="P478" s="120" t="s">
        <v>2621</v>
      </c>
      <c r="Q478" s="120" t="s">
        <v>414</v>
      </c>
      <c r="R478" s="120" t="s">
        <v>407</v>
      </c>
      <c r="S478" s="120" t="s">
        <v>1218</v>
      </c>
      <c r="T478" s="122">
        <v>17.72</v>
      </c>
      <c r="U478" s="120" t="s">
        <v>2613</v>
      </c>
      <c r="V478" s="123">
        <v>4.1561000000000001E-2</v>
      </c>
      <c r="W478" s="120"/>
      <c r="X478" s="120"/>
      <c r="Y478" s="123"/>
      <c r="Z478" s="123">
        <v>4.3400000000000001E-2</v>
      </c>
      <c r="AA478" s="124">
        <v>52305</v>
      </c>
      <c r="AB478" s="120" t="s">
        <v>411</v>
      </c>
      <c r="AC478" s="120"/>
      <c r="AD478" s="122"/>
      <c r="AE478" s="123"/>
      <c r="AF478" s="124">
        <v>45108</v>
      </c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45838</v>
      </c>
      <c r="AO478" s="120"/>
      <c r="AP478" s="123"/>
      <c r="AQ478" s="122">
        <v>471000.51</v>
      </c>
      <c r="AR478" s="122">
        <v>105.78</v>
      </c>
      <c r="AS478" s="122">
        <v>1</v>
      </c>
      <c r="AT478" s="122">
        <v>498.22433999999998</v>
      </c>
      <c r="AU478" s="122">
        <v>498.22433999999998</v>
      </c>
      <c r="AV478" s="120"/>
      <c r="AW478" s="120"/>
      <c r="AX478" s="120"/>
      <c r="AY478" s="120"/>
      <c r="AZ478" s="123">
        <v>1.73E-4</v>
      </c>
      <c r="BA478" s="123">
        <v>7.9999999999999996E-6</v>
      </c>
    </row>
    <row r="479" spans="1:53" ht="15" customHeight="1">
      <c r="A479" s="121">
        <v>313</v>
      </c>
      <c r="B479" s="121">
        <v>313</v>
      </c>
      <c r="C479" s="121"/>
      <c r="D479" s="120"/>
      <c r="E479" s="120"/>
      <c r="F479" s="121">
        <v>50001042</v>
      </c>
      <c r="G479" s="120" t="s">
        <v>1013</v>
      </c>
      <c r="H479" s="120" t="s">
        <v>2617</v>
      </c>
      <c r="I479" s="120" t="s">
        <v>203</v>
      </c>
      <c r="J479" s="120"/>
      <c r="K479" s="120" t="s">
        <v>446</v>
      </c>
      <c r="L479" s="120" t="s">
        <v>338</v>
      </c>
      <c r="M479" s="120" t="s">
        <v>337</v>
      </c>
      <c r="N479" s="121"/>
      <c r="O479" s="124">
        <v>44769</v>
      </c>
      <c r="P479" s="120" t="s">
        <v>2621</v>
      </c>
      <c r="Q479" s="120" t="s">
        <v>414</v>
      </c>
      <c r="R479" s="120" t="s">
        <v>407</v>
      </c>
      <c r="S479" s="120" t="s">
        <v>1218</v>
      </c>
      <c r="T479" s="122">
        <v>8.06</v>
      </c>
      <c r="U479" s="120" t="s">
        <v>2613</v>
      </c>
      <c r="V479" s="123">
        <v>2.8302000000000001E-2</v>
      </c>
      <c r="W479" s="120"/>
      <c r="X479" s="120"/>
      <c r="Y479" s="123"/>
      <c r="Z479" s="123">
        <v>3.44E-2</v>
      </c>
      <c r="AA479" s="124">
        <v>51940</v>
      </c>
      <c r="AB479" s="120" t="s">
        <v>411</v>
      </c>
      <c r="AC479" s="120"/>
      <c r="AD479" s="122"/>
      <c r="AE479" s="123"/>
      <c r="AF479" s="124">
        <v>45108</v>
      </c>
      <c r="AG479" s="120"/>
      <c r="AH479" s="120"/>
      <c r="AI479" s="120"/>
      <c r="AJ479" s="120" t="s">
        <v>337</v>
      </c>
      <c r="AK479" s="120" t="s">
        <v>887</v>
      </c>
      <c r="AL479" s="120"/>
      <c r="AM479" s="120" t="s">
        <v>890</v>
      </c>
      <c r="AN479" s="124">
        <v>45838</v>
      </c>
      <c r="AO479" s="120"/>
      <c r="AP479" s="123"/>
      <c r="AQ479" s="122">
        <v>201083.15</v>
      </c>
      <c r="AR479" s="122">
        <v>105.57</v>
      </c>
      <c r="AS479" s="122">
        <v>1</v>
      </c>
      <c r="AT479" s="122">
        <v>212.28348</v>
      </c>
      <c r="AU479" s="122">
        <v>212.28348</v>
      </c>
      <c r="AV479" s="120"/>
      <c r="AW479" s="120"/>
      <c r="AX479" s="120"/>
      <c r="AY479" s="120"/>
      <c r="AZ479" s="123">
        <v>7.2999999999999999E-5</v>
      </c>
      <c r="BA479" s="123">
        <v>3.0000000000000001E-6</v>
      </c>
    </row>
    <row r="480" spans="1:53" ht="15" customHeight="1">
      <c r="A480" s="121">
        <v>313</v>
      </c>
      <c r="B480" s="121">
        <v>313</v>
      </c>
      <c r="C480" s="121"/>
      <c r="D480" s="120"/>
      <c r="E480" s="120"/>
      <c r="F480" s="121">
        <v>54080</v>
      </c>
      <c r="G480" s="120" t="s">
        <v>1013</v>
      </c>
      <c r="H480" s="120" t="s">
        <v>812</v>
      </c>
      <c r="I480" s="120" t="s">
        <v>203</v>
      </c>
      <c r="J480" s="120"/>
      <c r="K480" s="120" t="s">
        <v>484</v>
      </c>
      <c r="L480" s="120" t="s">
        <v>338</v>
      </c>
      <c r="M480" s="120" t="s">
        <v>337</v>
      </c>
      <c r="N480" s="121"/>
      <c r="O480" s="124">
        <v>41787</v>
      </c>
      <c r="P480" s="120" t="s">
        <v>1285</v>
      </c>
      <c r="Q480" s="120" t="s">
        <v>412</v>
      </c>
      <c r="R480" s="120" t="s">
        <v>407</v>
      </c>
      <c r="S480" s="120" t="s">
        <v>1218</v>
      </c>
      <c r="T480" s="122">
        <v>3.07</v>
      </c>
      <c r="U480" s="120" t="s">
        <v>2613</v>
      </c>
      <c r="V480" s="123">
        <v>5.5E-2</v>
      </c>
      <c r="W480" s="120"/>
      <c r="X480" s="120"/>
      <c r="Y480" s="123"/>
      <c r="Z480" s="123">
        <v>2.98E-2</v>
      </c>
      <c r="AA480" s="124">
        <v>47986</v>
      </c>
      <c r="AB480" s="120" t="s">
        <v>411</v>
      </c>
      <c r="AC480" s="120"/>
      <c r="AD480" s="122"/>
      <c r="AE480" s="123"/>
      <c r="AF480" s="124"/>
      <c r="AG480" s="120"/>
      <c r="AH480" s="120"/>
      <c r="AI480" s="120"/>
      <c r="AJ480" s="120" t="s">
        <v>337</v>
      </c>
      <c r="AK480" s="120" t="s">
        <v>887</v>
      </c>
      <c r="AL480" s="120"/>
      <c r="AM480" s="120" t="s">
        <v>890</v>
      </c>
      <c r="AN480" s="124">
        <v>45838</v>
      </c>
      <c r="AO480" s="120"/>
      <c r="AP480" s="123"/>
      <c r="AQ480" s="122">
        <v>338265.83</v>
      </c>
      <c r="AR480" s="122">
        <v>125.57</v>
      </c>
      <c r="AS480" s="122">
        <v>1</v>
      </c>
      <c r="AT480" s="122">
        <v>424.7604</v>
      </c>
      <c r="AU480" s="122">
        <v>424.7604</v>
      </c>
      <c r="AV480" s="120"/>
      <c r="AW480" s="120"/>
      <c r="AX480" s="120"/>
      <c r="AY480" s="120"/>
      <c r="AZ480" s="123">
        <v>1.47E-4</v>
      </c>
      <c r="BA480" s="123">
        <v>6.9999999999999999E-6</v>
      </c>
    </row>
    <row r="481" spans="1:53" ht="15" customHeight="1">
      <c r="A481" s="121">
        <v>313</v>
      </c>
      <c r="B481" s="121">
        <v>313</v>
      </c>
      <c r="C481" s="121"/>
      <c r="D481" s="120"/>
      <c r="E481" s="120"/>
      <c r="F481" s="121">
        <v>54106</v>
      </c>
      <c r="G481" s="120" t="s">
        <v>1013</v>
      </c>
      <c r="H481" s="120" t="s">
        <v>812</v>
      </c>
      <c r="I481" s="120" t="s">
        <v>203</v>
      </c>
      <c r="J481" s="120"/>
      <c r="K481" s="120" t="s">
        <v>484</v>
      </c>
      <c r="L481" s="120" t="s">
        <v>338</v>
      </c>
      <c r="M481" s="120" t="s">
        <v>337</v>
      </c>
      <c r="N481" s="121"/>
      <c r="O481" s="124">
        <v>41836</v>
      </c>
      <c r="P481" s="120" t="s">
        <v>1285</v>
      </c>
      <c r="Q481" s="120" t="s">
        <v>412</v>
      </c>
      <c r="R481" s="120" t="s">
        <v>407</v>
      </c>
      <c r="S481" s="120" t="s">
        <v>1218</v>
      </c>
      <c r="T481" s="122">
        <v>3.07</v>
      </c>
      <c r="U481" s="120" t="s">
        <v>2613</v>
      </c>
      <c r="V481" s="123">
        <v>5.5E-2</v>
      </c>
      <c r="W481" s="120"/>
      <c r="X481" s="120"/>
      <c r="Y481" s="123"/>
      <c r="Z481" s="123">
        <v>2.98E-2</v>
      </c>
      <c r="AA481" s="124">
        <v>47986</v>
      </c>
      <c r="AB481" s="120" t="s">
        <v>411</v>
      </c>
      <c r="AC481" s="120"/>
      <c r="AD481" s="122"/>
      <c r="AE481" s="123"/>
      <c r="AF481" s="124"/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45838</v>
      </c>
      <c r="AO481" s="120"/>
      <c r="AP481" s="123"/>
      <c r="AQ481" s="122">
        <v>566166.6</v>
      </c>
      <c r="AR481" s="122">
        <v>125.08</v>
      </c>
      <c r="AS481" s="122">
        <v>1</v>
      </c>
      <c r="AT481" s="122">
        <v>708.16117999999994</v>
      </c>
      <c r="AU481" s="122">
        <v>708.16117999999994</v>
      </c>
      <c r="AV481" s="120"/>
      <c r="AW481" s="120"/>
      <c r="AX481" s="120"/>
      <c r="AY481" s="120"/>
      <c r="AZ481" s="123">
        <v>2.4600000000000002E-4</v>
      </c>
      <c r="BA481" s="123">
        <v>1.1E-5</v>
      </c>
    </row>
    <row r="482" spans="1:53" ht="15" customHeight="1">
      <c r="A482" s="121">
        <v>313</v>
      </c>
      <c r="B482" s="121">
        <v>313</v>
      </c>
      <c r="C482" s="121"/>
      <c r="D482" s="120"/>
      <c r="E482" s="120"/>
      <c r="F482" s="121">
        <v>5678011</v>
      </c>
      <c r="G482" s="120" t="s">
        <v>1013</v>
      </c>
      <c r="H482" s="120" t="s">
        <v>818</v>
      </c>
      <c r="I482" s="120" t="s">
        <v>203</v>
      </c>
      <c r="J482" s="120"/>
      <c r="K482" s="120" t="s">
        <v>442</v>
      </c>
      <c r="L482" s="120" t="s">
        <v>338</v>
      </c>
      <c r="M482" s="120" t="s">
        <v>338</v>
      </c>
      <c r="N482" s="121"/>
      <c r="O482" s="124">
        <v>45796</v>
      </c>
      <c r="P482" s="120" t="s">
        <v>1331</v>
      </c>
      <c r="Q482" s="120" t="s">
        <v>414</v>
      </c>
      <c r="R482" s="120" t="s">
        <v>407</v>
      </c>
      <c r="S482" s="120" t="s">
        <v>1218</v>
      </c>
      <c r="T482" s="122">
        <v>1.71</v>
      </c>
      <c r="U482" s="120" t="s">
        <v>2613</v>
      </c>
      <c r="V482" s="123">
        <v>5.6561E-2</v>
      </c>
      <c r="W482" s="120"/>
      <c r="X482" s="120"/>
      <c r="Y482" s="123"/>
      <c r="Z482" s="123">
        <v>5.21E-2</v>
      </c>
      <c r="AA482" s="124">
        <v>46490</v>
      </c>
      <c r="AB482" s="120" t="s">
        <v>411</v>
      </c>
      <c r="AC482" s="120"/>
      <c r="AD482" s="122"/>
      <c r="AE482" s="123"/>
      <c r="AF482" s="124"/>
      <c r="AG482" s="120"/>
      <c r="AH482" s="120"/>
      <c r="AI482" s="120"/>
      <c r="AJ482" s="120" t="s">
        <v>338</v>
      </c>
      <c r="AK482" s="120" t="s">
        <v>887</v>
      </c>
      <c r="AL482" s="120"/>
      <c r="AM482" s="120" t="s">
        <v>890</v>
      </c>
      <c r="AN482" s="124">
        <v>45838</v>
      </c>
      <c r="AO482" s="120"/>
      <c r="AP482" s="123"/>
      <c r="AQ482" s="122">
        <v>2624469.5099999998</v>
      </c>
      <c r="AR482" s="122">
        <v>100.74</v>
      </c>
      <c r="AS482" s="122">
        <v>1</v>
      </c>
      <c r="AT482" s="122">
        <v>2643.8905800000002</v>
      </c>
      <c r="AU482" s="122">
        <v>2643.8905800000002</v>
      </c>
      <c r="AV482" s="120"/>
      <c r="AW482" s="120"/>
      <c r="AX482" s="120"/>
      <c r="AY482" s="120"/>
      <c r="AZ482" s="123">
        <v>9.2000000000000003E-4</v>
      </c>
      <c r="BA482" s="123">
        <v>4.3999999999999999E-5</v>
      </c>
    </row>
    <row r="483" spans="1:53" ht="15" customHeight="1">
      <c r="A483" s="121">
        <v>313</v>
      </c>
      <c r="B483" s="121">
        <v>313</v>
      </c>
      <c r="C483" s="121"/>
      <c r="D483" s="120"/>
      <c r="E483" s="120"/>
      <c r="F483" s="121">
        <v>5678102</v>
      </c>
      <c r="G483" s="120" t="s">
        <v>1013</v>
      </c>
      <c r="H483" s="120" t="s">
        <v>812</v>
      </c>
      <c r="I483" s="120" t="s">
        <v>203</v>
      </c>
      <c r="J483" s="120"/>
      <c r="K483" s="120" t="s">
        <v>454</v>
      </c>
      <c r="L483" s="120" t="s">
        <v>338</v>
      </c>
      <c r="M483" s="120" t="s">
        <v>337</v>
      </c>
      <c r="N483" s="121"/>
      <c r="O483" s="124">
        <v>45442</v>
      </c>
      <c r="P483" s="120" t="s">
        <v>1331</v>
      </c>
      <c r="Q483" s="120" t="s">
        <v>414</v>
      </c>
      <c r="R483" s="120" t="s">
        <v>407</v>
      </c>
      <c r="S483" s="120" t="s">
        <v>1218</v>
      </c>
      <c r="T483" s="122">
        <v>7.84</v>
      </c>
      <c r="U483" s="120" t="s">
        <v>2613</v>
      </c>
      <c r="V483" s="123">
        <v>4.4484999999999997E-2</v>
      </c>
      <c r="W483" s="120"/>
      <c r="X483" s="120"/>
      <c r="Y483" s="123"/>
      <c r="Z483" s="123">
        <v>3.7199999999999997E-2</v>
      </c>
      <c r="AA483" s="124">
        <v>52568</v>
      </c>
      <c r="AB483" s="120" t="s">
        <v>411</v>
      </c>
      <c r="AC483" s="120"/>
      <c r="AD483" s="122"/>
      <c r="AE483" s="123"/>
      <c r="AF483" s="124"/>
      <c r="AG483" s="120"/>
      <c r="AH483" s="120"/>
      <c r="AI483" s="120"/>
      <c r="AJ483" s="120" t="s">
        <v>337</v>
      </c>
      <c r="AK483" s="120" t="s">
        <v>887</v>
      </c>
      <c r="AL483" s="120"/>
      <c r="AM483" s="120" t="s">
        <v>890</v>
      </c>
      <c r="AN483" s="124">
        <v>45838</v>
      </c>
      <c r="AO483" s="120"/>
      <c r="AP483" s="123"/>
      <c r="AQ483" s="122">
        <v>160986218.36000001</v>
      </c>
      <c r="AR483" s="122">
        <v>109.66</v>
      </c>
      <c r="AS483" s="122">
        <v>1</v>
      </c>
      <c r="AT483" s="122">
        <v>176537.48705</v>
      </c>
      <c r="AU483" s="122">
        <v>176537.48705</v>
      </c>
      <c r="AV483" s="120"/>
      <c r="AW483" s="120"/>
      <c r="AX483" s="120"/>
      <c r="AY483" s="120"/>
      <c r="AZ483" s="123">
        <v>6.1484999999999998E-2</v>
      </c>
      <c r="BA483" s="123">
        <v>2.9399999999999999E-3</v>
      </c>
    </row>
    <row r="484" spans="1:53" ht="15" customHeight="1">
      <c r="A484" s="121">
        <v>313</v>
      </c>
      <c r="B484" s="121">
        <v>313</v>
      </c>
      <c r="C484" s="121"/>
      <c r="D484" s="120"/>
      <c r="E484" s="120"/>
      <c r="F484" s="121">
        <v>5678211</v>
      </c>
      <c r="G484" s="120" t="s">
        <v>1013</v>
      </c>
      <c r="H484" s="120" t="s">
        <v>785</v>
      </c>
      <c r="I484" s="120" t="s">
        <v>203</v>
      </c>
      <c r="J484" s="120"/>
      <c r="K484" s="120" t="s">
        <v>463</v>
      </c>
      <c r="L484" s="120" t="s">
        <v>338</v>
      </c>
      <c r="M484" s="120" t="s">
        <v>338</v>
      </c>
      <c r="N484" s="121"/>
      <c r="O484" s="124">
        <v>45652</v>
      </c>
      <c r="P484" s="120" t="s">
        <v>409</v>
      </c>
      <c r="Q484" s="120" t="s">
        <v>409</v>
      </c>
      <c r="R484" s="120" t="s">
        <v>409</v>
      </c>
      <c r="S484" s="120" t="s">
        <v>1218</v>
      </c>
      <c r="T484" s="122">
        <v>9.86</v>
      </c>
      <c r="U484" s="120" t="s">
        <v>2613</v>
      </c>
      <c r="V484" s="123">
        <v>4.2999999999999997E-2</v>
      </c>
      <c r="W484" s="120"/>
      <c r="X484" s="120"/>
      <c r="Y484" s="123"/>
      <c r="Z484" s="123">
        <v>4.1599999999999998E-2</v>
      </c>
      <c r="AA484" s="124">
        <v>54142</v>
      </c>
      <c r="AB484" s="120" t="s">
        <v>411</v>
      </c>
      <c r="AC484" s="120"/>
      <c r="AD484" s="122"/>
      <c r="AE484" s="123"/>
      <c r="AF484" s="124"/>
      <c r="AG484" s="120"/>
      <c r="AH484" s="120"/>
      <c r="AI484" s="120"/>
      <c r="AJ484" s="120" t="s">
        <v>338</v>
      </c>
      <c r="AK484" s="120" t="s">
        <v>887</v>
      </c>
      <c r="AL484" s="120"/>
      <c r="AM484" s="120" t="s">
        <v>890</v>
      </c>
      <c r="AN484" s="124">
        <v>45838</v>
      </c>
      <c r="AO484" s="120"/>
      <c r="AP484" s="123"/>
      <c r="AQ484" s="122">
        <v>14588955.43</v>
      </c>
      <c r="AR484" s="122">
        <v>103.63</v>
      </c>
      <c r="AS484" s="122">
        <v>1</v>
      </c>
      <c r="AT484" s="122">
        <v>15118.534509999999</v>
      </c>
      <c r="AU484" s="122">
        <v>15118.534509999999</v>
      </c>
      <c r="AV484" s="120"/>
      <c r="AW484" s="120"/>
      <c r="AX484" s="120"/>
      <c r="AY484" s="120"/>
      <c r="AZ484" s="123">
        <v>5.2649999999999997E-3</v>
      </c>
      <c r="BA484" s="123">
        <v>2.5099999999999998E-4</v>
      </c>
    </row>
    <row r="485" spans="1:53" ht="15" customHeight="1">
      <c r="A485" s="121">
        <v>313</v>
      </c>
      <c r="B485" s="121">
        <v>313</v>
      </c>
      <c r="C485" s="121"/>
      <c r="D485" s="120"/>
      <c r="E485" s="120"/>
      <c r="F485" s="121">
        <v>5678212</v>
      </c>
      <c r="G485" s="120" t="s">
        <v>1013</v>
      </c>
      <c r="H485" s="120" t="s">
        <v>785</v>
      </c>
      <c r="I485" s="120" t="s">
        <v>203</v>
      </c>
      <c r="J485" s="120"/>
      <c r="K485" s="120" t="s">
        <v>463</v>
      </c>
      <c r="L485" s="120" t="s">
        <v>338</v>
      </c>
      <c r="M485" s="120" t="s">
        <v>338</v>
      </c>
      <c r="N485" s="121"/>
      <c r="O485" s="124">
        <v>45832</v>
      </c>
      <c r="P485" s="120" t="s">
        <v>409</v>
      </c>
      <c r="Q485" s="120" t="s">
        <v>409</v>
      </c>
      <c r="R485" s="120" t="s">
        <v>409</v>
      </c>
      <c r="S485" s="120" t="s">
        <v>1218</v>
      </c>
      <c r="T485" s="122">
        <v>9.84</v>
      </c>
      <c r="U485" s="120" t="s">
        <v>2613</v>
      </c>
      <c r="V485" s="123">
        <v>4.2999999999999997E-2</v>
      </c>
      <c r="W485" s="120"/>
      <c r="X485" s="120"/>
      <c r="Y485" s="123"/>
      <c r="Z485" s="123">
        <v>4.2000000000000003E-2</v>
      </c>
      <c r="AA485" s="124">
        <v>54142</v>
      </c>
      <c r="AB485" s="120" t="s">
        <v>411</v>
      </c>
      <c r="AC485" s="120"/>
      <c r="AD485" s="122"/>
      <c r="AE485" s="123"/>
      <c r="AF485" s="124"/>
      <c r="AG485" s="120"/>
      <c r="AH485" s="120"/>
      <c r="AI485" s="120"/>
      <c r="AJ485" s="120" t="s">
        <v>338</v>
      </c>
      <c r="AK485" s="120" t="s">
        <v>887</v>
      </c>
      <c r="AL485" s="120"/>
      <c r="AM485" s="120" t="s">
        <v>890</v>
      </c>
      <c r="AN485" s="124">
        <v>45838</v>
      </c>
      <c r="AO485" s="120"/>
      <c r="AP485" s="123"/>
      <c r="AQ485" s="122">
        <v>3202603.72</v>
      </c>
      <c r="AR485" s="122">
        <v>101.69</v>
      </c>
      <c r="AS485" s="122">
        <v>1</v>
      </c>
      <c r="AT485" s="122">
        <v>3256.7277199999999</v>
      </c>
      <c r="AU485" s="122">
        <v>3256.7277199999999</v>
      </c>
      <c r="AV485" s="120"/>
      <c r="AW485" s="120"/>
      <c r="AX485" s="120"/>
      <c r="AY485" s="120"/>
      <c r="AZ485" s="123">
        <v>1.134E-3</v>
      </c>
      <c r="BA485" s="123">
        <v>5.3999999999999998E-5</v>
      </c>
    </row>
    <row r="486" spans="1:53" ht="15" customHeight="1">
      <c r="A486" s="121">
        <v>313</v>
      </c>
      <c r="B486" s="121">
        <v>313</v>
      </c>
      <c r="C486" s="121"/>
      <c r="D486" s="120"/>
      <c r="E486" s="120"/>
      <c r="F486" s="121">
        <v>5678253</v>
      </c>
      <c r="G486" s="120" t="s">
        <v>1013</v>
      </c>
      <c r="H486" s="120" t="s">
        <v>785</v>
      </c>
      <c r="I486" s="120" t="s">
        <v>203</v>
      </c>
      <c r="J486" s="120"/>
      <c r="K486" s="120" t="s">
        <v>463</v>
      </c>
      <c r="L486" s="120" t="s">
        <v>338</v>
      </c>
      <c r="M486" s="120" t="s">
        <v>338</v>
      </c>
      <c r="N486" s="121"/>
      <c r="O486" s="124">
        <v>45832</v>
      </c>
      <c r="P486" s="120" t="s">
        <v>409</v>
      </c>
      <c r="Q486" s="120" t="s">
        <v>409</v>
      </c>
      <c r="R486" s="120" t="s">
        <v>409</v>
      </c>
      <c r="S486" s="120" t="s">
        <v>1218</v>
      </c>
      <c r="T486" s="122">
        <v>0.15</v>
      </c>
      <c r="U486" s="120" t="s">
        <v>824</v>
      </c>
      <c r="V486" s="123">
        <v>7.0000000000000007E-2</v>
      </c>
      <c r="W486" s="120"/>
      <c r="X486" s="120"/>
      <c r="Y486" s="123"/>
      <c r="Z486" s="123">
        <v>7.1900000000000006E-2</v>
      </c>
      <c r="AA486" s="124">
        <v>45892</v>
      </c>
      <c r="AB486" s="120" t="s">
        <v>411</v>
      </c>
      <c r="AC486" s="120"/>
      <c r="AD486" s="122"/>
      <c r="AE486" s="123"/>
      <c r="AF486" s="124"/>
      <c r="AG486" s="120"/>
      <c r="AH486" s="120"/>
      <c r="AI486" s="120"/>
      <c r="AJ486" s="120" t="s">
        <v>338</v>
      </c>
      <c r="AK486" s="120" t="s">
        <v>887</v>
      </c>
      <c r="AL486" s="120"/>
      <c r="AM486" s="120" t="s">
        <v>890</v>
      </c>
      <c r="AN486" s="124">
        <v>45838</v>
      </c>
      <c r="AO486" s="120"/>
      <c r="AP486" s="123"/>
      <c r="AQ486" s="122">
        <v>505388</v>
      </c>
      <c r="AR486" s="122">
        <v>100.12</v>
      </c>
      <c r="AS486" s="122">
        <v>1</v>
      </c>
      <c r="AT486" s="122">
        <v>505.99446999999998</v>
      </c>
      <c r="AU486" s="122">
        <v>505.99446999999998</v>
      </c>
      <c r="AV486" s="120"/>
      <c r="AW486" s="120"/>
      <c r="AX486" s="120"/>
      <c r="AY486" s="120"/>
      <c r="AZ486" s="123">
        <v>1.76E-4</v>
      </c>
      <c r="BA486" s="123">
        <v>7.9999999999999996E-6</v>
      </c>
    </row>
    <row r="487" spans="1:53" ht="15" customHeight="1">
      <c r="A487" s="121">
        <v>313</v>
      </c>
      <c r="B487" s="121">
        <v>313</v>
      </c>
      <c r="C487" s="121"/>
      <c r="D487" s="120"/>
      <c r="E487" s="120"/>
      <c r="F487" s="121">
        <v>5678010</v>
      </c>
      <c r="G487" s="120" t="s">
        <v>1013</v>
      </c>
      <c r="H487" s="120" t="s">
        <v>818</v>
      </c>
      <c r="I487" s="120" t="s">
        <v>203</v>
      </c>
      <c r="J487" s="120"/>
      <c r="K487" s="120" t="s">
        <v>442</v>
      </c>
      <c r="L487" s="120" t="s">
        <v>338</v>
      </c>
      <c r="M487" s="120" t="s">
        <v>338</v>
      </c>
      <c r="N487" s="121"/>
      <c r="O487" s="124">
        <v>45722</v>
      </c>
      <c r="P487" s="120" t="s">
        <v>1331</v>
      </c>
      <c r="Q487" s="120" t="s">
        <v>414</v>
      </c>
      <c r="R487" s="120" t="s">
        <v>407</v>
      </c>
      <c r="S487" s="120" t="s">
        <v>1218</v>
      </c>
      <c r="T487" s="122">
        <v>1.72</v>
      </c>
      <c r="U487" s="120" t="s">
        <v>2613</v>
      </c>
      <c r="V487" s="123">
        <v>5.2600000000000001E-2</v>
      </c>
      <c r="W487" s="120"/>
      <c r="X487" s="120"/>
      <c r="Y487" s="123"/>
      <c r="Z487" s="123">
        <v>5.45E-2</v>
      </c>
      <c r="AA487" s="124">
        <v>46490</v>
      </c>
      <c r="AB487" s="120" t="s">
        <v>411</v>
      </c>
      <c r="AC487" s="120"/>
      <c r="AD487" s="122"/>
      <c r="AE487" s="123"/>
      <c r="AF487" s="124"/>
      <c r="AG487" s="120"/>
      <c r="AH487" s="120"/>
      <c r="AI487" s="120"/>
      <c r="AJ487" s="120" t="s">
        <v>338</v>
      </c>
      <c r="AK487" s="120" t="s">
        <v>887</v>
      </c>
      <c r="AL487" s="120"/>
      <c r="AM487" s="120" t="s">
        <v>890</v>
      </c>
      <c r="AN487" s="124">
        <v>45838</v>
      </c>
      <c r="AO487" s="120"/>
      <c r="AP487" s="123"/>
      <c r="AQ487" s="122">
        <v>1017676.4</v>
      </c>
      <c r="AR487" s="122">
        <v>100.97</v>
      </c>
      <c r="AS487" s="122">
        <v>1</v>
      </c>
      <c r="AT487" s="122">
        <v>1027.5478599999999</v>
      </c>
      <c r="AU487" s="122">
        <v>1027.5478599999999</v>
      </c>
      <c r="AV487" s="120"/>
      <c r="AW487" s="120"/>
      <c r="AX487" s="120"/>
      <c r="AY487" s="120"/>
      <c r="AZ487" s="123">
        <v>3.57E-4</v>
      </c>
      <c r="BA487" s="123">
        <v>1.7E-5</v>
      </c>
    </row>
    <row r="488" spans="1:53" ht="15" customHeight="1">
      <c r="A488" s="121">
        <v>313</v>
      </c>
      <c r="B488" s="121">
        <v>313</v>
      </c>
      <c r="C488" s="121"/>
      <c r="D488" s="120"/>
      <c r="E488" s="120"/>
      <c r="F488" s="121">
        <v>57088001</v>
      </c>
      <c r="G488" s="120" t="s">
        <v>1013</v>
      </c>
      <c r="H488" s="120" t="s">
        <v>2617</v>
      </c>
      <c r="I488" s="120" t="s">
        <v>203</v>
      </c>
      <c r="J488" s="120"/>
      <c r="K488" s="120" t="s">
        <v>463</v>
      </c>
      <c r="L488" s="120" t="s">
        <v>338</v>
      </c>
      <c r="M488" s="120" t="s">
        <v>338</v>
      </c>
      <c r="N488" s="121"/>
      <c r="O488" s="124">
        <v>45565</v>
      </c>
      <c r="P488" s="120" t="s">
        <v>2622</v>
      </c>
      <c r="Q488" s="120" t="s">
        <v>412</v>
      </c>
      <c r="R488" s="120" t="s">
        <v>407</v>
      </c>
      <c r="S488" s="120" t="s">
        <v>1218</v>
      </c>
      <c r="T488" s="122">
        <v>4.49</v>
      </c>
      <c r="U488" s="120" t="s">
        <v>2613</v>
      </c>
      <c r="V488" s="123">
        <v>4.7524999999999998E-2</v>
      </c>
      <c r="W488" s="120"/>
      <c r="X488" s="120"/>
      <c r="Y488" s="123"/>
      <c r="Z488" s="123">
        <v>3.9899999999999998E-2</v>
      </c>
      <c r="AA488" s="124">
        <v>47664</v>
      </c>
      <c r="AB488" s="120" t="s">
        <v>411</v>
      </c>
      <c r="AC488" s="120"/>
      <c r="AD488" s="122"/>
      <c r="AE488" s="123"/>
      <c r="AF488" s="124"/>
      <c r="AG488" s="120"/>
      <c r="AH488" s="120"/>
      <c r="AI488" s="120"/>
      <c r="AJ488" s="120" t="s">
        <v>338</v>
      </c>
      <c r="AK488" s="120" t="s">
        <v>887</v>
      </c>
      <c r="AL488" s="120"/>
      <c r="AM488" s="120" t="s">
        <v>890</v>
      </c>
      <c r="AN488" s="124">
        <v>45838</v>
      </c>
      <c r="AO488" s="120"/>
      <c r="AP488" s="123"/>
      <c r="AQ488" s="122">
        <v>40020000</v>
      </c>
      <c r="AR488" s="122">
        <v>105.29</v>
      </c>
      <c r="AS488" s="122">
        <v>1</v>
      </c>
      <c r="AT488" s="122">
        <v>42137.057999999997</v>
      </c>
      <c r="AU488" s="122">
        <v>42137.057999999997</v>
      </c>
      <c r="AV488" s="120"/>
      <c r="AW488" s="120"/>
      <c r="AX488" s="120"/>
      <c r="AY488" s="120"/>
      <c r="AZ488" s="123">
        <v>1.4675000000000001E-2</v>
      </c>
      <c r="BA488" s="123">
        <v>7.0100000000000002E-4</v>
      </c>
    </row>
    <row r="489" spans="1:53" ht="15" customHeight="1">
      <c r="A489" s="121">
        <v>313</v>
      </c>
      <c r="B489" s="121">
        <v>313</v>
      </c>
      <c r="C489" s="121"/>
      <c r="D489" s="120"/>
      <c r="E489" s="120"/>
      <c r="F489" s="121">
        <v>60362134</v>
      </c>
      <c r="G489" s="120" t="s">
        <v>1013</v>
      </c>
      <c r="H489" s="120" t="s">
        <v>818</v>
      </c>
      <c r="I489" s="120" t="s">
        <v>203</v>
      </c>
      <c r="J489" s="120"/>
      <c r="K489" s="120" t="s">
        <v>464</v>
      </c>
      <c r="L489" s="120" t="s">
        <v>338</v>
      </c>
      <c r="M489" s="120" t="s">
        <v>338</v>
      </c>
      <c r="N489" s="121"/>
      <c r="O489" s="124">
        <v>41816</v>
      </c>
      <c r="P489" s="120" t="s">
        <v>1339</v>
      </c>
      <c r="Q489" s="120" t="s">
        <v>414</v>
      </c>
      <c r="R489" s="120" t="s">
        <v>407</v>
      </c>
      <c r="S489" s="120" t="s">
        <v>1222</v>
      </c>
      <c r="T489" s="122">
        <v>1.74</v>
      </c>
      <c r="U489" s="120" t="s">
        <v>2613</v>
      </c>
      <c r="V489" s="123">
        <v>0.06</v>
      </c>
      <c r="W489" s="120"/>
      <c r="X489" s="120"/>
      <c r="Y489" s="123"/>
      <c r="Z489" s="123">
        <v>0.1153</v>
      </c>
      <c r="AA489" s="124">
        <v>46660</v>
      </c>
      <c r="AB489" s="120" t="s">
        <v>411</v>
      </c>
      <c r="AC489" s="120"/>
      <c r="AD489" s="122"/>
      <c r="AE489" s="123"/>
      <c r="AF489" s="124"/>
      <c r="AG489" s="120"/>
      <c r="AH489" s="120"/>
      <c r="AI489" s="120"/>
      <c r="AJ489" s="120" t="s">
        <v>337</v>
      </c>
      <c r="AK489" s="120" t="s">
        <v>887</v>
      </c>
      <c r="AL489" s="120"/>
      <c r="AM489" s="120" t="s">
        <v>890</v>
      </c>
      <c r="AN489" s="124">
        <v>45838</v>
      </c>
      <c r="AO489" s="120"/>
      <c r="AP489" s="123"/>
      <c r="AQ489" s="122">
        <v>11000000</v>
      </c>
      <c r="AR489" s="122">
        <v>93.13</v>
      </c>
      <c r="AS489" s="122">
        <v>3.3719999999999999</v>
      </c>
      <c r="AT489" s="122">
        <v>34543.779600000002</v>
      </c>
      <c r="AU489" s="122">
        <v>10244.299999999999</v>
      </c>
      <c r="AV489" s="120"/>
      <c r="AW489" s="120"/>
      <c r="AX489" s="120"/>
      <c r="AY489" s="120"/>
      <c r="AZ489" s="123">
        <v>1.2031E-2</v>
      </c>
      <c r="BA489" s="123">
        <v>5.7499999999999999E-4</v>
      </c>
    </row>
    <row r="490" spans="1:53" ht="15" customHeight="1">
      <c r="A490" s="121">
        <v>313</v>
      </c>
      <c r="B490" s="121">
        <v>313</v>
      </c>
      <c r="C490" s="121"/>
      <c r="D490" s="120"/>
      <c r="E490" s="120"/>
      <c r="F490" s="121">
        <v>60362142</v>
      </c>
      <c r="G490" s="120" t="s">
        <v>1013</v>
      </c>
      <c r="H490" s="120" t="s">
        <v>818</v>
      </c>
      <c r="I490" s="120" t="s">
        <v>203</v>
      </c>
      <c r="J490" s="120"/>
      <c r="K490" s="120" t="s">
        <v>464</v>
      </c>
      <c r="L490" s="120" t="s">
        <v>338</v>
      </c>
      <c r="M490" s="120" t="s">
        <v>338</v>
      </c>
      <c r="N490" s="121"/>
      <c r="O490" s="124">
        <v>41816</v>
      </c>
      <c r="P490" s="120" t="s">
        <v>1339</v>
      </c>
      <c r="Q490" s="120" t="s">
        <v>414</v>
      </c>
      <c r="R490" s="120" t="s">
        <v>407</v>
      </c>
      <c r="S490" s="120" t="s">
        <v>1222</v>
      </c>
      <c r="T490" s="122">
        <v>1.74</v>
      </c>
      <c r="U490" s="120" t="s">
        <v>2613</v>
      </c>
      <c r="V490" s="123">
        <v>0.06</v>
      </c>
      <c r="W490" s="120"/>
      <c r="X490" s="120"/>
      <c r="Y490" s="123"/>
      <c r="Z490" s="123">
        <v>0.10979999999999999</v>
      </c>
      <c r="AA490" s="124">
        <v>46660</v>
      </c>
      <c r="AB490" s="120" t="s">
        <v>411</v>
      </c>
      <c r="AC490" s="120"/>
      <c r="AD490" s="122"/>
      <c r="AE490" s="123"/>
      <c r="AF490" s="124"/>
      <c r="AG490" s="120"/>
      <c r="AH490" s="120"/>
      <c r="AI490" s="120"/>
      <c r="AJ490" s="120" t="s">
        <v>337</v>
      </c>
      <c r="AK490" s="120" t="s">
        <v>887</v>
      </c>
      <c r="AL490" s="120"/>
      <c r="AM490" s="120" t="s">
        <v>890</v>
      </c>
      <c r="AN490" s="124">
        <v>45838</v>
      </c>
      <c r="AO490" s="120"/>
      <c r="AP490" s="123"/>
      <c r="AQ490" s="122">
        <v>9000000</v>
      </c>
      <c r="AR490" s="122">
        <v>93.94</v>
      </c>
      <c r="AS490" s="122">
        <v>3.3719999999999999</v>
      </c>
      <c r="AT490" s="122">
        <v>28508.911199999999</v>
      </c>
      <c r="AU490" s="122">
        <v>8454.6</v>
      </c>
      <c r="AV490" s="120"/>
      <c r="AW490" s="120"/>
      <c r="AX490" s="120"/>
      <c r="AY490" s="120"/>
      <c r="AZ490" s="123">
        <v>9.9290000000000003E-3</v>
      </c>
      <c r="BA490" s="123">
        <v>4.7399999999999997E-4</v>
      </c>
    </row>
    <row r="491" spans="1:53" ht="15" customHeight="1">
      <c r="A491" s="121">
        <v>313</v>
      </c>
      <c r="B491" s="121">
        <v>313</v>
      </c>
      <c r="C491" s="121"/>
      <c r="D491" s="120"/>
      <c r="E491" s="120"/>
      <c r="F491" s="121">
        <v>60615184</v>
      </c>
      <c r="G491" s="120" t="s">
        <v>1013</v>
      </c>
      <c r="H491" s="120" t="s">
        <v>812</v>
      </c>
      <c r="I491" s="120" t="s">
        <v>203</v>
      </c>
      <c r="J491" s="120"/>
      <c r="K491" s="120" t="s">
        <v>439</v>
      </c>
      <c r="L491" s="120" t="s">
        <v>338</v>
      </c>
      <c r="M491" s="120" t="s">
        <v>337</v>
      </c>
      <c r="N491" s="121"/>
      <c r="O491" s="124">
        <v>41792</v>
      </c>
      <c r="P491" s="120" t="s">
        <v>1294</v>
      </c>
      <c r="Q491" s="120" t="s">
        <v>414</v>
      </c>
      <c r="R491" s="120" t="s">
        <v>407</v>
      </c>
      <c r="S491" s="120" t="s">
        <v>1222</v>
      </c>
      <c r="T491" s="122">
        <v>0.84</v>
      </c>
      <c r="U491" s="120" t="s">
        <v>824</v>
      </c>
      <c r="V491" s="123">
        <v>8.6010000000000003E-2</v>
      </c>
      <c r="W491" s="120"/>
      <c r="X491" s="120"/>
      <c r="Y491" s="123"/>
      <c r="Z491" s="123">
        <v>0.09</v>
      </c>
      <c r="AA491" s="124">
        <v>46387</v>
      </c>
      <c r="AB491" s="120" t="s">
        <v>411</v>
      </c>
      <c r="AC491" s="120"/>
      <c r="AD491" s="122"/>
      <c r="AE491" s="123"/>
      <c r="AF491" s="124"/>
      <c r="AG491" s="120"/>
      <c r="AH491" s="120"/>
      <c r="AI491" s="120"/>
      <c r="AJ491" s="120" t="s">
        <v>337</v>
      </c>
      <c r="AK491" s="120" t="s">
        <v>887</v>
      </c>
      <c r="AL491" s="120"/>
      <c r="AM491" s="120" t="s">
        <v>890</v>
      </c>
      <c r="AN491" s="124">
        <v>45838</v>
      </c>
      <c r="AO491" s="120"/>
      <c r="AP491" s="123"/>
      <c r="AQ491" s="122">
        <v>3213875.01</v>
      </c>
      <c r="AR491" s="122">
        <v>100.01</v>
      </c>
      <c r="AS491" s="122">
        <v>3.3719999999999999</v>
      </c>
      <c r="AT491" s="122">
        <v>10838.27025</v>
      </c>
      <c r="AU491" s="122">
        <v>3214.1963999999998</v>
      </c>
      <c r="AV491" s="120"/>
      <c r="AW491" s="120"/>
      <c r="AX491" s="120"/>
      <c r="AY491" s="120"/>
      <c r="AZ491" s="123">
        <v>3.774E-3</v>
      </c>
      <c r="BA491" s="123">
        <v>1.8000000000000001E-4</v>
      </c>
    </row>
    <row r="492" spans="1:53" ht="15" customHeight="1">
      <c r="A492" s="121">
        <v>313</v>
      </c>
      <c r="B492" s="121">
        <v>313</v>
      </c>
      <c r="C492" s="121"/>
      <c r="D492" s="120"/>
      <c r="E492" s="120"/>
      <c r="F492" s="121">
        <v>6189</v>
      </c>
      <c r="G492" s="120" t="s">
        <v>1013</v>
      </c>
      <c r="H492" s="120" t="s">
        <v>812</v>
      </c>
      <c r="I492" s="120" t="s">
        <v>203</v>
      </c>
      <c r="J492" s="120"/>
      <c r="K492" s="120" t="s">
        <v>484</v>
      </c>
      <c r="L492" s="120" t="s">
        <v>338</v>
      </c>
      <c r="M492" s="120" t="s">
        <v>337</v>
      </c>
      <c r="N492" s="121"/>
      <c r="O492" s="124">
        <v>39261</v>
      </c>
      <c r="P492" s="120" t="s">
        <v>1335</v>
      </c>
      <c r="Q492" s="120" t="s">
        <v>414</v>
      </c>
      <c r="R492" s="120" t="s">
        <v>407</v>
      </c>
      <c r="S492" s="120" t="s">
        <v>1218</v>
      </c>
      <c r="T492" s="122">
        <v>1.24</v>
      </c>
      <c r="U492" s="120" t="s">
        <v>2613</v>
      </c>
      <c r="V492" s="123">
        <v>4.7039999999999998E-2</v>
      </c>
      <c r="W492" s="120"/>
      <c r="X492" s="120"/>
      <c r="Y492" s="123"/>
      <c r="Z492" s="123">
        <v>3.5499999999999997E-2</v>
      </c>
      <c r="AA492" s="124">
        <v>46568</v>
      </c>
      <c r="AB492" s="120" t="s">
        <v>411</v>
      </c>
      <c r="AC492" s="120"/>
      <c r="AD492" s="122"/>
      <c r="AE492" s="123"/>
      <c r="AF492" s="124"/>
      <c r="AG492" s="120"/>
      <c r="AH492" s="120"/>
      <c r="AI492" s="120"/>
      <c r="AJ492" s="120" t="s">
        <v>337</v>
      </c>
      <c r="AK492" s="120" t="s">
        <v>887</v>
      </c>
      <c r="AL492" s="120"/>
      <c r="AM492" s="120" t="s">
        <v>890</v>
      </c>
      <c r="AN492" s="124">
        <v>45838</v>
      </c>
      <c r="AO492" s="120"/>
      <c r="AP492" s="123"/>
      <c r="AQ492" s="122">
        <v>3158289.33</v>
      </c>
      <c r="AR492" s="122">
        <v>143.05000000000001</v>
      </c>
      <c r="AS492" s="122">
        <v>1</v>
      </c>
      <c r="AT492" s="122">
        <v>4517.93289</v>
      </c>
      <c r="AU492" s="122">
        <v>4517.93289</v>
      </c>
      <c r="AV492" s="120"/>
      <c r="AW492" s="120"/>
      <c r="AX492" s="120"/>
      <c r="AY492" s="120"/>
      <c r="AZ492" s="123">
        <v>1.573E-3</v>
      </c>
      <c r="BA492" s="123">
        <v>7.4999999999999993E-5</v>
      </c>
    </row>
    <row r="493" spans="1:53" ht="15" customHeight="1">
      <c r="A493" s="121">
        <v>313</v>
      </c>
      <c r="B493" s="121">
        <v>313</v>
      </c>
      <c r="C493" s="121"/>
      <c r="D493" s="120"/>
      <c r="E493" s="120"/>
      <c r="F493" s="121">
        <v>63289</v>
      </c>
      <c r="G493" s="120" t="s">
        <v>1013</v>
      </c>
      <c r="H493" s="120" t="s">
        <v>812</v>
      </c>
      <c r="I493" s="120" t="s">
        <v>203</v>
      </c>
      <c r="J493" s="120"/>
      <c r="K493" s="120" t="s">
        <v>446</v>
      </c>
      <c r="L493" s="120" t="s">
        <v>338</v>
      </c>
      <c r="M493" s="120" t="s">
        <v>337</v>
      </c>
      <c r="N493" s="121"/>
      <c r="O493" s="124">
        <v>43067</v>
      </c>
      <c r="P493" s="120" t="s">
        <v>1952</v>
      </c>
      <c r="Q493" s="120" t="s">
        <v>412</v>
      </c>
      <c r="R493" s="120" t="s">
        <v>407</v>
      </c>
      <c r="S493" s="120" t="s">
        <v>1218</v>
      </c>
      <c r="T493" s="122">
        <v>5.44</v>
      </c>
      <c r="U493" s="120" t="s">
        <v>2613</v>
      </c>
      <c r="V493" s="123">
        <v>3.3099999999999997E-2</v>
      </c>
      <c r="W493" s="120"/>
      <c r="X493" s="120"/>
      <c r="Y493" s="123"/>
      <c r="Z493" s="123">
        <v>3.3500000000000002E-2</v>
      </c>
      <c r="AA493" s="124">
        <v>50040</v>
      </c>
      <c r="AB493" s="120" t="s">
        <v>411</v>
      </c>
      <c r="AC493" s="120"/>
      <c r="AD493" s="122"/>
      <c r="AE493" s="123"/>
      <c r="AF493" s="124"/>
      <c r="AG493" s="120"/>
      <c r="AH493" s="120"/>
      <c r="AI493" s="120"/>
      <c r="AJ493" s="120" t="s">
        <v>337</v>
      </c>
      <c r="AK493" s="120" t="s">
        <v>887</v>
      </c>
      <c r="AL493" s="120"/>
      <c r="AM493" s="120" t="s">
        <v>890</v>
      </c>
      <c r="AN493" s="124">
        <v>45838</v>
      </c>
      <c r="AO493" s="120"/>
      <c r="AP493" s="123"/>
      <c r="AQ493" s="122">
        <v>3035513.28</v>
      </c>
      <c r="AR493" s="122">
        <v>117.75</v>
      </c>
      <c r="AS493" s="122">
        <v>1</v>
      </c>
      <c r="AT493" s="122">
        <v>3574.3168900000001</v>
      </c>
      <c r="AU493" s="122">
        <v>3574.3168900000001</v>
      </c>
      <c r="AV493" s="120"/>
      <c r="AW493" s="120"/>
      <c r="AX493" s="120"/>
      <c r="AY493" s="120"/>
      <c r="AZ493" s="123">
        <v>1.2440000000000001E-3</v>
      </c>
      <c r="BA493" s="123">
        <v>5.8999999999999998E-5</v>
      </c>
    </row>
    <row r="494" spans="1:53" ht="15" customHeight="1">
      <c r="A494" s="121">
        <v>313</v>
      </c>
      <c r="B494" s="121">
        <v>313</v>
      </c>
      <c r="C494" s="121"/>
      <c r="D494" s="120"/>
      <c r="E494" s="120"/>
      <c r="F494" s="121">
        <v>59007001</v>
      </c>
      <c r="G494" s="120" t="s">
        <v>1013</v>
      </c>
      <c r="H494" s="120" t="s">
        <v>785</v>
      </c>
      <c r="I494" s="120" t="s">
        <v>203</v>
      </c>
      <c r="J494" s="120"/>
      <c r="K494" s="120" t="s">
        <v>463</v>
      </c>
      <c r="L494" s="120" t="s">
        <v>338</v>
      </c>
      <c r="M494" s="120" t="s">
        <v>337</v>
      </c>
      <c r="N494" s="121"/>
      <c r="O494" s="124">
        <v>45449</v>
      </c>
      <c r="P494" s="120" t="s">
        <v>2616</v>
      </c>
      <c r="Q494" s="120" t="s">
        <v>311</v>
      </c>
      <c r="R494" s="120" t="s">
        <v>407</v>
      </c>
      <c r="S494" s="120" t="s">
        <v>1218</v>
      </c>
      <c r="T494" s="122">
        <v>4.4000000000000004</v>
      </c>
      <c r="U494" s="120" t="s">
        <v>824</v>
      </c>
      <c r="V494" s="123">
        <v>7.3499999999999996E-2</v>
      </c>
      <c r="W494" s="120"/>
      <c r="X494" s="120"/>
      <c r="Y494" s="123"/>
      <c r="Z494" s="123">
        <v>6.7400000000000002E-2</v>
      </c>
      <c r="AA494" s="124">
        <v>47849</v>
      </c>
      <c r="AB494" s="120" t="s">
        <v>411</v>
      </c>
      <c r="AC494" s="120"/>
      <c r="AD494" s="122"/>
      <c r="AE494" s="123"/>
      <c r="AF494" s="124"/>
      <c r="AG494" s="120"/>
      <c r="AH494" s="120"/>
      <c r="AI494" s="120"/>
      <c r="AJ494" s="120" t="s">
        <v>337</v>
      </c>
      <c r="AK494" s="120" t="s">
        <v>887</v>
      </c>
      <c r="AL494" s="120"/>
      <c r="AM494" s="120" t="s">
        <v>890</v>
      </c>
      <c r="AN494" s="124">
        <v>45838</v>
      </c>
      <c r="AO494" s="120"/>
      <c r="AP494" s="123"/>
      <c r="AQ494" s="122">
        <v>559273.75</v>
      </c>
      <c r="AR494" s="122">
        <v>105.27</v>
      </c>
      <c r="AS494" s="122">
        <v>1</v>
      </c>
      <c r="AT494" s="122">
        <v>588.74748</v>
      </c>
      <c r="AU494" s="122">
        <v>588.74748</v>
      </c>
      <c r="AV494" s="120"/>
      <c r="AW494" s="120"/>
      <c r="AX494" s="120"/>
      <c r="AY494" s="120"/>
      <c r="AZ494" s="123">
        <v>2.05E-4</v>
      </c>
      <c r="BA494" s="123">
        <v>9.0000000000000002E-6</v>
      </c>
    </row>
    <row r="495" spans="1:53" ht="15" customHeight="1">
      <c r="A495" s="121">
        <v>313</v>
      </c>
      <c r="B495" s="121">
        <v>313</v>
      </c>
      <c r="C495" s="121"/>
      <c r="D495" s="120"/>
      <c r="E495" s="120"/>
      <c r="F495" s="121">
        <v>54098</v>
      </c>
      <c r="G495" s="120" t="s">
        <v>1013</v>
      </c>
      <c r="H495" s="120" t="s">
        <v>812</v>
      </c>
      <c r="I495" s="120" t="s">
        <v>203</v>
      </c>
      <c r="J495" s="120"/>
      <c r="K495" s="120" t="s">
        <v>484</v>
      </c>
      <c r="L495" s="120" t="s">
        <v>338</v>
      </c>
      <c r="M495" s="120" t="s">
        <v>337</v>
      </c>
      <c r="N495" s="121"/>
      <c r="O495" s="124">
        <v>41815</v>
      </c>
      <c r="P495" s="120" t="s">
        <v>1285</v>
      </c>
      <c r="Q495" s="120" t="s">
        <v>412</v>
      </c>
      <c r="R495" s="120" t="s">
        <v>407</v>
      </c>
      <c r="S495" s="120" t="s">
        <v>1218</v>
      </c>
      <c r="T495" s="122">
        <v>3.07</v>
      </c>
      <c r="U495" s="120" t="s">
        <v>2613</v>
      </c>
      <c r="V495" s="123">
        <v>5.5E-2</v>
      </c>
      <c r="W495" s="120"/>
      <c r="X495" s="120"/>
      <c r="Y495" s="123"/>
      <c r="Z495" s="123">
        <v>2.98E-2</v>
      </c>
      <c r="AA495" s="124">
        <v>47986</v>
      </c>
      <c r="AB495" s="120" t="s">
        <v>411</v>
      </c>
      <c r="AC495" s="120"/>
      <c r="AD495" s="122"/>
      <c r="AE495" s="123"/>
      <c r="AF495" s="124"/>
      <c r="AG495" s="120"/>
      <c r="AH495" s="120"/>
      <c r="AI495" s="120"/>
      <c r="AJ495" s="120" t="s">
        <v>337</v>
      </c>
      <c r="AK495" s="120" t="s">
        <v>887</v>
      </c>
      <c r="AL495" s="120"/>
      <c r="AM495" s="120" t="s">
        <v>890</v>
      </c>
      <c r="AN495" s="124">
        <v>45838</v>
      </c>
      <c r="AO495" s="120"/>
      <c r="AP495" s="123"/>
      <c r="AQ495" s="122">
        <v>190270.44</v>
      </c>
      <c r="AR495" s="122">
        <v>125.45</v>
      </c>
      <c r="AS495" s="122">
        <v>1</v>
      </c>
      <c r="AT495" s="122">
        <v>238.69426999999999</v>
      </c>
      <c r="AU495" s="122">
        <v>238.69426999999999</v>
      </c>
      <c r="AV495" s="120"/>
      <c r="AW495" s="120"/>
      <c r="AX495" s="120"/>
      <c r="AY495" s="120"/>
      <c r="AZ495" s="123">
        <v>8.2999999999999998E-5</v>
      </c>
      <c r="BA495" s="123">
        <v>3.0000000000000001E-6</v>
      </c>
    </row>
    <row r="496" spans="1:53" ht="15" customHeight="1">
      <c r="A496" s="121">
        <v>313</v>
      </c>
      <c r="B496" s="121">
        <v>313</v>
      </c>
      <c r="C496" s="121"/>
      <c r="D496" s="120"/>
      <c r="E496" s="120"/>
      <c r="F496" s="121">
        <v>5678009</v>
      </c>
      <c r="G496" s="120" t="s">
        <v>1013</v>
      </c>
      <c r="H496" s="120" t="s">
        <v>818</v>
      </c>
      <c r="I496" s="120" t="s">
        <v>203</v>
      </c>
      <c r="J496" s="120"/>
      <c r="K496" s="120" t="s">
        <v>442</v>
      </c>
      <c r="L496" s="120" t="s">
        <v>338</v>
      </c>
      <c r="M496" s="120" t="s">
        <v>338</v>
      </c>
      <c r="N496" s="121"/>
      <c r="O496" s="124">
        <v>45692</v>
      </c>
      <c r="P496" s="120" t="s">
        <v>1331</v>
      </c>
      <c r="Q496" s="120" t="s">
        <v>414</v>
      </c>
      <c r="R496" s="120" t="s">
        <v>407</v>
      </c>
      <c r="S496" s="120" t="s">
        <v>1218</v>
      </c>
      <c r="T496" s="122">
        <v>1.72</v>
      </c>
      <c r="U496" s="120" t="s">
        <v>2613</v>
      </c>
      <c r="V496" s="123">
        <v>5.2056999999999999E-2</v>
      </c>
      <c r="W496" s="120"/>
      <c r="X496" s="120"/>
      <c r="Y496" s="123"/>
      <c r="Z496" s="123">
        <v>5.9299999999999999E-2</v>
      </c>
      <c r="AA496" s="124">
        <v>46490</v>
      </c>
      <c r="AB496" s="120" t="s">
        <v>411</v>
      </c>
      <c r="AC496" s="120"/>
      <c r="AD496" s="122"/>
      <c r="AE496" s="123"/>
      <c r="AF496" s="124"/>
      <c r="AG496" s="120"/>
      <c r="AH496" s="120"/>
      <c r="AI496" s="120"/>
      <c r="AJ496" s="120" t="s">
        <v>338</v>
      </c>
      <c r="AK496" s="120" t="s">
        <v>887</v>
      </c>
      <c r="AL496" s="120"/>
      <c r="AM496" s="120" t="s">
        <v>890</v>
      </c>
      <c r="AN496" s="124">
        <v>45838</v>
      </c>
      <c r="AO496" s="120"/>
      <c r="AP496" s="123"/>
      <c r="AQ496" s="122">
        <v>2076726</v>
      </c>
      <c r="AR496" s="122">
        <v>100.65</v>
      </c>
      <c r="AS496" s="122">
        <v>1</v>
      </c>
      <c r="AT496" s="122">
        <v>2090.2247200000002</v>
      </c>
      <c r="AU496" s="122">
        <v>2090.2247200000002</v>
      </c>
      <c r="AV496" s="120"/>
      <c r="AW496" s="120"/>
      <c r="AX496" s="120"/>
      <c r="AY496" s="120"/>
      <c r="AZ496" s="123">
        <v>7.27E-4</v>
      </c>
      <c r="BA496" s="123">
        <v>3.4E-5</v>
      </c>
    </row>
    <row r="497" spans="1:53" ht="15" customHeight="1">
      <c r="A497" s="121">
        <v>313</v>
      </c>
      <c r="B497" s="121">
        <v>313</v>
      </c>
      <c r="C497" s="121"/>
      <c r="D497" s="120"/>
      <c r="E497" s="120"/>
      <c r="F497" s="121">
        <v>5678007</v>
      </c>
      <c r="G497" s="120" t="s">
        <v>1013</v>
      </c>
      <c r="H497" s="120" t="s">
        <v>818</v>
      </c>
      <c r="I497" s="120" t="s">
        <v>203</v>
      </c>
      <c r="J497" s="120"/>
      <c r="K497" s="120" t="s">
        <v>442</v>
      </c>
      <c r="L497" s="120" t="s">
        <v>338</v>
      </c>
      <c r="M497" s="120" t="s">
        <v>338</v>
      </c>
      <c r="N497" s="121"/>
      <c r="O497" s="124">
        <v>45600</v>
      </c>
      <c r="P497" s="120" t="s">
        <v>1331</v>
      </c>
      <c r="Q497" s="120" t="s">
        <v>414</v>
      </c>
      <c r="R497" s="120" t="s">
        <v>407</v>
      </c>
      <c r="S497" s="120" t="s">
        <v>1218</v>
      </c>
      <c r="T497" s="122">
        <v>1.72</v>
      </c>
      <c r="U497" s="120" t="s">
        <v>2613</v>
      </c>
      <c r="V497" s="123">
        <v>5.3692999999999998E-2</v>
      </c>
      <c r="W497" s="120"/>
      <c r="X497" s="120"/>
      <c r="Y497" s="123"/>
      <c r="Z497" s="123">
        <v>5.1299999999999998E-2</v>
      </c>
      <c r="AA497" s="124">
        <v>46490</v>
      </c>
      <c r="AB497" s="120" t="s">
        <v>411</v>
      </c>
      <c r="AC497" s="120"/>
      <c r="AD497" s="122"/>
      <c r="AE497" s="123"/>
      <c r="AF497" s="124"/>
      <c r="AG497" s="120"/>
      <c r="AH497" s="120"/>
      <c r="AI497" s="120"/>
      <c r="AJ497" s="120" t="s">
        <v>337</v>
      </c>
      <c r="AK497" s="120" t="s">
        <v>887</v>
      </c>
      <c r="AL497" s="120"/>
      <c r="AM497" s="120" t="s">
        <v>890</v>
      </c>
      <c r="AN497" s="124">
        <v>45838</v>
      </c>
      <c r="AO497" s="120"/>
      <c r="AP497" s="123"/>
      <c r="AQ497" s="122">
        <v>1538090</v>
      </c>
      <c r="AR497" s="122">
        <v>102.24</v>
      </c>
      <c r="AS497" s="122">
        <v>1</v>
      </c>
      <c r="AT497" s="122">
        <v>1572.54322</v>
      </c>
      <c r="AU497" s="122">
        <v>1572.54322</v>
      </c>
      <c r="AV497" s="120"/>
      <c r="AW497" s="120"/>
      <c r="AX497" s="120"/>
      <c r="AY497" s="120"/>
      <c r="AZ497" s="123">
        <v>5.4699999999999996E-4</v>
      </c>
      <c r="BA497" s="123">
        <v>2.5999999999999998E-5</v>
      </c>
    </row>
    <row r="498" spans="1:53" ht="15" customHeight="1">
      <c r="A498" s="121">
        <v>313</v>
      </c>
      <c r="B498" s="121">
        <v>313</v>
      </c>
      <c r="C498" s="121"/>
      <c r="D498" s="120"/>
      <c r="E498" s="120"/>
      <c r="F498" s="121">
        <v>54114</v>
      </c>
      <c r="G498" s="120" t="s">
        <v>1013</v>
      </c>
      <c r="H498" s="120" t="s">
        <v>812</v>
      </c>
      <c r="I498" s="120" t="s">
        <v>203</v>
      </c>
      <c r="J498" s="120"/>
      <c r="K498" s="120" t="s">
        <v>484</v>
      </c>
      <c r="L498" s="120" t="s">
        <v>338</v>
      </c>
      <c r="M498" s="120" t="s">
        <v>337</v>
      </c>
      <c r="N498" s="121"/>
      <c r="O498" s="124">
        <v>41911</v>
      </c>
      <c r="P498" s="120" t="s">
        <v>1285</v>
      </c>
      <c r="Q498" s="120" t="s">
        <v>412</v>
      </c>
      <c r="R498" s="120" t="s">
        <v>407</v>
      </c>
      <c r="S498" s="120" t="s">
        <v>1218</v>
      </c>
      <c r="T498" s="122">
        <v>3.07</v>
      </c>
      <c r="U498" s="120" t="s">
        <v>2613</v>
      </c>
      <c r="V498" s="123">
        <v>5.5E-2</v>
      </c>
      <c r="W498" s="120"/>
      <c r="X498" s="120"/>
      <c r="Y498" s="123"/>
      <c r="Z498" s="123">
        <v>2.98E-2</v>
      </c>
      <c r="AA498" s="124">
        <v>47986</v>
      </c>
      <c r="AB498" s="120" t="s">
        <v>411</v>
      </c>
      <c r="AC498" s="120"/>
      <c r="AD498" s="122"/>
      <c r="AE498" s="123"/>
      <c r="AF498" s="124"/>
      <c r="AG498" s="120"/>
      <c r="AH498" s="120"/>
      <c r="AI498" s="120"/>
      <c r="AJ498" s="120" t="s">
        <v>337</v>
      </c>
      <c r="AK498" s="120" t="s">
        <v>887</v>
      </c>
      <c r="AL498" s="120"/>
      <c r="AM498" s="120" t="s">
        <v>890</v>
      </c>
      <c r="AN498" s="124">
        <v>45838</v>
      </c>
      <c r="AO498" s="120"/>
      <c r="AP498" s="123"/>
      <c r="AQ498" s="122">
        <v>221724.04</v>
      </c>
      <c r="AR498" s="122">
        <v>125.08</v>
      </c>
      <c r="AS498" s="122">
        <v>1</v>
      </c>
      <c r="AT498" s="122">
        <v>277.33242999999999</v>
      </c>
      <c r="AU498" s="122">
        <v>277.33242999999999</v>
      </c>
      <c r="AV498" s="120"/>
      <c r="AW498" s="120"/>
      <c r="AX498" s="120"/>
      <c r="AY498" s="120"/>
      <c r="AZ498" s="123">
        <v>9.6000000000000002E-5</v>
      </c>
      <c r="BA498" s="123">
        <v>3.9999999999999998E-6</v>
      </c>
    </row>
    <row r="499" spans="1:53" ht="15" customHeight="1">
      <c r="A499" s="121">
        <v>313</v>
      </c>
      <c r="B499" s="121">
        <v>313</v>
      </c>
      <c r="C499" s="121"/>
      <c r="D499" s="120"/>
      <c r="E499" s="120"/>
      <c r="F499" s="121">
        <v>54122</v>
      </c>
      <c r="G499" s="120" t="s">
        <v>1013</v>
      </c>
      <c r="H499" s="120" t="s">
        <v>812</v>
      </c>
      <c r="I499" s="120" t="s">
        <v>203</v>
      </c>
      <c r="J499" s="120"/>
      <c r="K499" s="120" t="s">
        <v>484</v>
      </c>
      <c r="L499" s="120" t="s">
        <v>338</v>
      </c>
      <c r="M499" s="120" t="s">
        <v>337</v>
      </c>
      <c r="N499" s="121"/>
      <c r="O499" s="124">
        <v>42033</v>
      </c>
      <c r="P499" s="120" t="s">
        <v>1285</v>
      </c>
      <c r="Q499" s="120" t="s">
        <v>412</v>
      </c>
      <c r="R499" s="120" t="s">
        <v>407</v>
      </c>
      <c r="S499" s="120" t="s">
        <v>1218</v>
      </c>
      <c r="T499" s="122">
        <v>3.07</v>
      </c>
      <c r="U499" s="120" t="s">
        <v>2613</v>
      </c>
      <c r="V499" s="123">
        <v>5.5E-2</v>
      </c>
      <c r="W499" s="120"/>
      <c r="X499" s="120"/>
      <c r="Y499" s="123"/>
      <c r="Z499" s="123">
        <v>2.98E-2</v>
      </c>
      <c r="AA499" s="124">
        <v>47986</v>
      </c>
      <c r="AB499" s="120" t="s">
        <v>411</v>
      </c>
      <c r="AC499" s="120"/>
      <c r="AD499" s="122"/>
      <c r="AE499" s="123"/>
      <c r="AF499" s="124"/>
      <c r="AG499" s="120"/>
      <c r="AH499" s="120"/>
      <c r="AI499" s="120"/>
      <c r="AJ499" s="120" t="s">
        <v>337</v>
      </c>
      <c r="AK499" s="120" t="s">
        <v>887</v>
      </c>
      <c r="AL499" s="120"/>
      <c r="AM499" s="120" t="s">
        <v>890</v>
      </c>
      <c r="AN499" s="124">
        <v>45838</v>
      </c>
      <c r="AO499" s="120"/>
      <c r="AP499" s="123"/>
      <c r="AQ499" s="122">
        <v>1479756.38</v>
      </c>
      <c r="AR499" s="122">
        <v>125.33</v>
      </c>
      <c r="AS499" s="122">
        <v>1</v>
      </c>
      <c r="AT499" s="122">
        <v>1854.5786700000001</v>
      </c>
      <c r="AU499" s="122">
        <v>1854.5786700000001</v>
      </c>
      <c r="AV499" s="120"/>
      <c r="AW499" s="120"/>
      <c r="AX499" s="120"/>
      <c r="AY499" s="120"/>
      <c r="AZ499" s="123">
        <v>6.4499999999999996E-4</v>
      </c>
      <c r="BA499" s="123">
        <v>3.0000000000000001E-5</v>
      </c>
    </row>
    <row r="500" spans="1:53" ht="15" customHeight="1">
      <c r="A500" s="121">
        <v>313</v>
      </c>
      <c r="B500" s="121">
        <v>313</v>
      </c>
      <c r="C500" s="121"/>
      <c r="D500" s="120"/>
      <c r="E500" s="120"/>
      <c r="F500" s="121">
        <v>54130</v>
      </c>
      <c r="G500" s="120" t="s">
        <v>1013</v>
      </c>
      <c r="H500" s="120" t="s">
        <v>812</v>
      </c>
      <c r="I500" s="120" t="s">
        <v>203</v>
      </c>
      <c r="J500" s="120"/>
      <c r="K500" s="120" t="s">
        <v>484</v>
      </c>
      <c r="L500" s="120" t="s">
        <v>338</v>
      </c>
      <c r="M500" s="120" t="s">
        <v>337</v>
      </c>
      <c r="N500" s="121"/>
      <c r="O500" s="124">
        <v>42054</v>
      </c>
      <c r="P500" s="120" t="s">
        <v>1285</v>
      </c>
      <c r="Q500" s="120" t="s">
        <v>412</v>
      </c>
      <c r="R500" s="120" t="s">
        <v>407</v>
      </c>
      <c r="S500" s="120" t="s">
        <v>1218</v>
      </c>
      <c r="T500" s="122">
        <v>3.07</v>
      </c>
      <c r="U500" s="120" t="s">
        <v>2613</v>
      </c>
      <c r="V500" s="123">
        <v>5.5E-2</v>
      </c>
      <c r="W500" s="120"/>
      <c r="X500" s="120"/>
      <c r="Y500" s="123"/>
      <c r="Z500" s="123">
        <v>2.98E-2</v>
      </c>
      <c r="AA500" s="124">
        <v>47986</v>
      </c>
      <c r="AB500" s="120" t="s">
        <v>411</v>
      </c>
      <c r="AC500" s="120"/>
      <c r="AD500" s="122"/>
      <c r="AE500" s="123"/>
      <c r="AF500" s="124"/>
      <c r="AG500" s="120"/>
      <c r="AH500" s="120"/>
      <c r="AI500" s="120"/>
      <c r="AJ500" s="120" t="s">
        <v>337</v>
      </c>
      <c r="AK500" s="120" t="s">
        <v>887</v>
      </c>
      <c r="AL500" s="120"/>
      <c r="AM500" s="120" t="s">
        <v>890</v>
      </c>
      <c r="AN500" s="124">
        <v>45838</v>
      </c>
      <c r="AO500" s="120"/>
      <c r="AP500" s="123"/>
      <c r="AQ500" s="122">
        <v>2890563.01</v>
      </c>
      <c r="AR500" s="122">
        <v>126.46</v>
      </c>
      <c r="AS500" s="122">
        <v>1</v>
      </c>
      <c r="AT500" s="122">
        <v>3655.40598</v>
      </c>
      <c r="AU500" s="122">
        <v>3655.40598</v>
      </c>
      <c r="AV500" s="120"/>
      <c r="AW500" s="120"/>
      <c r="AX500" s="120"/>
      <c r="AY500" s="120"/>
      <c r="AZ500" s="123">
        <v>1.273E-3</v>
      </c>
      <c r="BA500" s="123">
        <v>6.0000000000000002E-5</v>
      </c>
    </row>
    <row r="501" spans="1:53" ht="15" customHeight="1">
      <c r="A501" s="121">
        <v>313</v>
      </c>
      <c r="B501" s="121">
        <v>313</v>
      </c>
      <c r="C501" s="121"/>
      <c r="D501" s="120"/>
      <c r="E501" s="120"/>
      <c r="F501" s="121">
        <v>5670003</v>
      </c>
      <c r="G501" s="120" t="s">
        <v>1013</v>
      </c>
      <c r="H501" s="120" t="s">
        <v>2617</v>
      </c>
      <c r="I501" s="120" t="s">
        <v>203</v>
      </c>
      <c r="J501" s="120"/>
      <c r="K501" s="120" t="s">
        <v>463</v>
      </c>
      <c r="L501" s="120" t="s">
        <v>338</v>
      </c>
      <c r="M501" s="120" t="s">
        <v>338</v>
      </c>
      <c r="N501" s="121"/>
      <c r="O501" s="124">
        <v>45259</v>
      </c>
      <c r="P501" s="120" t="s">
        <v>1304</v>
      </c>
      <c r="Q501" s="120" t="s">
        <v>414</v>
      </c>
      <c r="R501" s="120" t="s">
        <v>407</v>
      </c>
      <c r="S501" s="120" t="s">
        <v>1218</v>
      </c>
      <c r="T501" s="122">
        <v>5.28</v>
      </c>
      <c r="U501" s="120" t="s">
        <v>2613</v>
      </c>
      <c r="V501" s="123">
        <v>4.2900000000000001E-2</v>
      </c>
      <c r="W501" s="120"/>
      <c r="X501" s="120"/>
      <c r="Y501" s="123"/>
      <c r="Z501" s="123">
        <v>3.15E-2</v>
      </c>
      <c r="AA501" s="124">
        <v>47996</v>
      </c>
      <c r="AB501" s="120" t="s">
        <v>411</v>
      </c>
      <c r="AC501" s="120"/>
      <c r="AD501" s="122"/>
      <c r="AE501" s="123"/>
      <c r="AF501" s="124">
        <v>45139</v>
      </c>
      <c r="AG501" s="120"/>
      <c r="AH501" s="120"/>
      <c r="AI501" s="120"/>
      <c r="AJ501" s="120" t="s">
        <v>337</v>
      </c>
      <c r="AK501" s="120" t="s">
        <v>887</v>
      </c>
      <c r="AL501" s="120"/>
      <c r="AM501" s="120" t="s">
        <v>890</v>
      </c>
      <c r="AN501" s="124">
        <v>45838</v>
      </c>
      <c r="AO501" s="120"/>
      <c r="AP501" s="123"/>
      <c r="AQ501" s="122">
        <v>21160000</v>
      </c>
      <c r="AR501" s="122">
        <v>111.41</v>
      </c>
      <c r="AS501" s="122">
        <v>1</v>
      </c>
      <c r="AT501" s="122">
        <v>23574.356</v>
      </c>
      <c r="AU501" s="122">
        <v>23574.356</v>
      </c>
      <c r="AV501" s="120"/>
      <c r="AW501" s="120"/>
      <c r="AX501" s="120"/>
      <c r="AY501" s="120"/>
      <c r="AZ501" s="123">
        <v>8.2100000000000003E-3</v>
      </c>
      <c r="BA501" s="123">
        <v>3.9199999999999999E-4</v>
      </c>
    </row>
    <row r="502" spans="1:53" ht="15" customHeight="1">
      <c r="A502" s="121">
        <v>313</v>
      </c>
      <c r="B502" s="121">
        <v>313</v>
      </c>
      <c r="C502" s="121"/>
      <c r="D502" s="120"/>
      <c r="E502" s="120"/>
      <c r="F502" s="121">
        <v>5670004</v>
      </c>
      <c r="G502" s="120" t="s">
        <v>1013</v>
      </c>
      <c r="H502" s="120" t="s">
        <v>2617</v>
      </c>
      <c r="I502" s="120" t="s">
        <v>203</v>
      </c>
      <c r="J502" s="120"/>
      <c r="K502" s="120" t="s">
        <v>463</v>
      </c>
      <c r="L502" s="120" t="s">
        <v>338</v>
      </c>
      <c r="M502" s="120" t="s">
        <v>338</v>
      </c>
      <c r="N502" s="121"/>
      <c r="O502" s="124">
        <v>45382</v>
      </c>
      <c r="P502" s="120" t="s">
        <v>1304</v>
      </c>
      <c r="Q502" s="120" t="s">
        <v>414</v>
      </c>
      <c r="R502" s="120" t="s">
        <v>407</v>
      </c>
      <c r="S502" s="120" t="s">
        <v>1218</v>
      </c>
      <c r="T502" s="122">
        <v>5.55</v>
      </c>
      <c r="U502" s="120" t="s">
        <v>2613</v>
      </c>
      <c r="V502" s="123">
        <v>4.1452000000000003E-2</v>
      </c>
      <c r="W502" s="120"/>
      <c r="X502" s="120"/>
      <c r="Y502" s="123"/>
      <c r="Z502" s="123">
        <v>3.6299999999999999E-2</v>
      </c>
      <c r="AA502" s="124">
        <v>48120</v>
      </c>
      <c r="AB502" s="120" t="s">
        <v>411</v>
      </c>
      <c r="AC502" s="120"/>
      <c r="AD502" s="122"/>
      <c r="AE502" s="123"/>
      <c r="AF502" s="124">
        <v>45139</v>
      </c>
      <c r="AG502" s="120"/>
      <c r="AH502" s="120"/>
      <c r="AI502" s="120"/>
      <c r="AJ502" s="120" t="s">
        <v>337</v>
      </c>
      <c r="AK502" s="120" t="s">
        <v>887</v>
      </c>
      <c r="AL502" s="120"/>
      <c r="AM502" s="120" t="s">
        <v>890</v>
      </c>
      <c r="AN502" s="124">
        <v>45838</v>
      </c>
      <c r="AO502" s="120"/>
      <c r="AP502" s="123"/>
      <c r="AQ502" s="122">
        <v>5060000</v>
      </c>
      <c r="AR502" s="122">
        <v>108.04</v>
      </c>
      <c r="AS502" s="122">
        <v>1</v>
      </c>
      <c r="AT502" s="122">
        <v>5466.8239999999996</v>
      </c>
      <c r="AU502" s="122">
        <v>5466.8239999999996</v>
      </c>
      <c r="AV502" s="120"/>
      <c r="AW502" s="120"/>
      <c r="AX502" s="120"/>
      <c r="AY502" s="120"/>
      <c r="AZ502" s="123">
        <v>1.9040000000000001E-3</v>
      </c>
      <c r="BA502" s="123">
        <v>9.1000000000000003E-5</v>
      </c>
    </row>
    <row r="503" spans="1:53" ht="15" customHeight="1">
      <c r="A503" s="121">
        <v>313</v>
      </c>
      <c r="B503" s="121">
        <v>313</v>
      </c>
      <c r="C503" s="121"/>
      <c r="D503" s="120"/>
      <c r="E503" s="120"/>
      <c r="F503" s="121">
        <v>5678008</v>
      </c>
      <c r="G503" s="120" t="s">
        <v>1013</v>
      </c>
      <c r="H503" s="120" t="s">
        <v>818</v>
      </c>
      <c r="I503" s="120" t="s">
        <v>203</v>
      </c>
      <c r="J503" s="120"/>
      <c r="K503" s="120" t="s">
        <v>442</v>
      </c>
      <c r="L503" s="120" t="s">
        <v>338</v>
      </c>
      <c r="M503" s="120" t="s">
        <v>338</v>
      </c>
      <c r="N503" s="121"/>
      <c r="O503" s="124">
        <v>45635</v>
      </c>
      <c r="P503" s="120" t="s">
        <v>1331</v>
      </c>
      <c r="Q503" s="120" t="s">
        <v>414</v>
      </c>
      <c r="R503" s="120" t="s">
        <v>407</v>
      </c>
      <c r="S503" s="120" t="s">
        <v>1218</v>
      </c>
      <c r="T503" s="122">
        <v>1.71</v>
      </c>
      <c r="U503" s="120" t="s">
        <v>2613</v>
      </c>
      <c r="V503" s="123">
        <v>5.4175000000000001E-2</v>
      </c>
      <c r="W503" s="120"/>
      <c r="X503" s="120"/>
      <c r="Y503" s="123"/>
      <c r="Z503" s="123">
        <v>5.2400000000000002E-2</v>
      </c>
      <c r="AA503" s="124">
        <v>46490</v>
      </c>
      <c r="AB503" s="120" t="s">
        <v>411</v>
      </c>
      <c r="AC503" s="120"/>
      <c r="AD503" s="122"/>
      <c r="AE503" s="123"/>
      <c r="AF503" s="124"/>
      <c r="AG503" s="120"/>
      <c r="AH503" s="120"/>
      <c r="AI503" s="120"/>
      <c r="AJ503" s="120" t="s">
        <v>337</v>
      </c>
      <c r="AK503" s="120" t="s">
        <v>887</v>
      </c>
      <c r="AL503" s="120"/>
      <c r="AM503" s="120" t="s">
        <v>890</v>
      </c>
      <c r="AN503" s="124">
        <v>45838</v>
      </c>
      <c r="AO503" s="120"/>
      <c r="AP503" s="123"/>
      <c r="AQ503" s="122">
        <v>1064656</v>
      </c>
      <c r="AR503" s="122">
        <v>101.49</v>
      </c>
      <c r="AS503" s="122">
        <v>1</v>
      </c>
      <c r="AT503" s="122">
        <v>1080.51937</v>
      </c>
      <c r="AU503" s="122">
        <v>1080.51937</v>
      </c>
      <c r="AV503" s="120"/>
      <c r="AW503" s="120"/>
      <c r="AX503" s="120"/>
      <c r="AY503" s="120"/>
      <c r="AZ503" s="123">
        <v>3.7599999999999998E-4</v>
      </c>
      <c r="BA503" s="123">
        <v>1.7E-5</v>
      </c>
    </row>
    <row r="504" spans="1:53" ht="15" customHeight="1">
      <c r="A504" s="121">
        <v>313</v>
      </c>
      <c r="B504" s="121">
        <v>313</v>
      </c>
      <c r="C504" s="121"/>
      <c r="D504" s="120"/>
      <c r="E504" s="120"/>
      <c r="F504" s="121">
        <v>5670005</v>
      </c>
      <c r="G504" s="120" t="s">
        <v>1013</v>
      </c>
      <c r="H504" s="120" t="s">
        <v>2617</v>
      </c>
      <c r="I504" s="120" t="s">
        <v>203</v>
      </c>
      <c r="J504" s="120"/>
      <c r="K504" s="120" t="s">
        <v>463</v>
      </c>
      <c r="L504" s="120" t="s">
        <v>338</v>
      </c>
      <c r="M504" s="120" t="s">
        <v>338</v>
      </c>
      <c r="N504" s="121"/>
      <c r="O504" s="124">
        <v>45382</v>
      </c>
      <c r="P504" s="120" t="s">
        <v>1304</v>
      </c>
      <c r="Q504" s="120" t="s">
        <v>414</v>
      </c>
      <c r="R504" s="120" t="s">
        <v>407</v>
      </c>
      <c r="S504" s="120" t="s">
        <v>1218</v>
      </c>
      <c r="T504" s="122">
        <v>5.56</v>
      </c>
      <c r="U504" s="120" t="s">
        <v>2613</v>
      </c>
      <c r="V504" s="123">
        <v>4.1452000000000003E-2</v>
      </c>
      <c r="W504" s="120"/>
      <c r="X504" s="120"/>
      <c r="Y504" s="123"/>
      <c r="Z504" s="123">
        <v>3.6299999999999999E-2</v>
      </c>
      <c r="AA504" s="124">
        <v>48120</v>
      </c>
      <c r="AB504" s="120" t="s">
        <v>411</v>
      </c>
      <c r="AC504" s="120"/>
      <c r="AD504" s="122"/>
      <c r="AE504" s="123"/>
      <c r="AF504" s="124">
        <v>45139</v>
      </c>
      <c r="AG504" s="120"/>
      <c r="AH504" s="120"/>
      <c r="AI504" s="120"/>
      <c r="AJ504" s="120" t="s">
        <v>337</v>
      </c>
      <c r="AK504" s="120" t="s">
        <v>887</v>
      </c>
      <c r="AL504" s="120"/>
      <c r="AM504" s="120" t="s">
        <v>890</v>
      </c>
      <c r="AN504" s="124">
        <v>45838</v>
      </c>
      <c r="AO504" s="120"/>
      <c r="AP504" s="123"/>
      <c r="AQ504" s="122">
        <v>11672500</v>
      </c>
      <c r="AR504" s="122">
        <v>108.04</v>
      </c>
      <c r="AS504" s="122">
        <v>1</v>
      </c>
      <c r="AT504" s="122">
        <v>12610.968999999999</v>
      </c>
      <c r="AU504" s="122">
        <v>12610.968999999999</v>
      </c>
      <c r="AV504" s="120"/>
      <c r="AW504" s="120"/>
      <c r="AX504" s="120"/>
      <c r="AY504" s="120"/>
      <c r="AZ504" s="123">
        <v>4.3920000000000001E-3</v>
      </c>
      <c r="BA504" s="123">
        <v>2.1000000000000001E-4</v>
      </c>
    </row>
    <row r="505" spans="1:53" ht="15" customHeight="1">
      <c r="A505" s="121">
        <v>313</v>
      </c>
      <c r="B505" s="121">
        <v>313</v>
      </c>
      <c r="C505" s="121"/>
      <c r="D505" s="120"/>
      <c r="E505" s="120"/>
      <c r="F505" s="121">
        <v>5678002</v>
      </c>
      <c r="G505" s="120" t="s">
        <v>1013</v>
      </c>
      <c r="H505" s="120" t="s">
        <v>818</v>
      </c>
      <c r="I505" s="120" t="s">
        <v>203</v>
      </c>
      <c r="J505" s="120"/>
      <c r="K505" s="120" t="s">
        <v>442</v>
      </c>
      <c r="L505" s="120" t="s">
        <v>338</v>
      </c>
      <c r="M505" s="120" t="s">
        <v>338</v>
      </c>
      <c r="N505" s="121"/>
      <c r="O505" s="124">
        <v>45448</v>
      </c>
      <c r="P505" s="120" t="s">
        <v>1331</v>
      </c>
      <c r="Q505" s="120" t="s">
        <v>414</v>
      </c>
      <c r="R505" s="120" t="s">
        <v>407</v>
      </c>
      <c r="S505" s="120" t="s">
        <v>1218</v>
      </c>
      <c r="T505" s="122">
        <v>1.72</v>
      </c>
      <c r="U505" s="120" t="s">
        <v>2613</v>
      </c>
      <c r="V505" s="123">
        <v>5.1551E-2</v>
      </c>
      <c r="W505" s="120"/>
      <c r="X505" s="120"/>
      <c r="Y505" s="123"/>
      <c r="Z505" s="123">
        <v>4.8000000000000001E-2</v>
      </c>
      <c r="AA505" s="124">
        <v>46490</v>
      </c>
      <c r="AB505" s="120" t="s">
        <v>411</v>
      </c>
      <c r="AC505" s="120"/>
      <c r="AD505" s="122"/>
      <c r="AE505" s="120"/>
      <c r="AF505" s="120"/>
      <c r="AG505" s="120"/>
      <c r="AH505" s="120"/>
      <c r="AI505" s="120"/>
      <c r="AJ505" s="120" t="s">
        <v>337</v>
      </c>
      <c r="AK505" s="120" t="s">
        <v>887</v>
      </c>
      <c r="AL505" s="120"/>
      <c r="AM505" s="120" t="s">
        <v>890</v>
      </c>
      <c r="AN505" s="124">
        <v>45838</v>
      </c>
      <c r="AO505" s="120"/>
      <c r="AP505" s="120"/>
      <c r="AQ505" s="122">
        <v>1074132</v>
      </c>
      <c r="AR505" s="122">
        <v>104.05</v>
      </c>
      <c r="AS505" s="122">
        <v>1</v>
      </c>
      <c r="AT505" s="122">
        <v>1117.63435</v>
      </c>
      <c r="AU505" s="122">
        <v>1117.63435</v>
      </c>
      <c r="AV505" s="120"/>
      <c r="AW505" s="120"/>
      <c r="AX505" s="120"/>
      <c r="AY505" s="120"/>
      <c r="AZ505" s="123">
        <v>3.8900000000000002E-4</v>
      </c>
      <c r="BA505" s="123">
        <v>1.8E-5</v>
      </c>
    </row>
    <row r="506" spans="1:53" ht="15" customHeight="1">
      <c r="A506" s="121">
        <v>313</v>
      </c>
      <c r="B506" s="121">
        <v>313</v>
      </c>
      <c r="C506" s="121"/>
      <c r="D506" s="120"/>
      <c r="E506" s="120"/>
      <c r="F506" s="121">
        <v>5678003</v>
      </c>
      <c r="G506" s="120" t="s">
        <v>1013</v>
      </c>
      <c r="H506" s="120" t="s">
        <v>818</v>
      </c>
      <c r="I506" s="120" t="s">
        <v>203</v>
      </c>
      <c r="J506" s="120"/>
      <c r="K506" s="120" t="s">
        <v>442</v>
      </c>
      <c r="L506" s="120" t="s">
        <v>338</v>
      </c>
      <c r="M506" s="120" t="s">
        <v>338</v>
      </c>
      <c r="N506" s="121"/>
      <c r="O506" s="124">
        <v>45475</v>
      </c>
      <c r="P506" s="120" t="s">
        <v>1331</v>
      </c>
      <c r="Q506" s="120" t="s">
        <v>414</v>
      </c>
      <c r="R506" s="120" t="s">
        <v>407</v>
      </c>
      <c r="S506" s="120" t="s">
        <v>1218</v>
      </c>
      <c r="T506" s="122">
        <v>1.72</v>
      </c>
      <c r="U506" s="120" t="s">
        <v>2613</v>
      </c>
      <c r="V506" s="123">
        <v>5.3134000000000001E-2</v>
      </c>
      <c r="W506" s="120"/>
      <c r="X506" s="120"/>
      <c r="Y506" s="123"/>
      <c r="Z506" s="123">
        <v>4.5699999999999998E-2</v>
      </c>
      <c r="AA506" s="124">
        <v>46490</v>
      </c>
      <c r="AB506" s="120" t="s">
        <v>411</v>
      </c>
      <c r="AC506" s="120"/>
      <c r="AD506" s="122"/>
      <c r="AE506" s="120"/>
      <c r="AF506" s="120"/>
      <c r="AG506" s="120"/>
      <c r="AH506" s="120"/>
      <c r="AI506" s="120"/>
      <c r="AJ506" s="120" t="s">
        <v>337</v>
      </c>
      <c r="AK506" s="120" t="s">
        <v>887</v>
      </c>
      <c r="AL506" s="120"/>
      <c r="AM506" s="120" t="s">
        <v>890</v>
      </c>
      <c r="AN506" s="124">
        <v>45838</v>
      </c>
      <c r="AO506" s="120"/>
      <c r="AP506" s="120"/>
      <c r="AQ506" s="122">
        <v>1763350</v>
      </c>
      <c r="AR506" s="122">
        <v>104.53</v>
      </c>
      <c r="AS506" s="122">
        <v>1</v>
      </c>
      <c r="AT506" s="122">
        <v>1843.2297599999999</v>
      </c>
      <c r="AU506" s="122">
        <v>1843.2297599999999</v>
      </c>
      <c r="AV506" s="120"/>
      <c r="AW506" s="120"/>
      <c r="AX506" s="120"/>
      <c r="AY506" s="120"/>
      <c r="AZ506" s="123">
        <v>6.4099999999999997E-4</v>
      </c>
      <c r="BA506" s="123">
        <v>3.0000000000000001E-5</v>
      </c>
    </row>
    <row r="507" spans="1:53" ht="15" customHeight="1">
      <c r="A507" s="121">
        <v>313</v>
      </c>
      <c r="B507" s="121">
        <v>313</v>
      </c>
      <c r="C507" s="121"/>
      <c r="D507" s="120"/>
      <c r="E507" s="120"/>
      <c r="F507" s="121">
        <v>5678004</v>
      </c>
      <c r="G507" s="120" t="s">
        <v>1013</v>
      </c>
      <c r="H507" s="120" t="s">
        <v>818</v>
      </c>
      <c r="I507" s="120" t="s">
        <v>203</v>
      </c>
      <c r="J507" s="120"/>
      <c r="K507" s="120" t="s">
        <v>442</v>
      </c>
      <c r="L507" s="120" t="s">
        <v>338</v>
      </c>
      <c r="M507" s="120" t="s">
        <v>338</v>
      </c>
      <c r="N507" s="121"/>
      <c r="O507" s="124">
        <v>45510</v>
      </c>
      <c r="P507" s="120" t="s">
        <v>1331</v>
      </c>
      <c r="Q507" s="120" t="s">
        <v>414</v>
      </c>
      <c r="R507" s="120" t="s">
        <v>407</v>
      </c>
      <c r="S507" s="120" t="s">
        <v>1218</v>
      </c>
      <c r="T507" s="122">
        <v>1.72</v>
      </c>
      <c r="U507" s="120" t="s">
        <v>2613</v>
      </c>
      <c r="V507" s="123">
        <v>5.0659000000000003E-2</v>
      </c>
      <c r="W507" s="120"/>
      <c r="X507" s="120"/>
      <c r="Y507" s="123"/>
      <c r="Z507" s="123">
        <v>4.5100000000000001E-2</v>
      </c>
      <c r="AA507" s="124">
        <v>46490</v>
      </c>
      <c r="AB507" s="120" t="s">
        <v>411</v>
      </c>
      <c r="AC507" s="120"/>
      <c r="AD507" s="122"/>
      <c r="AE507" s="120"/>
      <c r="AF507" s="120"/>
      <c r="AG507" s="120"/>
      <c r="AH507" s="120"/>
      <c r="AI507" s="120"/>
      <c r="AJ507" s="120" t="s">
        <v>337</v>
      </c>
      <c r="AK507" s="120" t="s">
        <v>887</v>
      </c>
      <c r="AL507" s="120"/>
      <c r="AM507" s="120" t="s">
        <v>890</v>
      </c>
      <c r="AN507" s="124">
        <v>45838</v>
      </c>
      <c r="AO507" s="120"/>
      <c r="AP507" s="120"/>
      <c r="AQ507" s="122">
        <v>1492803</v>
      </c>
      <c r="AR507" s="122">
        <v>104.11</v>
      </c>
      <c r="AS507" s="122">
        <v>1</v>
      </c>
      <c r="AT507" s="122">
        <v>1554.1572000000001</v>
      </c>
      <c r="AU507" s="122">
        <v>1554.1572000000001</v>
      </c>
      <c r="AV507" s="120"/>
      <c r="AW507" s="120"/>
      <c r="AX507" s="120"/>
      <c r="AY507" s="120"/>
      <c r="AZ507" s="123">
        <v>5.4100000000000003E-4</v>
      </c>
      <c r="BA507" s="123">
        <v>2.5000000000000001E-5</v>
      </c>
    </row>
    <row r="508" spans="1:53" ht="15" customHeight="1">
      <c r="A508" s="121">
        <v>313</v>
      </c>
      <c r="B508" s="121">
        <v>313</v>
      </c>
      <c r="C508" s="121"/>
      <c r="D508" s="120"/>
      <c r="E508" s="120"/>
      <c r="F508" s="121">
        <v>5678005</v>
      </c>
      <c r="G508" s="120" t="s">
        <v>1013</v>
      </c>
      <c r="H508" s="120" t="s">
        <v>818</v>
      </c>
      <c r="I508" s="120" t="s">
        <v>203</v>
      </c>
      <c r="J508" s="120"/>
      <c r="K508" s="120" t="s">
        <v>442</v>
      </c>
      <c r="L508" s="120" t="s">
        <v>338</v>
      </c>
      <c r="M508" s="120" t="s">
        <v>338</v>
      </c>
      <c r="N508" s="121"/>
      <c r="O508" s="124">
        <v>45540</v>
      </c>
      <c r="P508" s="120" t="s">
        <v>1331</v>
      </c>
      <c r="Q508" s="120" t="s">
        <v>414</v>
      </c>
      <c r="R508" s="120" t="s">
        <v>407</v>
      </c>
      <c r="S508" s="120" t="s">
        <v>1218</v>
      </c>
      <c r="T508" s="122">
        <v>1.72</v>
      </c>
      <c r="U508" s="120" t="s">
        <v>2613</v>
      </c>
      <c r="V508" s="123">
        <v>5.0895000000000003E-2</v>
      </c>
      <c r="W508" s="120"/>
      <c r="X508" s="120"/>
      <c r="Y508" s="123"/>
      <c r="Z508" s="123">
        <v>4.6899999999999997E-2</v>
      </c>
      <c r="AA508" s="124">
        <v>46490</v>
      </c>
      <c r="AB508" s="120" t="s">
        <v>411</v>
      </c>
      <c r="AC508" s="120"/>
      <c r="AD508" s="122"/>
      <c r="AE508" s="120"/>
      <c r="AF508" s="120"/>
      <c r="AG508" s="120"/>
      <c r="AH508" s="120"/>
      <c r="AI508" s="120"/>
      <c r="AJ508" s="120" t="s">
        <v>337</v>
      </c>
      <c r="AK508" s="120" t="s">
        <v>887</v>
      </c>
      <c r="AL508" s="120"/>
      <c r="AM508" s="120" t="s">
        <v>890</v>
      </c>
      <c r="AN508" s="124">
        <v>45838</v>
      </c>
      <c r="AO508" s="120"/>
      <c r="AP508" s="120"/>
      <c r="AQ508" s="122">
        <v>2368959.29</v>
      </c>
      <c r="AR508" s="122">
        <v>103.25</v>
      </c>
      <c r="AS508" s="122">
        <v>1</v>
      </c>
      <c r="AT508" s="122">
        <v>2445.9504700000002</v>
      </c>
      <c r="AU508" s="122">
        <v>2445.9504700000002</v>
      </c>
      <c r="AV508" s="120"/>
      <c r="AW508" s="120"/>
      <c r="AX508" s="120"/>
      <c r="AY508" s="120"/>
      <c r="AZ508" s="123">
        <v>8.5099999999999998E-4</v>
      </c>
      <c r="BA508" s="123">
        <v>4.0000000000000003E-5</v>
      </c>
    </row>
    <row r="509" spans="1:53" ht="15" customHeight="1">
      <c r="A509" s="121">
        <v>313</v>
      </c>
      <c r="B509" s="121">
        <v>313</v>
      </c>
      <c r="C509" s="121"/>
      <c r="D509" s="120"/>
      <c r="E509" s="120"/>
      <c r="F509" s="121">
        <v>5678006</v>
      </c>
      <c r="G509" s="120" t="s">
        <v>1013</v>
      </c>
      <c r="H509" s="120" t="s">
        <v>818</v>
      </c>
      <c r="I509" s="120" t="s">
        <v>203</v>
      </c>
      <c r="J509" s="120"/>
      <c r="K509" s="120" t="s">
        <v>442</v>
      </c>
      <c r="L509" s="120" t="s">
        <v>338</v>
      </c>
      <c r="M509" s="120" t="s">
        <v>338</v>
      </c>
      <c r="N509" s="121"/>
      <c r="O509" s="124">
        <v>45566</v>
      </c>
      <c r="P509" s="120" t="s">
        <v>1331</v>
      </c>
      <c r="Q509" s="120" t="s">
        <v>414</v>
      </c>
      <c r="R509" s="120" t="s">
        <v>407</v>
      </c>
      <c r="S509" s="120" t="s">
        <v>1218</v>
      </c>
      <c r="T509" s="122">
        <v>1.72</v>
      </c>
      <c r="U509" s="120" t="s">
        <v>2613</v>
      </c>
      <c r="V509" s="123">
        <v>5.1799999999999999E-2</v>
      </c>
      <c r="W509" s="120"/>
      <c r="X509" s="120"/>
      <c r="Y509" s="123"/>
      <c r="Z509" s="123">
        <v>4.8300000000000003E-2</v>
      </c>
      <c r="AA509" s="124">
        <v>46490</v>
      </c>
      <c r="AB509" s="120" t="s">
        <v>411</v>
      </c>
      <c r="AC509" s="120"/>
      <c r="AD509" s="122"/>
      <c r="AE509" s="120"/>
      <c r="AF509" s="120"/>
      <c r="AG509" s="120"/>
      <c r="AH509" s="120"/>
      <c r="AI509" s="120"/>
      <c r="AJ509" s="120" t="s">
        <v>337</v>
      </c>
      <c r="AK509" s="120" t="s">
        <v>887</v>
      </c>
      <c r="AL509" s="120"/>
      <c r="AM509" s="120" t="s">
        <v>890</v>
      </c>
      <c r="AN509" s="124">
        <v>45838</v>
      </c>
      <c r="AO509" s="120"/>
      <c r="AP509" s="120"/>
      <c r="AQ509" s="122">
        <v>2010286</v>
      </c>
      <c r="AR509" s="122">
        <v>102.23</v>
      </c>
      <c r="AS509" s="122">
        <v>1</v>
      </c>
      <c r="AT509" s="122">
        <v>2055.1153800000002</v>
      </c>
      <c r="AU509" s="122">
        <v>2055.1153800000002</v>
      </c>
      <c r="AV509" s="120"/>
      <c r="AW509" s="120"/>
      <c r="AX509" s="120"/>
      <c r="AY509" s="120"/>
      <c r="AZ509" s="123">
        <v>7.1500000000000003E-4</v>
      </c>
      <c r="BA509" s="123">
        <v>3.4E-5</v>
      </c>
    </row>
    <row r="510" spans="1:53" ht="15" customHeight="1">
      <c r="A510" s="121">
        <v>313</v>
      </c>
      <c r="B510" s="121">
        <v>313</v>
      </c>
      <c r="C510" s="121"/>
      <c r="D510" s="120"/>
      <c r="E510" s="120"/>
      <c r="F510" s="121">
        <v>5678001</v>
      </c>
      <c r="G510" s="120" t="s">
        <v>1013</v>
      </c>
      <c r="H510" s="120" t="s">
        <v>818</v>
      </c>
      <c r="I510" s="120" t="s">
        <v>203</v>
      </c>
      <c r="J510" s="120"/>
      <c r="K510" s="120" t="s">
        <v>442</v>
      </c>
      <c r="L510" s="120" t="s">
        <v>338</v>
      </c>
      <c r="M510" s="120" t="s">
        <v>338</v>
      </c>
      <c r="N510" s="121"/>
      <c r="O510" s="124">
        <v>45435</v>
      </c>
      <c r="P510" s="120" t="s">
        <v>1331</v>
      </c>
      <c r="Q510" s="120" t="s">
        <v>414</v>
      </c>
      <c r="R510" s="120" t="s">
        <v>407</v>
      </c>
      <c r="S510" s="120" t="s">
        <v>1218</v>
      </c>
      <c r="T510" s="122">
        <v>1.72</v>
      </c>
      <c r="U510" s="120" t="s">
        <v>2613</v>
      </c>
      <c r="V510" s="123">
        <v>4.9700000000000001E-2</v>
      </c>
      <c r="W510" s="120"/>
      <c r="X510" s="120"/>
      <c r="Y510" s="123"/>
      <c r="Z510" s="123">
        <v>4.8599999999999997E-2</v>
      </c>
      <c r="AA510" s="124">
        <v>46490</v>
      </c>
      <c r="AB510" s="120" t="s">
        <v>411</v>
      </c>
      <c r="AC510" s="120"/>
      <c r="AD510" s="122"/>
      <c r="AE510" s="120"/>
      <c r="AF510" s="120"/>
      <c r="AG510" s="120"/>
      <c r="AH510" s="120"/>
      <c r="AI510" s="120"/>
      <c r="AJ510" s="120" t="s">
        <v>337</v>
      </c>
      <c r="AK510" s="120" t="s">
        <v>887</v>
      </c>
      <c r="AL510" s="120"/>
      <c r="AM510" s="120" t="s">
        <v>890</v>
      </c>
      <c r="AN510" s="124">
        <v>45838</v>
      </c>
      <c r="AO510" s="120"/>
      <c r="AP510" s="120"/>
      <c r="AQ510" s="122">
        <v>1356401</v>
      </c>
      <c r="AR510" s="122">
        <v>103.63</v>
      </c>
      <c r="AS510" s="122">
        <v>1</v>
      </c>
      <c r="AT510" s="122">
        <v>1405.6383599999999</v>
      </c>
      <c r="AU510" s="122">
        <v>1405.6383599999999</v>
      </c>
      <c r="AV510" s="120"/>
      <c r="AW510" s="120"/>
      <c r="AX510" s="120"/>
      <c r="AY510" s="120"/>
      <c r="AZ510" s="123">
        <v>4.8899999999999996E-4</v>
      </c>
      <c r="BA510" s="123">
        <v>2.3E-5</v>
      </c>
    </row>
    <row r="511" spans="1:53" ht="15" customHeight="1">
      <c r="A511" s="121">
        <v>313</v>
      </c>
      <c r="B511" s="121">
        <v>313</v>
      </c>
      <c r="C511" s="121"/>
      <c r="D511" s="120"/>
      <c r="E511" s="120"/>
      <c r="F511" s="121">
        <v>81836</v>
      </c>
      <c r="G511" s="120" t="s">
        <v>1013</v>
      </c>
      <c r="H511" s="120" t="s">
        <v>812</v>
      </c>
      <c r="I511" s="120" t="s">
        <v>203</v>
      </c>
      <c r="J511" s="120"/>
      <c r="K511" s="120" t="s">
        <v>454</v>
      </c>
      <c r="L511" s="120" t="s">
        <v>338</v>
      </c>
      <c r="M511" s="120" t="s">
        <v>337</v>
      </c>
      <c r="N511" s="121"/>
      <c r="O511" s="124">
        <v>43275</v>
      </c>
      <c r="P511" s="120" t="s">
        <v>1339</v>
      </c>
      <c r="Q511" s="120" t="s">
        <v>414</v>
      </c>
      <c r="R511" s="120" t="s">
        <v>407</v>
      </c>
      <c r="S511" s="120" t="s">
        <v>1218</v>
      </c>
      <c r="T511" s="122">
        <v>6.69</v>
      </c>
      <c r="U511" s="120" t="s">
        <v>2613</v>
      </c>
      <c r="V511" s="123">
        <v>3.39E-2</v>
      </c>
      <c r="W511" s="120"/>
      <c r="X511" s="120"/>
      <c r="Y511" s="123"/>
      <c r="Z511" s="123">
        <v>2.9100000000000001E-2</v>
      </c>
      <c r="AA511" s="124">
        <v>51134</v>
      </c>
      <c r="AB511" s="120" t="s">
        <v>411</v>
      </c>
      <c r="AC511" s="120"/>
      <c r="AD511" s="122"/>
      <c r="AE511" s="120"/>
      <c r="AF511" s="120"/>
      <c r="AG511" s="120"/>
      <c r="AH511" s="120"/>
      <c r="AI511" s="120"/>
      <c r="AJ511" s="120" t="s">
        <v>337</v>
      </c>
      <c r="AK511" s="120" t="s">
        <v>887</v>
      </c>
      <c r="AL511" s="120" t="s">
        <v>2614</v>
      </c>
      <c r="AM511" s="120" t="s">
        <v>890</v>
      </c>
      <c r="AN511" s="124">
        <v>45838</v>
      </c>
      <c r="AO511" s="120"/>
      <c r="AP511" s="120"/>
      <c r="AQ511" s="122">
        <v>449122.99</v>
      </c>
      <c r="AR511" s="122">
        <v>119.45</v>
      </c>
      <c r="AS511" s="122">
        <v>1</v>
      </c>
      <c r="AT511" s="122">
        <v>536.47740999999996</v>
      </c>
      <c r="AU511" s="122">
        <v>536.47740999999996</v>
      </c>
      <c r="AV511" s="120"/>
      <c r="AW511" s="120"/>
      <c r="AX511" s="120"/>
      <c r="AY511" s="120"/>
      <c r="AZ511" s="123">
        <v>1.8599999999999999E-4</v>
      </c>
      <c r="BA511" s="123">
        <v>7.9999999999999996E-6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4"/>
  <sheetViews>
    <sheetView rightToLeft="1" workbookViewId="0">
      <selection activeCell="N13" sqref="N13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1029</v>
      </c>
      <c r="G2" s="124"/>
      <c r="H2" s="120" t="s">
        <v>203</v>
      </c>
      <c r="I2" s="120" t="s">
        <v>203</v>
      </c>
      <c r="J2" s="120" t="s">
        <v>338</v>
      </c>
      <c r="K2" s="120" t="s">
        <v>1307</v>
      </c>
      <c r="L2" s="120" t="s">
        <v>414</v>
      </c>
      <c r="M2" s="120" t="s">
        <v>1222</v>
      </c>
      <c r="N2" s="122"/>
      <c r="O2" s="123"/>
      <c r="P2" s="123">
        <v>0</v>
      </c>
      <c r="Q2" s="122">
        <v>-10410</v>
      </c>
      <c r="R2" s="122">
        <v>3.3719999999999999</v>
      </c>
      <c r="S2" s="122">
        <v>100</v>
      </c>
      <c r="T2" s="122">
        <v>-35102.519999999997</v>
      </c>
      <c r="U2" s="123">
        <v>-0.101647</v>
      </c>
      <c r="V2" s="123">
        <v>-5.8399999999999999E-4</v>
      </c>
    </row>
    <row r="3" spans="1:26" ht="15" customHeight="1">
      <c r="A3" s="121">
        <v>313</v>
      </c>
      <c r="B3" s="121">
        <v>313</v>
      </c>
      <c r="C3" s="120" t="s">
        <v>1209</v>
      </c>
      <c r="D3" s="120" t="s">
        <v>1210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1460</v>
      </c>
      <c r="L3" s="120" t="s">
        <v>432</v>
      </c>
      <c r="M3" s="120" t="s">
        <v>1222</v>
      </c>
      <c r="N3" s="122"/>
      <c r="O3" s="123"/>
      <c r="P3" s="123">
        <v>0</v>
      </c>
      <c r="Q3" s="122">
        <v>-4010</v>
      </c>
      <c r="R3" s="122">
        <v>3.3719999999999999</v>
      </c>
      <c r="S3" s="122">
        <v>100</v>
      </c>
      <c r="T3" s="122">
        <v>-13521.72</v>
      </c>
      <c r="U3" s="123">
        <v>-3.9155000000000002E-2</v>
      </c>
      <c r="V3" s="123">
        <v>-2.2499999999999999E-4</v>
      </c>
    </row>
    <row r="4" spans="1:26" ht="15" customHeight="1">
      <c r="A4" s="121">
        <v>313</v>
      </c>
      <c r="B4" s="121">
        <v>313</v>
      </c>
      <c r="C4" s="120" t="s">
        <v>1213</v>
      </c>
      <c r="D4" s="120" t="s">
        <v>1214</v>
      </c>
      <c r="E4" s="120" t="s">
        <v>314</v>
      </c>
      <c r="F4" s="120" t="s">
        <v>952</v>
      </c>
      <c r="G4" s="124">
        <v>45991</v>
      </c>
      <c r="H4" s="120" t="s">
        <v>203</v>
      </c>
      <c r="I4" s="120" t="s">
        <v>203</v>
      </c>
      <c r="J4" s="120" t="s">
        <v>338</v>
      </c>
      <c r="K4" s="120" t="s">
        <v>1307</v>
      </c>
      <c r="L4" s="120" t="s">
        <v>414</v>
      </c>
      <c r="M4" s="120" t="s">
        <v>1218</v>
      </c>
      <c r="N4" s="122">
        <v>0.42</v>
      </c>
      <c r="O4" s="123"/>
      <c r="P4" s="123">
        <v>4.5499999999999999E-2</v>
      </c>
      <c r="Q4" s="122">
        <v>166536</v>
      </c>
      <c r="R4" s="122">
        <v>1</v>
      </c>
      <c r="S4" s="122">
        <v>102.8</v>
      </c>
      <c r="T4" s="122">
        <v>166536</v>
      </c>
      <c r="U4" s="123">
        <v>0.48224899999999998</v>
      </c>
      <c r="V4" s="123">
        <v>2.7729999999999999E-3</v>
      </c>
    </row>
    <row r="5" spans="1:26" ht="15" customHeight="1">
      <c r="A5" s="121">
        <v>313</v>
      </c>
      <c r="B5" s="121">
        <v>313</v>
      </c>
      <c r="C5" s="120" t="s">
        <v>1209</v>
      </c>
      <c r="D5" s="120" t="s">
        <v>1210</v>
      </c>
      <c r="E5" s="120" t="s">
        <v>314</v>
      </c>
      <c r="F5" s="120" t="s">
        <v>1029</v>
      </c>
      <c r="G5" s="124"/>
      <c r="H5" s="120" t="s">
        <v>203</v>
      </c>
      <c r="I5" s="120" t="s">
        <v>237</v>
      </c>
      <c r="J5" s="120" t="s">
        <v>338</v>
      </c>
      <c r="K5" s="120" t="s">
        <v>1460</v>
      </c>
      <c r="L5" s="120" t="s">
        <v>432</v>
      </c>
      <c r="M5" s="120" t="s">
        <v>1222</v>
      </c>
      <c r="N5" s="122"/>
      <c r="O5" s="123"/>
      <c r="P5" s="123">
        <v>0</v>
      </c>
      <c r="Q5" s="122">
        <v>6380</v>
      </c>
      <c r="R5" s="122">
        <v>3.3719999999999999</v>
      </c>
      <c r="S5" s="122">
        <v>100</v>
      </c>
      <c r="T5" s="122">
        <v>21513.360000000001</v>
      </c>
      <c r="U5" s="123">
        <v>6.2296999999999998E-2</v>
      </c>
      <c r="V5" s="123">
        <v>3.57E-4</v>
      </c>
    </row>
    <row r="6" spans="1:26" ht="15" customHeight="1">
      <c r="A6" s="121">
        <v>313</v>
      </c>
      <c r="B6" s="121">
        <v>313</v>
      </c>
      <c r="C6" s="120" t="s">
        <v>1209</v>
      </c>
      <c r="D6" s="120" t="s">
        <v>1210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1269</v>
      </c>
      <c r="L6" s="120" t="s">
        <v>430</v>
      </c>
      <c r="M6" s="120" t="s">
        <v>1222</v>
      </c>
      <c r="N6" s="122"/>
      <c r="O6" s="123"/>
      <c r="P6" s="123">
        <v>0</v>
      </c>
      <c r="Q6" s="122">
        <v>1914.89023</v>
      </c>
      <c r="R6" s="122">
        <v>3.3719999999999999</v>
      </c>
      <c r="S6" s="122">
        <v>100</v>
      </c>
      <c r="T6" s="122">
        <v>6457.0098600000001</v>
      </c>
      <c r="U6" s="123">
        <v>1.8697999999999999E-2</v>
      </c>
      <c r="V6" s="123">
        <v>1.07E-4</v>
      </c>
    </row>
    <row r="7" spans="1:26" ht="15" customHeight="1">
      <c r="A7" s="121">
        <v>313</v>
      </c>
      <c r="B7" s="121">
        <v>313</v>
      </c>
      <c r="C7" s="120" t="s">
        <v>1216</v>
      </c>
      <c r="D7" s="120" t="s">
        <v>1217</v>
      </c>
      <c r="E7" s="120" t="s">
        <v>314</v>
      </c>
      <c r="F7" s="120" t="s">
        <v>753</v>
      </c>
      <c r="G7" s="124">
        <v>49245</v>
      </c>
      <c r="H7" s="120" t="s">
        <v>203</v>
      </c>
      <c r="I7" s="120" t="s">
        <v>203</v>
      </c>
      <c r="J7" s="120" t="s">
        <v>338</v>
      </c>
      <c r="K7" s="120" t="s">
        <v>1952</v>
      </c>
      <c r="L7" s="120" t="s">
        <v>412</v>
      </c>
      <c r="M7" s="120" t="s">
        <v>1218</v>
      </c>
      <c r="N7" s="122">
        <v>4.3099999999999996</v>
      </c>
      <c r="O7" s="123"/>
      <c r="P7" s="123">
        <v>2.24E-2</v>
      </c>
      <c r="Q7" s="122">
        <v>16942.00015</v>
      </c>
      <c r="R7" s="122">
        <v>1</v>
      </c>
      <c r="S7" s="122">
        <v>169.42</v>
      </c>
      <c r="T7" s="122">
        <v>16942.00015</v>
      </c>
      <c r="U7" s="123">
        <v>4.9059999999999999E-2</v>
      </c>
      <c r="V7" s="123">
        <v>2.8200000000000002E-4</v>
      </c>
    </row>
    <row r="8" spans="1:26" ht="15" customHeight="1">
      <c r="A8" s="121">
        <v>313</v>
      </c>
      <c r="B8" s="121">
        <v>313</v>
      </c>
      <c r="C8" s="120" t="s">
        <v>1219</v>
      </c>
      <c r="D8" s="120" t="s">
        <v>1220</v>
      </c>
      <c r="E8" s="120" t="s">
        <v>314</v>
      </c>
      <c r="F8" s="120" t="s">
        <v>1029</v>
      </c>
      <c r="G8" s="124"/>
      <c r="H8" s="120" t="s">
        <v>203</v>
      </c>
      <c r="I8" s="120" t="s">
        <v>203</v>
      </c>
      <c r="J8" s="120" t="s">
        <v>338</v>
      </c>
      <c r="K8" s="120" t="s">
        <v>1307</v>
      </c>
      <c r="L8" s="120" t="s">
        <v>414</v>
      </c>
      <c r="M8" s="120" t="s">
        <v>1222</v>
      </c>
      <c r="N8" s="122"/>
      <c r="O8" s="123"/>
      <c r="P8" s="123">
        <v>0</v>
      </c>
      <c r="Q8" s="122">
        <v>-2590</v>
      </c>
      <c r="R8" s="122">
        <v>3.3719999999999999</v>
      </c>
      <c r="S8" s="122">
        <v>100</v>
      </c>
      <c r="T8" s="122">
        <v>-8733.48</v>
      </c>
      <c r="U8" s="123">
        <v>-2.529E-2</v>
      </c>
      <c r="V8" s="123">
        <v>-1.45E-4</v>
      </c>
    </row>
    <row r="9" spans="1:26" ht="15" customHeight="1">
      <c r="A9" s="121">
        <v>313</v>
      </c>
      <c r="B9" s="121">
        <v>313</v>
      </c>
      <c r="C9" s="120" t="s">
        <v>1216</v>
      </c>
      <c r="D9" s="120" t="s">
        <v>1217</v>
      </c>
      <c r="E9" s="120" t="s">
        <v>314</v>
      </c>
      <c r="F9" s="120" t="s">
        <v>753</v>
      </c>
      <c r="G9" s="124">
        <v>47424</v>
      </c>
      <c r="H9" s="120" t="s">
        <v>203</v>
      </c>
      <c r="I9" s="120" t="s">
        <v>203</v>
      </c>
      <c r="J9" s="120" t="s">
        <v>338</v>
      </c>
      <c r="K9" s="120" t="s">
        <v>1952</v>
      </c>
      <c r="L9" s="120" t="s">
        <v>412</v>
      </c>
      <c r="M9" s="120" t="s">
        <v>1218</v>
      </c>
      <c r="N9" s="122">
        <v>2.1800000000000002</v>
      </c>
      <c r="O9" s="123"/>
      <c r="P9" s="123">
        <v>2.3099999999999999E-2</v>
      </c>
      <c r="Q9" s="122">
        <v>470.44335999999998</v>
      </c>
      <c r="R9" s="122">
        <v>1</v>
      </c>
      <c r="S9" s="122">
        <v>169.46</v>
      </c>
      <c r="T9" s="122">
        <v>470.44335999999998</v>
      </c>
      <c r="U9" s="123">
        <v>1.3619999999999999E-3</v>
      </c>
      <c r="V9" s="123">
        <v>6.9999999999999999E-6</v>
      </c>
    </row>
    <row r="10" spans="1:26" ht="15" customHeight="1">
      <c r="A10" s="121">
        <v>313</v>
      </c>
      <c r="B10" s="121">
        <v>313</v>
      </c>
      <c r="C10" s="120" t="s">
        <v>1209</v>
      </c>
      <c r="D10" s="120" t="s">
        <v>1210</v>
      </c>
      <c r="E10" s="120" t="s">
        <v>314</v>
      </c>
      <c r="F10" s="120" t="s">
        <v>1029</v>
      </c>
      <c r="G10" s="124"/>
      <c r="H10" s="120" t="s">
        <v>203</v>
      </c>
      <c r="I10" s="120" t="s">
        <v>223</v>
      </c>
      <c r="J10" s="120" t="s">
        <v>338</v>
      </c>
      <c r="K10" s="120" t="s">
        <v>1460</v>
      </c>
      <c r="L10" s="120" t="s">
        <v>432</v>
      </c>
      <c r="M10" s="120" t="s">
        <v>1222</v>
      </c>
      <c r="N10" s="122"/>
      <c r="O10" s="123"/>
      <c r="P10" s="123">
        <v>0</v>
      </c>
      <c r="Q10" s="122">
        <v>-500</v>
      </c>
      <c r="R10" s="122">
        <v>3.3719999999999999</v>
      </c>
      <c r="S10" s="122">
        <v>100</v>
      </c>
      <c r="T10" s="122">
        <v>-1686</v>
      </c>
      <c r="U10" s="123">
        <v>-4.8820000000000001E-3</v>
      </c>
      <c r="V10" s="123">
        <v>-2.8E-5</v>
      </c>
    </row>
    <row r="11" spans="1:26" ht="15" customHeight="1">
      <c r="A11" s="121">
        <v>313</v>
      </c>
      <c r="B11" s="121">
        <v>313</v>
      </c>
      <c r="C11" s="120" t="s">
        <v>1209</v>
      </c>
      <c r="D11" s="120" t="s">
        <v>1210</v>
      </c>
      <c r="E11" s="120" t="s">
        <v>314</v>
      </c>
      <c r="F11" s="120" t="s">
        <v>1029</v>
      </c>
      <c r="G11" s="124"/>
      <c r="H11" s="120" t="s">
        <v>203</v>
      </c>
      <c r="I11" s="120" t="s">
        <v>203</v>
      </c>
      <c r="J11" s="120" t="s">
        <v>338</v>
      </c>
      <c r="K11" s="120" t="s">
        <v>1307</v>
      </c>
      <c r="L11" s="120" t="s">
        <v>414</v>
      </c>
      <c r="M11" s="120" t="s">
        <v>1218</v>
      </c>
      <c r="N11" s="122"/>
      <c r="O11" s="123"/>
      <c r="P11" s="123">
        <v>0</v>
      </c>
      <c r="Q11" s="122">
        <v>690</v>
      </c>
      <c r="R11" s="122">
        <v>1</v>
      </c>
      <c r="S11" s="122">
        <v>100</v>
      </c>
      <c r="T11" s="122">
        <v>690</v>
      </c>
      <c r="U11" s="123">
        <v>1.9980000000000002E-3</v>
      </c>
      <c r="V11" s="123">
        <v>1.1E-5</v>
      </c>
    </row>
    <row r="12" spans="1:26" ht="15" customHeight="1">
      <c r="A12" s="121">
        <v>313</v>
      </c>
      <c r="B12" s="121">
        <v>313</v>
      </c>
      <c r="C12" s="120" t="s">
        <v>1216</v>
      </c>
      <c r="D12" s="120" t="s">
        <v>1217</v>
      </c>
      <c r="E12" s="120" t="s">
        <v>314</v>
      </c>
      <c r="F12" s="120" t="s">
        <v>952</v>
      </c>
      <c r="G12" s="124">
        <v>45965</v>
      </c>
      <c r="H12" s="120" t="s">
        <v>203</v>
      </c>
      <c r="I12" s="120" t="s">
        <v>203</v>
      </c>
      <c r="J12" s="120" t="s">
        <v>338</v>
      </c>
      <c r="K12" s="120" t="s">
        <v>1307</v>
      </c>
      <c r="L12" s="120" t="s">
        <v>414</v>
      </c>
      <c r="M12" s="120" t="s">
        <v>1218</v>
      </c>
      <c r="N12" s="122">
        <v>0.35</v>
      </c>
      <c r="O12" s="123"/>
      <c r="P12" s="123">
        <v>4.5900000000000003E-2</v>
      </c>
      <c r="Q12" s="122">
        <v>155665.9</v>
      </c>
      <c r="R12" s="122">
        <v>1</v>
      </c>
      <c r="S12" s="122">
        <v>103.09</v>
      </c>
      <c r="T12" s="122">
        <v>155665.9</v>
      </c>
      <c r="U12" s="123">
        <v>0.45077200000000001</v>
      </c>
      <c r="V12" s="123">
        <v>2.5920000000000001E-3</v>
      </c>
    </row>
    <row r="13" spans="1:26" ht="15" customHeight="1">
      <c r="A13" s="121">
        <v>313</v>
      </c>
      <c r="B13" s="121">
        <v>313</v>
      </c>
      <c r="C13" s="120" t="s">
        <v>1216</v>
      </c>
      <c r="D13" s="120" t="s">
        <v>1217</v>
      </c>
      <c r="E13" s="120" t="s">
        <v>314</v>
      </c>
      <c r="F13" s="120" t="s">
        <v>753</v>
      </c>
      <c r="G13" s="124">
        <v>50895</v>
      </c>
      <c r="H13" s="120" t="s">
        <v>203</v>
      </c>
      <c r="I13" s="120" t="s">
        <v>203</v>
      </c>
      <c r="J13" s="120" t="s">
        <v>338</v>
      </c>
      <c r="K13" s="120" t="s">
        <v>1307</v>
      </c>
      <c r="L13" s="120" t="s">
        <v>414</v>
      </c>
      <c r="M13" s="120" t="s">
        <v>1218</v>
      </c>
      <c r="N13" s="122">
        <v>13.86</v>
      </c>
      <c r="O13" s="123"/>
      <c r="P13" s="123">
        <v>2.8400000000000002E-2</v>
      </c>
      <c r="Q13" s="122">
        <v>40045.585610000002</v>
      </c>
      <c r="R13" s="122">
        <v>1</v>
      </c>
      <c r="S13" s="122">
        <v>106.26</v>
      </c>
      <c r="T13" s="122">
        <v>40045.585610000002</v>
      </c>
      <c r="U13" s="123">
        <v>0.115962</v>
      </c>
      <c r="V13" s="123">
        <v>6.6600000000000003E-4</v>
      </c>
    </row>
    <row r="14" spans="1:26" ht="15" customHeight="1">
      <c r="A14" s="121">
        <v>313</v>
      </c>
      <c r="B14" s="121">
        <v>313</v>
      </c>
      <c r="C14" s="120" t="s">
        <v>1209</v>
      </c>
      <c r="D14" s="120" t="s">
        <v>1210</v>
      </c>
      <c r="E14" s="120" t="s">
        <v>314</v>
      </c>
      <c r="F14" s="120" t="s">
        <v>1029</v>
      </c>
      <c r="G14" s="120"/>
      <c r="H14" s="120" t="s">
        <v>203</v>
      </c>
      <c r="I14" s="120" t="s">
        <v>232</v>
      </c>
      <c r="J14" s="120" t="s">
        <v>338</v>
      </c>
      <c r="K14" s="120" t="s">
        <v>1402</v>
      </c>
      <c r="L14" s="120" t="s">
        <v>432</v>
      </c>
      <c r="M14" s="120" t="s">
        <v>1222</v>
      </c>
      <c r="N14" s="122"/>
      <c r="O14" s="120"/>
      <c r="P14" s="123">
        <v>0</v>
      </c>
      <c r="Q14" s="122">
        <v>-1170.0001299999999</v>
      </c>
      <c r="R14" s="122">
        <v>3.3719999999999999</v>
      </c>
      <c r="S14" s="122">
        <v>100</v>
      </c>
      <c r="T14" s="122">
        <v>-3945.24044</v>
      </c>
      <c r="U14" s="123">
        <v>-1.1424E-2</v>
      </c>
      <c r="V14" s="123">
        <v>-6.4999999999999994E-5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2625</v>
      </c>
      <c r="D2" s="120" t="s">
        <v>1031</v>
      </c>
      <c r="E2" s="120" t="s">
        <v>203</v>
      </c>
      <c r="F2" s="120" t="s">
        <v>338</v>
      </c>
      <c r="G2" s="124">
        <v>41318</v>
      </c>
      <c r="H2" s="120" t="s">
        <v>858</v>
      </c>
      <c r="I2" s="120" t="s">
        <v>868</v>
      </c>
      <c r="J2" s="120" t="s">
        <v>2626</v>
      </c>
      <c r="K2" s="123">
        <v>1.7250000000000001E-2</v>
      </c>
      <c r="L2" s="120"/>
      <c r="M2" s="120" t="s">
        <v>888</v>
      </c>
      <c r="N2" s="120"/>
      <c r="O2" s="120" t="s">
        <v>890</v>
      </c>
      <c r="P2" s="124">
        <v>45747</v>
      </c>
      <c r="Q2" s="120" t="s">
        <v>1218</v>
      </c>
      <c r="R2" s="122">
        <v>20862.582259999999</v>
      </c>
      <c r="S2" s="122">
        <v>20862.582259999999</v>
      </c>
      <c r="T2" s="122"/>
      <c r="U2" s="122"/>
      <c r="V2" s="120"/>
      <c r="W2" s="123">
        <v>0.72433899999999996</v>
      </c>
      <c r="X2" s="123">
        <v>3.4699999999999998E-4</v>
      </c>
    </row>
    <row r="3" spans="1:26" ht="15" customHeight="1">
      <c r="A3" s="121">
        <v>313</v>
      </c>
      <c r="B3" s="121">
        <v>313</v>
      </c>
      <c r="C3" s="120" t="s">
        <v>2627</v>
      </c>
      <c r="D3" s="120" t="s">
        <v>1031</v>
      </c>
      <c r="E3" s="120" t="s">
        <v>203</v>
      </c>
      <c r="F3" s="120" t="s">
        <v>338</v>
      </c>
      <c r="G3" s="124">
        <v>41374</v>
      </c>
      <c r="H3" s="120" t="s">
        <v>858</v>
      </c>
      <c r="I3" s="120" t="s">
        <v>868</v>
      </c>
      <c r="J3" s="120" t="s">
        <v>2628</v>
      </c>
      <c r="K3" s="123">
        <v>1.754E-2</v>
      </c>
      <c r="L3" s="120"/>
      <c r="M3" s="120" t="s">
        <v>888</v>
      </c>
      <c r="N3" s="120"/>
      <c r="O3" s="120" t="s">
        <v>890</v>
      </c>
      <c r="P3" s="124">
        <v>45747</v>
      </c>
      <c r="Q3" s="120" t="s">
        <v>1218</v>
      </c>
      <c r="R3" s="122">
        <v>5215.1733400000003</v>
      </c>
      <c r="S3" s="122">
        <v>5215.1733400000003</v>
      </c>
      <c r="T3" s="120"/>
      <c r="U3" s="120"/>
      <c r="V3" s="120"/>
      <c r="W3" s="123">
        <v>0.18106800000000001</v>
      </c>
      <c r="X3" s="123">
        <v>8.6000000000000003E-5</v>
      </c>
    </row>
    <row r="4" spans="1:26" ht="15" customHeight="1">
      <c r="A4" s="121">
        <v>313</v>
      </c>
      <c r="B4" s="121">
        <v>313</v>
      </c>
      <c r="C4" s="120" t="s">
        <v>2629</v>
      </c>
      <c r="D4" s="120" t="s">
        <v>1031</v>
      </c>
      <c r="E4" s="120" t="s">
        <v>203</v>
      </c>
      <c r="F4" s="120" t="s">
        <v>338</v>
      </c>
      <c r="G4" s="124">
        <v>43220</v>
      </c>
      <c r="H4" s="120" t="s">
        <v>313</v>
      </c>
      <c r="I4" s="120" t="s">
        <v>868</v>
      </c>
      <c r="J4" s="120" t="s">
        <v>2626</v>
      </c>
      <c r="K4" s="123">
        <v>1.7250000000000001E-2</v>
      </c>
      <c r="L4" s="120"/>
      <c r="M4" s="120" t="s">
        <v>888</v>
      </c>
      <c r="N4" s="120"/>
      <c r="O4" s="120" t="s">
        <v>890</v>
      </c>
      <c r="P4" s="124">
        <v>45747</v>
      </c>
      <c r="Q4" s="120" t="s">
        <v>1218</v>
      </c>
      <c r="R4" s="122">
        <v>2724.4444400000002</v>
      </c>
      <c r="S4" s="122">
        <v>2724.4444400000002</v>
      </c>
      <c r="T4" s="120"/>
      <c r="U4" s="120"/>
      <c r="V4" s="120"/>
      <c r="W4" s="123">
        <v>9.4590999999999995E-2</v>
      </c>
      <c r="X4" s="123">
        <v>4.5000000000000003E-5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2630</v>
      </c>
      <c r="D2" s="121">
        <v>7893861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1218</v>
      </c>
      <c r="K2" s="124">
        <v>45838</v>
      </c>
      <c r="L2" s="122">
        <v>15095860.96043</v>
      </c>
      <c r="M2" s="122">
        <v>1</v>
      </c>
      <c r="N2" s="122">
        <v>15095860.96043</v>
      </c>
      <c r="O2" s="122"/>
      <c r="P2" s="120"/>
      <c r="Q2" s="123">
        <v>0.95926699999999998</v>
      </c>
      <c r="R2" s="123">
        <v>0.25140099999999999</v>
      </c>
    </row>
    <row r="3" spans="1:26" ht="15" customHeight="1">
      <c r="A3" s="121">
        <v>313</v>
      </c>
      <c r="B3" s="121">
        <v>313</v>
      </c>
      <c r="C3" s="120" t="s">
        <v>2631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1218</v>
      </c>
      <c r="K3" s="124">
        <v>45838</v>
      </c>
      <c r="L3" s="122">
        <v>641000</v>
      </c>
      <c r="M3" s="122">
        <v>1</v>
      </c>
      <c r="N3" s="122">
        <v>641000</v>
      </c>
      <c r="O3" s="120"/>
      <c r="P3" s="120"/>
      <c r="Q3" s="123">
        <v>4.0731999999999997E-2</v>
      </c>
      <c r="R3" s="123">
        <v>1.0675E-2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8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875" customWidth="1"/>
    <col min="4" max="4" width="18.625" customWidth="1"/>
    <col min="5" max="5" width="52.62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625" customWidth="1"/>
    <col min="12" max="12" width="15.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2" customWidth="1"/>
    <col min="19" max="19" width="13.25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313</v>
      </c>
      <c r="B2" s="120">
        <v>313</v>
      </c>
      <c r="C2" s="134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3" t="s">
        <v>1304</v>
      </c>
      <c r="L2" s="120" t="s">
        <v>414</v>
      </c>
      <c r="M2" s="120" t="s">
        <v>408</v>
      </c>
      <c r="N2" s="120" t="s">
        <v>1215</v>
      </c>
      <c r="O2" s="135">
        <v>4.1524000000000001</v>
      </c>
      <c r="P2" s="123">
        <v>6.0000000000000001E-3</v>
      </c>
      <c r="Q2" s="120" t="s">
        <v>2613</v>
      </c>
      <c r="R2" s="136">
        <v>17250</v>
      </c>
      <c r="S2" s="136">
        <v>65265.375</v>
      </c>
      <c r="T2" s="137">
        <v>0.23713999999999999</v>
      </c>
    </row>
    <row r="3" spans="1:26" ht="15" customHeight="1">
      <c r="A3" s="120">
        <v>313</v>
      </c>
      <c r="B3" s="120">
        <v>313</v>
      </c>
      <c r="C3" s="134"/>
      <c r="D3" s="120"/>
      <c r="E3" s="138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1438</v>
      </c>
      <c r="L3" s="120" t="s">
        <v>311</v>
      </c>
      <c r="M3" s="120" t="s">
        <v>408</v>
      </c>
      <c r="N3" s="120" t="s">
        <v>1218</v>
      </c>
      <c r="O3" s="122">
        <v>1</v>
      </c>
      <c r="P3" s="123">
        <v>3.2000000000000002E-3</v>
      </c>
      <c r="Q3" s="120" t="s">
        <v>2613</v>
      </c>
      <c r="R3" s="136">
        <v>31050</v>
      </c>
      <c r="S3" s="136">
        <v>31050</v>
      </c>
      <c r="T3" s="137">
        <v>1</v>
      </c>
    </row>
    <row r="4" spans="1:26" ht="15" customHeight="1">
      <c r="A4" s="120">
        <v>313</v>
      </c>
      <c r="B4" s="120">
        <v>313</v>
      </c>
      <c r="C4" s="134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3" t="s">
        <v>1339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5.0000000000000001E-3</v>
      </c>
      <c r="Q4" s="120" t="s">
        <v>2613</v>
      </c>
      <c r="R4" s="136">
        <v>2799.7640100000003</v>
      </c>
      <c r="S4" s="136">
        <v>2799.7640100000003</v>
      </c>
      <c r="T4" s="137">
        <v>1</v>
      </c>
    </row>
    <row r="5" spans="1:26" ht="15" customHeight="1">
      <c r="A5" s="120">
        <v>313</v>
      </c>
      <c r="B5" s="120">
        <v>313</v>
      </c>
      <c r="C5" s="134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3" t="s">
        <v>1331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5.0000000000000001E-3</v>
      </c>
      <c r="Q5" s="120" t="s">
        <v>2613</v>
      </c>
      <c r="R5" s="136">
        <v>162.77422000000001</v>
      </c>
      <c r="S5" s="136">
        <v>162.77422000000001</v>
      </c>
      <c r="T5" s="137">
        <v>1</v>
      </c>
    </row>
    <row r="6" spans="1:26" ht="15" customHeight="1">
      <c r="A6" s="120">
        <v>313</v>
      </c>
      <c r="B6" s="120">
        <v>313</v>
      </c>
      <c r="C6" s="134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3" t="s">
        <v>1331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5.0000000000000001E-3</v>
      </c>
      <c r="Q6" s="120" t="s">
        <v>2613</v>
      </c>
      <c r="R6" s="136">
        <v>277.83908000000002</v>
      </c>
      <c r="S6" s="136">
        <v>277.83908000000002</v>
      </c>
      <c r="T6" s="137">
        <v>1</v>
      </c>
    </row>
    <row r="7" spans="1:26" ht="15" customHeight="1">
      <c r="A7" s="120">
        <v>313</v>
      </c>
      <c r="B7" s="120">
        <v>313</v>
      </c>
      <c r="C7" s="134"/>
      <c r="D7" s="120"/>
      <c r="E7" s="120"/>
      <c r="F7" s="135">
        <v>78000106</v>
      </c>
      <c r="G7" s="124">
        <v>44194</v>
      </c>
      <c r="H7" s="120" t="s">
        <v>203</v>
      </c>
      <c r="I7" s="120"/>
      <c r="J7" s="120" t="s">
        <v>338</v>
      </c>
      <c r="K7" s="133" t="s">
        <v>1331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5.0000000000000001E-3</v>
      </c>
      <c r="Q7" s="120" t="s">
        <v>2613</v>
      </c>
      <c r="R7" s="136">
        <v>1854.0461</v>
      </c>
      <c r="S7" s="136">
        <v>1854.0461</v>
      </c>
      <c r="T7" s="137">
        <v>1</v>
      </c>
    </row>
    <row r="8" spans="1:26" ht="15" customHeight="1">
      <c r="A8" s="120">
        <v>313</v>
      </c>
      <c r="B8" s="120">
        <v>313</v>
      </c>
      <c r="C8" s="134"/>
      <c r="D8" s="120"/>
      <c r="E8" s="138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3" t="s">
        <v>1331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5.0000000000000001E-3</v>
      </c>
      <c r="Q8" s="120" t="s">
        <v>2613</v>
      </c>
      <c r="R8" s="136">
        <v>570.41279950000001</v>
      </c>
      <c r="S8" s="136">
        <v>570.41279950000001</v>
      </c>
      <c r="T8" s="137">
        <v>1</v>
      </c>
    </row>
    <row r="9" spans="1:26" ht="15" customHeight="1">
      <c r="A9" s="120">
        <v>313</v>
      </c>
      <c r="B9" s="120">
        <v>313</v>
      </c>
      <c r="C9" s="134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3" t="s">
        <v>1304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6.0000000000000001E-3</v>
      </c>
      <c r="Q9" s="120" t="s">
        <v>2613</v>
      </c>
      <c r="R9" s="136">
        <v>42279.75</v>
      </c>
      <c r="S9" s="136">
        <v>42279.75</v>
      </c>
      <c r="T9" s="137">
        <v>0.26285765644309628</v>
      </c>
    </row>
    <row r="10" spans="1:26" ht="15" customHeight="1">
      <c r="A10" s="120">
        <v>313</v>
      </c>
      <c r="B10" s="120">
        <v>313</v>
      </c>
      <c r="C10" s="134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33" t="s">
        <v>1304</v>
      </c>
      <c r="L10" s="120" t="s">
        <v>414</v>
      </c>
      <c r="M10" s="120" t="s">
        <v>408</v>
      </c>
      <c r="N10" s="120" t="s">
        <v>1218</v>
      </c>
      <c r="O10" s="122">
        <v>1</v>
      </c>
      <c r="P10" s="123">
        <v>6.0000000000000001E-3</v>
      </c>
      <c r="Q10" s="120" t="s">
        <v>2613</v>
      </c>
      <c r="R10" s="136">
        <v>92500</v>
      </c>
      <c r="S10" s="136">
        <v>92500</v>
      </c>
      <c r="T10" s="137">
        <v>0.27377000000000001</v>
      </c>
    </row>
    <row r="11" spans="1:26" ht="15" customHeight="1">
      <c r="A11" s="139">
        <v>313</v>
      </c>
      <c r="B11" s="139">
        <v>313</v>
      </c>
      <c r="C11" s="140"/>
      <c r="D11" s="139"/>
      <c r="E11" s="139"/>
      <c r="F11" s="139">
        <v>70005263</v>
      </c>
      <c r="G11" s="141">
        <v>45651</v>
      </c>
      <c r="H11" s="139" t="s">
        <v>203</v>
      </c>
      <c r="I11" s="139"/>
      <c r="J11" s="139" t="s">
        <v>338</v>
      </c>
      <c r="K11" s="142" t="s">
        <v>1331</v>
      </c>
      <c r="L11" s="139" t="s">
        <v>414</v>
      </c>
      <c r="M11" s="139" t="s">
        <v>408</v>
      </c>
      <c r="N11" s="139" t="s">
        <v>1218</v>
      </c>
      <c r="O11" s="143">
        <v>1</v>
      </c>
      <c r="P11" s="137">
        <v>8.9999999999999993E-3</v>
      </c>
      <c r="Q11" s="139" t="s">
        <v>2613</v>
      </c>
      <c r="R11" s="144">
        <v>1610</v>
      </c>
      <c r="S11" s="144">
        <v>1610</v>
      </c>
      <c r="T11" s="137">
        <v>1</v>
      </c>
    </row>
    <row r="12" spans="1:26" ht="15" customHeight="1">
      <c r="A12" s="120">
        <v>313</v>
      </c>
      <c r="B12" s="120">
        <v>313</v>
      </c>
      <c r="C12" s="134"/>
      <c r="D12" s="120"/>
      <c r="E12" s="120"/>
      <c r="F12" s="120">
        <v>70004000</v>
      </c>
      <c r="G12" s="124">
        <v>44545</v>
      </c>
      <c r="H12" s="120" t="s">
        <v>203</v>
      </c>
      <c r="I12" s="120"/>
      <c r="J12" s="120" t="s">
        <v>338</v>
      </c>
      <c r="K12" s="133" t="s">
        <v>1294</v>
      </c>
      <c r="L12" s="120" t="s">
        <v>414</v>
      </c>
      <c r="M12" s="120" t="s">
        <v>408</v>
      </c>
      <c r="N12" s="120" t="s">
        <v>1218</v>
      </c>
      <c r="O12" s="122">
        <v>1</v>
      </c>
      <c r="P12" s="123">
        <v>1.15E-2</v>
      </c>
      <c r="Q12" s="120" t="s">
        <v>2613</v>
      </c>
      <c r="R12" s="136">
        <v>3499.2</v>
      </c>
      <c r="S12" s="136">
        <v>3499.2</v>
      </c>
      <c r="T12" s="137">
        <v>1</v>
      </c>
    </row>
    <row r="13" spans="1:26" ht="15" customHeight="1">
      <c r="A13" s="120">
        <v>313</v>
      </c>
      <c r="B13" s="120">
        <v>313</v>
      </c>
      <c r="C13" s="134"/>
      <c r="D13" s="120"/>
      <c r="E13" s="120"/>
      <c r="F13" s="120">
        <v>70005000</v>
      </c>
      <c r="G13" s="124">
        <v>44559</v>
      </c>
      <c r="H13" s="120" t="s">
        <v>203</v>
      </c>
      <c r="I13" s="120"/>
      <c r="J13" s="120" t="s">
        <v>338</v>
      </c>
      <c r="K13" s="133" t="s">
        <v>1339</v>
      </c>
      <c r="L13" s="120" t="s">
        <v>414</v>
      </c>
      <c r="M13" s="120" t="s">
        <v>408</v>
      </c>
      <c r="N13" s="120" t="s">
        <v>1218</v>
      </c>
      <c r="O13" s="122">
        <v>1</v>
      </c>
      <c r="P13" s="123">
        <v>6.0000000000000001E-3</v>
      </c>
      <c r="Q13" s="120" t="s">
        <v>2613</v>
      </c>
      <c r="R13" s="136">
        <v>40710</v>
      </c>
      <c r="S13" s="136">
        <v>40710</v>
      </c>
      <c r="T13" s="137">
        <v>0.62334000000000001</v>
      </c>
    </row>
    <row r="14" spans="1:26" ht="15" customHeight="1">
      <c r="A14" s="120">
        <v>313</v>
      </c>
      <c r="B14" s="120">
        <v>313</v>
      </c>
      <c r="C14" s="134"/>
      <c r="D14" s="120"/>
      <c r="E14" s="120"/>
      <c r="F14" s="120">
        <v>70005001</v>
      </c>
      <c r="G14" s="124">
        <v>44559</v>
      </c>
      <c r="H14" s="120" t="s">
        <v>203</v>
      </c>
      <c r="I14" s="120"/>
      <c r="J14" s="120" t="s">
        <v>338</v>
      </c>
      <c r="K14" s="133" t="s">
        <v>1339</v>
      </c>
      <c r="L14" s="120" t="s">
        <v>414</v>
      </c>
      <c r="M14" s="120" t="s">
        <v>408</v>
      </c>
      <c r="N14" s="120" t="s">
        <v>1218</v>
      </c>
      <c r="O14" s="122">
        <v>1</v>
      </c>
      <c r="P14" s="123">
        <v>6.0000000000000001E-3</v>
      </c>
      <c r="Q14" s="120" t="s">
        <v>2613</v>
      </c>
      <c r="R14" s="136">
        <v>3450</v>
      </c>
      <c r="S14" s="136">
        <v>3450</v>
      </c>
      <c r="T14" s="137">
        <v>0.93430653333333336</v>
      </c>
    </row>
    <row r="15" spans="1:26" ht="15" customHeight="1">
      <c r="A15" s="120">
        <v>313</v>
      </c>
      <c r="B15" s="120">
        <v>313</v>
      </c>
      <c r="C15" s="134"/>
      <c r="D15" s="120"/>
      <c r="E15" s="120"/>
      <c r="F15" s="120">
        <v>70005002</v>
      </c>
      <c r="G15" s="124">
        <v>44559</v>
      </c>
      <c r="H15" s="120" t="s">
        <v>203</v>
      </c>
      <c r="I15" s="120"/>
      <c r="J15" s="120" t="s">
        <v>338</v>
      </c>
      <c r="K15" s="133" t="s">
        <v>1339</v>
      </c>
      <c r="L15" s="120" t="s">
        <v>414</v>
      </c>
      <c r="M15" s="120" t="s">
        <v>408</v>
      </c>
      <c r="N15" s="120" t="s">
        <v>1218</v>
      </c>
      <c r="O15" s="122">
        <v>1</v>
      </c>
      <c r="P15" s="123">
        <v>6.0000000000000001E-3</v>
      </c>
      <c r="Q15" s="120" t="s">
        <v>2613</v>
      </c>
      <c r="R15" s="136">
        <v>6900</v>
      </c>
      <c r="S15" s="136">
        <v>6900</v>
      </c>
      <c r="T15" s="137">
        <v>1</v>
      </c>
    </row>
    <row r="16" spans="1:26" ht="15" customHeight="1">
      <c r="A16" s="120">
        <v>313</v>
      </c>
      <c r="B16" s="120">
        <v>313</v>
      </c>
      <c r="C16" s="134"/>
      <c r="D16" s="120"/>
      <c r="E16" s="120"/>
      <c r="F16" s="120">
        <v>79200100</v>
      </c>
      <c r="G16" s="124">
        <v>44558</v>
      </c>
      <c r="H16" s="120" t="s">
        <v>203</v>
      </c>
      <c r="I16" s="120"/>
      <c r="J16" s="120" t="s">
        <v>338</v>
      </c>
      <c r="K16" s="120" t="s">
        <v>409</v>
      </c>
      <c r="L16" s="145" t="s">
        <v>409</v>
      </c>
      <c r="M16" s="120" t="s">
        <v>408</v>
      </c>
      <c r="N16" s="120" t="s">
        <v>1218</v>
      </c>
      <c r="O16" s="122">
        <v>1</v>
      </c>
      <c r="P16" s="146">
        <v>9.0000000000000006E-5</v>
      </c>
      <c r="Q16" s="120" t="s">
        <v>2613</v>
      </c>
      <c r="R16" s="136">
        <v>25300</v>
      </c>
      <c r="S16" s="136">
        <v>25300</v>
      </c>
      <c r="T16" s="137">
        <v>3.5909090909090911E-2</v>
      </c>
    </row>
    <row r="17" spans="1:20" ht="15" customHeight="1">
      <c r="A17" s="120">
        <v>313</v>
      </c>
      <c r="B17" s="120">
        <v>313</v>
      </c>
      <c r="C17" s="134"/>
      <c r="D17" s="120"/>
      <c r="E17" s="120"/>
      <c r="F17" s="120">
        <v>76056000</v>
      </c>
      <c r="G17" s="124">
        <v>44644</v>
      </c>
      <c r="H17" s="120" t="s">
        <v>203</v>
      </c>
      <c r="I17" s="120"/>
      <c r="J17" s="120" t="s">
        <v>338</v>
      </c>
      <c r="K17" s="120" t="s">
        <v>1952</v>
      </c>
      <c r="L17" s="120" t="s">
        <v>412</v>
      </c>
      <c r="M17" s="120" t="s">
        <v>408</v>
      </c>
      <c r="N17" s="120" t="s">
        <v>1218</v>
      </c>
      <c r="O17" s="122">
        <v>1</v>
      </c>
      <c r="P17" s="123">
        <v>1.6000000000000001E-3</v>
      </c>
      <c r="Q17" s="120" t="s">
        <v>2613</v>
      </c>
      <c r="R17" s="136">
        <v>138000</v>
      </c>
      <c r="S17" s="136">
        <v>138000</v>
      </c>
      <c r="T17" s="137">
        <v>0.56650999999999996</v>
      </c>
    </row>
    <row r="18" spans="1:20" ht="15" customHeight="1">
      <c r="A18" s="120">
        <v>313</v>
      </c>
      <c r="B18" s="120">
        <v>313</v>
      </c>
      <c r="C18" s="134"/>
      <c r="D18" s="120"/>
      <c r="E18" s="120"/>
      <c r="F18" s="120">
        <v>70009000</v>
      </c>
      <c r="G18" s="124">
        <v>44665</v>
      </c>
      <c r="H18" s="120" t="s">
        <v>203</v>
      </c>
      <c r="I18" s="120"/>
      <c r="J18" s="120" t="s">
        <v>338</v>
      </c>
      <c r="K18" s="120" t="s">
        <v>409</v>
      </c>
      <c r="L18" s="120" t="s">
        <v>311</v>
      </c>
      <c r="M18" s="120" t="s">
        <v>408</v>
      </c>
      <c r="N18" s="120" t="s">
        <v>1218</v>
      </c>
      <c r="O18" s="122">
        <v>1</v>
      </c>
      <c r="P18" s="123">
        <v>3.5000000000000001E-3</v>
      </c>
      <c r="Q18" s="120" t="s">
        <v>2613</v>
      </c>
      <c r="R18" s="136">
        <v>57500</v>
      </c>
      <c r="S18" s="136">
        <v>57500</v>
      </c>
      <c r="T18" s="137">
        <v>0.6</v>
      </c>
    </row>
    <row r="19" spans="1:20" ht="15" customHeight="1">
      <c r="A19" s="120">
        <v>313</v>
      </c>
      <c r="B19" s="120">
        <v>313</v>
      </c>
      <c r="C19" s="134"/>
      <c r="D19" s="120"/>
      <c r="E19" s="120"/>
      <c r="F19" s="120">
        <v>70004200</v>
      </c>
      <c r="G19" s="124">
        <v>44825</v>
      </c>
      <c r="H19" s="120" t="s">
        <v>203</v>
      </c>
      <c r="I19" s="120"/>
      <c r="J19" s="120" t="s">
        <v>338</v>
      </c>
      <c r="K19" s="133" t="s">
        <v>2615</v>
      </c>
      <c r="L19" s="120" t="s">
        <v>412</v>
      </c>
      <c r="M19" s="120" t="s">
        <v>408</v>
      </c>
      <c r="N19" s="120" t="s">
        <v>1218</v>
      </c>
      <c r="O19" s="122">
        <v>1</v>
      </c>
      <c r="P19" s="123">
        <v>5.0000000000000001E-3</v>
      </c>
      <c r="Q19" s="120" t="s">
        <v>2613</v>
      </c>
      <c r="R19" s="136">
        <v>73600</v>
      </c>
      <c r="S19" s="136">
        <v>73600</v>
      </c>
      <c r="T19" s="137">
        <v>0.97104999999999997</v>
      </c>
    </row>
    <row r="20" spans="1:20" ht="15" customHeight="1">
      <c r="A20" s="120">
        <v>313</v>
      </c>
      <c r="B20" s="120">
        <v>313</v>
      </c>
      <c r="C20" s="134"/>
      <c r="D20" s="120"/>
      <c r="E20" s="138"/>
      <c r="F20" s="120">
        <v>70007710</v>
      </c>
      <c r="G20" s="124">
        <v>44802</v>
      </c>
      <c r="H20" s="120" t="s">
        <v>203</v>
      </c>
      <c r="I20" s="120"/>
      <c r="J20" s="120" t="s">
        <v>338</v>
      </c>
      <c r="K20" s="133" t="s">
        <v>1304</v>
      </c>
      <c r="L20" s="120" t="s">
        <v>414</v>
      </c>
      <c r="M20" s="120" t="s">
        <v>408</v>
      </c>
      <c r="N20" s="120" t="s">
        <v>1218</v>
      </c>
      <c r="O20" s="122">
        <v>1</v>
      </c>
      <c r="P20" s="123">
        <v>4.0000000000000001E-3</v>
      </c>
      <c r="Q20" s="120" t="s">
        <v>2613</v>
      </c>
      <c r="R20" s="136">
        <v>112800.77484730001</v>
      </c>
      <c r="S20" s="136">
        <v>112800.77484730001</v>
      </c>
      <c r="T20" s="137">
        <v>1</v>
      </c>
    </row>
    <row r="21" spans="1:20" ht="15" customHeight="1">
      <c r="A21" s="120">
        <v>313</v>
      </c>
      <c r="B21" s="120">
        <v>313</v>
      </c>
      <c r="C21" s="134"/>
      <c r="D21" s="120"/>
      <c r="E21" s="138"/>
      <c r="F21" s="120">
        <v>70007720</v>
      </c>
      <c r="G21" s="124">
        <v>44802</v>
      </c>
      <c r="H21" s="120" t="s">
        <v>203</v>
      </c>
      <c r="I21" s="120"/>
      <c r="J21" s="120" t="s">
        <v>338</v>
      </c>
      <c r="K21" s="133" t="s">
        <v>1304</v>
      </c>
      <c r="L21" s="120" t="s">
        <v>414</v>
      </c>
      <c r="M21" s="120" t="s">
        <v>408</v>
      </c>
      <c r="N21" s="120" t="s">
        <v>1218</v>
      </c>
      <c r="O21" s="122">
        <v>1</v>
      </c>
      <c r="P21" s="123">
        <v>4.0000000000000001E-3</v>
      </c>
      <c r="Q21" s="120" t="s">
        <v>2613</v>
      </c>
      <c r="R21" s="136">
        <v>5660.0413466000009</v>
      </c>
      <c r="S21" s="136">
        <v>5660.0413466000009</v>
      </c>
      <c r="T21" s="137">
        <v>1</v>
      </c>
    </row>
    <row r="22" spans="1:20" ht="15" customHeight="1">
      <c r="A22" s="120">
        <v>313</v>
      </c>
      <c r="B22" s="120">
        <v>313</v>
      </c>
      <c r="C22" s="134"/>
      <c r="D22" s="120"/>
      <c r="E22" s="138"/>
      <c r="F22" s="120">
        <v>70007730</v>
      </c>
      <c r="G22" s="124">
        <v>44802</v>
      </c>
      <c r="H22" s="120" t="s">
        <v>203</v>
      </c>
      <c r="I22" s="120"/>
      <c r="J22" s="120" t="s">
        <v>338</v>
      </c>
      <c r="K22" s="133" t="s">
        <v>1304</v>
      </c>
      <c r="L22" s="120" t="s">
        <v>414</v>
      </c>
      <c r="M22" s="120" t="s">
        <v>408</v>
      </c>
      <c r="N22" s="120" t="s">
        <v>1218</v>
      </c>
      <c r="O22" s="122">
        <v>1</v>
      </c>
      <c r="P22" s="123">
        <v>4.0000000000000001E-3</v>
      </c>
      <c r="Q22" s="120" t="s">
        <v>2613</v>
      </c>
      <c r="R22" s="136">
        <v>22204.777587500001</v>
      </c>
      <c r="S22" s="136">
        <v>22204.777587500001</v>
      </c>
      <c r="T22" s="137">
        <v>0.89288999999999996</v>
      </c>
    </row>
    <row r="23" spans="1:20" ht="15" customHeight="1">
      <c r="A23" s="120">
        <v>313</v>
      </c>
      <c r="B23" s="120">
        <v>313</v>
      </c>
      <c r="C23" s="134"/>
      <c r="D23" s="120"/>
      <c r="E23" s="138"/>
      <c r="F23" s="120">
        <v>71000300</v>
      </c>
      <c r="G23" s="124">
        <v>44858</v>
      </c>
      <c r="H23" s="120" t="s">
        <v>203</v>
      </c>
      <c r="I23" s="120"/>
      <c r="J23" s="120" t="s">
        <v>338</v>
      </c>
      <c r="K23" s="133" t="s">
        <v>1294</v>
      </c>
      <c r="L23" s="120" t="s">
        <v>414</v>
      </c>
      <c r="M23" s="120" t="s">
        <v>408</v>
      </c>
      <c r="N23" s="120" t="s">
        <v>1218</v>
      </c>
      <c r="O23" s="122">
        <v>1</v>
      </c>
      <c r="P23" s="123">
        <v>8.9999999999999993E-3</v>
      </c>
      <c r="Q23" s="120" t="s">
        <v>2613</v>
      </c>
      <c r="R23" s="136">
        <v>188.38932000000003</v>
      </c>
      <c r="S23" s="136">
        <v>188.38932000000003</v>
      </c>
      <c r="T23" s="137">
        <v>1</v>
      </c>
    </row>
    <row r="24" spans="1:20" ht="15" customHeight="1">
      <c r="A24" s="120">
        <v>313</v>
      </c>
      <c r="B24" s="120">
        <v>313</v>
      </c>
      <c r="C24" s="134"/>
      <c r="D24" s="120"/>
      <c r="E24" s="138"/>
      <c r="F24" s="120">
        <v>71000301</v>
      </c>
      <c r="G24" s="124">
        <v>44858</v>
      </c>
      <c r="H24" s="120" t="s">
        <v>203</v>
      </c>
      <c r="I24" s="120"/>
      <c r="J24" s="120" t="s">
        <v>338</v>
      </c>
      <c r="K24" s="133" t="s">
        <v>1294</v>
      </c>
      <c r="L24" s="120" t="s">
        <v>414</v>
      </c>
      <c r="M24" s="120" t="s">
        <v>408</v>
      </c>
      <c r="N24" s="120" t="s">
        <v>1218</v>
      </c>
      <c r="O24" s="122">
        <v>1</v>
      </c>
      <c r="P24" s="123">
        <v>8.9999999999999993E-3</v>
      </c>
      <c r="Q24" s="120" t="s">
        <v>2613</v>
      </c>
      <c r="R24" s="136">
        <v>202.98795999999999</v>
      </c>
      <c r="S24" s="136">
        <v>202.98795999999999</v>
      </c>
      <c r="T24" s="137">
        <v>1</v>
      </c>
    </row>
    <row r="25" spans="1:20" ht="15" customHeight="1">
      <c r="A25" s="120">
        <v>313</v>
      </c>
      <c r="B25" s="120">
        <v>313</v>
      </c>
      <c r="C25" s="134"/>
      <c r="D25" s="120"/>
      <c r="E25" s="138"/>
      <c r="F25" s="120">
        <v>71000302</v>
      </c>
      <c r="G25" s="124">
        <v>44858</v>
      </c>
      <c r="H25" s="120" t="s">
        <v>203</v>
      </c>
      <c r="I25" s="120"/>
      <c r="J25" s="120" t="s">
        <v>338</v>
      </c>
      <c r="K25" s="133" t="s">
        <v>1294</v>
      </c>
      <c r="L25" s="120" t="s">
        <v>414</v>
      </c>
      <c r="M25" s="120" t="s">
        <v>408</v>
      </c>
      <c r="N25" s="120" t="s">
        <v>1218</v>
      </c>
      <c r="O25" s="122">
        <v>1</v>
      </c>
      <c r="P25" s="123">
        <v>8.9999999999999993E-3</v>
      </c>
      <c r="Q25" s="120" t="s">
        <v>2613</v>
      </c>
      <c r="R25" s="136">
        <v>234.80408</v>
      </c>
      <c r="S25" s="136">
        <v>234.80408</v>
      </c>
      <c r="T25" s="137">
        <v>1</v>
      </c>
    </row>
    <row r="26" spans="1:20" ht="15" customHeight="1">
      <c r="A26" s="120">
        <v>313</v>
      </c>
      <c r="B26" s="120">
        <v>313</v>
      </c>
      <c r="C26" s="134"/>
      <c r="D26" s="120"/>
      <c r="E26" s="138"/>
      <c r="F26" s="120">
        <v>71000303</v>
      </c>
      <c r="G26" s="124">
        <v>44858</v>
      </c>
      <c r="H26" s="120" t="s">
        <v>203</v>
      </c>
      <c r="I26" s="120"/>
      <c r="J26" s="120" t="s">
        <v>338</v>
      </c>
      <c r="K26" s="133" t="s">
        <v>1294</v>
      </c>
      <c r="L26" s="120" t="s">
        <v>414</v>
      </c>
      <c r="M26" s="120" t="s">
        <v>408</v>
      </c>
      <c r="N26" s="120" t="s">
        <v>1218</v>
      </c>
      <c r="O26" s="122">
        <v>1</v>
      </c>
      <c r="P26" s="123">
        <v>8.9999999999999993E-3</v>
      </c>
      <c r="Q26" s="120" t="s">
        <v>2613</v>
      </c>
      <c r="R26" s="136">
        <v>172.45340000000002</v>
      </c>
      <c r="S26" s="136">
        <v>172.45340000000002</v>
      </c>
      <c r="T26" s="137">
        <v>1</v>
      </c>
    </row>
    <row r="27" spans="1:20" ht="15" customHeight="1">
      <c r="A27" s="120">
        <v>313</v>
      </c>
      <c r="B27" s="120">
        <v>313</v>
      </c>
      <c r="C27" s="134"/>
      <c r="D27" s="120"/>
      <c r="E27" s="138"/>
      <c r="F27" s="120">
        <v>71000304</v>
      </c>
      <c r="G27" s="124">
        <v>44858</v>
      </c>
      <c r="H27" s="120" t="s">
        <v>203</v>
      </c>
      <c r="I27" s="120"/>
      <c r="J27" s="120" t="s">
        <v>338</v>
      </c>
      <c r="K27" s="133" t="s">
        <v>1294</v>
      </c>
      <c r="L27" s="120" t="s">
        <v>414</v>
      </c>
      <c r="M27" s="120" t="s">
        <v>408</v>
      </c>
      <c r="N27" s="120" t="s">
        <v>1218</v>
      </c>
      <c r="O27" s="122">
        <v>1</v>
      </c>
      <c r="P27" s="123">
        <v>8.9999999999999993E-3</v>
      </c>
      <c r="Q27" s="120" t="s">
        <v>2613</v>
      </c>
      <c r="R27" s="136">
        <v>172.62056000000001</v>
      </c>
      <c r="S27" s="136">
        <v>172.62056000000001</v>
      </c>
      <c r="T27" s="137">
        <v>1</v>
      </c>
    </row>
    <row r="28" spans="1:20" ht="15" customHeight="1">
      <c r="A28" s="120">
        <v>313</v>
      </c>
      <c r="B28" s="120">
        <v>313</v>
      </c>
      <c r="C28" s="134"/>
      <c r="D28" s="120"/>
      <c r="E28" s="138"/>
      <c r="F28" s="120">
        <v>71000200</v>
      </c>
      <c r="G28" s="124">
        <v>44858</v>
      </c>
      <c r="H28" s="120" t="s">
        <v>203</v>
      </c>
      <c r="I28" s="120"/>
      <c r="J28" s="120" t="s">
        <v>338</v>
      </c>
      <c r="K28" s="133" t="s">
        <v>1294</v>
      </c>
      <c r="L28" s="120" t="s">
        <v>414</v>
      </c>
      <c r="M28" s="120" t="s">
        <v>408</v>
      </c>
      <c r="N28" s="120" t="s">
        <v>1218</v>
      </c>
      <c r="O28" s="122">
        <v>1</v>
      </c>
      <c r="P28" s="123">
        <v>8.9999999999999993E-3</v>
      </c>
      <c r="Q28" s="120" t="s">
        <v>2613</v>
      </c>
      <c r="R28" s="136">
        <v>71.934520000000006</v>
      </c>
      <c r="S28" s="136">
        <v>71.934520000000006</v>
      </c>
      <c r="T28" s="137">
        <v>1</v>
      </c>
    </row>
    <row r="29" spans="1:20" ht="15" customHeight="1">
      <c r="A29" s="120">
        <v>313</v>
      </c>
      <c r="B29" s="120">
        <v>313</v>
      </c>
      <c r="C29" s="134"/>
      <c r="D29" s="120"/>
      <c r="E29" s="138"/>
      <c r="F29" s="120">
        <v>71000201</v>
      </c>
      <c r="G29" s="124">
        <v>44858</v>
      </c>
      <c r="H29" s="120" t="s">
        <v>203</v>
      </c>
      <c r="I29" s="120"/>
      <c r="J29" s="120" t="s">
        <v>338</v>
      </c>
      <c r="K29" s="133" t="s">
        <v>1294</v>
      </c>
      <c r="L29" s="120" t="s">
        <v>414</v>
      </c>
      <c r="M29" s="120" t="s">
        <v>408</v>
      </c>
      <c r="N29" s="120" t="s">
        <v>1218</v>
      </c>
      <c r="O29" s="122">
        <v>1</v>
      </c>
      <c r="P29" s="123">
        <v>8.9999999999999993E-3</v>
      </c>
      <c r="Q29" s="120" t="s">
        <v>2613</v>
      </c>
      <c r="R29" s="136">
        <v>65.805319999999995</v>
      </c>
      <c r="S29" s="136">
        <v>65.805319999999995</v>
      </c>
      <c r="T29" s="137">
        <v>1</v>
      </c>
    </row>
    <row r="30" spans="1:20" ht="15" customHeight="1">
      <c r="A30" s="120">
        <v>313</v>
      </c>
      <c r="B30" s="120">
        <v>313</v>
      </c>
      <c r="C30" s="134"/>
      <c r="D30" s="120"/>
      <c r="E30" s="138"/>
      <c r="F30" s="120">
        <v>71000202</v>
      </c>
      <c r="G30" s="124">
        <v>44858</v>
      </c>
      <c r="H30" s="120" t="s">
        <v>203</v>
      </c>
      <c r="I30" s="120"/>
      <c r="J30" s="120" t="s">
        <v>338</v>
      </c>
      <c r="K30" s="133" t="s">
        <v>1294</v>
      </c>
      <c r="L30" s="120" t="s">
        <v>414</v>
      </c>
      <c r="M30" s="120" t="s">
        <v>408</v>
      </c>
      <c r="N30" s="120" t="s">
        <v>1218</v>
      </c>
      <c r="O30" s="122">
        <v>1</v>
      </c>
      <c r="P30" s="123">
        <v>8.9999999999999993E-3</v>
      </c>
      <c r="Q30" s="120" t="s">
        <v>2613</v>
      </c>
      <c r="R30" s="136">
        <v>90.545000000000002</v>
      </c>
      <c r="S30" s="136">
        <v>90.545000000000002</v>
      </c>
      <c r="T30" s="137">
        <v>1</v>
      </c>
    </row>
    <row r="31" spans="1:20" ht="15" customHeight="1">
      <c r="A31" s="120">
        <v>313</v>
      </c>
      <c r="B31" s="120">
        <v>313</v>
      </c>
      <c r="C31" s="134"/>
      <c r="D31" s="120"/>
      <c r="E31" s="138"/>
      <c r="F31" s="120">
        <v>71000203</v>
      </c>
      <c r="G31" s="124">
        <v>44858</v>
      </c>
      <c r="H31" s="120" t="s">
        <v>203</v>
      </c>
      <c r="I31" s="120"/>
      <c r="J31" s="120" t="s">
        <v>338</v>
      </c>
      <c r="K31" s="133" t="s">
        <v>1294</v>
      </c>
      <c r="L31" s="120" t="s">
        <v>414</v>
      </c>
      <c r="M31" s="120" t="s">
        <v>408</v>
      </c>
      <c r="N31" s="120" t="s">
        <v>1218</v>
      </c>
      <c r="O31" s="122">
        <v>1</v>
      </c>
      <c r="P31" s="123">
        <v>8.9999999999999993E-3</v>
      </c>
      <c r="Q31" s="120" t="s">
        <v>2613</v>
      </c>
      <c r="R31" s="136">
        <v>50.370880000000007</v>
      </c>
      <c r="S31" s="136">
        <v>50.370880000000007</v>
      </c>
      <c r="T31" s="137">
        <v>1</v>
      </c>
    </row>
    <row r="32" spans="1:20" ht="15" customHeight="1">
      <c r="A32" s="120">
        <v>313</v>
      </c>
      <c r="B32" s="120">
        <v>313</v>
      </c>
      <c r="C32" s="134"/>
      <c r="D32" s="120"/>
      <c r="E32" s="138"/>
      <c r="F32" s="120">
        <v>71000204</v>
      </c>
      <c r="G32" s="124">
        <v>44858</v>
      </c>
      <c r="H32" s="120" t="s">
        <v>203</v>
      </c>
      <c r="I32" s="120"/>
      <c r="J32" s="120" t="s">
        <v>338</v>
      </c>
      <c r="K32" s="133" t="s">
        <v>1294</v>
      </c>
      <c r="L32" s="120" t="s">
        <v>414</v>
      </c>
      <c r="M32" s="120" t="s">
        <v>408</v>
      </c>
      <c r="N32" s="120" t="s">
        <v>1218</v>
      </c>
      <c r="O32" s="122">
        <v>1</v>
      </c>
      <c r="P32" s="123">
        <v>8.9999999999999993E-3</v>
      </c>
      <c r="Q32" s="120" t="s">
        <v>2613</v>
      </c>
      <c r="R32" s="136">
        <v>56.444360000000003</v>
      </c>
      <c r="S32" s="136">
        <v>56.444360000000003</v>
      </c>
      <c r="T32" s="137">
        <v>1</v>
      </c>
    </row>
    <row r="33" spans="1:20" ht="15" customHeight="1">
      <c r="A33" s="120">
        <v>313</v>
      </c>
      <c r="B33" s="120">
        <v>313</v>
      </c>
      <c r="C33" s="134"/>
      <c r="D33" s="120"/>
      <c r="E33" s="120"/>
      <c r="F33" s="120">
        <v>78009000</v>
      </c>
      <c r="G33" s="124">
        <v>44812</v>
      </c>
      <c r="H33" s="120" t="s">
        <v>203</v>
      </c>
      <c r="I33" s="120"/>
      <c r="J33" s="120" t="s">
        <v>338</v>
      </c>
      <c r="K33" s="120" t="s">
        <v>409</v>
      </c>
      <c r="L33" s="145" t="s">
        <v>409</v>
      </c>
      <c r="M33" s="120" t="s">
        <v>408</v>
      </c>
      <c r="N33" s="120" t="s">
        <v>1218</v>
      </c>
      <c r="O33" s="122">
        <v>1</v>
      </c>
      <c r="P33" s="123">
        <v>4.4999999999999997E-3</v>
      </c>
      <c r="Q33" s="120" t="s">
        <v>2613</v>
      </c>
      <c r="R33" s="136">
        <v>69000</v>
      </c>
      <c r="S33" s="136">
        <v>69000</v>
      </c>
      <c r="T33" s="137">
        <v>1</v>
      </c>
    </row>
    <row r="34" spans="1:20" ht="15" customHeight="1">
      <c r="A34" s="120">
        <v>313</v>
      </c>
      <c r="B34" s="120">
        <v>313</v>
      </c>
      <c r="C34" s="134"/>
      <c r="D34" s="120"/>
      <c r="E34" s="120"/>
      <c r="F34" s="120">
        <v>78009001</v>
      </c>
      <c r="G34" s="124">
        <v>44812</v>
      </c>
      <c r="H34" s="120" t="s">
        <v>203</v>
      </c>
      <c r="I34" s="120"/>
      <c r="J34" s="120" t="s">
        <v>338</v>
      </c>
      <c r="K34" s="120" t="s">
        <v>409</v>
      </c>
      <c r="L34" s="145" t="s">
        <v>409</v>
      </c>
      <c r="M34" s="120" t="s">
        <v>408</v>
      </c>
      <c r="N34" s="120" t="s">
        <v>1218</v>
      </c>
      <c r="O34" s="122">
        <v>1</v>
      </c>
      <c r="P34" s="123">
        <v>4.4999999999999997E-3</v>
      </c>
      <c r="Q34" s="120" t="s">
        <v>2613</v>
      </c>
      <c r="R34" s="136">
        <v>138000</v>
      </c>
      <c r="S34" s="136">
        <v>138000</v>
      </c>
      <c r="T34" s="137">
        <v>1</v>
      </c>
    </row>
    <row r="35" spans="1:20" ht="15" customHeight="1">
      <c r="A35" s="120">
        <v>313</v>
      </c>
      <c r="B35" s="120">
        <v>313</v>
      </c>
      <c r="C35" s="134"/>
      <c r="D35" s="120"/>
      <c r="E35" s="138"/>
      <c r="F35" s="120">
        <v>5890000</v>
      </c>
      <c r="G35" s="124">
        <v>45264</v>
      </c>
      <c r="H35" s="120" t="s">
        <v>203</v>
      </c>
      <c r="I35" s="120"/>
      <c r="J35" s="120" t="s">
        <v>338</v>
      </c>
      <c r="K35" s="133" t="s">
        <v>1331</v>
      </c>
      <c r="L35" s="120" t="s">
        <v>414</v>
      </c>
      <c r="M35" s="120" t="s">
        <v>408</v>
      </c>
      <c r="N35" s="120" t="s">
        <v>1218</v>
      </c>
      <c r="O35" s="122">
        <v>1</v>
      </c>
      <c r="P35" s="123">
        <v>3.5000000000000001E-3</v>
      </c>
      <c r="Q35" s="120" t="s">
        <v>2613</v>
      </c>
      <c r="R35" s="136">
        <v>59800</v>
      </c>
      <c r="S35" s="136">
        <v>59800</v>
      </c>
      <c r="T35" s="137">
        <v>0.25773000000000001</v>
      </c>
    </row>
    <row r="36" spans="1:20" ht="15" customHeight="1">
      <c r="A36" s="120">
        <v>313</v>
      </c>
      <c r="B36" s="120">
        <v>313</v>
      </c>
      <c r="C36" s="134"/>
      <c r="D36" s="120"/>
      <c r="E36" s="120"/>
      <c r="F36" s="120">
        <v>5890001</v>
      </c>
      <c r="G36" s="124">
        <v>45264</v>
      </c>
      <c r="H36" s="120" t="s">
        <v>203</v>
      </c>
      <c r="I36" s="120"/>
      <c r="J36" s="120" t="s">
        <v>338</v>
      </c>
      <c r="K36" s="133" t="s">
        <v>1331</v>
      </c>
      <c r="L36" s="120" t="s">
        <v>414</v>
      </c>
      <c r="M36" s="120" t="s">
        <v>408</v>
      </c>
      <c r="N36" s="120" t="s">
        <v>1218</v>
      </c>
      <c r="O36" s="122">
        <v>1</v>
      </c>
      <c r="P36" s="123">
        <v>0.01</v>
      </c>
      <c r="Q36" s="120" t="s">
        <v>2613</v>
      </c>
      <c r="R36" s="136">
        <v>575</v>
      </c>
      <c r="S36" s="136">
        <v>575</v>
      </c>
      <c r="T36" s="137">
        <v>1</v>
      </c>
    </row>
    <row r="37" spans="1:20" ht="15" customHeight="1">
      <c r="A37" s="120">
        <v>313</v>
      </c>
      <c r="B37" s="120">
        <v>313</v>
      </c>
      <c r="C37" s="134"/>
      <c r="D37" s="120"/>
      <c r="E37" s="120"/>
      <c r="F37" s="120">
        <v>5890002</v>
      </c>
      <c r="G37" s="124">
        <v>45264</v>
      </c>
      <c r="H37" s="120" t="s">
        <v>203</v>
      </c>
      <c r="I37" s="120"/>
      <c r="J37" s="120" t="s">
        <v>338</v>
      </c>
      <c r="K37" s="133" t="s">
        <v>1331</v>
      </c>
      <c r="L37" s="120" t="s">
        <v>414</v>
      </c>
      <c r="M37" s="120" t="s">
        <v>408</v>
      </c>
      <c r="N37" s="120" t="s">
        <v>1218</v>
      </c>
      <c r="O37" s="122">
        <v>1</v>
      </c>
      <c r="P37" s="123">
        <v>0.01</v>
      </c>
      <c r="Q37" s="120" t="s">
        <v>2613</v>
      </c>
      <c r="R37" s="136">
        <v>2300</v>
      </c>
      <c r="S37" s="136">
        <v>2300</v>
      </c>
      <c r="T37" s="137">
        <v>1</v>
      </c>
    </row>
    <row r="38" spans="1:20" ht="15" customHeight="1">
      <c r="A38" s="120">
        <v>313</v>
      </c>
      <c r="B38" s="120">
        <v>313</v>
      </c>
      <c r="C38" s="134"/>
      <c r="D38" s="120"/>
      <c r="E38" s="120"/>
      <c r="F38" s="120">
        <v>70000450</v>
      </c>
      <c r="G38" s="124">
        <v>45225</v>
      </c>
      <c r="H38" s="120" t="s">
        <v>203</v>
      </c>
      <c r="I38" s="120"/>
      <c r="J38" s="120" t="s">
        <v>338</v>
      </c>
      <c r="K38" s="133" t="s">
        <v>1331</v>
      </c>
      <c r="L38" s="120" t="s">
        <v>414</v>
      </c>
      <c r="M38" s="120" t="s">
        <v>408</v>
      </c>
      <c r="N38" s="120" t="s">
        <v>1218</v>
      </c>
      <c r="O38" s="122">
        <v>1</v>
      </c>
      <c r="P38" s="123">
        <v>6.0000000000000001E-3</v>
      </c>
      <c r="Q38" s="120" t="s">
        <v>2613</v>
      </c>
      <c r="R38" s="136">
        <v>173.30500000000001</v>
      </c>
      <c r="S38" s="136">
        <v>173.30500000000001</v>
      </c>
      <c r="T38" s="137">
        <v>1</v>
      </c>
    </row>
    <row r="39" spans="1:20" ht="15" customHeight="1">
      <c r="A39" s="120">
        <v>313</v>
      </c>
      <c r="B39" s="120">
        <v>313</v>
      </c>
      <c r="C39" s="134"/>
      <c r="D39" s="120"/>
      <c r="E39" s="120"/>
      <c r="F39" s="120">
        <v>70000451</v>
      </c>
      <c r="G39" s="124">
        <v>45225</v>
      </c>
      <c r="H39" s="120" t="s">
        <v>203</v>
      </c>
      <c r="I39" s="120"/>
      <c r="J39" s="120" t="s">
        <v>338</v>
      </c>
      <c r="K39" s="133" t="s">
        <v>1331</v>
      </c>
      <c r="L39" s="120" t="s">
        <v>414</v>
      </c>
      <c r="M39" s="120" t="s">
        <v>408</v>
      </c>
      <c r="N39" s="120" t="s">
        <v>1218</v>
      </c>
      <c r="O39" s="122">
        <v>1</v>
      </c>
      <c r="P39" s="123">
        <v>6.0000000000000001E-3</v>
      </c>
      <c r="Q39" s="120" t="s">
        <v>2613</v>
      </c>
      <c r="R39" s="136">
        <v>160.54</v>
      </c>
      <c r="S39" s="136">
        <v>160.54</v>
      </c>
      <c r="T39" s="137">
        <v>1</v>
      </c>
    </row>
    <row r="40" spans="1:20" ht="15" customHeight="1">
      <c r="A40" s="120">
        <v>313</v>
      </c>
      <c r="B40" s="120">
        <v>313</v>
      </c>
      <c r="C40" s="134"/>
      <c r="D40" s="120"/>
      <c r="E40" s="120"/>
      <c r="F40" s="120">
        <v>70000452</v>
      </c>
      <c r="G40" s="124">
        <v>45225</v>
      </c>
      <c r="H40" s="120" t="s">
        <v>203</v>
      </c>
      <c r="I40" s="120"/>
      <c r="J40" s="120" t="s">
        <v>338</v>
      </c>
      <c r="K40" s="133" t="s">
        <v>1331</v>
      </c>
      <c r="L40" s="120" t="s">
        <v>414</v>
      </c>
      <c r="M40" s="120" t="s">
        <v>408</v>
      </c>
      <c r="N40" s="120" t="s">
        <v>1218</v>
      </c>
      <c r="O40" s="122">
        <v>1</v>
      </c>
      <c r="P40" s="123">
        <v>6.0000000000000001E-3</v>
      </c>
      <c r="Q40" s="120" t="s">
        <v>2613</v>
      </c>
      <c r="R40" s="136">
        <v>176.065</v>
      </c>
      <c r="S40" s="136">
        <v>176.065</v>
      </c>
      <c r="T40" s="137">
        <v>1</v>
      </c>
    </row>
    <row r="41" spans="1:20" ht="15" customHeight="1">
      <c r="A41" s="120">
        <v>313</v>
      </c>
      <c r="B41" s="120">
        <v>313</v>
      </c>
      <c r="C41" s="134"/>
      <c r="D41" s="120"/>
      <c r="E41" s="120"/>
      <c r="F41" s="120">
        <v>70000453</v>
      </c>
      <c r="G41" s="124">
        <v>45225</v>
      </c>
      <c r="H41" s="120" t="s">
        <v>203</v>
      </c>
      <c r="I41" s="120"/>
      <c r="J41" s="120" t="s">
        <v>338</v>
      </c>
      <c r="K41" s="133" t="s">
        <v>1331</v>
      </c>
      <c r="L41" s="120" t="s">
        <v>414</v>
      </c>
      <c r="M41" s="120" t="s">
        <v>408</v>
      </c>
      <c r="N41" s="120" t="s">
        <v>1218</v>
      </c>
      <c r="O41" s="122">
        <v>1</v>
      </c>
      <c r="P41" s="123">
        <v>6.0000000000000001E-3</v>
      </c>
      <c r="Q41" s="120" t="s">
        <v>2613</v>
      </c>
      <c r="R41" s="136">
        <v>43.814999999999998</v>
      </c>
      <c r="S41" s="136">
        <v>43.814999999999998</v>
      </c>
      <c r="T41" s="137">
        <v>1</v>
      </c>
    </row>
    <row r="42" spans="1:20" ht="15" customHeight="1">
      <c r="A42" s="120">
        <v>313</v>
      </c>
      <c r="B42" s="120">
        <v>313</v>
      </c>
      <c r="C42" s="134"/>
      <c r="D42" s="120"/>
      <c r="E42" s="120"/>
      <c r="F42" s="120">
        <v>70000454</v>
      </c>
      <c r="G42" s="124">
        <v>45225</v>
      </c>
      <c r="H42" s="120" t="s">
        <v>203</v>
      </c>
      <c r="I42" s="120"/>
      <c r="J42" s="120" t="s">
        <v>338</v>
      </c>
      <c r="K42" s="133" t="s">
        <v>1331</v>
      </c>
      <c r="L42" s="120" t="s">
        <v>414</v>
      </c>
      <c r="M42" s="120" t="s">
        <v>408</v>
      </c>
      <c r="N42" s="120" t="s">
        <v>1218</v>
      </c>
      <c r="O42" s="122">
        <v>1</v>
      </c>
      <c r="P42" s="123">
        <v>6.0000000000000001E-3</v>
      </c>
      <c r="Q42" s="120" t="s">
        <v>2613</v>
      </c>
      <c r="R42" s="136">
        <v>12.19</v>
      </c>
      <c r="S42" s="136">
        <v>12.19</v>
      </c>
      <c r="T42" s="137">
        <v>1</v>
      </c>
    </row>
    <row r="43" spans="1:20" ht="15" customHeight="1">
      <c r="A43" s="120">
        <v>313</v>
      </c>
      <c r="B43" s="120">
        <v>313</v>
      </c>
      <c r="C43" s="134"/>
      <c r="D43" s="120"/>
      <c r="E43" s="120"/>
      <c r="F43" s="120">
        <v>70000750</v>
      </c>
      <c r="G43" s="124">
        <v>45274</v>
      </c>
      <c r="H43" s="120" t="s">
        <v>203</v>
      </c>
      <c r="I43" s="120"/>
      <c r="J43" s="120" t="s">
        <v>338</v>
      </c>
      <c r="K43" s="133" t="s">
        <v>2621</v>
      </c>
      <c r="L43" s="120" t="s">
        <v>414</v>
      </c>
      <c r="M43" s="120" t="s">
        <v>408</v>
      </c>
      <c r="N43" s="120" t="s">
        <v>1218</v>
      </c>
      <c r="O43" s="122">
        <v>1</v>
      </c>
      <c r="P43" s="123">
        <v>5.0000000000000001E-3</v>
      </c>
      <c r="Q43" s="120" t="s">
        <v>2613</v>
      </c>
      <c r="R43" s="136">
        <v>64423.038613500001</v>
      </c>
      <c r="S43" s="136">
        <v>64423.038613500001</v>
      </c>
      <c r="T43" s="137">
        <v>0.60477999999999998</v>
      </c>
    </row>
    <row r="44" spans="1:20" ht="15" customHeight="1">
      <c r="A44" s="120">
        <v>313</v>
      </c>
      <c r="B44" s="120">
        <v>313</v>
      </c>
      <c r="C44" s="134"/>
      <c r="D44" s="120"/>
      <c r="E44" s="120"/>
      <c r="F44" s="120">
        <v>70000753</v>
      </c>
      <c r="G44" s="124">
        <v>45274</v>
      </c>
      <c r="H44" s="120" t="s">
        <v>203</v>
      </c>
      <c r="I44" s="120"/>
      <c r="J44" s="120" t="s">
        <v>338</v>
      </c>
      <c r="K44" s="133" t="s">
        <v>2621</v>
      </c>
      <c r="L44" s="120" t="s">
        <v>414</v>
      </c>
      <c r="M44" s="120" t="s">
        <v>408</v>
      </c>
      <c r="N44" s="120" t="s">
        <v>1218</v>
      </c>
      <c r="O44" s="122">
        <v>1</v>
      </c>
      <c r="P44" s="123">
        <v>5.0000000000000001E-3</v>
      </c>
      <c r="Q44" s="120" t="s">
        <v>2613</v>
      </c>
      <c r="R44" s="136">
        <v>8824.9613864999992</v>
      </c>
      <c r="S44" s="136">
        <v>8824.9613864999992</v>
      </c>
      <c r="T44" s="137">
        <v>1</v>
      </c>
    </row>
    <row r="45" spans="1:20" ht="15" customHeight="1">
      <c r="A45" s="120">
        <v>313</v>
      </c>
      <c r="B45" s="120">
        <v>313</v>
      </c>
      <c r="C45" s="134"/>
      <c r="D45" s="120"/>
      <c r="E45" s="120"/>
      <c r="F45" s="120">
        <v>70000751</v>
      </c>
      <c r="G45" s="124">
        <v>45274</v>
      </c>
      <c r="H45" s="120" t="s">
        <v>203</v>
      </c>
      <c r="I45" s="120"/>
      <c r="J45" s="120" t="s">
        <v>338</v>
      </c>
      <c r="K45" s="133" t="s">
        <v>2621</v>
      </c>
      <c r="L45" s="120" t="s">
        <v>414</v>
      </c>
      <c r="M45" s="120" t="s">
        <v>408</v>
      </c>
      <c r="N45" s="120" t="s">
        <v>1218</v>
      </c>
      <c r="O45" s="122">
        <v>1</v>
      </c>
      <c r="P45" s="123">
        <v>0.01</v>
      </c>
      <c r="Q45" s="120" t="s">
        <v>2613</v>
      </c>
      <c r="R45" s="136">
        <v>2434.67</v>
      </c>
      <c r="S45" s="136">
        <v>2434.67</v>
      </c>
      <c r="T45" s="137">
        <v>1</v>
      </c>
    </row>
    <row r="46" spans="1:20" ht="15" customHeight="1">
      <c r="A46" s="120">
        <v>313</v>
      </c>
      <c r="B46" s="120">
        <v>313</v>
      </c>
      <c r="C46" s="134"/>
      <c r="D46" s="120"/>
      <c r="E46" s="120"/>
      <c r="F46" s="120">
        <v>59007000</v>
      </c>
      <c r="G46" s="124">
        <v>45363</v>
      </c>
      <c r="H46" s="120" t="s">
        <v>203</v>
      </c>
      <c r="I46" s="120"/>
      <c r="J46" s="120" t="s">
        <v>338</v>
      </c>
      <c r="K46" s="120" t="s">
        <v>409</v>
      </c>
      <c r="L46" s="145" t="s">
        <v>409</v>
      </c>
      <c r="M46" s="120" t="s">
        <v>408</v>
      </c>
      <c r="N46" s="120" t="s">
        <v>1218</v>
      </c>
      <c r="O46" s="122">
        <v>1</v>
      </c>
      <c r="P46" s="123">
        <v>5.0000000000000001E-3</v>
      </c>
      <c r="Q46" s="120" t="s">
        <v>2613</v>
      </c>
      <c r="R46" s="136">
        <v>3381</v>
      </c>
      <c r="S46" s="136">
        <v>3381</v>
      </c>
      <c r="T46" s="137">
        <v>0.83333333333333337</v>
      </c>
    </row>
    <row r="47" spans="1:20" ht="15" customHeight="1">
      <c r="A47" s="120">
        <v>313</v>
      </c>
      <c r="B47" s="120">
        <v>313</v>
      </c>
      <c r="C47" s="134"/>
      <c r="D47" s="120"/>
      <c r="E47" s="120"/>
      <c r="F47" s="120">
        <v>5789000</v>
      </c>
      <c r="G47" s="124">
        <v>45245</v>
      </c>
      <c r="H47" s="120" t="s">
        <v>203</v>
      </c>
      <c r="I47" s="120"/>
      <c r="J47" s="120" t="s">
        <v>338</v>
      </c>
      <c r="K47" s="120" t="s">
        <v>409</v>
      </c>
      <c r="L47" s="145" t="s">
        <v>409</v>
      </c>
      <c r="M47" s="120" t="s">
        <v>408</v>
      </c>
      <c r="N47" s="120" t="s">
        <v>1218</v>
      </c>
      <c r="O47" s="122">
        <v>1</v>
      </c>
      <c r="P47" s="123">
        <v>5.0000000000000001E-3</v>
      </c>
      <c r="Q47" s="120" t="s">
        <v>2613</v>
      </c>
      <c r="R47" s="136">
        <v>230000</v>
      </c>
      <c r="S47" s="136">
        <v>230000</v>
      </c>
      <c r="T47" s="137">
        <v>1</v>
      </c>
    </row>
    <row r="48" spans="1:20" ht="15" customHeight="1">
      <c r="A48" s="120">
        <v>313</v>
      </c>
      <c r="B48" s="120">
        <v>313</v>
      </c>
      <c r="C48" s="134"/>
      <c r="D48" s="120"/>
      <c r="E48" s="120"/>
      <c r="F48" s="120">
        <v>74006126</v>
      </c>
      <c r="G48" s="124">
        <v>43920</v>
      </c>
      <c r="H48" s="120" t="s">
        <v>203</v>
      </c>
      <c r="I48" s="120"/>
      <c r="J48" s="120" t="s">
        <v>338</v>
      </c>
      <c r="K48" s="120" t="s">
        <v>1304</v>
      </c>
      <c r="L48" s="120" t="s">
        <v>414</v>
      </c>
      <c r="M48" s="120" t="s">
        <v>408</v>
      </c>
      <c r="N48" s="120" t="s">
        <v>1218</v>
      </c>
      <c r="O48" s="122">
        <v>1</v>
      </c>
      <c r="P48" s="146">
        <v>0</v>
      </c>
      <c r="Q48" s="120" t="s">
        <v>2613</v>
      </c>
      <c r="R48" s="136">
        <v>3967.5</v>
      </c>
      <c r="S48" s="136">
        <v>3967.5</v>
      </c>
      <c r="T48" s="137">
        <v>1</v>
      </c>
    </row>
    <row r="49" spans="1:20" ht="15" customHeight="1">
      <c r="A49" s="120">
        <v>313</v>
      </c>
      <c r="B49" s="120">
        <v>313</v>
      </c>
      <c r="C49" s="134"/>
      <c r="D49" s="120"/>
      <c r="E49" s="120"/>
      <c r="F49" s="120">
        <v>7400400</v>
      </c>
      <c r="G49" s="147">
        <v>44167</v>
      </c>
      <c r="H49" s="120" t="s">
        <v>203</v>
      </c>
      <c r="I49" s="120"/>
      <c r="J49" s="120" t="s">
        <v>338</v>
      </c>
      <c r="K49" s="120" t="s">
        <v>1304</v>
      </c>
      <c r="L49" s="120" t="s">
        <v>414</v>
      </c>
      <c r="M49" s="120" t="s">
        <v>408</v>
      </c>
      <c r="N49" s="120" t="s">
        <v>1218</v>
      </c>
      <c r="O49" s="122">
        <v>1</v>
      </c>
      <c r="P49" s="146">
        <v>0</v>
      </c>
      <c r="Q49" s="120" t="s">
        <v>2613</v>
      </c>
      <c r="R49" s="148">
        <v>92920</v>
      </c>
      <c r="S49" s="148">
        <v>92920</v>
      </c>
      <c r="T49" s="137">
        <v>0.14796501291433492</v>
      </c>
    </row>
    <row r="50" spans="1:20" ht="15" customHeight="1">
      <c r="A50" s="120">
        <v>313</v>
      </c>
      <c r="B50" s="120">
        <v>313</v>
      </c>
      <c r="C50" s="134"/>
      <c r="D50" s="120"/>
      <c r="E50" s="138"/>
      <c r="F50" s="120">
        <v>76500101</v>
      </c>
      <c r="G50" s="124">
        <v>44192</v>
      </c>
      <c r="H50" s="120" t="s">
        <v>203</v>
      </c>
      <c r="I50" s="120"/>
      <c r="J50" s="120" t="s">
        <v>338</v>
      </c>
      <c r="K50" s="120" t="s">
        <v>1339</v>
      </c>
      <c r="L50" s="120" t="s">
        <v>414</v>
      </c>
      <c r="M50" s="120" t="s">
        <v>408</v>
      </c>
      <c r="N50" s="120" t="s">
        <v>1218</v>
      </c>
      <c r="O50" s="122">
        <v>1</v>
      </c>
      <c r="P50" s="146">
        <v>0</v>
      </c>
      <c r="Q50" s="120" t="s">
        <v>2613</v>
      </c>
      <c r="R50" s="136">
        <v>4600</v>
      </c>
      <c r="S50" s="136">
        <v>4600</v>
      </c>
      <c r="T50" s="137">
        <v>2.8923260869565218E-2</v>
      </c>
    </row>
    <row r="51" spans="1:20" ht="15" customHeight="1">
      <c r="A51" s="120">
        <v>313</v>
      </c>
      <c r="B51" s="120">
        <v>313</v>
      </c>
      <c r="C51" s="134"/>
      <c r="D51" s="120"/>
      <c r="E51" s="138"/>
      <c r="F51" s="120">
        <v>5678000</v>
      </c>
      <c r="G51" s="124">
        <v>45398</v>
      </c>
      <c r="H51" s="120" t="s">
        <v>203</v>
      </c>
      <c r="I51" s="120"/>
      <c r="J51" s="120" t="s">
        <v>338</v>
      </c>
      <c r="K51" s="120" t="s">
        <v>1331</v>
      </c>
      <c r="L51" s="120" t="s">
        <v>414</v>
      </c>
      <c r="M51" s="120" t="s">
        <v>408</v>
      </c>
      <c r="N51" s="120" t="s">
        <v>1218</v>
      </c>
      <c r="O51" s="122">
        <v>1</v>
      </c>
      <c r="P51" s="146">
        <v>2.5000000000000001E-3</v>
      </c>
      <c r="Q51" s="120" t="s">
        <v>2613</v>
      </c>
      <c r="R51" s="136">
        <v>34500</v>
      </c>
      <c r="S51" s="136">
        <v>34500</v>
      </c>
      <c r="T51" s="137">
        <v>0.46703</v>
      </c>
    </row>
    <row r="52" spans="1:20" ht="15" customHeight="1">
      <c r="A52" s="120">
        <v>313</v>
      </c>
      <c r="B52" s="120">
        <v>313</v>
      </c>
      <c r="C52" s="134"/>
      <c r="D52" s="120"/>
      <c r="E52" s="138"/>
      <c r="F52" s="120">
        <v>5679000</v>
      </c>
      <c r="G52" s="124">
        <v>45419</v>
      </c>
      <c r="H52" s="120" t="s">
        <v>203</v>
      </c>
      <c r="I52" s="120"/>
      <c r="J52" s="120" t="s">
        <v>338</v>
      </c>
      <c r="K52" s="133" t="s">
        <v>2615</v>
      </c>
      <c r="L52" s="120" t="s">
        <v>412</v>
      </c>
      <c r="M52" s="120" t="s">
        <v>408</v>
      </c>
      <c r="N52" s="120" t="s">
        <v>1218</v>
      </c>
      <c r="O52" s="122">
        <v>1</v>
      </c>
      <c r="P52" s="146">
        <v>0</v>
      </c>
      <c r="Q52" s="120" t="s">
        <v>2613</v>
      </c>
      <c r="R52" s="136">
        <v>24150</v>
      </c>
      <c r="S52" s="136">
        <v>24150</v>
      </c>
      <c r="T52" s="137">
        <v>1</v>
      </c>
    </row>
    <row r="53" spans="1:20" ht="15" customHeight="1">
      <c r="A53" s="120">
        <v>313</v>
      </c>
      <c r="B53" s="120">
        <v>313</v>
      </c>
      <c r="C53" s="134"/>
      <c r="D53" s="120"/>
      <c r="E53" s="138"/>
      <c r="F53" s="120">
        <v>5678101</v>
      </c>
      <c r="G53" s="124">
        <v>45428</v>
      </c>
      <c r="H53" s="120" t="s">
        <v>203</v>
      </c>
      <c r="I53" s="120"/>
      <c r="J53" s="120" t="s">
        <v>338</v>
      </c>
      <c r="K53" s="120" t="s">
        <v>1331</v>
      </c>
      <c r="L53" s="120" t="s">
        <v>414</v>
      </c>
      <c r="M53" s="120" t="s">
        <v>408</v>
      </c>
      <c r="N53" s="120" t="s">
        <v>1218</v>
      </c>
      <c r="O53" s="122">
        <v>1</v>
      </c>
      <c r="P53" s="146">
        <v>6.0000000000000001E-3</v>
      </c>
      <c r="Q53" s="120" t="s">
        <v>2613</v>
      </c>
      <c r="R53" s="136">
        <v>8740</v>
      </c>
      <c r="S53" s="136">
        <v>8740</v>
      </c>
      <c r="T53" s="137">
        <v>1</v>
      </c>
    </row>
    <row r="54" spans="1:20" ht="15" customHeight="1">
      <c r="A54" s="120">
        <v>313</v>
      </c>
      <c r="B54" s="120">
        <v>313</v>
      </c>
      <c r="C54" s="134"/>
      <c r="D54" s="120"/>
      <c r="E54" s="138"/>
      <c r="F54" s="120">
        <v>5678200</v>
      </c>
      <c r="G54" s="124">
        <v>45573</v>
      </c>
      <c r="H54" s="120" t="s">
        <v>203</v>
      </c>
      <c r="I54" s="120"/>
      <c r="J54" s="120" t="s">
        <v>338</v>
      </c>
      <c r="K54" s="120" t="s">
        <v>409</v>
      </c>
      <c r="L54" s="145" t="s">
        <v>409</v>
      </c>
      <c r="M54" s="120" t="s">
        <v>408</v>
      </c>
      <c r="N54" s="120" t="s">
        <v>1218</v>
      </c>
      <c r="O54" s="122">
        <v>1</v>
      </c>
      <c r="P54" s="146">
        <v>5.0000000000000001E-3</v>
      </c>
      <c r="Q54" s="120" t="s">
        <v>2613</v>
      </c>
      <c r="R54" s="136">
        <v>27600</v>
      </c>
      <c r="S54" s="136">
        <v>27600</v>
      </c>
      <c r="T54" s="137">
        <v>1</v>
      </c>
    </row>
    <row r="55" spans="1:20" ht="15" customHeight="1">
      <c r="A55" s="120">
        <v>313</v>
      </c>
      <c r="B55" s="120">
        <v>313</v>
      </c>
      <c r="C55" s="134"/>
      <c r="D55" s="120"/>
      <c r="E55" s="138"/>
      <c r="F55" s="120">
        <v>5678210</v>
      </c>
      <c r="G55" s="124">
        <v>45573</v>
      </c>
      <c r="H55" s="120" t="s">
        <v>203</v>
      </c>
      <c r="I55" s="120"/>
      <c r="J55" s="120" t="s">
        <v>338</v>
      </c>
      <c r="K55" s="120" t="s">
        <v>409</v>
      </c>
      <c r="L55" s="145" t="s">
        <v>409</v>
      </c>
      <c r="M55" s="120" t="s">
        <v>408</v>
      </c>
      <c r="N55" s="120" t="s">
        <v>1218</v>
      </c>
      <c r="O55" s="122">
        <v>1</v>
      </c>
      <c r="P55" s="146">
        <v>5.0000000000000001E-3</v>
      </c>
      <c r="Q55" s="120" t="s">
        <v>2613</v>
      </c>
      <c r="R55" s="136">
        <v>54740</v>
      </c>
      <c r="S55" s="136">
        <v>54740</v>
      </c>
      <c r="T55" s="137">
        <v>0.69010000000000005</v>
      </c>
    </row>
    <row r="56" spans="1:20" ht="15" customHeight="1">
      <c r="A56" s="120">
        <v>313</v>
      </c>
      <c r="B56" s="120">
        <v>313</v>
      </c>
      <c r="C56" s="134"/>
      <c r="D56" s="120"/>
      <c r="E56" s="138"/>
      <c r="F56" s="120">
        <v>5678220</v>
      </c>
      <c r="G56" s="124">
        <v>45573</v>
      </c>
      <c r="H56" s="120" t="s">
        <v>203</v>
      </c>
      <c r="I56" s="120"/>
      <c r="J56" s="120" t="s">
        <v>338</v>
      </c>
      <c r="K56" s="120" t="s">
        <v>409</v>
      </c>
      <c r="L56" s="145" t="s">
        <v>409</v>
      </c>
      <c r="M56" s="120" t="s">
        <v>408</v>
      </c>
      <c r="N56" s="120" t="s">
        <v>1218</v>
      </c>
      <c r="O56" s="122">
        <v>1</v>
      </c>
      <c r="P56" s="146">
        <v>5.0000000000000001E-3</v>
      </c>
      <c r="Q56" s="120" t="s">
        <v>2613</v>
      </c>
      <c r="R56" s="136">
        <v>2518.5</v>
      </c>
      <c r="S56" s="136">
        <v>2518.5</v>
      </c>
      <c r="T56" s="137">
        <v>1</v>
      </c>
    </row>
    <row r="57" spans="1:20" ht="15" customHeight="1">
      <c r="A57" s="120">
        <v>313</v>
      </c>
      <c r="B57" s="120">
        <v>313</v>
      </c>
      <c r="C57" s="134"/>
      <c r="D57" s="120"/>
      <c r="E57" s="138"/>
      <c r="F57" s="120">
        <v>5678230</v>
      </c>
      <c r="G57" s="124">
        <v>45573</v>
      </c>
      <c r="H57" s="120" t="s">
        <v>203</v>
      </c>
      <c r="I57" s="120"/>
      <c r="J57" s="120" t="s">
        <v>338</v>
      </c>
      <c r="K57" s="120" t="s">
        <v>409</v>
      </c>
      <c r="L57" s="145" t="s">
        <v>409</v>
      </c>
      <c r="M57" s="120" t="s">
        <v>408</v>
      </c>
      <c r="N57" s="120" t="s">
        <v>1218</v>
      </c>
      <c r="O57" s="122">
        <v>1</v>
      </c>
      <c r="P57" s="146">
        <v>5.0000000000000001E-3</v>
      </c>
      <c r="Q57" s="120" t="s">
        <v>2613</v>
      </c>
      <c r="R57" s="136">
        <v>11500</v>
      </c>
      <c r="S57" s="136">
        <v>11500</v>
      </c>
      <c r="T57" s="137">
        <v>1</v>
      </c>
    </row>
    <row r="58" spans="1:20" ht="15" customHeight="1">
      <c r="A58" s="120">
        <v>313</v>
      </c>
      <c r="B58" s="120">
        <v>313</v>
      </c>
      <c r="C58" s="134"/>
      <c r="D58" s="120"/>
      <c r="E58" s="138"/>
      <c r="F58" s="120">
        <v>5678240</v>
      </c>
      <c r="G58" s="124">
        <v>45573</v>
      </c>
      <c r="H58" s="120" t="s">
        <v>203</v>
      </c>
      <c r="I58" s="120"/>
      <c r="J58" s="120" t="s">
        <v>338</v>
      </c>
      <c r="K58" s="120" t="s">
        <v>409</v>
      </c>
      <c r="L58" s="145" t="s">
        <v>409</v>
      </c>
      <c r="M58" s="120" t="s">
        <v>408</v>
      </c>
      <c r="N58" s="120" t="s">
        <v>1218</v>
      </c>
      <c r="O58" s="122">
        <v>1</v>
      </c>
      <c r="P58" s="146">
        <v>1.4999999999999999E-2</v>
      </c>
      <c r="Q58" s="120" t="s">
        <v>2613</v>
      </c>
      <c r="R58" s="136">
        <v>2599</v>
      </c>
      <c r="S58" s="136">
        <v>2599</v>
      </c>
      <c r="T58" s="137">
        <v>1</v>
      </c>
    </row>
    <row r="59" spans="1:20" ht="15" customHeight="1">
      <c r="A59" s="120">
        <v>313</v>
      </c>
      <c r="B59" s="120">
        <v>313</v>
      </c>
      <c r="C59" s="134"/>
      <c r="D59" s="120"/>
      <c r="E59" s="138"/>
      <c r="F59" s="120">
        <v>5678250</v>
      </c>
      <c r="G59" s="124">
        <v>45573</v>
      </c>
      <c r="H59" s="120" t="s">
        <v>203</v>
      </c>
      <c r="I59" s="120"/>
      <c r="J59" s="120" t="s">
        <v>338</v>
      </c>
      <c r="K59" s="120" t="s">
        <v>409</v>
      </c>
      <c r="L59" s="145" t="s">
        <v>409</v>
      </c>
      <c r="M59" s="120" t="s">
        <v>408</v>
      </c>
      <c r="N59" s="120" t="s">
        <v>1218</v>
      </c>
      <c r="O59" s="122">
        <v>1</v>
      </c>
      <c r="P59" s="146">
        <v>5.0000000000000001E-3</v>
      </c>
      <c r="Q59" s="120" t="s">
        <v>2613</v>
      </c>
      <c r="R59" s="136">
        <v>2300</v>
      </c>
      <c r="S59" s="136">
        <v>2300</v>
      </c>
      <c r="T59" s="137">
        <v>0.78027000000000002</v>
      </c>
    </row>
    <row r="60" spans="1:20" ht="15" customHeight="1">
      <c r="A60" s="120">
        <v>313</v>
      </c>
      <c r="B60" s="120">
        <v>313</v>
      </c>
      <c r="C60" s="134"/>
      <c r="D60" s="120"/>
      <c r="E60" s="138"/>
      <c r="F60" s="120">
        <v>5678260</v>
      </c>
      <c r="G60" s="124">
        <v>45573</v>
      </c>
      <c r="H60" s="120" t="s">
        <v>203</v>
      </c>
      <c r="I60" s="120"/>
      <c r="J60" s="120" t="s">
        <v>338</v>
      </c>
      <c r="K60" s="120" t="s">
        <v>409</v>
      </c>
      <c r="L60" s="145" t="s">
        <v>409</v>
      </c>
      <c r="M60" s="120" t="s">
        <v>408</v>
      </c>
      <c r="N60" s="120" t="s">
        <v>1218</v>
      </c>
      <c r="O60" s="122">
        <v>1</v>
      </c>
      <c r="P60" s="146">
        <v>5.0000000000000001E-3</v>
      </c>
      <c r="Q60" s="120" t="s">
        <v>2613</v>
      </c>
      <c r="R60" s="136">
        <v>11902.5</v>
      </c>
      <c r="S60" s="136">
        <v>11902.5</v>
      </c>
      <c r="T60" s="137">
        <v>1</v>
      </c>
    </row>
    <row r="61" spans="1:20" ht="15" customHeight="1">
      <c r="A61" s="120">
        <v>313</v>
      </c>
      <c r="B61" s="120">
        <v>313</v>
      </c>
      <c r="C61" s="134"/>
      <c r="D61" s="120"/>
      <c r="E61" s="138"/>
      <c r="F61" s="135">
        <v>70005200</v>
      </c>
      <c r="G61" s="147">
        <v>45687</v>
      </c>
      <c r="H61" s="120" t="s">
        <v>203</v>
      </c>
      <c r="I61" s="120"/>
      <c r="J61" s="120" t="s">
        <v>338</v>
      </c>
      <c r="K61" s="120" t="s">
        <v>1339</v>
      </c>
      <c r="L61" s="120" t="s">
        <v>414</v>
      </c>
      <c r="M61" s="120" t="s">
        <v>408</v>
      </c>
      <c r="N61" s="120" t="s">
        <v>1218</v>
      </c>
      <c r="O61" s="122">
        <v>1</v>
      </c>
      <c r="P61" s="146">
        <v>0</v>
      </c>
      <c r="Q61" s="120" t="s">
        <v>2613</v>
      </c>
      <c r="R61" s="136">
        <v>18170</v>
      </c>
      <c r="S61" s="136">
        <v>18170</v>
      </c>
      <c r="T61" s="137">
        <v>1</v>
      </c>
    </row>
    <row r="62" spans="1:20" ht="15" customHeight="1">
      <c r="A62" s="120">
        <v>313</v>
      </c>
      <c r="B62" s="120">
        <v>313</v>
      </c>
      <c r="C62" s="149"/>
      <c r="D62" s="120"/>
      <c r="E62" s="120"/>
      <c r="F62" s="135">
        <v>70005100</v>
      </c>
      <c r="G62" s="147">
        <v>45664</v>
      </c>
      <c r="H62" s="120" t="s">
        <v>203</v>
      </c>
      <c r="I62" s="120"/>
      <c r="J62" s="120" t="s">
        <v>338</v>
      </c>
      <c r="K62" s="120" t="s">
        <v>1339</v>
      </c>
      <c r="L62" s="120" t="s">
        <v>414</v>
      </c>
      <c r="M62" s="120" t="s">
        <v>408</v>
      </c>
      <c r="N62" s="120" t="s">
        <v>1218</v>
      </c>
      <c r="O62" s="122">
        <v>1</v>
      </c>
      <c r="P62" s="146">
        <v>0</v>
      </c>
      <c r="Q62" s="120" t="s">
        <v>2613</v>
      </c>
      <c r="R62" s="136">
        <v>27140</v>
      </c>
      <c r="S62" s="136">
        <v>27140</v>
      </c>
      <c r="T62" s="137">
        <v>1</v>
      </c>
    </row>
    <row r="63" spans="1:20" ht="15" customHeight="1">
      <c r="A63" s="120">
        <v>313</v>
      </c>
      <c r="B63" s="120">
        <v>313</v>
      </c>
      <c r="C63" s="149"/>
      <c r="D63" s="120"/>
      <c r="E63" s="145"/>
      <c r="F63" s="135">
        <v>50000862</v>
      </c>
      <c r="G63" s="147">
        <v>45704</v>
      </c>
      <c r="H63" s="120" t="s">
        <v>203</v>
      </c>
      <c r="I63" s="120"/>
      <c r="J63" s="120" t="s">
        <v>338</v>
      </c>
      <c r="K63" s="120" t="s">
        <v>1304</v>
      </c>
      <c r="L63" s="120" t="s">
        <v>414</v>
      </c>
      <c r="M63" s="120" t="s">
        <v>408</v>
      </c>
      <c r="N63" s="120" t="s">
        <v>1218</v>
      </c>
      <c r="O63" s="122">
        <v>1</v>
      </c>
      <c r="P63" s="146">
        <v>0.01</v>
      </c>
      <c r="Q63" s="120" t="s">
        <v>2613</v>
      </c>
      <c r="R63" s="136">
        <v>276</v>
      </c>
      <c r="S63" s="136">
        <v>276</v>
      </c>
      <c r="T63" s="137">
        <v>1</v>
      </c>
    </row>
    <row r="64" spans="1:20" ht="15" customHeight="1">
      <c r="A64" s="120">
        <v>313</v>
      </c>
      <c r="B64" s="120">
        <v>313</v>
      </c>
      <c r="C64" s="149"/>
      <c r="D64" s="120"/>
      <c r="E64" s="145"/>
      <c r="F64" s="135">
        <v>50000863</v>
      </c>
      <c r="G64" s="147">
        <v>45723</v>
      </c>
      <c r="H64" s="120" t="s">
        <v>203</v>
      </c>
      <c r="I64" s="120"/>
      <c r="J64" s="120" t="s">
        <v>338</v>
      </c>
      <c r="K64" s="120" t="s">
        <v>409</v>
      </c>
      <c r="L64" s="145" t="s">
        <v>409</v>
      </c>
      <c r="M64" s="120" t="s">
        <v>408</v>
      </c>
      <c r="N64" s="120" t="s">
        <v>1218</v>
      </c>
      <c r="O64" s="122">
        <v>1</v>
      </c>
      <c r="P64" s="146">
        <v>0.01</v>
      </c>
      <c r="Q64" s="120" t="s">
        <v>2613</v>
      </c>
      <c r="R64" s="136">
        <v>174.8</v>
      </c>
      <c r="S64" s="136">
        <v>174.8</v>
      </c>
      <c r="T64" s="137">
        <v>1</v>
      </c>
    </row>
    <row r="65" spans="1:20" ht="15" customHeight="1">
      <c r="A65" s="120">
        <v>313</v>
      </c>
      <c r="B65" s="120">
        <v>313</v>
      </c>
      <c r="C65" s="134"/>
      <c r="D65" s="120"/>
      <c r="E65" s="138"/>
      <c r="F65" s="120">
        <v>60102</v>
      </c>
      <c r="G65" s="124">
        <v>45748</v>
      </c>
      <c r="H65" s="120" t="s">
        <v>203</v>
      </c>
      <c r="I65" s="120"/>
      <c r="J65" s="120" t="s">
        <v>338</v>
      </c>
      <c r="K65" s="120" t="s">
        <v>409</v>
      </c>
      <c r="L65" s="145" t="s">
        <v>409</v>
      </c>
      <c r="M65" s="120" t="s">
        <v>408</v>
      </c>
      <c r="N65" s="120" t="s">
        <v>1218</v>
      </c>
      <c r="O65" s="122">
        <v>1</v>
      </c>
      <c r="P65" s="123">
        <v>0</v>
      </c>
      <c r="Q65" s="120" t="s">
        <v>2613</v>
      </c>
      <c r="R65" s="136">
        <v>2497.4769999999999</v>
      </c>
      <c r="S65" s="136">
        <v>2497.4769999999999</v>
      </c>
      <c r="T65" s="137">
        <v>0.45961999999999997</v>
      </c>
    </row>
    <row r="66" spans="1:20" ht="15" customHeight="1">
      <c r="A66" s="120">
        <v>313</v>
      </c>
      <c r="B66" s="120">
        <v>313</v>
      </c>
      <c r="C66" s="134"/>
      <c r="D66" s="120"/>
      <c r="E66" s="138"/>
      <c r="F66" s="120">
        <v>60103</v>
      </c>
      <c r="G66" s="124">
        <v>45748</v>
      </c>
      <c r="H66" s="120" t="s">
        <v>203</v>
      </c>
      <c r="I66" s="120"/>
      <c r="J66" s="120" t="s">
        <v>338</v>
      </c>
      <c r="K66" s="120" t="s">
        <v>409</v>
      </c>
      <c r="L66" s="145" t="s">
        <v>409</v>
      </c>
      <c r="M66" s="120" t="s">
        <v>408</v>
      </c>
      <c r="N66" s="120" t="s">
        <v>1218</v>
      </c>
      <c r="O66" s="122">
        <v>1</v>
      </c>
      <c r="P66" s="123">
        <v>0</v>
      </c>
      <c r="Q66" s="120" t="s">
        <v>2613</v>
      </c>
      <c r="R66" s="136">
        <v>4714.9309999999996</v>
      </c>
      <c r="S66" s="136">
        <v>4714.9309999999996</v>
      </c>
      <c r="T66" s="137">
        <v>0.76934999999999998</v>
      </c>
    </row>
    <row r="67" spans="1:20" ht="15" customHeight="1">
      <c r="A67" s="120">
        <v>313</v>
      </c>
      <c r="B67" s="120">
        <v>313</v>
      </c>
      <c r="C67" s="149"/>
      <c r="D67" s="120"/>
      <c r="E67" s="138"/>
      <c r="F67" s="135">
        <v>5678300</v>
      </c>
      <c r="G67" s="124">
        <v>45762</v>
      </c>
      <c r="H67" s="120" t="s">
        <v>203</v>
      </c>
      <c r="I67" s="120"/>
      <c r="J67" s="120" t="s">
        <v>338</v>
      </c>
      <c r="K67" s="120" t="s">
        <v>409</v>
      </c>
      <c r="L67" s="145" t="s">
        <v>409</v>
      </c>
      <c r="M67" s="120" t="s">
        <v>408</v>
      </c>
      <c r="N67" s="120" t="s">
        <v>1215</v>
      </c>
      <c r="O67" s="122">
        <v>4.1980000000000004</v>
      </c>
      <c r="P67" s="146">
        <v>6.0000000000000001E-3</v>
      </c>
      <c r="Q67" s="120" t="s">
        <v>2613</v>
      </c>
      <c r="R67" s="136">
        <v>16100</v>
      </c>
      <c r="S67" s="136">
        <v>67587.8</v>
      </c>
      <c r="T67" s="146">
        <v>1</v>
      </c>
    </row>
    <row r="68" spans="1:20" ht="15" customHeight="1">
      <c r="A68" s="120">
        <v>313</v>
      </c>
      <c r="B68" s="120">
        <v>313</v>
      </c>
      <c r="C68" s="149"/>
      <c r="D68" s="120"/>
      <c r="E68" s="138"/>
      <c r="F68" s="135">
        <v>5678320</v>
      </c>
      <c r="G68" s="124">
        <v>45762</v>
      </c>
      <c r="H68" s="120" t="s">
        <v>203</v>
      </c>
      <c r="I68" s="120"/>
      <c r="J68" s="120" t="s">
        <v>338</v>
      </c>
      <c r="K68" s="120" t="s">
        <v>409</v>
      </c>
      <c r="L68" s="145" t="s">
        <v>409</v>
      </c>
      <c r="M68" s="120" t="s">
        <v>408</v>
      </c>
      <c r="N68" s="120" t="s">
        <v>1215</v>
      </c>
      <c r="O68" s="122">
        <v>4.1980000000000004</v>
      </c>
      <c r="P68" s="146">
        <v>0</v>
      </c>
      <c r="Q68" s="120" t="s">
        <v>2613</v>
      </c>
      <c r="R68" s="136">
        <v>36457.07</v>
      </c>
      <c r="S68" s="136">
        <v>153046.78</v>
      </c>
      <c r="T68" s="146">
        <v>1</v>
      </c>
    </row>
  </sheetData>
  <dataValidations count="1">
    <dataValidation allowBlank="1" showInputMessage="1" showErrorMessage="1" sqref="E23:E32 C4:C16 C18 E16 E4:E12 E18 E46:E47 C46:C53 E65:E66 C20:C22 C35:C42" xr:uid="{4D360E05-2173-4880-86A0-BC9FEC816C4E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308"/>
  <sheetViews>
    <sheetView rightToLeft="1" workbookViewId="0">
      <selection activeCell="E306" sqref="E30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75" customWidth="1"/>
    <col min="4" max="4" width="29.75" customWidth="1"/>
    <col min="5" max="5" width="26.75" customWidth="1"/>
    <col min="6" max="6" width="30" customWidth="1"/>
    <col min="7" max="7" width="29.875" customWidth="1"/>
    <col min="8" max="8" width="11.25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12.75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50">
        <v>313</v>
      </c>
      <c r="B2" s="150">
        <v>313</v>
      </c>
      <c r="C2" s="150" t="s">
        <v>1069</v>
      </c>
      <c r="D2" s="150" t="s">
        <v>2083</v>
      </c>
      <c r="E2" s="151"/>
      <c r="F2" s="150"/>
      <c r="G2" s="152" t="s">
        <v>2049</v>
      </c>
      <c r="H2" s="151">
        <v>9840908</v>
      </c>
      <c r="I2" s="150" t="s">
        <v>311</v>
      </c>
      <c r="J2" s="153" t="s">
        <v>1222</v>
      </c>
      <c r="K2" s="124">
        <v>39385</v>
      </c>
      <c r="L2" s="136">
        <v>7000</v>
      </c>
      <c r="M2" s="136">
        <v>27846</v>
      </c>
      <c r="N2" s="136">
        <v>1214.972</v>
      </c>
      <c r="O2" s="136">
        <v>4096.8855839999997</v>
      </c>
      <c r="P2" s="154">
        <v>0.17356742857142857</v>
      </c>
      <c r="Q2" s="124">
        <v>45657</v>
      </c>
    </row>
    <row r="3" spans="1:26" ht="15" customHeight="1">
      <c r="A3" s="150">
        <v>313</v>
      </c>
      <c r="B3" s="150">
        <v>313</v>
      </c>
      <c r="C3" s="150" t="s">
        <v>1069</v>
      </c>
      <c r="D3" s="150" t="s">
        <v>2635</v>
      </c>
      <c r="E3" s="151"/>
      <c r="F3" s="150"/>
      <c r="G3" s="152" t="s">
        <v>2270</v>
      </c>
      <c r="H3" s="120">
        <v>9840773</v>
      </c>
      <c r="I3" s="150" t="s">
        <v>311</v>
      </c>
      <c r="J3" s="153" t="s">
        <v>1222</v>
      </c>
      <c r="K3" s="124">
        <v>39726</v>
      </c>
      <c r="L3" s="136">
        <v>1000</v>
      </c>
      <c r="M3" s="136">
        <v>3465</v>
      </c>
      <c r="N3" s="136">
        <v>37.511000000000003</v>
      </c>
      <c r="O3" s="136">
        <v>126.48709199999999</v>
      </c>
      <c r="P3" s="154">
        <v>3.7511000000000003E-2</v>
      </c>
      <c r="Q3" s="124">
        <v>45935</v>
      </c>
    </row>
    <row r="4" spans="1:26" ht="15" customHeight="1">
      <c r="A4" s="150">
        <v>313</v>
      </c>
      <c r="B4" s="150">
        <v>313</v>
      </c>
      <c r="C4" s="150" t="s">
        <v>1069</v>
      </c>
      <c r="D4" s="150" t="s">
        <v>2117</v>
      </c>
      <c r="E4" s="120"/>
      <c r="F4" s="150"/>
      <c r="G4" s="152" t="s">
        <v>2118</v>
      </c>
      <c r="H4" s="120">
        <v>9840693</v>
      </c>
      <c r="I4" s="150" t="s">
        <v>311</v>
      </c>
      <c r="J4" s="153" t="s">
        <v>1222</v>
      </c>
      <c r="K4" s="124">
        <v>39448</v>
      </c>
      <c r="L4" s="136">
        <v>3000</v>
      </c>
      <c r="M4" s="136">
        <v>11538</v>
      </c>
      <c r="N4" s="136">
        <v>0</v>
      </c>
      <c r="O4" s="136">
        <v>0</v>
      </c>
      <c r="P4" s="154">
        <v>0</v>
      </c>
      <c r="Q4" s="124">
        <v>43830</v>
      </c>
    </row>
    <row r="5" spans="1:26" ht="15" customHeight="1">
      <c r="A5" s="150">
        <v>313</v>
      </c>
      <c r="B5" s="150">
        <v>313</v>
      </c>
      <c r="C5" s="150" t="s">
        <v>1069</v>
      </c>
      <c r="D5" s="150" t="s">
        <v>2036</v>
      </c>
      <c r="E5" s="151"/>
      <c r="F5" s="150"/>
      <c r="G5" s="152" t="s">
        <v>2122</v>
      </c>
      <c r="H5" s="120">
        <v>9840860</v>
      </c>
      <c r="I5" s="150" t="s">
        <v>311</v>
      </c>
      <c r="J5" s="153" t="s">
        <v>1222</v>
      </c>
      <c r="K5" s="124">
        <v>38687</v>
      </c>
      <c r="L5" s="136">
        <v>6000</v>
      </c>
      <c r="M5" s="136">
        <v>27972</v>
      </c>
      <c r="N5" s="136">
        <v>1E-3</v>
      </c>
      <c r="O5" s="136">
        <v>3.372E-3</v>
      </c>
      <c r="P5" s="154">
        <v>1.6666666666666668E-7</v>
      </c>
      <c r="Q5" s="124">
        <v>45747</v>
      </c>
    </row>
    <row r="6" spans="1:26" ht="15" customHeight="1">
      <c r="A6" s="150">
        <v>313</v>
      </c>
      <c r="B6" s="150">
        <v>313</v>
      </c>
      <c r="C6" s="150" t="s">
        <v>1069</v>
      </c>
      <c r="D6" s="150" t="s">
        <v>2036</v>
      </c>
      <c r="E6" s="151"/>
      <c r="F6" s="150"/>
      <c r="G6" s="152" t="s">
        <v>2048</v>
      </c>
      <c r="H6" s="120">
        <v>9840861</v>
      </c>
      <c r="I6" s="150" t="s">
        <v>311</v>
      </c>
      <c r="J6" s="153" t="s">
        <v>1222</v>
      </c>
      <c r="K6" s="124">
        <v>39114</v>
      </c>
      <c r="L6" s="136">
        <v>1600</v>
      </c>
      <c r="M6" s="136">
        <v>6787.2</v>
      </c>
      <c r="N6" s="136">
        <v>11.420999999999999</v>
      </c>
      <c r="O6" s="136">
        <v>38.511612</v>
      </c>
      <c r="P6" s="154">
        <v>7.1381249999999995E-3</v>
      </c>
      <c r="Q6" s="124">
        <v>45930</v>
      </c>
    </row>
    <row r="7" spans="1:26" ht="15" customHeight="1">
      <c r="A7" s="150">
        <v>313</v>
      </c>
      <c r="B7" s="150">
        <v>313</v>
      </c>
      <c r="C7" s="150" t="s">
        <v>1069</v>
      </c>
      <c r="D7" s="150" t="s">
        <v>2636</v>
      </c>
      <c r="E7" s="151"/>
      <c r="F7" s="150"/>
      <c r="G7" s="152" t="s">
        <v>2087</v>
      </c>
      <c r="H7" s="120">
        <v>9840803</v>
      </c>
      <c r="I7" s="150" t="s">
        <v>311</v>
      </c>
      <c r="J7" s="153" t="s">
        <v>1222</v>
      </c>
      <c r="K7" s="124">
        <v>39539</v>
      </c>
      <c r="L7" s="136">
        <v>3000</v>
      </c>
      <c r="M7" s="136">
        <v>10632</v>
      </c>
      <c r="N7" s="136">
        <v>0</v>
      </c>
      <c r="O7" s="136">
        <v>0</v>
      </c>
      <c r="P7" s="154">
        <v>0</v>
      </c>
      <c r="Q7" s="124">
        <v>43568</v>
      </c>
    </row>
    <row r="8" spans="1:26" ht="15" customHeight="1">
      <c r="A8" s="150">
        <v>313</v>
      </c>
      <c r="B8" s="150">
        <v>313</v>
      </c>
      <c r="C8" s="150" t="s">
        <v>1069</v>
      </c>
      <c r="D8" s="150" t="s">
        <v>2093</v>
      </c>
      <c r="E8" s="120"/>
      <c r="F8" s="150"/>
      <c r="G8" s="152" t="s">
        <v>2094</v>
      </c>
      <c r="H8" s="120">
        <v>9840949</v>
      </c>
      <c r="I8" s="150" t="s">
        <v>311</v>
      </c>
      <c r="J8" s="153" t="s">
        <v>1222</v>
      </c>
      <c r="K8" s="124">
        <v>38961</v>
      </c>
      <c r="L8" s="136">
        <v>5000</v>
      </c>
      <c r="M8" s="136">
        <v>21865</v>
      </c>
      <c r="N8" s="136">
        <v>325</v>
      </c>
      <c r="O8" s="136">
        <v>1095.9000000000001</v>
      </c>
      <c r="P8" s="154">
        <v>6.5000000000000002E-2</v>
      </c>
      <c r="Q8" s="124">
        <v>45536</v>
      </c>
    </row>
    <row r="9" spans="1:26" ht="15" customHeight="1">
      <c r="A9" s="150">
        <v>313</v>
      </c>
      <c r="B9" s="150">
        <v>313</v>
      </c>
      <c r="C9" s="150" t="s">
        <v>1069</v>
      </c>
      <c r="D9" s="150" t="s">
        <v>2036</v>
      </c>
      <c r="E9" s="151"/>
      <c r="F9" s="150"/>
      <c r="G9" s="152" t="s">
        <v>2121</v>
      </c>
      <c r="H9" s="120">
        <v>9840774</v>
      </c>
      <c r="I9" s="150" t="s">
        <v>311</v>
      </c>
      <c r="J9" s="153" t="s">
        <v>1222</v>
      </c>
      <c r="K9" s="124">
        <v>39904</v>
      </c>
      <c r="L9" s="136">
        <v>1500</v>
      </c>
      <c r="M9" s="136">
        <v>6313.4999999999991</v>
      </c>
      <c r="N9" s="136">
        <v>1463.7497800000001</v>
      </c>
      <c r="O9" s="136">
        <v>4935.7642581599994</v>
      </c>
      <c r="P9" s="154">
        <v>0.97583318666666674</v>
      </c>
      <c r="Q9" s="124">
        <v>46142</v>
      </c>
    </row>
    <row r="10" spans="1:26" ht="15" customHeight="1">
      <c r="A10" s="150">
        <v>313</v>
      </c>
      <c r="B10" s="150">
        <v>313</v>
      </c>
      <c r="C10" s="150" t="s">
        <v>1069</v>
      </c>
      <c r="D10" s="150" t="s">
        <v>2637</v>
      </c>
      <c r="E10" s="151"/>
      <c r="F10" s="150"/>
      <c r="G10" s="152" t="s">
        <v>2638</v>
      </c>
      <c r="H10" s="120">
        <v>9840826</v>
      </c>
      <c r="I10" s="150" t="s">
        <v>311</v>
      </c>
      <c r="J10" s="153" t="s">
        <v>1222</v>
      </c>
      <c r="K10" s="124">
        <v>39783</v>
      </c>
      <c r="L10" s="136">
        <v>1000</v>
      </c>
      <c r="M10" s="136">
        <v>3990</v>
      </c>
      <c r="N10" s="136">
        <v>0</v>
      </c>
      <c r="O10" s="136">
        <v>0</v>
      </c>
      <c r="P10" s="154">
        <v>0</v>
      </c>
      <c r="Q10" s="124">
        <v>46477</v>
      </c>
    </row>
    <row r="11" spans="1:26" ht="15" customHeight="1">
      <c r="A11" s="150">
        <v>313</v>
      </c>
      <c r="B11" s="150">
        <v>313</v>
      </c>
      <c r="C11" s="150" t="s">
        <v>1069</v>
      </c>
      <c r="D11" s="150" t="s">
        <v>2639</v>
      </c>
      <c r="E11" s="151"/>
      <c r="F11" s="27"/>
      <c r="G11" s="152" t="s">
        <v>2065</v>
      </c>
      <c r="H11" s="120">
        <v>9840689</v>
      </c>
      <c r="I11" s="150" t="s">
        <v>311</v>
      </c>
      <c r="J11" s="153" t="s">
        <v>1222</v>
      </c>
      <c r="K11" s="124">
        <v>40360</v>
      </c>
      <c r="L11" s="136">
        <v>2000</v>
      </c>
      <c r="M11" s="136">
        <v>7766</v>
      </c>
      <c r="N11" s="136">
        <v>277.10796999999997</v>
      </c>
      <c r="O11" s="136">
        <v>934.40807483999993</v>
      </c>
      <c r="P11" s="154">
        <v>0.13855398499999999</v>
      </c>
      <c r="Q11" s="124">
        <v>44742</v>
      </c>
    </row>
    <row r="12" spans="1:26" ht="15" customHeight="1">
      <c r="A12" s="150">
        <v>313</v>
      </c>
      <c r="B12" s="150">
        <v>313</v>
      </c>
      <c r="C12" s="150" t="s">
        <v>1069</v>
      </c>
      <c r="D12" s="150" t="s">
        <v>2093</v>
      </c>
      <c r="E12" s="151"/>
      <c r="F12" s="27"/>
      <c r="G12" s="152" t="s">
        <v>2059</v>
      </c>
      <c r="H12" s="120">
        <v>60283058</v>
      </c>
      <c r="I12" s="150" t="s">
        <v>311</v>
      </c>
      <c r="J12" s="153" t="s">
        <v>1222</v>
      </c>
      <c r="K12" s="124">
        <v>40756</v>
      </c>
      <c r="L12" s="136">
        <v>3000</v>
      </c>
      <c r="M12" s="136">
        <v>10236</v>
      </c>
      <c r="N12" s="136">
        <v>0</v>
      </c>
      <c r="O12" s="136">
        <v>0</v>
      </c>
      <c r="P12" s="154">
        <v>0</v>
      </c>
      <c r="Q12" s="124">
        <v>45511</v>
      </c>
    </row>
    <row r="13" spans="1:26" ht="15" customHeight="1">
      <c r="A13" s="150">
        <v>313</v>
      </c>
      <c r="B13" s="150">
        <v>313</v>
      </c>
      <c r="C13" s="150" t="s">
        <v>1069</v>
      </c>
      <c r="D13" s="150" t="s">
        <v>2635</v>
      </c>
      <c r="E13" s="151"/>
      <c r="F13" s="27"/>
      <c r="G13" s="152" t="s">
        <v>2124</v>
      </c>
      <c r="H13" s="120">
        <v>60289790</v>
      </c>
      <c r="I13" s="150" t="s">
        <v>311</v>
      </c>
      <c r="J13" s="153" t="s">
        <v>1222</v>
      </c>
      <c r="K13" s="124">
        <v>40878</v>
      </c>
      <c r="L13" s="136">
        <v>3000</v>
      </c>
      <c r="M13" s="136">
        <v>11223</v>
      </c>
      <c r="N13" s="136">
        <v>0</v>
      </c>
      <c r="O13" s="136">
        <v>0</v>
      </c>
      <c r="P13" s="154">
        <v>0</v>
      </c>
      <c r="Q13" s="124">
        <v>45841</v>
      </c>
    </row>
    <row r="14" spans="1:26" ht="15" customHeight="1">
      <c r="A14" s="150">
        <v>313</v>
      </c>
      <c r="B14" s="150">
        <v>313</v>
      </c>
      <c r="C14" s="150" t="s">
        <v>1069</v>
      </c>
      <c r="D14" s="150" t="s">
        <v>2036</v>
      </c>
      <c r="E14" s="151"/>
      <c r="F14" s="27"/>
      <c r="G14" s="152" t="s">
        <v>2640</v>
      </c>
      <c r="H14" s="120">
        <v>60297512</v>
      </c>
      <c r="I14" s="150" t="s">
        <v>311</v>
      </c>
      <c r="J14" s="153" t="s">
        <v>1222</v>
      </c>
      <c r="K14" s="124">
        <v>41122</v>
      </c>
      <c r="L14" s="136">
        <v>1500</v>
      </c>
      <c r="M14" s="136">
        <v>5955</v>
      </c>
      <c r="N14" s="136">
        <v>855.89200000000005</v>
      </c>
      <c r="O14" s="136">
        <v>2886.0678240000002</v>
      </c>
      <c r="P14" s="154">
        <v>0.57059466666666669</v>
      </c>
      <c r="Q14" s="124">
        <v>46142</v>
      </c>
    </row>
    <row r="15" spans="1:26" ht="15" customHeight="1">
      <c r="A15" s="150">
        <v>313</v>
      </c>
      <c r="B15" s="150">
        <v>313</v>
      </c>
      <c r="C15" s="150" t="s">
        <v>1069</v>
      </c>
      <c r="D15" s="150" t="s">
        <v>2083</v>
      </c>
      <c r="E15" s="151"/>
      <c r="F15" s="27"/>
      <c r="G15" s="152" t="s">
        <v>2116</v>
      </c>
      <c r="H15" s="120">
        <v>60305448</v>
      </c>
      <c r="I15" s="150" t="s">
        <v>311</v>
      </c>
      <c r="J15" s="153" t="s">
        <v>1222</v>
      </c>
      <c r="K15" s="124">
        <v>41091</v>
      </c>
      <c r="L15" s="136">
        <v>7500</v>
      </c>
      <c r="M15" s="136">
        <v>29422.5</v>
      </c>
      <c r="N15" s="136">
        <v>677.12599999999998</v>
      </c>
      <c r="O15" s="136">
        <v>2283.2688720000001</v>
      </c>
      <c r="P15" s="154">
        <v>9.0283466666666659E-2</v>
      </c>
      <c r="Q15" s="124">
        <v>46022</v>
      </c>
    </row>
    <row r="16" spans="1:26" ht="15" customHeight="1">
      <c r="A16" s="150">
        <v>313</v>
      </c>
      <c r="B16" s="150">
        <v>313</v>
      </c>
      <c r="C16" s="150" t="s">
        <v>1069</v>
      </c>
      <c r="D16" s="150" t="s">
        <v>2102</v>
      </c>
      <c r="E16" s="151"/>
      <c r="F16" s="27"/>
      <c r="G16" s="152" t="s">
        <v>2110</v>
      </c>
      <c r="H16" s="120">
        <v>60346087</v>
      </c>
      <c r="I16" s="150" t="s">
        <v>311</v>
      </c>
      <c r="J16" s="153" t="s">
        <v>1222</v>
      </c>
      <c r="K16" s="124">
        <v>41528</v>
      </c>
      <c r="L16" s="136">
        <v>9000</v>
      </c>
      <c r="M16" s="136">
        <v>32085</v>
      </c>
      <c r="N16" s="136">
        <v>1006.427</v>
      </c>
      <c r="O16" s="136">
        <v>3393.671844</v>
      </c>
      <c r="P16" s="154">
        <v>0.11182522222222223</v>
      </c>
      <c r="Q16" s="124">
        <v>45621</v>
      </c>
    </row>
    <row r="17" spans="1:17" ht="15" customHeight="1">
      <c r="A17" s="150">
        <v>313</v>
      </c>
      <c r="B17" s="150">
        <v>313</v>
      </c>
      <c r="C17" s="150" t="s">
        <v>1069</v>
      </c>
      <c r="D17" s="150" t="s">
        <v>2641</v>
      </c>
      <c r="E17" s="151"/>
      <c r="F17" s="27"/>
      <c r="G17" s="152" t="s">
        <v>2642</v>
      </c>
      <c r="H17" s="120">
        <v>60337284</v>
      </c>
      <c r="I17" s="150" t="s">
        <v>311</v>
      </c>
      <c r="J17" s="153" t="s">
        <v>1222</v>
      </c>
      <c r="K17" s="124">
        <v>41456</v>
      </c>
      <c r="L17" s="136">
        <v>2000</v>
      </c>
      <c r="M17" s="136">
        <v>7274</v>
      </c>
      <c r="N17" s="136">
        <v>20.021000000000001</v>
      </c>
      <c r="O17" s="136">
        <v>67.510811999999987</v>
      </c>
      <c r="P17" s="154">
        <v>1.00105E-2</v>
      </c>
      <c r="Q17" s="124">
        <v>45504</v>
      </c>
    </row>
    <row r="18" spans="1:17" ht="15" customHeight="1">
      <c r="A18" s="150">
        <v>313</v>
      </c>
      <c r="B18" s="150">
        <v>313</v>
      </c>
      <c r="C18" s="150" t="s">
        <v>1069</v>
      </c>
      <c r="D18" s="150" t="s">
        <v>2643</v>
      </c>
      <c r="E18" s="151"/>
      <c r="F18" s="27"/>
      <c r="G18" s="152" t="s">
        <v>2644</v>
      </c>
      <c r="H18" s="120">
        <v>60353281</v>
      </c>
      <c r="I18" s="150" t="s">
        <v>311</v>
      </c>
      <c r="J18" s="153" t="s">
        <v>1222</v>
      </c>
      <c r="K18" s="124">
        <v>41648</v>
      </c>
      <c r="L18" s="136">
        <v>4000</v>
      </c>
      <c r="M18" s="136">
        <v>14012</v>
      </c>
      <c r="N18" s="136">
        <v>61.421999999999997</v>
      </c>
      <c r="O18" s="136">
        <v>207.11498399999999</v>
      </c>
      <c r="P18" s="154">
        <v>1.5355499999999999E-2</v>
      </c>
      <c r="Q18" s="124">
        <v>45657</v>
      </c>
    </row>
    <row r="19" spans="1:17" ht="15" customHeight="1">
      <c r="A19" s="150">
        <v>313</v>
      </c>
      <c r="B19" s="150">
        <v>313</v>
      </c>
      <c r="C19" s="150" t="s">
        <v>1069</v>
      </c>
      <c r="D19" s="150" t="s">
        <v>2102</v>
      </c>
      <c r="E19" s="151"/>
      <c r="F19" s="27"/>
      <c r="G19" s="152" t="s">
        <v>2103</v>
      </c>
      <c r="H19" s="120">
        <v>60356391</v>
      </c>
      <c r="I19" s="150" t="s">
        <v>311</v>
      </c>
      <c r="J19" s="153" t="s">
        <v>1222</v>
      </c>
      <c r="K19" s="124">
        <v>41730</v>
      </c>
      <c r="L19" s="136">
        <v>3000</v>
      </c>
      <c r="M19" s="136">
        <v>10428</v>
      </c>
      <c r="N19" s="136">
        <v>186.755</v>
      </c>
      <c r="O19" s="136">
        <v>629.73785999999996</v>
      </c>
      <c r="P19" s="154">
        <v>6.2251666666666663E-2</v>
      </c>
      <c r="Q19" s="124">
        <v>45261</v>
      </c>
    </row>
    <row r="20" spans="1:17" ht="15" customHeight="1">
      <c r="A20" s="150">
        <v>313</v>
      </c>
      <c r="B20" s="150">
        <v>313</v>
      </c>
      <c r="C20" s="150" t="s">
        <v>1069</v>
      </c>
      <c r="D20" s="150" t="s">
        <v>2036</v>
      </c>
      <c r="E20" s="151"/>
      <c r="F20" s="27"/>
      <c r="G20" s="152" t="s">
        <v>2053</v>
      </c>
      <c r="H20" s="120">
        <v>60370269</v>
      </c>
      <c r="I20" s="150" t="s">
        <v>311</v>
      </c>
      <c r="J20" s="153" t="s">
        <v>1222</v>
      </c>
      <c r="K20" s="124">
        <v>41883</v>
      </c>
      <c r="L20" s="136">
        <v>13500</v>
      </c>
      <c r="M20" s="136">
        <v>48316.5</v>
      </c>
      <c r="N20" s="136">
        <v>1288.7487899999992</v>
      </c>
      <c r="O20" s="136">
        <v>4345.660919879997</v>
      </c>
      <c r="P20" s="154">
        <v>9.5462873333333267E-2</v>
      </c>
      <c r="Q20" s="124">
        <v>45536</v>
      </c>
    </row>
    <row r="21" spans="1:17" ht="15" customHeight="1">
      <c r="A21" s="150">
        <v>313</v>
      </c>
      <c r="B21" s="150">
        <v>313</v>
      </c>
      <c r="C21" s="150" t="s">
        <v>1069</v>
      </c>
      <c r="D21" s="150" t="s">
        <v>2645</v>
      </c>
      <c r="E21" s="151"/>
      <c r="F21" s="27"/>
      <c r="G21" s="152" t="s">
        <v>2063</v>
      </c>
      <c r="H21" s="120">
        <v>60375078</v>
      </c>
      <c r="I21" s="150" t="s">
        <v>311</v>
      </c>
      <c r="J21" s="153" t="s">
        <v>1222</v>
      </c>
      <c r="K21" s="124">
        <v>41969</v>
      </c>
      <c r="L21" s="136">
        <v>10500</v>
      </c>
      <c r="M21" s="136">
        <v>40645.5</v>
      </c>
      <c r="N21" s="136">
        <v>1380.0736300000008</v>
      </c>
      <c r="O21" s="136">
        <v>4653.6082803600029</v>
      </c>
      <c r="P21" s="154">
        <v>0.13143558380952389</v>
      </c>
      <c r="Q21" s="124">
        <v>45622</v>
      </c>
    </row>
    <row r="22" spans="1:17" ht="15" customHeight="1">
      <c r="A22" s="150">
        <v>313</v>
      </c>
      <c r="B22" s="150">
        <v>313</v>
      </c>
      <c r="C22" s="150" t="s">
        <v>1069</v>
      </c>
      <c r="D22" s="150" t="s">
        <v>2054</v>
      </c>
      <c r="E22" s="151"/>
      <c r="F22" s="27"/>
      <c r="G22" s="152" t="s">
        <v>2175</v>
      </c>
      <c r="H22" s="120">
        <v>36731</v>
      </c>
      <c r="I22" s="150" t="s">
        <v>311</v>
      </c>
      <c r="J22" s="153" t="s">
        <v>1218</v>
      </c>
      <c r="K22" s="124">
        <v>42004</v>
      </c>
      <c r="L22" s="136">
        <v>24000</v>
      </c>
      <c r="M22" s="136">
        <v>24000</v>
      </c>
      <c r="N22" s="136">
        <v>12296.050999999999</v>
      </c>
      <c r="O22" s="136">
        <v>12296.050999999999</v>
      </c>
      <c r="P22" s="154">
        <v>0.51233545833333327</v>
      </c>
      <c r="Q22" s="124">
        <v>45567</v>
      </c>
    </row>
    <row r="23" spans="1:17" ht="15" customHeight="1">
      <c r="A23" s="150">
        <v>313</v>
      </c>
      <c r="B23" s="150">
        <v>313</v>
      </c>
      <c r="C23" s="150" t="s">
        <v>1069</v>
      </c>
      <c r="D23" s="150" t="s">
        <v>2042</v>
      </c>
      <c r="E23" s="151"/>
      <c r="F23" s="27"/>
      <c r="G23" s="152" t="s">
        <v>2129</v>
      </c>
      <c r="H23" s="27">
        <v>92817</v>
      </c>
      <c r="I23" s="150" t="s">
        <v>311</v>
      </c>
      <c r="J23" s="153" t="s">
        <v>1218</v>
      </c>
      <c r="K23" s="124">
        <v>41974</v>
      </c>
      <c r="L23" s="155">
        <v>10000</v>
      </c>
      <c r="M23" s="155">
        <v>10000</v>
      </c>
      <c r="N23" s="136">
        <v>2183.1709999999998</v>
      </c>
      <c r="O23" s="136">
        <v>2183.1709999999998</v>
      </c>
      <c r="P23" s="154">
        <v>0.21831709999999999</v>
      </c>
      <c r="Q23" s="124">
        <v>44531</v>
      </c>
    </row>
    <row r="24" spans="1:17" ht="15" customHeight="1">
      <c r="A24" s="150">
        <v>313</v>
      </c>
      <c r="B24" s="150">
        <v>313</v>
      </c>
      <c r="C24" s="150" t="s">
        <v>1069</v>
      </c>
      <c r="D24" s="150" t="s">
        <v>2646</v>
      </c>
      <c r="E24" s="151"/>
      <c r="F24" s="27"/>
      <c r="G24" s="152" t="s">
        <v>2647</v>
      </c>
      <c r="H24" s="120">
        <v>36749</v>
      </c>
      <c r="I24" s="150" t="s">
        <v>311</v>
      </c>
      <c r="J24" s="153" t="s">
        <v>1218</v>
      </c>
      <c r="K24" s="124">
        <v>42005</v>
      </c>
      <c r="L24" s="155">
        <v>37433.678999999996</v>
      </c>
      <c r="M24" s="155">
        <v>37433.678999999996</v>
      </c>
      <c r="N24" s="136">
        <v>4184.4690000000001</v>
      </c>
      <c r="O24" s="136">
        <v>4184.4690000000001</v>
      </c>
      <c r="P24" s="154">
        <v>0.11178353589023404</v>
      </c>
      <c r="Q24" s="124">
        <v>45658</v>
      </c>
    </row>
    <row r="25" spans="1:17" ht="15" customHeight="1">
      <c r="A25" s="150">
        <v>313</v>
      </c>
      <c r="B25" s="150">
        <v>313</v>
      </c>
      <c r="C25" s="150" t="s">
        <v>1069</v>
      </c>
      <c r="D25" s="150" t="s">
        <v>2083</v>
      </c>
      <c r="E25" s="151"/>
      <c r="F25" s="27"/>
      <c r="G25" s="152" t="s">
        <v>2039</v>
      </c>
      <c r="H25" s="120">
        <v>60400892</v>
      </c>
      <c r="I25" s="150" t="s">
        <v>311</v>
      </c>
      <c r="J25" s="153" t="s">
        <v>1222</v>
      </c>
      <c r="K25" s="124">
        <v>42339</v>
      </c>
      <c r="L25" s="155">
        <v>10000</v>
      </c>
      <c r="M25" s="155">
        <v>38790</v>
      </c>
      <c r="N25" s="136">
        <v>1072.711</v>
      </c>
      <c r="O25" s="136">
        <v>3617.1814920000002</v>
      </c>
      <c r="P25" s="154">
        <v>0.10727110000000001</v>
      </c>
      <c r="Q25" s="124">
        <v>45992</v>
      </c>
    </row>
    <row r="26" spans="1:17" ht="15" customHeight="1">
      <c r="A26" s="150">
        <v>313</v>
      </c>
      <c r="B26" s="150">
        <v>313</v>
      </c>
      <c r="C26" s="150" t="s">
        <v>1069</v>
      </c>
      <c r="D26" s="150" t="s">
        <v>2036</v>
      </c>
      <c r="E26" s="151"/>
      <c r="F26" s="27"/>
      <c r="G26" s="152" t="s">
        <v>2037</v>
      </c>
      <c r="H26" s="120">
        <v>60405917</v>
      </c>
      <c r="I26" s="150" t="s">
        <v>311</v>
      </c>
      <c r="J26" s="153" t="s">
        <v>1222</v>
      </c>
      <c r="K26" s="124">
        <v>42461</v>
      </c>
      <c r="L26" s="155">
        <v>10000</v>
      </c>
      <c r="M26" s="155">
        <v>37860</v>
      </c>
      <c r="N26" s="136">
        <v>1879.8389999999999</v>
      </c>
      <c r="O26" s="136">
        <v>6338.8171080000002</v>
      </c>
      <c r="P26" s="154">
        <v>0.18798389999999998</v>
      </c>
      <c r="Q26" s="124">
        <v>46113</v>
      </c>
    </row>
    <row r="27" spans="1:17" ht="15" customHeight="1">
      <c r="A27" s="150">
        <v>313</v>
      </c>
      <c r="B27" s="150">
        <v>313</v>
      </c>
      <c r="C27" s="150" t="s">
        <v>1069</v>
      </c>
      <c r="D27" s="150" t="s">
        <v>2075</v>
      </c>
      <c r="E27" s="151"/>
      <c r="F27" s="27"/>
      <c r="G27" s="152" t="s">
        <v>2120</v>
      </c>
      <c r="H27" s="27">
        <v>18994</v>
      </c>
      <c r="I27" s="150" t="s">
        <v>311</v>
      </c>
      <c r="J27" s="153" t="s">
        <v>1218</v>
      </c>
      <c r="K27" s="124">
        <v>42948</v>
      </c>
      <c r="L27" s="155">
        <v>31250</v>
      </c>
      <c r="M27" s="155">
        <v>31250</v>
      </c>
      <c r="N27" s="136">
        <v>5441.1463299999978</v>
      </c>
      <c r="O27" s="136">
        <v>5441.1463299999978</v>
      </c>
      <c r="P27" s="154">
        <v>0.17411668255999993</v>
      </c>
      <c r="Q27" s="124">
        <v>45870</v>
      </c>
    </row>
    <row r="28" spans="1:17" ht="15" customHeight="1">
      <c r="A28" s="150">
        <v>313</v>
      </c>
      <c r="B28" s="150">
        <v>313</v>
      </c>
      <c r="C28" s="150" t="s">
        <v>1069</v>
      </c>
      <c r="D28" s="150" t="s">
        <v>2042</v>
      </c>
      <c r="E28" s="151"/>
      <c r="F28" s="27"/>
      <c r="G28" s="152" t="s">
        <v>2056</v>
      </c>
      <c r="H28" s="27">
        <v>78972</v>
      </c>
      <c r="I28" s="150" t="s">
        <v>311</v>
      </c>
      <c r="J28" s="153" t="s">
        <v>1218</v>
      </c>
      <c r="K28" s="124">
        <v>43070</v>
      </c>
      <c r="L28" s="155">
        <v>20000</v>
      </c>
      <c r="M28" s="155">
        <v>20000</v>
      </c>
      <c r="N28" s="136">
        <v>1612.5840000000001</v>
      </c>
      <c r="O28" s="136">
        <v>1612.5840000000001</v>
      </c>
      <c r="P28" s="154">
        <v>8.0629199999999998E-2</v>
      </c>
      <c r="Q28" s="124">
        <v>45658</v>
      </c>
    </row>
    <row r="29" spans="1:17" ht="15" customHeight="1">
      <c r="A29" s="150">
        <v>313</v>
      </c>
      <c r="B29" s="150">
        <v>313</v>
      </c>
      <c r="C29" s="150" t="s">
        <v>1069</v>
      </c>
      <c r="D29" s="150" t="s">
        <v>2648</v>
      </c>
      <c r="E29" s="151"/>
      <c r="F29" s="27"/>
      <c r="G29" s="152" t="s">
        <v>2079</v>
      </c>
      <c r="H29" s="120">
        <v>20347</v>
      </c>
      <c r="I29" s="150" t="s">
        <v>311</v>
      </c>
      <c r="J29" s="153" t="s">
        <v>1218</v>
      </c>
      <c r="K29" s="124">
        <v>43101</v>
      </c>
      <c r="L29" s="155">
        <v>16668.38</v>
      </c>
      <c r="M29" s="155">
        <v>16668.38</v>
      </c>
      <c r="N29" s="136">
        <v>3903.8254000000002</v>
      </c>
      <c r="O29" s="136">
        <v>3903.8254000000002</v>
      </c>
      <c r="P29" s="154">
        <v>0.2342054476799785</v>
      </c>
      <c r="Q29" s="124">
        <v>47484</v>
      </c>
    </row>
    <row r="30" spans="1:17" ht="15" customHeight="1">
      <c r="A30" s="150">
        <v>313</v>
      </c>
      <c r="B30" s="150">
        <v>313</v>
      </c>
      <c r="C30" s="150" t="s">
        <v>1069</v>
      </c>
      <c r="D30" s="150" t="s">
        <v>2646</v>
      </c>
      <c r="E30" s="151"/>
      <c r="F30" s="27"/>
      <c r="G30" s="152" t="s">
        <v>2074</v>
      </c>
      <c r="H30" s="120">
        <v>38042</v>
      </c>
      <c r="I30" s="150" t="s">
        <v>311</v>
      </c>
      <c r="J30" s="153" t="s">
        <v>1218</v>
      </c>
      <c r="K30" s="124">
        <v>43203</v>
      </c>
      <c r="L30" s="155">
        <v>35589.735999999997</v>
      </c>
      <c r="M30" s="155">
        <v>35589.735999999997</v>
      </c>
      <c r="N30" s="136">
        <v>1621.836</v>
      </c>
      <c r="O30" s="136">
        <v>1621.836</v>
      </c>
      <c r="P30" s="154">
        <v>4.5570329602894505E-2</v>
      </c>
      <c r="Q30" s="124">
        <v>46856</v>
      </c>
    </row>
    <row r="31" spans="1:17" ht="15" customHeight="1">
      <c r="A31" s="150">
        <v>313</v>
      </c>
      <c r="B31" s="150">
        <v>313</v>
      </c>
      <c r="C31" s="150" t="s">
        <v>1069</v>
      </c>
      <c r="D31" s="150" t="s">
        <v>2095</v>
      </c>
      <c r="E31" s="151"/>
      <c r="F31" s="27"/>
      <c r="G31" s="152" t="s">
        <v>2095</v>
      </c>
      <c r="H31" s="120">
        <v>51078</v>
      </c>
      <c r="I31" s="150" t="s">
        <v>311</v>
      </c>
      <c r="J31" s="153" t="s">
        <v>1218</v>
      </c>
      <c r="K31" s="124">
        <v>43241</v>
      </c>
      <c r="L31" s="155">
        <v>63251.84461</v>
      </c>
      <c r="M31" s="155">
        <v>63251.84461</v>
      </c>
      <c r="N31" s="136">
        <v>0</v>
      </c>
      <c r="O31" s="136">
        <v>0</v>
      </c>
      <c r="P31" s="154">
        <v>0</v>
      </c>
      <c r="Q31" s="124">
        <v>45408</v>
      </c>
    </row>
    <row r="32" spans="1:17" ht="15" customHeight="1">
      <c r="A32" s="150">
        <v>313</v>
      </c>
      <c r="B32" s="150">
        <v>313</v>
      </c>
      <c r="C32" s="150" t="s">
        <v>1069</v>
      </c>
      <c r="D32" s="150" t="s">
        <v>2643</v>
      </c>
      <c r="E32" s="151"/>
      <c r="F32" s="27"/>
      <c r="G32" s="152" t="s">
        <v>2068</v>
      </c>
      <c r="H32" s="120">
        <v>62008354</v>
      </c>
      <c r="I32" s="150" t="s">
        <v>311</v>
      </c>
      <c r="J32" s="153" t="s">
        <v>1222</v>
      </c>
      <c r="K32" s="124">
        <v>43251</v>
      </c>
      <c r="L32" s="155">
        <v>5000</v>
      </c>
      <c r="M32" s="155">
        <v>17830</v>
      </c>
      <c r="N32" s="136">
        <v>144.90100000000001</v>
      </c>
      <c r="O32" s="136">
        <v>488.60617199999996</v>
      </c>
      <c r="P32" s="154">
        <v>2.8980200000000001E-2</v>
      </c>
      <c r="Q32" s="124">
        <v>46143</v>
      </c>
    </row>
    <row r="33" spans="1:17" ht="15" customHeight="1">
      <c r="A33" s="150">
        <v>313</v>
      </c>
      <c r="B33" s="150">
        <v>313</v>
      </c>
      <c r="C33" s="150" t="s">
        <v>1069</v>
      </c>
      <c r="D33" s="150" t="s">
        <v>2036</v>
      </c>
      <c r="E33" s="151"/>
      <c r="F33" s="27"/>
      <c r="G33" s="152" t="s">
        <v>2649</v>
      </c>
      <c r="H33" s="120">
        <v>62009675</v>
      </c>
      <c r="I33" s="150" t="s">
        <v>311</v>
      </c>
      <c r="J33" s="153" t="s">
        <v>1222</v>
      </c>
      <c r="K33" s="124">
        <v>43283</v>
      </c>
      <c r="L33" s="155">
        <v>8400</v>
      </c>
      <c r="M33" s="155">
        <v>30752.400000000001</v>
      </c>
      <c r="N33" s="136">
        <v>304.77499999999998</v>
      </c>
      <c r="O33" s="136">
        <v>1027.7012999999999</v>
      </c>
      <c r="P33" s="154">
        <v>3.628273809523809E-2</v>
      </c>
      <c r="Q33" s="124">
        <v>46936</v>
      </c>
    </row>
    <row r="34" spans="1:17" ht="15" customHeight="1">
      <c r="A34" s="150">
        <v>313</v>
      </c>
      <c r="B34" s="150">
        <v>313</v>
      </c>
      <c r="C34" s="150" t="s">
        <v>1069</v>
      </c>
      <c r="D34" s="150" t="s">
        <v>2036</v>
      </c>
      <c r="E34" s="151"/>
      <c r="F34" s="27"/>
      <c r="G34" s="152" t="s">
        <v>2650</v>
      </c>
      <c r="H34" s="27">
        <v>62010079</v>
      </c>
      <c r="I34" s="150" t="s">
        <v>311</v>
      </c>
      <c r="J34" s="153" t="s">
        <v>1222</v>
      </c>
      <c r="K34" s="124">
        <v>43283</v>
      </c>
      <c r="L34" s="155">
        <v>2800</v>
      </c>
      <c r="M34" s="155">
        <v>10250.799999999999</v>
      </c>
      <c r="N34" s="136">
        <v>10.972</v>
      </c>
      <c r="O34" s="136">
        <v>36.997583999999996</v>
      </c>
      <c r="P34" s="154">
        <v>3.9185714285714284E-3</v>
      </c>
      <c r="Q34" s="124">
        <v>46936</v>
      </c>
    </row>
    <row r="35" spans="1:17" ht="15" customHeight="1">
      <c r="A35" s="150">
        <v>313</v>
      </c>
      <c r="B35" s="150">
        <v>313</v>
      </c>
      <c r="C35" s="150" t="s">
        <v>1069</v>
      </c>
      <c r="D35" s="150" t="s">
        <v>2036</v>
      </c>
      <c r="E35" s="151"/>
      <c r="F35" s="27"/>
      <c r="G35" s="152" t="s">
        <v>2651</v>
      </c>
      <c r="H35" s="27">
        <v>62010061</v>
      </c>
      <c r="I35" s="150" t="s">
        <v>311</v>
      </c>
      <c r="J35" s="153" t="s">
        <v>1222</v>
      </c>
      <c r="K35" s="124">
        <v>43283</v>
      </c>
      <c r="L35" s="155">
        <v>2800</v>
      </c>
      <c r="M35" s="155">
        <v>10250.799999999999</v>
      </c>
      <c r="N35" s="136">
        <v>341.55</v>
      </c>
      <c r="O35" s="136">
        <v>1151.7065999999998</v>
      </c>
      <c r="P35" s="154">
        <v>0.12198214285714286</v>
      </c>
      <c r="Q35" s="124">
        <v>46936</v>
      </c>
    </row>
    <row r="36" spans="1:17" ht="15" customHeight="1">
      <c r="A36" s="150">
        <v>313</v>
      </c>
      <c r="B36" s="150">
        <v>313</v>
      </c>
      <c r="C36" s="150" t="s">
        <v>1069</v>
      </c>
      <c r="D36" s="150" t="s">
        <v>2054</v>
      </c>
      <c r="E36" s="151"/>
      <c r="F36" s="27"/>
      <c r="G36" s="152" t="s">
        <v>2108</v>
      </c>
      <c r="H36" s="27">
        <v>36842</v>
      </c>
      <c r="I36" s="150" t="s">
        <v>311</v>
      </c>
      <c r="J36" s="153" t="s">
        <v>1218</v>
      </c>
      <c r="K36" s="124">
        <v>43650</v>
      </c>
      <c r="L36" s="155">
        <v>30800.000000000004</v>
      </c>
      <c r="M36" s="155">
        <v>30800.000000000004</v>
      </c>
      <c r="N36" s="136">
        <v>9240.0000000000036</v>
      </c>
      <c r="O36" s="136">
        <v>9240.0000000000036</v>
      </c>
      <c r="P36" s="154">
        <v>0.3000000000000001</v>
      </c>
      <c r="Q36" s="124">
        <v>46572</v>
      </c>
    </row>
    <row r="37" spans="1:17" ht="15" customHeight="1">
      <c r="A37" s="150">
        <v>313</v>
      </c>
      <c r="B37" s="150">
        <v>313</v>
      </c>
      <c r="C37" s="150" t="s">
        <v>1069</v>
      </c>
      <c r="D37" s="150" t="s">
        <v>2042</v>
      </c>
      <c r="E37" s="151"/>
      <c r="F37" s="27"/>
      <c r="G37" s="152" t="s">
        <v>2043</v>
      </c>
      <c r="H37" s="27">
        <v>78984</v>
      </c>
      <c r="I37" s="150" t="s">
        <v>311</v>
      </c>
      <c r="J37" s="153" t="s">
        <v>1218</v>
      </c>
      <c r="K37" s="124">
        <v>43734</v>
      </c>
      <c r="L37" s="155">
        <v>34500</v>
      </c>
      <c r="M37" s="155">
        <v>34500</v>
      </c>
      <c r="N37" s="136">
        <v>10231.486000000001</v>
      </c>
      <c r="O37" s="136">
        <v>10231.486000000001</v>
      </c>
      <c r="P37" s="154">
        <v>0.29656481159420295</v>
      </c>
      <c r="Q37" s="124">
        <v>45926</v>
      </c>
    </row>
    <row r="38" spans="1:17" ht="15" customHeight="1">
      <c r="A38" s="150">
        <v>313</v>
      </c>
      <c r="B38" s="150">
        <v>313</v>
      </c>
      <c r="C38" s="150" t="s">
        <v>1069</v>
      </c>
      <c r="D38" s="150" t="s">
        <v>2646</v>
      </c>
      <c r="E38" s="151"/>
      <c r="F38" s="27"/>
      <c r="G38" s="152" t="s">
        <v>2035</v>
      </c>
      <c r="H38" s="27">
        <v>38043</v>
      </c>
      <c r="I38" s="150" t="s">
        <v>311</v>
      </c>
      <c r="J38" s="153" t="s">
        <v>1218</v>
      </c>
      <c r="K38" s="124">
        <v>44317</v>
      </c>
      <c r="L38" s="155">
        <v>62030.714999999997</v>
      </c>
      <c r="M38" s="155">
        <v>62030.714999999997</v>
      </c>
      <c r="N38" s="136">
        <v>12910.861999999999</v>
      </c>
      <c r="O38" s="136">
        <v>12910.861999999999</v>
      </c>
      <c r="P38" s="154">
        <v>0.20813659813529475</v>
      </c>
      <c r="Q38" s="124">
        <v>48700</v>
      </c>
    </row>
    <row r="39" spans="1:17" ht="15" customHeight="1">
      <c r="A39" s="150">
        <v>313</v>
      </c>
      <c r="B39" s="150">
        <v>313</v>
      </c>
      <c r="C39" s="150" t="s">
        <v>1069</v>
      </c>
      <c r="D39" s="150" t="s">
        <v>2083</v>
      </c>
      <c r="E39" s="151"/>
      <c r="F39" s="27"/>
      <c r="G39" s="152" t="s">
        <v>2077</v>
      </c>
      <c r="H39" s="27">
        <v>60400893</v>
      </c>
      <c r="I39" s="150" t="s">
        <v>311</v>
      </c>
      <c r="J39" s="153" t="s">
        <v>1222</v>
      </c>
      <c r="K39" s="124">
        <v>44348</v>
      </c>
      <c r="L39" s="155">
        <v>12000</v>
      </c>
      <c r="M39" s="155">
        <v>38856</v>
      </c>
      <c r="N39" s="136">
        <v>5673.6</v>
      </c>
      <c r="O39" s="136">
        <v>19131.379199999999</v>
      </c>
      <c r="P39" s="154">
        <v>0.47280000000000005</v>
      </c>
      <c r="Q39" s="124">
        <v>48000</v>
      </c>
    </row>
    <row r="40" spans="1:17" ht="15" customHeight="1">
      <c r="A40" s="150">
        <v>313</v>
      </c>
      <c r="B40" s="150">
        <v>313</v>
      </c>
      <c r="C40" s="150" t="s">
        <v>1069</v>
      </c>
      <c r="D40" s="150" t="s">
        <v>2102</v>
      </c>
      <c r="E40" s="151"/>
      <c r="F40" s="27"/>
      <c r="G40" s="152" t="s">
        <v>2041</v>
      </c>
      <c r="H40" s="27">
        <v>62003142</v>
      </c>
      <c r="I40" s="150" t="s">
        <v>311</v>
      </c>
      <c r="J40" s="153" t="s">
        <v>1222</v>
      </c>
      <c r="K40" s="124">
        <v>44348</v>
      </c>
      <c r="L40" s="155">
        <v>6000</v>
      </c>
      <c r="M40" s="155">
        <v>19428</v>
      </c>
      <c r="N40" s="136">
        <v>788.572</v>
      </c>
      <c r="O40" s="136">
        <v>2659.0647840000001</v>
      </c>
      <c r="P40" s="154">
        <v>0.13142866666666667</v>
      </c>
      <c r="Q40" s="124">
        <v>46600</v>
      </c>
    </row>
    <row r="41" spans="1:17" ht="15" customHeight="1">
      <c r="A41" s="150">
        <v>313</v>
      </c>
      <c r="B41" s="150">
        <v>313</v>
      </c>
      <c r="C41" s="150" t="s">
        <v>1069</v>
      </c>
      <c r="D41" s="150" t="s">
        <v>2652</v>
      </c>
      <c r="E41" s="151"/>
      <c r="F41" s="27"/>
      <c r="G41" s="152" t="s">
        <v>2097</v>
      </c>
      <c r="H41" s="27">
        <v>62011336</v>
      </c>
      <c r="I41" s="150" t="s">
        <v>311</v>
      </c>
      <c r="J41" s="153" t="s">
        <v>1222</v>
      </c>
      <c r="K41" s="124">
        <v>44329</v>
      </c>
      <c r="L41" s="155">
        <v>8400</v>
      </c>
      <c r="M41" s="155">
        <v>27686.400000000001</v>
      </c>
      <c r="N41" s="136">
        <v>378</v>
      </c>
      <c r="O41" s="136">
        <v>1274.616</v>
      </c>
      <c r="P41" s="154">
        <v>4.4999999999999998E-2</v>
      </c>
      <c r="Q41" s="124">
        <v>46155</v>
      </c>
    </row>
    <row r="42" spans="1:17" ht="15" customHeight="1">
      <c r="A42" s="150">
        <v>313</v>
      </c>
      <c r="B42" s="150">
        <v>313</v>
      </c>
      <c r="C42" s="150" t="s">
        <v>1069</v>
      </c>
      <c r="D42" s="150" t="s">
        <v>2036</v>
      </c>
      <c r="E42" s="151"/>
      <c r="F42" s="27"/>
      <c r="G42" s="152" t="s">
        <v>2098</v>
      </c>
      <c r="H42" s="27">
        <v>62010060</v>
      </c>
      <c r="I42" s="150" t="s">
        <v>311</v>
      </c>
      <c r="J42" s="153" t="s">
        <v>1222</v>
      </c>
      <c r="K42" s="124">
        <v>44348</v>
      </c>
      <c r="L42" s="155">
        <v>4200</v>
      </c>
      <c r="M42" s="155">
        <v>13599.6</v>
      </c>
      <c r="N42" s="136">
        <v>1764</v>
      </c>
      <c r="O42" s="136">
        <v>5948.2079999999996</v>
      </c>
      <c r="P42" s="154">
        <v>0.42</v>
      </c>
      <c r="Q42" s="124">
        <v>49096</v>
      </c>
    </row>
    <row r="43" spans="1:17" ht="15" customHeight="1">
      <c r="A43" s="150">
        <v>313</v>
      </c>
      <c r="B43" s="150">
        <v>313</v>
      </c>
      <c r="C43" s="150" t="s">
        <v>1069</v>
      </c>
      <c r="D43" s="150" t="s">
        <v>2075</v>
      </c>
      <c r="E43" s="151"/>
      <c r="F43" s="27"/>
      <c r="G43" s="152" t="s">
        <v>2076</v>
      </c>
      <c r="H43" s="27">
        <v>18995</v>
      </c>
      <c r="I43" s="150" t="s">
        <v>311</v>
      </c>
      <c r="J43" s="153" t="s">
        <v>1218</v>
      </c>
      <c r="K43" s="124">
        <v>44256</v>
      </c>
      <c r="L43" s="155">
        <v>36000</v>
      </c>
      <c r="M43" s="155">
        <v>36000</v>
      </c>
      <c r="N43" s="136">
        <v>11091.18</v>
      </c>
      <c r="O43" s="136">
        <v>11091.18</v>
      </c>
      <c r="P43" s="154">
        <v>0.30808833333333335</v>
      </c>
      <c r="Q43" s="124">
        <v>47178</v>
      </c>
    </row>
    <row r="44" spans="1:17" ht="15" customHeight="1">
      <c r="A44" s="150">
        <v>313</v>
      </c>
      <c r="B44" s="150">
        <v>313</v>
      </c>
      <c r="C44" s="150" t="s">
        <v>1069</v>
      </c>
      <c r="D44" s="150" t="s">
        <v>1983</v>
      </c>
      <c r="E44" s="151"/>
      <c r="F44" s="27"/>
      <c r="G44" s="152" t="s">
        <v>1984</v>
      </c>
      <c r="H44" s="27">
        <v>78990</v>
      </c>
      <c r="I44" s="150" t="s">
        <v>311</v>
      </c>
      <c r="J44" s="153" t="s">
        <v>1218</v>
      </c>
      <c r="K44" s="124">
        <v>44635</v>
      </c>
      <c r="L44" s="155">
        <v>13652</v>
      </c>
      <c r="M44" s="155">
        <v>13652</v>
      </c>
      <c r="N44" s="136">
        <v>0</v>
      </c>
      <c r="O44" s="136">
        <v>0</v>
      </c>
      <c r="P44" s="154">
        <v>0</v>
      </c>
      <c r="Q44" s="124">
        <v>45731</v>
      </c>
    </row>
    <row r="45" spans="1:17" ht="15" customHeight="1">
      <c r="A45" s="150">
        <v>313</v>
      </c>
      <c r="B45" s="150">
        <v>313</v>
      </c>
      <c r="C45" s="150" t="s">
        <v>1069</v>
      </c>
      <c r="D45" s="150" t="s">
        <v>2653</v>
      </c>
      <c r="E45" s="151"/>
      <c r="F45" s="27"/>
      <c r="G45" s="152" t="s">
        <v>2099</v>
      </c>
      <c r="H45" s="27">
        <v>53020</v>
      </c>
      <c r="I45" s="150" t="s">
        <v>311</v>
      </c>
      <c r="J45" s="153" t="s">
        <v>1218</v>
      </c>
      <c r="K45" s="124">
        <v>44574</v>
      </c>
      <c r="L45" s="155">
        <v>29917.623</v>
      </c>
      <c r="M45" s="155">
        <v>29917.623</v>
      </c>
      <c r="N45" s="136">
        <v>0</v>
      </c>
      <c r="O45" s="136">
        <v>0</v>
      </c>
      <c r="P45" s="154">
        <v>0</v>
      </c>
      <c r="Q45" s="124">
        <v>50586</v>
      </c>
    </row>
    <row r="46" spans="1:17" ht="15" customHeight="1">
      <c r="A46" s="150">
        <v>313</v>
      </c>
      <c r="B46" s="150">
        <v>313</v>
      </c>
      <c r="C46" s="150" t="s">
        <v>1069</v>
      </c>
      <c r="D46" s="150" t="s">
        <v>2130</v>
      </c>
      <c r="E46" s="151"/>
      <c r="F46" s="27"/>
      <c r="G46" s="152" t="s">
        <v>2131</v>
      </c>
      <c r="H46" s="27">
        <v>78995</v>
      </c>
      <c r="I46" s="150" t="s">
        <v>311</v>
      </c>
      <c r="J46" s="153" t="s">
        <v>1218</v>
      </c>
      <c r="K46" s="124">
        <v>44803</v>
      </c>
      <c r="L46" s="155">
        <v>17250</v>
      </c>
      <c r="M46" s="155">
        <v>17250</v>
      </c>
      <c r="N46" s="136">
        <v>1859.1302599999997</v>
      </c>
      <c r="O46" s="136">
        <v>1859.1302599999997</v>
      </c>
      <c r="P46" s="154">
        <v>0.1077756672463768</v>
      </c>
      <c r="Q46" s="124">
        <v>47725</v>
      </c>
    </row>
    <row r="47" spans="1:17" ht="15" customHeight="1">
      <c r="A47" s="150">
        <v>313</v>
      </c>
      <c r="B47" s="150">
        <v>313</v>
      </c>
      <c r="C47" s="150" t="s">
        <v>1069</v>
      </c>
      <c r="D47" s="150" t="s">
        <v>2036</v>
      </c>
      <c r="E47" s="151"/>
      <c r="F47" s="27"/>
      <c r="G47" s="152" t="s">
        <v>2066</v>
      </c>
      <c r="H47" s="27">
        <v>62017775</v>
      </c>
      <c r="I47" s="150" t="s">
        <v>311</v>
      </c>
      <c r="J47" s="153" t="s">
        <v>1222</v>
      </c>
      <c r="K47" s="124">
        <v>44824</v>
      </c>
      <c r="L47" s="155">
        <v>3050</v>
      </c>
      <c r="M47" s="155">
        <v>10488.95</v>
      </c>
      <c r="N47" s="136">
        <v>1830</v>
      </c>
      <c r="O47" s="136">
        <v>6170.76</v>
      </c>
      <c r="P47" s="154">
        <v>0.6</v>
      </c>
      <c r="Q47" s="124">
        <v>49572</v>
      </c>
    </row>
    <row r="48" spans="1:17" ht="15" customHeight="1">
      <c r="A48" s="150">
        <v>313</v>
      </c>
      <c r="B48" s="150">
        <v>313</v>
      </c>
      <c r="C48" s="150" t="s">
        <v>1069</v>
      </c>
      <c r="D48" s="150" t="s">
        <v>2036</v>
      </c>
      <c r="E48" s="151"/>
      <c r="F48" s="27"/>
      <c r="G48" s="152" t="s">
        <v>2115</v>
      </c>
      <c r="H48" s="27">
        <v>62017780</v>
      </c>
      <c r="I48" s="150" t="s">
        <v>311</v>
      </c>
      <c r="J48" s="153" t="s">
        <v>1222</v>
      </c>
      <c r="K48" s="124">
        <v>44824</v>
      </c>
      <c r="L48" s="155">
        <v>3050</v>
      </c>
      <c r="M48" s="155">
        <v>10488.95</v>
      </c>
      <c r="N48" s="136">
        <v>2180.75</v>
      </c>
      <c r="O48" s="136">
        <v>7353.4889999999996</v>
      </c>
      <c r="P48" s="154">
        <v>0.71499999999999997</v>
      </c>
      <c r="Q48" s="124">
        <v>49572</v>
      </c>
    </row>
    <row r="49" spans="1:17" ht="15" customHeight="1">
      <c r="A49" s="150">
        <v>313</v>
      </c>
      <c r="B49" s="150">
        <v>313</v>
      </c>
      <c r="C49" s="150" t="s">
        <v>1069</v>
      </c>
      <c r="D49" s="150" t="s">
        <v>2635</v>
      </c>
      <c r="E49" s="151"/>
      <c r="F49" s="27"/>
      <c r="G49" s="152" t="s">
        <v>2070</v>
      </c>
      <c r="H49" s="27">
        <v>60289795</v>
      </c>
      <c r="I49" s="150" t="s">
        <v>311</v>
      </c>
      <c r="J49" s="153" t="s">
        <v>1222</v>
      </c>
      <c r="K49" s="124">
        <v>44923</v>
      </c>
      <c r="L49" s="155">
        <v>16097.56098</v>
      </c>
      <c r="M49" s="155">
        <v>56727.804893520006</v>
      </c>
      <c r="N49" s="136">
        <v>9095.1219799999999</v>
      </c>
      <c r="O49" s="136">
        <v>30668.751316559999</v>
      </c>
      <c r="P49" s="154">
        <v>0.56500000163378783</v>
      </c>
      <c r="Q49" s="124">
        <v>48576</v>
      </c>
    </row>
    <row r="50" spans="1:17" ht="15" customHeight="1">
      <c r="A50" s="150">
        <v>313</v>
      </c>
      <c r="B50" s="150">
        <v>313</v>
      </c>
      <c r="C50" s="150" t="s">
        <v>1069</v>
      </c>
      <c r="D50" s="120" t="s">
        <v>2062</v>
      </c>
      <c r="E50" s="151"/>
      <c r="F50" s="27"/>
      <c r="G50" s="152" t="s">
        <v>2113</v>
      </c>
      <c r="H50" s="27">
        <v>50007970</v>
      </c>
      <c r="I50" s="150" t="s">
        <v>311</v>
      </c>
      <c r="J50" s="153" t="s">
        <v>1218</v>
      </c>
      <c r="K50" s="124">
        <v>45061</v>
      </c>
      <c r="L50" s="155">
        <v>50000</v>
      </c>
      <c r="M50" s="155">
        <v>50000</v>
      </c>
      <c r="N50" s="136">
        <v>30000</v>
      </c>
      <c r="O50" s="136">
        <v>30000</v>
      </c>
      <c r="P50" s="154">
        <v>0.6</v>
      </c>
      <c r="Q50" s="124">
        <v>47983</v>
      </c>
    </row>
    <row r="51" spans="1:17" ht="15" customHeight="1">
      <c r="A51" s="150">
        <v>313</v>
      </c>
      <c r="B51" s="150">
        <v>313</v>
      </c>
      <c r="C51" s="150" t="s">
        <v>1069</v>
      </c>
      <c r="D51" s="150" t="s">
        <v>2127</v>
      </c>
      <c r="E51" s="151"/>
      <c r="F51" s="27"/>
      <c r="G51" s="152" t="s">
        <v>2128</v>
      </c>
      <c r="H51" s="27">
        <v>79005</v>
      </c>
      <c r="I51" s="150" t="s">
        <v>311</v>
      </c>
      <c r="J51" s="153" t="s">
        <v>1218</v>
      </c>
      <c r="K51" s="124">
        <v>45069</v>
      </c>
      <c r="L51" s="155">
        <v>36800</v>
      </c>
      <c r="M51" s="155">
        <v>36800</v>
      </c>
      <c r="N51" s="136">
        <v>30682.273000000001</v>
      </c>
      <c r="O51" s="136">
        <v>30682.273000000001</v>
      </c>
      <c r="P51" s="154">
        <v>0.8337574184782609</v>
      </c>
      <c r="Q51" s="124">
        <v>47991</v>
      </c>
    </row>
    <row r="52" spans="1:17" ht="15" customHeight="1">
      <c r="A52" s="150">
        <v>313</v>
      </c>
      <c r="B52" s="150">
        <v>313</v>
      </c>
      <c r="C52" s="150" t="s">
        <v>1069</v>
      </c>
      <c r="D52" s="150" t="s">
        <v>2100</v>
      </c>
      <c r="E52" s="151"/>
      <c r="F52" s="27"/>
      <c r="G52" s="152" t="s">
        <v>2101</v>
      </c>
      <c r="H52" s="27">
        <v>62018045</v>
      </c>
      <c r="I52" s="150" t="s">
        <v>311</v>
      </c>
      <c r="J52" s="153" t="s">
        <v>1222</v>
      </c>
      <c r="K52" s="124">
        <v>45229</v>
      </c>
      <c r="L52" s="155">
        <v>7448.2759999999998</v>
      </c>
      <c r="M52" s="155">
        <v>30202.759180000001</v>
      </c>
      <c r="N52" s="136">
        <v>4818.2219999999998</v>
      </c>
      <c r="O52" s="136">
        <v>16247.044583999999</v>
      </c>
      <c r="P52" s="154">
        <v>0.64689090468720545</v>
      </c>
      <c r="Q52" s="124">
        <v>48882</v>
      </c>
    </row>
    <row r="53" spans="1:17" ht="15" customHeight="1">
      <c r="A53" s="150">
        <v>313</v>
      </c>
      <c r="B53" s="150">
        <v>313</v>
      </c>
      <c r="C53" s="150" t="s">
        <v>1069</v>
      </c>
      <c r="D53" s="150" t="s">
        <v>2046</v>
      </c>
      <c r="E53" s="151"/>
      <c r="F53" s="27"/>
      <c r="G53" s="152" t="s">
        <v>2047</v>
      </c>
      <c r="H53" s="27">
        <v>62008450</v>
      </c>
      <c r="I53" s="150" t="s">
        <v>311</v>
      </c>
      <c r="J53" s="153" t="s">
        <v>1218</v>
      </c>
      <c r="K53" s="124">
        <v>45223</v>
      </c>
      <c r="L53" s="155">
        <v>24828</v>
      </c>
      <c r="M53" s="155">
        <v>24828</v>
      </c>
      <c r="N53" s="136">
        <v>16551.802</v>
      </c>
      <c r="O53" s="136">
        <v>16551.802</v>
      </c>
      <c r="P53" s="154">
        <v>0.66665869179958115</v>
      </c>
      <c r="Q53" s="124">
        <v>48876</v>
      </c>
    </row>
    <row r="54" spans="1:17" ht="15" customHeight="1">
      <c r="A54" s="150">
        <v>313</v>
      </c>
      <c r="B54" s="150">
        <v>313</v>
      </c>
      <c r="C54" s="150" t="s">
        <v>1069</v>
      </c>
      <c r="D54" s="120" t="s">
        <v>2654</v>
      </c>
      <c r="E54" s="151"/>
      <c r="F54" s="27"/>
      <c r="G54" s="152" t="s">
        <v>2061</v>
      </c>
      <c r="H54" s="27">
        <v>62008551</v>
      </c>
      <c r="I54" s="150" t="s">
        <v>311</v>
      </c>
      <c r="J54" s="153" t="s">
        <v>1222</v>
      </c>
      <c r="K54" s="124">
        <v>45223</v>
      </c>
      <c r="L54" s="155">
        <v>10000.572</v>
      </c>
      <c r="M54" s="155">
        <v>40632.324035999998</v>
      </c>
      <c r="N54" s="136">
        <v>8223.2970000000005</v>
      </c>
      <c r="O54" s="136">
        <v>27728.957483999999</v>
      </c>
      <c r="P54" s="154">
        <v>0.82228266543153739</v>
      </c>
      <c r="Q54" s="124">
        <v>48876</v>
      </c>
    </row>
    <row r="55" spans="1:17" ht="15" customHeight="1">
      <c r="A55" s="150">
        <v>313</v>
      </c>
      <c r="B55" s="150">
        <v>313</v>
      </c>
      <c r="C55" s="150" t="s">
        <v>1069</v>
      </c>
      <c r="D55" s="120" t="s">
        <v>2125</v>
      </c>
      <c r="E55" s="120"/>
      <c r="F55" s="150"/>
      <c r="G55" s="152" t="s">
        <v>2126</v>
      </c>
      <c r="H55" s="27">
        <v>62021701</v>
      </c>
      <c r="I55" s="150" t="s">
        <v>311</v>
      </c>
      <c r="J55" s="156" t="s">
        <v>1218</v>
      </c>
      <c r="K55" s="124">
        <v>45449</v>
      </c>
      <c r="L55" s="155">
        <v>20690</v>
      </c>
      <c r="M55" s="155">
        <v>20690</v>
      </c>
      <c r="N55" s="136">
        <v>15562.414000000001</v>
      </c>
      <c r="O55" s="136">
        <v>15562.414000000001</v>
      </c>
      <c r="P55" s="154">
        <v>0.75217080715321416</v>
      </c>
      <c r="Q55" s="124">
        <v>48005</v>
      </c>
    </row>
    <row r="56" spans="1:17" ht="15" customHeight="1">
      <c r="A56" s="151">
        <v>313</v>
      </c>
      <c r="B56" s="151">
        <v>313</v>
      </c>
      <c r="C56" s="151" t="s">
        <v>1069</v>
      </c>
      <c r="D56" s="120" t="s">
        <v>2034</v>
      </c>
      <c r="E56" s="120"/>
      <c r="F56" s="27"/>
      <c r="G56" s="152" t="s">
        <v>2071</v>
      </c>
      <c r="H56" s="27">
        <v>38044</v>
      </c>
      <c r="I56" s="150" t="s">
        <v>311</v>
      </c>
      <c r="J56" s="156" t="s">
        <v>1218</v>
      </c>
      <c r="K56" s="124">
        <v>45545</v>
      </c>
      <c r="L56" s="155">
        <v>45000</v>
      </c>
      <c r="M56" s="155">
        <v>45000</v>
      </c>
      <c r="N56" s="136">
        <v>41218.620000000003</v>
      </c>
      <c r="O56" s="136">
        <v>41218.620000000003</v>
      </c>
      <c r="P56" s="154">
        <v>0.91596933333333341</v>
      </c>
      <c r="Q56" s="124">
        <v>49948</v>
      </c>
    </row>
    <row r="57" spans="1:17" ht="15" customHeight="1">
      <c r="A57" s="151">
        <v>313</v>
      </c>
      <c r="B57" s="151">
        <v>313</v>
      </c>
      <c r="C57" s="151" t="s">
        <v>1069</v>
      </c>
      <c r="D57" s="120" t="s">
        <v>2655</v>
      </c>
      <c r="E57" s="120"/>
      <c r="F57" s="27"/>
      <c r="G57" s="152" t="s">
        <v>2106</v>
      </c>
      <c r="H57" s="27">
        <v>62008453</v>
      </c>
      <c r="I57" s="150" t="s">
        <v>311</v>
      </c>
      <c r="J57" s="156" t="s">
        <v>1218</v>
      </c>
      <c r="K57" s="124">
        <v>45560</v>
      </c>
      <c r="L57" s="155">
        <v>9410</v>
      </c>
      <c r="M57" s="155">
        <v>9410</v>
      </c>
      <c r="N57" s="136">
        <v>2466.069</v>
      </c>
      <c r="O57" s="136">
        <v>2466.069</v>
      </c>
      <c r="P57" s="154">
        <v>0.26206896918172157</v>
      </c>
      <c r="Q57" s="124">
        <v>46655</v>
      </c>
    </row>
    <row r="58" spans="1:17" ht="15" customHeight="1">
      <c r="A58" s="151">
        <v>313</v>
      </c>
      <c r="B58" s="151">
        <v>313</v>
      </c>
      <c r="C58" s="151" t="s">
        <v>1069</v>
      </c>
      <c r="D58" s="133" t="s">
        <v>2656</v>
      </c>
      <c r="E58" s="120"/>
      <c r="F58" s="27"/>
      <c r="G58" s="152" t="s">
        <v>2052</v>
      </c>
      <c r="H58" s="27">
        <v>62018123</v>
      </c>
      <c r="I58" s="150" t="s">
        <v>311</v>
      </c>
      <c r="J58" s="153" t="s">
        <v>1222</v>
      </c>
      <c r="K58" s="124">
        <v>45717</v>
      </c>
      <c r="L58" s="155">
        <v>4000</v>
      </c>
      <c r="M58" s="155">
        <v>14360</v>
      </c>
      <c r="N58" s="136">
        <v>3990</v>
      </c>
      <c r="O58" s="136">
        <v>13454.28</v>
      </c>
      <c r="P58" s="154">
        <v>0.99750000000000005</v>
      </c>
      <c r="Q58" s="124">
        <v>48639</v>
      </c>
    </row>
    <row r="59" spans="1:17" ht="15" customHeight="1">
      <c r="A59" s="151">
        <v>313</v>
      </c>
      <c r="B59" s="151">
        <v>313</v>
      </c>
      <c r="C59" s="151" t="s">
        <v>1069</v>
      </c>
      <c r="D59" s="120" t="s">
        <v>2044</v>
      </c>
      <c r="E59" s="157"/>
      <c r="F59" s="27"/>
      <c r="G59" s="152" t="s">
        <v>2085</v>
      </c>
      <c r="H59" s="27">
        <v>62017785</v>
      </c>
      <c r="I59" s="150" t="s">
        <v>311</v>
      </c>
      <c r="J59" s="153" t="s">
        <v>1222</v>
      </c>
      <c r="K59" s="124">
        <v>45645</v>
      </c>
      <c r="L59" s="155">
        <v>2424</v>
      </c>
      <c r="M59" s="155">
        <v>8770.0319999999992</v>
      </c>
      <c r="N59" s="136">
        <v>2399.7600000000002</v>
      </c>
      <c r="O59" s="136">
        <v>8091.9907199999998</v>
      </c>
      <c r="P59" s="154">
        <v>0.9900000000000001</v>
      </c>
      <c r="Q59" s="124">
        <v>50393</v>
      </c>
    </row>
    <row r="60" spans="1:17" ht="15" customHeight="1">
      <c r="A60" s="151">
        <v>313</v>
      </c>
      <c r="B60" s="151">
        <v>313</v>
      </c>
      <c r="C60" s="151" t="s">
        <v>1069</v>
      </c>
      <c r="D60" s="120" t="s">
        <v>2657</v>
      </c>
      <c r="E60" s="120"/>
      <c r="F60" s="158"/>
      <c r="G60" s="152" t="s">
        <v>2657</v>
      </c>
      <c r="H60" s="27">
        <v>62018230</v>
      </c>
      <c r="I60" s="150" t="s">
        <v>311</v>
      </c>
      <c r="J60" s="153" t="s">
        <v>1222</v>
      </c>
      <c r="K60" s="124">
        <v>45767</v>
      </c>
      <c r="L60" s="155">
        <v>7400</v>
      </c>
      <c r="M60" s="155">
        <v>27313.4</v>
      </c>
      <c r="N60" s="136">
        <v>7400</v>
      </c>
      <c r="O60" s="136">
        <v>24952.799999999999</v>
      </c>
      <c r="P60" s="154">
        <v>1</v>
      </c>
      <c r="Q60" s="124">
        <v>48689</v>
      </c>
    </row>
    <row r="61" spans="1:17" ht="15" customHeight="1">
      <c r="A61" s="150">
        <v>313</v>
      </c>
      <c r="B61" s="150">
        <v>313</v>
      </c>
      <c r="C61" s="150" t="s">
        <v>1069</v>
      </c>
      <c r="D61" s="150" t="s">
        <v>2658</v>
      </c>
      <c r="E61" s="151"/>
      <c r="F61" s="27"/>
      <c r="G61" s="152" t="s">
        <v>2201</v>
      </c>
      <c r="H61" s="27">
        <v>9840565</v>
      </c>
      <c r="I61" s="150" t="s">
        <v>311</v>
      </c>
      <c r="J61" s="153" t="s">
        <v>1215</v>
      </c>
      <c r="K61" s="124">
        <v>39751</v>
      </c>
      <c r="L61" s="155">
        <v>9000</v>
      </c>
      <c r="M61" s="155">
        <v>43657.19999999999</v>
      </c>
      <c r="N61" s="136">
        <v>477</v>
      </c>
      <c r="O61" s="136">
        <v>1886.6304000000002</v>
      </c>
      <c r="P61" s="154">
        <v>5.2999999999999999E-2</v>
      </c>
      <c r="Q61" s="124">
        <v>45562</v>
      </c>
    </row>
    <row r="62" spans="1:17" ht="15" customHeight="1">
      <c r="A62" s="150">
        <v>313</v>
      </c>
      <c r="B62" s="150">
        <v>313</v>
      </c>
      <c r="C62" s="150" t="s">
        <v>1069</v>
      </c>
      <c r="D62" s="150" t="s">
        <v>2132</v>
      </c>
      <c r="E62" s="151"/>
      <c r="F62" s="27"/>
      <c r="G62" s="152" t="s">
        <v>2345</v>
      </c>
      <c r="H62" s="27">
        <v>9840569</v>
      </c>
      <c r="I62" s="150" t="s">
        <v>311</v>
      </c>
      <c r="J62" s="153" t="s">
        <v>1222</v>
      </c>
      <c r="K62" s="124">
        <v>39845</v>
      </c>
      <c r="L62" s="155">
        <v>5000</v>
      </c>
      <c r="M62" s="155">
        <v>20325.000000000004</v>
      </c>
      <c r="N62" s="136">
        <v>601.62600999999972</v>
      </c>
      <c r="O62" s="136">
        <v>2028.6829057199993</v>
      </c>
      <c r="P62" s="154">
        <v>0.12032520199999995</v>
      </c>
      <c r="Q62" s="124">
        <v>45208</v>
      </c>
    </row>
    <row r="63" spans="1:17" ht="15" customHeight="1">
      <c r="A63" s="150">
        <v>313</v>
      </c>
      <c r="B63" s="150">
        <v>313</v>
      </c>
      <c r="C63" s="150" t="s">
        <v>1069</v>
      </c>
      <c r="D63" s="150" t="s">
        <v>2659</v>
      </c>
      <c r="E63" s="151"/>
      <c r="F63" s="27"/>
      <c r="G63" s="152" t="s">
        <v>2660</v>
      </c>
      <c r="H63" s="27">
        <v>9840568</v>
      </c>
      <c r="I63" s="150" t="s">
        <v>311</v>
      </c>
      <c r="J63" s="153" t="s">
        <v>1222</v>
      </c>
      <c r="K63" s="124">
        <v>39845</v>
      </c>
      <c r="L63" s="155">
        <v>5000</v>
      </c>
      <c r="M63" s="155">
        <v>20325.000000000004</v>
      </c>
      <c r="N63" s="136">
        <v>1513.4975499999998</v>
      </c>
      <c r="O63" s="136">
        <v>5103.5137385999988</v>
      </c>
      <c r="P63" s="154">
        <v>0.30269950999999995</v>
      </c>
      <c r="Q63" s="124">
        <v>45696</v>
      </c>
    </row>
    <row r="64" spans="1:17" ht="15" customHeight="1">
      <c r="A64" s="150">
        <v>313</v>
      </c>
      <c r="B64" s="150">
        <v>313</v>
      </c>
      <c r="C64" s="150" t="s">
        <v>1069</v>
      </c>
      <c r="D64" s="150" t="s">
        <v>2465</v>
      </c>
      <c r="E64" s="120"/>
      <c r="F64" s="27"/>
      <c r="G64" s="152" t="s">
        <v>2661</v>
      </c>
      <c r="H64" s="27">
        <v>9840548</v>
      </c>
      <c r="I64" s="150" t="s">
        <v>311</v>
      </c>
      <c r="J64" s="153" t="s">
        <v>1222</v>
      </c>
      <c r="K64" s="124">
        <v>39934</v>
      </c>
      <c r="L64" s="155">
        <v>5000</v>
      </c>
      <c r="M64" s="155">
        <v>20804.999999999996</v>
      </c>
      <c r="N64" s="136">
        <v>902.56918999999994</v>
      </c>
      <c r="O64" s="136">
        <v>3043.46330868</v>
      </c>
      <c r="P64" s="154">
        <v>0.18051383799999998</v>
      </c>
      <c r="Q64" s="124">
        <v>44865</v>
      </c>
    </row>
    <row r="65" spans="1:17" ht="15" customHeight="1">
      <c r="A65" s="150">
        <v>313</v>
      </c>
      <c r="B65" s="150">
        <v>313</v>
      </c>
      <c r="C65" s="150" t="s">
        <v>1069</v>
      </c>
      <c r="D65" s="150" t="s">
        <v>2435</v>
      </c>
      <c r="E65" s="151"/>
      <c r="F65" s="27"/>
      <c r="G65" s="152" t="s">
        <v>2362</v>
      </c>
      <c r="H65" s="27">
        <v>9840574</v>
      </c>
      <c r="I65" s="150" t="s">
        <v>311</v>
      </c>
      <c r="J65" s="153" t="s">
        <v>1222</v>
      </c>
      <c r="K65" s="124">
        <v>40087</v>
      </c>
      <c r="L65" s="155">
        <v>9000</v>
      </c>
      <c r="M65" s="155">
        <v>34020</v>
      </c>
      <c r="N65" s="136">
        <v>450</v>
      </c>
      <c r="O65" s="136">
        <v>1517.4</v>
      </c>
      <c r="P65" s="154">
        <v>0.05</v>
      </c>
      <c r="Q65" s="124">
        <v>45930</v>
      </c>
    </row>
    <row r="66" spans="1:17" ht="15" customHeight="1">
      <c r="A66" s="150">
        <v>313</v>
      </c>
      <c r="B66" s="150">
        <v>313</v>
      </c>
      <c r="C66" s="150" t="s">
        <v>1069</v>
      </c>
      <c r="D66" s="150" t="s">
        <v>2134</v>
      </c>
      <c r="E66" s="151"/>
      <c r="F66" s="27"/>
      <c r="G66" s="152" t="s">
        <v>2224</v>
      </c>
      <c r="H66" s="27">
        <v>9840535</v>
      </c>
      <c r="I66" s="150" t="s">
        <v>311</v>
      </c>
      <c r="J66" s="153" t="s">
        <v>1215</v>
      </c>
      <c r="K66" s="124">
        <v>40148</v>
      </c>
      <c r="L66" s="155">
        <v>33750</v>
      </c>
      <c r="M66" s="155">
        <v>192020.625</v>
      </c>
      <c r="N66" s="136">
        <v>3137.5194200000019</v>
      </c>
      <c r="O66" s="136">
        <v>12409.516809984008</v>
      </c>
      <c r="P66" s="154">
        <v>9.2963538370370427E-2</v>
      </c>
      <c r="Q66" s="124">
        <v>45747</v>
      </c>
    </row>
    <row r="67" spans="1:17" ht="15" customHeight="1">
      <c r="A67" s="150">
        <v>313</v>
      </c>
      <c r="B67" s="150">
        <v>313</v>
      </c>
      <c r="C67" s="150" t="s">
        <v>1069</v>
      </c>
      <c r="D67" s="150" t="s">
        <v>2662</v>
      </c>
      <c r="E67" s="151"/>
      <c r="F67" s="27"/>
      <c r="G67" s="152" t="s">
        <v>2390</v>
      </c>
      <c r="H67" s="27">
        <v>60287034</v>
      </c>
      <c r="I67" s="150" t="s">
        <v>311</v>
      </c>
      <c r="J67" s="153" t="s">
        <v>1222</v>
      </c>
      <c r="K67" s="124">
        <v>40575</v>
      </c>
      <c r="L67" s="155">
        <v>7500</v>
      </c>
      <c r="M67" s="155">
        <v>27682.5</v>
      </c>
      <c r="N67" s="136">
        <v>658.05650000000003</v>
      </c>
      <c r="O67" s="136">
        <v>2218.9665180000002</v>
      </c>
      <c r="P67" s="154">
        <v>8.7740866666666667E-2</v>
      </c>
      <c r="Q67" s="124">
        <v>45566</v>
      </c>
    </row>
    <row r="68" spans="1:17" ht="15" customHeight="1">
      <c r="A68" s="150">
        <v>313</v>
      </c>
      <c r="B68" s="150">
        <v>313</v>
      </c>
      <c r="C68" s="150" t="s">
        <v>1069</v>
      </c>
      <c r="D68" s="150" t="s">
        <v>2147</v>
      </c>
      <c r="E68" s="151"/>
      <c r="F68" s="27"/>
      <c r="G68" s="152" t="s">
        <v>2377</v>
      </c>
      <c r="H68" s="27">
        <v>60265089</v>
      </c>
      <c r="I68" s="150" t="s">
        <v>311</v>
      </c>
      <c r="J68" s="153" t="s">
        <v>1222</v>
      </c>
      <c r="K68" s="124">
        <v>40360</v>
      </c>
      <c r="L68" s="155">
        <v>7500</v>
      </c>
      <c r="M68" s="155">
        <v>29122.5</v>
      </c>
      <c r="N68" s="136">
        <v>823.1703399999999</v>
      </c>
      <c r="O68" s="136">
        <v>2775.7303864799992</v>
      </c>
      <c r="P68" s="154">
        <v>0.10975604533333332</v>
      </c>
      <c r="Q68" s="124">
        <v>45444</v>
      </c>
    </row>
    <row r="69" spans="1:17" ht="15" customHeight="1">
      <c r="A69" s="150">
        <v>313</v>
      </c>
      <c r="B69" s="150">
        <v>313</v>
      </c>
      <c r="C69" s="150" t="s">
        <v>1069</v>
      </c>
      <c r="D69" s="150" t="s">
        <v>2147</v>
      </c>
      <c r="E69" s="151"/>
      <c r="F69" s="27"/>
      <c r="G69" s="152" t="s">
        <v>2387</v>
      </c>
      <c r="H69" s="27">
        <v>9988718</v>
      </c>
      <c r="I69" s="150" t="s">
        <v>311</v>
      </c>
      <c r="J69" s="153" t="s">
        <v>1222</v>
      </c>
      <c r="K69" s="124">
        <v>40817</v>
      </c>
      <c r="L69" s="155">
        <v>10000</v>
      </c>
      <c r="M69" s="155">
        <v>37120</v>
      </c>
      <c r="N69" s="136">
        <v>945.65815000000032</v>
      </c>
      <c r="O69" s="136">
        <v>3188.7592818000007</v>
      </c>
      <c r="P69" s="154">
        <v>9.4565815000000025E-2</v>
      </c>
      <c r="Q69" s="124">
        <v>45505</v>
      </c>
    </row>
    <row r="70" spans="1:17" ht="15" customHeight="1">
      <c r="A70" s="150">
        <v>313</v>
      </c>
      <c r="B70" s="150">
        <v>313</v>
      </c>
      <c r="C70" s="150" t="s">
        <v>1069</v>
      </c>
      <c r="D70" s="120" t="s">
        <v>2142</v>
      </c>
      <c r="E70" s="151"/>
      <c r="F70" s="27"/>
      <c r="G70" s="152" t="s">
        <v>2663</v>
      </c>
      <c r="H70" s="27">
        <v>9988965</v>
      </c>
      <c r="I70" s="150" t="s">
        <v>311</v>
      </c>
      <c r="J70" s="153" t="s">
        <v>1222</v>
      </c>
      <c r="K70" s="124">
        <v>40848</v>
      </c>
      <c r="L70" s="155">
        <v>7500</v>
      </c>
      <c r="M70" s="155">
        <v>27375</v>
      </c>
      <c r="N70" s="136">
        <v>2175.6109999999999</v>
      </c>
      <c r="O70" s="136">
        <v>7336.1602919999996</v>
      </c>
      <c r="P70" s="154">
        <v>0.29008146666666668</v>
      </c>
      <c r="Q70" s="124">
        <v>44150</v>
      </c>
    </row>
    <row r="71" spans="1:17" ht="15" customHeight="1">
      <c r="A71" s="150">
        <v>313</v>
      </c>
      <c r="B71" s="150">
        <v>313</v>
      </c>
      <c r="C71" s="150" t="s">
        <v>1069</v>
      </c>
      <c r="D71" s="150" t="s">
        <v>2664</v>
      </c>
      <c r="E71" s="151"/>
      <c r="F71" s="27"/>
      <c r="G71" s="152" t="s">
        <v>2371</v>
      </c>
      <c r="H71" s="27">
        <v>60289782</v>
      </c>
      <c r="I71" s="150" t="s">
        <v>311</v>
      </c>
      <c r="J71" s="153" t="s">
        <v>1222</v>
      </c>
      <c r="K71" s="124">
        <v>40878</v>
      </c>
      <c r="L71" s="155">
        <v>7500</v>
      </c>
      <c r="M71" s="155">
        <v>28057.5</v>
      </c>
      <c r="N71" s="136">
        <v>1617.201</v>
      </c>
      <c r="O71" s="136">
        <v>5453.2017719999994</v>
      </c>
      <c r="P71" s="154">
        <v>0.21562680000000001</v>
      </c>
      <c r="Q71" s="124">
        <v>45538</v>
      </c>
    </row>
    <row r="72" spans="1:17" ht="15" customHeight="1">
      <c r="A72" s="150">
        <v>313</v>
      </c>
      <c r="B72" s="150">
        <v>313</v>
      </c>
      <c r="C72" s="150" t="s">
        <v>1069</v>
      </c>
      <c r="D72" s="150" t="s">
        <v>2471</v>
      </c>
      <c r="E72" s="151"/>
      <c r="F72" s="27"/>
      <c r="G72" s="152" t="s">
        <v>2251</v>
      </c>
      <c r="H72" s="27">
        <v>60294154</v>
      </c>
      <c r="I72" s="150" t="s">
        <v>311</v>
      </c>
      <c r="J72" s="153" t="s">
        <v>1215</v>
      </c>
      <c r="K72" s="124">
        <v>40940</v>
      </c>
      <c r="L72" s="155">
        <v>5000</v>
      </c>
      <c r="M72" s="155">
        <v>24534.5</v>
      </c>
      <c r="N72" s="136">
        <v>0</v>
      </c>
      <c r="O72" s="136">
        <v>0</v>
      </c>
      <c r="P72" s="154">
        <v>0</v>
      </c>
      <c r="Q72" s="124">
        <v>46073</v>
      </c>
    </row>
    <row r="73" spans="1:17" ht="15" customHeight="1">
      <c r="A73" s="150">
        <v>313</v>
      </c>
      <c r="B73" s="150">
        <v>313</v>
      </c>
      <c r="C73" s="150" t="s">
        <v>1069</v>
      </c>
      <c r="D73" s="150" t="s">
        <v>2665</v>
      </c>
      <c r="E73" s="151"/>
      <c r="F73" s="27"/>
      <c r="G73" s="152" t="s">
        <v>2666</v>
      </c>
      <c r="H73" s="27">
        <v>60302569</v>
      </c>
      <c r="I73" s="150" t="s">
        <v>311</v>
      </c>
      <c r="J73" s="153" t="s">
        <v>1222</v>
      </c>
      <c r="K73" s="124">
        <v>41030</v>
      </c>
      <c r="L73" s="155">
        <v>3000</v>
      </c>
      <c r="M73" s="155">
        <v>11304</v>
      </c>
      <c r="N73" s="136">
        <v>8.5883500000000925</v>
      </c>
      <c r="O73" s="136">
        <v>28.959916200000311</v>
      </c>
      <c r="P73" s="154">
        <v>2.8627833333333642E-3</v>
      </c>
      <c r="Q73" s="124">
        <v>45440</v>
      </c>
    </row>
    <row r="74" spans="1:17" ht="15" customHeight="1">
      <c r="A74" s="150">
        <v>313</v>
      </c>
      <c r="B74" s="150">
        <v>313</v>
      </c>
      <c r="C74" s="150" t="s">
        <v>1069</v>
      </c>
      <c r="D74" s="150" t="s">
        <v>2667</v>
      </c>
      <c r="E74" s="151"/>
      <c r="F74" s="27"/>
      <c r="G74" s="152" t="s">
        <v>2584</v>
      </c>
      <c r="H74" s="27">
        <v>60303385</v>
      </c>
      <c r="I74" s="150" t="s">
        <v>311</v>
      </c>
      <c r="J74" s="153" t="s">
        <v>1222</v>
      </c>
      <c r="K74" s="124">
        <v>41030</v>
      </c>
      <c r="L74" s="155">
        <v>10000</v>
      </c>
      <c r="M74" s="155">
        <v>37680</v>
      </c>
      <c r="N74" s="136">
        <v>2972.3266900000003</v>
      </c>
      <c r="O74" s="136">
        <v>10022.68559868</v>
      </c>
      <c r="P74" s="154">
        <v>0.297232669</v>
      </c>
      <c r="Q74" s="124">
        <v>45850</v>
      </c>
    </row>
    <row r="75" spans="1:17" ht="15" customHeight="1">
      <c r="A75" s="150">
        <v>313</v>
      </c>
      <c r="B75" s="150">
        <v>313</v>
      </c>
      <c r="C75" s="150" t="s">
        <v>1069</v>
      </c>
      <c r="D75" s="150" t="s">
        <v>2194</v>
      </c>
      <c r="E75" s="151"/>
      <c r="F75" s="27"/>
      <c r="G75" s="152" t="s">
        <v>2206</v>
      </c>
      <c r="H75" s="27">
        <v>60304870</v>
      </c>
      <c r="I75" s="150" t="s">
        <v>311</v>
      </c>
      <c r="J75" s="153" t="s">
        <v>1222</v>
      </c>
      <c r="K75" s="124">
        <v>41061</v>
      </c>
      <c r="L75" s="155">
        <v>3487.5</v>
      </c>
      <c r="M75" s="155">
        <v>13653.5625</v>
      </c>
      <c r="N75" s="136">
        <v>2269.1452999999997</v>
      </c>
      <c r="O75" s="136">
        <v>7651.5579515999989</v>
      </c>
      <c r="P75" s="154">
        <v>0.65065098207885297</v>
      </c>
      <c r="Q75" s="124">
        <v>45493</v>
      </c>
    </row>
    <row r="76" spans="1:17" ht="15" customHeight="1">
      <c r="A76" s="150">
        <v>313</v>
      </c>
      <c r="B76" s="150">
        <v>313</v>
      </c>
      <c r="C76" s="150" t="s">
        <v>1069</v>
      </c>
      <c r="D76" s="150" t="s">
        <v>2668</v>
      </c>
      <c r="E76" s="151"/>
      <c r="F76" s="27"/>
      <c r="G76" s="152" t="s">
        <v>2563</v>
      </c>
      <c r="H76" s="27">
        <v>60298742</v>
      </c>
      <c r="I76" s="150" t="s">
        <v>311</v>
      </c>
      <c r="J76" s="153" t="s">
        <v>1222</v>
      </c>
      <c r="K76" s="124">
        <v>41122</v>
      </c>
      <c r="L76" s="155">
        <v>5000</v>
      </c>
      <c r="M76" s="155">
        <v>19850</v>
      </c>
      <c r="N76" s="136">
        <v>292.91838999999965</v>
      </c>
      <c r="O76" s="136">
        <v>987.72081107999884</v>
      </c>
      <c r="P76" s="154">
        <v>5.8583677999999931E-2</v>
      </c>
      <c r="Q76" s="124">
        <v>44661</v>
      </c>
    </row>
    <row r="77" spans="1:17" ht="15" customHeight="1">
      <c r="A77" s="150">
        <v>313</v>
      </c>
      <c r="B77" s="150">
        <v>313</v>
      </c>
      <c r="C77" s="150" t="s">
        <v>1069</v>
      </c>
      <c r="D77" s="150" t="s">
        <v>2669</v>
      </c>
      <c r="E77" s="151"/>
      <c r="F77" s="27"/>
      <c r="G77" s="152" t="s">
        <v>2455</v>
      </c>
      <c r="H77" s="27">
        <v>60311032</v>
      </c>
      <c r="I77" s="150" t="s">
        <v>311</v>
      </c>
      <c r="J77" s="153" t="s">
        <v>1222</v>
      </c>
      <c r="K77" s="124">
        <v>41165</v>
      </c>
      <c r="L77" s="155">
        <v>3000</v>
      </c>
      <c r="M77" s="155">
        <v>11898</v>
      </c>
      <c r="N77" s="136">
        <v>205.67249000000021</v>
      </c>
      <c r="O77" s="136">
        <v>693.52763628000071</v>
      </c>
      <c r="P77" s="154">
        <v>6.8557496666666731E-2</v>
      </c>
      <c r="Q77" s="124">
        <v>45641</v>
      </c>
    </row>
    <row r="78" spans="1:17" ht="15" customHeight="1">
      <c r="A78" s="150">
        <v>313</v>
      </c>
      <c r="B78" s="150">
        <v>313</v>
      </c>
      <c r="C78" s="150" t="s">
        <v>1069</v>
      </c>
      <c r="D78" s="150" t="s">
        <v>2134</v>
      </c>
      <c r="E78" s="151"/>
      <c r="F78" s="27"/>
      <c r="G78" s="152" t="s">
        <v>2148</v>
      </c>
      <c r="H78" s="27">
        <v>60318367</v>
      </c>
      <c r="I78" s="150" t="s">
        <v>311</v>
      </c>
      <c r="J78" s="153" t="s">
        <v>1215</v>
      </c>
      <c r="K78" s="124">
        <v>41214</v>
      </c>
      <c r="L78" s="155">
        <v>36000</v>
      </c>
      <c r="M78" s="155">
        <v>180691.20000000001</v>
      </c>
      <c r="N78" s="136">
        <v>6340</v>
      </c>
      <c r="O78" s="136">
        <v>25075.968000000001</v>
      </c>
      <c r="P78" s="154">
        <v>0.17611111111111111</v>
      </c>
      <c r="Q78" s="124">
        <v>46477</v>
      </c>
    </row>
    <row r="79" spans="1:17" ht="15" customHeight="1">
      <c r="A79" s="150">
        <v>313</v>
      </c>
      <c r="B79" s="150">
        <v>313</v>
      </c>
      <c r="C79" s="150" t="s">
        <v>1069</v>
      </c>
      <c r="D79" s="150" t="s">
        <v>2670</v>
      </c>
      <c r="E79" s="151"/>
      <c r="F79" s="27"/>
      <c r="G79" s="152" t="s">
        <v>2288</v>
      </c>
      <c r="H79" s="27">
        <v>60318607</v>
      </c>
      <c r="I79" s="150" t="s">
        <v>311</v>
      </c>
      <c r="J79" s="153" t="s">
        <v>1222</v>
      </c>
      <c r="K79" s="124">
        <v>41244</v>
      </c>
      <c r="L79" s="155">
        <v>7500</v>
      </c>
      <c r="M79" s="155">
        <v>28575</v>
      </c>
      <c r="N79" s="136">
        <v>268.01626999999957</v>
      </c>
      <c r="O79" s="136">
        <v>903.7508624399984</v>
      </c>
      <c r="P79" s="154">
        <v>3.5735502666666606E-2</v>
      </c>
      <c r="Q79" s="124">
        <v>45627</v>
      </c>
    </row>
    <row r="80" spans="1:17" ht="15" customHeight="1">
      <c r="A80" s="150">
        <v>313</v>
      </c>
      <c r="B80" s="150">
        <v>313</v>
      </c>
      <c r="C80" s="150" t="s">
        <v>1069</v>
      </c>
      <c r="D80" s="150" t="s">
        <v>2107</v>
      </c>
      <c r="E80" s="151"/>
      <c r="F80" s="27"/>
      <c r="G80" s="152" t="s">
        <v>2671</v>
      </c>
      <c r="H80" s="27">
        <v>60316858</v>
      </c>
      <c r="I80" s="150" t="s">
        <v>311</v>
      </c>
      <c r="J80" s="153" t="s">
        <v>1222</v>
      </c>
      <c r="K80" s="124">
        <v>41153</v>
      </c>
      <c r="L80" s="155">
        <v>4000</v>
      </c>
      <c r="M80" s="155">
        <v>16111.999999999998</v>
      </c>
      <c r="N80" s="136">
        <v>160</v>
      </c>
      <c r="O80" s="136">
        <v>539.52</v>
      </c>
      <c r="P80" s="154">
        <v>0.04</v>
      </c>
      <c r="Q80" s="124">
        <v>45536</v>
      </c>
    </row>
    <row r="81" spans="1:17" ht="15" customHeight="1">
      <c r="A81" s="150">
        <v>313</v>
      </c>
      <c r="B81" s="150">
        <v>313</v>
      </c>
      <c r="C81" s="150" t="s">
        <v>1069</v>
      </c>
      <c r="D81" s="150" t="s">
        <v>2672</v>
      </c>
      <c r="E81" s="151"/>
      <c r="F81" s="27"/>
      <c r="G81" s="152" t="s">
        <v>2558</v>
      </c>
      <c r="H81" s="27">
        <v>60328044</v>
      </c>
      <c r="I81" s="150" t="s">
        <v>311</v>
      </c>
      <c r="J81" s="153" t="s">
        <v>1222</v>
      </c>
      <c r="K81" s="124">
        <v>41334</v>
      </c>
      <c r="L81" s="155">
        <v>7500</v>
      </c>
      <c r="M81" s="155">
        <v>27922.5</v>
      </c>
      <c r="N81" s="136">
        <v>298.72000000000003</v>
      </c>
      <c r="O81" s="136">
        <v>1007.2838399999999</v>
      </c>
      <c r="P81" s="154">
        <v>3.9829333333333335E-2</v>
      </c>
      <c r="Q81" s="124">
        <v>45745</v>
      </c>
    </row>
    <row r="82" spans="1:17" ht="15" customHeight="1">
      <c r="A82" s="150">
        <v>313</v>
      </c>
      <c r="B82" s="150">
        <v>313</v>
      </c>
      <c r="C82" s="150" t="s">
        <v>1069</v>
      </c>
      <c r="D82" s="150" t="s">
        <v>2132</v>
      </c>
      <c r="E82" s="151"/>
      <c r="F82" s="27"/>
      <c r="G82" s="152" t="s">
        <v>2673</v>
      </c>
      <c r="H82" s="27">
        <v>60333382</v>
      </c>
      <c r="I82" s="150" t="s">
        <v>311</v>
      </c>
      <c r="J82" s="153" t="s">
        <v>1222</v>
      </c>
      <c r="K82" s="124">
        <v>41453</v>
      </c>
      <c r="L82" s="155">
        <v>5356.6639999999998</v>
      </c>
      <c r="M82" s="155">
        <v>19380.410351999999</v>
      </c>
      <c r="N82" s="136">
        <v>146.12100000000001</v>
      </c>
      <c r="O82" s="136">
        <v>492.720012</v>
      </c>
      <c r="P82" s="154">
        <v>2.7278358321522502E-2</v>
      </c>
      <c r="Q82" s="124">
        <v>44012</v>
      </c>
    </row>
    <row r="83" spans="1:17" ht="15" customHeight="1">
      <c r="A83" s="150">
        <v>313</v>
      </c>
      <c r="B83" s="150">
        <v>313</v>
      </c>
      <c r="C83" s="150" t="s">
        <v>1069</v>
      </c>
      <c r="D83" s="150" t="s">
        <v>2465</v>
      </c>
      <c r="E83" s="151"/>
      <c r="F83" s="27"/>
      <c r="G83" s="152" t="s">
        <v>2163</v>
      </c>
      <c r="H83" s="27">
        <v>60333663</v>
      </c>
      <c r="I83" s="150" t="s">
        <v>311</v>
      </c>
      <c r="J83" s="153" t="s">
        <v>1222</v>
      </c>
      <c r="K83" s="124">
        <v>41453</v>
      </c>
      <c r="L83" s="155">
        <v>4200</v>
      </c>
      <c r="M83" s="155">
        <v>15195.6</v>
      </c>
      <c r="N83" s="136">
        <v>208.14854000000003</v>
      </c>
      <c r="O83" s="136">
        <v>701.87687688000017</v>
      </c>
      <c r="P83" s="154">
        <v>4.9559176190476194E-2</v>
      </c>
      <c r="Q83" s="124">
        <v>45548</v>
      </c>
    </row>
    <row r="84" spans="1:17" ht="15" customHeight="1">
      <c r="A84" s="150">
        <v>313</v>
      </c>
      <c r="B84" s="150">
        <v>313</v>
      </c>
      <c r="C84" s="150" t="s">
        <v>1069</v>
      </c>
      <c r="D84" s="150" t="s">
        <v>2674</v>
      </c>
      <c r="E84" s="151"/>
      <c r="F84" s="27"/>
      <c r="G84" s="152" t="s">
        <v>2498</v>
      </c>
      <c r="H84" s="27">
        <v>60323060</v>
      </c>
      <c r="I84" s="150" t="s">
        <v>311</v>
      </c>
      <c r="J84" s="153" t="s">
        <v>1222</v>
      </c>
      <c r="K84" s="124">
        <v>41302</v>
      </c>
      <c r="L84" s="155">
        <v>2000</v>
      </c>
      <c r="M84" s="155">
        <v>7464</v>
      </c>
      <c r="N84" s="136">
        <v>0</v>
      </c>
      <c r="O84" s="136">
        <v>0</v>
      </c>
      <c r="P84" s="154">
        <v>0</v>
      </c>
      <c r="Q84" s="124">
        <v>45408</v>
      </c>
    </row>
    <row r="85" spans="1:17" ht="15" customHeight="1">
      <c r="A85" s="150">
        <v>313</v>
      </c>
      <c r="B85" s="150">
        <v>313</v>
      </c>
      <c r="C85" s="150" t="s">
        <v>1069</v>
      </c>
      <c r="D85" s="150" t="s">
        <v>2675</v>
      </c>
      <c r="E85" s="151"/>
      <c r="F85" s="27"/>
      <c r="G85" s="152" t="s">
        <v>2482</v>
      </c>
      <c r="H85" s="27">
        <v>60312816</v>
      </c>
      <c r="I85" s="150" t="s">
        <v>311</v>
      </c>
      <c r="J85" s="153" t="s">
        <v>1222</v>
      </c>
      <c r="K85" s="124">
        <v>41442</v>
      </c>
      <c r="L85" s="155">
        <v>3000</v>
      </c>
      <c r="M85" s="155">
        <v>10806</v>
      </c>
      <c r="N85" s="136">
        <v>0</v>
      </c>
      <c r="O85" s="136">
        <v>0</v>
      </c>
      <c r="P85" s="154">
        <v>0</v>
      </c>
      <c r="Q85" s="124">
        <v>45408</v>
      </c>
    </row>
    <row r="86" spans="1:17" ht="15" customHeight="1">
      <c r="A86" s="150">
        <v>313</v>
      </c>
      <c r="B86" s="150">
        <v>313</v>
      </c>
      <c r="C86" s="150" t="s">
        <v>1069</v>
      </c>
      <c r="D86" s="150" t="s">
        <v>2132</v>
      </c>
      <c r="E86" s="151"/>
      <c r="F86" s="27"/>
      <c r="G86" s="152" t="s">
        <v>2456</v>
      </c>
      <c r="H86" s="27">
        <v>60337086</v>
      </c>
      <c r="I86" s="150" t="s">
        <v>311</v>
      </c>
      <c r="J86" s="153" t="s">
        <v>1222</v>
      </c>
      <c r="K86" s="124">
        <v>41442</v>
      </c>
      <c r="L86" s="155">
        <v>31282.576000000001</v>
      </c>
      <c r="M86" s="155">
        <v>112679.83900000001</v>
      </c>
      <c r="N86" s="136">
        <v>430.48099999999999</v>
      </c>
      <c r="O86" s="136">
        <v>1451.5819320000001</v>
      </c>
      <c r="P86" s="154">
        <v>1.3761047044207612E-2</v>
      </c>
      <c r="Q86" s="124">
        <v>45408</v>
      </c>
    </row>
    <row r="87" spans="1:17" ht="15" customHeight="1">
      <c r="A87" s="150">
        <v>313</v>
      </c>
      <c r="B87" s="150">
        <v>313</v>
      </c>
      <c r="C87" s="150" t="s">
        <v>1069</v>
      </c>
      <c r="D87" s="150" t="s">
        <v>2132</v>
      </c>
      <c r="E87" s="151"/>
      <c r="F87" s="27"/>
      <c r="G87" s="152" t="s">
        <v>2318</v>
      </c>
      <c r="H87" s="27">
        <v>60395779</v>
      </c>
      <c r="I87" s="150" t="s">
        <v>311</v>
      </c>
      <c r="J87" s="153" t="s">
        <v>1222</v>
      </c>
      <c r="K87" s="124">
        <v>41442</v>
      </c>
      <c r="L87" s="155">
        <v>9352.2724499999986</v>
      </c>
      <c r="M87" s="155">
        <v>33686.885364899994</v>
      </c>
      <c r="N87" s="136">
        <v>113.97344999999926</v>
      </c>
      <c r="O87" s="136">
        <v>384.31847339999746</v>
      </c>
      <c r="P87" s="154">
        <v>1.2186711904441929E-2</v>
      </c>
      <c r="Q87" s="124">
        <v>45408</v>
      </c>
    </row>
    <row r="88" spans="1:17" ht="15" customHeight="1">
      <c r="A88" s="150">
        <v>313</v>
      </c>
      <c r="B88" s="150">
        <v>313</v>
      </c>
      <c r="C88" s="150" t="s">
        <v>1069</v>
      </c>
      <c r="D88" s="150" t="s">
        <v>2132</v>
      </c>
      <c r="E88" s="151"/>
      <c r="F88" s="27"/>
      <c r="G88" s="152" t="s">
        <v>2485</v>
      </c>
      <c r="H88" s="27">
        <v>60337078</v>
      </c>
      <c r="I88" s="150" t="s">
        <v>311</v>
      </c>
      <c r="J88" s="153" t="s">
        <v>1222</v>
      </c>
      <c r="K88" s="124">
        <v>41442</v>
      </c>
      <c r="L88" s="155">
        <v>11243.835999999999</v>
      </c>
      <c r="M88" s="155">
        <v>40500.297272000003</v>
      </c>
      <c r="N88" s="136">
        <v>1401.4690000000001</v>
      </c>
      <c r="O88" s="136">
        <v>4725.753467999999</v>
      </c>
      <c r="P88" s="154">
        <v>0.12464331567980894</v>
      </c>
      <c r="Q88" s="124">
        <v>45408</v>
      </c>
    </row>
    <row r="89" spans="1:17" ht="15" customHeight="1">
      <c r="A89" s="150">
        <v>313</v>
      </c>
      <c r="B89" s="150">
        <v>313</v>
      </c>
      <c r="C89" s="150" t="s">
        <v>1069</v>
      </c>
      <c r="D89" s="150" t="s">
        <v>2676</v>
      </c>
      <c r="E89" s="151"/>
      <c r="F89" s="27"/>
      <c r="G89" s="152" t="s">
        <v>2373</v>
      </c>
      <c r="H89" s="27">
        <v>60323052</v>
      </c>
      <c r="I89" s="150" t="s">
        <v>311</v>
      </c>
      <c r="J89" s="153" t="s">
        <v>1222</v>
      </c>
      <c r="K89" s="124">
        <v>41306</v>
      </c>
      <c r="L89" s="155">
        <v>3000</v>
      </c>
      <c r="M89" s="155">
        <v>11046</v>
      </c>
      <c r="N89" s="136">
        <v>0</v>
      </c>
      <c r="O89" s="136">
        <v>0</v>
      </c>
      <c r="P89" s="154">
        <v>0</v>
      </c>
      <c r="Q89" s="124">
        <v>45695</v>
      </c>
    </row>
    <row r="90" spans="1:17" ht="15" customHeight="1">
      <c r="A90" s="150">
        <v>313</v>
      </c>
      <c r="B90" s="150">
        <v>313</v>
      </c>
      <c r="C90" s="150" t="s">
        <v>1069</v>
      </c>
      <c r="D90" s="150" t="s">
        <v>2677</v>
      </c>
      <c r="E90" s="151"/>
      <c r="F90" s="27"/>
      <c r="G90" s="152" t="s">
        <v>2369</v>
      </c>
      <c r="H90" s="27">
        <v>60344975</v>
      </c>
      <c r="I90" s="150" t="s">
        <v>311</v>
      </c>
      <c r="J90" s="153" t="s">
        <v>1222</v>
      </c>
      <c r="K90" s="124">
        <v>41579</v>
      </c>
      <c r="L90" s="155">
        <v>12900</v>
      </c>
      <c r="M90" s="155">
        <v>45498.3</v>
      </c>
      <c r="N90" s="136">
        <v>1293.5493800000008</v>
      </c>
      <c r="O90" s="136">
        <v>4361.848509360002</v>
      </c>
      <c r="P90" s="154">
        <v>0.10027514573643417</v>
      </c>
      <c r="Q90" s="124">
        <v>46022</v>
      </c>
    </row>
    <row r="91" spans="1:17" ht="15" customHeight="1">
      <c r="A91" s="150">
        <v>313</v>
      </c>
      <c r="B91" s="150">
        <v>313</v>
      </c>
      <c r="C91" s="150" t="s">
        <v>1069</v>
      </c>
      <c r="D91" s="150" t="s">
        <v>2678</v>
      </c>
      <c r="E91" s="151"/>
      <c r="F91" s="27"/>
      <c r="G91" s="152" t="s">
        <v>2166</v>
      </c>
      <c r="H91" s="27">
        <v>60334695</v>
      </c>
      <c r="I91" s="150" t="s">
        <v>311</v>
      </c>
      <c r="J91" s="153" t="s">
        <v>1222</v>
      </c>
      <c r="K91" s="124">
        <v>41456</v>
      </c>
      <c r="L91" s="155">
        <v>3650</v>
      </c>
      <c r="M91" s="155">
        <v>13275.05</v>
      </c>
      <c r="N91" s="136">
        <v>0</v>
      </c>
      <c r="O91" s="136">
        <v>0</v>
      </c>
      <c r="P91" s="154">
        <v>0</v>
      </c>
      <c r="Q91" s="124">
        <v>45794</v>
      </c>
    </row>
    <row r="92" spans="1:17" ht="15" customHeight="1">
      <c r="A92" s="150">
        <v>313</v>
      </c>
      <c r="B92" s="150">
        <v>313</v>
      </c>
      <c r="C92" s="150" t="s">
        <v>1069</v>
      </c>
      <c r="D92" s="150" t="s">
        <v>2679</v>
      </c>
      <c r="E92" s="151"/>
      <c r="F92" s="27"/>
      <c r="G92" s="152" t="s">
        <v>2489</v>
      </c>
      <c r="H92" s="27">
        <v>60341914</v>
      </c>
      <c r="I92" s="150" t="s">
        <v>311</v>
      </c>
      <c r="J92" s="153" t="s">
        <v>1222</v>
      </c>
      <c r="K92" s="124">
        <v>41548</v>
      </c>
      <c r="L92" s="155">
        <v>6050.32</v>
      </c>
      <c r="M92" s="155">
        <v>21369.73</v>
      </c>
      <c r="N92" s="136">
        <v>1178.3387000000002</v>
      </c>
      <c r="O92" s="136">
        <v>3973.3580964000007</v>
      </c>
      <c r="P92" s="154">
        <v>0.1947564261063878</v>
      </c>
      <c r="Q92" s="124">
        <v>45504</v>
      </c>
    </row>
    <row r="93" spans="1:17" ht="15" customHeight="1">
      <c r="A93" s="150">
        <v>313</v>
      </c>
      <c r="B93" s="150">
        <v>313</v>
      </c>
      <c r="C93" s="150" t="s">
        <v>1069</v>
      </c>
      <c r="D93" s="150" t="s">
        <v>2217</v>
      </c>
      <c r="E93" s="151"/>
      <c r="F93" s="27"/>
      <c r="G93" s="152" t="s">
        <v>2218</v>
      </c>
      <c r="H93" s="27">
        <v>60350733</v>
      </c>
      <c r="I93" s="150" t="s">
        <v>311</v>
      </c>
      <c r="J93" s="153" t="s">
        <v>1222</v>
      </c>
      <c r="K93" s="124">
        <v>41684</v>
      </c>
      <c r="L93" s="155">
        <v>12000</v>
      </c>
      <c r="M93" s="155">
        <v>42072</v>
      </c>
      <c r="N93" s="136">
        <v>1536.298</v>
      </c>
      <c r="O93" s="136">
        <v>5180.3968559999994</v>
      </c>
      <c r="P93" s="154">
        <v>0.12802483333333334</v>
      </c>
      <c r="Q93" s="124">
        <v>45702</v>
      </c>
    </row>
    <row r="94" spans="1:17" ht="15" customHeight="1">
      <c r="A94" s="150">
        <v>313</v>
      </c>
      <c r="B94" s="150">
        <v>313</v>
      </c>
      <c r="C94" s="150" t="s">
        <v>1069</v>
      </c>
      <c r="D94" s="150" t="s">
        <v>2326</v>
      </c>
      <c r="E94" s="120"/>
      <c r="F94" s="27"/>
      <c r="G94" s="152" t="s">
        <v>2680</v>
      </c>
      <c r="H94" s="27">
        <v>60407780</v>
      </c>
      <c r="I94" s="150" t="s">
        <v>311</v>
      </c>
      <c r="J94" s="153" t="s">
        <v>1222</v>
      </c>
      <c r="K94" s="124">
        <v>41730</v>
      </c>
      <c r="L94" s="155">
        <v>6000</v>
      </c>
      <c r="M94" s="155">
        <v>20856</v>
      </c>
      <c r="N94" s="136">
        <v>0</v>
      </c>
      <c r="O94" s="136">
        <v>0</v>
      </c>
      <c r="P94" s="154">
        <v>0</v>
      </c>
      <c r="Q94" s="124">
        <v>45200</v>
      </c>
    </row>
    <row r="95" spans="1:17" ht="15" customHeight="1">
      <c r="A95" s="150">
        <v>313</v>
      </c>
      <c r="B95" s="150">
        <v>313</v>
      </c>
      <c r="C95" s="150" t="s">
        <v>1069</v>
      </c>
      <c r="D95" s="150" t="s">
        <v>2681</v>
      </c>
      <c r="E95" s="151"/>
      <c r="F95" s="27"/>
      <c r="G95" s="152" t="s">
        <v>2460</v>
      </c>
      <c r="H95" s="27">
        <v>60353299</v>
      </c>
      <c r="I95" s="150" t="s">
        <v>311</v>
      </c>
      <c r="J95" s="153" t="s">
        <v>1222</v>
      </c>
      <c r="K95" s="124">
        <v>41698</v>
      </c>
      <c r="L95" s="155">
        <v>4001.8389999999999</v>
      </c>
      <c r="M95" s="155">
        <v>13990.43</v>
      </c>
      <c r="N95" s="136">
        <v>44.637760000000242</v>
      </c>
      <c r="O95" s="136">
        <v>150.51852672000081</v>
      </c>
      <c r="P95" s="154">
        <v>1.1154311805147643E-2</v>
      </c>
      <c r="Q95" s="124">
        <v>45291</v>
      </c>
    </row>
    <row r="96" spans="1:17" ht="15" customHeight="1">
      <c r="A96" s="150">
        <v>313</v>
      </c>
      <c r="B96" s="150">
        <v>313</v>
      </c>
      <c r="C96" s="150" t="s">
        <v>1069</v>
      </c>
      <c r="D96" s="150" t="s">
        <v>2682</v>
      </c>
      <c r="E96" s="151"/>
      <c r="F96" s="27"/>
      <c r="G96" s="152" t="s">
        <v>2283</v>
      </c>
      <c r="H96" s="27">
        <v>60346236</v>
      </c>
      <c r="I96" s="150" t="s">
        <v>311</v>
      </c>
      <c r="J96" s="153" t="s">
        <v>1222</v>
      </c>
      <c r="K96" s="124">
        <v>41620</v>
      </c>
      <c r="L96" s="155">
        <v>5950</v>
      </c>
      <c r="M96" s="155">
        <v>20866.650000000001</v>
      </c>
      <c r="N96" s="136">
        <v>137.34899999999999</v>
      </c>
      <c r="O96" s="136">
        <v>463.140828</v>
      </c>
      <c r="P96" s="154">
        <v>2.3083865546218486E-2</v>
      </c>
      <c r="Q96" s="124">
        <v>45272</v>
      </c>
    </row>
    <row r="97" spans="1:17" ht="15" customHeight="1">
      <c r="A97" s="150">
        <v>313</v>
      </c>
      <c r="B97" s="150">
        <v>313</v>
      </c>
      <c r="C97" s="150" t="s">
        <v>1069</v>
      </c>
      <c r="D97" s="150" t="s">
        <v>2683</v>
      </c>
      <c r="E97" s="151"/>
      <c r="F97" s="27"/>
      <c r="G97" s="152" t="s">
        <v>2452</v>
      </c>
      <c r="H97" s="27">
        <v>60357506</v>
      </c>
      <c r="I97" s="150" t="s">
        <v>311</v>
      </c>
      <c r="J97" s="153" t="s">
        <v>1222</v>
      </c>
      <c r="K97" s="124">
        <v>41730</v>
      </c>
      <c r="L97" s="155">
        <v>4462.5</v>
      </c>
      <c r="M97" s="155">
        <v>15511.65</v>
      </c>
      <c r="N97" s="136">
        <v>662.25396000000001</v>
      </c>
      <c r="O97" s="136">
        <v>2233.1203531199994</v>
      </c>
      <c r="P97" s="154">
        <v>0.14840424873949579</v>
      </c>
      <c r="Q97" s="124">
        <v>45383</v>
      </c>
    </row>
    <row r="98" spans="1:17" ht="15" customHeight="1">
      <c r="A98" s="150">
        <v>313</v>
      </c>
      <c r="B98" s="150">
        <v>313</v>
      </c>
      <c r="C98" s="150" t="s">
        <v>1069</v>
      </c>
      <c r="D98" s="150" t="s">
        <v>2684</v>
      </c>
      <c r="E98" s="151"/>
      <c r="F98" s="27"/>
      <c r="G98" s="152" t="s">
        <v>2315</v>
      </c>
      <c r="H98" s="27">
        <v>60370475</v>
      </c>
      <c r="I98" s="150" t="s">
        <v>311</v>
      </c>
      <c r="J98" s="153" t="s">
        <v>1222</v>
      </c>
      <c r="K98" s="124">
        <v>41883</v>
      </c>
      <c r="L98" s="155">
        <v>6247.5</v>
      </c>
      <c r="M98" s="155">
        <v>22359.802500000002</v>
      </c>
      <c r="N98" s="136">
        <v>157.05841000000015</v>
      </c>
      <c r="O98" s="136">
        <v>529.6009585200004</v>
      </c>
      <c r="P98" s="154">
        <v>2.5139401360544242E-2</v>
      </c>
      <c r="Q98" s="124">
        <v>45536</v>
      </c>
    </row>
    <row r="99" spans="1:17" ht="15" customHeight="1">
      <c r="A99" s="150">
        <v>313</v>
      </c>
      <c r="B99" s="150">
        <v>313</v>
      </c>
      <c r="C99" s="150" t="s">
        <v>1069</v>
      </c>
      <c r="D99" s="150" t="s">
        <v>2662</v>
      </c>
      <c r="E99" s="151"/>
      <c r="F99" s="27"/>
      <c r="G99" s="152" t="s">
        <v>2394</v>
      </c>
      <c r="H99" s="27">
        <v>60378569</v>
      </c>
      <c r="I99" s="150" t="s">
        <v>311</v>
      </c>
      <c r="J99" s="153" t="s">
        <v>1222</v>
      </c>
      <c r="K99" s="124">
        <v>41991</v>
      </c>
      <c r="L99" s="155">
        <v>22500</v>
      </c>
      <c r="M99" s="155">
        <v>88515</v>
      </c>
      <c r="N99" s="136">
        <v>650.39499999999998</v>
      </c>
      <c r="O99" s="136">
        <v>2193.1319399999998</v>
      </c>
      <c r="P99" s="154">
        <v>2.8906444444444443E-2</v>
      </c>
      <c r="Q99" s="124">
        <v>45627</v>
      </c>
    </row>
    <row r="100" spans="1:17" ht="15" customHeight="1">
      <c r="A100" s="150">
        <v>313</v>
      </c>
      <c r="B100" s="150">
        <v>313</v>
      </c>
      <c r="C100" s="150" t="s">
        <v>1069</v>
      </c>
      <c r="D100" s="150" t="s">
        <v>2147</v>
      </c>
      <c r="E100" s="151"/>
      <c r="F100" s="27"/>
      <c r="G100" s="152" t="s">
        <v>2458</v>
      </c>
      <c r="H100" s="27">
        <v>60371895</v>
      </c>
      <c r="I100" s="150" t="s">
        <v>311</v>
      </c>
      <c r="J100" s="153" t="s">
        <v>1222</v>
      </c>
      <c r="K100" s="124">
        <v>41913</v>
      </c>
      <c r="L100" s="155">
        <v>15000</v>
      </c>
      <c r="M100" s="155">
        <v>55080</v>
      </c>
      <c r="N100" s="136">
        <v>2423.9506899999997</v>
      </c>
      <c r="O100" s="136">
        <v>8173.5617266799973</v>
      </c>
      <c r="P100" s="154">
        <v>0.16159671266666664</v>
      </c>
      <c r="Q100" s="124">
        <v>45931</v>
      </c>
    </row>
    <row r="101" spans="1:17" ht="15" customHeight="1">
      <c r="A101" s="150">
        <v>313</v>
      </c>
      <c r="B101" s="150">
        <v>313</v>
      </c>
      <c r="C101" s="150" t="s">
        <v>1069</v>
      </c>
      <c r="D101" s="150" t="s">
        <v>2685</v>
      </c>
      <c r="E101" s="151"/>
      <c r="F101" s="27"/>
      <c r="G101" s="152" t="s">
        <v>2548</v>
      </c>
      <c r="H101" s="27">
        <v>60372851</v>
      </c>
      <c r="I101" s="150" t="s">
        <v>311</v>
      </c>
      <c r="J101" s="153" t="s">
        <v>1222</v>
      </c>
      <c r="K101" s="124">
        <v>41913</v>
      </c>
      <c r="L101" s="155">
        <v>5950</v>
      </c>
      <c r="M101" s="155">
        <v>21848.400000000001</v>
      </c>
      <c r="N101" s="136">
        <v>18.097999999999999</v>
      </c>
      <c r="O101" s="136">
        <v>61.026455999999996</v>
      </c>
      <c r="P101" s="154">
        <v>3.0416806722689074E-3</v>
      </c>
      <c r="Q101" s="124">
        <v>45522</v>
      </c>
    </row>
    <row r="102" spans="1:17" ht="15" customHeight="1">
      <c r="A102" s="150">
        <v>313</v>
      </c>
      <c r="B102" s="150">
        <v>313</v>
      </c>
      <c r="C102" s="150" t="s">
        <v>1069</v>
      </c>
      <c r="D102" s="150" t="s">
        <v>2686</v>
      </c>
      <c r="E102" s="151"/>
      <c r="F102" s="27"/>
      <c r="G102" s="152" t="s">
        <v>2257</v>
      </c>
      <c r="H102" s="27">
        <v>60374196</v>
      </c>
      <c r="I102" s="150" t="s">
        <v>311</v>
      </c>
      <c r="J102" s="153" t="s">
        <v>1222</v>
      </c>
      <c r="K102" s="124">
        <v>41964</v>
      </c>
      <c r="L102" s="155">
        <v>7199.5</v>
      </c>
      <c r="M102" s="155">
        <v>27595.683499999999</v>
      </c>
      <c r="N102" s="136">
        <v>1106.364</v>
      </c>
      <c r="O102" s="136">
        <v>3730.659408</v>
      </c>
      <c r="P102" s="154">
        <v>0.15367233835683033</v>
      </c>
      <c r="Q102" s="124">
        <v>45617</v>
      </c>
    </row>
    <row r="103" spans="1:17" ht="15" customHeight="1">
      <c r="A103" s="150">
        <v>313</v>
      </c>
      <c r="B103" s="150">
        <v>313</v>
      </c>
      <c r="C103" s="150" t="s">
        <v>1069</v>
      </c>
      <c r="D103" s="150" t="s">
        <v>2687</v>
      </c>
      <c r="E103" s="151"/>
      <c r="F103" s="27"/>
      <c r="G103" s="152" t="s">
        <v>2588</v>
      </c>
      <c r="H103" s="27">
        <v>60385416</v>
      </c>
      <c r="I103" s="150" t="s">
        <v>311</v>
      </c>
      <c r="J103" s="153" t="s">
        <v>1215</v>
      </c>
      <c r="K103" s="124">
        <v>42090</v>
      </c>
      <c r="L103" s="155">
        <v>12000</v>
      </c>
      <c r="M103" s="155">
        <v>51832.800000000003</v>
      </c>
      <c r="N103" s="136">
        <v>1888.8744100000001</v>
      </c>
      <c r="O103" s="136">
        <v>7470.8760664320007</v>
      </c>
      <c r="P103" s="154">
        <v>0.15740620083333334</v>
      </c>
      <c r="Q103" s="124">
        <v>45743</v>
      </c>
    </row>
    <row r="104" spans="1:17" ht="15" customHeight="1">
      <c r="A104" s="150">
        <v>313</v>
      </c>
      <c r="B104" s="150">
        <v>313</v>
      </c>
      <c r="C104" s="150" t="s">
        <v>1069</v>
      </c>
      <c r="D104" s="150" t="s">
        <v>2279</v>
      </c>
      <c r="E104" s="151"/>
      <c r="F104" s="27"/>
      <c r="G104" s="152" t="s">
        <v>2372</v>
      </c>
      <c r="H104" s="27">
        <v>60385259</v>
      </c>
      <c r="I104" s="150" t="s">
        <v>311</v>
      </c>
      <c r="J104" s="153" t="s">
        <v>1215</v>
      </c>
      <c r="K104" s="124">
        <v>42095</v>
      </c>
      <c r="L104" s="155">
        <v>2900</v>
      </c>
      <c r="M104" s="155">
        <v>12407.360000000002</v>
      </c>
      <c r="N104" s="136">
        <v>2403.67445</v>
      </c>
      <c r="O104" s="136">
        <v>9507.0131846400018</v>
      </c>
      <c r="P104" s="154">
        <v>0.82885325862068959</v>
      </c>
      <c r="Q104" s="124">
        <v>45748</v>
      </c>
    </row>
    <row r="105" spans="1:17" ht="15" customHeight="1">
      <c r="A105" s="150">
        <v>313</v>
      </c>
      <c r="B105" s="150">
        <v>313</v>
      </c>
      <c r="C105" s="150" t="s">
        <v>1069</v>
      </c>
      <c r="D105" s="150" t="s">
        <v>2147</v>
      </c>
      <c r="E105" s="151"/>
      <c r="F105" s="27"/>
      <c r="G105" s="152" t="s">
        <v>2182</v>
      </c>
      <c r="H105" s="27">
        <v>60388675</v>
      </c>
      <c r="I105" s="150" t="s">
        <v>311</v>
      </c>
      <c r="J105" s="153" t="s">
        <v>1222</v>
      </c>
      <c r="K105" s="124">
        <v>42095</v>
      </c>
      <c r="L105" s="155">
        <v>6600</v>
      </c>
      <c r="M105" s="155">
        <v>26228.400000000001</v>
      </c>
      <c r="N105" s="136">
        <v>387.50204999999983</v>
      </c>
      <c r="O105" s="136">
        <v>1306.6569125999993</v>
      </c>
      <c r="P105" s="154">
        <v>5.8712431818181789E-2</v>
      </c>
      <c r="Q105" s="124">
        <v>46113</v>
      </c>
    </row>
    <row r="106" spans="1:17" ht="15" customHeight="1">
      <c r="A106" s="150">
        <v>313</v>
      </c>
      <c r="B106" s="150">
        <v>313</v>
      </c>
      <c r="C106" s="150" t="s">
        <v>1069</v>
      </c>
      <c r="D106" s="150" t="s">
        <v>2668</v>
      </c>
      <c r="E106" s="151"/>
      <c r="F106" s="27"/>
      <c r="G106" s="152" t="s">
        <v>2323</v>
      </c>
      <c r="H106" s="27">
        <v>60385630</v>
      </c>
      <c r="I106" s="150" t="s">
        <v>311</v>
      </c>
      <c r="J106" s="153" t="s">
        <v>1222</v>
      </c>
      <c r="K106" s="124">
        <v>42088</v>
      </c>
      <c r="L106" s="155">
        <v>11471.098</v>
      </c>
      <c r="M106" s="155">
        <v>45287.894904000001</v>
      </c>
      <c r="N106" s="136">
        <v>1002.7122699999995</v>
      </c>
      <c r="O106" s="136">
        <v>3381.1457744399986</v>
      </c>
      <c r="P106" s="154">
        <v>8.7412056805721602E-2</v>
      </c>
      <c r="Q106" s="124">
        <v>45741</v>
      </c>
    </row>
    <row r="107" spans="1:17" ht="15" customHeight="1">
      <c r="A107" s="150">
        <v>313</v>
      </c>
      <c r="B107" s="150">
        <v>313</v>
      </c>
      <c r="C107" s="150" t="s">
        <v>1069</v>
      </c>
      <c r="D107" s="150" t="s">
        <v>2688</v>
      </c>
      <c r="E107" s="151"/>
      <c r="F107" s="27"/>
      <c r="G107" s="152" t="s">
        <v>2354</v>
      </c>
      <c r="H107" s="27">
        <v>60391323</v>
      </c>
      <c r="I107" s="150" t="s">
        <v>311</v>
      </c>
      <c r="J107" s="153" t="s">
        <v>1225</v>
      </c>
      <c r="K107" s="124">
        <v>42186</v>
      </c>
      <c r="L107" s="155">
        <v>985</v>
      </c>
      <c r="M107" s="155">
        <v>5820.759</v>
      </c>
      <c r="N107" s="136">
        <v>98.855520000000013</v>
      </c>
      <c r="O107" s="136">
        <v>457.06838227200006</v>
      </c>
      <c r="P107" s="154">
        <v>0.10036093401015229</v>
      </c>
      <c r="Q107" s="124">
        <v>45839</v>
      </c>
    </row>
    <row r="108" spans="1:17" ht="15" customHeight="1">
      <c r="A108" s="150">
        <v>313</v>
      </c>
      <c r="B108" s="150">
        <v>313</v>
      </c>
      <c r="C108" s="150" t="s">
        <v>1069</v>
      </c>
      <c r="D108" s="150" t="s">
        <v>2194</v>
      </c>
      <c r="E108" s="151"/>
      <c r="F108" s="27"/>
      <c r="G108" s="152" t="s">
        <v>2391</v>
      </c>
      <c r="H108" s="27">
        <v>60391331</v>
      </c>
      <c r="I108" s="150" t="s">
        <v>311</v>
      </c>
      <c r="J108" s="153" t="s">
        <v>1222</v>
      </c>
      <c r="K108" s="124">
        <v>42186</v>
      </c>
      <c r="L108" s="155">
        <v>2250</v>
      </c>
      <c r="M108" s="155">
        <v>8498.25</v>
      </c>
      <c r="N108" s="136">
        <v>974.63099</v>
      </c>
      <c r="O108" s="136">
        <v>3286.4556982799995</v>
      </c>
      <c r="P108" s="154">
        <v>0.43316932888888887</v>
      </c>
      <c r="Q108" s="124">
        <v>45839</v>
      </c>
    </row>
    <row r="109" spans="1:17" ht="15" customHeight="1">
      <c r="A109" s="150">
        <v>313</v>
      </c>
      <c r="B109" s="150">
        <v>313</v>
      </c>
      <c r="C109" s="150" t="s">
        <v>1069</v>
      </c>
      <c r="D109" s="150" t="s">
        <v>2689</v>
      </c>
      <c r="E109" s="151"/>
      <c r="F109" s="27"/>
      <c r="G109" s="152" t="s">
        <v>2479</v>
      </c>
      <c r="H109" s="27">
        <v>60391299</v>
      </c>
      <c r="I109" s="150" t="s">
        <v>311</v>
      </c>
      <c r="J109" s="153" t="s">
        <v>1222</v>
      </c>
      <c r="K109" s="124">
        <v>42186</v>
      </c>
      <c r="L109" s="155">
        <v>2250</v>
      </c>
      <c r="M109" s="155">
        <v>8498.25</v>
      </c>
      <c r="N109" s="136">
        <v>411.09737000000013</v>
      </c>
      <c r="O109" s="136">
        <v>1386.2203316400003</v>
      </c>
      <c r="P109" s="154">
        <v>0.18270994222222228</v>
      </c>
      <c r="Q109" s="124">
        <v>45839</v>
      </c>
    </row>
    <row r="110" spans="1:17" ht="15" customHeight="1">
      <c r="A110" s="150">
        <v>313</v>
      </c>
      <c r="B110" s="150">
        <v>313</v>
      </c>
      <c r="C110" s="150" t="s">
        <v>1069</v>
      </c>
      <c r="D110" s="150" t="s">
        <v>2690</v>
      </c>
      <c r="E110" s="151"/>
      <c r="F110" s="27"/>
      <c r="G110" s="152" t="s">
        <v>2343</v>
      </c>
      <c r="H110" s="27">
        <v>60392545</v>
      </c>
      <c r="I110" s="150" t="s">
        <v>311</v>
      </c>
      <c r="J110" s="153" t="s">
        <v>1222</v>
      </c>
      <c r="K110" s="124">
        <v>42186</v>
      </c>
      <c r="L110" s="155">
        <v>1500</v>
      </c>
      <c r="M110" s="155">
        <v>5665.5</v>
      </c>
      <c r="N110" s="136">
        <v>45</v>
      </c>
      <c r="O110" s="136">
        <v>151.74</v>
      </c>
      <c r="P110" s="154">
        <v>0.03</v>
      </c>
      <c r="Q110" s="124">
        <v>45839</v>
      </c>
    </row>
    <row r="111" spans="1:17" ht="15" customHeight="1">
      <c r="A111" s="150">
        <v>313</v>
      </c>
      <c r="B111" s="150">
        <v>313</v>
      </c>
      <c r="C111" s="150" t="s">
        <v>1069</v>
      </c>
      <c r="D111" s="150" t="s">
        <v>2691</v>
      </c>
      <c r="E111" s="151"/>
      <c r="F111" s="27"/>
      <c r="G111" s="152" t="s">
        <v>2692</v>
      </c>
      <c r="H111" s="27">
        <v>60395118</v>
      </c>
      <c r="I111" s="150" t="s">
        <v>311</v>
      </c>
      <c r="J111" s="153" t="s">
        <v>1222</v>
      </c>
      <c r="K111" s="124">
        <v>42248</v>
      </c>
      <c r="L111" s="155">
        <v>1500</v>
      </c>
      <c r="M111" s="155">
        <v>5884.5</v>
      </c>
      <c r="N111" s="136">
        <v>153.2486200000001</v>
      </c>
      <c r="O111" s="136">
        <v>516.75434664000034</v>
      </c>
      <c r="P111" s="154">
        <v>0.10216574666666674</v>
      </c>
      <c r="Q111" s="124">
        <v>45901</v>
      </c>
    </row>
    <row r="112" spans="1:17" ht="15" customHeight="1">
      <c r="A112" s="150">
        <v>313</v>
      </c>
      <c r="B112" s="150">
        <v>313</v>
      </c>
      <c r="C112" s="150" t="s">
        <v>1069</v>
      </c>
      <c r="D112" s="150" t="s">
        <v>2667</v>
      </c>
      <c r="E112" s="151"/>
      <c r="F112" s="27"/>
      <c r="G112" s="152" t="s">
        <v>2475</v>
      </c>
      <c r="H112" s="27">
        <v>60397650</v>
      </c>
      <c r="I112" s="150" t="s">
        <v>311</v>
      </c>
      <c r="J112" s="153" t="s">
        <v>1222</v>
      </c>
      <c r="K112" s="124">
        <v>42156</v>
      </c>
      <c r="L112" s="155">
        <v>7500</v>
      </c>
      <c r="M112" s="155">
        <v>29040</v>
      </c>
      <c r="N112" s="136">
        <v>2292.72883</v>
      </c>
      <c r="O112" s="136">
        <v>7731.0816147599999</v>
      </c>
      <c r="P112" s="154">
        <v>0.30569717733333335</v>
      </c>
      <c r="Q112" s="124">
        <v>45809</v>
      </c>
    </row>
    <row r="113" spans="1:17" ht="15" customHeight="1">
      <c r="A113" s="150">
        <v>313</v>
      </c>
      <c r="B113" s="150">
        <v>313</v>
      </c>
      <c r="C113" s="150" t="s">
        <v>1069</v>
      </c>
      <c r="D113" s="150" t="s">
        <v>2247</v>
      </c>
      <c r="E113" s="151"/>
      <c r="F113" s="27"/>
      <c r="G113" s="152" t="s">
        <v>2504</v>
      </c>
      <c r="H113" s="27">
        <v>60397551</v>
      </c>
      <c r="I113" s="150" t="s">
        <v>311</v>
      </c>
      <c r="J113" s="153" t="s">
        <v>1222</v>
      </c>
      <c r="K113" s="124">
        <v>42186</v>
      </c>
      <c r="L113" s="155">
        <v>2250</v>
      </c>
      <c r="M113" s="155">
        <v>8498.25</v>
      </c>
      <c r="N113" s="136">
        <v>174.45</v>
      </c>
      <c r="O113" s="136">
        <v>588.24540000000002</v>
      </c>
      <c r="P113" s="154">
        <v>7.7533333333333329E-2</v>
      </c>
      <c r="Q113" s="124">
        <v>45121</v>
      </c>
    </row>
    <row r="114" spans="1:17" ht="15" customHeight="1">
      <c r="A114" s="150">
        <v>313</v>
      </c>
      <c r="B114" s="150">
        <v>313</v>
      </c>
      <c r="C114" s="150" t="s">
        <v>1069</v>
      </c>
      <c r="D114" s="150" t="s">
        <v>2693</v>
      </c>
      <c r="E114" s="151"/>
      <c r="F114" s="27"/>
      <c r="G114" s="152" t="s">
        <v>2433</v>
      </c>
      <c r="H114" s="27">
        <v>60397841</v>
      </c>
      <c r="I114" s="150" t="s">
        <v>311</v>
      </c>
      <c r="J114" s="153" t="s">
        <v>1222</v>
      </c>
      <c r="K114" s="124">
        <v>42248</v>
      </c>
      <c r="L114" s="155">
        <v>1875</v>
      </c>
      <c r="M114" s="155">
        <v>7355.625</v>
      </c>
      <c r="N114" s="136">
        <v>94.543999999999997</v>
      </c>
      <c r="O114" s="136">
        <v>318.802368</v>
      </c>
      <c r="P114" s="154">
        <v>5.0423466666666666E-2</v>
      </c>
      <c r="Q114" s="124">
        <v>45901</v>
      </c>
    </row>
    <row r="115" spans="1:17" ht="15" customHeight="1">
      <c r="A115" s="150">
        <v>313</v>
      </c>
      <c r="B115" s="150">
        <v>313</v>
      </c>
      <c r="C115" s="150" t="s">
        <v>1069</v>
      </c>
      <c r="D115" s="150" t="s">
        <v>2152</v>
      </c>
      <c r="E115" s="151"/>
      <c r="F115" s="27"/>
      <c r="G115" s="152" t="s">
        <v>2694</v>
      </c>
      <c r="H115" s="27">
        <v>60398856</v>
      </c>
      <c r="I115" s="150" t="s">
        <v>311</v>
      </c>
      <c r="J115" s="153" t="s">
        <v>1222</v>
      </c>
      <c r="K115" s="124">
        <v>42339</v>
      </c>
      <c r="L115" s="155">
        <v>2200</v>
      </c>
      <c r="M115" s="155">
        <v>8533.7999999999993</v>
      </c>
      <c r="N115" s="136">
        <v>231.67</v>
      </c>
      <c r="O115" s="136">
        <v>781.19123999999999</v>
      </c>
      <c r="P115" s="154">
        <v>0.10530454545454544</v>
      </c>
      <c r="Q115" s="124">
        <v>45992</v>
      </c>
    </row>
    <row r="116" spans="1:17" ht="15" customHeight="1">
      <c r="A116" s="150">
        <v>313</v>
      </c>
      <c r="B116" s="150">
        <v>313</v>
      </c>
      <c r="C116" s="150" t="s">
        <v>1069</v>
      </c>
      <c r="D116" s="150" t="s">
        <v>2695</v>
      </c>
      <c r="E116" s="151"/>
      <c r="F116" s="27"/>
      <c r="G116" s="152" t="s">
        <v>2151</v>
      </c>
      <c r="H116" s="27">
        <v>60400215</v>
      </c>
      <c r="I116" s="150" t="s">
        <v>311</v>
      </c>
      <c r="J116" s="153" t="s">
        <v>1222</v>
      </c>
      <c r="K116" s="124">
        <v>42370</v>
      </c>
      <c r="L116" s="155">
        <v>2250</v>
      </c>
      <c r="M116" s="155">
        <v>8779.5</v>
      </c>
      <c r="N116" s="136">
        <v>343.08699999999999</v>
      </c>
      <c r="O116" s="136">
        <v>1156.8893640000001</v>
      </c>
      <c r="P116" s="154">
        <v>0.1524831111111111</v>
      </c>
      <c r="Q116" s="124">
        <v>46023</v>
      </c>
    </row>
    <row r="117" spans="1:17" ht="15" customHeight="1">
      <c r="A117" s="150">
        <v>313</v>
      </c>
      <c r="B117" s="150">
        <v>313</v>
      </c>
      <c r="C117" s="150" t="s">
        <v>1069</v>
      </c>
      <c r="D117" s="150" t="s">
        <v>2107</v>
      </c>
      <c r="E117" s="151"/>
      <c r="F117" s="27"/>
      <c r="G117" s="152" t="s">
        <v>2468</v>
      </c>
      <c r="H117" s="27">
        <v>60401171</v>
      </c>
      <c r="I117" s="150" t="s">
        <v>311</v>
      </c>
      <c r="J117" s="153" t="s">
        <v>1222</v>
      </c>
      <c r="K117" s="124">
        <v>42401</v>
      </c>
      <c r="L117" s="155">
        <v>5700</v>
      </c>
      <c r="M117" s="155">
        <v>22543.5</v>
      </c>
      <c r="N117" s="136">
        <v>0</v>
      </c>
      <c r="O117" s="136">
        <v>0</v>
      </c>
      <c r="P117" s="154">
        <v>0</v>
      </c>
      <c r="Q117" s="124">
        <v>46054</v>
      </c>
    </row>
    <row r="118" spans="1:17" ht="15" customHeight="1">
      <c r="A118" s="150">
        <v>313</v>
      </c>
      <c r="B118" s="150">
        <v>313</v>
      </c>
      <c r="C118" s="150" t="s">
        <v>1069</v>
      </c>
      <c r="D118" s="150" t="s">
        <v>2696</v>
      </c>
      <c r="E118" s="151"/>
      <c r="F118" s="27"/>
      <c r="G118" s="152" t="s">
        <v>2505</v>
      </c>
      <c r="H118" s="27">
        <v>60402286</v>
      </c>
      <c r="I118" s="150" t="s">
        <v>311</v>
      </c>
      <c r="J118" s="153" t="s">
        <v>1225</v>
      </c>
      <c r="K118" s="124">
        <v>42430</v>
      </c>
      <c r="L118" s="155">
        <v>1400</v>
      </c>
      <c r="M118" s="155">
        <v>7640.64</v>
      </c>
      <c r="N118" s="136">
        <v>140</v>
      </c>
      <c r="O118" s="136">
        <v>647.30399999999997</v>
      </c>
      <c r="P118" s="154">
        <v>0.1</v>
      </c>
      <c r="Q118" s="124">
        <v>46082</v>
      </c>
    </row>
    <row r="119" spans="1:17" ht="15" customHeight="1">
      <c r="A119" s="150">
        <v>313</v>
      </c>
      <c r="B119" s="150">
        <v>313</v>
      </c>
      <c r="C119" s="150" t="s">
        <v>1069</v>
      </c>
      <c r="D119" s="150" t="s">
        <v>2697</v>
      </c>
      <c r="E119" s="151"/>
      <c r="F119" s="27"/>
      <c r="G119" s="152" t="s">
        <v>2698</v>
      </c>
      <c r="H119" s="27">
        <v>60402625</v>
      </c>
      <c r="I119" s="150" t="s">
        <v>311</v>
      </c>
      <c r="J119" s="153" t="s">
        <v>1222</v>
      </c>
      <c r="K119" s="124">
        <v>42401</v>
      </c>
      <c r="L119" s="155">
        <v>12500</v>
      </c>
      <c r="M119" s="155">
        <v>49437.5</v>
      </c>
      <c r="N119" s="136">
        <v>2004.3934700000007</v>
      </c>
      <c r="O119" s="136">
        <v>6758.8147808400017</v>
      </c>
      <c r="P119" s="154">
        <v>0.16035147760000004</v>
      </c>
      <c r="Q119" s="124">
        <v>46054</v>
      </c>
    </row>
    <row r="120" spans="1:17" ht="15" customHeight="1">
      <c r="A120" s="150">
        <v>313</v>
      </c>
      <c r="B120" s="150">
        <v>313</v>
      </c>
      <c r="C120" s="150" t="s">
        <v>1069</v>
      </c>
      <c r="D120" s="150" t="s">
        <v>2132</v>
      </c>
      <c r="E120" s="151"/>
      <c r="F120" s="27"/>
      <c r="G120" s="152" t="s">
        <v>2133</v>
      </c>
      <c r="H120" s="27">
        <v>60395761</v>
      </c>
      <c r="I120" s="150" t="s">
        <v>311</v>
      </c>
      <c r="J120" s="153" t="s">
        <v>1222</v>
      </c>
      <c r="K120" s="124">
        <v>41440</v>
      </c>
      <c r="L120" s="155">
        <v>1934</v>
      </c>
      <c r="M120" s="155">
        <v>6964.3339999999998</v>
      </c>
      <c r="N120" s="136">
        <v>234.16900000000001</v>
      </c>
      <c r="O120" s="136">
        <v>789.61786800000004</v>
      </c>
      <c r="P120" s="154">
        <v>0.12108014477766288</v>
      </c>
      <c r="Q120" s="124">
        <v>45408</v>
      </c>
    </row>
    <row r="121" spans="1:17" ht="15" customHeight="1">
      <c r="A121" s="150">
        <v>313</v>
      </c>
      <c r="B121" s="150">
        <v>313</v>
      </c>
      <c r="C121" s="150" t="s">
        <v>1069</v>
      </c>
      <c r="D121" s="150" t="s">
        <v>2699</v>
      </c>
      <c r="E121" s="151"/>
      <c r="F121" s="27"/>
      <c r="G121" s="152" t="s">
        <v>2024</v>
      </c>
      <c r="H121" s="27">
        <v>60409422</v>
      </c>
      <c r="I121" s="150" t="s">
        <v>311</v>
      </c>
      <c r="J121" s="153" t="s">
        <v>1222</v>
      </c>
      <c r="K121" s="124">
        <v>42506</v>
      </c>
      <c r="L121" s="155">
        <v>12750</v>
      </c>
      <c r="M121" s="155">
        <v>48603</v>
      </c>
      <c r="N121" s="136">
        <v>322.05099999999999</v>
      </c>
      <c r="O121" s="136">
        <v>1085.955972</v>
      </c>
      <c r="P121" s="154">
        <v>2.5258901960784313E-2</v>
      </c>
      <c r="Q121" s="124">
        <v>45428</v>
      </c>
    </row>
    <row r="122" spans="1:17" ht="15" customHeight="1">
      <c r="A122" s="150">
        <v>313</v>
      </c>
      <c r="B122" s="150">
        <v>313</v>
      </c>
      <c r="C122" s="150" t="s">
        <v>1069</v>
      </c>
      <c r="D122" s="150" t="s">
        <v>2364</v>
      </c>
      <c r="E122" s="151"/>
      <c r="F122" s="27"/>
      <c r="G122" s="152" t="s">
        <v>2381</v>
      </c>
      <c r="H122" s="27">
        <v>60409703</v>
      </c>
      <c r="I122" s="150" t="s">
        <v>311</v>
      </c>
      <c r="J122" s="153" t="s">
        <v>1222</v>
      </c>
      <c r="K122" s="124">
        <v>42522</v>
      </c>
      <c r="L122" s="155">
        <v>11000</v>
      </c>
      <c r="M122" s="155">
        <v>42383</v>
      </c>
      <c r="N122" s="136">
        <v>0</v>
      </c>
      <c r="O122" s="136">
        <v>0</v>
      </c>
      <c r="P122" s="154">
        <v>0</v>
      </c>
      <c r="Q122" s="124">
        <v>46357</v>
      </c>
    </row>
    <row r="123" spans="1:17" ht="15" customHeight="1">
      <c r="A123" s="150">
        <v>313</v>
      </c>
      <c r="B123" s="150">
        <v>313</v>
      </c>
      <c r="C123" s="150" t="s">
        <v>1069</v>
      </c>
      <c r="D123" s="150" t="s">
        <v>2364</v>
      </c>
      <c r="E123" s="151"/>
      <c r="F123" s="27"/>
      <c r="G123" s="152" t="s">
        <v>2365</v>
      </c>
      <c r="H123" s="27">
        <v>60409687</v>
      </c>
      <c r="I123" s="150" t="s">
        <v>311</v>
      </c>
      <c r="J123" s="153" t="s">
        <v>1222</v>
      </c>
      <c r="K123" s="124">
        <v>42522</v>
      </c>
      <c r="L123" s="155">
        <v>2200</v>
      </c>
      <c r="M123" s="155">
        <v>8476.6</v>
      </c>
      <c r="N123" s="136">
        <v>0</v>
      </c>
      <c r="O123" s="136">
        <v>0</v>
      </c>
      <c r="P123" s="154">
        <v>0</v>
      </c>
      <c r="Q123" s="124">
        <v>46357</v>
      </c>
    </row>
    <row r="124" spans="1:17" ht="15" customHeight="1">
      <c r="A124" s="150">
        <v>313</v>
      </c>
      <c r="B124" s="150">
        <v>313</v>
      </c>
      <c r="C124" s="150" t="s">
        <v>1069</v>
      </c>
      <c r="D124" s="150" t="s">
        <v>2700</v>
      </c>
      <c r="E124" s="151"/>
      <c r="F124" s="27"/>
      <c r="G124" s="152" t="s">
        <v>2374</v>
      </c>
      <c r="H124" s="27">
        <v>60409695</v>
      </c>
      <c r="I124" s="150" t="s">
        <v>311</v>
      </c>
      <c r="J124" s="153" t="s">
        <v>1222</v>
      </c>
      <c r="K124" s="124">
        <v>42522</v>
      </c>
      <c r="L124" s="155">
        <v>7500</v>
      </c>
      <c r="M124" s="155">
        <v>28897.5</v>
      </c>
      <c r="N124" s="136">
        <v>0</v>
      </c>
      <c r="O124" s="136">
        <v>0</v>
      </c>
      <c r="P124" s="154">
        <v>0</v>
      </c>
      <c r="Q124" s="124">
        <v>46905</v>
      </c>
    </row>
    <row r="125" spans="1:17" ht="15" customHeight="1">
      <c r="A125" s="150">
        <v>313</v>
      </c>
      <c r="B125" s="150">
        <v>313</v>
      </c>
      <c r="C125" s="150" t="s">
        <v>1069</v>
      </c>
      <c r="D125" s="150" t="s">
        <v>2132</v>
      </c>
      <c r="E125" s="151"/>
      <c r="F125" s="27"/>
      <c r="G125" s="152" t="s">
        <v>2363</v>
      </c>
      <c r="H125" s="27">
        <v>60413218</v>
      </c>
      <c r="I125" s="150" t="s">
        <v>311</v>
      </c>
      <c r="J125" s="153" t="s">
        <v>1222</v>
      </c>
      <c r="K125" s="124">
        <v>42583</v>
      </c>
      <c r="L125" s="155">
        <v>2175</v>
      </c>
      <c r="M125" s="155">
        <v>8278.0499999999993</v>
      </c>
      <c r="N125" s="136">
        <v>3.419</v>
      </c>
      <c r="O125" s="136">
        <v>11.528868000000001</v>
      </c>
      <c r="P125" s="154">
        <v>1.5719540229885058E-3</v>
      </c>
      <c r="Q125" s="124">
        <v>46235</v>
      </c>
    </row>
    <row r="126" spans="1:17" ht="15" customHeight="1">
      <c r="A126" s="150">
        <v>313</v>
      </c>
      <c r="B126" s="150">
        <v>313</v>
      </c>
      <c r="C126" s="150" t="s">
        <v>1069</v>
      </c>
      <c r="D126" s="150" t="s">
        <v>2701</v>
      </c>
      <c r="E126" s="151"/>
      <c r="F126" s="27"/>
      <c r="G126" s="152" t="s">
        <v>2186</v>
      </c>
      <c r="H126" s="27">
        <v>60414935</v>
      </c>
      <c r="I126" s="150" t="s">
        <v>311</v>
      </c>
      <c r="J126" s="153" t="s">
        <v>1222</v>
      </c>
      <c r="K126" s="124">
        <v>42583</v>
      </c>
      <c r="L126" s="155">
        <v>4950</v>
      </c>
      <c r="M126" s="155">
        <v>18839.7</v>
      </c>
      <c r="N126" s="136">
        <v>0</v>
      </c>
      <c r="O126" s="136">
        <v>0</v>
      </c>
      <c r="P126" s="154">
        <v>0</v>
      </c>
      <c r="Q126" s="124">
        <v>46235</v>
      </c>
    </row>
    <row r="127" spans="1:17" ht="15" customHeight="1">
      <c r="A127" s="150">
        <v>313</v>
      </c>
      <c r="B127" s="150">
        <v>313</v>
      </c>
      <c r="C127" s="150" t="s">
        <v>1069</v>
      </c>
      <c r="D127" s="150" t="s">
        <v>2664</v>
      </c>
      <c r="E127" s="151"/>
      <c r="F127" s="27"/>
      <c r="G127" s="152" t="s">
        <v>2269</v>
      </c>
      <c r="H127" s="27">
        <v>60415759</v>
      </c>
      <c r="I127" s="150" t="s">
        <v>311</v>
      </c>
      <c r="J127" s="153" t="s">
        <v>1222</v>
      </c>
      <c r="K127" s="124">
        <v>42583</v>
      </c>
      <c r="L127" s="155">
        <v>11000</v>
      </c>
      <c r="M127" s="155">
        <v>41866</v>
      </c>
      <c r="N127" s="136">
        <v>601.99300000000005</v>
      </c>
      <c r="O127" s="136">
        <v>2029.920396</v>
      </c>
      <c r="P127" s="154">
        <v>5.4726636363636366E-2</v>
      </c>
      <c r="Q127" s="124">
        <v>46235</v>
      </c>
    </row>
    <row r="128" spans="1:17" ht="15" customHeight="1">
      <c r="A128" s="150">
        <v>313</v>
      </c>
      <c r="B128" s="150">
        <v>313</v>
      </c>
      <c r="C128" s="150" t="s">
        <v>1069</v>
      </c>
      <c r="D128" s="150" t="s">
        <v>2702</v>
      </c>
      <c r="E128" s="151"/>
      <c r="F128" s="27"/>
      <c r="G128" s="152" t="s">
        <v>2299</v>
      </c>
      <c r="H128" s="27">
        <v>60415767</v>
      </c>
      <c r="I128" s="150" t="s">
        <v>311</v>
      </c>
      <c r="J128" s="153" t="s">
        <v>1222</v>
      </c>
      <c r="K128" s="124">
        <v>42614</v>
      </c>
      <c r="L128" s="155">
        <v>6600</v>
      </c>
      <c r="M128" s="155">
        <v>24915</v>
      </c>
      <c r="N128" s="136">
        <v>0</v>
      </c>
      <c r="O128" s="136">
        <v>0</v>
      </c>
      <c r="P128" s="154">
        <v>0</v>
      </c>
      <c r="Q128" s="124">
        <v>46266</v>
      </c>
    </row>
    <row r="129" spans="1:17" ht="15" customHeight="1">
      <c r="A129" s="150">
        <v>313</v>
      </c>
      <c r="B129" s="150">
        <v>313</v>
      </c>
      <c r="C129" s="150" t="s">
        <v>1069</v>
      </c>
      <c r="D129" s="150" t="s">
        <v>2703</v>
      </c>
      <c r="E129" s="151"/>
      <c r="F129" s="27"/>
      <c r="G129" s="152" t="s">
        <v>2704</v>
      </c>
      <c r="H129" s="27">
        <v>60418480</v>
      </c>
      <c r="I129" s="150" t="s">
        <v>311</v>
      </c>
      <c r="J129" s="153" t="s">
        <v>1222</v>
      </c>
      <c r="K129" s="124">
        <v>42675</v>
      </c>
      <c r="L129" s="155">
        <v>2500</v>
      </c>
      <c r="M129" s="155">
        <v>9567.5</v>
      </c>
      <c r="N129" s="136">
        <v>0</v>
      </c>
      <c r="O129" s="136">
        <v>0</v>
      </c>
      <c r="P129" s="154">
        <v>0</v>
      </c>
      <c r="Q129" s="124">
        <v>46327</v>
      </c>
    </row>
    <row r="130" spans="1:17" ht="15" customHeight="1">
      <c r="A130" s="150">
        <v>313</v>
      </c>
      <c r="B130" s="150">
        <v>313</v>
      </c>
      <c r="C130" s="150" t="s">
        <v>1069</v>
      </c>
      <c r="D130" s="150" t="s">
        <v>2705</v>
      </c>
      <c r="E130" s="151"/>
      <c r="F130" s="27"/>
      <c r="G130" s="152" t="s">
        <v>2706</v>
      </c>
      <c r="H130" s="27">
        <v>62000153</v>
      </c>
      <c r="I130" s="150" t="s">
        <v>311</v>
      </c>
      <c r="J130" s="153" t="s">
        <v>1222</v>
      </c>
      <c r="K130" s="124">
        <v>42522</v>
      </c>
      <c r="L130" s="155">
        <v>3000</v>
      </c>
      <c r="M130" s="155">
        <v>11559</v>
      </c>
      <c r="N130" s="136">
        <v>31.941509999999777</v>
      </c>
      <c r="O130" s="136">
        <v>107.70677171999925</v>
      </c>
      <c r="P130" s="154">
        <v>1.0647169999999926E-2</v>
      </c>
      <c r="Q130" s="124">
        <v>46174</v>
      </c>
    </row>
    <row r="131" spans="1:17" ht="15" customHeight="1">
      <c r="A131" s="150">
        <v>313</v>
      </c>
      <c r="B131" s="150">
        <v>313</v>
      </c>
      <c r="C131" s="150" t="s">
        <v>1069</v>
      </c>
      <c r="D131" s="150" t="s">
        <v>2707</v>
      </c>
      <c r="E131" s="151"/>
      <c r="F131" s="27"/>
      <c r="G131" s="152" t="s">
        <v>2313</v>
      </c>
      <c r="H131" s="27">
        <v>60410230</v>
      </c>
      <c r="I131" s="150" t="s">
        <v>311</v>
      </c>
      <c r="J131" s="153" t="s">
        <v>1215</v>
      </c>
      <c r="K131" s="124">
        <v>42513</v>
      </c>
      <c r="L131" s="155">
        <v>2700</v>
      </c>
      <c r="M131" s="155">
        <v>11732.850000000002</v>
      </c>
      <c r="N131" s="136">
        <v>174.16339000000013</v>
      </c>
      <c r="O131" s="136">
        <v>688.85104012800059</v>
      </c>
      <c r="P131" s="154">
        <v>6.4504959259259309E-2</v>
      </c>
      <c r="Q131" s="124">
        <v>46530</v>
      </c>
    </row>
    <row r="132" spans="1:17" ht="15" customHeight="1">
      <c r="A132" s="150">
        <v>313</v>
      </c>
      <c r="B132" s="150">
        <v>313</v>
      </c>
      <c r="C132" s="150" t="s">
        <v>1069</v>
      </c>
      <c r="D132" s="150" t="s">
        <v>2435</v>
      </c>
      <c r="E132" s="151"/>
      <c r="F132" s="27"/>
      <c r="G132" s="152" t="s">
        <v>2290</v>
      </c>
      <c r="H132" s="27">
        <v>60416534</v>
      </c>
      <c r="I132" s="150" t="s">
        <v>311</v>
      </c>
      <c r="J132" s="153" t="s">
        <v>1222</v>
      </c>
      <c r="K132" s="124">
        <v>42648</v>
      </c>
      <c r="L132" s="155">
        <v>11000</v>
      </c>
      <c r="M132" s="155">
        <v>41558</v>
      </c>
      <c r="N132" s="136">
        <v>990</v>
      </c>
      <c r="O132" s="136">
        <v>3338.28</v>
      </c>
      <c r="P132" s="154">
        <v>0.09</v>
      </c>
      <c r="Q132" s="124">
        <v>47761</v>
      </c>
    </row>
    <row r="133" spans="1:17" ht="15" customHeight="1">
      <c r="A133" s="150">
        <v>313</v>
      </c>
      <c r="B133" s="150">
        <v>313</v>
      </c>
      <c r="C133" s="150" t="s">
        <v>1069</v>
      </c>
      <c r="D133" s="150" t="s">
        <v>2678</v>
      </c>
      <c r="E133" s="151"/>
      <c r="F133" s="27"/>
      <c r="G133" s="152" t="s">
        <v>2159</v>
      </c>
      <c r="H133" s="27">
        <v>62001232</v>
      </c>
      <c r="I133" s="150" t="s">
        <v>311</v>
      </c>
      <c r="J133" s="153" t="s">
        <v>1222</v>
      </c>
      <c r="K133" s="124">
        <v>42828</v>
      </c>
      <c r="L133" s="155">
        <v>2000</v>
      </c>
      <c r="M133" s="155">
        <v>7256</v>
      </c>
      <c r="N133" s="136">
        <v>0</v>
      </c>
      <c r="O133" s="136">
        <v>0</v>
      </c>
      <c r="P133" s="154">
        <v>0</v>
      </c>
      <c r="Q133" s="124">
        <v>46480</v>
      </c>
    </row>
    <row r="134" spans="1:17" ht="15" customHeight="1">
      <c r="A134" s="150">
        <v>313</v>
      </c>
      <c r="B134" s="150">
        <v>313</v>
      </c>
      <c r="C134" s="150" t="s">
        <v>1069</v>
      </c>
      <c r="D134" s="150" t="s">
        <v>2708</v>
      </c>
      <c r="E134" s="151"/>
      <c r="F134" s="27"/>
      <c r="G134" s="152" t="s">
        <v>2349</v>
      </c>
      <c r="H134" s="27">
        <v>62001330</v>
      </c>
      <c r="I134" s="150" t="s">
        <v>311</v>
      </c>
      <c r="J134" s="153" t="s">
        <v>2709</v>
      </c>
      <c r="K134" s="124">
        <v>42837</v>
      </c>
      <c r="L134" s="155">
        <v>200000</v>
      </c>
      <c r="M134" s="155">
        <v>666180</v>
      </c>
      <c r="N134" s="136">
        <v>2092.94</v>
      </c>
      <c r="O134" s="136">
        <v>48.909914860000008</v>
      </c>
      <c r="P134" s="154">
        <v>1.04647E-2</v>
      </c>
      <c r="Q134" s="124">
        <v>46489</v>
      </c>
    </row>
    <row r="135" spans="1:17" ht="15" customHeight="1">
      <c r="A135" s="150">
        <v>313</v>
      </c>
      <c r="B135" s="150">
        <v>313</v>
      </c>
      <c r="C135" s="150" t="s">
        <v>1069</v>
      </c>
      <c r="D135" s="150" t="s">
        <v>2710</v>
      </c>
      <c r="E135" s="151"/>
      <c r="F135" s="27"/>
      <c r="G135" s="152" t="s">
        <v>2205</v>
      </c>
      <c r="H135" s="27">
        <v>62001857</v>
      </c>
      <c r="I135" s="150" t="s">
        <v>311</v>
      </c>
      <c r="J135" s="153" t="s">
        <v>1215</v>
      </c>
      <c r="K135" s="124">
        <v>42872</v>
      </c>
      <c r="L135" s="155">
        <v>8550</v>
      </c>
      <c r="M135" s="155">
        <v>34220.519999999997</v>
      </c>
      <c r="N135" s="136">
        <v>0</v>
      </c>
      <c r="O135" s="136">
        <v>0</v>
      </c>
      <c r="P135" s="154">
        <v>0</v>
      </c>
      <c r="Q135" s="124">
        <v>46524</v>
      </c>
    </row>
    <row r="136" spans="1:17" ht="15" customHeight="1">
      <c r="A136" s="150">
        <v>313</v>
      </c>
      <c r="B136" s="150">
        <v>313</v>
      </c>
      <c r="C136" s="150" t="s">
        <v>1069</v>
      </c>
      <c r="D136" s="150" t="s">
        <v>2677</v>
      </c>
      <c r="E136" s="151"/>
      <c r="F136" s="27"/>
      <c r="G136" s="152" t="s">
        <v>2559</v>
      </c>
      <c r="H136" s="27">
        <v>62001973</v>
      </c>
      <c r="I136" s="150" t="s">
        <v>311</v>
      </c>
      <c r="J136" s="153" t="s">
        <v>1222</v>
      </c>
      <c r="K136" s="124">
        <v>42887</v>
      </c>
      <c r="L136" s="155">
        <v>15200</v>
      </c>
      <c r="M136" s="155">
        <v>53944.800000000003</v>
      </c>
      <c r="N136" s="136">
        <v>1208.5849299999998</v>
      </c>
      <c r="O136" s="136">
        <v>4075.348383959999</v>
      </c>
      <c r="P136" s="154">
        <v>7.9512166447368401E-2</v>
      </c>
      <c r="Q136" s="124">
        <v>46539</v>
      </c>
    </row>
    <row r="137" spans="1:17" ht="15" customHeight="1">
      <c r="A137" s="150">
        <v>313</v>
      </c>
      <c r="B137" s="150">
        <v>313</v>
      </c>
      <c r="C137" s="150" t="s">
        <v>1069</v>
      </c>
      <c r="D137" s="150" t="s">
        <v>2279</v>
      </c>
      <c r="E137" s="151"/>
      <c r="F137" s="27"/>
      <c r="G137" s="152" t="s">
        <v>2487</v>
      </c>
      <c r="H137" s="27">
        <v>62002516</v>
      </c>
      <c r="I137" s="150" t="s">
        <v>311</v>
      </c>
      <c r="J137" s="153" t="s">
        <v>1215</v>
      </c>
      <c r="K137" s="124">
        <v>42930</v>
      </c>
      <c r="L137" s="155">
        <v>2400</v>
      </c>
      <c r="M137" s="155">
        <v>9688.32</v>
      </c>
      <c r="N137" s="136">
        <v>379.59883000000008</v>
      </c>
      <c r="O137" s="136">
        <v>1501.3892924160002</v>
      </c>
      <c r="P137" s="154">
        <v>0.1581661791666667</v>
      </c>
      <c r="Q137" s="124">
        <v>46582</v>
      </c>
    </row>
    <row r="138" spans="1:17" ht="15" customHeight="1">
      <c r="A138" s="150">
        <v>313</v>
      </c>
      <c r="B138" s="150">
        <v>313</v>
      </c>
      <c r="C138" s="150" t="s">
        <v>1069</v>
      </c>
      <c r="D138" s="150" t="s">
        <v>2681</v>
      </c>
      <c r="E138" s="151"/>
      <c r="F138" s="27"/>
      <c r="G138" s="152" t="s">
        <v>2319</v>
      </c>
      <c r="H138" s="27">
        <v>62002918</v>
      </c>
      <c r="I138" s="150" t="s">
        <v>311</v>
      </c>
      <c r="J138" s="153" t="s">
        <v>1222</v>
      </c>
      <c r="K138" s="124">
        <v>42833</v>
      </c>
      <c r="L138" s="155">
        <v>2356.1007800000002</v>
      </c>
      <c r="M138" s="155">
        <v>8597.4117462199993</v>
      </c>
      <c r="N138" s="136">
        <v>594.21759000000031</v>
      </c>
      <c r="O138" s="136">
        <v>2003.701713480001</v>
      </c>
      <c r="P138" s="154">
        <v>0.25220380853148405</v>
      </c>
      <c r="Q138" s="124">
        <v>45999</v>
      </c>
    </row>
    <row r="139" spans="1:17" ht="15" customHeight="1">
      <c r="A139" s="150">
        <v>313</v>
      </c>
      <c r="B139" s="150">
        <v>313</v>
      </c>
      <c r="C139" s="150" t="s">
        <v>1069</v>
      </c>
      <c r="D139" s="150" t="s">
        <v>2102</v>
      </c>
      <c r="E139" s="151"/>
      <c r="F139" s="27"/>
      <c r="G139" s="152" t="s">
        <v>2123</v>
      </c>
      <c r="H139" s="27">
        <v>62003141</v>
      </c>
      <c r="I139" s="150" t="s">
        <v>311</v>
      </c>
      <c r="J139" s="153" t="s">
        <v>1222</v>
      </c>
      <c r="K139" s="124">
        <v>42969</v>
      </c>
      <c r="L139" s="155">
        <v>8000</v>
      </c>
      <c r="M139" s="155">
        <v>28984</v>
      </c>
      <c r="N139" s="136">
        <v>127.172</v>
      </c>
      <c r="O139" s="136">
        <v>428.823984</v>
      </c>
      <c r="P139" s="154">
        <v>1.5896500000000001E-2</v>
      </c>
      <c r="Q139" s="124">
        <v>46621</v>
      </c>
    </row>
    <row r="140" spans="1:17" ht="15" customHeight="1">
      <c r="A140" s="150">
        <v>313</v>
      </c>
      <c r="B140" s="150">
        <v>313</v>
      </c>
      <c r="C140" s="150" t="s">
        <v>1069</v>
      </c>
      <c r="D140" s="150" t="s">
        <v>2495</v>
      </c>
      <c r="E140" s="120"/>
      <c r="F140" s="27"/>
      <c r="G140" s="152" t="s">
        <v>2711</v>
      </c>
      <c r="H140" s="27">
        <v>62006515</v>
      </c>
      <c r="I140" s="150" t="s">
        <v>311</v>
      </c>
      <c r="J140" s="153" t="s">
        <v>1222</v>
      </c>
      <c r="K140" s="124">
        <v>43031</v>
      </c>
      <c r="L140" s="155">
        <v>10000</v>
      </c>
      <c r="M140" s="155">
        <v>34910</v>
      </c>
      <c r="N140" s="136">
        <v>1294.5743800000009</v>
      </c>
      <c r="O140" s="136">
        <v>4365.3048093600019</v>
      </c>
      <c r="P140" s="154">
        <v>0.12945743800000009</v>
      </c>
      <c r="Q140" s="124">
        <v>45748</v>
      </c>
    </row>
    <row r="141" spans="1:17" ht="15" customHeight="1">
      <c r="A141" s="150">
        <v>313</v>
      </c>
      <c r="B141" s="150">
        <v>313</v>
      </c>
      <c r="C141" s="150" t="s">
        <v>1069</v>
      </c>
      <c r="D141" s="150" t="s">
        <v>2465</v>
      </c>
      <c r="E141" s="151"/>
      <c r="F141" s="27"/>
      <c r="G141" s="152" t="s">
        <v>2450</v>
      </c>
      <c r="H141" s="27">
        <v>62003613</v>
      </c>
      <c r="I141" s="150" t="s">
        <v>311</v>
      </c>
      <c r="J141" s="153" t="s">
        <v>1222</v>
      </c>
      <c r="K141" s="124">
        <v>43014</v>
      </c>
      <c r="L141" s="155">
        <v>10000</v>
      </c>
      <c r="M141" s="155">
        <v>35200</v>
      </c>
      <c r="N141" s="136">
        <v>186.47349000000023</v>
      </c>
      <c r="O141" s="136">
        <v>628.78860828000074</v>
      </c>
      <c r="P141" s="154">
        <v>1.8647349000000021E-2</v>
      </c>
      <c r="Q141" s="124">
        <v>46666</v>
      </c>
    </row>
    <row r="142" spans="1:17" ht="15" customHeight="1">
      <c r="A142" s="150">
        <v>313</v>
      </c>
      <c r="B142" s="150">
        <v>313</v>
      </c>
      <c r="C142" s="150" t="s">
        <v>1069</v>
      </c>
      <c r="D142" s="150" t="s">
        <v>2712</v>
      </c>
      <c r="E142" s="151"/>
      <c r="F142" s="27"/>
      <c r="G142" s="152" t="s">
        <v>2228</v>
      </c>
      <c r="H142" s="27">
        <v>62005608</v>
      </c>
      <c r="I142" s="150" t="s">
        <v>311</v>
      </c>
      <c r="J142" s="153" t="s">
        <v>1215</v>
      </c>
      <c r="K142" s="124">
        <v>43111</v>
      </c>
      <c r="L142" s="155">
        <v>3000</v>
      </c>
      <c r="M142" s="155">
        <v>12337.5</v>
      </c>
      <c r="N142" s="136">
        <v>574.50633000000005</v>
      </c>
      <c r="O142" s="136">
        <v>2272.2874364160002</v>
      </c>
      <c r="P142" s="154">
        <v>0.19150211</v>
      </c>
      <c r="Q142" s="124">
        <v>46763</v>
      </c>
    </row>
    <row r="143" spans="1:17" ht="15" customHeight="1">
      <c r="A143" s="150">
        <v>313</v>
      </c>
      <c r="B143" s="150">
        <v>313</v>
      </c>
      <c r="C143" s="150" t="s">
        <v>1069</v>
      </c>
      <c r="D143" s="150" t="s">
        <v>2397</v>
      </c>
      <c r="E143" s="151"/>
      <c r="F143" s="27"/>
      <c r="G143" s="152" t="s">
        <v>2259</v>
      </c>
      <c r="H143" s="27">
        <v>62005616</v>
      </c>
      <c r="I143" s="150" t="s">
        <v>311</v>
      </c>
      <c r="J143" s="153" t="s">
        <v>2260</v>
      </c>
      <c r="K143" s="124">
        <v>43070</v>
      </c>
      <c r="L143" s="155">
        <v>25000</v>
      </c>
      <c r="M143" s="155">
        <v>10440</v>
      </c>
      <c r="N143" s="136">
        <v>403.83967000000177</v>
      </c>
      <c r="O143" s="136">
        <v>143.36308285000061</v>
      </c>
      <c r="P143" s="154">
        <v>1.6153586800000071E-2</v>
      </c>
      <c r="Q143" s="124">
        <v>46722</v>
      </c>
    </row>
    <row r="144" spans="1:17" ht="15" customHeight="1">
      <c r="A144" s="150">
        <v>313</v>
      </c>
      <c r="B144" s="150">
        <v>313</v>
      </c>
      <c r="C144" s="150" t="s">
        <v>1069</v>
      </c>
      <c r="D144" s="150" t="s">
        <v>2713</v>
      </c>
      <c r="E144" s="151"/>
      <c r="F144" s="27"/>
      <c r="G144" s="152" t="s">
        <v>2714</v>
      </c>
      <c r="H144" s="27">
        <v>62005749</v>
      </c>
      <c r="I144" s="150" t="s">
        <v>311</v>
      </c>
      <c r="J144" s="153" t="s">
        <v>1222</v>
      </c>
      <c r="K144" s="124">
        <v>43039</v>
      </c>
      <c r="L144" s="155">
        <v>4250</v>
      </c>
      <c r="M144" s="155">
        <v>14964.25</v>
      </c>
      <c r="N144" s="136">
        <v>0</v>
      </c>
      <c r="O144" s="136">
        <v>0</v>
      </c>
      <c r="P144" s="154">
        <v>0</v>
      </c>
      <c r="Q144" s="124">
        <v>45992</v>
      </c>
    </row>
    <row r="145" spans="1:17" ht="15" customHeight="1">
      <c r="A145" s="150">
        <v>313</v>
      </c>
      <c r="B145" s="150">
        <v>313</v>
      </c>
      <c r="C145" s="150" t="s">
        <v>1069</v>
      </c>
      <c r="D145" s="150" t="s">
        <v>2684</v>
      </c>
      <c r="E145" s="151"/>
      <c r="F145" s="27"/>
      <c r="G145" s="152" t="s">
        <v>2190</v>
      </c>
      <c r="H145" s="27">
        <v>62005723</v>
      </c>
      <c r="I145" s="150" t="s">
        <v>311</v>
      </c>
      <c r="J145" s="153" t="s">
        <v>1222</v>
      </c>
      <c r="K145" s="124">
        <v>43039</v>
      </c>
      <c r="L145" s="155">
        <v>1050</v>
      </c>
      <c r="M145" s="155">
        <v>3697.05</v>
      </c>
      <c r="N145" s="136">
        <v>183.95089000000002</v>
      </c>
      <c r="O145" s="136">
        <v>620.28240108</v>
      </c>
      <c r="P145" s="154">
        <v>0.17519132380952382</v>
      </c>
      <c r="Q145" s="124">
        <v>46691</v>
      </c>
    </row>
    <row r="146" spans="1:17" ht="15" customHeight="1">
      <c r="A146" s="150">
        <v>313</v>
      </c>
      <c r="B146" s="150">
        <v>313</v>
      </c>
      <c r="C146" s="150" t="s">
        <v>1069</v>
      </c>
      <c r="D146" s="150" t="s">
        <v>2684</v>
      </c>
      <c r="E146" s="151"/>
      <c r="F146" s="27"/>
      <c r="G146" s="152" t="s">
        <v>2422</v>
      </c>
      <c r="H146" s="27">
        <v>62005731</v>
      </c>
      <c r="I146" s="150" t="s">
        <v>311</v>
      </c>
      <c r="J146" s="153" t="s">
        <v>1222</v>
      </c>
      <c r="K146" s="124">
        <v>43039</v>
      </c>
      <c r="L146" s="155">
        <v>5000</v>
      </c>
      <c r="M146" s="155">
        <v>17605</v>
      </c>
      <c r="N146" s="136">
        <v>473.61745000000019</v>
      </c>
      <c r="O146" s="136">
        <v>1597.0380414000008</v>
      </c>
      <c r="P146" s="154">
        <v>9.4723490000000035E-2</v>
      </c>
      <c r="Q146" s="124">
        <v>46691</v>
      </c>
    </row>
    <row r="147" spans="1:17" ht="15" customHeight="1">
      <c r="A147" s="150">
        <v>313</v>
      </c>
      <c r="B147" s="150">
        <v>313</v>
      </c>
      <c r="C147" s="150" t="s">
        <v>1069</v>
      </c>
      <c r="D147" s="150" t="s">
        <v>2662</v>
      </c>
      <c r="E147" s="151"/>
      <c r="F147" s="27"/>
      <c r="G147" s="152" t="s">
        <v>2555</v>
      </c>
      <c r="H147" s="27">
        <v>62006176</v>
      </c>
      <c r="I147" s="150" t="s">
        <v>311</v>
      </c>
      <c r="J147" s="153" t="s">
        <v>1222</v>
      </c>
      <c r="K147" s="124">
        <v>43132</v>
      </c>
      <c r="L147" s="155">
        <v>14000</v>
      </c>
      <c r="M147" s="155">
        <v>47978</v>
      </c>
      <c r="N147" s="136">
        <v>0</v>
      </c>
      <c r="O147" s="136">
        <v>0</v>
      </c>
      <c r="P147" s="154">
        <v>0</v>
      </c>
      <c r="Q147" s="124">
        <v>46784</v>
      </c>
    </row>
    <row r="148" spans="1:17" ht="15" customHeight="1">
      <c r="A148" s="150">
        <v>313</v>
      </c>
      <c r="B148" s="150">
        <v>313</v>
      </c>
      <c r="C148" s="150" t="s">
        <v>1069</v>
      </c>
      <c r="D148" s="150" t="s">
        <v>2382</v>
      </c>
      <c r="E148" s="151"/>
      <c r="F148" s="27"/>
      <c r="G148" s="152" t="s">
        <v>2382</v>
      </c>
      <c r="H148" s="27">
        <v>62006523</v>
      </c>
      <c r="I148" s="150" t="s">
        <v>311</v>
      </c>
      <c r="J148" s="153" t="s">
        <v>1222</v>
      </c>
      <c r="K148" s="124">
        <v>43188</v>
      </c>
      <c r="L148" s="155">
        <v>15000</v>
      </c>
      <c r="M148" s="155">
        <v>52710</v>
      </c>
      <c r="N148" s="136">
        <v>0</v>
      </c>
      <c r="O148" s="136">
        <v>0</v>
      </c>
      <c r="P148" s="154">
        <v>0</v>
      </c>
      <c r="Q148" s="124">
        <v>45380</v>
      </c>
    </row>
    <row r="149" spans="1:17" ht="15" customHeight="1">
      <c r="A149" s="150">
        <v>313</v>
      </c>
      <c r="B149" s="150">
        <v>313</v>
      </c>
      <c r="C149" s="150" t="s">
        <v>1069</v>
      </c>
      <c r="D149" s="150" t="s">
        <v>2715</v>
      </c>
      <c r="E149" s="151"/>
      <c r="F149" s="27"/>
      <c r="G149" s="152" t="s">
        <v>2258</v>
      </c>
      <c r="H149" s="27">
        <v>62006614</v>
      </c>
      <c r="I149" s="150" t="s">
        <v>311</v>
      </c>
      <c r="J149" s="153" t="s">
        <v>1215</v>
      </c>
      <c r="K149" s="124">
        <v>43206</v>
      </c>
      <c r="L149" s="155">
        <v>5000</v>
      </c>
      <c r="M149" s="155">
        <v>21648</v>
      </c>
      <c r="N149" s="136">
        <v>17.986000000000001</v>
      </c>
      <c r="O149" s="136">
        <v>71.138227199999989</v>
      </c>
      <c r="P149" s="154">
        <v>3.5972000000000001E-3</v>
      </c>
      <c r="Q149" s="124">
        <v>45763</v>
      </c>
    </row>
    <row r="150" spans="1:17" ht="15" customHeight="1">
      <c r="A150" s="150">
        <v>313</v>
      </c>
      <c r="B150" s="150">
        <v>313</v>
      </c>
      <c r="C150" s="150" t="s">
        <v>1069</v>
      </c>
      <c r="D150" s="150" t="s">
        <v>2135</v>
      </c>
      <c r="E150" s="151"/>
      <c r="F150" s="27"/>
      <c r="G150" s="152" t="s">
        <v>2135</v>
      </c>
      <c r="H150" s="27">
        <v>62006978</v>
      </c>
      <c r="I150" s="150" t="s">
        <v>311</v>
      </c>
      <c r="J150" s="153" t="s">
        <v>1222</v>
      </c>
      <c r="K150" s="124">
        <v>43091</v>
      </c>
      <c r="L150" s="155">
        <v>2000</v>
      </c>
      <c r="M150" s="155">
        <v>6970</v>
      </c>
      <c r="N150" s="136">
        <v>168.71799999999999</v>
      </c>
      <c r="O150" s="136">
        <v>568.91709600000002</v>
      </c>
      <c r="P150" s="154">
        <v>8.435899999999999E-2</v>
      </c>
      <c r="Q150" s="124">
        <v>46378</v>
      </c>
    </row>
    <row r="151" spans="1:17" ht="15" customHeight="1">
      <c r="A151" s="150">
        <v>313</v>
      </c>
      <c r="B151" s="150">
        <v>313</v>
      </c>
      <c r="C151" s="150" t="s">
        <v>1069</v>
      </c>
      <c r="D151" s="150" t="s">
        <v>2132</v>
      </c>
      <c r="E151" s="151"/>
      <c r="F151" s="27"/>
      <c r="G151" s="152" t="s">
        <v>2304</v>
      </c>
      <c r="H151" s="27">
        <v>62007075</v>
      </c>
      <c r="I151" s="150" t="s">
        <v>311</v>
      </c>
      <c r="J151" s="153" t="s">
        <v>1222</v>
      </c>
      <c r="K151" s="124">
        <v>43204</v>
      </c>
      <c r="L151" s="155">
        <v>14600</v>
      </c>
      <c r="M151" s="155">
        <v>51143.8</v>
      </c>
      <c r="N151" s="136">
        <v>24.611999999999998</v>
      </c>
      <c r="O151" s="136">
        <v>82.991664</v>
      </c>
      <c r="P151" s="154">
        <v>1.6857534246575341E-3</v>
      </c>
      <c r="Q151" s="124">
        <v>45408</v>
      </c>
    </row>
    <row r="152" spans="1:17" ht="15" customHeight="1">
      <c r="A152" s="150">
        <v>313</v>
      </c>
      <c r="B152" s="150">
        <v>313</v>
      </c>
      <c r="C152" s="150" t="s">
        <v>1069</v>
      </c>
      <c r="D152" s="150" t="s">
        <v>2687</v>
      </c>
      <c r="E152" s="151"/>
      <c r="F152" s="27"/>
      <c r="G152" s="152" t="s">
        <v>2535</v>
      </c>
      <c r="H152" s="27">
        <v>62007695</v>
      </c>
      <c r="I152" s="150" t="s">
        <v>311</v>
      </c>
      <c r="J152" s="153" t="s">
        <v>1215</v>
      </c>
      <c r="K152" s="124">
        <v>43203</v>
      </c>
      <c r="L152" s="155">
        <v>10000</v>
      </c>
      <c r="M152" s="155">
        <v>43261</v>
      </c>
      <c r="N152" s="136">
        <v>514.79108999999983</v>
      </c>
      <c r="O152" s="136">
        <v>2036.1017191679994</v>
      </c>
      <c r="P152" s="154">
        <v>5.1479108999999981E-2</v>
      </c>
      <c r="Q152" s="124">
        <v>46856</v>
      </c>
    </row>
    <row r="153" spans="1:17" ht="15" customHeight="1">
      <c r="A153" s="150">
        <v>313</v>
      </c>
      <c r="B153" s="150">
        <v>313</v>
      </c>
      <c r="C153" s="150" t="s">
        <v>1069</v>
      </c>
      <c r="D153" s="150" t="s">
        <v>2551</v>
      </c>
      <c r="E153" s="151"/>
      <c r="F153" s="27"/>
      <c r="G153" s="152" t="s">
        <v>2551</v>
      </c>
      <c r="H153" s="27">
        <v>62008800</v>
      </c>
      <c r="I153" s="150" t="s">
        <v>311</v>
      </c>
      <c r="J153" s="153" t="s">
        <v>1215</v>
      </c>
      <c r="K153" s="124">
        <v>43345</v>
      </c>
      <c r="L153" s="155">
        <v>12500</v>
      </c>
      <c r="M153" s="155">
        <v>52648.75</v>
      </c>
      <c r="N153" s="136">
        <v>1824.7053000000008</v>
      </c>
      <c r="O153" s="136">
        <v>7217.0744025600034</v>
      </c>
      <c r="P153" s="154">
        <v>0.14597642400000005</v>
      </c>
      <c r="Q153" s="124">
        <v>46267</v>
      </c>
    </row>
    <row r="154" spans="1:17" ht="15" customHeight="1">
      <c r="A154" s="150">
        <v>313</v>
      </c>
      <c r="B154" s="150">
        <v>313</v>
      </c>
      <c r="C154" s="150" t="s">
        <v>1069</v>
      </c>
      <c r="D154" s="150" t="s">
        <v>2716</v>
      </c>
      <c r="E154" s="151"/>
      <c r="F154" s="27"/>
      <c r="G154" s="152" t="s">
        <v>2402</v>
      </c>
      <c r="H154" s="27">
        <v>62009378</v>
      </c>
      <c r="I154" s="150" t="s">
        <v>311</v>
      </c>
      <c r="J154" s="153" t="s">
        <v>1225</v>
      </c>
      <c r="K154" s="124">
        <v>43283</v>
      </c>
      <c r="L154" s="155">
        <v>2500</v>
      </c>
      <c r="M154" s="155">
        <v>12047.25</v>
      </c>
      <c r="N154" s="136">
        <v>0</v>
      </c>
      <c r="O154" s="136">
        <v>0</v>
      </c>
      <c r="P154" s="154">
        <v>0</v>
      </c>
      <c r="Q154" s="124">
        <v>46936</v>
      </c>
    </row>
    <row r="155" spans="1:17" ht="15" customHeight="1">
      <c r="A155" s="150">
        <v>313</v>
      </c>
      <c r="B155" s="150">
        <v>313</v>
      </c>
      <c r="C155" s="150" t="s">
        <v>1069</v>
      </c>
      <c r="D155" s="150" t="s">
        <v>2503</v>
      </c>
      <c r="E155" s="151"/>
      <c r="F155" s="27"/>
      <c r="G155" s="152" t="s">
        <v>2305</v>
      </c>
      <c r="H155" s="27">
        <v>62010012</v>
      </c>
      <c r="I155" s="150" t="s">
        <v>311</v>
      </c>
      <c r="J155" s="153" t="s">
        <v>1222</v>
      </c>
      <c r="K155" s="124">
        <v>43373</v>
      </c>
      <c r="L155" s="155">
        <v>200</v>
      </c>
      <c r="M155" s="155">
        <v>725.4</v>
      </c>
      <c r="N155" s="136">
        <v>5</v>
      </c>
      <c r="O155" s="136">
        <v>16.86</v>
      </c>
      <c r="P155" s="154">
        <v>2.5000000000000001E-2</v>
      </c>
      <c r="Q155" s="124">
        <v>47026</v>
      </c>
    </row>
    <row r="156" spans="1:17" ht="15" customHeight="1">
      <c r="A156" s="150">
        <v>313</v>
      </c>
      <c r="B156" s="150">
        <v>313</v>
      </c>
      <c r="C156" s="150" t="s">
        <v>1069</v>
      </c>
      <c r="D156" s="150" t="s">
        <v>2503</v>
      </c>
      <c r="E156" s="151"/>
      <c r="F156" s="27"/>
      <c r="G156" s="152" t="s">
        <v>2392</v>
      </c>
      <c r="H156" s="27">
        <v>62010020</v>
      </c>
      <c r="I156" s="150" t="s">
        <v>311</v>
      </c>
      <c r="J156" s="153" t="s">
        <v>1222</v>
      </c>
      <c r="K156" s="124">
        <v>43373</v>
      </c>
      <c r="L156" s="155">
        <v>2200</v>
      </c>
      <c r="M156" s="155">
        <v>7979.3999999999987</v>
      </c>
      <c r="N156" s="136">
        <v>33.96731999999983</v>
      </c>
      <c r="O156" s="136">
        <v>114.53780303999943</v>
      </c>
      <c r="P156" s="154">
        <v>1.5439690909090831E-2</v>
      </c>
      <c r="Q156" s="124">
        <v>47026</v>
      </c>
    </row>
    <row r="157" spans="1:17" ht="15" customHeight="1">
      <c r="A157" s="150">
        <v>313</v>
      </c>
      <c r="B157" s="150">
        <v>313</v>
      </c>
      <c r="C157" s="150" t="s">
        <v>1069</v>
      </c>
      <c r="D157" s="150" t="s">
        <v>2686</v>
      </c>
      <c r="E157" s="151"/>
      <c r="F157" s="27"/>
      <c r="G157" s="152" t="s">
        <v>2285</v>
      </c>
      <c r="H157" s="27">
        <v>62010087</v>
      </c>
      <c r="I157" s="150" t="s">
        <v>311</v>
      </c>
      <c r="J157" s="153" t="s">
        <v>1222</v>
      </c>
      <c r="K157" s="124">
        <v>43252</v>
      </c>
      <c r="L157" s="155">
        <v>1500</v>
      </c>
      <c r="M157" s="155">
        <v>5347.5</v>
      </c>
      <c r="N157" s="136">
        <v>0</v>
      </c>
      <c r="O157" s="136">
        <v>0</v>
      </c>
      <c r="P157" s="154">
        <v>0</v>
      </c>
      <c r="Q157" s="124">
        <v>46905</v>
      </c>
    </row>
    <row r="158" spans="1:17" ht="15" customHeight="1">
      <c r="A158" s="150">
        <v>313</v>
      </c>
      <c r="B158" s="150">
        <v>313</v>
      </c>
      <c r="C158" s="150" t="s">
        <v>1069</v>
      </c>
      <c r="D158" s="150" t="s">
        <v>2717</v>
      </c>
      <c r="E158" s="151"/>
      <c r="F158" s="27"/>
      <c r="G158" s="152" t="s">
        <v>2516</v>
      </c>
      <c r="H158" s="27">
        <v>62010988</v>
      </c>
      <c r="I158" s="150" t="s">
        <v>311</v>
      </c>
      <c r="J158" s="153" t="s">
        <v>1215</v>
      </c>
      <c r="K158" s="124">
        <v>43370</v>
      </c>
      <c r="L158" s="155">
        <v>2570</v>
      </c>
      <c r="M158" s="155">
        <v>10833.578</v>
      </c>
      <c r="N158" s="136">
        <v>87.38</v>
      </c>
      <c r="O158" s="136">
        <v>345.60537599999998</v>
      </c>
      <c r="P158" s="154">
        <v>3.3999999999999996E-2</v>
      </c>
      <c r="Q158" s="124">
        <v>47023</v>
      </c>
    </row>
    <row r="159" spans="1:17" ht="15" customHeight="1">
      <c r="A159" s="150">
        <v>313</v>
      </c>
      <c r="B159" s="150">
        <v>313</v>
      </c>
      <c r="C159" s="150" t="s">
        <v>1069</v>
      </c>
      <c r="D159" s="150" t="s">
        <v>2668</v>
      </c>
      <c r="E159" s="151"/>
      <c r="F159" s="27"/>
      <c r="G159" s="152" t="s">
        <v>2427</v>
      </c>
      <c r="H159" s="27">
        <v>62011317</v>
      </c>
      <c r="I159" s="150" t="s">
        <v>311</v>
      </c>
      <c r="J159" s="153" t="s">
        <v>1222</v>
      </c>
      <c r="K159" s="124">
        <v>43453</v>
      </c>
      <c r="L159" s="155">
        <v>15000</v>
      </c>
      <c r="M159" s="155">
        <v>56340</v>
      </c>
      <c r="N159" s="136">
        <v>796.71853999999905</v>
      </c>
      <c r="O159" s="136">
        <v>2686.5349168799971</v>
      </c>
      <c r="P159" s="154">
        <v>5.3114569333333271E-2</v>
      </c>
      <c r="Q159" s="124">
        <v>47106</v>
      </c>
    </row>
    <row r="160" spans="1:17" ht="15" customHeight="1">
      <c r="A160" s="150">
        <v>313</v>
      </c>
      <c r="B160" s="150">
        <v>313</v>
      </c>
      <c r="C160" s="150" t="s">
        <v>1069</v>
      </c>
      <c r="D160" s="150" t="s">
        <v>2697</v>
      </c>
      <c r="E160" s="151"/>
      <c r="F160" s="27"/>
      <c r="G160" s="152" t="s">
        <v>2301</v>
      </c>
      <c r="H160" s="27">
        <v>62011333</v>
      </c>
      <c r="I160" s="150" t="s">
        <v>311</v>
      </c>
      <c r="J160" s="153" t="s">
        <v>1222</v>
      </c>
      <c r="K160" s="124">
        <v>43345</v>
      </c>
      <c r="L160" s="155">
        <v>12500</v>
      </c>
      <c r="M160" s="155">
        <v>45050</v>
      </c>
      <c r="N160" s="136">
        <v>0</v>
      </c>
      <c r="O160" s="136">
        <v>0</v>
      </c>
      <c r="P160" s="154">
        <v>0</v>
      </c>
      <c r="Q160" s="124">
        <v>46998</v>
      </c>
    </row>
    <row r="161" spans="1:17" ht="15" customHeight="1">
      <c r="A161" s="150">
        <v>313</v>
      </c>
      <c r="B161" s="150">
        <v>313</v>
      </c>
      <c r="C161" s="150" t="s">
        <v>1069</v>
      </c>
      <c r="D161" s="150" t="s">
        <v>2718</v>
      </c>
      <c r="E161" s="151"/>
      <c r="F161" s="27"/>
      <c r="G161" s="152" t="s">
        <v>2719</v>
      </c>
      <c r="H161" s="27">
        <v>62011353</v>
      </c>
      <c r="I161" s="150" t="s">
        <v>311</v>
      </c>
      <c r="J161" s="153" t="s">
        <v>1222</v>
      </c>
      <c r="K161" s="124">
        <v>43525</v>
      </c>
      <c r="L161" s="155">
        <v>10000</v>
      </c>
      <c r="M161" s="155">
        <v>36240</v>
      </c>
      <c r="N161" s="136">
        <v>10000</v>
      </c>
      <c r="O161" s="136">
        <v>33720</v>
      </c>
      <c r="P161" s="154">
        <v>1</v>
      </c>
      <c r="Q161" s="124">
        <v>46082</v>
      </c>
    </row>
    <row r="162" spans="1:17" ht="15" customHeight="1">
      <c r="A162" s="150">
        <v>313</v>
      </c>
      <c r="B162" s="150">
        <v>313</v>
      </c>
      <c r="C162" s="150" t="s">
        <v>1069</v>
      </c>
      <c r="D162" s="150" t="s">
        <v>2686</v>
      </c>
      <c r="E162" s="151"/>
      <c r="F162" s="27"/>
      <c r="G162" s="152" t="s">
        <v>2137</v>
      </c>
      <c r="H162" s="27">
        <v>62010088</v>
      </c>
      <c r="I162" s="150" t="s">
        <v>311</v>
      </c>
      <c r="J162" s="153" t="s">
        <v>1222</v>
      </c>
      <c r="K162" s="124">
        <v>43252</v>
      </c>
      <c r="L162" s="155">
        <v>500</v>
      </c>
      <c r="M162" s="155">
        <v>1782.5</v>
      </c>
      <c r="N162" s="136">
        <v>0</v>
      </c>
      <c r="O162" s="136">
        <v>0</v>
      </c>
      <c r="P162" s="154">
        <v>0</v>
      </c>
      <c r="Q162" s="124">
        <v>46905</v>
      </c>
    </row>
    <row r="163" spans="1:17" ht="15" customHeight="1">
      <c r="A163" s="150">
        <v>313</v>
      </c>
      <c r="B163" s="150">
        <v>313</v>
      </c>
      <c r="C163" s="150" t="s">
        <v>1069</v>
      </c>
      <c r="D163" s="159" t="s">
        <v>2171</v>
      </c>
      <c r="E163" s="120"/>
      <c r="F163" s="27"/>
      <c r="G163" s="152" t="s">
        <v>2171</v>
      </c>
      <c r="H163" s="27">
        <v>62012075</v>
      </c>
      <c r="I163" s="150" t="s">
        <v>311</v>
      </c>
      <c r="J163" s="153" t="s">
        <v>1212</v>
      </c>
      <c r="K163" s="124">
        <v>43556</v>
      </c>
      <c r="L163" s="155">
        <v>13800</v>
      </c>
      <c r="M163" s="155">
        <v>37457.339999999997</v>
      </c>
      <c r="N163" s="136">
        <v>5522.4301500000001</v>
      </c>
      <c r="O163" s="136">
        <v>13626.044152110002</v>
      </c>
      <c r="P163" s="154">
        <v>0.40017609782608698</v>
      </c>
      <c r="Q163" s="124">
        <v>45383</v>
      </c>
    </row>
    <row r="164" spans="1:17" ht="15" customHeight="1">
      <c r="A164" s="150">
        <v>313</v>
      </c>
      <c r="B164" s="150">
        <v>313</v>
      </c>
      <c r="C164" s="150" t="s">
        <v>1069</v>
      </c>
      <c r="D164" s="150" t="s">
        <v>2147</v>
      </c>
      <c r="E164" s="151"/>
      <c r="F164" s="27"/>
      <c r="G164" s="152" t="s">
        <v>2144</v>
      </c>
      <c r="H164" s="27">
        <v>62012257</v>
      </c>
      <c r="I164" s="150" t="s">
        <v>311</v>
      </c>
      <c r="J164" s="153" t="s">
        <v>1222</v>
      </c>
      <c r="K164" s="124">
        <v>43525</v>
      </c>
      <c r="L164" s="155">
        <v>8300</v>
      </c>
      <c r="M164" s="155">
        <v>30079.200000000001</v>
      </c>
      <c r="N164" s="136">
        <v>1220.7224299999998</v>
      </c>
      <c r="O164" s="136">
        <v>4116.276033959999</v>
      </c>
      <c r="P164" s="154">
        <v>0.14707499156626502</v>
      </c>
      <c r="Q164" s="124">
        <v>47543</v>
      </c>
    </row>
    <row r="165" spans="1:17" ht="15" customHeight="1">
      <c r="A165" s="150">
        <v>313</v>
      </c>
      <c r="B165" s="150">
        <v>313</v>
      </c>
      <c r="C165" s="150" t="s">
        <v>1069</v>
      </c>
      <c r="D165" s="150" t="s">
        <v>2036</v>
      </c>
      <c r="E165" s="151"/>
      <c r="F165" s="27"/>
      <c r="G165" s="152" t="s">
        <v>2154</v>
      </c>
      <c r="H165" s="27">
        <v>62010083</v>
      </c>
      <c r="I165" s="150" t="s">
        <v>311</v>
      </c>
      <c r="J165" s="153" t="s">
        <v>1222</v>
      </c>
      <c r="K165" s="124">
        <v>43485</v>
      </c>
      <c r="L165" s="155">
        <v>18845</v>
      </c>
      <c r="M165" s="155">
        <v>69575.740000000005</v>
      </c>
      <c r="N165" s="136">
        <v>3102.7339999999999</v>
      </c>
      <c r="O165" s="136">
        <v>10462.419048</v>
      </c>
      <c r="P165" s="154">
        <v>0.16464494560891482</v>
      </c>
      <c r="Q165" s="124">
        <v>46407</v>
      </c>
    </row>
    <row r="166" spans="1:17" ht="15" customHeight="1">
      <c r="A166" s="150">
        <v>313</v>
      </c>
      <c r="B166" s="150">
        <v>313</v>
      </c>
      <c r="C166" s="150" t="s">
        <v>1069</v>
      </c>
      <c r="D166" s="150" t="s">
        <v>2720</v>
      </c>
      <c r="E166" s="151"/>
      <c r="F166" s="27"/>
      <c r="G166" s="152" t="s">
        <v>2720</v>
      </c>
      <c r="H166" s="27">
        <v>62013073</v>
      </c>
      <c r="I166" s="150" t="s">
        <v>311</v>
      </c>
      <c r="J166" s="153" t="s">
        <v>1222</v>
      </c>
      <c r="K166" s="124">
        <v>43617</v>
      </c>
      <c r="L166" s="155">
        <v>9200</v>
      </c>
      <c r="M166" s="155">
        <v>33432.800000000003</v>
      </c>
      <c r="N166" s="136">
        <v>0</v>
      </c>
      <c r="O166" s="136">
        <v>0</v>
      </c>
      <c r="P166" s="154">
        <v>0</v>
      </c>
      <c r="Q166" s="124">
        <v>46174</v>
      </c>
    </row>
    <row r="167" spans="1:17" ht="15" customHeight="1">
      <c r="A167" s="150">
        <v>313</v>
      </c>
      <c r="B167" s="150">
        <v>313</v>
      </c>
      <c r="C167" s="150" t="s">
        <v>1069</v>
      </c>
      <c r="D167" s="150" t="s">
        <v>2664</v>
      </c>
      <c r="E167" s="151"/>
      <c r="F167" s="27"/>
      <c r="G167" s="152" t="s">
        <v>2581</v>
      </c>
      <c r="H167" s="27">
        <v>62013594</v>
      </c>
      <c r="I167" s="150" t="s">
        <v>311</v>
      </c>
      <c r="J167" s="153" t="s">
        <v>1222</v>
      </c>
      <c r="K167" s="124">
        <v>43654</v>
      </c>
      <c r="L167" s="155">
        <v>9000</v>
      </c>
      <c r="M167" s="155">
        <v>32157</v>
      </c>
      <c r="N167" s="136">
        <v>331.38200000000001</v>
      </c>
      <c r="O167" s="136">
        <v>1117.420104</v>
      </c>
      <c r="P167" s="154">
        <v>3.6820222222222219E-2</v>
      </c>
      <c r="Q167" s="124">
        <v>47307</v>
      </c>
    </row>
    <row r="168" spans="1:17" ht="15" customHeight="1">
      <c r="A168" s="150">
        <v>313</v>
      </c>
      <c r="B168" s="150">
        <v>313</v>
      </c>
      <c r="C168" s="150" t="s">
        <v>1069</v>
      </c>
      <c r="D168" s="150" t="s">
        <v>2667</v>
      </c>
      <c r="E168" s="151"/>
      <c r="F168" s="27"/>
      <c r="G168" s="152" t="s">
        <v>2249</v>
      </c>
      <c r="H168" s="27">
        <v>62013578</v>
      </c>
      <c r="I168" s="150" t="s">
        <v>311</v>
      </c>
      <c r="J168" s="153" t="s">
        <v>1222</v>
      </c>
      <c r="K168" s="124">
        <v>43646</v>
      </c>
      <c r="L168" s="155">
        <v>10000</v>
      </c>
      <c r="M168" s="155">
        <v>35660</v>
      </c>
      <c r="N168" s="136">
        <v>3849.7793799999999</v>
      </c>
      <c r="O168" s="136">
        <v>12981.45606936</v>
      </c>
      <c r="P168" s="154">
        <v>0.38497793800000002</v>
      </c>
      <c r="Q168" s="124">
        <v>47299</v>
      </c>
    </row>
    <row r="169" spans="1:17" ht="15" customHeight="1">
      <c r="A169" s="150">
        <v>313</v>
      </c>
      <c r="B169" s="150">
        <v>313</v>
      </c>
      <c r="C169" s="150" t="s">
        <v>1069</v>
      </c>
      <c r="D169" s="150" t="s">
        <v>2707</v>
      </c>
      <c r="E169" s="151"/>
      <c r="F169" s="27"/>
      <c r="G169" s="152" t="s">
        <v>2242</v>
      </c>
      <c r="H169" s="27">
        <v>62013586</v>
      </c>
      <c r="I169" s="150" t="s">
        <v>311</v>
      </c>
      <c r="J169" s="153" t="s">
        <v>1215</v>
      </c>
      <c r="K169" s="124">
        <v>43592</v>
      </c>
      <c r="L169" s="155">
        <v>7000</v>
      </c>
      <c r="M169" s="155">
        <v>28104.3</v>
      </c>
      <c r="N169" s="136">
        <v>0</v>
      </c>
      <c r="O169" s="136">
        <v>0</v>
      </c>
      <c r="P169" s="154">
        <v>0</v>
      </c>
      <c r="Q169" s="124">
        <v>47245</v>
      </c>
    </row>
    <row r="170" spans="1:17" ht="15" customHeight="1">
      <c r="A170" s="150">
        <v>313</v>
      </c>
      <c r="B170" s="150">
        <v>313</v>
      </c>
      <c r="C170" s="150" t="s">
        <v>1069</v>
      </c>
      <c r="D170" s="150" t="s">
        <v>2107</v>
      </c>
      <c r="E170" s="151"/>
      <c r="F170" s="27"/>
      <c r="G170" s="152" t="s">
        <v>2577</v>
      </c>
      <c r="H170" s="27">
        <v>62013610</v>
      </c>
      <c r="I170" s="150" t="s">
        <v>311</v>
      </c>
      <c r="J170" s="153" t="s">
        <v>1215</v>
      </c>
      <c r="K170" s="124">
        <v>43621</v>
      </c>
      <c r="L170" s="155">
        <v>5200</v>
      </c>
      <c r="M170" s="155">
        <v>21132.799999999999</v>
      </c>
      <c r="N170" s="136">
        <v>192.27699999999999</v>
      </c>
      <c r="O170" s="136">
        <v>760.49399040000003</v>
      </c>
      <c r="P170" s="154">
        <v>3.6976346153846151E-2</v>
      </c>
      <c r="Q170" s="124">
        <v>47639</v>
      </c>
    </row>
    <row r="171" spans="1:17" ht="15" customHeight="1">
      <c r="A171" s="150">
        <v>313</v>
      </c>
      <c r="B171" s="150">
        <v>313</v>
      </c>
      <c r="C171" s="150" t="s">
        <v>1069</v>
      </c>
      <c r="D171" s="150" t="s">
        <v>2721</v>
      </c>
      <c r="E171" s="151"/>
      <c r="F171" s="27"/>
      <c r="G171" s="152" t="s">
        <v>2596</v>
      </c>
      <c r="H171" s="27">
        <v>62013560</v>
      </c>
      <c r="I171" s="150" t="s">
        <v>311</v>
      </c>
      <c r="J171" s="153" t="s">
        <v>1222</v>
      </c>
      <c r="K171" s="124">
        <v>43648</v>
      </c>
      <c r="L171" s="155">
        <v>8000</v>
      </c>
      <c r="M171" s="155">
        <v>28600</v>
      </c>
      <c r="N171" s="136">
        <v>1397.8679999999999</v>
      </c>
      <c r="O171" s="136">
        <v>4713.6108960000001</v>
      </c>
      <c r="P171" s="154">
        <v>0.17473349999999999</v>
      </c>
      <c r="Q171" s="124">
        <v>47301</v>
      </c>
    </row>
    <row r="172" spans="1:17" ht="15" customHeight="1">
      <c r="A172" s="150">
        <v>313</v>
      </c>
      <c r="B172" s="150">
        <v>313</v>
      </c>
      <c r="C172" s="150" t="s">
        <v>1069</v>
      </c>
      <c r="D172" s="150" t="s">
        <v>2132</v>
      </c>
      <c r="E172" s="151"/>
      <c r="F172" s="27"/>
      <c r="G172" s="152" t="s">
        <v>2591</v>
      </c>
      <c r="H172" s="27">
        <v>62013524</v>
      </c>
      <c r="I172" s="150" t="s">
        <v>311</v>
      </c>
      <c r="J172" s="153" t="s">
        <v>1222</v>
      </c>
      <c r="K172" s="124">
        <v>43647</v>
      </c>
      <c r="L172" s="155">
        <v>18200</v>
      </c>
      <c r="M172" s="155">
        <v>65046.8</v>
      </c>
      <c r="N172" s="136">
        <v>1264.5070000000001</v>
      </c>
      <c r="O172" s="136">
        <v>4263.9176040000002</v>
      </c>
      <c r="P172" s="154">
        <v>6.9478406593406594E-2</v>
      </c>
      <c r="Q172" s="124">
        <v>45408</v>
      </c>
    </row>
    <row r="173" spans="1:17" ht="15" customHeight="1">
      <c r="A173" s="150">
        <v>313</v>
      </c>
      <c r="B173" s="150">
        <v>313</v>
      </c>
      <c r="C173" s="150" t="s">
        <v>1069</v>
      </c>
      <c r="D173" s="150" t="s">
        <v>2194</v>
      </c>
      <c r="E173" s="151"/>
      <c r="F173" s="27"/>
      <c r="G173" s="152" t="s">
        <v>2195</v>
      </c>
      <c r="H173" s="27">
        <v>62013817</v>
      </c>
      <c r="I173" s="150" t="s">
        <v>311</v>
      </c>
      <c r="J173" s="153" t="s">
        <v>1222</v>
      </c>
      <c r="K173" s="124">
        <v>43560</v>
      </c>
      <c r="L173" s="155">
        <v>4200</v>
      </c>
      <c r="M173" s="155">
        <v>15065.4</v>
      </c>
      <c r="N173" s="136">
        <v>0</v>
      </c>
      <c r="O173" s="136">
        <v>0</v>
      </c>
      <c r="P173" s="154">
        <v>0</v>
      </c>
      <c r="Q173" s="124">
        <v>47578</v>
      </c>
    </row>
    <row r="174" spans="1:17" ht="15" customHeight="1">
      <c r="A174" s="150">
        <v>313</v>
      </c>
      <c r="B174" s="150">
        <v>313</v>
      </c>
      <c r="C174" s="150" t="s">
        <v>1069</v>
      </c>
      <c r="D174" s="150" t="s">
        <v>2691</v>
      </c>
      <c r="E174" s="151"/>
      <c r="F174" s="27"/>
      <c r="G174" s="152" t="s">
        <v>2209</v>
      </c>
      <c r="H174" s="27">
        <v>62013572</v>
      </c>
      <c r="I174" s="150" t="s">
        <v>311</v>
      </c>
      <c r="J174" s="153" t="s">
        <v>1222</v>
      </c>
      <c r="K174" s="124">
        <v>43553</v>
      </c>
      <c r="L174" s="155">
        <v>3150</v>
      </c>
      <c r="M174" s="155">
        <v>11440.8</v>
      </c>
      <c r="N174" s="136">
        <v>0</v>
      </c>
      <c r="O174" s="136">
        <v>0</v>
      </c>
      <c r="P174" s="154">
        <v>0</v>
      </c>
      <c r="Q174" s="124">
        <v>47206</v>
      </c>
    </row>
    <row r="175" spans="1:17" ht="15" customHeight="1">
      <c r="A175" s="150">
        <v>313</v>
      </c>
      <c r="B175" s="150">
        <v>313</v>
      </c>
      <c r="C175" s="150" t="s">
        <v>1069</v>
      </c>
      <c r="D175" s="150" t="s">
        <v>2722</v>
      </c>
      <c r="E175" s="151"/>
      <c r="F175" s="27"/>
      <c r="G175" s="152" t="s">
        <v>2278</v>
      </c>
      <c r="H175" s="27">
        <v>62013926</v>
      </c>
      <c r="I175" s="150" t="s">
        <v>311</v>
      </c>
      <c r="J175" s="153" t="s">
        <v>1222</v>
      </c>
      <c r="K175" s="124">
        <v>43748</v>
      </c>
      <c r="L175" s="155">
        <v>4200</v>
      </c>
      <c r="M175" s="155">
        <v>14716.8</v>
      </c>
      <c r="N175" s="136">
        <v>502.28699000000023</v>
      </c>
      <c r="O175" s="136">
        <v>1693.7117302800007</v>
      </c>
      <c r="P175" s="154">
        <v>0.11959214047619053</v>
      </c>
      <c r="Q175" s="124">
        <v>47573</v>
      </c>
    </row>
    <row r="176" spans="1:17" ht="15" customHeight="1">
      <c r="A176" s="150">
        <v>313</v>
      </c>
      <c r="B176" s="150">
        <v>313</v>
      </c>
      <c r="C176" s="150" t="s">
        <v>1069</v>
      </c>
      <c r="D176" s="150" t="s">
        <v>2483</v>
      </c>
      <c r="E176" s="151"/>
      <c r="F176" s="27"/>
      <c r="G176" s="152" t="s">
        <v>2526</v>
      </c>
      <c r="H176" s="27">
        <v>62013934</v>
      </c>
      <c r="I176" s="150" t="s">
        <v>311</v>
      </c>
      <c r="J176" s="153" t="s">
        <v>1222</v>
      </c>
      <c r="K176" s="124">
        <v>43768</v>
      </c>
      <c r="L176" s="155">
        <v>2100</v>
      </c>
      <c r="M176" s="155">
        <v>7408.8</v>
      </c>
      <c r="N176" s="136">
        <v>13.779310000000056</v>
      </c>
      <c r="O176" s="136">
        <v>46.463833320000184</v>
      </c>
      <c r="P176" s="154">
        <v>6.5615761904762168E-3</v>
      </c>
      <c r="Q176" s="124">
        <v>47421</v>
      </c>
    </row>
    <row r="177" spans="1:17" ht="15" customHeight="1">
      <c r="A177" s="150">
        <v>313</v>
      </c>
      <c r="B177" s="150">
        <v>313</v>
      </c>
      <c r="C177" s="150" t="s">
        <v>1069</v>
      </c>
      <c r="D177" s="150" t="s">
        <v>2676</v>
      </c>
      <c r="E177" s="151"/>
      <c r="F177" s="27"/>
      <c r="G177" s="152" t="s">
        <v>2268</v>
      </c>
      <c r="H177" s="27">
        <v>62013937</v>
      </c>
      <c r="I177" s="150" t="s">
        <v>311</v>
      </c>
      <c r="J177" s="153" t="s">
        <v>1222</v>
      </c>
      <c r="K177" s="124">
        <v>43251</v>
      </c>
      <c r="L177" s="155">
        <v>3000</v>
      </c>
      <c r="M177" s="155">
        <v>10698</v>
      </c>
      <c r="N177" s="136">
        <v>1144.33</v>
      </c>
      <c r="O177" s="136">
        <v>3858.6807599999997</v>
      </c>
      <c r="P177" s="154">
        <v>0.3814433333333333</v>
      </c>
      <c r="Q177" s="124">
        <v>46891</v>
      </c>
    </row>
    <row r="178" spans="1:17" ht="15" customHeight="1">
      <c r="A178" s="150">
        <v>313</v>
      </c>
      <c r="B178" s="150">
        <v>313</v>
      </c>
      <c r="C178" s="150" t="s">
        <v>1069</v>
      </c>
      <c r="D178" s="150" t="s">
        <v>2681</v>
      </c>
      <c r="E178" s="151"/>
      <c r="F178" s="27"/>
      <c r="G178" s="152" t="s">
        <v>2294</v>
      </c>
      <c r="H178" s="27">
        <v>62013940</v>
      </c>
      <c r="I178" s="150" t="s">
        <v>311</v>
      </c>
      <c r="J178" s="153" t="s">
        <v>1222</v>
      </c>
      <c r="K178" s="124">
        <v>43796</v>
      </c>
      <c r="L178" s="155">
        <v>1400</v>
      </c>
      <c r="M178" s="155">
        <v>4859.3999999999996</v>
      </c>
      <c r="N178" s="136">
        <v>197.6086499999999</v>
      </c>
      <c r="O178" s="136">
        <v>666.33636779999961</v>
      </c>
      <c r="P178" s="154">
        <v>0.14114903571428564</v>
      </c>
      <c r="Q178" s="124">
        <v>46718</v>
      </c>
    </row>
    <row r="179" spans="1:17" ht="15" customHeight="1">
      <c r="A179" s="150">
        <v>313</v>
      </c>
      <c r="B179" s="150">
        <v>313</v>
      </c>
      <c r="C179" s="150" t="s">
        <v>1069</v>
      </c>
      <c r="D179" s="150" t="s">
        <v>2708</v>
      </c>
      <c r="E179" s="151"/>
      <c r="F179" s="27"/>
      <c r="G179" s="152" t="s">
        <v>2234</v>
      </c>
      <c r="H179" s="27">
        <v>62013941</v>
      </c>
      <c r="I179" s="150" t="s">
        <v>311</v>
      </c>
      <c r="J179" s="153" t="s">
        <v>2723</v>
      </c>
      <c r="K179" s="124">
        <v>43796</v>
      </c>
      <c r="L179" s="155">
        <v>182367.2</v>
      </c>
      <c r="M179" s="155">
        <v>579982.40616000001</v>
      </c>
      <c r="N179" s="136">
        <v>0</v>
      </c>
      <c r="O179" s="136">
        <v>0</v>
      </c>
      <c r="P179" s="154">
        <v>0</v>
      </c>
      <c r="Q179" s="124">
        <v>47449</v>
      </c>
    </row>
    <row r="180" spans="1:17" ht="15" customHeight="1">
      <c r="A180" s="150">
        <v>313</v>
      </c>
      <c r="B180" s="150">
        <v>313</v>
      </c>
      <c r="C180" s="150" t="s">
        <v>1069</v>
      </c>
      <c r="D180" s="150" t="s">
        <v>2708</v>
      </c>
      <c r="E180" s="151"/>
      <c r="F180" s="27"/>
      <c r="G180" s="152" t="s">
        <v>2724</v>
      </c>
      <c r="H180" s="27">
        <v>62013951</v>
      </c>
      <c r="I180" s="150" t="s">
        <v>311</v>
      </c>
      <c r="J180" s="153" t="s">
        <v>2723</v>
      </c>
      <c r="K180" s="124">
        <v>43796</v>
      </c>
      <c r="L180" s="155">
        <v>45591.8</v>
      </c>
      <c r="M180" s="155">
        <v>144995.60154</v>
      </c>
      <c r="N180" s="136">
        <v>4761.4570000000003</v>
      </c>
      <c r="O180" s="136">
        <v>111.270488633</v>
      </c>
      <c r="P180" s="154">
        <v>0.10443669694989011</v>
      </c>
      <c r="Q180" s="124">
        <v>47449</v>
      </c>
    </row>
    <row r="181" spans="1:17" ht="15" customHeight="1">
      <c r="A181" s="150">
        <v>313</v>
      </c>
      <c r="B181" s="150">
        <v>313</v>
      </c>
      <c r="C181" s="150" t="s">
        <v>1069</v>
      </c>
      <c r="D181" s="150" t="s">
        <v>2682</v>
      </c>
      <c r="E181" s="151"/>
      <c r="F181" s="27"/>
      <c r="G181" s="152" t="s">
        <v>2566</v>
      </c>
      <c r="H181" s="27">
        <v>62015862</v>
      </c>
      <c r="I181" s="150" t="s">
        <v>311</v>
      </c>
      <c r="J181" s="153" t="s">
        <v>1222</v>
      </c>
      <c r="K181" s="124">
        <v>43845</v>
      </c>
      <c r="L181" s="155">
        <v>6095.2380999999996</v>
      </c>
      <c r="M181" s="155">
        <v>21083.428587899998</v>
      </c>
      <c r="N181" s="136">
        <v>166.51669999999925</v>
      </c>
      <c r="O181" s="136">
        <v>561.49431239999751</v>
      </c>
      <c r="P181" s="154">
        <v>2.7319146072406795E-2</v>
      </c>
      <c r="Q181" s="124">
        <v>47498</v>
      </c>
    </row>
    <row r="182" spans="1:17" ht="15" customHeight="1">
      <c r="A182" s="150">
        <v>313</v>
      </c>
      <c r="B182" s="150">
        <v>313</v>
      </c>
      <c r="C182" s="150" t="s">
        <v>1069</v>
      </c>
      <c r="D182" s="150" t="s">
        <v>2495</v>
      </c>
      <c r="E182" s="151"/>
      <c r="F182" s="27"/>
      <c r="G182" s="152" t="s">
        <v>2312</v>
      </c>
      <c r="H182" s="27">
        <v>62013957</v>
      </c>
      <c r="I182" s="150" t="s">
        <v>311</v>
      </c>
      <c r="J182" s="153" t="s">
        <v>1222</v>
      </c>
      <c r="K182" s="124">
        <v>43874</v>
      </c>
      <c r="L182" s="155">
        <v>13800</v>
      </c>
      <c r="M182" s="155">
        <v>47347.8</v>
      </c>
      <c r="N182" s="136">
        <v>3291.4301400000004</v>
      </c>
      <c r="O182" s="136">
        <v>11098.702432080003</v>
      </c>
      <c r="P182" s="154">
        <v>0.23850943043478265</v>
      </c>
      <c r="Q182" s="124">
        <v>46066</v>
      </c>
    </row>
    <row r="183" spans="1:17" ht="15" customHeight="1">
      <c r="A183" s="150">
        <v>313</v>
      </c>
      <c r="B183" s="150">
        <v>313</v>
      </c>
      <c r="C183" s="150" t="s">
        <v>1069</v>
      </c>
      <c r="D183" s="150" t="s">
        <v>2703</v>
      </c>
      <c r="E183" s="151"/>
      <c r="F183" s="27"/>
      <c r="G183" s="152" t="s">
        <v>2461</v>
      </c>
      <c r="H183" s="27">
        <v>60418481</v>
      </c>
      <c r="I183" s="150" t="s">
        <v>311</v>
      </c>
      <c r="J183" s="153" t="s">
        <v>1222</v>
      </c>
      <c r="K183" s="124">
        <v>43921</v>
      </c>
      <c r="L183" s="155">
        <v>2100</v>
      </c>
      <c r="M183" s="155">
        <v>7486.5</v>
      </c>
      <c r="N183" s="136">
        <v>235.25</v>
      </c>
      <c r="O183" s="136">
        <v>793.26300000000003</v>
      </c>
      <c r="P183" s="154">
        <v>0.11202380952380953</v>
      </c>
      <c r="Q183" s="124">
        <v>47573</v>
      </c>
    </row>
    <row r="184" spans="1:17" ht="15" customHeight="1">
      <c r="A184" s="150">
        <v>313</v>
      </c>
      <c r="B184" s="150">
        <v>313</v>
      </c>
      <c r="C184" s="150" t="s">
        <v>1069</v>
      </c>
      <c r="D184" s="150" t="s">
        <v>2710</v>
      </c>
      <c r="E184" s="151"/>
      <c r="F184" s="27"/>
      <c r="G184" s="152" t="s">
        <v>2414</v>
      </c>
      <c r="H184" s="27">
        <v>62016597</v>
      </c>
      <c r="I184" s="150" t="s">
        <v>311</v>
      </c>
      <c r="J184" s="153" t="s">
        <v>1215</v>
      </c>
      <c r="K184" s="124">
        <v>43952</v>
      </c>
      <c r="L184" s="155">
        <v>12500</v>
      </c>
      <c r="M184" s="155">
        <v>47885</v>
      </c>
      <c r="N184" s="136">
        <v>510.82082000000031</v>
      </c>
      <c r="O184" s="136">
        <v>2020.3985072640012</v>
      </c>
      <c r="P184" s="154">
        <v>4.0865665600000024E-2</v>
      </c>
      <c r="Q184" s="124">
        <v>47604</v>
      </c>
    </row>
    <row r="185" spans="1:17" ht="15" customHeight="1">
      <c r="A185" s="150">
        <v>313</v>
      </c>
      <c r="B185" s="150">
        <v>313</v>
      </c>
      <c r="C185" s="150" t="s">
        <v>1069</v>
      </c>
      <c r="D185" s="150" t="s">
        <v>2725</v>
      </c>
      <c r="E185" s="151"/>
      <c r="F185" s="27"/>
      <c r="G185" s="152" t="s">
        <v>2477</v>
      </c>
      <c r="H185" s="27">
        <v>62015840</v>
      </c>
      <c r="I185" s="150" t="s">
        <v>311</v>
      </c>
      <c r="J185" s="153" t="s">
        <v>1215</v>
      </c>
      <c r="K185" s="124">
        <v>43923</v>
      </c>
      <c r="L185" s="155">
        <v>1820</v>
      </c>
      <c r="M185" s="155">
        <v>7220.85</v>
      </c>
      <c r="N185" s="136">
        <v>147.6598799999999</v>
      </c>
      <c r="O185" s="136">
        <v>584.02435737599956</v>
      </c>
      <c r="P185" s="154">
        <v>8.1131802197802139E-2</v>
      </c>
      <c r="Q185" s="124">
        <v>47574</v>
      </c>
    </row>
    <row r="186" spans="1:17" ht="15" customHeight="1">
      <c r="A186" s="150">
        <v>313</v>
      </c>
      <c r="B186" s="150">
        <v>313</v>
      </c>
      <c r="C186" s="150" t="s">
        <v>1069</v>
      </c>
      <c r="D186" s="150" t="s">
        <v>2726</v>
      </c>
      <c r="E186" s="151"/>
      <c r="F186" s="27"/>
      <c r="G186" s="152" t="s">
        <v>2244</v>
      </c>
      <c r="H186" s="27">
        <v>62017181</v>
      </c>
      <c r="I186" s="150" t="s">
        <v>311</v>
      </c>
      <c r="J186" s="153" t="s">
        <v>1222</v>
      </c>
      <c r="K186" s="124">
        <v>44014</v>
      </c>
      <c r="L186" s="155">
        <v>18000</v>
      </c>
      <c r="M186" s="155">
        <v>62064</v>
      </c>
      <c r="N186" s="136">
        <v>385.23526000000163</v>
      </c>
      <c r="O186" s="136">
        <v>1299.0132967200057</v>
      </c>
      <c r="P186" s="154">
        <v>2.1401958888888978E-2</v>
      </c>
      <c r="Q186" s="124">
        <v>49492</v>
      </c>
    </row>
    <row r="187" spans="1:17" ht="15" customHeight="1">
      <c r="A187" s="150">
        <v>313</v>
      </c>
      <c r="B187" s="150">
        <v>313</v>
      </c>
      <c r="C187" s="150" t="s">
        <v>1069</v>
      </c>
      <c r="D187" s="150" t="s">
        <v>2435</v>
      </c>
      <c r="E187" s="151"/>
      <c r="F187" s="27"/>
      <c r="G187" s="152" t="s">
        <v>2727</v>
      </c>
      <c r="H187" s="27">
        <v>9840573</v>
      </c>
      <c r="I187" s="150" t="s">
        <v>311</v>
      </c>
      <c r="J187" s="153" t="s">
        <v>1222</v>
      </c>
      <c r="K187" s="124">
        <v>43830</v>
      </c>
      <c r="L187" s="155">
        <v>15400</v>
      </c>
      <c r="M187" s="155">
        <v>53222.400000000001</v>
      </c>
      <c r="N187" s="136">
        <v>1263.5</v>
      </c>
      <c r="O187" s="136">
        <v>4260.5219999999999</v>
      </c>
      <c r="P187" s="154">
        <v>8.2045454545454546E-2</v>
      </c>
      <c r="Q187" s="124">
        <v>47483</v>
      </c>
    </row>
    <row r="188" spans="1:17" ht="15" customHeight="1">
      <c r="A188" s="150">
        <v>313</v>
      </c>
      <c r="B188" s="150">
        <v>313</v>
      </c>
      <c r="C188" s="150" t="s">
        <v>1069</v>
      </c>
      <c r="D188" s="150" t="s">
        <v>2728</v>
      </c>
      <c r="E188" s="151"/>
      <c r="F188" s="27"/>
      <c r="G188" s="152" t="s">
        <v>2486</v>
      </c>
      <c r="H188" s="27">
        <v>62015841</v>
      </c>
      <c r="I188" s="150" t="s">
        <v>311</v>
      </c>
      <c r="J188" s="153" t="s">
        <v>1215</v>
      </c>
      <c r="K188" s="124">
        <v>43952</v>
      </c>
      <c r="L188" s="155">
        <v>1680</v>
      </c>
      <c r="M188" s="155">
        <v>6435.7439999999997</v>
      </c>
      <c r="N188" s="136">
        <v>101.44649</v>
      </c>
      <c r="O188" s="136">
        <v>401.24115724799998</v>
      </c>
      <c r="P188" s="154">
        <v>6.0384815476190477E-2</v>
      </c>
      <c r="Q188" s="124">
        <v>47604</v>
      </c>
    </row>
    <row r="189" spans="1:17" ht="15" customHeight="1">
      <c r="A189" s="150">
        <v>313</v>
      </c>
      <c r="B189" s="150">
        <v>313</v>
      </c>
      <c r="C189" s="150" t="s">
        <v>1069</v>
      </c>
      <c r="D189" s="150" t="s">
        <v>2435</v>
      </c>
      <c r="E189" s="151"/>
      <c r="F189" s="27"/>
      <c r="G189" s="152" t="s">
        <v>2499</v>
      </c>
      <c r="H189" s="27">
        <v>62017504</v>
      </c>
      <c r="I189" s="150" t="s">
        <v>311</v>
      </c>
      <c r="J189" s="153" t="s">
        <v>1222</v>
      </c>
      <c r="K189" s="124">
        <v>44075</v>
      </c>
      <c r="L189" s="155">
        <v>7714</v>
      </c>
      <c r="M189" s="155">
        <v>25865.042000000001</v>
      </c>
      <c r="N189" s="136">
        <v>1465.66</v>
      </c>
      <c r="O189" s="136">
        <v>4942.2055199999995</v>
      </c>
      <c r="P189" s="154">
        <v>0.19</v>
      </c>
      <c r="Q189" s="124">
        <v>47727</v>
      </c>
    </row>
    <row r="190" spans="1:17" ht="15" customHeight="1">
      <c r="A190" s="150">
        <v>313</v>
      </c>
      <c r="B190" s="150">
        <v>313</v>
      </c>
      <c r="C190" s="150" t="s">
        <v>1069</v>
      </c>
      <c r="D190" s="150" t="s">
        <v>2397</v>
      </c>
      <c r="E190" s="151"/>
      <c r="F190" s="27"/>
      <c r="G190" s="152" t="s">
        <v>2336</v>
      </c>
      <c r="H190" s="27">
        <v>62005617</v>
      </c>
      <c r="I190" s="150" t="s">
        <v>311</v>
      </c>
      <c r="J190" s="153" t="s">
        <v>1215</v>
      </c>
      <c r="K190" s="124">
        <v>44105</v>
      </c>
      <c r="L190" s="155">
        <v>4500</v>
      </c>
      <c r="M190" s="155">
        <v>18108.900000000005</v>
      </c>
      <c r="N190" s="136">
        <v>122.50509999999963</v>
      </c>
      <c r="O190" s="136">
        <v>484.53217151999854</v>
      </c>
      <c r="P190" s="154">
        <v>2.7223355555555474E-2</v>
      </c>
      <c r="Q190" s="124">
        <v>47757</v>
      </c>
    </row>
    <row r="191" spans="1:17" ht="15" customHeight="1">
      <c r="A191" s="150">
        <v>313</v>
      </c>
      <c r="B191" s="150">
        <v>313</v>
      </c>
      <c r="C191" s="150" t="s">
        <v>1069</v>
      </c>
      <c r="D191" s="150" t="s">
        <v>2697</v>
      </c>
      <c r="E191" s="151"/>
      <c r="F191" s="27"/>
      <c r="G191" s="152" t="s">
        <v>2729</v>
      </c>
      <c r="H191" s="27">
        <v>60402626</v>
      </c>
      <c r="I191" s="150" t="s">
        <v>311</v>
      </c>
      <c r="J191" s="153" t="s">
        <v>1215</v>
      </c>
      <c r="K191" s="124">
        <v>42402</v>
      </c>
      <c r="L191" s="155">
        <v>17250</v>
      </c>
      <c r="M191" s="155">
        <v>74468.25</v>
      </c>
      <c r="N191" s="136">
        <v>0</v>
      </c>
      <c r="O191" s="136">
        <v>0</v>
      </c>
      <c r="P191" s="154">
        <v>0</v>
      </c>
      <c r="Q191" s="124">
        <v>46055</v>
      </c>
    </row>
    <row r="192" spans="1:17" ht="15" customHeight="1">
      <c r="A192" s="150">
        <v>313</v>
      </c>
      <c r="B192" s="150">
        <v>313</v>
      </c>
      <c r="C192" s="150" t="s">
        <v>1069</v>
      </c>
      <c r="D192" s="150" t="s">
        <v>2701</v>
      </c>
      <c r="E192" s="151"/>
      <c r="F192" s="27"/>
      <c r="G192" s="152" t="s">
        <v>2469</v>
      </c>
      <c r="H192" s="27">
        <v>62016258</v>
      </c>
      <c r="I192" s="150" t="s">
        <v>311</v>
      </c>
      <c r="J192" s="153" t="s">
        <v>1222</v>
      </c>
      <c r="K192" s="124">
        <v>43921</v>
      </c>
      <c r="L192" s="155">
        <v>8000</v>
      </c>
      <c r="M192" s="155">
        <v>28520</v>
      </c>
      <c r="N192" s="136">
        <v>1061.7629999999999</v>
      </c>
      <c r="O192" s="136">
        <v>3580.2648359999998</v>
      </c>
      <c r="P192" s="154">
        <v>0.132720375</v>
      </c>
      <c r="Q192" s="124">
        <v>45747</v>
      </c>
    </row>
    <row r="193" spans="1:17" ht="15" customHeight="1">
      <c r="A193" s="150">
        <v>313</v>
      </c>
      <c r="B193" s="150">
        <v>313</v>
      </c>
      <c r="C193" s="150" t="s">
        <v>1069</v>
      </c>
      <c r="D193" s="150" t="s">
        <v>2036</v>
      </c>
      <c r="E193" s="151"/>
      <c r="F193" s="27"/>
      <c r="G193" s="152" t="s">
        <v>2730</v>
      </c>
      <c r="H193" s="27">
        <v>62017751</v>
      </c>
      <c r="I193" s="150" t="s">
        <v>311</v>
      </c>
      <c r="J193" s="153" t="s">
        <v>1222</v>
      </c>
      <c r="K193" s="124">
        <v>44166</v>
      </c>
      <c r="L193" s="155">
        <v>9000</v>
      </c>
      <c r="M193" s="155">
        <v>29736</v>
      </c>
      <c r="N193" s="136">
        <v>810</v>
      </c>
      <c r="O193" s="136">
        <v>2731.32</v>
      </c>
      <c r="P193" s="154">
        <v>0.09</v>
      </c>
      <c r="Q193" s="124">
        <v>48914</v>
      </c>
    </row>
    <row r="194" spans="1:17" ht="15" customHeight="1">
      <c r="A194" s="150">
        <v>313</v>
      </c>
      <c r="B194" s="150">
        <v>313</v>
      </c>
      <c r="C194" s="150" t="s">
        <v>1069</v>
      </c>
      <c r="D194" s="150" t="s">
        <v>2036</v>
      </c>
      <c r="E194" s="151"/>
      <c r="F194" s="27"/>
      <c r="G194" s="152" t="s">
        <v>2731</v>
      </c>
      <c r="H194" s="27">
        <v>62017769</v>
      </c>
      <c r="I194" s="150" t="s">
        <v>311</v>
      </c>
      <c r="J194" s="153" t="s">
        <v>1222</v>
      </c>
      <c r="K194" s="124">
        <v>44166</v>
      </c>
      <c r="L194" s="155">
        <v>3500</v>
      </c>
      <c r="M194" s="155">
        <v>11564</v>
      </c>
      <c r="N194" s="136">
        <v>665</v>
      </c>
      <c r="O194" s="136">
        <v>2242.38</v>
      </c>
      <c r="P194" s="154">
        <v>0.19</v>
      </c>
      <c r="Q194" s="124">
        <v>48914</v>
      </c>
    </row>
    <row r="195" spans="1:17" ht="15" customHeight="1">
      <c r="A195" s="150">
        <v>313</v>
      </c>
      <c r="B195" s="150">
        <v>313</v>
      </c>
      <c r="C195" s="150" t="s">
        <v>1069</v>
      </c>
      <c r="D195" s="150" t="s">
        <v>2732</v>
      </c>
      <c r="E195" s="151"/>
      <c r="F195" s="27"/>
      <c r="G195" s="152" t="s">
        <v>2733</v>
      </c>
      <c r="H195" s="27">
        <v>60402627</v>
      </c>
      <c r="I195" s="150" t="s">
        <v>311</v>
      </c>
      <c r="J195" s="153" t="s">
        <v>1215</v>
      </c>
      <c r="K195" s="124">
        <v>44213</v>
      </c>
      <c r="L195" s="155">
        <v>9200</v>
      </c>
      <c r="M195" s="155">
        <v>36084.239999999998</v>
      </c>
      <c r="N195" s="136">
        <v>2951.576</v>
      </c>
      <c r="O195" s="136">
        <v>11674.073395199999</v>
      </c>
      <c r="P195" s="154">
        <v>0.32082347826086954</v>
      </c>
      <c r="Q195" s="124">
        <v>47135</v>
      </c>
    </row>
    <row r="196" spans="1:17" ht="15" customHeight="1">
      <c r="A196" s="150">
        <v>313</v>
      </c>
      <c r="B196" s="150">
        <v>313</v>
      </c>
      <c r="C196" s="150" t="s">
        <v>1069</v>
      </c>
      <c r="D196" s="150" t="s">
        <v>2720</v>
      </c>
      <c r="E196" s="151"/>
      <c r="F196" s="27"/>
      <c r="G196" s="152" t="s">
        <v>2488</v>
      </c>
      <c r="H196" s="27">
        <v>62017547</v>
      </c>
      <c r="I196" s="150" t="s">
        <v>311</v>
      </c>
      <c r="J196" s="153" t="s">
        <v>1222</v>
      </c>
      <c r="K196" s="124">
        <v>44105</v>
      </c>
      <c r="L196" s="155">
        <v>9200</v>
      </c>
      <c r="M196" s="155">
        <v>31528.400000000001</v>
      </c>
      <c r="N196" s="136">
        <v>0</v>
      </c>
      <c r="O196" s="136">
        <v>0</v>
      </c>
      <c r="P196" s="154">
        <v>0</v>
      </c>
      <c r="Q196" s="124">
        <v>45931</v>
      </c>
    </row>
    <row r="197" spans="1:17" ht="15" customHeight="1">
      <c r="A197" s="150">
        <v>313</v>
      </c>
      <c r="B197" s="150">
        <v>313</v>
      </c>
      <c r="C197" s="150" t="s">
        <v>1069</v>
      </c>
      <c r="D197" s="150" t="s">
        <v>2699</v>
      </c>
      <c r="E197" s="151"/>
      <c r="F197" s="27"/>
      <c r="G197" s="152" t="s">
        <v>2019</v>
      </c>
      <c r="H197" s="27">
        <v>62017272</v>
      </c>
      <c r="I197" s="150" t="s">
        <v>311</v>
      </c>
      <c r="J197" s="153" t="s">
        <v>1222</v>
      </c>
      <c r="K197" s="124">
        <v>44047</v>
      </c>
      <c r="L197" s="155">
        <v>12000</v>
      </c>
      <c r="M197" s="155">
        <v>41088</v>
      </c>
      <c r="N197" s="136">
        <v>1140.6969999999999</v>
      </c>
      <c r="O197" s="136">
        <v>3846.430284</v>
      </c>
      <c r="P197" s="154">
        <v>9.5058083333333321E-2</v>
      </c>
      <c r="Q197" s="124">
        <v>46969</v>
      </c>
    </row>
    <row r="198" spans="1:17" ht="15" customHeight="1">
      <c r="A198" s="150">
        <v>313</v>
      </c>
      <c r="B198" s="150">
        <v>313</v>
      </c>
      <c r="C198" s="150" t="s">
        <v>1069</v>
      </c>
      <c r="D198" s="150" t="s">
        <v>2688</v>
      </c>
      <c r="E198" s="151"/>
      <c r="F198" s="27"/>
      <c r="G198" s="152" t="s">
        <v>2203</v>
      </c>
      <c r="H198" s="27">
        <v>60391324</v>
      </c>
      <c r="I198" s="150" t="s">
        <v>311</v>
      </c>
      <c r="J198" s="153" t="s">
        <v>1225</v>
      </c>
      <c r="K198" s="124">
        <v>44105</v>
      </c>
      <c r="L198" s="155">
        <v>3348</v>
      </c>
      <c r="M198" s="155">
        <v>14719.147199999999</v>
      </c>
      <c r="N198" s="136">
        <v>310.30197000000021</v>
      </c>
      <c r="O198" s="136">
        <v>1434.7121884920009</v>
      </c>
      <c r="P198" s="154">
        <v>9.2682786738351314E-2</v>
      </c>
      <c r="Q198" s="124">
        <v>47757</v>
      </c>
    </row>
    <row r="199" spans="1:17" ht="15" customHeight="1">
      <c r="A199" s="150">
        <v>313</v>
      </c>
      <c r="B199" s="150">
        <v>313</v>
      </c>
      <c r="C199" s="150" t="s">
        <v>1069</v>
      </c>
      <c r="D199" s="150" t="s">
        <v>2658</v>
      </c>
      <c r="E199" s="120"/>
      <c r="F199" s="27"/>
      <c r="G199" s="152" t="s">
        <v>2734</v>
      </c>
      <c r="H199" s="27">
        <v>62009882</v>
      </c>
      <c r="I199" s="150" t="s">
        <v>311</v>
      </c>
      <c r="J199" s="153" t="s">
        <v>1222</v>
      </c>
      <c r="K199" s="124">
        <v>43398</v>
      </c>
      <c r="L199" s="155">
        <v>10000</v>
      </c>
      <c r="M199" s="155">
        <v>36930</v>
      </c>
      <c r="N199" s="136">
        <v>905</v>
      </c>
      <c r="O199" s="136">
        <v>3051.66</v>
      </c>
      <c r="P199" s="154">
        <v>9.0499999999999997E-2</v>
      </c>
      <c r="Q199" s="124">
        <v>47051</v>
      </c>
    </row>
    <row r="200" spans="1:17" ht="15" customHeight="1">
      <c r="A200" s="150">
        <v>313</v>
      </c>
      <c r="B200" s="150">
        <v>313</v>
      </c>
      <c r="C200" s="150" t="s">
        <v>1069</v>
      </c>
      <c r="D200" s="150" t="s">
        <v>2543</v>
      </c>
      <c r="E200" s="151"/>
      <c r="F200" s="27"/>
      <c r="G200" s="152" t="s">
        <v>2207</v>
      </c>
      <c r="H200" s="27">
        <v>62006615</v>
      </c>
      <c r="I200" s="150" t="s">
        <v>311</v>
      </c>
      <c r="J200" s="153" t="s">
        <v>1215</v>
      </c>
      <c r="K200" s="124">
        <v>44287</v>
      </c>
      <c r="L200" s="155">
        <v>4600</v>
      </c>
      <c r="M200" s="155">
        <v>17993.36</v>
      </c>
      <c r="N200" s="136">
        <v>153.75401999999954</v>
      </c>
      <c r="O200" s="136">
        <v>608.12789990399824</v>
      </c>
      <c r="P200" s="154">
        <v>3.3424786956521638E-2</v>
      </c>
      <c r="Q200" s="124">
        <v>46478</v>
      </c>
    </row>
    <row r="201" spans="1:17" ht="15" customHeight="1">
      <c r="A201" s="150">
        <v>313</v>
      </c>
      <c r="B201" s="150">
        <v>313</v>
      </c>
      <c r="C201" s="150" t="s">
        <v>1069</v>
      </c>
      <c r="D201" s="150" t="s">
        <v>2697</v>
      </c>
      <c r="E201" s="151"/>
      <c r="F201" s="27"/>
      <c r="G201" s="152" t="s">
        <v>2361</v>
      </c>
      <c r="H201" s="27">
        <v>62011337</v>
      </c>
      <c r="I201" s="150" t="s">
        <v>311</v>
      </c>
      <c r="J201" s="153" t="s">
        <v>1215</v>
      </c>
      <c r="K201" s="124">
        <v>44287</v>
      </c>
      <c r="L201" s="155">
        <v>2279.1806000000001</v>
      </c>
      <c r="M201" s="155">
        <v>8915.2428349600013</v>
      </c>
      <c r="N201" s="136">
        <v>173.79953000000026</v>
      </c>
      <c r="O201" s="136">
        <v>687.41190105600106</v>
      </c>
      <c r="P201" s="154">
        <v>7.6255269108556054E-2</v>
      </c>
      <c r="Q201" s="124" t="s">
        <v>2735</v>
      </c>
    </row>
    <row r="202" spans="1:17" ht="15" customHeight="1">
      <c r="A202" s="150">
        <v>313</v>
      </c>
      <c r="B202" s="150">
        <v>313</v>
      </c>
      <c r="C202" s="150" t="s">
        <v>1069</v>
      </c>
      <c r="D202" s="150" t="s">
        <v>2736</v>
      </c>
      <c r="E202" s="151"/>
      <c r="F202" s="27"/>
      <c r="G202" s="152" t="s">
        <v>2188</v>
      </c>
      <c r="H202" s="27">
        <v>62017801</v>
      </c>
      <c r="I202" s="150" t="s">
        <v>311</v>
      </c>
      <c r="J202" s="153" t="s">
        <v>1222</v>
      </c>
      <c r="K202" s="124">
        <v>44201</v>
      </c>
      <c r="L202" s="155">
        <v>12000</v>
      </c>
      <c r="M202" s="155">
        <v>38436</v>
      </c>
      <c r="N202" s="136">
        <v>3227.837</v>
      </c>
      <c r="O202" s="136">
        <v>10884.266363999999</v>
      </c>
      <c r="P202" s="154">
        <v>0.26898641666666667</v>
      </c>
      <c r="Q202" s="124">
        <v>46027</v>
      </c>
    </row>
    <row r="203" spans="1:17" ht="15" customHeight="1">
      <c r="A203" s="150">
        <v>313</v>
      </c>
      <c r="B203" s="150">
        <v>313</v>
      </c>
      <c r="C203" s="150" t="s">
        <v>1069</v>
      </c>
      <c r="D203" s="150" t="s">
        <v>2183</v>
      </c>
      <c r="E203" s="151"/>
      <c r="F203" s="27"/>
      <c r="G203" s="152" t="s">
        <v>2597</v>
      </c>
      <c r="H203" s="27">
        <v>62018171</v>
      </c>
      <c r="I203" s="150" t="s">
        <v>311</v>
      </c>
      <c r="J203" s="153" t="s">
        <v>1215</v>
      </c>
      <c r="K203" s="124">
        <v>44256</v>
      </c>
      <c r="L203" s="155">
        <v>28000</v>
      </c>
      <c r="M203" s="155">
        <v>111512.8</v>
      </c>
      <c r="N203" s="136">
        <v>0</v>
      </c>
      <c r="O203" s="136">
        <v>0</v>
      </c>
      <c r="P203" s="154">
        <v>0</v>
      </c>
      <c r="Q203" s="124">
        <v>46447</v>
      </c>
    </row>
    <row r="204" spans="1:17" ht="15" customHeight="1">
      <c r="A204" s="150">
        <v>313</v>
      </c>
      <c r="B204" s="150">
        <v>313</v>
      </c>
      <c r="C204" s="150" t="s">
        <v>1069</v>
      </c>
      <c r="D204" s="150" t="s">
        <v>2682</v>
      </c>
      <c r="E204" s="151"/>
      <c r="F204" s="27"/>
      <c r="G204" s="152" t="s">
        <v>2256</v>
      </c>
      <c r="H204" s="27">
        <v>62018288</v>
      </c>
      <c r="I204" s="150" t="s">
        <v>311</v>
      </c>
      <c r="J204" s="153" t="s">
        <v>1222</v>
      </c>
      <c r="K204" s="124">
        <v>44319</v>
      </c>
      <c r="L204" s="155">
        <v>14000</v>
      </c>
      <c r="M204" s="155">
        <v>45444</v>
      </c>
      <c r="N204" s="136">
        <v>896</v>
      </c>
      <c r="O204" s="136">
        <v>3021.3119999999999</v>
      </c>
      <c r="P204" s="154">
        <v>6.4000000000000001E-2</v>
      </c>
      <c r="Q204" s="124">
        <v>47971</v>
      </c>
    </row>
    <row r="205" spans="1:17" ht="15" customHeight="1">
      <c r="A205" s="150">
        <v>313</v>
      </c>
      <c r="B205" s="150">
        <v>313</v>
      </c>
      <c r="C205" s="150" t="s">
        <v>1069</v>
      </c>
      <c r="D205" s="150" t="s">
        <v>2702</v>
      </c>
      <c r="E205" s="151"/>
      <c r="F205" s="27"/>
      <c r="G205" s="152" t="s">
        <v>2470</v>
      </c>
      <c r="H205" s="27">
        <v>60415768</v>
      </c>
      <c r="I205" s="150" t="s">
        <v>311</v>
      </c>
      <c r="J205" s="153" t="s">
        <v>1222</v>
      </c>
      <c r="K205" s="124">
        <v>44348</v>
      </c>
      <c r="L205" s="155">
        <v>17000</v>
      </c>
      <c r="M205" s="155">
        <v>55046</v>
      </c>
      <c r="N205" s="136">
        <v>12103.436250000001</v>
      </c>
      <c r="O205" s="136">
        <v>40812.787034999994</v>
      </c>
      <c r="P205" s="154">
        <v>0.71196683823529416</v>
      </c>
      <c r="Q205" s="124">
        <v>48000</v>
      </c>
    </row>
    <row r="206" spans="1:17" ht="15" customHeight="1">
      <c r="A206" s="150">
        <v>313</v>
      </c>
      <c r="B206" s="150">
        <v>313</v>
      </c>
      <c r="C206" s="150" t="s">
        <v>1069</v>
      </c>
      <c r="D206" s="150" t="s">
        <v>2684</v>
      </c>
      <c r="E206" s="151"/>
      <c r="F206" s="27"/>
      <c r="G206" s="152" t="s">
        <v>2421</v>
      </c>
      <c r="H206" s="27">
        <v>62005732</v>
      </c>
      <c r="I206" s="150" t="s">
        <v>311</v>
      </c>
      <c r="J206" s="153" t="s">
        <v>1222</v>
      </c>
      <c r="K206" s="124">
        <v>44348</v>
      </c>
      <c r="L206" s="155">
        <v>7560</v>
      </c>
      <c r="M206" s="155">
        <v>24479.279999999999</v>
      </c>
      <c r="N206" s="136">
        <v>3178.1969900000004</v>
      </c>
      <c r="O206" s="136">
        <v>10716.880250280001</v>
      </c>
      <c r="P206" s="154">
        <v>0.42039642724867732</v>
      </c>
      <c r="Q206" s="124">
        <v>48000</v>
      </c>
    </row>
    <row r="207" spans="1:17" ht="15" customHeight="1">
      <c r="A207" s="150">
        <v>313</v>
      </c>
      <c r="B207" s="150">
        <v>313</v>
      </c>
      <c r="C207" s="150" t="s">
        <v>1069</v>
      </c>
      <c r="D207" s="150" t="s">
        <v>2737</v>
      </c>
      <c r="E207" s="151"/>
      <c r="F207" s="27"/>
      <c r="G207" s="152" t="s">
        <v>2424</v>
      </c>
      <c r="H207" s="27">
        <v>62018172</v>
      </c>
      <c r="I207" s="150" t="s">
        <v>311</v>
      </c>
      <c r="J207" s="153" t="s">
        <v>1215</v>
      </c>
      <c r="K207" s="124">
        <v>44378</v>
      </c>
      <c r="L207" s="155">
        <v>1720.6</v>
      </c>
      <c r="M207" s="155">
        <v>6661.1308399999998</v>
      </c>
      <c r="N207" s="136">
        <v>464.43105000000003</v>
      </c>
      <c r="O207" s="136">
        <v>1836.9176889600001</v>
      </c>
      <c r="P207" s="154">
        <v>0.26992389282808327</v>
      </c>
      <c r="Q207" s="124">
        <v>48030</v>
      </c>
    </row>
    <row r="208" spans="1:17" ht="15" customHeight="1">
      <c r="A208" s="150">
        <v>313</v>
      </c>
      <c r="B208" s="150">
        <v>313</v>
      </c>
      <c r="C208" s="150" t="s">
        <v>1069</v>
      </c>
      <c r="D208" s="150" t="s">
        <v>2738</v>
      </c>
      <c r="E208" s="151"/>
      <c r="F208" s="27"/>
      <c r="G208" s="152" t="s">
        <v>2240</v>
      </c>
      <c r="H208" s="27">
        <v>62018173</v>
      </c>
      <c r="I208" s="150" t="s">
        <v>311</v>
      </c>
      <c r="J208" s="153" t="s">
        <v>1222</v>
      </c>
      <c r="K208" s="124">
        <v>44378</v>
      </c>
      <c r="L208" s="155">
        <v>3920</v>
      </c>
      <c r="M208" s="155">
        <v>12783.12</v>
      </c>
      <c r="N208" s="136">
        <v>1545.6559999999999</v>
      </c>
      <c r="O208" s="136">
        <v>5211.9520319999992</v>
      </c>
      <c r="P208" s="154">
        <v>0.39429999999999998</v>
      </c>
      <c r="Q208" s="124">
        <v>48030</v>
      </c>
    </row>
    <row r="209" spans="1:17" ht="15" customHeight="1">
      <c r="A209" s="150">
        <v>313</v>
      </c>
      <c r="B209" s="150">
        <v>313</v>
      </c>
      <c r="C209" s="150" t="s">
        <v>1069</v>
      </c>
      <c r="D209" s="150" t="s">
        <v>2739</v>
      </c>
      <c r="E209" s="151"/>
      <c r="F209" s="27"/>
      <c r="G209" s="152" t="s">
        <v>2212</v>
      </c>
      <c r="H209" s="27">
        <v>62018174</v>
      </c>
      <c r="I209" s="150" t="s">
        <v>311</v>
      </c>
      <c r="J209" s="153" t="s">
        <v>1215</v>
      </c>
      <c r="K209" s="124">
        <v>44287</v>
      </c>
      <c r="L209" s="155">
        <v>3080</v>
      </c>
      <c r="M209" s="155">
        <v>12047.727999999999</v>
      </c>
      <c r="N209" s="136">
        <v>1278.20009</v>
      </c>
      <c r="O209" s="136">
        <v>5055.5369959680002</v>
      </c>
      <c r="P209" s="154">
        <v>0.41500002922077922</v>
      </c>
      <c r="Q209" s="124">
        <v>47939</v>
      </c>
    </row>
    <row r="210" spans="1:17" ht="15" customHeight="1">
      <c r="A210" s="150">
        <v>313</v>
      </c>
      <c r="B210" s="150">
        <v>313</v>
      </c>
      <c r="C210" s="150" t="s">
        <v>1069</v>
      </c>
      <c r="D210" s="150" t="s">
        <v>2687</v>
      </c>
      <c r="E210" s="151"/>
      <c r="F210" s="27"/>
      <c r="G210" s="152" t="s">
        <v>2565</v>
      </c>
      <c r="H210" s="27">
        <v>62018957</v>
      </c>
      <c r="I210" s="150" t="s">
        <v>311</v>
      </c>
      <c r="J210" s="153" t="s">
        <v>1215</v>
      </c>
      <c r="K210" s="124">
        <v>44378</v>
      </c>
      <c r="L210" s="155">
        <v>19600</v>
      </c>
      <c r="M210" s="155">
        <v>75879.44</v>
      </c>
      <c r="N210" s="136">
        <v>4096.093859999999</v>
      </c>
      <c r="O210" s="136">
        <v>16200.870435071998</v>
      </c>
      <c r="P210" s="154">
        <v>0.20898438061224484</v>
      </c>
      <c r="Q210" s="124">
        <v>48030</v>
      </c>
    </row>
    <row r="211" spans="1:17" ht="15" customHeight="1">
      <c r="A211" s="150">
        <v>313</v>
      </c>
      <c r="B211" s="150">
        <v>313</v>
      </c>
      <c r="C211" s="150" t="s">
        <v>1069</v>
      </c>
      <c r="D211" s="150" t="s">
        <v>2171</v>
      </c>
      <c r="E211" s="120"/>
      <c r="F211" s="27"/>
      <c r="G211" s="152" t="s">
        <v>2740</v>
      </c>
      <c r="H211" s="27">
        <v>62016811</v>
      </c>
      <c r="I211" s="150" t="s">
        <v>311</v>
      </c>
      <c r="J211" s="153" t="s">
        <v>1212</v>
      </c>
      <c r="K211" s="124">
        <v>43983</v>
      </c>
      <c r="L211" s="155">
        <v>17250</v>
      </c>
      <c r="M211" s="155">
        <v>44142.75</v>
      </c>
      <c r="N211" s="136">
        <v>423.20380999999867</v>
      </c>
      <c r="O211" s="136">
        <v>1044.2130807939966</v>
      </c>
      <c r="P211" s="154">
        <v>2.4533554202898475E-2</v>
      </c>
      <c r="Q211" s="124">
        <v>45809</v>
      </c>
    </row>
    <row r="212" spans="1:17" ht="15" customHeight="1">
      <c r="A212" s="150">
        <v>313</v>
      </c>
      <c r="B212" s="150">
        <v>313</v>
      </c>
      <c r="C212" s="150" t="s">
        <v>1069</v>
      </c>
      <c r="D212" s="150" t="s">
        <v>2741</v>
      </c>
      <c r="E212" s="151"/>
      <c r="F212" s="27"/>
      <c r="G212" s="152" t="s">
        <v>2742</v>
      </c>
      <c r="H212" s="27">
        <v>62019542</v>
      </c>
      <c r="I212" s="150" t="s">
        <v>311</v>
      </c>
      <c r="J212" s="153" t="s">
        <v>1215</v>
      </c>
      <c r="K212" s="124">
        <v>44440</v>
      </c>
      <c r="L212" s="155">
        <v>23000</v>
      </c>
      <c r="M212" s="155">
        <v>87038.9</v>
      </c>
      <c r="N212" s="136">
        <v>1136.4770000000001</v>
      </c>
      <c r="O212" s="136">
        <v>4494.9938304000007</v>
      </c>
      <c r="P212" s="154">
        <v>4.9412043478260871E-2</v>
      </c>
      <c r="Q212" s="124">
        <v>47362</v>
      </c>
    </row>
    <row r="213" spans="1:17" ht="15" customHeight="1">
      <c r="A213" s="150">
        <v>313</v>
      </c>
      <c r="B213" s="150">
        <v>313</v>
      </c>
      <c r="C213" s="150" t="s">
        <v>1069</v>
      </c>
      <c r="D213" s="150" t="s">
        <v>2743</v>
      </c>
      <c r="E213" s="151"/>
      <c r="F213" s="27"/>
      <c r="G213" s="152" t="s">
        <v>2744</v>
      </c>
      <c r="H213" s="27">
        <v>62019280</v>
      </c>
      <c r="I213" s="150" t="s">
        <v>311</v>
      </c>
      <c r="J213" s="153" t="s">
        <v>1222</v>
      </c>
      <c r="K213" s="124">
        <v>44440</v>
      </c>
      <c r="L213" s="155">
        <v>13800</v>
      </c>
      <c r="M213" s="155">
        <v>44201.4</v>
      </c>
      <c r="N213" s="136">
        <v>7955.7052300000005</v>
      </c>
      <c r="O213" s="136">
        <v>26826.638035560001</v>
      </c>
      <c r="P213" s="154">
        <v>0.57650037898550732</v>
      </c>
      <c r="Q213" s="124">
        <v>48092</v>
      </c>
    </row>
    <row r="214" spans="1:17" ht="15" customHeight="1">
      <c r="A214" s="150">
        <v>313</v>
      </c>
      <c r="B214" s="150">
        <v>313</v>
      </c>
      <c r="C214" s="150" t="s">
        <v>1069</v>
      </c>
      <c r="D214" s="150" t="s">
        <v>2359</v>
      </c>
      <c r="E214" s="151"/>
      <c r="F214" s="27"/>
      <c r="G214" s="152" t="s">
        <v>2360</v>
      </c>
      <c r="H214" s="27">
        <v>62017588</v>
      </c>
      <c r="I214" s="150" t="s">
        <v>311</v>
      </c>
      <c r="J214" s="153" t="s">
        <v>1215</v>
      </c>
      <c r="K214" s="124">
        <v>44166</v>
      </c>
      <c r="L214" s="155">
        <v>9200</v>
      </c>
      <c r="M214" s="155">
        <v>36389.68</v>
      </c>
      <c r="N214" s="136">
        <v>1905.518</v>
      </c>
      <c r="O214" s="136">
        <v>7536.7047936000008</v>
      </c>
      <c r="P214" s="154">
        <v>0.20712152173913043</v>
      </c>
      <c r="Q214" s="124">
        <v>47088</v>
      </c>
    </row>
    <row r="215" spans="1:17" ht="15" customHeight="1">
      <c r="A215" s="150">
        <v>313</v>
      </c>
      <c r="B215" s="150">
        <v>313</v>
      </c>
      <c r="C215" s="150" t="s">
        <v>1069</v>
      </c>
      <c r="D215" s="150" t="s">
        <v>2745</v>
      </c>
      <c r="E215" s="151"/>
      <c r="F215" s="27"/>
      <c r="G215" s="152" t="s">
        <v>2438</v>
      </c>
      <c r="H215" s="27">
        <v>62019600</v>
      </c>
      <c r="I215" s="150" t="s">
        <v>311</v>
      </c>
      <c r="J215" s="153" t="s">
        <v>1222</v>
      </c>
      <c r="K215" s="124">
        <v>44497</v>
      </c>
      <c r="L215" s="155">
        <v>19600</v>
      </c>
      <c r="M215" s="155">
        <v>62426</v>
      </c>
      <c r="N215" s="136">
        <v>5539.9025299999994</v>
      </c>
      <c r="O215" s="136">
        <v>18680.551331159997</v>
      </c>
      <c r="P215" s="154">
        <v>0.28264808826530607</v>
      </c>
      <c r="Q215" s="124">
        <v>48149</v>
      </c>
    </row>
    <row r="216" spans="1:17" ht="15" customHeight="1">
      <c r="A216" s="150">
        <v>313</v>
      </c>
      <c r="B216" s="150">
        <v>313</v>
      </c>
      <c r="C216" s="150" t="s">
        <v>1069</v>
      </c>
      <c r="D216" s="150" t="s">
        <v>2746</v>
      </c>
      <c r="E216" s="151"/>
      <c r="F216" s="27"/>
      <c r="G216" s="152" t="s">
        <v>2747</v>
      </c>
      <c r="H216" s="27">
        <v>62006524</v>
      </c>
      <c r="I216" s="150" t="s">
        <v>311</v>
      </c>
      <c r="J216" s="153" t="s">
        <v>1222</v>
      </c>
      <c r="K216" s="124">
        <v>44501</v>
      </c>
      <c r="L216" s="155">
        <v>23000</v>
      </c>
      <c r="M216" s="155">
        <v>72082</v>
      </c>
      <c r="N216" s="136">
        <v>1772.152</v>
      </c>
      <c r="O216" s="136">
        <v>5975.6965439999994</v>
      </c>
      <c r="P216" s="154">
        <v>7.7050086956521741E-2</v>
      </c>
      <c r="Q216" s="124">
        <v>47423</v>
      </c>
    </row>
    <row r="217" spans="1:17" ht="15" customHeight="1">
      <c r="A217" s="150">
        <v>313</v>
      </c>
      <c r="B217" s="150">
        <v>313</v>
      </c>
      <c r="C217" s="150" t="s">
        <v>1069</v>
      </c>
      <c r="D217" s="150" t="s">
        <v>2658</v>
      </c>
      <c r="E217" s="151"/>
      <c r="F217" s="27"/>
      <c r="G217" s="152" t="s">
        <v>2198</v>
      </c>
      <c r="H217" s="27">
        <v>62019799</v>
      </c>
      <c r="I217" s="150" t="s">
        <v>311</v>
      </c>
      <c r="J217" s="153" t="s">
        <v>1222</v>
      </c>
      <c r="K217" s="124">
        <v>44529</v>
      </c>
      <c r="L217" s="155">
        <v>16800</v>
      </c>
      <c r="M217" s="155">
        <v>53037.599999999999</v>
      </c>
      <c r="N217" s="136">
        <v>5115.8059999999996</v>
      </c>
      <c r="O217" s="136">
        <v>17250.497831999997</v>
      </c>
      <c r="P217" s="154">
        <v>0.30451226190476188</v>
      </c>
      <c r="Q217" s="124">
        <v>48181</v>
      </c>
    </row>
    <row r="218" spans="1:17" ht="15" customHeight="1">
      <c r="A218" s="150">
        <v>313</v>
      </c>
      <c r="B218" s="150">
        <v>313</v>
      </c>
      <c r="C218" s="150" t="s">
        <v>1069</v>
      </c>
      <c r="D218" s="150" t="s">
        <v>2721</v>
      </c>
      <c r="E218" s="151"/>
      <c r="F218" s="27"/>
      <c r="G218" s="152" t="s">
        <v>2514</v>
      </c>
      <c r="H218" s="27">
        <v>62020078</v>
      </c>
      <c r="I218" s="150" t="s">
        <v>311</v>
      </c>
      <c r="J218" s="153" t="s">
        <v>1222</v>
      </c>
      <c r="K218" s="124">
        <v>44561</v>
      </c>
      <c r="L218" s="155">
        <v>19600</v>
      </c>
      <c r="M218" s="155">
        <v>60956</v>
      </c>
      <c r="N218" s="136">
        <v>9270.9390000000003</v>
      </c>
      <c r="O218" s="136">
        <v>31261.606307999999</v>
      </c>
      <c r="P218" s="154">
        <v>0.47300709183673473</v>
      </c>
      <c r="Q218" s="124">
        <v>48213</v>
      </c>
    </row>
    <row r="219" spans="1:17" ht="15" customHeight="1">
      <c r="A219" s="150">
        <v>313</v>
      </c>
      <c r="B219" s="150">
        <v>313</v>
      </c>
      <c r="C219" s="150" t="s">
        <v>1069</v>
      </c>
      <c r="D219" s="150" t="s">
        <v>2717</v>
      </c>
      <c r="E219" s="151"/>
      <c r="F219" s="27"/>
      <c r="G219" s="152" t="s">
        <v>2428</v>
      </c>
      <c r="H219" s="27">
        <v>62010989</v>
      </c>
      <c r="I219" s="150" t="s">
        <v>311</v>
      </c>
      <c r="J219" s="153" t="s">
        <v>1215</v>
      </c>
      <c r="K219" s="124">
        <v>44553</v>
      </c>
      <c r="L219" s="155">
        <v>3100</v>
      </c>
      <c r="M219" s="155">
        <v>11061.73</v>
      </c>
      <c r="N219" s="136">
        <v>689.75</v>
      </c>
      <c r="O219" s="136">
        <v>2728.0992000000001</v>
      </c>
      <c r="P219" s="154">
        <v>0.2225</v>
      </c>
      <c r="Q219" s="124">
        <v>48205</v>
      </c>
    </row>
    <row r="220" spans="1:17" ht="15" customHeight="1">
      <c r="A220" s="150">
        <v>313</v>
      </c>
      <c r="B220" s="150">
        <v>313</v>
      </c>
      <c r="C220" s="150" t="s">
        <v>1069</v>
      </c>
      <c r="D220" s="150" t="s">
        <v>2726</v>
      </c>
      <c r="E220" s="151"/>
      <c r="F220" s="27"/>
      <c r="G220" s="152" t="s">
        <v>2437</v>
      </c>
      <c r="H220" s="27">
        <v>62017185</v>
      </c>
      <c r="I220" s="150" t="s">
        <v>311</v>
      </c>
      <c r="J220" s="153" t="s">
        <v>1222</v>
      </c>
      <c r="K220" s="124">
        <v>44602</v>
      </c>
      <c r="L220" s="155">
        <v>5400</v>
      </c>
      <c r="M220" s="155">
        <v>17393.400000000001</v>
      </c>
      <c r="N220" s="136">
        <v>0</v>
      </c>
      <c r="O220" s="136">
        <v>0</v>
      </c>
      <c r="P220" s="154">
        <v>0</v>
      </c>
      <c r="Q220" s="124">
        <v>49493</v>
      </c>
    </row>
    <row r="221" spans="1:17" ht="15" customHeight="1">
      <c r="A221" s="150">
        <v>313</v>
      </c>
      <c r="B221" s="150">
        <v>313</v>
      </c>
      <c r="C221" s="150" t="s">
        <v>1069</v>
      </c>
      <c r="D221" s="150" t="s">
        <v>2748</v>
      </c>
      <c r="E221" s="151"/>
      <c r="F221" s="27"/>
      <c r="G221" s="152" t="s">
        <v>2321</v>
      </c>
      <c r="H221" s="27">
        <v>62020276</v>
      </c>
      <c r="I221" s="150" t="s">
        <v>311</v>
      </c>
      <c r="J221" s="153" t="s">
        <v>1215</v>
      </c>
      <c r="K221" s="124">
        <v>44613</v>
      </c>
      <c r="L221" s="155">
        <v>23000</v>
      </c>
      <c r="M221" s="155">
        <v>83779.8</v>
      </c>
      <c r="N221" s="136">
        <v>15755</v>
      </c>
      <c r="O221" s="136">
        <v>62314.175999999999</v>
      </c>
      <c r="P221" s="154">
        <v>0.68500000000000005</v>
      </c>
      <c r="Q221" s="124">
        <v>47535</v>
      </c>
    </row>
    <row r="222" spans="1:17" ht="15" customHeight="1">
      <c r="A222" s="150">
        <v>313</v>
      </c>
      <c r="B222" s="150">
        <v>313</v>
      </c>
      <c r="C222" s="150" t="s">
        <v>1069</v>
      </c>
      <c r="D222" s="150" t="s">
        <v>2194</v>
      </c>
      <c r="E222" s="151"/>
      <c r="F222" s="27"/>
      <c r="G222" s="152" t="s">
        <v>2583</v>
      </c>
      <c r="H222" s="27">
        <v>62020342</v>
      </c>
      <c r="I222" s="150" t="s">
        <v>311</v>
      </c>
      <c r="J222" s="153" t="s">
        <v>1222</v>
      </c>
      <c r="K222" s="124">
        <v>44599</v>
      </c>
      <c r="L222" s="155">
        <v>19600</v>
      </c>
      <c r="M222" s="155">
        <v>62622</v>
      </c>
      <c r="N222" s="136">
        <v>7990.6620000000003</v>
      </c>
      <c r="O222" s="136">
        <v>26944.512263999997</v>
      </c>
      <c r="P222" s="154">
        <v>0.40768683673469391</v>
      </c>
      <c r="Q222" s="124">
        <v>48251</v>
      </c>
    </row>
    <row r="223" spans="1:17" ht="15" customHeight="1">
      <c r="A223" s="150">
        <v>313</v>
      </c>
      <c r="B223" s="150">
        <v>313</v>
      </c>
      <c r="C223" s="150" t="s">
        <v>1069</v>
      </c>
      <c r="D223" s="150" t="s">
        <v>2697</v>
      </c>
      <c r="E223" s="151"/>
      <c r="F223" s="27"/>
      <c r="G223" s="152" t="s">
        <v>2310</v>
      </c>
      <c r="H223" s="27">
        <v>62018502</v>
      </c>
      <c r="I223" s="150" t="s">
        <v>311</v>
      </c>
      <c r="J223" s="153" t="s">
        <v>1222</v>
      </c>
      <c r="K223" s="124">
        <v>44348</v>
      </c>
      <c r="L223" s="155">
        <v>23000</v>
      </c>
      <c r="M223" s="155">
        <v>74474</v>
      </c>
      <c r="N223" s="136">
        <v>4452.2029200000015</v>
      </c>
      <c r="O223" s="136">
        <v>15012.828246240006</v>
      </c>
      <c r="P223" s="154">
        <v>0.19357404000000006</v>
      </c>
      <c r="Q223" s="124">
        <v>48000</v>
      </c>
    </row>
    <row r="224" spans="1:17" ht="15" customHeight="1">
      <c r="A224" s="150">
        <v>313</v>
      </c>
      <c r="B224" s="150">
        <v>313</v>
      </c>
      <c r="C224" s="150" t="s">
        <v>1069</v>
      </c>
      <c r="D224" s="150" t="s">
        <v>2749</v>
      </c>
      <c r="E224" s="151"/>
      <c r="F224" s="27"/>
      <c r="G224" s="152" t="s">
        <v>2511</v>
      </c>
      <c r="H224" s="27">
        <v>62018000</v>
      </c>
      <c r="I224" s="150" t="s">
        <v>311</v>
      </c>
      <c r="J224" s="153" t="s">
        <v>1222</v>
      </c>
      <c r="K224" s="124">
        <v>44652</v>
      </c>
      <c r="L224" s="155">
        <v>11500</v>
      </c>
      <c r="M224" s="155">
        <v>36834.5</v>
      </c>
      <c r="N224" s="136">
        <v>2690.8229999999999</v>
      </c>
      <c r="O224" s="136">
        <v>9073.455156</v>
      </c>
      <c r="P224" s="154">
        <v>0.23398460869565216</v>
      </c>
      <c r="Q224" s="124">
        <v>46844</v>
      </c>
    </row>
    <row r="225" spans="1:17" ht="15" customHeight="1">
      <c r="A225" s="150">
        <v>313</v>
      </c>
      <c r="B225" s="150">
        <v>313</v>
      </c>
      <c r="C225" s="150" t="s">
        <v>1069</v>
      </c>
      <c r="D225" s="150" t="s">
        <v>2664</v>
      </c>
      <c r="E225" s="151"/>
      <c r="F225" s="27"/>
      <c r="G225" s="152" t="s">
        <v>2379</v>
      </c>
      <c r="H225" s="27">
        <v>62020466</v>
      </c>
      <c r="I225" s="150" t="s">
        <v>311</v>
      </c>
      <c r="J225" s="153" t="s">
        <v>1222</v>
      </c>
      <c r="K225" s="124">
        <v>44647</v>
      </c>
      <c r="L225" s="155">
        <v>25200</v>
      </c>
      <c r="M225" s="155">
        <v>81219.600000000006</v>
      </c>
      <c r="N225" s="136">
        <v>11347.053</v>
      </c>
      <c r="O225" s="136">
        <v>38262.262715999997</v>
      </c>
      <c r="P225" s="154">
        <v>0.45027988095238097</v>
      </c>
      <c r="Q225" s="124">
        <v>48300</v>
      </c>
    </row>
    <row r="226" spans="1:17" ht="15" customHeight="1">
      <c r="A226" s="150">
        <v>313</v>
      </c>
      <c r="B226" s="150">
        <v>313</v>
      </c>
      <c r="C226" s="150" t="s">
        <v>1069</v>
      </c>
      <c r="D226" s="150" t="s">
        <v>2107</v>
      </c>
      <c r="E226" s="151"/>
      <c r="F226" s="27"/>
      <c r="G226" s="152" t="s">
        <v>2307</v>
      </c>
      <c r="H226" s="27">
        <v>62020474</v>
      </c>
      <c r="I226" s="150" t="s">
        <v>311</v>
      </c>
      <c r="J226" s="153" t="s">
        <v>1215</v>
      </c>
      <c r="K226" s="124">
        <v>44647</v>
      </c>
      <c r="L226" s="155">
        <v>16750</v>
      </c>
      <c r="M226" s="155">
        <v>59465.85</v>
      </c>
      <c r="N226" s="136">
        <v>8072.2749999999996</v>
      </c>
      <c r="O226" s="136">
        <v>31927.462080000001</v>
      </c>
      <c r="P226" s="154">
        <v>0.48192686567164178</v>
      </c>
      <c r="Q226" s="124">
        <v>48300</v>
      </c>
    </row>
    <row r="227" spans="1:17" ht="15" customHeight="1">
      <c r="A227" s="150">
        <v>313</v>
      </c>
      <c r="B227" s="150">
        <v>313</v>
      </c>
      <c r="C227" s="150" t="s">
        <v>1069</v>
      </c>
      <c r="D227" s="150" t="s">
        <v>2738</v>
      </c>
      <c r="E227" s="151"/>
      <c r="F227" s="27"/>
      <c r="G227" s="152" t="s">
        <v>2351</v>
      </c>
      <c r="H227" s="27">
        <v>62020482</v>
      </c>
      <c r="I227" s="150" t="s">
        <v>311</v>
      </c>
      <c r="J227" s="153" t="s">
        <v>1215</v>
      </c>
      <c r="K227" s="124">
        <v>44666</v>
      </c>
      <c r="L227" s="155">
        <v>24400</v>
      </c>
      <c r="M227" s="155">
        <v>85195.04</v>
      </c>
      <c r="N227" s="136">
        <v>12312.64371</v>
      </c>
      <c r="O227" s="136">
        <v>48698.968401792008</v>
      </c>
      <c r="P227" s="154">
        <v>0.50461654549180324</v>
      </c>
      <c r="Q227" s="124">
        <v>48319</v>
      </c>
    </row>
    <row r="228" spans="1:17" ht="15" customHeight="1">
      <c r="A228" s="150">
        <v>313</v>
      </c>
      <c r="B228" s="150">
        <v>313</v>
      </c>
      <c r="C228" s="150" t="s">
        <v>1069</v>
      </c>
      <c r="D228" s="150" t="s">
        <v>2368</v>
      </c>
      <c r="E228" s="151"/>
      <c r="F228" s="27"/>
      <c r="G228" s="152" t="s">
        <v>2210</v>
      </c>
      <c r="H228" s="27">
        <v>62020490</v>
      </c>
      <c r="I228" s="150" t="s">
        <v>311</v>
      </c>
      <c r="J228" s="153" t="s">
        <v>1222</v>
      </c>
      <c r="K228" s="124">
        <v>44673</v>
      </c>
      <c r="L228" s="155">
        <v>15560</v>
      </c>
      <c r="M228" s="155">
        <v>50056.52</v>
      </c>
      <c r="N228" s="136">
        <v>4656.2780000000002</v>
      </c>
      <c r="O228" s="136">
        <v>15700.969416</v>
      </c>
      <c r="P228" s="154">
        <v>0.29924665809768641</v>
      </c>
      <c r="Q228" s="124">
        <v>48326</v>
      </c>
    </row>
    <row r="229" spans="1:17" ht="15" customHeight="1">
      <c r="A229" s="150">
        <v>313</v>
      </c>
      <c r="B229" s="150">
        <v>313</v>
      </c>
      <c r="C229" s="150" t="s">
        <v>1069</v>
      </c>
      <c r="D229" s="150" t="s">
        <v>2368</v>
      </c>
      <c r="E229" s="151"/>
      <c r="F229" s="27"/>
      <c r="G229" s="152" t="s">
        <v>2564</v>
      </c>
      <c r="H229" s="27">
        <v>62020508</v>
      </c>
      <c r="I229" s="150" t="s">
        <v>311</v>
      </c>
      <c r="J229" s="153" t="s">
        <v>1222</v>
      </c>
      <c r="K229" s="124">
        <v>44673</v>
      </c>
      <c r="L229" s="155">
        <v>3590</v>
      </c>
      <c r="M229" s="155">
        <v>11549.03</v>
      </c>
      <c r="N229" s="136">
        <v>1619.556</v>
      </c>
      <c r="O229" s="136">
        <v>5461.1428319999995</v>
      </c>
      <c r="P229" s="154">
        <v>0.45112980501392758</v>
      </c>
      <c r="Q229" s="124">
        <v>48326</v>
      </c>
    </row>
    <row r="230" spans="1:17" ht="15" customHeight="1">
      <c r="A230" s="150">
        <v>313</v>
      </c>
      <c r="B230" s="150">
        <v>313</v>
      </c>
      <c r="C230" s="150" t="s">
        <v>1069</v>
      </c>
      <c r="D230" s="150" t="s">
        <v>2750</v>
      </c>
      <c r="E230" s="151"/>
      <c r="F230" s="27"/>
      <c r="G230" s="152" t="s">
        <v>2541</v>
      </c>
      <c r="H230" s="27">
        <v>62020516</v>
      </c>
      <c r="I230" s="150" t="s">
        <v>311</v>
      </c>
      <c r="J230" s="153" t="s">
        <v>1222</v>
      </c>
      <c r="K230" s="124">
        <v>44697</v>
      </c>
      <c r="L230" s="155">
        <v>16100</v>
      </c>
      <c r="M230" s="155">
        <v>55045.9</v>
      </c>
      <c r="N230" s="136">
        <v>402.5</v>
      </c>
      <c r="O230" s="136">
        <v>1357.23</v>
      </c>
      <c r="P230" s="154">
        <v>2.5000000000000001E-2</v>
      </c>
      <c r="Q230" s="124">
        <v>47254</v>
      </c>
    </row>
    <row r="231" spans="1:17" ht="15" customHeight="1">
      <c r="A231" s="150">
        <v>313</v>
      </c>
      <c r="B231" s="150">
        <v>313</v>
      </c>
      <c r="C231" s="150" t="s">
        <v>1069</v>
      </c>
      <c r="D231" s="150" t="s">
        <v>2751</v>
      </c>
      <c r="E231" s="151"/>
      <c r="F231" s="27"/>
      <c r="G231" s="152" t="s">
        <v>2399</v>
      </c>
      <c r="H231" s="27">
        <v>62018010</v>
      </c>
      <c r="I231" s="150" t="s">
        <v>311</v>
      </c>
      <c r="J231" s="153" t="s">
        <v>1222</v>
      </c>
      <c r="K231" s="124">
        <v>44719</v>
      </c>
      <c r="L231" s="155">
        <v>16100</v>
      </c>
      <c r="M231" s="155">
        <v>53741.8</v>
      </c>
      <c r="N231" s="136">
        <v>4668.4530000000004</v>
      </c>
      <c r="O231" s="136">
        <v>15742.023515999999</v>
      </c>
      <c r="P231" s="154">
        <v>0.2899660248447205</v>
      </c>
      <c r="Q231" s="124">
        <v>46180</v>
      </c>
    </row>
    <row r="232" spans="1:17" ht="15" customHeight="1">
      <c r="A232" s="150">
        <v>313</v>
      </c>
      <c r="B232" s="150">
        <v>313</v>
      </c>
      <c r="C232" s="150" t="s">
        <v>1069</v>
      </c>
      <c r="D232" s="150" t="s">
        <v>2697</v>
      </c>
      <c r="E232" s="151"/>
      <c r="F232" s="27"/>
      <c r="G232" s="152" t="s">
        <v>2480</v>
      </c>
      <c r="H232" s="27">
        <v>62011334</v>
      </c>
      <c r="I232" s="150" t="s">
        <v>311</v>
      </c>
      <c r="J232" s="153" t="s">
        <v>1225</v>
      </c>
      <c r="K232" s="124">
        <v>44299</v>
      </c>
      <c r="L232" s="155">
        <v>3102.8376699999999</v>
      </c>
      <c r="M232" s="155">
        <v>14065.783725644</v>
      </c>
      <c r="N232" s="136">
        <v>0</v>
      </c>
      <c r="O232" s="136">
        <v>0</v>
      </c>
      <c r="P232" s="154">
        <v>0</v>
      </c>
      <c r="Q232" s="124" t="s">
        <v>2735</v>
      </c>
    </row>
    <row r="233" spans="1:17" ht="15" customHeight="1">
      <c r="A233" s="150">
        <v>313</v>
      </c>
      <c r="B233" s="150">
        <v>313</v>
      </c>
      <c r="C233" s="150" t="s">
        <v>1069</v>
      </c>
      <c r="D233" s="150" t="s">
        <v>2697</v>
      </c>
      <c r="E233" s="151"/>
      <c r="F233" s="27"/>
      <c r="G233" s="152" t="s">
        <v>2246</v>
      </c>
      <c r="H233" s="27">
        <v>62011335</v>
      </c>
      <c r="I233" s="150" t="s">
        <v>311</v>
      </c>
      <c r="J233" s="153" t="s">
        <v>1215</v>
      </c>
      <c r="K233" s="124">
        <v>44299</v>
      </c>
      <c r="L233" s="155">
        <v>3450</v>
      </c>
      <c r="M233" s="155">
        <v>13555.05</v>
      </c>
      <c r="N233" s="136">
        <v>0</v>
      </c>
      <c r="O233" s="136">
        <v>0</v>
      </c>
      <c r="P233" s="154">
        <v>0</v>
      </c>
      <c r="Q233" s="124" t="s">
        <v>2735</v>
      </c>
    </row>
    <row r="234" spans="1:17" ht="15" customHeight="1">
      <c r="A234" s="150">
        <v>313</v>
      </c>
      <c r="B234" s="150">
        <v>313</v>
      </c>
      <c r="C234" s="150" t="s">
        <v>1069</v>
      </c>
      <c r="D234" s="150" t="s">
        <v>2752</v>
      </c>
      <c r="E234" s="151"/>
      <c r="F234" s="27"/>
      <c r="G234" s="152" t="s">
        <v>2325</v>
      </c>
      <c r="H234" s="27">
        <v>62017183</v>
      </c>
      <c r="I234" s="150" t="s">
        <v>311</v>
      </c>
      <c r="J234" s="153" t="s">
        <v>1215</v>
      </c>
      <c r="K234" s="124">
        <v>44259</v>
      </c>
      <c r="L234" s="155">
        <v>14000</v>
      </c>
      <c r="M234" s="155">
        <v>55773.2</v>
      </c>
      <c r="N234" s="136">
        <v>651.26233000000002</v>
      </c>
      <c r="O234" s="136">
        <v>2575.8727676160006</v>
      </c>
      <c r="P234" s="154">
        <v>4.6518737857142861E-2</v>
      </c>
      <c r="Q234" s="124">
        <v>48642</v>
      </c>
    </row>
    <row r="235" spans="1:17" ht="15" customHeight="1">
      <c r="A235" s="150">
        <v>313</v>
      </c>
      <c r="B235" s="150">
        <v>313</v>
      </c>
      <c r="C235" s="150" t="s">
        <v>1069</v>
      </c>
      <c r="D235" s="150" t="s">
        <v>2279</v>
      </c>
      <c r="E235" s="151"/>
      <c r="F235" s="27"/>
      <c r="G235" s="152" t="s">
        <v>2473</v>
      </c>
      <c r="H235" s="27">
        <v>60385260</v>
      </c>
      <c r="I235" s="150" t="s">
        <v>311</v>
      </c>
      <c r="J235" s="153" t="s">
        <v>1215</v>
      </c>
      <c r="K235" s="124">
        <v>44174</v>
      </c>
      <c r="L235" s="155">
        <v>2880</v>
      </c>
      <c r="M235" s="155">
        <v>11366.495999999999</v>
      </c>
      <c r="N235" s="136">
        <v>725.55783000000008</v>
      </c>
      <c r="O235" s="136">
        <v>2869.7263292160001</v>
      </c>
      <c r="P235" s="154">
        <v>0.25192980208333338</v>
      </c>
      <c r="Q235" s="124">
        <v>47826</v>
      </c>
    </row>
    <row r="236" spans="1:17" ht="15" customHeight="1">
      <c r="A236" s="150">
        <v>313</v>
      </c>
      <c r="B236" s="150">
        <v>313</v>
      </c>
      <c r="C236" s="150" t="s">
        <v>1069</v>
      </c>
      <c r="D236" s="150" t="s">
        <v>2171</v>
      </c>
      <c r="E236" s="160"/>
      <c r="F236" s="27"/>
      <c r="G236" s="152" t="s">
        <v>2753</v>
      </c>
      <c r="H236" s="27">
        <v>62016805</v>
      </c>
      <c r="I236" s="150" t="s">
        <v>311</v>
      </c>
      <c r="J236" s="153" t="s">
        <v>1212</v>
      </c>
      <c r="K236" s="124">
        <v>44319</v>
      </c>
      <c r="L236" s="155">
        <v>23000</v>
      </c>
      <c r="M236" s="155">
        <v>60733.8</v>
      </c>
      <c r="N236" s="136">
        <v>0</v>
      </c>
      <c r="O236" s="136">
        <v>0</v>
      </c>
      <c r="P236" s="154">
        <v>0</v>
      </c>
      <c r="Q236" s="124">
        <v>46510</v>
      </c>
    </row>
    <row r="237" spans="1:17" ht="15" customHeight="1">
      <c r="A237" s="150">
        <v>313</v>
      </c>
      <c r="B237" s="150">
        <v>313</v>
      </c>
      <c r="C237" s="150" t="s">
        <v>1069</v>
      </c>
      <c r="D237" s="150" t="s">
        <v>2538</v>
      </c>
      <c r="E237" s="151"/>
      <c r="F237" s="27"/>
      <c r="G237" s="152" t="s">
        <v>2453</v>
      </c>
      <c r="H237" s="27">
        <v>60199586</v>
      </c>
      <c r="I237" s="150" t="s">
        <v>311</v>
      </c>
      <c r="J237" s="153" t="s">
        <v>1225</v>
      </c>
      <c r="K237" s="124">
        <v>44027</v>
      </c>
      <c r="L237" s="155">
        <v>1470</v>
      </c>
      <c r="M237" s="155">
        <v>6367.0110000000004</v>
      </c>
      <c r="N237" s="136">
        <v>272.57045999999997</v>
      </c>
      <c r="O237" s="136">
        <v>1260.2567788559998</v>
      </c>
      <c r="P237" s="154">
        <v>0.18542208163265303</v>
      </c>
      <c r="Q237" s="124">
        <v>47679</v>
      </c>
    </row>
    <row r="238" spans="1:17" ht="15" customHeight="1">
      <c r="A238" s="150">
        <v>313</v>
      </c>
      <c r="B238" s="150">
        <v>313</v>
      </c>
      <c r="C238" s="150" t="s">
        <v>1069</v>
      </c>
      <c r="D238" s="150" t="s">
        <v>2183</v>
      </c>
      <c r="E238" s="151"/>
      <c r="F238" s="27"/>
      <c r="G238" s="152" t="s">
        <v>2356</v>
      </c>
      <c r="H238" s="27">
        <v>62020656</v>
      </c>
      <c r="I238" s="150" t="s">
        <v>311</v>
      </c>
      <c r="J238" s="153" t="s">
        <v>1215</v>
      </c>
      <c r="K238" s="124">
        <v>44759</v>
      </c>
      <c r="L238" s="155">
        <v>24390.243999999999</v>
      </c>
      <c r="M238" s="155">
        <v>85129.268633200001</v>
      </c>
      <c r="N238" s="136">
        <v>99.673350000001491</v>
      </c>
      <c r="O238" s="136">
        <v>394.22803392000588</v>
      </c>
      <c r="P238" s="154">
        <v>4.0866073336536324E-3</v>
      </c>
      <c r="Q238" s="124">
        <v>50238</v>
      </c>
    </row>
    <row r="239" spans="1:17" ht="15" customHeight="1">
      <c r="A239" s="150">
        <v>313</v>
      </c>
      <c r="B239" s="150">
        <v>313</v>
      </c>
      <c r="C239" s="150" t="s">
        <v>1069</v>
      </c>
      <c r="D239" s="150" t="s">
        <v>2183</v>
      </c>
      <c r="E239" s="120"/>
      <c r="F239" s="27"/>
      <c r="G239" s="152" t="s">
        <v>2184</v>
      </c>
      <c r="H239" s="27">
        <v>62018181</v>
      </c>
      <c r="I239" s="150" t="s">
        <v>311</v>
      </c>
      <c r="J239" s="153" t="s">
        <v>1222</v>
      </c>
      <c r="K239" s="124">
        <v>44784</v>
      </c>
      <c r="L239" s="155">
        <v>2700</v>
      </c>
      <c r="M239" s="155">
        <v>8799.2999999999993</v>
      </c>
      <c r="N239" s="136">
        <v>0</v>
      </c>
      <c r="O239" s="136">
        <v>0</v>
      </c>
      <c r="P239" s="154">
        <v>0</v>
      </c>
      <c r="Q239" s="124">
        <v>50267</v>
      </c>
    </row>
    <row r="240" spans="1:17" ht="15" customHeight="1">
      <c r="A240" s="150">
        <v>313</v>
      </c>
      <c r="B240" s="150">
        <v>313</v>
      </c>
      <c r="C240" s="150" t="s">
        <v>1069</v>
      </c>
      <c r="D240" s="150" t="s">
        <v>2710</v>
      </c>
      <c r="E240" s="151"/>
      <c r="F240" s="27"/>
      <c r="G240" s="152" t="s">
        <v>2449</v>
      </c>
      <c r="H240" s="27">
        <v>62020839</v>
      </c>
      <c r="I240" s="150" t="s">
        <v>311</v>
      </c>
      <c r="J240" s="153" t="s">
        <v>1215</v>
      </c>
      <c r="K240" s="124">
        <v>44769</v>
      </c>
      <c r="L240" s="155">
        <v>12195.121999999999</v>
      </c>
      <c r="M240" s="155">
        <v>42410.975779399996</v>
      </c>
      <c r="N240" s="136">
        <v>0</v>
      </c>
      <c r="O240" s="136">
        <v>0</v>
      </c>
      <c r="P240" s="154">
        <v>0</v>
      </c>
      <c r="Q240" s="124">
        <v>46961</v>
      </c>
    </row>
    <row r="241" spans="1:17" ht="15" customHeight="1">
      <c r="A241" s="150">
        <v>313</v>
      </c>
      <c r="B241" s="150">
        <v>313</v>
      </c>
      <c r="C241" s="150" t="s">
        <v>1069</v>
      </c>
      <c r="D241" s="150" t="s">
        <v>2754</v>
      </c>
      <c r="E241" s="151"/>
      <c r="F241" s="27"/>
      <c r="G241" s="152" t="s">
        <v>2292</v>
      </c>
      <c r="H241" s="27">
        <v>62020847</v>
      </c>
      <c r="I241" s="150" t="s">
        <v>311</v>
      </c>
      <c r="J241" s="153" t="s">
        <v>1222</v>
      </c>
      <c r="K241" s="124">
        <v>44805</v>
      </c>
      <c r="L241" s="155">
        <v>17250</v>
      </c>
      <c r="M241" s="155">
        <v>58029</v>
      </c>
      <c r="N241" s="136">
        <v>862.072</v>
      </c>
      <c r="O241" s="136">
        <v>2906.9067839999998</v>
      </c>
      <c r="P241" s="154">
        <v>4.9975188405797101E-2</v>
      </c>
      <c r="Q241" s="124">
        <v>47727</v>
      </c>
    </row>
    <row r="242" spans="1:17" ht="15" customHeight="1">
      <c r="A242" s="150">
        <v>313</v>
      </c>
      <c r="B242" s="150">
        <v>313</v>
      </c>
      <c r="C242" s="150" t="s">
        <v>1069</v>
      </c>
      <c r="D242" s="150" t="s">
        <v>2755</v>
      </c>
      <c r="E242" s="151"/>
      <c r="F242" s="27"/>
      <c r="G242" s="152" t="s">
        <v>2411</v>
      </c>
      <c r="H242" s="27">
        <v>62020854</v>
      </c>
      <c r="I242" s="150" t="s">
        <v>311</v>
      </c>
      <c r="J242" s="153" t="s">
        <v>1215</v>
      </c>
      <c r="K242" s="124">
        <v>44778</v>
      </c>
      <c r="L242" s="155">
        <v>9800</v>
      </c>
      <c r="M242" s="155">
        <v>33413.1</v>
      </c>
      <c r="N242" s="136">
        <v>0</v>
      </c>
      <c r="O242" s="136">
        <v>0</v>
      </c>
      <c r="P242" s="154">
        <v>0</v>
      </c>
      <c r="Q242" s="124">
        <v>48431</v>
      </c>
    </row>
    <row r="243" spans="1:17" ht="15" customHeight="1">
      <c r="A243" s="150">
        <v>313</v>
      </c>
      <c r="B243" s="150">
        <v>313</v>
      </c>
      <c r="C243" s="150" t="s">
        <v>1069</v>
      </c>
      <c r="D243" s="150" t="s">
        <v>2132</v>
      </c>
      <c r="E243" s="151"/>
      <c r="F243" s="27"/>
      <c r="G243" s="152" t="s">
        <v>2403</v>
      </c>
      <c r="H243" s="27">
        <v>62013529</v>
      </c>
      <c r="I243" s="150" t="s">
        <v>311</v>
      </c>
      <c r="J243" s="153" t="s">
        <v>1222</v>
      </c>
      <c r="K243" s="124">
        <v>44789</v>
      </c>
      <c r="L243" s="155">
        <v>36585</v>
      </c>
      <c r="M243" s="155">
        <v>119742.705</v>
      </c>
      <c r="N243" s="136">
        <v>3186.1109999999999</v>
      </c>
      <c r="O243" s="136">
        <v>10743.566292</v>
      </c>
      <c r="P243" s="154">
        <v>8.7087904879048786E-2</v>
      </c>
      <c r="Q243" s="124">
        <v>48442</v>
      </c>
    </row>
    <row r="244" spans="1:17" ht="15" customHeight="1">
      <c r="A244" s="150">
        <v>313</v>
      </c>
      <c r="B244" s="150">
        <v>313</v>
      </c>
      <c r="C244" s="150" t="s">
        <v>1069</v>
      </c>
      <c r="D244" s="150" t="s">
        <v>2756</v>
      </c>
      <c r="E244" s="151"/>
      <c r="F244" s="27"/>
      <c r="G244" s="152" t="s">
        <v>2426</v>
      </c>
      <c r="H244" s="27">
        <v>62011360</v>
      </c>
      <c r="I244" s="150" t="s">
        <v>311</v>
      </c>
      <c r="J244" s="153" t="s">
        <v>1222</v>
      </c>
      <c r="K244" s="124">
        <v>44858</v>
      </c>
      <c r="L244" s="155">
        <v>12195.121949999999</v>
      </c>
      <c r="M244" s="155">
        <v>43378.048776149997</v>
      </c>
      <c r="N244" s="136">
        <v>1097.5609499999994</v>
      </c>
      <c r="O244" s="136">
        <v>3700.9755233999977</v>
      </c>
      <c r="P244" s="154">
        <v>8.9999997908999957E-2</v>
      </c>
      <c r="Q244" s="124">
        <v>47784</v>
      </c>
    </row>
    <row r="245" spans="1:17" ht="15" customHeight="1">
      <c r="A245" s="150">
        <v>313</v>
      </c>
      <c r="B245" s="150">
        <v>313</v>
      </c>
      <c r="C245" s="150" t="s">
        <v>1069</v>
      </c>
      <c r="D245" s="150" t="s">
        <v>2757</v>
      </c>
      <c r="E245" s="151"/>
      <c r="F245" s="27"/>
      <c r="G245" s="152" t="s">
        <v>2230</v>
      </c>
      <c r="H245" s="27">
        <v>62020987</v>
      </c>
      <c r="I245" s="150" t="s">
        <v>311</v>
      </c>
      <c r="J245" s="153" t="s">
        <v>1222</v>
      </c>
      <c r="K245" s="124">
        <v>44762</v>
      </c>
      <c r="L245" s="155">
        <v>23000</v>
      </c>
      <c r="M245" s="155">
        <v>79281</v>
      </c>
      <c r="N245" s="136">
        <v>14342.90207</v>
      </c>
      <c r="O245" s="136">
        <v>48364.265780039997</v>
      </c>
      <c r="P245" s="154">
        <v>0.62360443782608699</v>
      </c>
      <c r="Q245" s="124">
        <v>48415</v>
      </c>
    </row>
    <row r="246" spans="1:17" ht="15" customHeight="1">
      <c r="A246" s="150">
        <v>313</v>
      </c>
      <c r="B246" s="150">
        <v>313</v>
      </c>
      <c r="C246" s="150" t="s">
        <v>1069</v>
      </c>
      <c r="D246" s="150" t="s">
        <v>2036</v>
      </c>
      <c r="E246" s="151"/>
      <c r="F246" s="27"/>
      <c r="G246" s="152" t="s">
        <v>2440</v>
      </c>
      <c r="H246" s="27">
        <v>62021019</v>
      </c>
      <c r="I246" s="150" t="s">
        <v>311</v>
      </c>
      <c r="J246" s="153" t="s">
        <v>1222</v>
      </c>
      <c r="K246" s="124">
        <v>44824</v>
      </c>
      <c r="L246" s="155">
        <v>10980</v>
      </c>
      <c r="M246" s="155">
        <v>37760.22</v>
      </c>
      <c r="N246" s="136">
        <v>6807.6</v>
      </c>
      <c r="O246" s="136">
        <v>22955.227199999998</v>
      </c>
      <c r="P246" s="154">
        <v>0.62</v>
      </c>
      <c r="Q246" s="124">
        <v>49572</v>
      </c>
    </row>
    <row r="247" spans="1:17" ht="15" customHeight="1">
      <c r="A247" s="150">
        <v>313</v>
      </c>
      <c r="B247" s="150">
        <v>313</v>
      </c>
      <c r="C247" s="150" t="s">
        <v>1069</v>
      </c>
      <c r="D247" s="150" t="s">
        <v>2289</v>
      </c>
      <c r="E247" s="151"/>
      <c r="F247" s="27"/>
      <c r="G247" s="152" t="s">
        <v>2561</v>
      </c>
      <c r="H247" s="27">
        <v>62019650</v>
      </c>
      <c r="I247" s="150" t="s">
        <v>311</v>
      </c>
      <c r="J247" s="153" t="s">
        <v>1215</v>
      </c>
      <c r="K247" s="124">
        <v>44883</v>
      </c>
      <c r="L247" s="155">
        <v>4878</v>
      </c>
      <c r="M247" s="155">
        <v>17543.726999999999</v>
      </c>
      <c r="N247" s="136">
        <v>4463.03125</v>
      </c>
      <c r="O247" s="136">
        <v>17652.181199999999</v>
      </c>
      <c r="P247" s="154">
        <v>0.91493055555555558</v>
      </c>
      <c r="Q247" s="124">
        <v>48536</v>
      </c>
    </row>
    <row r="248" spans="1:17" ht="15" customHeight="1">
      <c r="A248" s="150">
        <v>313</v>
      </c>
      <c r="B248" s="150">
        <v>313</v>
      </c>
      <c r="C248" s="150" t="s">
        <v>1069</v>
      </c>
      <c r="D248" s="150" t="s">
        <v>2758</v>
      </c>
      <c r="E248" s="151"/>
      <c r="F248" s="27"/>
      <c r="G248" s="152" t="s">
        <v>2443</v>
      </c>
      <c r="H248" s="27">
        <v>62019700</v>
      </c>
      <c r="I248" s="150" t="s">
        <v>311</v>
      </c>
      <c r="J248" s="153" t="s">
        <v>1222</v>
      </c>
      <c r="K248" s="124">
        <v>44844</v>
      </c>
      <c r="L248" s="155">
        <v>12200</v>
      </c>
      <c r="M248" s="155">
        <v>43005</v>
      </c>
      <c r="N248" s="136">
        <v>2110.1550000000002</v>
      </c>
      <c r="O248" s="136">
        <v>7115.4426599999997</v>
      </c>
      <c r="P248" s="154">
        <v>0.17296352459016395</v>
      </c>
      <c r="Q248" s="124">
        <v>48497</v>
      </c>
    </row>
    <row r="249" spans="1:17" ht="15" customHeight="1">
      <c r="A249" s="150">
        <v>313</v>
      </c>
      <c r="B249" s="150">
        <v>313</v>
      </c>
      <c r="C249" s="150" t="s">
        <v>1069</v>
      </c>
      <c r="D249" s="150" t="s">
        <v>2132</v>
      </c>
      <c r="E249" s="151"/>
      <c r="F249" s="27"/>
      <c r="G249" s="152" t="s">
        <v>2286</v>
      </c>
      <c r="H249" s="27">
        <v>62021027</v>
      </c>
      <c r="I249" s="150" t="s">
        <v>311</v>
      </c>
      <c r="J249" s="153" t="s">
        <v>1222</v>
      </c>
      <c r="K249" s="124">
        <v>44754</v>
      </c>
      <c r="L249" s="155">
        <v>36600</v>
      </c>
      <c r="M249" s="155">
        <v>127514.4</v>
      </c>
      <c r="N249" s="136">
        <v>23032.297999999999</v>
      </c>
      <c r="O249" s="136">
        <v>77664.908855999995</v>
      </c>
      <c r="P249" s="154">
        <v>0.62929775956284151</v>
      </c>
      <c r="Q249" s="124">
        <v>48407</v>
      </c>
    </row>
    <row r="250" spans="1:17" ht="15" customHeight="1">
      <c r="A250" s="150">
        <v>313</v>
      </c>
      <c r="B250" s="150">
        <v>313</v>
      </c>
      <c r="C250" s="150" t="s">
        <v>1069</v>
      </c>
      <c r="D250" s="150" t="s">
        <v>2435</v>
      </c>
      <c r="E250" s="151"/>
      <c r="F250" s="27"/>
      <c r="G250" s="152" t="s">
        <v>2508</v>
      </c>
      <c r="H250" s="27">
        <v>62021035</v>
      </c>
      <c r="I250" s="150" t="s">
        <v>311</v>
      </c>
      <c r="J250" s="153" t="s">
        <v>1222</v>
      </c>
      <c r="K250" s="124">
        <v>44775</v>
      </c>
      <c r="L250" s="155">
        <v>36590</v>
      </c>
      <c r="M250" s="155">
        <v>123198.53</v>
      </c>
      <c r="N250" s="136">
        <v>23417.599999999999</v>
      </c>
      <c r="O250" s="136">
        <v>78964.147200000007</v>
      </c>
      <c r="P250" s="154">
        <v>0.64</v>
      </c>
      <c r="Q250" s="124">
        <v>48428</v>
      </c>
    </row>
    <row r="251" spans="1:17" ht="15" customHeight="1">
      <c r="A251" s="150">
        <v>313</v>
      </c>
      <c r="B251" s="150">
        <v>313</v>
      </c>
      <c r="C251" s="150" t="s">
        <v>1069</v>
      </c>
      <c r="D251" s="150" t="s">
        <v>2132</v>
      </c>
      <c r="E251" s="151"/>
      <c r="F251" s="27"/>
      <c r="G251" s="152" t="s">
        <v>2284</v>
      </c>
      <c r="H251" s="27">
        <v>60413220</v>
      </c>
      <c r="I251" s="150" t="s">
        <v>311</v>
      </c>
      <c r="J251" s="153" t="s">
        <v>1222</v>
      </c>
      <c r="K251" s="124">
        <v>44791</v>
      </c>
      <c r="L251" s="155">
        <v>24390</v>
      </c>
      <c r="M251" s="155">
        <v>79096.77</v>
      </c>
      <c r="N251" s="136">
        <v>16998.911</v>
      </c>
      <c r="O251" s="136">
        <v>57320.327891999994</v>
      </c>
      <c r="P251" s="154">
        <v>0.69696232062320629</v>
      </c>
      <c r="Q251" s="124" t="s">
        <v>2735</v>
      </c>
    </row>
    <row r="252" spans="1:17" ht="15" customHeight="1">
      <c r="A252" s="150">
        <v>313</v>
      </c>
      <c r="B252" s="150">
        <v>313</v>
      </c>
      <c r="C252" s="150" t="s">
        <v>1069</v>
      </c>
      <c r="D252" s="150" t="s">
        <v>2435</v>
      </c>
      <c r="E252" s="151"/>
      <c r="F252" s="27"/>
      <c r="G252" s="152" t="s">
        <v>2329</v>
      </c>
      <c r="H252" s="27">
        <v>9840580</v>
      </c>
      <c r="I252" s="150" t="s">
        <v>311</v>
      </c>
      <c r="J252" s="153" t="s">
        <v>1222</v>
      </c>
      <c r="K252" s="124">
        <v>44788</v>
      </c>
      <c r="L252" s="155">
        <v>36590</v>
      </c>
      <c r="M252" s="155">
        <v>119466.35</v>
      </c>
      <c r="N252" s="136">
        <v>2045.3810000000001</v>
      </c>
      <c r="O252" s="136">
        <v>6897.0247319999999</v>
      </c>
      <c r="P252" s="154">
        <v>5.5900000000000005E-2</v>
      </c>
      <c r="Q252" s="124">
        <v>48441</v>
      </c>
    </row>
    <row r="253" spans="1:17" ht="15" customHeight="1">
      <c r="A253" s="150">
        <v>313</v>
      </c>
      <c r="B253" s="150">
        <v>313</v>
      </c>
      <c r="C253" s="150" t="s">
        <v>1069</v>
      </c>
      <c r="D253" s="150" t="s">
        <v>2397</v>
      </c>
      <c r="E253" s="151"/>
      <c r="F253" s="27"/>
      <c r="G253" s="152" t="s">
        <v>2759</v>
      </c>
      <c r="H253" s="27">
        <v>62005620</v>
      </c>
      <c r="I253" s="150" t="s">
        <v>311</v>
      </c>
      <c r="J253" s="153" t="s">
        <v>1215</v>
      </c>
      <c r="K253" s="124">
        <v>44917</v>
      </c>
      <c r="L253" s="155">
        <v>2439</v>
      </c>
      <c r="M253" s="155">
        <v>9007.9586999999992</v>
      </c>
      <c r="N253" s="136">
        <v>1076.0037500000001</v>
      </c>
      <c r="O253" s="136">
        <v>4255.8100319999994</v>
      </c>
      <c r="P253" s="154">
        <v>0.44116594915949164</v>
      </c>
      <c r="Q253" s="124">
        <v>48570</v>
      </c>
    </row>
    <row r="254" spans="1:17" ht="15" customHeight="1">
      <c r="A254" s="150">
        <v>313</v>
      </c>
      <c r="B254" s="150">
        <v>313</v>
      </c>
      <c r="C254" s="150" t="s">
        <v>1069</v>
      </c>
      <c r="D254" s="150" t="s">
        <v>2760</v>
      </c>
      <c r="E254" s="151"/>
      <c r="F254" s="27"/>
      <c r="G254" s="152" t="s">
        <v>2413</v>
      </c>
      <c r="H254" s="27">
        <v>62019750</v>
      </c>
      <c r="I254" s="150" t="s">
        <v>311</v>
      </c>
      <c r="J254" s="153" t="s">
        <v>1222</v>
      </c>
      <c r="K254" s="124">
        <v>44911</v>
      </c>
      <c r="L254" s="155">
        <v>9756</v>
      </c>
      <c r="M254" s="155">
        <v>33667.955999999998</v>
      </c>
      <c r="N254" s="136">
        <v>8170.65</v>
      </c>
      <c r="O254" s="136">
        <v>27551.431800000002</v>
      </c>
      <c r="P254" s="154">
        <v>0.83749999999999991</v>
      </c>
      <c r="Q254" s="124">
        <v>48564</v>
      </c>
    </row>
    <row r="255" spans="1:17" ht="15" customHeight="1">
      <c r="A255" s="150">
        <v>313</v>
      </c>
      <c r="B255" s="150">
        <v>313</v>
      </c>
      <c r="C255" s="150" t="s">
        <v>1069</v>
      </c>
      <c r="D255" s="150" t="s">
        <v>2761</v>
      </c>
      <c r="E255" s="151"/>
      <c r="F255" s="27"/>
      <c r="G255" s="152" t="s">
        <v>2484</v>
      </c>
      <c r="H255" s="27">
        <v>62021068</v>
      </c>
      <c r="I255" s="150" t="s">
        <v>311</v>
      </c>
      <c r="J255" s="153" t="s">
        <v>1222</v>
      </c>
      <c r="K255" s="124">
        <v>44923</v>
      </c>
      <c r="L255" s="155">
        <v>12195.121949999999</v>
      </c>
      <c r="M255" s="155">
        <v>42975.609751800002</v>
      </c>
      <c r="N255" s="136">
        <v>2497.8586299999988</v>
      </c>
      <c r="O255" s="136">
        <v>8422.7793003599963</v>
      </c>
      <c r="P255" s="154">
        <v>0.20482440768048235</v>
      </c>
      <c r="Q255" s="124">
        <v>47480</v>
      </c>
    </row>
    <row r="256" spans="1:17" ht="15" customHeight="1">
      <c r="A256" s="150">
        <v>313</v>
      </c>
      <c r="B256" s="150">
        <v>313</v>
      </c>
      <c r="C256" s="150" t="s">
        <v>1069</v>
      </c>
      <c r="D256" s="150" t="s">
        <v>2762</v>
      </c>
      <c r="E256" s="151"/>
      <c r="F256" s="27"/>
      <c r="G256" s="152" t="s">
        <v>2763</v>
      </c>
      <c r="H256" s="27">
        <v>62019785</v>
      </c>
      <c r="I256" s="150" t="s">
        <v>311</v>
      </c>
      <c r="J256" s="153" t="s">
        <v>1222</v>
      </c>
      <c r="K256" s="124">
        <v>44913</v>
      </c>
      <c r="L256" s="155">
        <v>8536.5</v>
      </c>
      <c r="M256" s="155">
        <v>29459.461500000001</v>
      </c>
      <c r="N256" s="136">
        <v>8536.5</v>
      </c>
      <c r="O256" s="136">
        <v>28785.078000000001</v>
      </c>
      <c r="P256" s="154">
        <v>1</v>
      </c>
      <c r="Q256" s="124">
        <v>48566</v>
      </c>
    </row>
    <row r="257" spans="1:17" ht="15" customHeight="1">
      <c r="A257" s="150">
        <v>313</v>
      </c>
      <c r="B257" s="150">
        <v>313</v>
      </c>
      <c r="C257" s="150" t="s">
        <v>1069</v>
      </c>
      <c r="D257" s="150" t="s">
        <v>2397</v>
      </c>
      <c r="E257" s="151"/>
      <c r="F257" s="27"/>
      <c r="G257" s="152" t="s">
        <v>2398</v>
      </c>
      <c r="H257" s="27">
        <v>62005624</v>
      </c>
      <c r="I257" s="150" t="s">
        <v>311</v>
      </c>
      <c r="J257" s="153" t="s">
        <v>1215</v>
      </c>
      <c r="K257" s="124">
        <v>44917</v>
      </c>
      <c r="L257" s="155">
        <v>2439</v>
      </c>
      <c r="M257" s="155">
        <v>9007.9586999999992</v>
      </c>
      <c r="N257" s="136">
        <v>1686.0434700000001</v>
      </c>
      <c r="O257" s="136">
        <v>6668.6391325439999</v>
      </c>
      <c r="P257" s="154">
        <v>0.69128473554735548</v>
      </c>
      <c r="Q257" s="124">
        <v>48570</v>
      </c>
    </row>
    <row r="258" spans="1:17" ht="15" customHeight="1">
      <c r="A258" s="150">
        <v>313</v>
      </c>
      <c r="B258" s="150">
        <v>313</v>
      </c>
      <c r="C258" s="150" t="s">
        <v>1069</v>
      </c>
      <c r="D258" s="150" t="s">
        <v>2279</v>
      </c>
      <c r="E258" s="151"/>
      <c r="F258" s="27"/>
      <c r="G258" s="152" t="s">
        <v>2280</v>
      </c>
      <c r="H258" s="27">
        <v>60385264</v>
      </c>
      <c r="I258" s="150" t="s">
        <v>311</v>
      </c>
      <c r="J258" s="153" t="s">
        <v>1215</v>
      </c>
      <c r="K258" s="124">
        <v>44914</v>
      </c>
      <c r="L258" s="155">
        <v>10980</v>
      </c>
      <c r="M258" s="155">
        <v>40092.372000000003</v>
      </c>
      <c r="N258" s="136">
        <v>6787.594939999999</v>
      </c>
      <c r="O258" s="136">
        <v>26846.295506687999</v>
      </c>
      <c r="P258" s="154">
        <v>0.61817804553734057</v>
      </c>
      <c r="Q258" s="124">
        <v>48567</v>
      </c>
    </row>
    <row r="259" spans="1:17" ht="15" customHeight="1">
      <c r="A259" s="150">
        <v>313</v>
      </c>
      <c r="B259" s="150">
        <v>313</v>
      </c>
      <c r="C259" s="150" t="s">
        <v>1069</v>
      </c>
      <c r="D259" s="150" t="s">
        <v>2279</v>
      </c>
      <c r="E259" s="151"/>
      <c r="F259" s="27"/>
      <c r="G259" s="152" t="s">
        <v>2515</v>
      </c>
      <c r="H259" s="27">
        <v>60385370</v>
      </c>
      <c r="I259" s="150" t="s">
        <v>311</v>
      </c>
      <c r="J259" s="153" t="s">
        <v>1215</v>
      </c>
      <c r="K259" s="124">
        <v>44914</v>
      </c>
      <c r="L259" s="155">
        <v>2440</v>
      </c>
      <c r="M259" s="155">
        <v>8909.4159999999993</v>
      </c>
      <c r="N259" s="136">
        <v>2131.2895400000002</v>
      </c>
      <c r="O259" s="136">
        <v>8429.6763886080007</v>
      </c>
      <c r="P259" s="154">
        <v>0.87347931967213122</v>
      </c>
      <c r="Q259" s="124">
        <v>48567</v>
      </c>
    </row>
    <row r="260" spans="1:17" ht="15" customHeight="1">
      <c r="A260" s="150">
        <v>313</v>
      </c>
      <c r="B260" s="150">
        <v>313</v>
      </c>
      <c r="C260" s="150" t="s">
        <v>1069</v>
      </c>
      <c r="D260" s="150" t="s">
        <v>2728</v>
      </c>
      <c r="E260" s="151"/>
      <c r="F260" s="27"/>
      <c r="G260" s="152" t="s">
        <v>2300</v>
      </c>
      <c r="H260" s="27">
        <v>62015846</v>
      </c>
      <c r="I260" s="150" t="s">
        <v>311</v>
      </c>
      <c r="J260" s="153" t="s">
        <v>1215</v>
      </c>
      <c r="K260" s="124">
        <v>44849</v>
      </c>
      <c r="L260" s="155">
        <v>12200</v>
      </c>
      <c r="M260" s="155">
        <v>42176.62</v>
      </c>
      <c r="N260" s="136">
        <v>9383.4214499999998</v>
      </c>
      <c r="O260" s="136">
        <v>37113.308519039994</v>
      </c>
      <c r="P260" s="154">
        <v>0.76913290573770488</v>
      </c>
      <c r="Q260" s="124">
        <v>48502</v>
      </c>
    </row>
    <row r="261" spans="1:17" ht="15" customHeight="1">
      <c r="A261" s="150">
        <v>313</v>
      </c>
      <c r="B261" s="150">
        <v>313</v>
      </c>
      <c r="C261" s="150" t="s">
        <v>1069</v>
      </c>
      <c r="D261" s="150" t="s">
        <v>2658</v>
      </c>
      <c r="E261" s="151"/>
      <c r="F261" s="27"/>
      <c r="G261" s="152" t="s">
        <v>2592</v>
      </c>
      <c r="H261" s="27">
        <v>62021100</v>
      </c>
      <c r="I261" s="150" t="s">
        <v>311</v>
      </c>
      <c r="J261" s="153" t="s">
        <v>1222</v>
      </c>
      <c r="K261" s="124">
        <v>44917</v>
      </c>
      <c r="L261" s="155">
        <v>24400</v>
      </c>
      <c r="M261" s="155">
        <v>84838.8</v>
      </c>
      <c r="N261" s="136">
        <v>12136.403</v>
      </c>
      <c r="O261" s="136">
        <v>40923.950916000002</v>
      </c>
      <c r="P261" s="154">
        <v>0.49739356557377051</v>
      </c>
      <c r="Q261" s="124">
        <v>48570</v>
      </c>
    </row>
    <row r="262" spans="1:17" ht="15" customHeight="1">
      <c r="A262" s="150">
        <v>313</v>
      </c>
      <c r="B262" s="150">
        <v>313</v>
      </c>
      <c r="C262" s="150" t="s">
        <v>1069</v>
      </c>
      <c r="D262" s="150" t="s">
        <v>2306</v>
      </c>
      <c r="E262" s="151"/>
      <c r="F262" s="27"/>
      <c r="G262" s="152" t="s">
        <v>2448</v>
      </c>
      <c r="H262" s="27">
        <v>62018025</v>
      </c>
      <c r="I262" s="150" t="s">
        <v>311</v>
      </c>
      <c r="J262" s="153" t="s">
        <v>1215</v>
      </c>
      <c r="K262" s="124">
        <v>44958</v>
      </c>
      <c r="L262" s="155">
        <v>11500</v>
      </c>
      <c r="M262" s="155">
        <v>43284.85</v>
      </c>
      <c r="N262" s="136">
        <v>4241.66</v>
      </c>
      <c r="O262" s="136">
        <v>16776.613632000001</v>
      </c>
      <c r="P262" s="154">
        <v>0.36884</v>
      </c>
      <c r="Q262" s="124">
        <v>47150</v>
      </c>
    </row>
    <row r="263" spans="1:17" ht="15" customHeight="1">
      <c r="A263" s="150">
        <v>313</v>
      </c>
      <c r="B263" s="150">
        <v>313</v>
      </c>
      <c r="C263" s="150" t="s">
        <v>1069</v>
      </c>
      <c r="D263" s="150" t="s">
        <v>2701</v>
      </c>
      <c r="E263" s="151"/>
      <c r="F263" s="27"/>
      <c r="G263" s="152" t="s">
        <v>2476</v>
      </c>
      <c r="H263" s="27">
        <v>62016262</v>
      </c>
      <c r="I263" s="150" t="s">
        <v>311</v>
      </c>
      <c r="J263" s="153" t="s">
        <v>1222</v>
      </c>
      <c r="K263" s="124">
        <v>44973</v>
      </c>
      <c r="L263" s="155">
        <v>2400</v>
      </c>
      <c r="M263" s="155">
        <v>8491.2000000000007</v>
      </c>
      <c r="N263" s="136">
        <v>0</v>
      </c>
      <c r="O263" s="136">
        <v>0</v>
      </c>
      <c r="P263" s="154">
        <v>0</v>
      </c>
      <c r="Q263" s="124">
        <v>47530</v>
      </c>
    </row>
    <row r="264" spans="1:17" ht="15" customHeight="1">
      <c r="A264" s="150">
        <v>313</v>
      </c>
      <c r="B264" s="150">
        <v>313</v>
      </c>
      <c r="C264" s="150" t="s">
        <v>1069</v>
      </c>
      <c r="D264" s="150" t="s">
        <v>2471</v>
      </c>
      <c r="E264" s="151"/>
      <c r="F264" s="27"/>
      <c r="G264" s="152" t="s">
        <v>2263</v>
      </c>
      <c r="H264" s="27">
        <v>60294100</v>
      </c>
      <c r="I264" s="150" t="s">
        <v>311</v>
      </c>
      <c r="J264" s="153" t="s">
        <v>1222</v>
      </c>
      <c r="K264" s="124">
        <v>45016</v>
      </c>
      <c r="L264" s="155">
        <v>3048.75</v>
      </c>
      <c r="M264" s="155">
        <v>11021.231250000001</v>
      </c>
      <c r="N264" s="136">
        <v>2615.0700000000002</v>
      </c>
      <c r="O264" s="136">
        <v>8818.0160399999986</v>
      </c>
      <c r="P264" s="154">
        <v>0.85775153751537525</v>
      </c>
      <c r="Q264" s="124">
        <v>47938</v>
      </c>
    </row>
    <row r="265" spans="1:17" ht="15" customHeight="1">
      <c r="A265" s="150">
        <v>313</v>
      </c>
      <c r="B265" s="150">
        <v>313</v>
      </c>
      <c r="C265" s="150" t="s">
        <v>1069</v>
      </c>
      <c r="D265" s="150" t="s">
        <v>2761</v>
      </c>
      <c r="E265" s="151"/>
      <c r="F265" s="27"/>
      <c r="G265" s="152" t="s">
        <v>2340</v>
      </c>
      <c r="H265" s="27">
        <v>62021072</v>
      </c>
      <c r="I265" s="150" t="s">
        <v>311</v>
      </c>
      <c r="J265" s="153" t="s">
        <v>1222</v>
      </c>
      <c r="K265" s="124">
        <v>45016</v>
      </c>
      <c r="L265" s="155">
        <v>3048.75</v>
      </c>
      <c r="M265" s="155">
        <v>11021.231250000001</v>
      </c>
      <c r="N265" s="136">
        <v>1267.8709799999999</v>
      </c>
      <c r="O265" s="136">
        <v>4275.2609445600001</v>
      </c>
      <c r="P265" s="154">
        <v>0.41586584009840094</v>
      </c>
      <c r="Q265" s="124">
        <v>48669</v>
      </c>
    </row>
    <row r="266" spans="1:17" ht="15" customHeight="1">
      <c r="A266" s="150">
        <v>313</v>
      </c>
      <c r="B266" s="150">
        <v>313</v>
      </c>
      <c r="C266" s="150" t="s">
        <v>1069</v>
      </c>
      <c r="D266" s="150" t="s">
        <v>2247</v>
      </c>
      <c r="E266" s="151"/>
      <c r="F266" s="27"/>
      <c r="G266" s="152" t="s">
        <v>2517</v>
      </c>
      <c r="H266" s="27">
        <v>60397560</v>
      </c>
      <c r="I266" s="150" t="s">
        <v>311</v>
      </c>
      <c r="J266" s="153" t="s">
        <v>1222</v>
      </c>
      <c r="K266" s="124">
        <v>45037</v>
      </c>
      <c r="L266" s="155">
        <v>3048.75</v>
      </c>
      <c r="M266" s="155">
        <v>11146.23</v>
      </c>
      <c r="N266" s="136">
        <v>702.22</v>
      </c>
      <c r="O266" s="136">
        <v>2367.8858399999999</v>
      </c>
      <c r="P266" s="154">
        <v>0.23033046330463305</v>
      </c>
      <c r="Q266" s="124">
        <v>47959</v>
      </c>
    </row>
    <row r="267" spans="1:17" ht="15" customHeight="1">
      <c r="A267" s="150">
        <v>313</v>
      </c>
      <c r="B267" s="150">
        <v>313</v>
      </c>
      <c r="C267" s="150" t="s">
        <v>1069</v>
      </c>
      <c r="D267" s="150" t="s">
        <v>2532</v>
      </c>
      <c r="E267" s="151"/>
      <c r="F267" s="27"/>
      <c r="G267" s="152" t="s">
        <v>2533</v>
      </c>
      <c r="H267" s="27">
        <v>62021200</v>
      </c>
      <c r="I267" s="150" t="s">
        <v>311</v>
      </c>
      <c r="J267" s="153" t="s">
        <v>1215</v>
      </c>
      <c r="K267" s="124">
        <v>45041</v>
      </c>
      <c r="L267" s="155">
        <v>7625</v>
      </c>
      <c r="M267" s="155">
        <v>30605.987499999996</v>
      </c>
      <c r="N267" s="136">
        <v>6782.1973399999997</v>
      </c>
      <c r="O267" s="136">
        <v>26824.946919168</v>
      </c>
      <c r="P267" s="154">
        <v>0.88946850360655738</v>
      </c>
      <c r="Q267" s="124">
        <v>48694</v>
      </c>
    </row>
    <row r="268" spans="1:17" ht="15" customHeight="1">
      <c r="A268" s="150">
        <v>313</v>
      </c>
      <c r="B268" s="150">
        <v>313</v>
      </c>
      <c r="C268" s="150" t="s">
        <v>1069</v>
      </c>
      <c r="D268" s="150" t="s">
        <v>2152</v>
      </c>
      <c r="E268" s="151"/>
      <c r="F268" s="27"/>
      <c r="G268" s="152" t="s">
        <v>2153</v>
      </c>
      <c r="H268" s="27">
        <v>60398860</v>
      </c>
      <c r="I268" s="150" t="s">
        <v>311</v>
      </c>
      <c r="J268" s="153" t="s">
        <v>1222</v>
      </c>
      <c r="K268" s="124">
        <v>45023</v>
      </c>
      <c r="L268" s="155">
        <v>7561.933</v>
      </c>
      <c r="M268" s="155">
        <v>26950.729212000002</v>
      </c>
      <c r="N268" s="136">
        <v>4845.5959999999995</v>
      </c>
      <c r="O268" s="136">
        <v>16339.349711999999</v>
      </c>
      <c r="P268" s="154">
        <v>0.64078801015560438</v>
      </c>
      <c r="Q268" s="124">
        <v>48676</v>
      </c>
    </row>
    <row r="269" spans="1:17" ht="15" customHeight="1">
      <c r="A269" s="150">
        <v>313</v>
      </c>
      <c r="B269" s="150">
        <v>313</v>
      </c>
      <c r="C269" s="150" t="s">
        <v>1069</v>
      </c>
      <c r="D269" s="150" t="s">
        <v>2385</v>
      </c>
      <c r="E269" s="151"/>
      <c r="F269" s="27"/>
      <c r="G269" s="152" t="s">
        <v>2386</v>
      </c>
      <c r="H269" s="27">
        <v>62021216</v>
      </c>
      <c r="I269" s="150" t="s">
        <v>311</v>
      </c>
      <c r="J269" s="153" t="s">
        <v>1222</v>
      </c>
      <c r="K269" s="124">
        <v>45058</v>
      </c>
      <c r="L269" s="155">
        <v>3048.75</v>
      </c>
      <c r="M269" s="155">
        <v>11103.547500000001</v>
      </c>
      <c r="N269" s="136">
        <v>2626.306</v>
      </c>
      <c r="O269" s="136">
        <v>8855.903832</v>
      </c>
      <c r="P269" s="154">
        <v>0.86143698236982369</v>
      </c>
      <c r="Q269" s="124">
        <v>47980</v>
      </c>
    </row>
    <row r="270" spans="1:17" ht="15" customHeight="1">
      <c r="A270" s="150">
        <v>313</v>
      </c>
      <c r="B270" s="150">
        <v>313</v>
      </c>
      <c r="C270" s="150" t="s">
        <v>1069</v>
      </c>
      <c r="D270" s="120" t="s">
        <v>2185</v>
      </c>
      <c r="E270" s="151"/>
      <c r="F270" s="27"/>
      <c r="G270" s="152" t="s">
        <v>2501</v>
      </c>
      <c r="H270" s="27">
        <v>62021209</v>
      </c>
      <c r="I270" s="150" t="s">
        <v>311</v>
      </c>
      <c r="J270" s="153" t="s">
        <v>1222</v>
      </c>
      <c r="K270" s="124">
        <v>45021</v>
      </c>
      <c r="L270" s="155">
        <v>4301.8094900000006</v>
      </c>
      <c r="M270" s="155">
        <v>15331.649022360001</v>
      </c>
      <c r="N270" s="136">
        <v>2922.1214900000004</v>
      </c>
      <c r="O270" s="136">
        <v>9853.3936642800018</v>
      </c>
      <c r="P270" s="154">
        <v>0.67927728942733823</v>
      </c>
      <c r="Q270" s="124">
        <v>48674</v>
      </c>
    </row>
    <row r="271" spans="1:17" ht="15" customHeight="1">
      <c r="A271" s="150">
        <v>313</v>
      </c>
      <c r="B271" s="150">
        <v>313</v>
      </c>
      <c r="C271" s="150" t="s">
        <v>1069</v>
      </c>
      <c r="D271" s="120" t="s">
        <v>2185</v>
      </c>
      <c r="E271" s="151"/>
      <c r="F271" s="27"/>
      <c r="G271" s="152" t="s">
        <v>2513</v>
      </c>
      <c r="H271" s="27">
        <v>62021214</v>
      </c>
      <c r="I271" s="150" t="s">
        <v>311</v>
      </c>
      <c r="J271" s="153" t="s">
        <v>1222</v>
      </c>
      <c r="K271" s="124">
        <v>45021</v>
      </c>
      <c r="L271" s="155">
        <v>20525.776719999998</v>
      </c>
      <c r="M271" s="155">
        <v>73153.868230079999</v>
      </c>
      <c r="N271" s="136">
        <v>13687.505719999999</v>
      </c>
      <c r="O271" s="136">
        <v>46154.26928783999</v>
      </c>
      <c r="P271" s="154">
        <v>0.6668447146588663</v>
      </c>
      <c r="Q271" s="124">
        <v>48674</v>
      </c>
    </row>
    <row r="272" spans="1:17" ht="15" customHeight="1">
      <c r="A272" s="150">
        <v>313</v>
      </c>
      <c r="B272" s="150">
        <v>313</v>
      </c>
      <c r="C272" s="150" t="s">
        <v>1069</v>
      </c>
      <c r="D272" s="150" t="s">
        <v>2036</v>
      </c>
      <c r="E272" s="151"/>
      <c r="F272" s="27"/>
      <c r="G272" s="152" t="s">
        <v>2245</v>
      </c>
      <c r="H272" s="27">
        <v>62010091</v>
      </c>
      <c r="I272" s="150" t="s">
        <v>311</v>
      </c>
      <c r="J272" s="153" t="s">
        <v>1222</v>
      </c>
      <c r="K272" s="124">
        <v>44840</v>
      </c>
      <c r="L272" s="155">
        <v>6832</v>
      </c>
      <c r="M272" s="155">
        <v>24171.616000000002</v>
      </c>
      <c r="N272" s="136">
        <v>4196.5259999999998</v>
      </c>
      <c r="O272" s="136">
        <v>14150.685672</v>
      </c>
      <c r="P272" s="154">
        <v>0.61424560889929736</v>
      </c>
      <c r="Q272" s="124">
        <v>46666</v>
      </c>
    </row>
    <row r="273" spans="1:17" ht="15" customHeight="1">
      <c r="A273" s="150">
        <v>313</v>
      </c>
      <c r="B273" s="150">
        <v>313</v>
      </c>
      <c r="C273" s="150" t="s">
        <v>1069</v>
      </c>
      <c r="D273" s="150" t="s">
        <v>2764</v>
      </c>
      <c r="E273" s="151"/>
      <c r="F273" s="27"/>
      <c r="G273" s="152" t="s">
        <v>2407</v>
      </c>
      <c r="H273" s="27">
        <v>62020620</v>
      </c>
      <c r="I273" s="150" t="s">
        <v>311</v>
      </c>
      <c r="J273" s="153" t="s">
        <v>1223</v>
      </c>
      <c r="K273" s="124">
        <v>45054</v>
      </c>
      <c r="L273" s="155">
        <v>8372.0930000000008</v>
      </c>
      <c r="M273" s="155">
        <v>20659.8138961</v>
      </c>
      <c r="N273" s="136">
        <v>0</v>
      </c>
      <c r="O273" s="136">
        <v>0</v>
      </c>
      <c r="P273" s="154">
        <v>0</v>
      </c>
      <c r="Q273" s="124">
        <v>48579</v>
      </c>
    </row>
    <row r="274" spans="1:17" ht="15" customHeight="1">
      <c r="A274" s="150">
        <v>313</v>
      </c>
      <c r="B274" s="150">
        <v>313</v>
      </c>
      <c r="C274" s="150" t="s">
        <v>1069</v>
      </c>
      <c r="D274" s="150" t="s">
        <v>2697</v>
      </c>
      <c r="E274" s="151"/>
      <c r="F274" s="27"/>
      <c r="G274" s="152" t="s">
        <v>2765</v>
      </c>
      <c r="H274" s="27">
        <v>62021260</v>
      </c>
      <c r="I274" s="150" t="s">
        <v>311</v>
      </c>
      <c r="J274" s="153" t="s">
        <v>1222</v>
      </c>
      <c r="K274" s="124">
        <v>45078</v>
      </c>
      <c r="L274" s="155">
        <v>9000</v>
      </c>
      <c r="M274" s="155">
        <v>33624</v>
      </c>
      <c r="N274" s="136">
        <v>9000</v>
      </c>
      <c r="O274" s="136">
        <v>30348</v>
      </c>
      <c r="P274" s="154">
        <v>1</v>
      </c>
      <c r="Q274" s="124">
        <v>48731</v>
      </c>
    </row>
    <row r="275" spans="1:17" ht="15" customHeight="1">
      <c r="A275" s="150">
        <v>313</v>
      </c>
      <c r="B275" s="150">
        <v>313</v>
      </c>
      <c r="C275" s="150" t="s">
        <v>1069</v>
      </c>
      <c r="D275" s="120" t="s">
        <v>2112</v>
      </c>
      <c r="E275" s="151"/>
      <c r="F275" s="27"/>
      <c r="G275" s="152" t="s">
        <v>2562</v>
      </c>
      <c r="H275" s="27">
        <v>62021274</v>
      </c>
      <c r="I275" s="150" t="s">
        <v>311</v>
      </c>
      <c r="J275" s="153" t="s">
        <v>1215</v>
      </c>
      <c r="K275" s="124">
        <v>45105</v>
      </c>
      <c r="L275" s="155">
        <v>18600</v>
      </c>
      <c r="M275" s="155">
        <v>74974.740000000005</v>
      </c>
      <c r="N275" s="136">
        <v>15799.418589999999</v>
      </c>
      <c r="O275" s="136">
        <v>62489.860407168002</v>
      </c>
      <c r="P275" s="154">
        <v>0.84943110698924729</v>
      </c>
      <c r="Q275" s="124">
        <v>48758</v>
      </c>
    </row>
    <row r="276" spans="1:17" ht="15" customHeight="1">
      <c r="A276" s="150">
        <v>313</v>
      </c>
      <c r="B276" s="150">
        <v>313</v>
      </c>
      <c r="C276" s="150" t="s">
        <v>1069</v>
      </c>
      <c r="D276" s="150" t="s">
        <v>2739</v>
      </c>
      <c r="E276" s="151"/>
      <c r="F276" s="27"/>
      <c r="G276" s="152" t="s">
        <v>2572</v>
      </c>
      <c r="H276" s="27">
        <v>62018182</v>
      </c>
      <c r="I276" s="150" t="s">
        <v>311</v>
      </c>
      <c r="J276" s="153" t="s">
        <v>1215</v>
      </c>
      <c r="K276" s="124">
        <v>45125</v>
      </c>
      <c r="L276" s="155">
        <v>7318</v>
      </c>
      <c r="M276" s="155">
        <v>29932.815399999999</v>
      </c>
      <c r="N276" s="136">
        <v>2304.4382000000001</v>
      </c>
      <c r="O276" s="136">
        <v>9114.5139686400016</v>
      </c>
      <c r="P276" s="154">
        <v>0.31490000000000001</v>
      </c>
      <c r="Q276" s="124">
        <v>48778</v>
      </c>
    </row>
    <row r="277" spans="1:17" ht="15" customHeight="1">
      <c r="A277" s="150">
        <v>313</v>
      </c>
      <c r="B277" s="150">
        <v>313</v>
      </c>
      <c r="C277" s="150" t="s">
        <v>1069</v>
      </c>
      <c r="D277" s="150" t="s">
        <v>2722</v>
      </c>
      <c r="E277" s="151"/>
      <c r="F277" s="27"/>
      <c r="G277" s="152" t="s">
        <v>2352</v>
      </c>
      <c r="H277" s="27">
        <v>62013932</v>
      </c>
      <c r="I277" s="150" t="s">
        <v>311</v>
      </c>
      <c r="J277" s="153" t="s">
        <v>1222</v>
      </c>
      <c r="K277" s="124">
        <v>45136</v>
      </c>
      <c r="L277" s="155">
        <v>24830</v>
      </c>
      <c r="M277" s="155">
        <v>92193.79</v>
      </c>
      <c r="N277" s="136">
        <v>21798.091670000002</v>
      </c>
      <c r="O277" s="136">
        <v>73503.16511124</v>
      </c>
      <c r="P277" s="154">
        <v>0.8778933415223521</v>
      </c>
      <c r="Q277" s="124">
        <v>49519</v>
      </c>
    </row>
    <row r="278" spans="1:17" ht="15" customHeight="1">
      <c r="A278" s="150">
        <v>313</v>
      </c>
      <c r="B278" s="150">
        <v>313</v>
      </c>
      <c r="C278" s="150" t="s">
        <v>1069</v>
      </c>
      <c r="D278" s="150" t="s">
        <v>2766</v>
      </c>
      <c r="E278" s="151"/>
      <c r="F278" s="27"/>
      <c r="G278" s="152" t="s">
        <v>2521</v>
      </c>
      <c r="H278" s="27">
        <v>62014040</v>
      </c>
      <c r="I278" s="150" t="s">
        <v>311</v>
      </c>
      <c r="J278" s="153" t="s">
        <v>1222</v>
      </c>
      <c r="K278" s="124">
        <v>45128</v>
      </c>
      <c r="L278" s="155">
        <v>8062.1220000000003</v>
      </c>
      <c r="M278" s="155">
        <v>29160.695274000002</v>
      </c>
      <c r="N278" s="136">
        <v>4829.76</v>
      </c>
      <c r="O278" s="136">
        <v>16285.950719999999</v>
      </c>
      <c r="P278" s="154">
        <v>0.59906808654098764</v>
      </c>
      <c r="Q278" s="124">
        <v>48781</v>
      </c>
    </row>
    <row r="279" spans="1:17" ht="15" customHeight="1">
      <c r="A279" s="150">
        <v>313</v>
      </c>
      <c r="B279" s="150">
        <v>313</v>
      </c>
      <c r="C279" s="150" t="s">
        <v>1069</v>
      </c>
      <c r="D279" s="120" t="s">
        <v>2275</v>
      </c>
      <c r="E279" s="151"/>
      <c r="F279" s="27"/>
      <c r="G279" s="152" t="s">
        <v>2539</v>
      </c>
      <c r="H279" s="27">
        <v>62021464</v>
      </c>
      <c r="I279" s="150" t="s">
        <v>311</v>
      </c>
      <c r="J279" s="153" t="s">
        <v>1215</v>
      </c>
      <c r="K279" s="124">
        <v>45238</v>
      </c>
      <c r="L279" s="155">
        <v>22345</v>
      </c>
      <c r="M279" s="155">
        <v>91782.087499999994</v>
      </c>
      <c r="N279" s="136">
        <v>11684.649660000001</v>
      </c>
      <c r="O279" s="136">
        <v>46215.126335232002</v>
      </c>
      <c r="P279" s="154">
        <v>0.52292010114119492</v>
      </c>
      <c r="Q279" s="124">
        <v>48760</v>
      </c>
    </row>
    <row r="280" spans="1:17" ht="15" customHeight="1">
      <c r="A280" s="150">
        <v>313</v>
      </c>
      <c r="B280" s="150">
        <v>313</v>
      </c>
      <c r="C280" s="150" t="s">
        <v>1069</v>
      </c>
      <c r="D280" s="150" t="s">
        <v>2474</v>
      </c>
      <c r="E280" s="151"/>
      <c r="F280" s="27"/>
      <c r="G280" s="152" t="s">
        <v>2441</v>
      </c>
      <c r="H280" s="27">
        <v>62021472</v>
      </c>
      <c r="I280" s="150" t="s">
        <v>311</v>
      </c>
      <c r="J280" s="153" t="s">
        <v>1222</v>
      </c>
      <c r="K280" s="124">
        <v>45246</v>
      </c>
      <c r="L280" s="155">
        <v>18605</v>
      </c>
      <c r="M280" s="155">
        <v>70308.294999999998</v>
      </c>
      <c r="N280" s="136">
        <v>6587.4690600000004</v>
      </c>
      <c r="O280" s="136">
        <v>22212.945670320001</v>
      </c>
      <c r="P280" s="154">
        <v>0.35406982316581564</v>
      </c>
      <c r="Q280" s="124">
        <v>48899</v>
      </c>
    </row>
    <row r="281" spans="1:17" ht="15" customHeight="1">
      <c r="A281" s="150">
        <v>313</v>
      </c>
      <c r="B281" s="150">
        <v>313</v>
      </c>
      <c r="C281" s="150" t="s">
        <v>1069</v>
      </c>
      <c r="D281" s="120" t="s">
        <v>2767</v>
      </c>
      <c r="E281" s="151"/>
      <c r="F281" s="27"/>
      <c r="G281" s="152" t="s">
        <v>2180</v>
      </c>
      <c r="H281" s="27">
        <v>62021514</v>
      </c>
      <c r="I281" s="150" t="s">
        <v>311</v>
      </c>
      <c r="J281" s="153" t="s">
        <v>1222</v>
      </c>
      <c r="K281" s="124">
        <v>45261</v>
      </c>
      <c r="L281" s="155">
        <v>15000</v>
      </c>
      <c r="M281" s="155">
        <v>56085</v>
      </c>
      <c r="N281" s="136">
        <v>3300</v>
      </c>
      <c r="O281" s="136">
        <v>11127.6</v>
      </c>
      <c r="P281" s="154">
        <v>0.22</v>
      </c>
      <c r="Q281" s="124">
        <v>47270</v>
      </c>
    </row>
    <row r="282" spans="1:17" ht="15" customHeight="1">
      <c r="A282" s="150">
        <v>313</v>
      </c>
      <c r="B282" s="150">
        <v>313</v>
      </c>
      <c r="C282" s="150" t="s">
        <v>1069</v>
      </c>
      <c r="D282" s="150" t="s">
        <v>2768</v>
      </c>
      <c r="E282" s="151"/>
      <c r="F282" s="27"/>
      <c r="G282" s="152" t="s">
        <v>2338</v>
      </c>
      <c r="H282" s="27">
        <v>62021401</v>
      </c>
      <c r="I282" s="150" t="s">
        <v>311</v>
      </c>
      <c r="J282" s="153" t="s">
        <v>1222</v>
      </c>
      <c r="K282" s="124">
        <v>45293</v>
      </c>
      <c r="L282" s="155">
        <v>5400</v>
      </c>
      <c r="M282" s="155">
        <v>19537.2</v>
      </c>
      <c r="N282" s="136">
        <v>1084.5092000000002</v>
      </c>
      <c r="O282" s="136">
        <v>3656.9650224000006</v>
      </c>
      <c r="P282" s="154">
        <v>0.20083503703703706</v>
      </c>
      <c r="Q282" s="124">
        <v>47850</v>
      </c>
    </row>
    <row r="283" spans="1:17" ht="15" customHeight="1">
      <c r="A283" s="150">
        <v>313</v>
      </c>
      <c r="B283" s="150">
        <v>313</v>
      </c>
      <c r="C283" s="150" t="s">
        <v>1069</v>
      </c>
      <c r="D283" s="150" t="s">
        <v>2699</v>
      </c>
      <c r="E283" s="151"/>
      <c r="F283" s="27"/>
      <c r="G283" s="152" t="s">
        <v>2769</v>
      </c>
      <c r="H283" s="27">
        <v>62021516</v>
      </c>
      <c r="I283" s="150" t="s">
        <v>311</v>
      </c>
      <c r="J283" s="153" t="s">
        <v>1222</v>
      </c>
      <c r="K283" s="124">
        <v>45280</v>
      </c>
      <c r="L283" s="155">
        <v>11700</v>
      </c>
      <c r="M283" s="155">
        <v>42681.599999999999</v>
      </c>
      <c r="N283" s="136">
        <v>11700</v>
      </c>
      <c r="O283" s="136">
        <v>39452.400000000001</v>
      </c>
      <c r="P283" s="154">
        <v>1</v>
      </c>
      <c r="Q283" s="124">
        <v>47107</v>
      </c>
    </row>
    <row r="284" spans="1:17" ht="15" customHeight="1">
      <c r="A284" s="150">
        <v>313</v>
      </c>
      <c r="B284" s="150">
        <v>313</v>
      </c>
      <c r="C284" s="150" t="s">
        <v>1069</v>
      </c>
      <c r="D284" s="150" t="s">
        <v>2770</v>
      </c>
      <c r="E284" s="151"/>
      <c r="F284" s="27"/>
      <c r="G284" s="152" t="s">
        <v>2254</v>
      </c>
      <c r="H284" s="27">
        <v>62021597</v>
      </c>
      <c r="I284" s="150" t="s">
        <v>311</v>
      </c>
      <c r="J284" s="153" t="s">
        <v>1215</v>
      </c>
      <c r="K284" s="124">
        <v>45092</v>
      </c>
      <c r="L284" s="155">
        <v>9302.3259999999991</v>
      </c>
      <c r="M284" s="155">
        <v>36135.815579599999</v>
      </c>
      <c r="N284" s="136">
        <v>6911.6274700000004</v>
      </c>
      <c r="O284" s="136">
        <v>27336.868969344003</v>
      </c>
      <c r="P284" s="154">
        <v>0.74299991959000378</v>
      </c>
      <c r="Q284" s="124">
        <v>49846</v>
      </c>
    </row>
    <row r="285" spans="1:17" ht="15" customHeight="1">
      <c r="A285" s="150">
        <v>313</v>
      </c>
      <c r="B285" s="150">
        <v>313</v>
      </c>
      <c r="C285" s="150" t="s">
        <v>1069</v>
      </c>
      <c r="D285" s="120" t="s">
        <v>2237</v>
      </c>
      <c r="E285" s="151"/>
      <c r="F285" s="27"/>
      <c r="G285" s="152" t="s">
        <v>2322</v>
      </c>
      <c r="H285" s="27">
        <v>62021613</v>
      </c>
      <c r="I285" s="150" t="s">
        <v>311</v>
      </c>
      <c r="J285" s="153" t="s">
        <v>1215</v>
      </c>
      <c r="K285" s="124">
        <v>45260</v>
      </c>
      <c r="L285" s="155">
        <v>13953</v>
      </c>
      <c r="M285" s="155">
        <v>56569.647899999989</v>
      </c>
      <c r="N285" s="136">
        <v>10430.21991</v>
      </c>
      <c r="O285" s="136">
        <v>41253.605788032</v>
      </c>
      <c r="P285" s="154">
        <v>0.74752525693399263</v>
      </c>
      <c r="Q285" s="124">
        <v>51926</v>
      </c>
    </row>
    <row r="286" spans="1:17" ht="15" customHeight="1">
      <c r="A286" s="150">
        <v>313</v>
      </c>
      <c r="B286" s="150">
        <v>313</v>
      </c>
      <c r="C286" s="150" t="s">
        <v>1069</v>
      </c>
      <c r="D286" s="120" t="s">
        <v>2771</v>
      </c>
      <c r="E286" s="135"/>
      <c r="F286" s="27"/>
      <c r="G286" s="152" t="s">
        <v>2023</v>
      </c>
      <c r="H286" s="27">
        <v>62021412</v>
      </c>
      <c r="I286" s="150" t="s">
        <v>311</v>
      </c>
      <c r="J286" s="153" t="s">
        <v>1222</v>
      </c>
      <c r="K286" s="124">
        <v>45398</v>
      </c>
      <c r="L286" s="155">
        <v>1918.212</v>
      </c>
      <c r="M286" s="155">
        <v>7231.6589999999997</v>
      </c>
      <c r="N286" s="136">
        <v>0</v>
      </c>
      <c r="O286" s="136">
        <v>0</v>
      </c>
      <c r="P286" s="154">
        <v>0</v>
      </c>
      <c r="Q286" s="124" t="s">
        <v>2735</v>
      </c>
    </row>
    <row r="287" spans="1:17" ht="15" customHeight="1">
      <c r="A287" s="150">
        <v>313</v>
      </c>
      <c r="B287" s="150">
        <v>313</v>
      </c>
      <c r="C287" s="150" t="s">
        <v>1069</v>
      </c>
      <c r="D287" s="120" t="s">
        <v>2200</v>
      </c>
      <c r="E287" s="120"/>
      <c r="F287" s="27"/>
      <c r="G287" s="152" t="s">
        <v>2434</v>
      </c>
      <c r="H287" s="27">
        <v>62021654</v>
      </c>
      <c r="I287" s="150" t="s">
        <v>311</v>
      </c>
      <c r="J287" s="153" t="s">
        <v>1222</v>
      </c>
      <c r="K287" s="124">
        <v>45385</v>
      </c>
      <c r="L287" s="155">
        <v>20689.654999999999</v>
      </c>
      <c r="M287" s="155">
        <v>77213.792000000001</v>
      </c>
      <c r="N287" s="136">
        <v>16167.959699999999</v>
      </c>
      <c r="O287" s="136">
        <v>54518.360108399997</v>
      </c>
      <c r="P287" s="154">
        <v>0.7814513920120949</v>
      </c>
      <c r="Q287" s="124">
        <v>47941</v>
      </c>
    </row>
    <row r="288" spans="1:17" ht="15" customHeight="1">
      <c r="A288" s="150">
        <v>313</v>
      </c>
      <c r="B288" s="150">
        <v>313</v>
      </c>
      <c r="C288" s="150" t="s">
        <v>1069</v>
      </c>
      <c r="D288" s="120" t="s">
        <v>2772</v>
      </c>
      <c r="E288" s="120"/>
      <c r="F288" s="27"/>
      <c r="G288" s="152" t="s">
        <v>2215</v>
      </c>
      <c r="H288" s="27">
        <v>62021803</v>
      </c>
      <c r="I288" s="150" t="s">
        <v>311</v>
      </c>
      <c r="J288" s="153" t="s">
        <v>1215</v>
      </c>
      <c r="K288" s="124">
        <v>45449</v>
      </c>
      <c r="L288" s="155">
        <v>9000</v>
      </c>
      <c r="M288" s="155">
        <v>36448.199999999997</v>
      </c>
      <c r="N288" s="136">
        <v>5603.6660000000002</v>
      </c>
      <c r="O288" s="136">
        <v>22163.6197632</v>
      </c>
      <c r="P288" s="154">
        <v>0.62262955555555555</v>
      </c>
      <c r="Q288" s="124">
        <v>47640</v>
      </c>
    </row>
    <row r="289" spans="1:17" ht="15" customHeight="1">
      <c r="A289" s="150">
        <v>313</v>
      </c>
      <c r="B289" s="150">
        <v>313</v>
      </c>
      <c r="C289" s="150" t="s">
        <v>1069</v>
      </c>
      <c r="D289" s="120" t="s">
        <v>2160</v>
      </c>
      <c r="E289" s="135"/>
      <c r="F289" s="27"/>
      <c r="G289" s="152" t="s">
        <v>1992</v>
      </c>
      <c r="H289" s="27">
        <v>62021812</v>
      </c>
      <c r="I289" s="150" t="s">
        <v>311</v>
      </c>
      <c r="J289" s="153" t="s">
        <v>1222</v>
      </c>
      <c r="K289" s="124">
        <v>45456</v>
      </c>
      <c r="L289" s="155">
        <v>8941.357</v>
      </c>
      <c r="M289" s="155">
        <v>33217.141000000003</v>
      </c>
      <c r="N289" s="136">
        <v>2.9999999329447747E-5</v>
      </c>
      <c r="O289" s="136">
        <v>1.0115999773889779E-4</v>
      </c>
      <c r="P289" s="154">
        <v>3.3551953388560312E-9</v>
      </c>
      <c r="Q289" s="124">
        <v>48012</v>
      </c>
    </row>
    <row r="290" spans="1:17" ht="15" customHeight="1">
      <c r="A290" s="150">
        <v>313</v>
      </c>
      <c r="B290" s="150">
        <v>313</v>
      </c>
      <c r="C290" s="150" t="s">
        <v>1069</v>
      </c>
      <c r="D290" s="120" t="s">
        <v>2160</v>
      </c>
      <c r="E290" s="135"/>
      <c r="F290" s="27"/>
      <c r="G290" s="152" t="s">
        <v>2161</v>
      </c>
      <c r="H290" s="27">
        <v>62021820</v>
      </c>
      <c r="I290" s="150" t="s">
        <v>311</v>
      </c>
      <c r="J290" s="153" t="s">
        <v>1222</v>
      </c>
      <c r="K290" s="124">
        <v>45456</v>
      </c>
      <c r="L290" s="155">
        <v>58.643000000000001</v>
      </c>
      <c r="M290" s="155">
        <v>217.85900000000001</v>
      </c>
      <c r="N290" s="136">
        <v>0</v>
      </c>
      <c r="O290" s="136">
        <v>0</v>
      </c>
      <c r="P290" s="154">
        <v>0</v>
      </c>
      <c r="Q290" s="124">
        <v>48012</v>
      </c>
    </row>
    <row r="291" spans="1:17" ht="15" customHeight="1">
      <c r="A291" s="150">
        <v>313</v>
      </c>
      <c r="B291" s="150">
        <v>313</v>
      </c>
      <c r="C291" s="150" t="s">
        <v>1069</v>
      </c>
      <c r="D291" s="150" t="s">
        <v>2169</v>
      </c>
      <c r="E291" s="120"/>
      <c r="F291" s="27"/>
      <c r="G291" s="152" t="s">
        <v>2170</v>
      </c>
      <c r="H291" s="27">
        <v>62021738</v>
      </c>
      <c r="I291" s="150" t="s">
        <v>311</v>
      </c>
      <c r="J291" s="153" t="s">
        <v>1222</v>
      </c>
      <c r="K291" s="124">
        <v>45468</v>
      </c>
      <c r="L291" s="155">
        <v>11300</v>
      </c>
      <c r="M291" s="155">
        <v>42092.5</v>
      </c>
      <c r="N291" s="136">
        <v>5787.3280000000004</v>
      </c>
      <c r="O291" s="136">
        <v>19514.870015999997</v>
      </c>
      <c r="P291" s="154">
        <v>0.5121529203539823</v>
      </c>
      <c r="Q291" s="124">
        <v>49120</v>
      </c>
    </row>
    <row r="292" spans="1:17" ht="15" customHeight="1">
      <c r="A292" s="150">
        <v>313</v>
      </c>
      <c r="B292" s="150">
        <v>313</v>
      </c>
      <c r="C292" s="150" t="s">
        <v>1069</v>
      </c>
      <c r="D292" s="120" t="s">
        <v>2162</v>
      </c>
      <c r="E292" s="120"/>
      <c r="F292" s="27"/>
      <c r="G292" s="150" t="s">
        <v>2222</v>
      </c>
      <c r="H292" s="27">
        <v>62021811</v>
      </c>
      <c r="I292" s="150" t="s">
        <v>311</v>
      </c>
      <c r="J292" s="153" t="s">
        <v>1222</v>
      </c>
      <c r="K292" s="124">
        <v>45475</v>
      </c>
      <c r="L292" s="155">
        <v>12727.272999999999</v>
      </c>
      <c r="M292" s="155">
        <v>47918.182844999996</v>
      </c>
      <c r="N292" s="136">
        <v>9799.2565799999993</v>
      </c>
      <c r="O292" s="136">
        <v>33043.093187760001</v>
      </c>
      <c r="P292" s="154">
        <v>0.76994157192982349</v>
      </c>
      <c r="Q292" s="124">
        <v>49127</v>
      </c>
    </row>
    <row r="293" spans="1:17" ht="15" customHeight="1">
      <c r="A293" s="150">
        <v>313</v>
      </c>
      <c r="B293" s="150">
        <v>313</v>
      </c>
      <c r="C293" s="150" t="s">
        <v>1069</v>
      </c>
      <c r="D293" s="120" t="s">
        <v>2462</v>
      </c>
      <c r="E293" s="161"/>
      <c r="F293" s="27"/>
      <c r="G293" s="150" t="s">
        <v>2463</v>
      </c>
      <c r="H293" s="27">
        <v>62021826</v>
      </c>
      <c r="I293" s="150" t="s">
        <v>311</v>
      </c>
      <c r="J293" s="153" t="s">
        <v>1222</v>
      </c>
      <c r="K293" s="124">
        <v>45485</v>
      </c>
      <c r="L293" s="155">
        <v>12727</v>
      </c>
      <c r="M293" s="155">
        <v>46351.733999999997</v>
      </c>
      <c r="N293" s="136">
        <v>12508.73</v>
      </c>
      <c r="O293" s="136">
        <v>42179.437559999998</v>
      </c>
      <c r="P293" s="154">
        <v>0.98284984678243104</v>
      </c>
      <c r="Q293" s="124">
        <v>49137</v>
      </c>
    </row>
    <row r="294" spans="1:17" ht="15" customHeight="1">
      <c r="A294" s="150">
        <v>313</v>
      </c>
      <c r="B294" s="150">
        <v>313</v>
      </c>
      <c r="C294" s="150" t="s">
        <v>1069</v>
      </c>
      <c r="D294" s="120" t="s">
        <v>2773</v>
      </c>
      <c r="E294" s="120"/>
      <c r="F294" s="27"/>
      <c r="G294" s="150" t="s">
        <v>2274</v>
      </c>
      <c r="H294" s="27">
        <v>62021902</v>
      </c>
      <c r="I294" s="150" t="s">
        <v>311</v>
      </c>
      <c r="J294" s="153" t="s">
        <v>1222</v>
      </c>
      <c r="K294" s="124">
        <v>45545</v>
      </c>
      <c r="L294" s="155">
        <v>10000</v>
      </c>
      <c r="M294" s="155">
        <v>37630</v>
      </c>
      <c r="N294" s="136">
        <v>6934.5659999999998</v>
      </c>
      <c r="O294" s="136">
        <v>23383.356552000001</v>
      </c>
      <c r="P294" s="154">
        <v>0.69345659999999998</v>
      </c>
      <c r="Q294" s="124">
        <v>49197</v>
      </c>
    </row>
    <row r="295" spans="1:17" ht="15" customHeight="1">
      <c r="A295" s="150">
        <v>313</v>
      </c>
      <c r="B295" s="150">
        <v>313</v>
      </c>
      <c r="C295" s="150" t="s">
        <v>1069</v>
      </c>
      <c r="D295" s="120" t="s">
        <v>2446</v>
      </c>
      <c r="E295" s="120"/>
      <c r="F295" s="27"/>
      <c r="G295" s="150" t="s">
        <v>2447</v>
      </c>
      <c r="H295" s="27">
        <v>62021910</v>
      </c>
      <c r="I295" s="150" t="s">
        <v>311</v>
      </c>
      <c r="J295" s="153" t="s">
        <v>1222</v>
      </c>
      <c r="K295" s="124">
        <v>45526</v>
      </c>
      <c r="L295" s="155">
        <v>9091</v>
      </c>
      <c r="M295" s="155">
        <v>33854.883999999998</v>
      </c>
      <c r="N295" s="136">
        <v>8477.8198300000004</v>
      </c>
      <c r="O295" s="136">
        <v>28587.208466759999</v>
      </c>
      <c r="P295" s="154">
        <v>0.93255085579144215</v>
      </c>
      <c r="Q295" s="124">
        <v>49178</v>
      </c>
    </row>
    <row r="296" spans="1:17" ht="15" customHeight="1">
      <c r="A296" s="150">
        <v>313</v>
      </c>
      <c r="B296" s="150">
        <v>313</v>
      </c>
      <c r="C296" s="150" t="s">
        <v>1069</v>
      </c>
      <c r="D296" s="120" t="s">
        <v>2347</v>
      </c>
      <c r="E296" s="120"/>
      <c r="F296" s="27"/>
      <c r="G296" s="150" t="s">
        <v>2348</v>
      </c>
      <c r="H296" s="27">
        <v>62021741</v>
      </c>
      <c r="I296" s="150" t="s">
        <v>311</v>
      </c>
      <c r="J296" s="153" t="s">
        <v>1222</v>
      </c>
      <c r="K296" s="124">
        <v>45615</v>
      </c>
      <c r="L296" s="155">
        <v>7780</v>
      </c>
      <c r="M296" s="155">
        <v>29120.54</v>
      </c>
      <c r="N296" s="136">
        <v>4248.7420000000002</v>
      </c>
      <c r="O296" s="136">
        <v>14326.758024000001</v>
      </c>
      <c r="P296" s="154">
        <v>0.54611079691516717</v>
      </c>
      <c r="Q296" s="124">
        <v>49267</v>
      </c>
    </row>
    <row r="297" spans="1:17" ht="15" customHeight="1">
      <c r="A297" s="150">
        <v>313</v>
      </c>
      <c r="B297" s="150">
        <v>313</v>
      </c>
      <c r="C297" s="150" t="s">
        <v>1069</v>
      </c>
      <c r="D297" s="133" t="s">
        <v>2774</v>
      </c>
      <c r="E297" s="120"/>
      <c r="F297" s="27"/>
      <c r="G297" s="152" t="s">
        <v>2375</v>
      </c>
      <c r="H297" s="27">
        <v>62021833</v>
      </c>
      <c r="I297" s="150" t="s">
        <v>311</v>
      </c>
      <c r="J297" s="153" t="s">
        <v>1222</v>
      </c>
      <c r="K297" s="124">
        <v>45650</v>
      </c>
      <c r="L297" s="155">
        <v>11670</v>
      </c>
      <c r="M297" s="136">
        <v>42747.21</v>
      </c>
      <c r="N297" s="136">
        <v>8575.8459999999995</v>
      </c>
      <c r="O297" s="136">
        <v>28917.752711999998</v>
      </c>
      <c r="P297" s="154">
        <v>0.73486255355612673</v>
      </c>
      <c r="Q297" s="124">
        <v>49302</v>
      </c>
    </row>
    <row r="298" spans="1:17" ht="15" customHeight="1">
      <c r="A298" s="150">
        <v>313</v>
      </c>
      <c r="B298" s="150">
        <v>313</v>
      </c>
      <c r="C298" s="150" t="s">
        <v>1069</v>
      </c>
      <c r="D298" s="133" t="s">
        <v>2173</v>
      </c>
      <c r="E298" s="120"/>
      <c r="F298" s="27"/>
      <c r="G298" s="152" t="s">
        <v>2174</v>
      </c>
      <c r="H298" s="27">
        <v>62019780</v>
      </c>
      <c r="I298" s="150" t="s">
        <v>311</v>
      </c>
      <c r="J298" s="153" t="s">
        <v>1222</v>
      </c>
      <c r="K298" s="124">
        <v>45649</v>
      </c>
      <c r="L298" s="155">
        <v>11670</v>
      </c>
      <c r="M298" s="136">
        <v>42583.83</v>
      </c>
      <c r="N298" s="136">
        <v>11611.65</v>
      </c>
      <c r="O298" s="136">
        <v>39154.483799999995</v>
      </c>
      <c r="P298" s="154">
        <v>0.995</v>
      </c>
      <c r="Q298" s="124">
        <v>49301</v>
      </c>
    </row>
    <row r="299" spans="1:17" ht="15" customHeight="1">
      <c r="A299" s="150">
        <v>313</v>
      </c>
      <c r="B299" s="150">
        <v>313</v>
      </c>
      <c r="C299" s="150" t="s">
        <v>1069</v>
      </c>
      <c r="D299" s="120" t="s">
        <v>2462</v>
      </c>
      <c r="E299" s="162"/>
      <c r="F299" s="150"/>
      <c r="G299" s="152" t="s">
        <v>2529</v>
      </c>
      <c r="H299" s="27">
        <v>62021848</v>
      </c>
      <c r="I299" s="150" t="s">
        <v>311</v>
      </c>
      <c r="J299" s="153" t="s">
        <v>1222</v>
      </c>
      <c r="K299" s="124">
        <v>45680</v>
      </c>
      <c r="L299" s="155">
        <v>2273</v>
      </c>
      <c r="M299" s="136">
        <v>8085.0609999999997</v>
      </c>
      <c r="N299" s="136">
        <v>444.58300000000003</v>
      </c>
      <c r="O299" s="136">
        <v>1499.1338759999999</v>
      </c>
      <c r="P299" s="154">
        <v>0.19559304883413992</v>
      </c>
      <c r="Q299" s="124">
        <v>49137</v>
      </c>
    </row>
    <row r="300" spans="1:17" ht="15" customHeight="1">
      <c r="A300" s="150">
        <v>313</v>
      </c>
      <c r="B300" s="150">
        <v>313</v>
      </c>
      <c r="C300" s="150" t="s">
        <v>1069</v>
      </c>
      <c r="D300" s="133" t="s">
        <v>2758</v>
      </c>
      <c r="E300" s="163"/>
      <c r="F300" s="150"/>
      <c r="G300" s="152" t="s">
        <v>2775</v>
      </c>
      <c r="H300" s="27">
        <v>62019711</v>
      </c>
      <c r="I300" s="150" t="s">
        <v>311</v>
      </c>
      <c r="J300" s="153" t="s">
        <v>1222</v>
      </c>
      <c r="K300" s="124">
        <v>45667</v>
      </c>
      <c r="L300" s="155">
        <v>10000</v>
      </c>
      <c r="M300" s="136">
        <v>36650</v>
      </c>
      <c r="N300" s="136">
        <v>10000</v>
      </c>
      <c r="O300" s="136">
        <v>33720</v>
      </c>
      <c r="P300" s="154">
        <v>1</v>
      </c>
      <c r="Q300" s="124">
        <v>49319</v>
      </c>
    </row>
    <row r="301" spans="1:17" ht="15" customHeight="1">
      <c r="A301" s="150">
        <v>313</v>
      </c>
      <c r="B301" s="150">
        <v>313</v>
      </c>
      <c r="C301" s="150" t="s">
        <v>1069</v>
      </c>
      <c r="D301" s="133" t="s">
        <v>2776</v>
      </c>
      <c r="E301" s="164"/>
      <c r="F301" s="150"/>
      <c r="G301" s="152" t="s">
        <v>2436</v>
      </c>
      <c r="H301" s="27">
        <v>62022207</v>
      </c>
      <c r="I301" s="150" t="s">
        <v>311</v>
      </c>
      <c r="J301" s="153" t="s">
        <v>1222</v>
      </c>
      <c r="K301" s="124">
        <v>45699</v>
      </c>
      <c r="L301" s="155">
        <v>10000</v>
      </c>
      <c r="M301" s="136">
        <v>35880</v>
      </c>
      <c r="N301" s="136">
        <v>7150</v>
      </c>
      <c r="O301" s="136">
        <v>24109.8</v>
      </c>
      <c r="P301" s="154">
        <v>0.71499999999999997</v>
      </c>
      <c r="Q301" s="124">
        <v>49036</v>
      </c>
    </row>
    <row r="302" spans="1:17" ht="15" customHeight="1">
      <c r="A302" s="150">
        <v>313</v>
      </c>
      <c r="B302" s="150">
        <v>313</v>
      </c>
      <c r="C302" s="150" t="s">
        <v>1069</v>
      </c>
      <c r="D302" s="133" t="s">
        <v>2568</v>
      </c>
      <c r="E302" s="120"/>
      <c r="F302" s="27"/>
      <c r="G302" s="152" t="s">
        <v>2569</v>
      </c>
      <c r="H302" s="27">
        <v>62022249</v>
      </c>
      <c r="I302" s="150" t="s">
        <v>311</v>
      </c>
      <c r="J302" s="153" t="s">
        <v>1222</v>
      </c>
      <c r="K302" s="124">
        <v>45708</v>
      </c>
      <c r="L302" s="155">
        <v>10000</v>
      </c>
      <c r="M302" s="136">
        <v>35420</v>
      </c>
      <c r="N302" s="136">
        <v>8589.7190200000005</v>
      </c>
      <c r="O302" s="136">
        <v>28964.532535439997</v>
      </c>
      <c r="P302" s="154">
        <v>0.85897190200000006</v>
      </c>
      <c r="Q302" s="124">
        <v>49360</v>
      </c>
    </row>
    <row r="303" spans="1:17" ht="15" customHeight="1">
      <c r="A303" s="150">
        <v>313</v>
      </c>
      <c r="B303" s="150">
        <v>313</v>
      </c>
      <c r="C303" s="150" t="s">
        <v>1069</v>
      </c>
      <c r="D303" s="120" t="s">
        <v>2044</v>
      </c>
      <c r="E303" s="165"/>
      <c r="F303" s="150"/>
      <c r="G303" s="152" t="s">
        <v>2777</v>
      </c>
      <c r="H303" s="27">
        <v>62017790</v>
      </c>
      <c r="I303" s="150" t="s">
        <v>311</v>
      </c>
      <c r="J303" s="153" t="s">
        <v>1222</v>
      </c>
      <c r="K303" s="124">
        <v>45645</v>
      </c>
      <c r="L303" s="155">
        <v>6711</v>
      </c>
      <c r="M303" s="136">
        <v>24280.398000000001</v>
      </c>
      <c r="N303" s="136">
        <v>6711</v>
      </c>
      <c r="O303" s="136">
        <v>22629.491999999998</v>
      </c>
      <c r="P303" s="154">
        <v>1</v>
      </c>
      <c r="Q303" s="124">
        <v>50557</v>
      </c>
    </row>
    <row r="304" spans="1:17" ht="15" customHeight="1">
      <c r="A304" s="150">
        <v>313</v>
      </c>
      <c r="B304" s="150">
        <v>313</v>
      </c>
      <c r="C304" s="150" t="s">
        <v>1069</v>
      </c>
      <c r="D304" s="120" t="s">
        <v>2044</v>
      </c>
      <c r="E304" s="166"/>
      <c r="F304" s="150"/>
      <c r="G304" s="152" t="s">
        <v>2778</v>
      </c>
      <c r="H304" s="27">
        <v>62017795</v>
      </c>
      <c r="I304" s="150" t="s">
        <v>311</v>
      </c>
      <c r="J304" s="153" t="s">
        <v>1222</v>
      </c>
      <c r="K304" s="124">
        <v>45645</v>
      </c>
      <c r="L304" s="155">
        <v>1864</v>
      </c>
      <c r="M304" s="136">
        <v>6743.9520000000002</v>
      </c>
      <c r="N304" s="136">
        <v>1864</v>
      </c>
      <c r="O304" s="136">
        <v>6285.4080000000004</v>
      </c>
      <c r="P304" s="154">
        <v>1</v>
      </c>
      <c r="Q304" s="124">
        <v>50557</v>
      </c>
    </row>
    <row r="305" spans="1:17" ht="15" customHeight="1">
      <c r="A305" s="150">
        <v>313</v>
      </c>
      <c r="B305" s="150">
        <v>313</v>
      </c>
      <c r="C305" s="150" t="s">
        <v>1069</v>
      </c>
      <c r="D305" s="120" t="s">
        <v>2536</v>
      </c>
      <c r="E305" s="120"/>
      <c r="F305" s="27"/>
      <c r="G305" s="152" t="s">
        <v>2537</v>
      </c>
      <c r="H305" s="27">
        <v>62022365</v>
      </c>
      <c r="I305" s="150" t="s">
        <v>311</v>
      </c>
      <c r="J305" s="153" t="s">
        <v>1222</v>
      </c>
      <c r="K305" s="124">
        <v>45783</v>
      </c>
      <c r="L305" s="155">
        <v>6670</v>
      </c>
      <c r="M305" s="136">
        <v>24132.06</v>
      </c>
      <c r="N305" s="136">
        <v>4686.3239999999996</v>
      </c>
      <c r="O305" s="136">
        <v>15802.284527999998</v>
      </c>
      <c r="P305" s="154">
        <v>0.7025973013493253</v>
      </c>
      <c r="Q305" s="124">
        <v>48340</v>
      </c>
    </row>
    <row r="306" spans="1:17" ht="15" customHeight="1">
      <c r="A306" s="150">
        <v>313</v>
      </c>
      <c r="B306" s="150">
        <v>313</v>
      </c>
      <c r="C306" s="150" t="s">
        <v>1069</v>
      </c>
      <c r="D306" s="120" t="s">
        <v>2779</v>
      </c>
      <c r="E306" s="120"/>
      <c r="F306" s="27"/>
      <c r="G306" s="152" t="s">
        <v>2780</v>
      </c>
      <c r="H306" s="27">
        <v>62022413</v>
      </c>
      <c r="I306" s="150" t="s">
        <v>311</v>
      </c>
      <c r="J306" s="153" t="s">
        <v>1225</v>
      </c>
      <c r="K306" s="124">
        <v>45783</v>
      </c>
      <c r="L306" s="155">
        <v>7200</v>
      </c>
      <c r="M306" s="136">
        <v>34828.559999999998</v>
      </c>
      <c r="N306" s="136">
        <v>7200</v>
      </c>
      <c r="O306" s="136">
        <v>33289.919999999998</v>
      </c>
      <c r="P306" s="154">
        <v>1</v>
      </c>
      <c r="Q306" s="124">
        <v>48705</v>
      </c>
    </row>
    <row r="307" spans="1:17" ht="15" customHeight="1">
      <c r="A307" s="150">
        <v>313</v>
      </c>
      <c r="B307" s="150">
        <v>313</v>
      </c>
      <c r="C307" s="150" t="s">
        <v>1069</v>
      </c>
      <c r="D307" s="120" t="s">
        <v>1990</v>
      </c>
      <c r="E307" s="158"/>
      <c r="F307" s="27"/>
      <c r="G307" s="152" t="s">
        <v>2025</v>
      </c>
      <c r="H307" s="27">
        <v>62021828</v>
      </c>
      <c r="I307" s="150" t="s">
        <v>311</v>
      </c>
      <c r="J307" s="153" t="s">
        <v>1222</v>
      </c>
      <c r="K307" s="124">
        <v>45816</v>
      </c>
      <c r="L307" s="155">
        <v>6600</v>
      </c>
      <c r="M307" s="136">
        <v>23113.200000000001</v>
      </c>
      <c r="N307" s="136">
        <v>4413.8711099999991</v>
      </c>
      <c r="O307" s="136">
        <v>14883.573382919996</v>
      </c>
      <c r="P307" s="154">
        <v>0.6687683499999999</v>
      </c>
      <c r="Q307" s="124">
        <v>48380</v>
      </c>
    </row>
    <row r="308" spans="1:17" ht="15" customHeight="1">
      <c r="A308" s="150">
        <v>313</v>
      </c>
      <c r="B308" s="150">
        <v>313</v>
      </c>
      <c r="C308" s="150" t="s">
        <v>1069</v>
      </c>
      <c r="D308" s="120" t="s">
        <v>2781</v>
      </c>
      <c r="E308" s="120"/>
      <c r="F308" s="27"/>
      <c r="G308" s="152" t="s">
        <v>2782</v>
      </c>
      <c r="H308" s="27">
        <v>62022255</v>
      </c>
      <c r="I308" s="150" t="s">
        <v>311</v>
      </c>
      <c r="J308" s="153" t="s">
        <v>1222</v>
      </c>
      <c r="K308" s="124">
        <v>45789</v>
      </c>
      <c r="L308" s="155">
        <v>8000</v>
      </c>
      <c r="M308" s="136">
        <v>28360</v>
      </c>
      <c r="N308" s="136">
        <v>8000</v>
      </c>
      <c r="O308" s="136">
        <v>26976</v>
      </c>
      <c r="P308" s="154">
        <v>1</v>
      </c>
      <c r="Q308" s="124">
        <v>49441</v>
      </c>
    </row>
  </sheetData>
  <conditionalFormatting sqref="E199">
    <cfRule type="duplicateValues" dxfId="20" priority="21"/>
  </conditionalFormatting>
  <conditionalFormatting sqref="E236">
    <cfRule type="duplicateValues" dxfId="19" priority="20"/>
  </conditionalFormatting>
  <conditionalFormatting sqref="E55">
    <cfRule type="duplicateValues" dxfId="18" priority="19"/>
  </conditionalFormatting>
  <conditionalFormatting sqref="E287">
    <cfRule type="duplicateValues" dxfId="17" priority="18"/>
  </conditionalFormatting>
  <conditionalFormatting sqref="E288">
    <cfRule type="duplicateValues" dxfId="16" priority="17"/>
  </conditionalFormatting>
  <conditionalFormatting sqref="E289">
    <cfRule type="duplicateValues" dxfId="15" priority="16"/>
  </conditionalFormatting>
  <conditionalFormatting sqref="E290">
    <cfRule type="duplicateValues" dxfId="14" priority="15"/>
  </conditionalFormatting>
  <conditionalFormatting sqref="E291">
    <cfRule type="duplicateValues" dxfId="13" priority="14"/>
  </conditionalFormatting>
  <conditionalFormatting sqref="E286">
    <cfRule type="duplicateValues" dxfId="12" priority="13"/>
  </conditionalFormatting>
  <conditionalFormatting sqref="E294">
    <cfRule type="duplicateValues" dxfId="11" priority="12"/>
  </conditionalFormatting>
  <conditionalFormatting sqref="E295">
    <cfRule type="duplicateValues" dxfId="10" priority="11"/>
  </conditionalFormatting>
  <conditionalFormatting sqref="E56">
    <cfRule type="duplicateValues" dxfId="9" priority="10"/>
  </conditionalFormatting>
  <conditionalFormatting sqref="E296">
    <cfRule type="duplicateValues" dxfId="8" priority="9"/>
  </conditionalFormatting>
  <conditionalFormatting sqref="E301">
    <cfRule type="duplicateValues" dxfId="7" priority="8"/>
  </conditionalFormatting>
  <conditionalFormatting sqref="E302">
    <cfRule type="duplicateValues" dxfId="6" priority="7"/>
  </conditionalFormatting>
  <conditionalFormatting sqref="E297">
    <cfRule type="duplicateValues" dxfId="5" priority="6"/>
  </conditionalFormatting>
  <conditionalFormatting sqref="E298">
    <cfRule type="duplicateValues" dxfId="4" priority="5"/>
  </conditionalFormatting>
  <conditionalFormatting sqref="E299">
    <cfRule type="duplicateValues" dxfId="3" priority="4"/>
  </conditionalFormatting>
  <conditionalFormatting sqref="E308">
    <cfRule type="duplicateValues" dxfId="2" priority="3"/>
  </conditionalFormatting>
  <conditionalFormatting sqref="E305">
    <cfRule type="duplicateValues" dxfId="1" priority="2"/>
  </conditionalFormatting>
  <conditionalFormatting sqref="E306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2025-07-24T07:51:07Z</dcterms:modified>
</cp:coreProperties>
</file>