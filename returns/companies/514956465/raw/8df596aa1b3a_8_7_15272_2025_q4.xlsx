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5D49EDFD-93DA-4200-941E-90C3C1EF6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" i="1" l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</calcChain>
</file>

<file path=xl/sharedStrings.xml><?xml version="1.0" encoding="utf-8"?>
<sst xmlns="http://schemas.openxmlformats.org/spreadsheetml/2006/main" count="1084" uniqueCount="82">
  <si>
    <t>פירוט תרומת אפיקי ההשקעה לתשואה הכוללת</t>
  </si>
  <si>
    <t xml:space="preserve">מור פנסיה נכסים               </t>
  </si>
  <si>
    <t>15272                                                                                                             מור פנסיה כללית עוקבי מדדים עוקב מדדי אג"ח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</si>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</sst>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2" fontId="0" fillId="0" borderId="0" xfId="0" applyNumberFormat="1"/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606137</xdr:colOff>
      <xdr:row>0</xdr:row>
      <xdr:rowOff>121227</xdr:rowOff>
    </xdr:from>
    <xdr:to>
      <xdr:col>3</xdr:col>
      <xdr:colOff>939512</xdr:colOff>
      <xdr:row>2</xdr:row>
      <xdr:rowOff>144607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23514D-F220-E5CC-6E60-1F1285F9F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04097807" y="121227"/>
          <a:ext cx="333375" cy="335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A0A3F-59B7-4CDF-B3C3-065B49AF429E}" name="TitleRegion1.b5.z34.1" displayName="TitleRegion1.b5.z34.1" ref="B5:Z34" totalsRowShown="0" headerRowDxfId="0">
  <autoFilter ref="B5:Z34" xr:uid="{A69A0A3F-59B7-4CDF-B3C3-065B49AF42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AC36E4F-E871-484A-9816-777FF4C61F20}" name="אפיקי השקעה:"/>
    <tableColumn id="2" xr3:uid="{3E4B0B9E-9649-44F0-BF17-7EAE8806CA74}" name="התרומה לתשואה ינואר 2025"/>
    <tableColumn id="3" xr3:uid="{04071FA0-1600-4026-9932-48BACE6DE4DF}" name="שיעור מסך הנכסים ינואר 2025"/>
    <tableColumn id="4" xr3:uid="{0F703E6A-BA67-4462-897A-394B2EEF465D}" name="התרומה לתשואה פברואר 2025"/>
    <tableColumn id="5" xr3:uid="{BC3F8DEB-94FA-4BC3-B1FA-C81D80342939}" name="שיעור מסך הנכסים פברואר 2025"/>
    <tableColumn id="6" xr3:uid="{50D93B81-37D4-4EBF-A4C9-B914FB93F984}" name="התרומה לתשואה מרץ 2025"/>
    <tableColumn id="7" xr3:uid="{5E61115D-A542-438A-9372-C3EF84B06FB8}" name="שיעור מסך הנכסים מרץ 2025"/>
    <tableColumn id="8" xr3:uid="{B4F885EA-2FBF-411D-BA82-E66430CC2C2F}" name="התרומה לתשואה אפריל 2025"/>
    <tableColumn id="9" xr3:uid="{B00DDC38-0BDE-4E24-87FF-611637E5068C}" name="שיעור מסך הנכסים אפריל 2025"/>
    <tableColumn id="10" xr3:uid="{B558CC79-D7AF-4EB2-ABAD-5639C6758A9B}" name="התרומה לתשואה מאי 2025"/>
    <tableColumn id="11" xr3:uid="{033DCCCF-A55A-4052-A571-B31F01481614}" name="שיעור מסך הנכסים מאי 2025"/>
    <tableColumn id="12" xr3:uid="{A0C810C2-8375-46A2-B345-427477DEAD22}" name="התרומה לתשואה יוני 2025"/>
    <tableColumn id="13" xr3:uid="{8DE0ECC9-B4D5-477C-BE92-F38AC1E2AFBC}" name="שיעור מסך הנכסים יוני 2025"/>
    <tableColumn id="14" xr3:uid="{593B6C0F-315B-4B0B-9059-52F9A4B5FFFD}" name="התרומה לתשואה יולי 2025"/>
    <tableColumn id="15" xr3:uid="{BD5BF6F3-25B4-4400-944E-5B0F9BFF3668}" name="שיעור מסך הנכסים יולי 2025"/>
    <tableColumn id="16" xr3:uid="{AED374A0-9821-46AE-9436-AEFD85A8F02E}" name="התרומה לתשואה אוגוסט 2025"/>
    <tableColumn id="17" xr3:uid="{534A5590-7BEB-4342-B3B9-BFAE866CB2FD}" name="שיעור מסך הנכסים אוגוסט 2025"/>
    <tableColumn id="18" xr3:uid="{CA7F0E8F-7D39-4058-BFEA-AE0757107150}" name="התרומה לתשואה ספטמבר 2025"/>
    <tableColumn id="19" xr3:uid="{25A02FF8-23EF-4490-8729-EEFACABB4D31}" name="שיעור מסך הנכסים ספטמבר 2025"/>
    <tableColumn id="20" xr3:uid="{B952A55F-4ADC-453B-A6BC-F4FB17E5832B}" name="התרומה לתשואה אוקטובר 2025"/>
    <tableColumn id="21" xr3:uid="{880870F3-7796-4922-82F1-22B54F701E31}" name="שיעור מסך הנכסים אוקטובר 2025"/>
    <tableColumn id="22" xr3:uid="{D6D0290C-B253-47E8-8E38-5DCC106B8AF4}" name="התרומה לתשואה נובמבר 2025"/>
    <tableColumn id="23" xr3:uid="{953AB23D-1E41-4F9B-A009-CBE5ACC5E2EB}" name="שיעור מסך הנכסים נובמבר 2025"/>
    <tableColumn id="24" xr3:uid="{9FF3DEE3-1B87-4C31-81A3-9F5A75D7B7D0}" name="התרומה לתשואה דצמבר 2025"/>
    <tableColumn id="25" xr3:uid="{4AAB9EB1-1EB0-43B3-8651-926D0F0EC1B0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1A6CFC-6ACD-495C-8753-56C9ACA433BF}" name="TitleRegion1.b36.z65.2" displayName="TitleRegion1.b36.z65.2" ref="B36:Z65" totalsRowShown="0">
  <autoFilter ref="B36:Z65" xr:uid="{801A6CFC-6ACD-495C-8753-56C9ACA433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BC61F74-BE00-4D71-ADCF-3DE2C55B2116}" name="נתונים מצטברים"/>
    <tableColumn id="2" xr3:uid="{B9AC2D3B-6527-4EEC-A96F-71B1270E4B16}" name="התרומה לתשואה ינואר-מרץ 2025"/>
    <tableColumn id="3" xr3:uid="{4EBDE457-7215-4CEC-A84C-73A958DFE2F5}" name="שיעור מסך הנכסים ינואר-מרץ 2025"/>
    <tableColumn id="4" xr3:uid="{C78AF855-2CA2-4B89-BB61-98B974A06CCB}" name="התרומה לתשואה ינואר-יוני  2025"/>
    <tableColumn id="5" xr3:uid="{2058A47E-793E-44E5-A927-2D3ADCD97FF1}" name="שיעור מסך הנכסים ינואר-יוני 2025"/>
    <tableColumn id="6" xr3:uid="{7F45D87F-B6B1-474D-AE91-A9477F2A355E}" name="התרומה לתשואה ינואר-ספטמבר 2025"/>
    <tableColumn id="7" xr3:uid="{8D7415C5-6279-4314-8B85-1FAFFCC372E5}" name="שיעור מסך הנכסים ינואר-ספטמבר 2025"/>
    <tableColumn id="8" xr3:uid="{8C54D347-D90D-4A67-BB5C-89C7ABB7756B}" name="התרומה לתשואה ינואר-דצמבר 2025"/>
    <tableColumn id="9" xr3:uid="{2D5FF50E-3324-4080-95B4-2B703D9FA68F}" name="שיעור מסך הנכסים ינואר-דצמבר 2025"/>
    <tableColumn id="10" xr3:uid="{5A77439C-409C-4D50-A7AC-3F28E9C5F03F}" name="Column1"/>
    <tableColumn id="11" xr3:uid="{961CE06A-AEC3-4D5C-A2E0-34A28ED45A82}" name="Column2"/>
    <tableColumn id="12" xr3:uid="{C5B5BF3D-260C-4593-82DB-117A5C8EE8FA}" name="Column3"/>
    <tableColumn id="13" xr3:uid="{96BFE883-82B9-4DE0-AF68-3ECC6E3DBA66}" name="Column4"/>
    <tableColumn id="14" xr3:uid="{05622488-5DFE-4A74-861F-CCCE4EE9E2B1}" name="Column5"/>
    <tableColumn id="15" xr3:uid="{471AFC36-86A4-464A-941B-4495A373A49C}" name="Column6"/>
    <tableColumn id="16" xr3:uid="{515CB664-579D-4A74-B314-4C7B8FFF674C}" name="Column7"/>
    <tableColumn id="17" xr3:uid="{C64FFF03-326D-4796-B756-C5A5DB8DA4F0}" name="Column8"/>
    <tableColumn id="18" xr3:uid="{F234A1D5-6086-463D-B9C5-11580545E38E}" name="Column9"/>
    <tableColumn id="19" xr3:uid="{FB0F6939-EC6D-4E7F-8639-86CF009216DE}" name="Column10"/>
    <tableColumn id="20" xr3:uid="{7F82A42D-4241-417B-978C-615927887B8E}" name="Column11"/>
    <tableColumn id="21" xr3:uid="{DFBADC2A-E8EC-40C7-9D52-05F6946BA98E}" name="Column12"/>
    <tableColumn id="22" xr3:uid="{7A1A49C0-24BA-4602-B24F-D5CB6B0CDDA3}" name="Column13"/>
    <tableColumn id="23" xr3:uid="{CABD7970-314C-4DAC-BD32-961E223BD7B3}" name="Column14"/>
    <tableColumn id="24" xr3:uid="{696B7895-D755-40C4-80EA-9D1DD4C85E9B}" name="Column15"/>
    <tableColumn id="25" xr3:uid="{15EE155A-8E76-4AF5-B8F4-50E1D0CF301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2.85546875" customWidth="1"/>
    <col min="2" max="2" width="23.42578125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7" x14ac:dyDescent="0.2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7" x14ac:dyDescent="0.2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7" x14ac:dyDescent="0.2">
      <c r="B3" s="19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7" ht="13.5" thickBot="1" x14ac:dyDescent="0.25">
      <c r="B4" s="19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7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7" ht="13.5" thickBot="1" x14ac:dyDescent="0.25">
      <c r="A6" s="15"/>
      <c r="B6" s="2" t="s">
        <v>29</v>
      </c>
      <c r="C6" s="20" t="s">
        <v>65</v>
      </c>
      <c r="D6" s="3">
        <v>0.10457900000000001</v>
      </c>
      <c r="E6" s="4">
        <v>2.9999999999999997E-4</v>
      </c>
      <c r="F6" s="3">
        <v>0.13183500000000001</v>
      </c>
      <c r="G6" s="4">
        <v>6.9999999999999999E-4</v>
      </c>
      <c r="H6" s="3">
        <v>9.6979999999999997E-2</v>
      </c>
      <c r="I6" s="4">
        <v>-4.0000000000000002E-4</v>
      </c>
      <c r="J6" s="3">
        <v>0.102238</v>
      </c>
      <c r="K6" s="4">
        <v>-1.1999999999999999E-3</v>
      </c>
      <c r="L6" s="3">
        <v>0.11056299999999999</v>
      </c>
      <c r="M6" s="4">
        <v>-4.4000000000000003E-3</v>
      </c>
      <c r="N6" s="3">
        <v>-14.231922000000001</v>
      </c>
      <c r="O6" s="4">
        <v>4.5999999999999999E-3</v>
      </c>
      <c r="P6" s="3">
        <v>0.15637599999999999</v>
      </c>
      <c r="Q6" s="4">
        <v>-1E-4</v>
      </c>
      <c r="R6" s="3">
        <v>0.105476</v>
      </c>
      <c r="S6" s="4">
        <v>-1E-4</v>
      </c>
      <c r="T6" s="3">
        <v>4.6551000000000002E-2</v>
      </c>
      <c r="U6" s="4">
        <v>-7.6E-3</v>
      </c>
      <c r="V6" s="3">
        <v>9.9810000000000003E-3</v>
      </c>
      <c r="W6" s="4">
        <v>1E-4</v>
      </c>
      <c r="X6" s="3">
        <v>6.1606000000000001E-2</v>
      </c>
      <c r="Y6" s="4">
        <v>9.7000000000000003E-3</v>
      </c>
      <c r="Z6" s="3">
        <v>8.6579000000000003E-2</v>
      </c>
      <c r="AA6" s="14">
        <f>IFERROR(STDEVPA(C6,E6,G6,I6,K6,M6,O6,Q6,S6,U6,W6,Y6),0)</f>
        <v>4.0245772724874134E-3</v>
      </c>
    </row>
    <row r="7" spans="1:27" ht="13.5" thickBot="1" x14ac:dyDescent="0.25">
      <c r="A7" s="15"/>
      <c r="B7" s="5" t="s">
        <v>30</v>
      </c>
      <c r="C7" s="20" t="s">
        <v>65</v>
      </c>
      <c r="D7" s="6" t="s">
        <v>31</v>
      </c>
      <c r="E7" s="20" t="s">
        <v>65</v>
      </c>
      <c r="F7" s="6" t="s">
        <v>31</v>
      </c>
      <c r="G7" s="20" t="s">
        <v>65</v>
      </c>
      <c r="H7" s="6" t="s">
        <v>31</v>
      </c>
      <c r="I7" s="20" t="s">
        <v>65</v>
      </c>
      <c r="J7" s="6" t="s">
        <v>31</v>
      </c>
      <c r="K7" s="20" t="s">
        <v>65</v>
      </c>
      <c r="L7" s="6" t="s">
        <v>31</v>
      </c>
      <c r="M7" s="20" t="s">
        <v>65</v>
      </c>
      <c r="N7" s="6" t="s">
        <v>31</v>
      </c>
      <c r="O7" s="20" t="s">
        <v>65</v>
      </c>
      <c r="P7" s="6" t="s">
        <v>31</v>
      </c>
      <c r="Q7" s="20" t="s">
        <v>65</v>
      </c>
      <c r="R7" s="6" t="s">
        <v>31</v>
      </c>
      <c r="S7" s="20" t="s">
        <v>65</v>
      </c>
      <c r="T7" s="6" t="s">
        <v>31</v>
      </c>
      <c r="U7" s="20" t="s">
        <v>65</v>
      </c>
      <c r="V7" s="3">
        <v>0</v>
      </c>
      <c r="W7" s="4">
        <v>1.6799999999999999E-2</v>
      </c>
      <c r="X7" s="3">
        <v>1.9146E-2</v>
      </c>
      <c r="Y7" s="4">
        <v>1E-4</v>
      </c>
      <c r="Z7" s="3">
        <v>1.8046E-2</v>
      </c>
      <c r="AA7" s="14">
        <f t="shared" ref="AA7:AA24" si="0">IFERROR(STDEVPA(C7,E7,G7,I7,K7,M7,O7,Q7,S7,U7,W7,Y7),0)</f>
        <v>4.6408437331540856E-3</v>
      </c>
    </row>
    <row r="8" spans="1:27" ht="13.5" thickBot="1" x14ac:dyDescent="0.25">
      <c r="A8" s="15"/>
      <c r="B8" s="5" t="s">
        <v>32</v>
      </c>
      <c r="C8" s="20" t="s">
        <v>65</v>
      </c>
      <c r="D8" s="6" t="s">
        <v>31</v>
      </c>
      <c r="E8" s="20" t="s">
        <v>65</v>
      </c>
      <c r="F8" s="6" t="s">
        <v>31</v>
      </c>
      <c r="G8" s="20" t="s">
        <v>65</v>
      </c>
      <c r="H8" s="6" t="s">
        <v>31</v>
      </c>
      <c r="I8" s="20" t="s">
        <v>65</v>
      </c>
      <c r="J8" s="6" t="s">
        <v>31</v>
      </c>
      <c r="K8" s="20" t="s">
        <v>65</v>
      </c>
      <c r="L8" s="6" t="s">
        <v>31</v>
      </c>
      <c r="M8" s="20" t="s">
        <v>65</v>
      </c>
      <c r="N8" s="6" t="s">
        <v>31</v>
      </c>
      <c r="O8" s="20" t="s">
        <v>65</v>
      </c>
      <c r="P8" s="6" t="s">
        <v>31</v>
      </c>
      <c r="Q8" s="20" t="s">
        <v>65</v>
      </c>
      <c r="R8" s="6" t="s">
        <v>31</v>
      </c>
      <c r="S8" s="20" t="s">
        <v>65</v>
      </c>
      <c r="T8" s="6" t="s">
        <v>31</v>
      </c>
      <c r="U8" s="20" t="s">
        <v>65</v>
      </c>
      <c r="V8" s="3">
        <v>0</v>
      </c>
      <c r="W8" s="20" t="s">
        <v>65</v>
      </c>
      <c r="X8" s="3">
        <v>0</v>
      </c>
      <c r="Y8" s="20" t="s">
        <v>65</v>
      </c>
      <c r="Z8" s="3">
        <v>0</v>
      </c>
      <c r="AA8" s="14">
        <f t="shared" si="0"/>
        <v>0</v>
      </c>
    </row>
    <row r="9" spans="1:27" ht="13.5" thickBot="1" x14ac:dyDescent="0.25">
      <c r="A9" s="15"/>
      <c r="B9" s="5" t="s">
        <v>33</v>
      </c>
      <c r="C9" s="20" t="s">
        <v>65</v>
      </c>
      <c r="D9" s="6" t="s">
        <v>31</v>
      </c>
      <c r="E9" s="20" t="s">
        <v>65</v>
      </c>
      <c r="F9" s="6" t="s">
        <v>31</v>
      </c>
      <c r="G9" s="20" t="s">
        <v>65</v>
      </c>
      <c r="H9" s="6" t="s">
        <v>31</v>
      </c>
      <c r="I9" s="20" t="s">
        <v>65</v>
      </c>
      <c r="J9" s="6" t="s">
        <v>31</v>
      </c>
      <c r="K9" s="20" t="s">
        <v>65</v>
      </c>
      <c r="L9" s="6" t="s">
        <v>31</v>
      </c>
      <c r="M9" s="20" t="s">
        <v>65</v>
      </c>
      <c r="N9" s="6" t="s">
        <v>31</v>
      </c>
      <c r="O9" s="20" t="s">
        <v>65</v>
      </c>
      <c r="P9" s="6" t="s">
        <v>31</v>
      </c>
      <c r="Q9" s="20" t="s">
        <v>65</v>
      </c>
      <c r="R9" s="6" t="s">
        <v>31</v>
      </c>
      <c r="S9" s="20" t="s">
        <v>65</v>
      </c>
      <c r="T9" s="6" t="s">
        <v>31</v>
      </c>
      <c r="U9" s="20" t="s">
        <v>65</v>
      </c>
      <c r="V9" s="3">
        <v>0</v>
      </c>
      <c r="W9" s="20" t="s">
        <v>65</v>
      </c>
      <c r="X9" s="3">
        <v>0</v>
      </c>
      <c r="Y9" s="20" t="s">
        <v>65</v>
      </c>
      <c r="Z9" s="3">
        <v>0</v>
      </c>
      <c r="AA9" s="14">
        <f t="shared" si="0"/>
        <v>0</v>
      </c>
    </row>
    <row r="10" spans="1:27" ht="13.5" thickBot="1" x14ac:dyDescent="0.25">
      <c r="A10" s="15"/>
      <c r="B10" s="5" t="s">
        <v>34</v>
      </c>
      <c r="C10" s="20" t="s">
        <v>65</v>
      </c>
      <c r="D10" s="6" t="s">
        <v>31</v>
      </c>
      <c r="E10" s="20" t="s">
        <v>65</v>
      </c>
      <c r="F10" s="6" t="s">
        <v>31</v>
      </c>
      <c r="G10" s="20" t="s">
        <v>65</v>
      </c>
      <c r="H10" s="6" t="s">
        <v>31</v>
      </c>
      <c r="I10" s="20" t="s">
        <v>65</v>
      </c>
      <c r="J10" s="6" t="s">
        <v>31</v>
      </c>
      <c r="K10" s="20" t="s">
        <v>65</v>
      </c>
      <c r="L10" s="6" t="s">
        <v>31</v>
      </c>
      <c r="M10" s="20" t="s">
        <v>65</v>
      </c>
      <c r="N10" s="6" t="s">
        <v>31</v>
      </c>
      <c r="O10" s="20" t="s">
        <v>65</v>
      </c>
      <c r="P10" s="6" t="s">
        <v>31</v>
      </c>
      <c r="Q10" s="20" t="s">
        <v>65</v>
      </c>
      <c r="R10" s="6" t="s">
        <v>31</v>
      </c>
      <c r="S10" s="20" t="s">
        <v>65</v>
      </c>
      <c r="T10" s="6" t="s">
        <v>31</v>
      </c>
      <c r="U10" s="20" t="s">
        <v>65</v>
      </c>
      <c r="V10" s="3">
        <v>0</v>
      </c>
      <c r="W10" s="20" t="s">
        <v>65</v>
      </c>
      <c r="X10" s="3">
        <v>0</v>
      </c>
      <c r="Y10" s="20" t="s">
        <v>65</v>
      </c>
      <c r="Z10" s="3">
        <v>0</v>
      </c>
      <c r="AA10" s="14">
        <f t="shared" si="0"/>
        <v>0</v>
      </c>
    </row>
    <row r="11" spans="1:27" ht="13.5" thickBot="1" x14ac:dyDescent="0.25">
      <c r="A11" s="15"/>
      <c r="B11" s="5" t="s">
        <v>35</v>
      </c>
      <c r="C11" s="20" t="s">
        <v>65</v>
      </c>
      <c r="D11" s="6" t="s">
        <v>31</v>
      </c>
      <c r="E11" s="20" t="s">
        <v>65</v>
      </c>
      <c r="F11" s="6" t="s">
        <v>31</v>
      </c>
      <c r="G11" s="20" t="s">
        <v>65</v>
      </c>
      <c r="H11" s="6" t="s">
        <v>31</v>
      </c>
      <c r="I11" s="20" t="s">
        <v>65</v>
      </c>
      <c r="J11" s="6" t="s">
        <v>31</v>
      </c>
      <c r="K11" s="20" t="s">
        <v>65</v>
      </c>
      <c r="L11" s="6" t="s">
        <v>31</v>
      </c>
      <c r="M11" s="20" t="s">
        <v>65</v>
      </c>
      <c r="N11" s="6" t="s">
        <v>31</v>
      </c>
      <c r="O11" s="20" t="s">
        <v>65</v>
      </c>
      <c r="P11" s="6" t="s">
        <v>31</v>
      </c>
      <c r="Q11" s="20" t="s">
        <v>65</v>
      </c>
      <c r="R11" s="6" t="s">
        <v>31</v>
      </c>
      <c r="S11" s="20" t="s">
        <v>65</v>
      </c>
      <c r="T11" s="6" t="s">
        <v>31</v>
      </c>
      <c r="U11" s="20" t="s">
        <v>65</v>
      </c>
      <c r="V11" s="3">
        <v>0</v>
      </c>
      <c r="W11" s="20" t="s">
        <v>65</v>
      </c>
      <c r="X11" s="3">
        <v>0</v>
      </c>
      <c r="Y11" s="20" t="s">
        <v>65</v>
      </c>
      <c r="Z11" s="3">
        <v>0</v>
      </c>
      <c r="AA11" s="14">
        <f t="shared" si="0"/>
        <v>0</v>
      </c>
    </row>
    <row r="12" spans="1:27" ht="13.5" thickBot="1" x14ac:dyDescent="0.25">
      <c r="A12" s="15"/>
      <c r="B12" s="5" t="s">
        <v>36</v>
      </c>
      <c r="C12" s="20" t="s">
        <v>65</v>
      </c>
      <c r="D12" s="6" t="s">
        <v>31</v>
      </c>
      <c r="E12" s="20" t="s">
        <v>65</v>
      </c>
      <c r="F12" s="6" t="s">
        <v>31</v>
      </c>
      <c r="G12" s="20" t="s">
        <v>65</v>
      </c>
      <c r="H12" s="6" t="s">
        <v>31</v>
      </c>
      <c r="I12" s="20" t="s">
        <v>65</v>
      </c>
      <c r="J12" s="6" t="s">
        <v>31</v>
      </c>
      <c r="K12" s="20" t="s">
        <v>65</v>
      </c>
      <c r="L12" s="6" t="s">
        <v>31</v>
      </c>
      <c r="M12" s="20" t="s">
        <v>65</v>
      </c>
      <c r="N12" s="6" t="s">
        <v>31</v>
      </c>
      <c r="O12" s="20" t="s">
        <v>65</v>
      </c>
      <c r="P12" s="6" t="s">
        <v>31</v>
      </c>
      <c r="Q12" s="20" t="s">
        <v>65</v>
      </c>
      <c r="R12" s="6" t="s">
        <v>31</v>
      </c>
      <c r="S12" s="20" t="s">
        <v>65</v>
      </c>
      <c r="T12" s="6" t="s">
        <v>31</v>
      </c>
      <c r="U12" s="20" t="s">
        <v>65</v>
      </c>
      <c r="V12" s="3">
        <v>0</v>
      </c>
      <c r="W12" s="20" t="s">
        <v>65</v>
      </c>
      <c r="X12" s="3">
        <v>0</v>
      </c>
      <c r="Y12" s="20" t="s">
        <v>65</v>
      </c>
      <c r="Z12" s="3">
        <v>0</v>
      </c>
      <c r="AA12" s="14">
        <f t="shared" si="0"/>
        <v>0</v>
      </c>
    </row>
    <row r="13" spans="1:27" ht="13.5" thickBot="1" x14ac:dyDescent="0.25">
      <c r="A13" s="15"/>
      <c r="B13" s="5" t="s">
        <v>37</v>
      </c>
      <c r="C13" s="4">
        <v>-6.7000000000000002E-3</v>
      </c>
      <c r="D13" s="3">
        <v>0.896756</v>
      </c>
      <c r="E13" s="4">
        <v>1.18E-2</v>
      </c>
      <c r="F13" s="3">
        <v>0.86881900000000001</v>
      </c>
      <c r="G13" s="4">
        <v>3.0599999999999999E-2</v>
      </c>
      <c r="H13" s="3">
        <v>0.90144500000000005</v>
      </c>
      <c r="I13" s="4">
        <v>-1.5699999999999999E-2</v>
      </c>
      <c r="J13" s="3">
        <v>0.89456800000000003</v>
      </c>
      <c r="K13" s="4">
        <v>-2.9000000000000001E-2</v>
      </c>
      <c r="L13" s="3">
        <v>0.88920500000000002</v>
      </c>
      <c r="M13" s="4">
        <v>-2.3300000000000001E-2</v>
      </c>
      <c r="N13" s="3">
        <v>15.153786</v>
      </c>
      <c r="O13" s="4">
        <v>8.6E-3</v>
      </c>
      <c r="P13" s="3">
        <v>0.84606800000000004</v>
      </c>
      <c r="Q13" s="4">
        <v>-4.4999999999999997E-3</v>
      </c>
      <c r="R13" s="3">
        <v>0.89752500000000002</v>
      </c>
      <c r="S13" s="4">
        <v>2.0999999999999999E-3</v>
      </c>
      <c r="T13" s="3">
        <v>0.95675299999999996</v>
      </c>
      <c r="U13" s="4">
        <v>-1.37E-2</v>
      </c>
      <c r="V13" s="3">
        <v>0.99142600000000003</v>
      </c>
      <c r="W13" s="4">
        <v>-5.0000000000000001E-3</v>
      </c>
      <c r="X13" s="3">
        <v>0.92110499999999995</v>
      </c>
      <c r="Y13" s="4">
        <v>-1.9400000000000001E-2</v>
      </c>
      <c r="Z13" s="3">
        <v>0.89585000000000004</v>
      </c>
      <c r="AA13" s="14">
        <f t="shared" si="0"/>
        <v>1.6059965753388139E-2</v>
      </c>
    </row>
    <row r="14" spans="1:27" ht="13.5" thickBot="1" x14ac:dyDescent="0.25">
      <c r="A14" s="15"/>
      <c r="B14" s="5" t="s">
        <v>38</v>
      </c>
      <c r="C14" s="20" t="s">
        <v>65</v>
      </c>
      <c r="D14" s="6" t="s">
        <v>31</v>
      </c>
      <c r="E14" s="20" t="s">
        <v>65</v>
      </c>
      <c r="F14" s="6" t="s">
        <v>31</v>
      </c>
      <c r="G14" s="20" t="s">
        <v>65</v>
      </c>
      <c r="H14" s="6" t="s">
        <v>31</v>
      </c>
      <c r="I14" s="20" t="s">
        <v>65</v>
      </c>
      <c r="J14" s="6" t="s">
        <v>31</v>
      </c>
      <c r="K14" s="20" t="s">
        <v>65</v>
      </c>
      <c r="L14" s="6" t="s">
        <v>31</v>
      </c>
      <c r="M14" s="20" t="s">
        <v>65</v>
      </c>
      <c r="N14" s="6" t="s">
        <v>31</v>
      </c>
      <c r="O14" s="20" t="s">
        <v>65</v>
      </c>
      <c r="P14" s="6" t="s">
        <v>31</v>
      </c>
      <c r="Q14" s="20" t="s">
        <v>65</v>
      </c>
      <c r="R14" s="6" t="s">
        <v>31</v>
      </c>
      <c r="S14" s="20" t="s">
        <v>65</v>
      </c>
      <c r="T14" s="6" t="s">
        <v>31</v>
      </c>
      <c r="U14" s="20" t="s">
        <v>65</v>
      </c>
      <c r="V14" s="3">
        <v>0</v>
      </c>
      <c r="W14" s="20" t="s">
        <v>65</v>
      </c>
      <c r="X14" s="3">
        <v>0</v>
      </c>
      <c r="Y14" s="20" t="s">
        <v>65</v>
      </c>
      <c r="Z14" s="3">
        <v>0</v>
      </c>
      <c r="AA14" s="14">
        <f t="shared" si="0"/>
        <v>0</v>
      </c>
    </row>
    <row r="15" spans="1:27" ht="13.5" thickBot="1" x14ac:dyDescent="0.25">
      <c r="A15" s="15"/>
      <c r="B15" s="5" t="s">
        <v>39</v>
      </c>
      <c r="C15" s="20" t="s">
        <v>65</v>
      </c>
      <c r="D15" s="6" t="s">
        <v>31</v>
      </c>
      <c r="E15" s="20" t="s">
        <v>65</v>
      </c>
      <c r="F15" s="6" t="s">
        <v>31</v>
      </c>
      <c r="G15" s="20" t="s">
        <v>65</v>
      </c>
      <c r="H15" s="6" t="s">
        <v>31</v>
      </c>
      <c r="I15" s="20" t="s">
        <v>65</v>
      </c>
      <c r="J15" s="6" t="s">
        <v>31</v>
      </c>
      <c r="K15" s="20" t="s">
        <v>65</v>
      </c>
      <c r="L15" s="6" t="s">
        <v>31</v>
      </c>
      <c r="M15" s="20" t="s">
        <v>65</v>
      </c>
      <c r="N15" s="6" t="s">
        <v>31</v>
      </c>
      <c r="O15" s="20" t="s">
        <v>65</v>
      </c>
      <c r="P15" s="6" t="s">
        <v>31</v>
      </c>
      <c r="Q15" s="20" t="s">
        <v>65</v>
      </c>
      <c r="R15" s="6" t="s">
        <v>31</v>
      </c>
      <c r="S15" s="20" t="s">
        <v>65</v>
      </c>
      <c r="T15" s="6" t="s">
        <v>31</v>
      </c>
      <c r="U15" s="20" t="s">
        <v>65</v>
      </c>
      <c r="V15" s="3">
        <v>0</v>
      </c>
      <c r="W15" s="20" t="s">
        <v>65</v>
      </c>
      <c r="X15" s="3">
        <v>0</v>
      </c>
      <c r="Y15" s="20" t="s">
        <v>65</v>
      </c>
      <c r="Z15" s="3">
        <v>0</v>
      </c>
      <c r="AA15" s="14">
        <f t="shared" si="0"/>
        <v>0</v>
      </c>
    </row>
    <row r="16" spans="1:27" ht="13.5" thickBot="1" x14ac:dyDescent="0.25">
      <c r="A16" s="15"/>
      <c r="B16" s="5" t="s">
        <v>40</v>
      </c>
      <c r="C16" s="20" t="s">
        <v>65</v>
      </c>
      <c r="D16" s="6" t="s">
        <v>31</v>
      </c>
      <c r="E16" s="20" t="s">
        <v>65</v>
      </c>
      <c r="F16" s="6" t="s">
        <v>31</v>
      </c>
      <c r="G16" s="20" t="s">
        <v>65</v>
      </c>
      <c r="H16" s="6" t="s">
        <v>31</v>
      </c>
      <c r="I16" s="20" t="s">
        <v>65</v>
      </c>
      <c r="J16" s="6" t="s">
        <v>31</v>
      </c>
      <c r="K16" s="20" t="s">
        <v>65</v>
      </c>
      <c r="L16" s="6" t="s">
        <v>31</v>
      </c>
      <c r="M16" s="20" t="s">
        <v>65</v>
      </c>
      <c r="N16" s="6" t="s">
        <v>31</v>
      </c>
      <c r="O16" s="20" t="s">
        <v>65</v>
      </c>
      <c r="P16" s="6" t="s">
        <v>31</v>
      </c>
      <c r="Q16" s="20" t="s">
        <v>65</v>
      </c>
      <c r="R16" s="6" t="s">
        <v>31</v>
      </c>
      <c r="S16" s="20" t="s">
        <v>65</v>
      </c>
      <c r="T16" s="6" t="s">
        <v>31</v>
      </c>
      <c r="U16" s="20" t="s">
        <v>65</v>
      </c>
      <c r="V16" s="3">
        <v>0</v>
      </c>
      <c r="W16" s="20" t="s">
        <v>65</v>
      </c>
      <c r="X16" s="3">
        <v>0</v>
      </c>
      <c r="Y16" s="20" t="s">
        <v>65</v>
      </c>
      <c r="Z16" s="3">
        <v>0</v>
      </c>
      <c r="AA16" s="14">
        <f t="shared" si="0"/>
        <v>0</v>
      </c>
    </row>
    <row r="17" spans="1:27" ht="13.5" thickBot="1" x14ac:dyDescent="0.25">
      <c r="A17" s="15"/>
      <c r="B17" s="5" t="s">
        <v>41</v>
      </c>
      <c r="C17" s="4">
        <v>-1.9E-3</v>
      </c>
      <c r="D17" s="3">
        <v>-1.4710000000000001E-3</v>
      </c>
      <c r="E17" s="4">
        <v>2.9999999999999997E-4</v>
      </c>
      <c r="F17" s="3">
        <v>-1.1919999999999999E-3</v>
      </c>
      <c r="G17" s="4">
        <v>3.0000000000000001E-3</v>
      </c>
      <c r="H17" s="3">
        <v>1.395E-3</v>
      </c>
      <c r="I17" s="4">
        <v>-1.8E-3</v>
      </c>
      <c r="J17" s="3">
        <v>-9.0000000000000006E-5</v>
      </c>
      <c r="K17" s="4">
        <v>4.0000000000000002E-4</v>
      </c>
      <c r="L17" s="6" t="s">
        <v>31</v>
      </c>
      <c r="M17" s="4">
        <v>-2.9999999999999997E-4</v>
      </c>
      <c r="N17" s="3">
        <v>-4.4749999999999998E-3</v>
      </c>
      <c r="O17" s="4">
        <v>1E-4</v>
      </c>
      <c r="P17" s="3">
        <v>-3.9300000000000003E-3</v>
      </c>
      <c r="Q17" s="4">
        <v>-1.1000000000000001E-3</v>
      </c>
      <c r="R17" s="3">
        <v>-4.6230000000000004E-3</v>
      </c>
      <c r="S17" s="4">
        <v>-2.9999999999999997E-4</v>
      </c>
      <c r="T17" s="3">
        <v>-5.0029999999999996E-3</v>
      </c>
      <c r="U17" s="4">
        <v>-5.0000000000000001E-4</v>
      </c>
      <c r="V17" s="3">
        <v>-1.0042000000000001E-2</v>
      </c>
      <c r="W17" s="4">
        <v>-2.9999999999999997E-4</v>
      </c>
      <c r="X17" s="3">
        <v>-9.0659999999999994E-3</v>
      </c>
      <c r="Y17" s="4">
        <v>-4.7999999999999996E-3</v>
      </c>
      <c r="Z17" s="3">
        <v>-8.9899999999999995E-4</v>
      </c>
      <c r="AA17" s="14">
        <f t="shared" si="0"/>
        <v>1.745470328211473E-3</v>
      </c>
    </row>
    <row r="18" spans="1:27" ht="13.5" thickBot="1" x14ac:dyDescent="0.25">
      <c r="A18" s="15"/>
      <c r="B18" s="5" t="s">
        <v>42</v>
      </c>
      <c r="C18" s="20" t="s">
        <v>65</v>
      </c>
      <c r="D18" s="6" t="s">
        <v>31</v>
      </c>
      <c r="E18" s="20" t="s">
        <v>65</v>
      </c>
      <c r="F18" s="6" t="s">
        <v>31</v>
      </c>
      <c r="G18" s="20" t="s">
        <v>65</v>
      </c>
      <c r="H18" s="6" t="s">
        <v>31</v>
      </c>
      <c r="I18" s="20" t="s">
        <v>65</v>
      </c>
      <c r="J18" s="6" t="s">
        <v>31</v>
      </c>
      <c r="K18" s="20" t="s">
        <v>65</v>
      </c>
      <c r="L18" s="6" t="s">
        <v>31</v>
      </c>
      <c r="M18" s="20" t="s">
        <v>65</v>
      </c>
      <c r="N18" s="6" t="s">
        <v>31</v>
      </c>
      <c r="O18" s="20" t="s">
        <v>65</v>
      </c>
      <c r="P18" s="6" t="s">
        <v>31</v>
      </c>
      <c r="Q18" s="20" t="s">
        <v>65</v>
      </c>
      <c r="R18" s="6" t="s">
        <v>31</v>
      </c>
      <c r="S18" s="20" t="s">
        <v>65</v>
      </c>
      <c r="T18" s="6" t="s">
        <v>31</v>
      </c>
      <c r="U18" s="20" t="s">
        <v>65</v>
      </c>
      <c r="V18" s="3">
        <v>0</v>
      </c>
      <c r="W18" s="20" t="s">
        <v>65</v>
      </c>
      <c r="X18" s="3">
        <v>0</v>
      </c>
      <c r="Y18" s="20" t="s">
        <v>65</v>
      </c>
      <c r="Z18" s="3">
        <v>0</v>
      </c>
      <c r="AA18" s="14">
        <f t="shared" si="0"/>
        <v>0</v>
      </c>
    </row>
    <row r="19" spans="1:27" ht="13.5" thickBot="1" x14ac:dyDescent="0.25">
      <c r="A19" s="15"/>
      <c r="B19" s="5" t="s">
        <v>43</v>
      </c>
      <c r="C19" s="20" t="s">
        <v>65</v>
      </c>
      <c r="D19" s="6" t="s">
        <v>31</v>
      </c>
      <c r="E19" s="20" t="s">
        <v>65</v>
      </c>
      <c r="F19" s="6" t="s">
        <v>31</v>
      </c>
      <c r="G19" s="20" t="s">
        <v>65</v>
      </c>
      <c r="H19" s="6" t="s">
        <v>31</v>
      </c>
      <c r="I19" s="20" t="s">
        <v>65</v>
      </c>
      <c r="J19" s="6" t="s">
        <v>31</v>
      </c>
      <c r="K19" s="20" t="s">
        <v>65</v>
      </c>
      <c r="L19" s="6" t="s">
        <v>31</v>
      </c>
      <c r="M19" s="20" t="s">
        <v>65</v>
      </c>
      <c r="N19" s="6" t="s">
        <v>31</v>
      </c>
      <c r="O19" s="20" t="s">
        <v>65</v>
      </c>
      <c r="P19" s="6" t="s">
        <v>31</v>
      </c>
      <c r="Q19" s="20" t="s">
        <v>65</v>
      </c>
      <c r="R19" s="6" t="s">
        <v>31</v>
      </c>
      <c r="S19" s="20" t="s">
        <v>65</v>
      </c>
      <c r="T19" s="6" t="s">
        <v>31</v>
      </c>
      <c r="U19" s="20" t="s">
        <v>65</v>
      </c>
      <c r="V19" s="3">
        <v>0</v>
      </c>
      <c r="W19" s="20" t="s">
        <v>65</v>
      </c>
      <c r="X19" s="3">
        <v>0</v>
      </c>
      <c r="Y19" s="20" t="s">
        <v>65</v>
      </c>
      <c r="Z19" s="3">
        <v>0</v>
      </c>
      <c r="AA19" s="14">
        <f t="shared" si="0"/>
        <v>0</v>
      </c>
    </row>
    <row r="20" spans="1:27" ht="13.5" thickBot="1" x14ac:dyDescent="0.25">
      <c r="A20" s="15"/>
      <c r="B20" s="5" t="s">
        <v>44</v>
      </c>
      <c r="C20" s="20" t="s">
        <v>65</v>
      </c>
      <c r="D20" s="6" t="s">
        <v>31</v>
      </c>
      <c r="E20" s="20" t="s">
        <v>65</v>
      </c>
      <c r="F20" s="6" t="s">
        <v>31</v>
      </c>
      <c r="G20" s="20" t="s">
        <v>65</v>
      </c>
      <c r="H20" s="6" t="s">
        <v>31</v>
      </c>
      <c r="I20" s="20" t="s">
        <v>65</v>
      </c>
      <c r="J20" s="6" t="s">
        <v>31</v>
      </c>
      <c r="K20" s="20" t="s">
        <v>65</v>
      </c>
      <c r="L20" s="6" t="s">
        <v>31</v>
      </c>
      <c r="M20" s="20" t="s">
        <v>65</v>
      </c>
      <c r="N20" s="6" t="s">
        <v>31</v>
      </c>
      <c r="O20" s="20" t="s">
        <v>65</v>
      </c>
      <c r="P20" s="6" t="s">
        <v>31</v>
      </c>
      <c r="Q20" s="20" t="s">
        <v>65</v>
      </c>
      <c r="R20" s="6" t="s">
        <v>31</v>
      </c>
      <c r="S20" s="20" t="s">
        <v>65</v>
      </c>
      <c r="T20" s="6" t="s">
        <v>31</v>
      </c>
      <c r="U20" s="20" t="s">
        <v>65</v>
      </c>
      <c r="V20" s="3">
        <v>0</v>
      </c>
      <c r="W20" s="20" t="s">
        <v>65</v>
      </c>
      <c r="X20" s="3">
        <v>0</v>
      </c>
      <c r="Y20" s="20" t="s">
        <v>65</v>
      </c>
      <c r="Z20" s="3">
        <v>0</v>
      </c>
      <c r="AA20" s="14">
        <f t="shared" si="0"/>
        <v>0</v>
      </c>
    </row>
    <row r="21" spans="1:27" ht="13.5" thickBot="1" x14ac:dyDescent="0.25">
      <c r="A21" s="15"/>
      <c r="B21" s="5" t="s">
        <v>45</v>
      </c>
      <c r="C21" s="20" t="s">
        <v>65</v>
      </c>
      <c r="D21" s="6" t="s">
        <v>31</v>
      </c>
      <c r="E21" s="20" t="s">
        <v>65</v>
      </c>
      <c r="F21" s="6" t="s">
        <v>31</v>
      </c>
      <c r="G21" s="20" t="s">
        <v>65</v>
      </c>
      <c r="H21" s="6" t="s">
        <v>31</v>
      </c>
      <c r="I21" s="20" t="s">
        <v>65</v>
      </c>
      <c r="J21" s="6" t="s">
        <v>31</v>
      </c>
      <c r="K21" s="20" t="s">
        <v>65</v>
      </c>
      <c r="L21" s="6" t="s">
        <v>31</v>
      </c>
      <c r="M21" s="20" t="s">
        <v>65</v>
      </c>
      <c r="N21" s="6" t="s">
        <v>31</v>
      </c>
      <c r="O21" s="20" t="s">
        <v>65</v>
      </c>
      <c r="P21" s="6" t="s">
        <v>31</v>
      </c>
      <c r="Q21" s="20" t="s">
        <v>65</v>
      </c>
      <c r="R21" s="6" t="s">
        <v>31</v>
      </c>
      <c r="S21" s="20" t="s">
        <v>65</v>
      </c>
      <c r="T21" s="6" t="s">
        <v>31</v>
      </c>
      <c r="U21" s="20" t="s">
        <v>65</v>
      </c>
      <c r="V21" s="3">
        <v>0</v>
      </c>
      <c r="W21" s="20" t="s">
        <v>65</v>
      </c>
      <c r="X21" s="3">
        <v>0</v>
      </c>
      <c r="Y21" s="20" t="s">
        <v>65</v>
      </c>
      <c r="Z21" s="3">
        <v>0</v>
      </c>
      <c r="AA21" s="14">
        <f t="shared" si="0"/>
        <v>0</v>
      </c>
    </row>
    <row r="22" spans="1:27" ht="13.5" thickBot="1" x14ac:dyDescent="0.25">
      <c r="A22" s="15"/>
      <c r="B22" s="5" t="s">
        <v>46</v>
      </c>
      <c r="C22" s="20" t="s">
        <v>65</v>
      </c>
      <c r="D22" s="6" t="s">
        <v>31</v>
      </c>
      <c r="E22" s="20" t="s">
        <v>65</v>
      </c>
      <c r="F22" s="6" t="s">
        <v>31</v>
      </c>
      <c r="G22" s="20" t="s">
        <v>65</v>
      </c>
      <c r="H22" s="6" t="s">
        <v>31</v>
      </c>
      <c r="I22" s="20" t="s">
        <v>65</v>
      </c>
      <c r="J22" s="6" t="s">
        <v>31</v>
      </c>
      <c r="K22" s="20" t="s">
        <v>65</v>
      </c>
      <c r="L22" s="6" t="s">
        <v>31</v>
      </c>
      <c r="M22" s="20" t="s">
        <v>65</v>
      </c>
      <c r="N22" s="6" t="s">
        <v>31</v>
      </c>
      <c r="O22" s="20" t="s">
        <v>65</v>
      </c>
      <c r="P22" s="6" t="s">
        <v>31</v>
      </c>
      <c r="Q22" s="20" t="s">
        <v>65</v>
      </c>
      <c r="R22" s="6" t="s">
        <v>31</v>
      </c>
      <c r="S22" s="20" t="s">
        <v>65</v>
      </c>
      <c r="T22" s="6" t="s">
        <v>31</v>
      </c>
      <c r="U22" s="20" t="s">
        <v>65</v>
      </c>
      <c r="V22" s="3">
        <v>0</v>
      </c>
      <c r="W22" s="20" t="s">
        <v>65</v>
      </c>
      <c r="X22" s="3">
        <v>0</v>
      </c>
      <c r="Y22" s="20" t="s">
        <v>65</v>
      </c>
      <c r="Z22" s="3">
        <v>0</v>
      </c>
      <c r="AA22" s="14">
        <f t="shared" si="0"/>
        <v>0</v>
      </c>
    </row>
    <row r="23" spans="1:27" ht="13.5" thickBot="1" x14ac:dyDescent="0.25">
      <c r="A23" s="15"/>
      <c r="B23" s="5" t="s">
        <v>47</v>
      </c>
      <c r="C23" s="20" t="s">
        <v>65</v>
      </c>
      <c r="D23" s="6" t="s">
        <v>31</v>
      </c>
      <c r="E23" s="20" t="s">
        <v>65</v>
      </c>
      <c r="F23" s="6" t="s">
        <v>31</v>
      </c>
      <c r="G23" s="20" t="s">
        <v>65</v>
      </c>
      <c r="H23" s="6" t="s">
        <v>31</v>
      </c>
      <c r="I23" s="20" t="s">
        <v>65</v>
      </c>
      <c r="J23" s="6" t="s">
        <v>31</v>
      </c>
      <c r="K23" s="20" t="s">
        <v>65</v>
      </c>
      <c r="L23" s="6" t="s">
        <v>31</v>
      </c>
      <c r="M23" s="20" t="s">
        <v>65</v>
      </c>
      <c r="N23" s="6" t="s">
        <v>31</v>
      </c>
      <c r="O23" s="20" t="s">
        <v>65</v>
      </c>
      <c r="P23" s="6" t="s">
        <v>31</v>
      </c>
      <c r="Q23" s="20" t="s">
        <v>65</v>
      </c>
      <c r="R23" s="6" t="s">
        <v>31</v>
      </c>
      <c r="S23" s="20" t="s">
        <v>65</v>
      </c>
      <c r="T23" s="6" t="s">
        <v>31</v>
      </c>
      <c r="U23" s="20" t="s">
        <v>65</v>
      </c>
      <c r="V23" s="3">
        <v>0</v>
      </c>
      <c r="W23" s="20" t="s">
        <v>65</v>
      </c>
      <c r="X23" s="3">
        <v>0</v>
      </c>
      <c r="Y23" s="20" t="s">
        <v>65</v>
      </c>
      <c r="Z23" s="3">
        <v>0</v>
      </c>
      <c r="AA23" s="14">
        <f t="shared" si="0"/>
        <v>0</v>
      </c>
    </row>
    <row r="24" spans="1:27" ht="13.5" thickBot="1" x14ac:dyDescent="0.25">
      <c r="A24" s="15"/>
      <c r="B24" s="5" t="s">
        <v>48</v>
      </c>
      <c r="C24" s="20" t="s">
        <v>65</v>
      </c>
      <c r="D24" s="3">
        <v>1.35E-4</v>
      </c>
      <c r="E24" s="20" t="s">
        <v>65</v>
      </c>
      <c r="F24" s="3">
        <v>5.3799999999999996E-4</v>
      </c>
      <c r="G24" s="20" t="s">
        <v>65</v>
      </c>
      <c r="H24" s="3">
        <v>1.7799999999999999E-4</v>
      </c>
      <c r="I24" s="4">
        <v>-5.9999999999999995E-4</v>
      </c>
      <c r="J24" s="3">
        <v>3.2829999999999999E-3</v>
      </c>
      <c r="K24" s="20" t="s">
        <v>65</v>
      </c>
      <c r="L24" s="3">
        <v>2.3000000000000001E-4</v>
      </c>
      <c r="M24" s="20" t="s">
        <v>65</v>
      </c>
      <c r="N24" s="3">
        <v>8.2611000000000004E-2</v>
      </c>
      <c r="O24" s="4">
        <v>-1E-3</v>
      </c>
      <c r="P24" s="3">
        <v>1.485E-3</v>
      </c>
      <c r="Q24" s="20" t="s">
        <v>65</v>
      </c>
      <c r="R24" s="3">
        <v>1.621E-3</v>
      </c>
      <c r="S24" s="20" t="s">
        <v>65</v>
      </c>
      <c r="T24" s="3">
        <v>1.6980000000000001E-3</v>
      </c>
      <c r="U24" s="4">
        <v>-4.0000000000000002E-4</v>
      </c>
      <c r="V24" s="3">
        <v>8.6339999999999993E-3</v>
      </c>
      <c r="W24" s="4">
        <v>0</v>
      </c>
      <c r="X24" s="3">
        <v>7.208E-3</v>
      </c>
      <c r="Y24" s="4">
        <v>-2.9999999999999997E-4</v>
      </c>
      <c r="Z24" s="3">
        <v>4.2299999999999998E-4</v>
      </c>
      <c r="AA24" s="14">
        <f t="shared" si="0"/>
        <v>3.121386800054673E-4</v>
      </c>
    </row>
    <row r="25" spans="1:27" ht="13.5" thickBot="1" x14ac:dyDescent="0.25">
      <c r="A25" s="15"/>
      <c r="B25" s="7" t="s">
        <v>49</v>
      </c>
      <c r="C25" s="8">
        <v>-8.6E-3</v>
      </c>
      <c r="D25" s="9">
        <v>0.99999899999999997</v>
      </c>
      <c r="E25" s="8">
        <v>1.24E-2</v>
      </c>
      <c r="F25" s="9">
        <v>1</v>
      </c>
      <c r="G25" s="8">
        <v>3.4299999999999997E-2</v>
      </c>
      <c r="H25" s="9">
        <v>0.99999800000000005</v>
      </c>
      <c r="I25" s="8">
        <v>-1.8499999999999999E-2</v>
      </c>
      <c r="J25" s="9">
        <v>0.99999899999999997</v>
      </c>
      <c r="K25" s="8">
        <v>-2.98E-2</v>
      </c>
      <c r="L25" s="9">
        <v>0.99999800000000005</v>
      </c>
      <c r="M25" s="8">
        <v>-2.8000000000000001E-2</v>
      </c>
      <c r="N25" s="9">
        <v>0.99999999999900002</v>
      </c>
      <c r="O25" s="8">
        <v>1.23E-2</v>
      </c>
      <c r="P25" s="9">
        <v>0.99999899999999997</v>
      </c>
      <c r="Q25" s="8">
        <v>-5.7000000000000002E-3</v>
      </c>
      <c r="R25" s="9">
        <v>0.99999899999999997</v>
      </c>
      <c r="S25" s="8">
        <v>1.6999999999999999E-3</v>
      </c>
      <c r="T25" s="9">
        <v>0.99999899999999997</v>
      </c>
      <c r="U25" s="8">
        <v>-2.2200000000000001E-2</v>
      </c>
      <c r="V25" s="9">
        <v>0.99999899999999997</v>
      </c>
      <c r="W25" s="8">
        <v>1.1599999999999999E-2</v>
      </c>
      <c r="X25" s="9">
        <v>0.99999899999999997</v>
      </c>
      <c r="Y25" s="8">
        <v>-1.5299999999999999E-2</v>
      </c>
      <c r="Z25" s="9">
        <v>0.99999899999999997</v>
      </c>
    </row>
    <row r="26" spans="1:27" ht="13.5" thickBot="1" x14ac:dyDescent="0.25">
      <c r="A26" s="15"/>
      <c r="B26" s="2" t="s">
        <v>50</v>
      </c>
      <c r="C26" s="10">
        <v>-4.1660000000000004</v>
      </c>
      <c r="D26" s="21" t="s">
        <v>65</v>
      </c>
      <c r="E26" s="10">
        <v>6.09</v>
      </c>
      <c r="F26" s="21" t="s">
        <v>65</v>
      </c>
      <c r="G26" s="10">
        <v>17.28</v>
      </c>
      <c r="H26" s="21" t="s">
        <v>65</v>
      </c>
      <c r="I26" s="10">
        <v>-9.5259999999999998</v>
      </c>
      <c r="J26" s="21" t="s">
        <v>65</v>
      </c>
      <c r="K26" s="10">
        <v>-16.699000000000002</v>
      </c>
      <c r="L26" s="21" t="s">
        <v>65</v>
      </c>
      <c r="M26" s="10">
        <v>-11.012</v>
      </c>
      <c r="N26" s="21" t="s">
        <v>65</v>
      </c>
      <c r="O26" s="10">
        <v>0.376</v>
      </c>
      <c r="P26" s="21" t="s">
        <v>65</v>
      </c>
      <c r="Q26" s="10">
        <v>-0.20100000000000001</v>
      </c>
      <c r="R26" s="21" t="s">
        <v>65</v>
      </c>
      <c r="S26" s="10">
        <v>5.5E-2</v>
      </c>
      <c r="T26" s="21" t="s">
        <v>65</v>
      </c>
      <c r="U26" s="10">
        <v>-0.54800000000000004</v>
      </c>
      <c r="V26" s="21" t="s">
        <v>65</v>
      </c>
      <c r="W26" s="10">
        <v>0.20499999999999999</v>
      </c>
      <c r="X26" s="21" t="s">
        <v>65</v>
      </c>
      <c r="Y26" s="10">
        <v>-0.255</v>
      </c>
      <c r="Z26" s="21" t="s">
        <v>65</v>
      </c>
    </row>
    <row r="27" spans="1:27" ht="12.75" customHeight="1" thickBot="1" x14ac:dyDescent="0.25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7" ht="13.5" thickBot="1" x14ac:dyDescent="0.25">
      <c r="A28" s="15"/>
      <c r="B28" s="2" t="s">
        <v>51</v>
      </c>
      <c r="C28" s="11">
        <v>-3.5000000000000001E-3</v>
      </c>
      <c r="D28" s="11">
        <v>0.29250300000000001</v>
      </c>
      <c r="E28" s="11">
        <v>8.9999999999999998E-4</v>
      </c>
      <c r="F28" s="11">
        <v>0.31286399999999998</v>
      </c>
      <c r="G28" s="11">
        <v>1.0699999999999999E-2</v>
      </c>
      <c r="H28" s="11">
        <v>0.283277</v>
      </c>
      <c r="I28" s="11">
        <v>-3.8999999999999998E-3</v>
      </c>
      <c r="J28" s="11">
        <v>0.29049900000000001</v>
      </c>
      <c r="K28" s="11">
        <v>-7.7000000000000002E-3</v>
      </c>
      <c r="L28" s="11">
        <v>0.29409800000000003</v>
      </c>
      <c r="M28" s="11">
        <v>-1.0800000000000001E-2</v>
      </c>
      <c r="N28" s="11">
        <v>-11.028022</v>
      </c>
      <c r="O28" s="11">
        <v>5.1999999999999998E-3</v>
      </c>
      <c r="P28" s="11">
        <v>0.38182700000000003</v>
      </c>
      <c r="Q28" s="11">
        <v>-2.5999999999999999E-3</v>
      </c>
      <c r="R28" s="11">
        <v>0.34348099999999998</v>
      </c>
      <c r="S28" s="11">
        <v>-5.9999999999999995E-4</v>
      </c>
      <c r="T28" s="11">
        <v>0.28546700000000003</v>
      </c>
      <c r="U28" s="11">
        <v>-1.04E-2</v>
      </c>
      <c r="V28" s="11">
        <v>0.249724</v>
      </c>
      <c r="W28" s="11">
        <v>1.4500000000000001E-2</v>
      </c>
      <c r="X28" s="11">
        <v>0.30268</v>
      </c>
      <c r="Y28" s="11">
        <v>1.2999999999999999E-3</v>
      </c>
      <c r="Z28" s="11">
        <v>0.320544</v>
      </c>
    </row>
    <row r="29" spans="1:27" ht="13.5" thickBot="1" x14ac:dyDescent="0.25">
      <c r="A29" s="15"/>
      <c r="B29" s="5" t="s">
        <v>52</v>
      </c>
      <c r="C29" s="3">
        <v>-5.1000000000000004E-3</v>
      </c>
      <c r="D29" s="3">
        <v>0.70749600000000001</v>
      </c>
      <c r="E29" s="3">
        <v>1.15E-2</v>
      </c>
      <c r="F29" s="3">
        <v>0.68713500000000005</v>
      </c>
      <c r="G29" s="3">
        <v>2.3599999999999999E-2</v>
      </c>
      <c r="H29" s="3">
        <v>0.71672199999999997</v>
      </c>
      <c r="I29" s="3">
        <v>-1.46E-2</v>
      </c>
      <c r="J29" s="3">
        <v>0.70950000000000002</v>
      </c>
      <c r="K29" s="3">
        <v>-2.2100000000000002E-2</v>
      </c>
      <c r="L29" s="3">
        <v>0.705901</v>
      </c>
      <c r="M29" s="3">
        <v>-1.72E-2</v>
      </c>
      <c r="N29" s="3">
        <v>12.028022</v>
      </c>
      <c r="O29" s="3">
        <v>7.1000000000000004E-3</v>
      </c>
      <c r="P29" s="3">
        <v>0.61817200000000005</v>
      </c>
      <c r="Q29" s="3">
        <v>-3.0999999999999999E-3</v>
      </c>
      <c r="R29" s="3">
        <v>0.65651800000000005</v>
      </c>
      <c r="S29" s="3">
        <v>2.3E-3</v>
      </c>
      <c r="T29" s="3">
        <v>0.71453199999999994</v>
      </c>
      <c r="U29" s="3">
        <v>-1.18E-2</v>
      </c>
      <c r="V29" s="3">
        <v>0.75027500000000003</v>
      </c>
      <c r="W29" s="3">
        <v>-2.8999999999999998E-3</v>
      </c>
      <c r="X29" s="3">
        <v>0.69731900000000002</v>
      </c>
      <c r="Y29" s="3">
        <v>-1.6E-2</v>
      </c>
      <c r="Z29" s="3">
        <v>0.67945500000000003</v>
      </c>
    </row>
    <row r="30" spans="1:27" ht="13.5" thickBot="1" x14ac:dyDescent="0.25">
      <c r="A30" s="15"/>
      <c r="B30" s="7" t="s">
        <v>49</v>
      </c>
      <c r="C30" s="9">
        <v>-8.6E-3</v>
      </c>
      <c r="D30" s="9">
        <v>0.99999899999999997</v>
      </c>
      <c r="E30" s="9">
        <v>1.24E-2</v>
      </c>
      <c r="F30" s="9">
        <v>0.99999899999999997</v>
      </c>
      <c r="G30" s="9">
        <v>3.4299999999999997E-2</v>
      </c>
      <c r="H30" s="9">
        <v>0.99999899999999997</v>
      </c>
      <c r="I30" s="9">
        <v>-1.8499999999999999E-2</v>
      </c>
      <c r="J30" s="9">
        <v>0.99999899999999997</v>
      </c>
      <c r="K30" s="9">
        <v>-2.98E-2</v>
      </c>
      <c r="L30" s="9">
        <v>0.99999899999999997</v>
      </c>
      <c r="M30" s="9">
        <v>-2.8000000000000001E-2</v>
      </c>
      <c r="N30" s="9">
        <v>1</v>
      </c>
      <c r="O30" s="9">
        <v>1.23E-2</v>
      </c>
      <c r="P30" s="9">
        <v>0.99999899999999997</v>
      </c>
      <c r="Q30" s="9">
        <v>-5.7000000000000002E-3</v>
      </c>
      <c r="R30" s="9">
        <v>0.99999899999999997</v>
      </c>
      <c r="S30" s="9">
        <v>1.6999999999999999E-3</v>
      </c>
      <c r="T30" s="9">
        <v>0.99999899999999997</v>
      </c>
      <c r="U30" s="9">
        <v>-2.2200000000000001E-2</v>
      </c>
      <c r="V30" s="9">
        <v>0.99999899999999997</v>
      </c>
      <c r="W30" s="9">
        <v>1.1599999999999999E-2</v>
      </c>
      <c r="X30" s="9">
        <v>0.99999899999999997</v>
      </c>
      <c r="Y30" s="9">
        <v>-1.47E-2</v>
      </c>
      <c r="Z30" s="9">
        <v>0.99999899999999997</v>
      </c>
    </row>
    <row r="31" spans="1:27" ht="12.75" customHeight="1" thickBot="1" x14ac:dyDescent="0.25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7" ht="13.5" thickBot="1" x14ac:dyDescent="0.25">
      <c r="A32" s="15"/>
      <c r="B32" s="2" t="s">
        <v>53</v>
      </c>
      <c r="C32" s="11">
        <v>-7.1000000000000004E-3</v>
      </c>
      <c r="D32" s="11">
        <v>1.001471</v>
      </c>
      <c r="E32" s="11">
        <v>1.21E-2</v>
      </c>
      <c r="F32" s="11">
        <v>1.0011920000000001</v>
      </c>
      <c r="G32" s="11">
        <v>3.1300000000000001E-2</v>
      </c>
      <c r="H32" s="11">
        <v>0.99860400000000005</v>
      </c>
      <c r="I32" s="11">
        <v>-1.67E-2</v>
      </c>
      <c r="J32" s="11">
        <v>1.0000899999999999</v>
      </c>
      <c r="K32" s="11">
        <v>-3.0099999999999998E-2</v>
      </c>
      <c r="L32" s="11">
        <v>1</v>
      </c>
      <c r="M32" s="11">
        <v>-2.7699999999999999E-2</v>
      </c>
      <c r="N32" s="11">
        <v>1.004475</v>
      </c>
      <c r="O32" s="11">
        <v>1.1299999999999999E-2</v>
      </c>
      <c r="P32" s="11">
        <v>1.00393</v>
      </c>
      <c r="Q32" s="11">
        <v>-4.8999999999999998E-3</v>
      </c>
      <c r="R32" s="11">
        <v>1.004623</v>
      </c>
      <c r="S32" s="11">
        <v>2.0999999999999999E-3</v>
      </c>
      <c r="T32" s="11">
        <v>1.0050030000000001</v>
      </c>
      <c r="U32" s="11">
        <v>-2.18E-2</v>
      </c>
      <c r="V32" s="11">
        <v>1.0100420000000001</v>
      </c>
      <c r="W32" s="11">
        <v>1.2200000000000001E-2</v>
      </c>
      <c r="X32" s="11">
        <v>1.009066</v>
      </c>
      <c r="Y32" s="11">
        <v>-0.01</v>
      </c>
      <c r="Z32" s="11">
        <v>1.000899</v>
      </c>
    </row>
    <row r="33" spans="1:26" ht="13.5" thickBot="1" x14ac:dyDescent="0.25">
      <c r="A33" s="15"/>
      <c r="B33" s="5" t="s">
        <v>54</v>
      </c>
      <c r="C33" s="3">
        <v>-1.5E-3</v>
      </c>
      <c r="D33" s="3">
        <v>-1.4710000000000001E-3</v>
      </c>
      <c r="E33" s="3">
        <v>2.9999999999999997E-4</v>
      </c>
      <c r="F33" s="3">
        <v>-1.1919999999999999E-3</v>
      </c>
      <c r="G33" s="3">
        <v>3.0000000000000001E-3</v>
      </c>
      <c r="H33" s="3">
        <v>1.395E-3</v>
      </c>
      <c r="I33" s="3">
        <v>-1.8E-3</v>
      </c>
      <c r="J33" s="3">
        <v>-9.0000000000000006E-5</v>
      </c>
      <c r="K33" s="3">
        <v>2.9999999999999997E-4</v>
      </c>
      <c r="L33" s="20" t="s">
        <v>65</v>
      </c>
      <c r="M33" s="3">
        <v>-2.9999999999999997E-4</v>
      </c>
      <c r="N33" s="3">
        <v>-4.4749999999999998E-3</v>
      </c>
      <c r="O33" s="3">
        <v>1E-3</v>
      </c>
      <c r="P33" s="3">
        <v>-3.9300000000000003E-3</v>
      </c>
      <c r="Q33" s="3">
        <v>-8.0000000000000004E-4</v>
      </c>
      <c r="R33" s="3">
        <v>-4.6230000000000004E-3</v>
      </c>
      <c r="S33" s="3">
        <v>-4.0000000000000002E-4</v>
      </c>
      <c r="T33" s="3">
        <v>-5.0029999999999996E-3</v>
      </c>
      <c r="U33" s="3">
        <v>-4.0000000000000002E-4</v>
      </c>
      <c r="V33" s="3">
        <v>-1.0042000000000001E-2</v>
      </c>
      <c r="W33" s="3">
        <v>-5.9999999999999995E-4</v>
      </c>
      <c r="X33" s="3">
        <v>-9.0659999999999994E-3</v>
      </c>
      <c r="Y33" s="3">
        <v>-4.7000000000000002E-3</v>
      </c>
      <c r="Z33" s="3">
        <v>-8.9899999999999995E-4</v>
      </c>
    </row>
    <row r="34" spans="1:26" ht="13.5" thickBot="1" x14ac:dyDescent="0.25">
      <c r="A34" s="15"/>
      <c r="B34" s="7" t="s">
        <v>49</v>
      </c>
      <c r="C34" s="9">
        <v>-8.6E-3</v>
      </c>
      <c r="D34" s="9">
        <v>1</v>
      </c>
      <c r="E34" s="9">
        <v>1.24E-2</v>
      </c>
      <c r="F34" s="9">
        <v>1</v>
      </c>
      <c r="G34" s="9">
        <v>3.4299999999999997E-2</v>
      </c>
      <c r="H34" s="9">
        <v>0.99999899999999997</v>
      </c>
      <c r="I34" s="9">
        <v>-1.8499999999999999E-2</v>
      </c>
      <c r="J34" s="9">
        <v>1</v>
      </c>
      <c r="K34" s="9">
        <v>-2.98E-2</v>
      </c>
      <c r="L34" s="9">
        <v>1</v>
      </c>
      <c r="M34" s="9">
        <v>-2.8000000000000001E-2</v>
      </c>
      <c r="N34" s="9">
        <v>1</v>
      </c>
      <c r="O34" s="9">
        <v>1.23E-2</v>
      </c>
      <c r="P34" s="9">
        <v>1</v>
      </c>
      <c r="Q34" s="9">
        <v>-5.7000000000000002E-3</v>
      </c>
      <c r="R34" s="9">
        <v>1</v>
      </c>
      <c r="S34" s="9">
        <v>1.6999999999999999E-3</v>
      </c>
      <c r="T34" s="9">
        <v>1</v>
      </c>
      <c r="U34" s="9">
        <v>-2.2200000000000001E-2</v>
      </c>
      <c r="V34" s="9">
        <v>1</v>
      </c>
      <c r="W34" s="9">
        <v>1.1599999999999999E-2</v>
      </c>
      <c r="X34" s="9">
        <v>1</v>
      </c>
      <c r="Y34" s="9">
        <v>-1.47E-2</v>
      </c>
      <c r="Z34" s="9">
        <v>1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4">
        <v>1E-3</v>
      </c>
      <c r="D37" s="3">
        <v>0.1111</v>
      </c>
      <c r="E37" s="4">
        <v>-5.0000000000000001E-3</v>
      </c>
      <c r="F37" s="3">
        <v>-14.231922000000001</v>
      </c>
      <c r="G37" s="4">
        <v>-5.9999999999999995E-4</v>
      </c>
      <c r="H37" s="3">
        <v>4.6551000000000002E-2</v>
      </c>
      <c r="I37" s="4">
        <v>1.5E-3</v>
      </c>
      <c r="J37" s="3">
        <v>8.6579000000000003E-2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5" thickBot="1" x14ac:dyDescent="0.25">
      <c r="A38" s="15"/>
      <c r="B38" s="5" t="s">
        <v>30</v>
      </c>
      <c r="C38" s="20" t="s">
        <v>65</v>
      </c>
      <c r="D38" s="6" t="s">
        <v>31</v>
      </c>
      <c r="E38" s="20" t="s">
        <v>65</v>
      </c>
      <c r="F38" s="6" t="s">
        <v>31</v>
      </c>
      <c r="G38" s="20" t="s">
        <v>65</v>
      </c>
      <c r="H38" s="6" t="s">
        <v>31</v>
      </c>
      <c r="I38" s="4">
        <v>1.6899999999999998E-2</v>
      </c>
      <c r="J38" s="3">
        <v>1.8046E-2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5" thickBot="1" x14ac:dyDescent="0.25">
      <c r="A39" s="15"/>
      <c r="B39" s="5" t="s">
        <v>32</v>
      </c>
      <c r="C39" s="20" t="s">
        <v>65</v>
      </c>
      <c r="D39" s="6" t="s">
        <v>31</v>
      </c>
      <c r="E39" s="20" t="s">
        <v>65</v>
      </c>
      <c r="F39" s="6" t="s">
        <v>31</v>
      </c>
      <c r="G39" s="20" t="s">
        <v>65</v>
      </c>
      <c r="H39" s="6" t="s">
        <v>31</v>
      </c>
      <c r="I39" s="4">
        <v>0</v>
      </c>
      <c r="J39" s="6" t="s">
        <v>31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5" thickBot="1" x14ac:dyDescent="0.25">
      <c r="A40" s="15"/>
      <c r="B40" s="5" t="s">
        <v>33</v>
      </c>
      <c r="C40" s="20" t="s">
        <v>65</v>
      </c>
      <c r="D40" s="6" t="s">
        <v>31</v>
      </c>
      <c r="E40" s="20" t="s">
        <v>65</v>
      </c>
      <c r="F40" s="6" t="s">
        <v>31</v>
      </c>
      <c r="G40" s="20" t="s">
        <v>65</v>
      </c>
      <c r="H40" s="6" t="s">
        <v>31</v>
      </c>
      <c r="I40" s="4">
        <v>0</v>
      </c>
      <c r="J40" s="6" t="s">
        <v>31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5" thickBot="1" x14ac:dyDescent="0.25">
      <c r="A41" s="15"/>
      <c r="B41" s="5" t="s">
        <v>34</v>
      </c>
      <c r="C41" s="20" t="s">
        <v>65</v>
      </c>
      <c r="D41" s="6" t="s">
        <v>31</v>
      </c>
      <c r="E41" s="20" t="s">
        <v>65</v>
      </c>
      <c r="F41" s="6" t="s">
        <v>31</v>
      </c>
      <c r="G41" s="20" t="s">
        <v>65</v>
      </c>
      <c r="H41" s="6" t="s">
        <v>31</v>
      </c>
      <c r="I41" s="4">
        <v>0</v>
      </c>
      <c r="J41" s="6" t="s">
        <v>31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5" thickBot="1" x14ac:dyDescent="0.25">
      <c r="A42" s="15"/>
      <c r="B42" s="5" t="s">
        <v>35</v>
      </c>
      <c r="C42" s="20" t="s">
        <v>65</v>
      </c>
      <c r="D42" s="6" t="s">
        <v>31</v>
      </c>
      <c r="E42" s="20" t="s">
        <v>65</v>
      </c>
      <c r="F42" s="6" t="s">
        <v>31</v>
      </c>
      <c r="G42" s="20" t="s">
        <v>65</v>
      </c>
      <c r="H42" s="6" t="s">
        <v>31</v>
      </c>
      <c r="I42" s="4">
        <v>0</v>
      </c>
      <c r="J42" s="6" t="s">
        <v>31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5" thickBot="1" x14ac:dyDescent="0.25">
      <c r="A43" s="15"/>
      <c r="B43" s="5" t="s">
        <v>36</v>
      </c>
      <c r="C43" s="20" t="s">
        <v>65</v>
      </c>
      <c r="D43" s="6" t="s">
        <v>31</v>
      </c>
      <c r="E43" s="20" t="s">
        <v>65</v>
      </c>
      <c r="F43" s="6" t="s">
        <v>31</v>
      </c>
      <c r="G43" s="20" t="s">
        <v>65</v>
      </c>
      <c r="H43" s="6" t="s">
        <v>31</v>
      </c>
      <c r="I43" s="4">
        <v>0</v>
      </c>
      <c r="J43" s="6" t="s">
        <v>31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5" thickBot="1" x14ac:dyDescent="0.25">
      <c r="A44" s="15"/>
      <c r="B44" s="5" t="s">
        <v>37</v>
      </c>
      <c r="C44" s="4">
        <v>3.5799999999999998E-2</v>
      </c>
      <c r="D44" s="3">
        <v>0.88900000000000001</v>
      </c>
      <c r="E44" s="4">
        <v>-3.3099999999999997E-2</v>
      </c>
      <c r="F44" s="3">
        <v>15.153786</v>
      </c>
      <c r="G44" s="4">
        <v>-2.7300000000000001E-2</v>
      </c>
      <c r="H44" s="3">
        <v>0.95675299999999996</v>
      </c>
      <c r="I44" s="4">
        <v>-6.4500000000000002E-2</v>
      </c>
      <c r="J44" s="3">
        <v>0.89585000000000004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5" thickBot="1" x14ac:dyDescent="0.25">
      <c r="A45" s="15"/>
      <c r="B45" s="5" t="s">
        <v>38</v>
      </c>
      <c r="C45" s="20" t="s">
        <v>65</v>
      </c>
      <c r="D45" s="6" t="s">
        <v>31</v>
      </c>
      <c r="E45" s="20" t="s">
        <v>65</v>
      </c>
      <c r="F45" s="6" t="s">
        <v>31</v>
      </c>
      <c r="G45" s="20" t="s">
        <v>65</v>
      </c>
      <c r="H45" s="6" t="s">
        <v>31</v>
      </c>
      <c r="I45" s="4">
        <v>0</v>
      </c>
      <c r="J45" s="6" t="s">
        <v>31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5" thickBot="1" x14ac:dyDescent="0.25">
      <c r="A46" s="15"/>
      <c r="B46" s="5" t="s">
        <v>39</v>
      </c>
      <c r="C46" s="20" t="s">
        <v>65</v>
      </c>
      <c r="D46" s="6" t="s">
        <v>31</v>
      </c>
      <c r="E46" s="20" t="s">
        <v>65</v>
      </c>
      <c r="F46" s="6" t="s">
        <v>31</v>
      </c>
      <c r="G46" s="20" t="s">
        <v>65</v>
      </c>
      <c r="H46" s="6" t="s">
        <v>31</v>
      </c>
      <c r="I46" s="4">
        <v>0</v>
      </c>
      <c r="J46" s="6" t="s">
        <v>31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5" thickBot="1" x14ac:dyDescent="0.25">
      <c r="A47" s="15"/>
      <c r="B47" s="5" t="s">
        <v>40</v>
      </c>
      <c r="C47" s="20" t="s">
        <v>65</v>
      </c>
      <c r="D47" s="6" t="s">
        <v>31</v>
      </c>
      <c r="E47" s="20" t="s">
        <v>65</v>
      </c>
      <c r="F47" s="6" t="s">
        <v>31</v>
      </c>
      <c r="G47" s="20" t="s">
        <v>65</v>
      </c>
      <c r="H47" s="6" t="s">
        <v>31</v>
      </c>
      <c r="I47" s="4">
        <v>0</v>
      </c>
      <c r="J47" s="6" t="s">
        <v>31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5" thickBot="1" x14ac:dyDescent="0.25">
      <c r="A48" s="15"/>
      <c r="B48" s="5" t="s">
        <v>41</v>
      </c>
      <c r="C48" s="4">
        <v>1.2999999999999999E-3</v>
      </c>
      <c r="D48" s="3">
        <v>-4.0000000000000002E-4</v>
      </c>
      <c r="E48" s="4">
        <v>-4.0000000000000002E-4</v>
      </c>
      <c r="F48" s="3">
        <v>-4.4749999999999998E-3</v>
      </c>
      <c r="G48" s="4">
        <v>-1.6999999999999999E-3</v>
      </c>
      <c r="H48" s="3">
        <v>-5.0029999999999996E-3</v>
      </c>
      <c r="I48" s="4">
        <v>-7.4000000000000003E-3</v>
      </c>
      <c r="J48" s="3">
        <v>-8.9899999999999995E-4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5" thickBot="1" x14ac:dyDescent="0.25">
      <c r="A49" s="15"/>
      <c r="B49" s="5" t="s">
        <v>42</v>
      </c>
      <c r="C49" s="20" t="s">
        <v>65</v>
      </c>
      <c r="D49" s="6" t="s">
        <v>31</v>
      </c>
      <c r="E49" s="20" t="s">
        <v>65</v>
      </c>
      <c r="F49" s="6" t="s">
        <v>31</v>
      </c>
      <c r="G49" s="20" t="s">
        <v>65</v>
      </c>
      <c r="H49" s="6" t="s">
        <v>31</v>
      </c>
      <c r="I49" s="4">
        <v>0</v>
      </c>
      <c r="J49" s="6" t="s">
        <v>31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5" thickBot="1" x14ac:dyDescent="0.25">
      <c r="A50" s="15"/>
      <c r="B50" s="5" t="s">
        <v>43</v>
      </c>
      <c r="C50" s="20" t="s">
        <v>65</v>
      </c>
      <c r="D50" s="6" t="s">
        <v>31</v>
      </c>
      <c r="E50" s="20" t="s">
        <v>65</v>
      </c>
      <c r="F50" s="6" t="s">
        <v>31</v>
      </c>
      <c r="G50" s="20" t="s">
        <v>65</v>
      </c>
      <c r="H50" s="6" t="s">
        <v>31</v>
      </c>
      <c r="I50" s="4">
        <v>0</v>
      </c>
      <c r="J50" s="6" t="s">
        <v>31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5" thickBot="1" x14ac:dyDescent="0.25">
      <c r="A51" s="15"/>
      <c r="B51" s="5" t="s">
        <v>44</v>
      </c>
      <c r="C51" s="20" t="s">
        <v>65</v>
      </c>
      <c r="D51" s="6" t="s">
        <v>31</v>
      </c>
      <c r="E51" s="20" t="s">
        <v>65</v>
      </c>
      <c r="F51" s="6" t="s">
        <v>31</v>
      </c>
      <c r="G51" s="20" t="s">
        <v>65</v>
      </c>
      <c r="H51" s="6" t="s">
        <v>31</v>
      </c>
      <c r="I51" s="4">
        <v>0</v>
      </c>
      <c r="J51" s="6" t="s">
        <v>31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5" thickBot="1" x14ac:dyDescent="0.25">
      <c r="A52" s="15"/>
      <c r="B52" s="5" t="s">
        <v>45</v>
      </c>
      <c r="C52" s="20" t="s">
        <v>65</v>
      </c>
      <c r="D52" s="6" t="s">
        <v>31</v>
      </c>
      <c r="E52" s="20" t="s">
        <v>65</v>
      </c>
      <c r="F52" s="6" t="s">
        <v>31</v>
      </c>
      <c r="G52" s="20" t="s">
        <v>65</v>
      </c>
      <c r="H52" s="6" t="s">
        <v>31</v>
      </c>
      <c r="I52" s="4">
        <v>0</v>
      </c>
      <c r="J52" s="6" t="s">
        <v>31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5" thickBot="1" x14ac:dyDescent="0.25">
      <c r="A53" s="15"/>
      <c r="B53" s="5" t="s">
        <v>46</v>
      </c>
      <c r="C53" s="20" t="s">
        <v>65</v>
      </c>
      <c r="D53" s="6" t="s">
        <v>31</v>
      </c>
      <c r="E53" s="20" t="s">
        <v>65</v>
      </c>
      <c r="F53" s="6" t="s">
        <v>31</v>
      </c>
      <c r="G53" s="20" t="s">
        <v>65</v>
      </c>
      <c r="H53" s="6" t="s">
        <v>31</v>
      </c>
      <c r="I53" s="4">
        <v>0</v>
      </c>
      <c r="J53" s="6" t="s">
        <v>31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5" thickBot="1" x14ac:dyDescent="0.25">
      <c r="A54" s="15"/>
      <c r="B54" s="5" t="s">
        <v>47</v>
      </c>
      <c r="C54" s="20" t="s">
        <v>65</v>
      </c>
      <c r="D54" s="6" t="s">
        <v>31</v>
      </c>
      <c r="E54" s="20" t="s">
        <v>65</v>
      </c>
      <c r="F54" s="6" t="s">
        <v>31</v>
      </c>
      <c r="G54" s="20" t="s">
        <v>65</v>
      </c>
      <c r="H54" s="6" t="s">
        <v>31</v>
      </c>
      <c r="I54" s="4">
        <v>0</v>
      </c>
      <c r="J54" s="6" t="s">
        <v>31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5" thickBot="1" x14ac:dyDescent="0.25">
      <c r="A55" s="15"/>
      <c r="B55" s="5" t="s">
        <v>48</v>
      </c>
      <c r="C55" s="20" t="s">
        <v>65</v>
      </c>
      <c r="D55" s="3">
        <v>2.9999999999999997E-4</v>
      </c>
      <c r="E55" s="4">
        <v>-5.9999999999999995E-4</v>
      </c>
      <c r="F55" s="3">
        <v>8.2611000000000004E-2</v>
      </c>
      <c r="G55" s="4">
        <v>-1.6000000000000001E-3</v>
      </c>
      <c r="H55" s="3">
        <v>1.6980000000000001E-3</v>
      </c>
      <c r="I55" s="4">
        <v>-2.3E-3</v>
      </c>
      <c r="J55" s="3">
        <v>4.2299999999999998E-4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5" thickBot="1" x14ac:dyDescent="0.25">
      <c r="A56" s="15"/>
      <c r="B56" s="7" t="s">
        <v>64</v>
      </c>
      <c r="C56" s="12">
        <v>3.8100000000000002E-2</v>
      </c>
      <c r="D56" s="13">
        <v>1</v>
      </c>
      <c r="E56" s="12">
        <v>-3.9100000000000003E-2</v>
      </c>
      <c r="F56" s="13">
        <v>0.99999999999900002</v>
      </c>
      <c r="G56" s="12">
        <v>-3.1199999999999999E-2</v>
      </c>
      <c r="H56" s="13">
        <v>0.99999899999999997</v>
      </c>
      <c r="I56" s="12">
        <v>-5.5800000000000002E-2</v>
      </c>
      <c r="J56" s="13">
        <v>0.99999899999999997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5" thickBot="1" x14ac:dyDescent="0.25">
      <c r="A57" s="15"/>
      <c r="B57" s="2" t="s">
        <v>50</v>
      </c>
      <c r="C57" s="10">
        <v>19.204000000000001</v>
      </c>
      <c r="D57" s="21" t="s">
        <v>65</v>
      </c>
      <c r="E57" s="10">
        <v>-18.033000000000001</v>
      </c>
      <c r="F57" s="21" t="s">
        <v>65</v>
      </c>
      <c r="G57" s="10">
        <v>-17.803000000000001</v>
      </c>
      <c r="H57" s="21" t="s">
        <v>65</v>
      </c>
      <c r="I57" s="10">
        <v>-18.401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25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5" thickBot="1" x14ac:dyDescent="0.25">
      <c r="A59" s="15"/>
      <c r="B59" s="2" t="s">
        <v>51</v>
      </c>
      <c r="C59" s="11">
        <v>8.0090000000000005E-3</v>
      </c>
      <c r="D59" s="11">
        <v>0.283277</v>
      </c>
      <c r="E59" s="11">
        <v>-1.4529E-2</v>
      </c>
      <c r="F59" s="11">
        <v>-11.028022</v>
      </c>
      <c r="G59" s="11">
        <v>-1.26E-2</v>
      </c>
      <c r="H59" s="11">
        <v>0.28546700000000003</v>
      </c>
      <c r="I59" s="11">
        <v>-7.3349000000000001E-3</v>
      </c>
      <c r="J59" s="11">
        <v>0.320544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5" thickBot="1" x14ac:dyDescent="0.25">
      <c r="A60" s="15"/>
      <c r="B60" s="5" t="s">
        <v>52</v>
      </c>
      <c r="C60" s="3">
        <v>3.0091E-2</v>
      </c>
      <c r="D60" s="3">
        <v>0.71672199999999997</v>
      </c>
      <c r="E60" s="3">
        <v>-2.4570999999999999E-2</v>
      </c>
      <c r="F60" s="3">
        <v>12.028022</v>
      </c>
      <c r="G60" s="3">
        <v>-1.8599999999999998E-2</v>
      </c>
      <c r="H60" s="3">
        <v>0.71453199999999994</v>
      </c>
      <c r="I60" s="3">
        <v>-4.8465099999999997E-2</v>
      </c>
      <c r="J60" s="3">
        <v>0.67945500000000003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5" thickBot="1" x14ac:dyDescent="0.25">
      <c r="A61" s="15"/>
      <c r="B61" s="7" t="s">
        <v>64</v>
      </c>
      <c r="C61" s="12">
        <v>3.8100000000000002E-2</v>
      </c>
      <c r="D61" s="13">
        <v>0.99999899999999997</v>
      </c>
      <c r="E61" s="12">
        <v>-3.9100000000000003E-2</v>
      </c>
      <c r="F61" s="13">
        <v>1</v>
      </c>
      <c r="G61" s="12">
        <v>-3.1199999999999999E-2</v>
      </c>
      <c r="H61" s="13">
        <v>0.99999899999999997</v>
      </c>
      <c r="I61" s="12">
        <v>-5.5800000000000002E-2</v>
      </c>
      <c r="J61" s="13">
        <v>0.99999899999999997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25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5" thickBot="1" x14ac:dyDescent="0.25">
      <c r="A63" s="15"/>
      <c r="B63" s="2" t="s">
        <v>53</v>
      </c>
      <c r="C63" s="11">
        <v>3.6304000000000003E-2</v>
      </c>
      <c r="D63" s="11">
        <v>0.99860400000000005</v>
      </c>
      <c r="E63" s="11">
        <v>-3.9097E-2</v>
      </c>
      <c r="F63" s="11">
        <v>1.004475</v>
      </c>
      <c r="G63" s="11">
        <v>-3.0998999999999999E-2</v>
      </c>
      <c r="H63" s="11">
        <v>1.0050030000000001</v>
      </c>
      <c r="I63" s="11">
        <v>-4.9906100000000002E-2</v>
      </c>
      <c r="J63" s="11">
        <v>1.000899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5" thickBot="1" x14ac:dyDescent="0.25">
      <c r="A64" s="15"/>
      <c r="B64" s="5" t="s">
        <v>54</v>
      </c>
      <c r="C64" s="3">
        <v>1.7960000000000001E-3</v>
      </c>
      <c r="D64" s="3">
        <v>1.395E-3</v>
      </c>
      <c r="E64" s="3">
        <v>-3.0000000000000001E-6</v>
      </c>
      <c r="F64" s="3">
        <v>-4.4749999999999998E-3</v>
      </c>
      <c r="G64" s="3">
        <v>-2.0100000000000001E-4</v>
      </c>
      <c r="H64" s="3">
        <v>-5.0029999999999996E-3</v>
      </c>
      <c r="I64" s="3">
        <v>-5.8938999999999997E-3</v>
      </c>
      <c r="J64" s="3">
        <v>-8.9899999999999995E-4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5" thickBot="1" x14ac:dyDescent="0.25">
      <c r="A65" s="15"/>
      <c r="B65" s="7" t="s">
        <v>64</v>
      </c>
      <c r="C65" s="12">
        <v>3.8100000000000002E-2</v>
      </c>
      <c r="D65" s="13">
        <v>0.99999899999999997</v>
      </c>
      <c r="E65" s="12">
        <v>-3.9100000000000003E-2</v>
      </c>
      <c r="F65" s="13">
        <v>1</v>
      </c>
      <c r="G65" s="12">
        <v>-3.1199999999999999E-2</v>
      </c>
      <c r="H65" s="13">
        <v>1</v>
      </c>
      <c r="I65" s="12">
        <v>-5.5800000000000002E-2</v>
      </c>
      <c r="J65" s="13">
        <v>1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8_7_15272_2025_q4</dc:title>
  <cp:lastModifiedBy>Ofek Sharon</cp:lastModifiedBy>
  <dcterms:modified xsi:type="dcterms:W3CDTF">2026-02-19T05:21:50Z</dcterms:modified>
  <dc:language>עברית</dc:language>
</cp:coreProperties>
</file>