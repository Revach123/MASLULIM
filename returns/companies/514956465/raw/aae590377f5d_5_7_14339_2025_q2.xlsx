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D36AE073-5381-48C0-8D07-9B384ABBD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E57" i="1" s="1"/>
</calcChain>
</file>

<file path=xl/sharedStrings.xml><?xml version="1.0" encoding="utf-8"?>
<sst xmlns="http://schemas.openxmlformats.org/spreadsheetml/2006/main" count="1199" uniqueCount="82">
  <si>
    <t>פירוט תרומת אפיקי ההשקעה לתשואה הכוללת</t>
  </si>
  <si>
    <t xml:space="preserve">מור פנסיה נכסים               </t>
  </si>
  <si>
    <t>14339                                                                                                                           מור פנסיה מקיפה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</si>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</sst>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0</xdr:rowOff>
    </xdr:from>
    <xdr:to>
      <xdr:col>5</xdr:col>
      <xdr:colOff>876300</xdr:colOff>
      <xdr:row>2</xdr:row>
      <xdr:rowOff>9525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85BB7DC-D04C-5874-C1E8-CB79C67AF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389875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ABD9A-36A0-4FDA-B386-348A397783A3}" name="TitleRegion1.b5.z34.1" displayName="TitleRegion1.b5.z34.1" ref="B5:Z34" totalsRowShown="0" headerRowDxfId="1">
  <autoFilter ref="B5:Z34" xr:uid="{B35ABD9A-36A0-4FDA-B386-348A397783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040CA94-FDE5-41A1-818C-75D623BDA1DF}" name="אפיקי השקעה:"/>
    <tableColumn id="2" xr3:uid="{229C0296-853A-4863-890A-83B5833C8480}" name="התרומה לתשואה ינואר 2025"/>
    <tableColumn id="3" xr3:uid="{7A4DE1AB-C23B-4655-871D-E1BAA0C8A9A9}" name="שיעור מסך הנכסים ינואר 2025"/>
    <tableColumn id="4" xr3:uid="{A3C7EB61-4B7C-4ECE-AEE6-69FFCDFC351B}" name="התרומה לתשואה פברואר 2025"/>
    <tableColumn id="5" xr3:uid="{2436C6C5-DA2E-44F6-A634-E50D0CBC675A}" name="שיעור מסך הנכסים פברואר 2025"/>
    <tableColumn id="6" xr3:uid="{F776B508-3BD1-42FF-A74C-BB645780E8C3}" name="התרומה לתשואה מרץ 2025"/>
    <tableColumn id="7" xr3:uid="{A681ABFE-FABF-418B-AFD2-72874C8B2F18}" name="שיעור מסך הנכסים מרץ 2025"/>
    <tableColumn id="8" xr3:uid="{D422B313-5C97-4722-9BF6-C6E5AB943F09}" name="התרומה לתשואה אפריל 2025"/>
    <tableColumn id="9" xr3:uid="{2BA980D0-49B0-4812-964A-631C8801AACC}" name="שיעור מסך הנכסים אפריל 2025"/>
    <tableColumn id="10" xr3:uid="{7F6CB52E-207C-4C0B-856C-4F5DBC46A7C7}" name="התרומה לתשואה מאי 2025"/>
    <tableColumn id="11" xr3:uid="{EF7F4AB3-4273-4F4C-9119-D4CF7D652FC3}" name="שיעור מסך הנכסים מאי 2025"/>
    <tableColumn id="12" xr3:uid="{25E04E90-CBCD-4FE5-AAD6-9DFE91550E32}" name="התרומה לתשואה יוני 2025"/>
    <tableColumn id="13" xr3:uid="{26D42E0F-710A-484F-B61E-43F865647343}" name="שיעור מסך הנכסים יוני 2025"/>
    <tableColumn id="14" xr3:uid="{8EFA34C1-4B8E-49AF-B790-E7629D7B6495}" name="התרומה לתשואה יולי 2025"/>
    <tableColumn id="15" xr3:uid="{A4F079E8-99CE-4C4E-BEC4-3A21DA440A94}" name="שיעור מסך הנכסים יולי 2025"/>
    <tableColumn id="16" xr3:uid="{B6AA11A7-71DA-487D-AA8B-96BDB72F865C}" name="התרומה לתשואה אוגוסט 2025"/>
    <tableColumn id="17" xr3:uid="{4F089D93-DE67-4E2D-B7FD-88F5FCE2647C}" name="שיעור מסך הנכסים אוגוסט 2025"/>
    <tableColumn id="18" xr3:uid="{8FF12EC9-2E51-4F0E-84D5-FAFDB981BE90}" name="התרומה לתשואה ספטמבר 2025"/>
    <tableColumn id="19" xr3:uid="{ECB65E04-14C0-4B92-83C0-0BA9A6AA039B}" name="שיעור מסך הנכסים ספטמבר 2025"/>
    <tableColumn id="20" xr3:uid="{9BE427AF-1B12-4B3D-AB16-568DFA8F622C}" name="התרומה לתשואה אוקטובר 2025"/>
    <tableColumn id="21" xr3:uid="{D04295F8-CADA-42BD-9384-B8AEB34352CF}" name="שיעור מסך הנכסים אוקטובר 2025"/>
    <tableColumn id="22" xr3:uid="{2D7C9186-9767-4E43-9EB9-F6E4E20CE602}" name="התרומה לתשואה נובמבר 2025"/>
    <tableColumn id="23" xr3:uid="{E8E87E6F-9FD4-4B44-ABE8-C0384D405082}" name="שיעור מסך הנכסים נובמבר 2025"/>
    <tableColumn id="24" xr3:uid="{8B6D11BE-7532-4364-9922-FFCF33222F3E}" name="התרומה לתשואה דצמבר 2025"/>
    <tableColumn id="25" xr3:uid="{C693FE3C-E387-43FD-BD0E-D97358915E83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C8872-FD07-424B-A8BB-ABF660075B61}" name="TitleRegion1.b36.z65.2" displayName="TitleRegion1.b36.z65.2" ref="B36:Z65" totalsRowShown="0" headerRowDxfId="0">
  <autoFilter ref="B36:Z65" xr:uid="{E87C8872-FD07-424B-A8BB-ABF660075B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5296EBE-AFB8-4461-AF0E-7C80CC6C7356}" name="נתונים מצטברים"/>
    <tableColumn id="2" xr3:uid="{4D625992-D898-49C1-815D-857F86230784}" name="התרומה לתשואה ינואר-מרץ 2025"/>
    <tableColumn id="3" xr3:uid="{E0F00069-6A5F-41B9-A9F6-0E918A5A6B3C}" name="שיעור מסך הנכסים ינואר-מרץ 2025"/>
    <tableColumn id="4" xr3:uid="{2BF77643-9CDF-45EE-AEB1-D8AA7F875FE3}" name="התרומה לתשואה ינואר-יוני  2025"/>
    <tableColumn id="5" xr3:uid="{C6CB8285-1C16-4E6A-854E-4888A7D23FA0}" name="שיעור מסך הנכסים ינואר-יוני 2025"/>
    <tableColumn id="6" xr3:uid="{49EE1D58-6EEC-4701-96F0-F68ECECD18F0}" name="התרומה לתשואה ינואר-ספטמבר 2025"/>
    <tableColumn id="7" xr3:uid="{9918015E-AC23-4712-A40C-957C89E76352}" name="שיעור מסך הנכסים ינואר-ספטמבר 2025"/>
    <tableColumn id="8" xr3:uid="{86A49FD3-0494-4D5F-877E-61116BA2F725}" name="התרומה לתשואה ינואר-דצמבר 2025"/>
    <tableColumn id="9" xr3:uid="{E38B13BA-19CC-454C-BD66-7E1EBDD4E040}" name="שיעור מסך הנכסים ינואר-דצמבר 2025"/>
    <tableColumn id="10" xr3:uid="{ADAADF6B-A30D-43D5-9F7C-E0408D106975}" name="עמודה1"/>
    <tableColumn id="11" xr3:uid="{3314CE2B-3386-4159-A3D1-7B1BEA8D2A49}" name="עמודה2"/>
    <tableColumn id="12" xr3:uid="{04380A84-D462-43A4-A81F-2CD5902B1AFF}" name="עמודה3"/>
    <tableColumn id="13" xr3:uid="{A00A53B7-D67B-4830-918C-EC6CE606CB07}" name="עמודה4"/>
    <tableColumn id="14" xr3:uid="{A1988501-2A58-4E78-AFF3-934893BA77DE}" name="עמודה5"/>
    <tableColumn id="15" xr3:uid="{8D31DECB-AD8B-40AD-AA40-4C0D311A2F22}" name="עמודה6"/>
    <tableColumn id="16" xr3:uid="{49D70B22-4B62-4192-98B6-7FBCE9B159A4}" name="עמודה7"/>
    <tableColumn id="17" xr3:uid="{E72463CC-2BC2-435B-9099-CF354E347FA1}" name="עמודה8"/>
    <tableColumn id="18" xr3:uid="{EB5DEC4B-A894-4133-8137-20269083B46F}" name="עמודה9"/>
    <tableColumn id="19" xr3:uid="{F6383567-966B-4D14-A379-255C74B30DC2}" name="עמודה10"/>
    <tableColumn id="20" xr3:uid="{92587E37-E55D-4A6B-8645-224F3AA93D42}" name="עמודה11"/>
    <tableColumn id="21" xr3:uid="{90D24BDA-7741-4525-86B7-998251FEE480}" name="עמודה12"/>
    <tableColumn id="22" xr3:uid="{AF280FEF-667A-4B04-A268-3D84448D213F}" name="עמודה13"/>
    <tableColumn id="23" xr3:uid="{C2645A4D-E57B-4EDF-B569-30AD9019F6A8}" name="עמודה14"/>
    <tableColumn id="24" xr3:uid="{FEB20A60-04EF-451C-B4AB-224E5B4FA52C}" name="עמודה15"/>
    <tableColumn id="25" xr3:uid="{3F1CDEEF-4244-49F6-A7A6-4B464949DA6F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A43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">
        <v>-2.3999999999999998E-3</v>
      </c>
      <c r="D6" s="3">
        <v>9.98497E-2</v>
      </c>
      <c r="E6" s="22" t="s">
        <v>65</v>
      </c>
      <c r="F6" s="3">
        <v>0.13995270000000001</v>
      </c>
      <c r="G6" s="2">
        <v>6.9999999999999999E-4</v>
      </c>
      <c r="H6" s="3">
        <v>0.1636399</v>
      </c>
      <c r="I6" s="2">
        <v>-8.9999999999999998E-4</v>
      </c>
      <c r="J6" s="3">
        <v>0.15976199999999999</v>
      </c>
      <c r="K6" s="2">
        <v>-1.6999999999999999E-3</v>
      </c>
      <c r="L6" s="3">
        <v>0.15456500000000001</v>
      </c>
      <c r="M6" s="2">
        <v>-4.0000000000000001E-3</v>
      </c>
      <c r="N6" s="3">
        <v>0.184146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2">
        <v>5.1999999999999998E-3</v>
      </c>
      <c r="D7" s="3">
        <v>0.37301810000000002</v>
      </c>
      <c r="E7" s="2">
        <v>1.1999999999999999E-3</v>
      </c>
      <c r="F7" s="3">
        <v>0.36614279999999999</v>
      </c>
      <c r="G7" s="2">
        <v>5.0000000000000001E-4</v>
      </c>
      <c r="H7" s="3">
        <v>0.35715989999999997</v>
      </c>
      <c r="I7" s="2">
        <v>2.5999999999999999E-3</v>
      </c>
      <c r="J7" s="3">
        <v>0.116934</v>
      </c>
      <c r="K7" s="2">
        <v>-1E-4</v>
      </c>
      <c r="L7" s="3">
        <v>0.105536</v>
      </c>
      <c r="M7" s="2">
        <v>0</v>
      </c>
      <c r="N7" s="3">
        <v>9.6926999999999999E-2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4" t="s">
        <v>30</v>
      </c>
      <c r="E8" s="22" t="s">
        <v>65</v>
      </c>
      <c r="F8" s="4" t="s">
        <v>30</v>
      </c>
      <c r="G8" s="22" t="s">
        <v>65</v>
      </c>
      <c r="H8" s="4" t="s">
        <v>30</v>
      </c>
      <c r="I8" s="22" t="s">
        <v>65</v>
      </c>
      <c r="J8" s="3">
        <v>0</v>
      </c>
      <c r="K8" s="22" t="s">
        <v>65</v>
      </c>
      <c r="L8" s="3">
        <v>0</v>
      </c>
      <c r="M8" s="22" t="s">
        <v>65</v>
      </c>
      <c r="N8" s="3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4" t="s">
        <v>30</v>
      </c>
      <c r="E9" s="22" t="s">
        <v>65</v>
      </c>
      <c r="F9" s="4" t="s">
        <v>30</v>
      </c>
      <c r="G9" s="22" t="s">
        <v>65</v>
      </c>
      <c r="H9" s="4" t="s">
        <v>30</v>
      </c>
      <c r="I9" s="22" t="s">
        <v>65</v>
      </c>
      <c r="J9" s="3">
        <v>0</v>
      </c>
      <c r="K9" s="22" t="s">
        <v>65</v>
      </c>
      <c r="L9" s="3">
        <v>0</v>
      </c>
      <c r="M9" s="22" t="s">
        <v>65</v>
      </c>
      <c r="N9" s="3">
        <v>0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2">
        <v>6.8999999999999999E-3</v>
      </c>
      <c r="D10" s="3">
        <v>0.27970299999999998</v>
      </c>
      <c r="E10" s="2">
        <v>1.46E-2</v>
      </c>
      <c r="F10" s="3">
        <v>0.2494654</v>
      </c>
      <c r="G10" s="2">
        <v>-1.5900000000000001E-2</v>
      </c>
      <c r="H10" s="3">
        <v>0.25014760000000003</v>
      </c>
      <c r="I10" s="2">
        <v>6.9999999999999999E-4</v>
      </c>
      <c r="J10" s="3">
        <v>0.235011</v>
      </c>
      <c r="K10" s="2">
        <v>2E-3</v>
      </c>
      <c r="L10" s="3">
        <v>0.234123</v>
      </c>
      <c r="M10" s="2">
        <v>2.8999999999999998E-3</v>
      </c>
      <c r="N10" s="3">
        <v>0.22198899999999999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22" t="s">
        <v>65</v>
      </c>
      <c r="D11" s="3">
        <v>2.3644999999999998E-3</v>
      </c>
      <c r="E11" s="22" t="s">
        <v>65</v>
      </c>
      <c r="F11" s="3">
        <v>1.9930999999999998E-3</v>
      </c>
      <c r="G11" s="22" t="s">
        <v>65</v>
      </c>
      <c r="H11" s="3">
        <v>1.7589000000000001E-3</v>
      </c>
      <c r="I11" s="2">
        <v>0</v>
      </c>
      <c r="J11" s="3">
        <v>1.436E-3</v>
      </c>
      <c r="K11" s="2">
        <v>0</v>
      </c>
      <c r="L11" s="3">
        <v>1.307E-3</v>
      </c>
      <c r="M11" s="2">
        <v>0</v>
      </c>
      <c r="N11" s="3">
        <v>1.2019999999999999E-3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2">
        <v>1.03E-2</v>
      </c>
      <c r="D12" s="3">
        <v>0.14153389999999999</v>
      </c>
      <c r="E12" s="2">
        <v>-1.9E-3</v>
      </c>
      <c r="F12" s="3">
        <v>0.15413760000000001</v>
      </c>
      <c r="G12" s="2">
        <v>1.6999999999999999E-3</v>
      </c>
      <c r="H12" s="3">
        <v>0.15417330000000001</v>
      </c>
      <c r="I12" s="2">
        <v>7.1000000000000004E-3</v>
      </c>
      <c r="J12" s="3">
        <v>0.14599899999999999</v>
      </c>
      <c r="K12" s="2">
        <v>8.0999999999999996E-3</v>
      </c>
      <c r="L12" s="3">
        <v>0.14637700000000001</v>
      </c>
      <c r="M12" s="2">
        <v>1.7500000000000002E-2</v>
      </c>
      <c r="N12" s="3">
        <v>0.14427300000000001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2" t="s">
        <v>65</v>
      </c>
      <c r="D13" s="4" t="s">
        <v>30</v>
      </c>
      <c r="E13" s="22" t="s">
        <v>65</v>
      </c>
      <c r="F13" s="4" t="s">
        <v>30</v>
      </c>
      <c r="G13" s="22" t="s">
        <v>65</v>
      </c>
      <c r="H13" s="4" t="s">
        <v>30</v>
      </c>
      <c r="I13" s="22" t="s">
        <v>65</v>
      </c>
      <c r="J13" s="3">
        <v>0</v>
      </c>
      <c r="K13" s="22" t="s">
        <v>65</v>
      </c>
      <c r="L13" s="3">
        <v>0</v>
      </c>
      <c r="M13" s="22" t="s">
        <v>65</v>
      </c>
      <c r="N13" s="3">
        <v>0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">
        <v>-8.9999999999999998E-4</v>
      </c>
      <c r="D14" s="3">
        <v>9.2660900000000004E-2</v>
      </c>
      <c r="E14" s="22" t="s">
        <v>65</v>
      </c>
      <c r="F14" s="3">
        <v>7.7976799999999999E-2</v>
      </c>
      <c r="G14" s="2">
        <v>2.8999999999999998E-3</v>
      </c>
      <c r="H14" s="3">
        <v>6.8980399999999997E-2</v>
      </c>
      <c r="I14" s="2">
        <v>1.0000000000000001E-5</v>
      </c>
      <c r="J14" s="3">
        <v>7.0092000000000002E-2</v>
      </c>
      <c r="K14" s="2">
        <v>2.5999999999999999E-3</v>
      </c>
      <c r="L14" s="3">
        <v>7.5197E-2</v>
      </c>
      <c r="M14" s="2">
        <v>1.5E-3</v>
      </c>
      <c r="N14" s="3">
        <v>6.8763000000000005E-2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2" t="s">
        <v>65</v>
      </c>
      <c r="D15" s="4" t="s">
        <v>30</v>
      </c>
      <c r="E15" s="22" t="s">
        <v>65</v>
      </c>
      <c r="F15" s="4" t="s">
        <v>30</v>
      </c>
      <c r="G15" s="22" t="s">
        <v>65</v>
      </c>
      <c r="H15" s="4" t="s">
        <v>30</v>
      </c>
      <c r="I15" s="22" t="s">
        <v>65</v>
      </c>
      <c r="J15" s="3">
        <v>0</v>
      </c>
      <c r="K15" s="22" t="s">
        <v>65</v>
      </c>
      <c r="L15" s="3">
        <v>0</v>
      </c>
      <c r="M15" s="22" t="s">
        <v>65</v>
      </c>
      <c r="N15" s="3">
        <v>0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2">
        <v>-5.9999999999999995E-4</v>
      </c>
      <c r="D16" s="3">
        <v>5.6568E-3</v>
      </c>
      <c r="E16" s="2">
        <v>2.8E-3</v>
      </c>
      <c r="F16" s="3">
        <v>7.0004000000000004E-3</v>
      </c>
      <c r="G16" s="2">
        <v>2E-3</v>
      </c>
      <c r="H16" s="3">
        <v>7.1453000000000003E-3</v>
      </c>
      <c r="I16" s="2">
        <v>-4.0000000000000002E-4</v>
      </c>
      <c r="J16" s="3">
        <v>5.764E-3</v>
      </c>
      <c r="K16" s="2">
        <v>4.0000000000000002E-4</v>
      </c>
      <c r="L16" s="3">
        <v>5.5069999999999997E-3</v>
      </c>
      <c r="M16" s="2">
        <v>1.6999999999999999E-3</v>
      </c>
      <c r="N16" s="3">
        <v>6.1869999999999998E-3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">
        <v>1.8E-3</v>
      </c>
      <c r="D17" s="3">
        <v>4.4456000000000001E-3</v>
      </c>
      <c r="E17" s="2">
        <v>-8.8999999999999999E-3</v>
      </c>
      <c r="F17" s="3">
        <v>2.8494000000000002E-3</v>
      </c>
      <c r="G17" s="2">
        <v>-1.1000000000000001E-3</v>
      </c>
      <c r="H17" s="3">
        <v>-3.8238999999999999E-3</v>
      </c>
      <c r="I17" s="2">
        <v>-4.0000000000000002E-4</v>
      </c>
      <c r="J17" s="3">
        <v>-2.4780000000000002E-3</v>
      </c>
      <c r="K17" s="2">
        <v>1.2800000000000001E-2</v>
      </c>
      <c r="L17" s="3">
        <v>6.2170000000000003E-3</v>
      </c>
      <c r="M17" s="2">
        <v>4.1000000000000003E-3</v>
      </c>
      <c r="N17" s="3">
        <v>4.5040000000000002E-3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3">
        <v>0</v>
      </c>
      <c r="K18" s="22" t="s">
        <v>65</v>
      </c>
      <c r="L18" s="3">
        <v>0</v>
      </c>
      <c r="M18" s="22" t="s">
        <v>65</v>
      </c>
      <c r="N18" s="3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2">
        <v>-1E-4</v>
      </c>
      <c r="D19" s="3">
        <v>3.6049999999999998E-4</v>
      </c>
      <c r="E19" s="22" t="s">
        <v>65</v>
      </c>
      <c r="F19" s="3">
        <v>2.9819999999999998E-4</v>
      </c>
      <c r="G19" s="22" t="s">
        <v>65</v>
      </c>
      <c r="H19" s="3">
        <v>2.698E-4</v>
      </c>
      <c r="I19" s="2">
        <v>0</v>
      </c>
      <c r="J19" s="3">
        <v>2.1900000000000001E-4</v>
      </c>
      <c r="K19" s="2">
        <v>0</v>
      </c>
      <c r="L19" s="3">
        <v>1.92E-4</v>
      </c>
      <c r="M19" s="2">
        <v>0</v>
      </c>
      <c r="N19" s="3">
        <v>1.6799999999999999E-4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2" t="s">
        <v>65</v>
      </c>
      <c r="J20" s="3">
        <v>0</v>
      </c>
      <c r="K20" s="22" t="s">
        <v>65</v>
      </c>
      <c r="L20" s="3">
        <v>0</v>
      </c>
      <c r="M20" s="22" t="s">
        <v>65</v>
      </c>
      <c r="N20" s="3">
        <v>0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4" t="s">
        <v>30</v>
      </c>
      <c r="E21" s="22" t="s">
        <v>65</v>
      </c>
      <c r="F21" s="4" t="s">
        <v>30</v>
      </c>
      <c r="G21" s="22" t="s">
        <v>65</v>
      </c>
      <c r="H21" s="4" t="s">
        <v>30</v>
      </c>
      <c r="I21" s="22" t="s">
        <v>65</v>
      </c>
      <c r="J21" s="3">
        <v>3.7269999999999998E-3</v>
      </c>
      <c r="K21" s="22" t="s">
        <v>65</v>
      </c>
      <c r="L21" s="3">
        <v>3.2130000000000001E-3</v>
      </c>
      <c r="M21" s="22" t="s">
        <v>65</v>
      </c>
      <c r="N21" s="3">
        <v>2.7780000000000001E-3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3">
        <v>0</v>
      </c>
      <c r="K22" s="22" t="s">
        <v>65</v>
      </c>
      <c r="L22" s="3">
        <v>0</v>
      </c>
      <c r="M22" s="22" t="s">
        <v>65</v>
      </c>
      <c r="N22" s="3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3">
        <v>0</v>
      </c>
      <c r="K23" s="22" t="s">
        <v>65</v>
      </c>
      <c r="L23" s="3">
        <v>0</v>
      </c>
      <c r="M23" s="22" t="s">
        <v>65</v>
      </c>
      <c r="N23" s="3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3">
        <v>4.0709999999999997E-4</v>
      </c>
      <c r="E24" s="22" t="s">
        <v>65</v>
      </c>
      <c r="F24" s="3">
        <v>1.8359999999999999E-4</v>
      </c>
      <c r="G24" s="22" t="s">
        <v>65</v>
      </c>
      <c r="H24" s="3">
        <v>5.4869999999999995E-4</v>
      </c>
      <c r="I24" s="2">
        <v>-2.0000000000000001E-4</v>
      </c>
      <c r="J24" s="3">
        <v>0.26352999999999999</v>
      </c>
      <c r="K24" s="2">
        <v>0</v>
      </c>
      <c r="L24" s="3">
        <v>0.26776</v>
      </c>
      <c r="M24" s="2">
        <v>0</v>
      </c>
      <c r="N24" s="3">
        <v>0.26905699999999999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2.0199999999999999E-2</v>
      </c>
      <c r="D25" s="8">
        <v>1.0000001000000001</v>
      </c>
      <c r="E25" s="7">
        <v>7.7999999999999996E-3</v>
      </c>
      <c r="F25" s="8">
        <v>1</v>
      </c>
      <c r="G25" s="7">
        <v>-9.1999999999999998E-3</v>
      </c>
      <c r="H25" s="8">
        <v>0.99999990000000005</v>
      </c>
      <c r="I25" s="7">
        <v>8.5000000000000006E-3</v>
      </c>
      <c r="J25" s="8">
        <v>0.999996</v>
      </c>
      <c r="K25" s="7">
        <v>2.41E-2</v>
      </c>
      <c r="L25" s="8">
        <v>0.99999400000000005</v>
      </c>
      <c r="M25" s="7">
        <v>2.3699999999999999E-2</v>
      </c>
      <c r="N25" s="8">
        <v>0.99999400000000005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1047.6389999999999</v>
      </c>
      <c r="D26" s="24" t="s">
        <v>65</v>
      </c>
      <c r="E26" s="9">
        <v>446.60700000000003</v>
      </c>
      <c r="F26" s="24" t="s">
        <v>65</v>
      </c>
      <c r="G26" s="9">
        <v>-650.42999999999995</v>
      </c>
      <c r="H26" s="24" t="s">
        <v>65</v>
      </c>
      <c r="I26" s="9">
        <v>759.90700000000004</v>
      </c>
      <c r="J26" s="24" t="s">
        <v>65</v>
      </c>
      <c r="K26" s="9">
        <v>2165.2260000000001</v>
      </c>
      <c r="L26" s="24" t="s">
        <v>65</v>
      </c>
      <c r="M26" s="9">
        <v>2357.7139999999999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1.4800000000000001E-2</v>
      </c>
      <c r="D28" s="10">
        <v>0.91629899999999997</v>
      </c>
      <c r="E28" s="10">
        <v>1.52E-2</v>
      </c>
      <c r="F28" s="10">
        <v>0.92994500000000002</v>
      </c>
      <c r="G28" s="10">
        <v>-1.0500000000000001E-2</v>
      </c>
      <c r="H28" s="10">
        <v>0.94329399999999997</v>
      </c>
      <c r="I28" s="10">
        <v>0.13589999999999999</v>
      </c>
      <c r="J28" s="10">
        <v>0.95645199999999997</v>
      </c>
      <c r="K28" s="10">
        <v>1.2800000000000001E-2</v>
      </c>
      <c r="L28" s="10">
        <v>0.94780200000000003</v>
      </c>
      <c r="M28" s="10">
        <v>2.7799999999999998E-2</v>
      </c>
      <c r="N28" s="10">
        <v>0.95896800000000004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3">
        <v>5.4000000000000003E-3</v>
      </c>
      <c r="D29" s="3">
        <v>8.3699999999999997E-2</v>
      </c>
      <c r="E29" s="3">
        <v>-7.4000000000000003E-3</v>
      </c>
      <c r="F29" s="3">
        <v>7.0054000000000005E-2</v>
      </c>
      <c r="G29" s="3">
        <v>1.2999999999999999E-3</v>
      </c>
      <c r="H29" s="3">
        <v>5.6704999999999998E-2</v>
      </c>
      <c r="I29" s="3">
        <v>-0.12740000000000001</v>
      </c>
      <c r="J29" s="3">
        <v>4.3547000000000002E-2</v>
      </c>
      <c r="K29" s="3">
        <v>1.1299999999999999E-2</v>
      </c>
      <c r="L29" s="3">
        <v>5.2197E-2</v>
      </c>
      <c r="M29" s="3">
        <v>-4.1000000000000003E-3</v>
      </c>
      <c r="N29" s="3">
        <v>4.1030999999999998E-2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2.0199999999999999E-2</v>
      </c>
      <c r="D30" s="8">
        <v>0.99999899999999997</v>
      </c>
      <c r="E30" s="8">
        <v>7.7999999999999996E-3</v>
      </c>
      <c r="F30" s="8">
        <v>0.99999899999999997</v>
      </c>
      <c r="G30" s="8">
        <v>-9.1999999999999998E-3</v>
      </c>
      <c r="H30" s="8">
        <v>0.99999899999999997</v>
      </c>
      <c r="I30" s="8">
        <v>8.4999999990000002E-3</v>
      </c>
      <c r="J30" s="8">
        <v>0.99999899999999997</v>
      </c>
      <c r="K30" s="8">
        <v>2.41E-2</v>
      </c>
      <c r="L30" s="8">
        <v>0.99999899999999997</v>
      </c>
      <c r="M30" s="8">
        <v>2.3699999999999999E-2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1.5800000000000002E-2</v>
      </c>
      <c r="D32" s="10">
        <v>0.74874099999999999</v>
      </c>
      <c r="E32" s="10">
        <v>5.0000000000000001E-3</v>
      </c>
      <c r="F32" s="10">
        <v>0.73560499999999995</v>
      </c>
      <c r="G32" s="10">
        <v>-9.5999999999999992E-3</v>
      </c>
      <c r="H32" s="10">
        <v>0.74782400000000004</v>
      </c>
      <c r="I32" s="10">
        <v>-1.8E-3</v>
      </c>
      <c r="J32" s="10">
        <v>0.73332699999999995</v>
      </c>
      <c r="K32" s="10">
        <v>2.0299999999999999E-2</v>
      </c>
      <c r="L32" s="10">
        <v>0.72942899999999999</v>
      </c>
      <c r="M32" s="10">
        <v>2.2800000000000001E-2</v>
      </c>
      <c r="N32" s="10">
        <v>0.72817200000000004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3">
        <v>4.4000000000000003E-3</v>
      </c>
      <c r="D33" s="3">
        <v>0.25125799999999998</v>
      </c>
      <c r="E33" s="3">
        <v>2.8E-3</v>
      </c>
      <c r="F33" s="3">
        <v>0.26439400000000002</v>
      </c>
      <c r="G33" s="3">
        <v>4.0000000000000002E-4</v>
      </c>
      <c r="H33" s="3">
        <v>0.25217499999999998</v>
      </c>
      <c r="I33" s="3">
        <v>1.03E-2</v>
      </c>
      <c r="J33" s="3">
        <v>0.26667200000000002</v>
      </c>
      <c r="K33" s="3">
        <v>3.8E-3</v>
      </c>
      <c r="L33" s="3">
        <v>0.27056999999999998</v>
      </c>
      <c r="M33" s="3">
        <v>8.9999999999999998E-4</v>
      </c>
      <c r="N33" s="3">
        <v>0.27182699999999999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2.0199999999999999E-2</v>
      </c>
      <c r="D34" s="8">
        <v>0.99999899999999997</v>
      </c>
      <c r="E34" s="8">
        <v>7.7999999999999996E-3</v>
      </c>
      <c r="F34" s="8">
        <v>0.99999899999999997</v>
      </c>
      <c r="G34" s="8">
        <v>-9.1999999999999998E-3</v>
      </c>
      <c r="H34" s="8">
        <v>0.99999899999999997</v>
      </c>
      <c r="I34" s="8">
        <v>8.5000000000000006E-3</v>
      </c>
      <c r="J34" s="8">
        <v>0.99999899999999997</v>
      </c>
      <c r="K34" s="8">
        <v>2.41E-2</v>
      </c>
      <c r="L34" s="8">
        <v>0.99999899999999997</v>
      </c>
      <c r="M34" s="8">
        <v>2.3699999999999999E-2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2">
        <v>-1.6999999999999999E-3</v>
      </c>
      <c r="D37" s="3">
        <v>0.13448080000000001</v>
      </c>
      <c r="E37" s="2">
        <v>-8.0999999999999996E-3</v>
      </c>
      <c r="F37" s="3">
        <v>0.184146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2">
        <v>7.0000000000000001E-3</v>
      </c>
      <c r="D38" s="3">
        <v>0.3654403</v>
      </c>
      <c r="E38" s="2">
        <v>9.5999999999999992E-3</v>
      </c>
      <c r="F38" s="3">
        <v>9.6926999999999999E-2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4" t="s">
        <v>30</v>
      </c>
      <c r="E39" s="2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4" t="s">
        <v>30</v>
      </c>
      <c r="E40" s="2">
        <v>0</v>
      </c>
      <c r="F40" s="4" t="s">
        <v>30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2">
        <v>5.4000000000000003E-3</v>
      </c>
      <c r="D41" s="3">
        <v>0.259772</v>
      </c>
      <c r="E41" s="2">
        <v>1.12E-2</v>
      </c>
      <c r="F41" s="3">
        <v>0.22198899999999999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22" t="s">
        <v>65</v>
      </c>
      <c r="D42" s="3">
        <v>2.0387999999999999E-3</v>
      </c>
      <c r="E42" s="2">
        <v>0</v>
      </c>
      <c r="F42" s="3">
        <v>1.2019999999999999E-3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2">
        <v>1.0200000000000001E-2</v>
      </c>
      <c r="D43" s="3">
        <v>0.14994830000000001</v>
      </c>
      <c r="E43" s="2">
        <v>4.3700000000000003E-2</v>
      </c>
      <c r="F43" s="3">
        <v>0.14427300000000001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22" t="s">
        <v>65</v>
      </c>
      <c r="D44" s="4" t="s">
        <v>30</v>
      </c>
      <c r="E44" s="2">
        <v>0</v>
      </c>
      <c r="F44" s="4" t="s">
        <v>30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2">
        <v>2E-3</v>
      </c>
      <c r="D45" s="3">
        <v>7.9872700000000005E-2</v>
      </c>
      <c r="E45" s="2">
        <v>6.3E-3</v>
      </c>
      <c r="F45" s="3">
        <v>6.8763000000000005E-2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2" t="s">
        <v>65</v>
      </c>
      <c r="D46" s="4" t="s">
        <v>30</v>
      </c>
      <c r="E46" s="2">
        <v>0</v>
      </c>
      <c r="F46" s="4" t="s">
        <v>30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2">
        <v>4.1999999999999997E-3</v>
      </c>
      <c r="D47" s="3">
        <v>6.6008000000000004E-3</v>
      </c>
      <c r="E47" s="2">
        <v>6.1000000000000004E-3</v>
      </c>
      <c r="F47" s="3">
        <v>6.1869999999999998E-3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">
        <v>-8.3000000000000001E-3</v>
      </c>
      <c r="D48" s="3">
        <v>1.157E-3</v>
      </c>
      <c r="E48" s="2">
        <v>8.3999999999999995E-3</v>
      </c>
      <c r="F48" s="3">
        <v>4.5040000000000002E-3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2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2">
        <v>-1E-4</v>
      </c>
      <c r="D50" s="3">
        <v>3.0949999999999999E-4</v>
      </c>
      <c r="E50" s="2">
        <v>0</v>
      </c>
      <c r="F50" s="3">
        <v>1.6799999999999999E-4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2">
        <v>0</v>
      </c>
      <c r="F51" s="4" t="s">
        <v>30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4" t="s">
        <v>30</v>
      </c>
      <c r="E52" s="2">
        <v>0</v>
      </c>
      <c r="F52" s="3">
        <v>2.7780000000000001E-3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2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2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3">
        <v>3.7980000000000002E-4</v>
      </c>
      <c r="E55" s="2">
        <v>-2.0000000000000001E-4</v>
      </c>
      <c r="F55" s="3">
        <v>0.26905699999999999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1.8700000000000001E-2</v>
      </c>
      <c r="D56" s="12">
        <v>1</v>
      </c>
      <c r="E56" s="11">
        <v>7.6999999999999999E-2</v>
      </c>
      <c r="F56" s="12">
        <v>0.99999400000000005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f>+C26+E26+G26</f>
        <v>843.81599999999992</v>
      </c>
      <c r="D57" s="24" t="s">
        <v>65</v>
      </c>
      <c r="E57" s="9">
        <f>+C57+I26+K26+M26</f>
        <v>6126.6630000000005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1.9442999999999998E-2</v>
      </c>
      <c r="D59" s="10">
        <v>0.94329399999999997</v>
      </c>
      <c r="E59" s="10">
        <v>0.18915599999999999</v>
      </c>
      <c r="F59" s="10">
        <v>0.95896800000000004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3">
        <v>-7.4299999999999995E-4</v>
      </c>
      <c r="D60" s="3">
        <v>5.6704999999999998E-2</v>
      </c>
      <c r="E60" s="3">
        <v>-0.11215600000000001</v>
      </c>
      <c r="F60" s="3">
        <v>4.1030999999999998E-2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1.8700000000000001E-2</v>
      </c>
      <c r="D61" s="12">
        <v>0.99999899999999997</v>
      </c>
      <c r="E61" s="11">
        <v>7.6999999999999999E-2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1.1084999999999999E-2</v>
      </c>
      <c r="D63" s="10">
        <v>0.74782400000000004</v>
      </c>
      <c r="E63" s="10">
        <v>5.3934000000000003E-2</v>
      </c>
      <c r="F63" s="10">
        <v>0.72817200000000004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3">
        <v>7.6150000000000002E-3</v>
      </c>
      <c r="D64" s="3">
        <v>0.25217499999999998</v>
      </c>
      <c r="E64" s="3">
        <v>2.3066E-2</v>
      </c>
      <c r="F64" s="3">
        <v>0.27182699999999999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1.8700000000000001E-2</v>
      </c>
      <c r="D65" s="12">
        <v>0.99999899999999997</v>
      </c>
      <c r="E65" s="11">
        <v>7.6999999999999999E-2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0.89133101000000003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5_7_14339_2025_q2</dc:title>
  <dc:creator>Zeevik Levinger</dc:creator>
  <cp:lastModifiedBy>Ofek Sharon</cp:lastModifiedBy>
  <dcterms:created xsi:type="dcterms:W3CDTF">2025-07-28T21:10:07Z</dcterms:created>
  <dcterms:modified xsi:type="dcterms:W3CDTF">2025-08-13T13:02:56Z</dcterms:modified>
  <dc:language>òáøéú</dc:language>
</cp:coreProperties>
</file>