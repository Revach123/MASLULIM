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3202D2B0-93B9-49BF-A20E-A1566C1F3D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externalReferences>
    <externalReference r:id="rId2"/>
    <externalReference r:id="rId3"/>
  </externalReferenc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1" i="1" l="1"/>
  <c r="AA40" i="1"/>
  <c r="AA37" i="1"/>
  <c r="AA36" i="1"/>
  <c r="AA33" i="1"/>
  <c r="AA32" i="1"/>
  <c r="AA29" i="1"/>
  <c r="AB29" i="1" s="1"/>
  <c r="AA28" i="1"/>
  <c r="AB28" i="1" s="1"/>
  <c r="AJ24" i="1"/>
  <c r="AD24" i="1"/>
  <c r="AE24" i="1" s="1"/>
  <c r="AA24" i="1"/>
  <c r="AJ23" i="1"/>
  <c r="AD23" i="1"/>
  <c r="AE23" i="1" s="1"/>
  <c r="AA23" i="1"/>
  <c r="AB23" i="1" s="1"/>
  <c r="AJ22" i="1"/>
  <c r="AD22" i="1"/>
  <c r="AE22" i="1" s="1"/>
  <c r="AA22" i="1"/>
  <c r="AJ21" i="1"/>
  <c r="AD21" i="1"/>
  <c r="AE21" i="1" s="1"/>
  <c r="AA21" i="1"/>
  <c r="AB21" i="1" s="1"/>
  <c r="AJ20" i="1"/>
  <c r="AD20" i="1"/>
  <c r="AE20" i="1" s="1"/>
  <c r="AA20" i="1"/>
  <c r="AB20" i="1" s="1"/>
  <c r="AJ19" i="1"/>
  <c r="AD19" i="1"/>
  <c r="AE19" i="1" s="1"/>
  <c r="AA19" i="1"/>
  <c r="AB19" i="1" s="1"/>
  <c r="AJ18" i="1"/>
  <c r="AF18" i="1"/>
  <c r="AD18" i="1"/>
  <c r="AE18" i="1" s="1"/>
  <c r="AA18" i="1"/>
  <c r="AJ17" i="1"/>
  <c r="AF17" i="1"/>
  <c r="AD17" i="1"/>
  <c r="AE17" i="1" s="1"/>
  <c r="AA17" i="1"/>
  <c r="AJ16" i="1"/>
  <c r="AF16" i="1"/>
  <c r="AD16" i="1"/>
  <c r="AE16" i="1" s="1"/>
  <c r="AA16" i="1"/>
  <c r="AB16" i="1" s="1"/>
  <c r="AJ15" i="1"/>
  <c r="AF15" i="1"/>
  <c r="AD15" i="1"/>
  <c r="AE15" i="1" s="1"/>
  <c r="AA15" i="1"/>
  <c r="AB15" i="1" s="1"/>
  <c r="AJ14" i="1"/>
  <c r="AF14" i="1"/>
  <c r="AD14" i="1"/>
  <c r="AE14" i="1" s="1"/>
  <c r="AA14" i="1"/>
  <c r="AJ13" i="1"/>
  <c r="AF13" i="1"/>
  <c r="AD13" i="1"/>
  <c r="AE13" i="1" s="1"/>
  <c r="AA13" i="1"/>
  <c r="AB13" i="1" s="1"/>
  <c r="AJ12" i="1"/>
  <c r="AF12" i="1"/>
  <c r="AD12" i="1"/>
  <c r="AE12" i="1" s="1"/>
  <c r="AA12" i="1"/>
  <c r="AJ11" i="1"/>
  <c r="AF11" i="1"/>
  <c r="AD11" i="1"/>
  <c r="AE11" i="1" s="1"/>
  <c r="AA11" i="1"/>
  <c r="AB11" i="1" s="1"/>
  <c r="AJ10" i="1"/>
  <c r="AF10" i="1"/>
  <c r="AD10" i="1"/>
  <c r="AE10" i="1" s="1"/>
  <c r="AA10" i="1"/>
  <c r="AB10" i="1" s="1"/>
  <c r="AJ9" i="1"/>
  <c r="AF9" i="1"/>
  <c r="AD9" i="1"/>
  <c r="AE9" i="1" s="1"/>
  <c r="AA9" i="1"/>
  <c r="AB9" i="1" s="1"/>
  <c r="AJ8" i="1"/>
  <c r="AF8" i="1"/>
  <c r="AD8" i="1"/>
  <c r="AE8" i="1" s="1"/>
  <c r="AA8" i="1"/>
  <c r="AJ7" i="1"/>
  <c r="AF7" i="1"/>
  <c r="AD7" i="1"/>
  <c r="AE7" i="1" s="1"/>
  <c r="AA7" i="1"/>
  <c r="AJ6" i="1"/>
  <c r="AF6" i="1"/>
  <c r="AD6" i="1"/>
  <c r="AE6" i="1" s="1"/>
  <c r="AA6" i="1"/>
  <c r="AB6" i="1" s="1"/>
  <c r="AF4" i="1"/>
  <c r="AG16" i="1" s="1"/>
  <c r="AH16" i="1" s="1"/>
  <c r="AA30" i="1" l="1"/>
  <c r="AB30" i="1" s="1"/>
  <c r="AC28" i="1" s="1"/>
  <c r="AA34" i="1"/>
  <c r="AB34" i="1" s="1"/>
  <c r="AA38" i="1"/>
  <c r="AA42" i="1"/>
  <c r="AG9" i="1"/>
  <c r="AH9" i="1" s="1"/>
  <c r="AB8" i="1"/>
  <c r="AG11" i="1"/>
  <c r="AH11" i="1" s="1"/>
  <c r="AB17" i="1"/>
  <c r="AB24" i="1"/>
  <c r="AB32" i="1"/>
  <c r="AG13" i="1"/>
  <c r="AH13" i="1" s="1"/>
  <c r="AB12" i="1"/>
  <c r="AG15" i="1"/>
  <c r="AH15" i="1" s="1"/>
  <c r="AB33" i="1"/>
  <c r="AG8" i="1"/>
  <c r="AH8" i="1" s="1"/>
  <c r="AB22" i="1"/>
  <c r="AB14" i="1"/>
  <c r="AG17" i="1"/>
  <c r="AH17" i="1" s="1"/>
  <c r="AA25" i="1"/>
  <c r="AB7" i="1"/>
  <c r="AG10" i="1"/>
  <c r="AH10" i="1" s="1"/>
  <c r="AG18" i="1"/>
  <c r="AH18" i="1" s="1"/>
  <c r="AG12" i="1"/>
  <c r="AH12" i="1" s="1"/>
  <c r="AB18" i="1"/>
  <c r="AG14" i="1"/>
  <c r="AH14" i="1" s="1"/>
  <c r="AG7" i="1"/>
  <c r="AH7" i="1" s="1"/>
  <c r="AC32" i="1" l="1"/>
  <c r="AC33" i="1"/>
  <c r="AC29" i="1"/>
  <c r="AB25" i="1"/>
  <c r="AC6" i="1" s="1"/>
  <c r="AC14" i="1" l="1"/>
  <c r="AC18" i="1"/>
  <c r="AC8" i="1"/>
  <c r="AC7" i="1"/>
  <c r="AC12" i="1"/>
  <c r="AC22" i="1"/>
  <c r="AC21" i="1"/>
  <c r="AC15" i="1"/>
  <c r="AC10" i="1"/>
  <c r="AC19" i="1"/>
  <c r="AC24" i="1"/>
  <c r="AC16" i="1"/>
  <c r="AC11" i="1"/>
  <c r="AC20" i="1"/>
  <c r="AC23" i="1"/>
  <c r="AC13" i="1"/>
  <c r="AC9" i="1"/>
  <c r="AC17" i="1"/>
</calcChain>
</file>

<file path=xl/sharedStrings.xml><?xml version="1.0" encoding="utf-8"?>
<sst xmlns="http://schemas.openxmlformats.org/spreadsheetml/2006/main" count="1187" uniqueCount="124">
  <si>
    <t>פירוט תרומת אפיקי ההשקעה לתשואה הכוללת</t>
  </si>
  <si>
    <t xml:space="preserve">מור גמל ופנסיה בע"מ           </t>
  </si>
  <si>
    <t xml:space="preserve">8699 (אלפא מור תגמולים-כספי (שקלי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</si>
  <si>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</si>
  <si>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</si>
  <si>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</si>
  <si>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</si>
  <si>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</si>
  <si>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</si>
  <si>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</si>
  <si>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</si>
  <si>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</si>
  <si>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</si>
  <si>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</si>
  <si>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</si>
  <si>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</si>
  <si>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</si>
  <si>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</si>
  <si>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</si>
  <si>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</si>
  <si>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</si>
  <si>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</si>
  <si>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</si>
  <si>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</si>
  <si>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</si>
  <si>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</si>
  <si>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</si>
  <si>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</si>
  <si>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</si>
  <si>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</si>
  <si>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</si>
  <si>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</si>
  <si>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</si>
  <si>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</si>
  <si>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</si>
  <si>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</si>
  <si>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</si>
  <si>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</si>
  <si>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</si>
  <si>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</si>
  <si>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</si>
  <si>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</si>
  <si>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</si>
  <si>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</si>
  <si>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</si>
  <si>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</si>
  <si>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</si>
  <si>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</si>
  <si>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</si>
  <si>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</si>
  <si>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</si>
  <si>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</si>
  <si>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</si>
  <si>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</si>
  <si>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</si>
  <si>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</si>
  <si>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</si>
  <si>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</si>
  <si>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</si>
  <si>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</si>
  <si>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</si>
  <si>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</si>
  <si>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</si>
  <si>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</si>
  <si>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</si>
  <si>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נתונים חודשיים</t>
  </si>
  <si>
    <t>נתונים מצטברים</t>
  </si>
  <si>
    <t>איכות הנתונים</t>
  </si>
  <si>
    <t>שיעור נכסים</t>
  </si>
  <si>
    <t>תשואת חודש 1</t>
  </si>
  <si>
    <t>תשואת חודש 2</t>
  </si>
  <si>
    <t>תשואת חודש 3</t>
  </si>
  <si>
    <t>תשואת חודש 4</t>
  </si>
  <si>
    <t>תשואת חודש 5</t>
  </si>
  <si>
    <t>תשואת חודש 6</t>
  </si>
  <si>
    <t>תשואת חודש 7</t>
  </si>
  <si>
    <t>תשואת חודש 8</t>
  </si>
  <si>
    <t>תשואת חודש 9</t>
  </si>
  <si>
    <t>תשואת חודש 10</t>
  </si>
  <si>
    <t>תשואת חודש 11</t>
  </si>
  <si>
    <t>תשואת חודש 12</t>
  </si>
  <si>
    <t>רווח בדוח</t>
  </si>
  <si>
    <t>רווח בדוח חודשי</t>
  </si>
  <si>
    <t>הפרש</t>
  </si>
  <si>
    <t>ריק במקור</t>
  </si>
  <si>
    <t>0.75%</t>
  </si>
  <si>
    <t>0.01%</t>
  </si>
  <si>
    <t>1.77%</t>
  </si>
  <si>
    <t>0.01%2</t>
  </si>
  <si>
    <t>2.39%</t>
  </si>
  <si>
    <t>0.03%</t>
  </si>
  <si>
    <t>1.65%</t>
  </si>
  <si>
    <t>ריק במקור3</t>
  </si>
  <si>
    <t>0.96%</t>
  </si>
  <si>
    <t>0.01%4</t>
  </si>
  <si>
    <t>1.34%</t>
  </si>
  <si>
    <t>-0.01%</t>
  </si>
  <si>
    <t>2.23%</t>
  </si>
  <si>
    <t>0.01%5</t>
  </si>
  <si>
    <t>8.67%</t>
  </si>
  <si>
    <t>0.01%6</t>
  </si>
  <si>
    <t>2.63%</t>
  </si>
  <si>
    <t>0.01%7</t>
  </si>
  <si>
    <t>1.26%</t>
  </si>
  <si>
    <t>0.01%8</t>
  </si>
  <si>
    <t>2.82%</t>
  </si>
  <si>
    <t>0.04%</t>
  </si>
  <si>
    <t>3.45%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</si>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</sst>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#,##0.00%;\-#,##0.00%;\ "/>
    <numFmt numFmtId="166" formatCode="0.0%"/>
    <numFmt numFmtId="171" formatCode=";;;"/>
  </numFmts>
  <fonts count="8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C0C0C0"/>
      </left>
      <right/>
      <top/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7" fillId="5" borderId="7" applyNumberFormat="0" applyFont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0" fillId="0" borderId="0" xfId="0" applyAlignment="1">
      <alignment wrapText="1"/>
    </xf>
    <xf numFmtId="10" fontId="0" fillId="0" borderId="0" xfId="1" applyNumberFormat="1" applyFont="1"/>
    <xf numFmtId="10" fontId="0" fillId="0" borderId="0" xfId="0" applyNumberFormat="1"/>
    <xf numFmtId="10" fontId="0" fillId="5" borderId="7" xfId="2" applyNumberFormat="1" applyFont="1"/>
    <xf numFmtId="166" fontId="0" fillId="0" borderId="0" xfId="0" applyNumberFormat="1"/>
    <xf numFmtId="2" fontId="0" fillId="0" borderId="0" xfId="0" applyNumberFormat="1"/>
    <xf numFmtId="165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right" vertical="center" readingOrder="2"/>
    </xf>
    <xf numFmtId="171" fontId="0" fillId="0" borderId="2" xfId="0" applyNumberFormat="1" applyBorder="1"/>
    <xf numFmtId="171" fontId="0" fillId="0" borderId="6" xfId="0" applyNumberFormat="1" applyBorder="1"/>
    <xf numFmtId="171" fontId="0" fillId="0" borderId="0" xfId="0" applyNumberFormat="1"/>
  </cellXfs>
  <cellStyles count="3">
    <cellStyle name="Normal" xfId="0" builtinId="0"/>
    <cellStyle name="Note" xfId="2" builtinId="1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164" formatCode="#,##0.00%"/>
      <alignment horizontal="center" vertical="top" textRotation="0" wrapText="0" indent="0" justifyLastLine="0" shrinkToFit="0" readingOrder="1"/>
      <border diagonalUp="0" diagonalDown="0" outline="0">
        <left style="medium">
          <color rgb="FFEFEFEF"/>
        </left>
        <right style="medium">
          <color rgb="FFEFEFEF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E3BE45-93EF-4752-BE14-7104D27F2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77906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&#1511;&#1493;&#1508;&#1493;&#1514;%20&#1490;&#1502;&#1500;\&#1495;&#1513;&#1489;&#1493;&#1514;\&#1502;&#1493;&#1512;%20&#1490;&#1502;&#1500;\&#1491;&#1493;&#1495;&#1493;&#1514;\&#1502;&#1512;&#1499;&#1497;&#1489;&#1497;%20&#1514;&#1513;&#1493;&#1488;&#1492;\2025\&#1491;&#1493;&#1495;%20&#1514;&#1513;&#1493;&#1488;&#1493;&#1514;%20&#1502;&#1502;&#1493;&#1510;&#1506;&#1493;&#1514;%20&#1493;&#1502;&#1510;&#1496;&#1489;&#1512;&#1493;&#1514;%20&#1500;&#1499;&#1500;%20&#1492;&#1502;&#1505;&#1500;&#1493;&#1500;&#1497;&#1501;_2025-&#1502;&#1493;&#1512;%20&#1490;&#1502;&#1500;.xlsx" TargetMode="External"/><Relationship Id="rId1" Type="http://schemas.openxmlformats.org/officeDocument/2006/relationships/externalLinkPath" Target="file:///Q:\&#1511;&#1493;&#1508;&#1493;&#1514;%20&#1490;&#1502;&#1500;\&#1495;&#1513;&#1489;&#1493;&#1514;\&#1502;&#1493;&#1512;%20&#1490;&#1502;&#1500;\&#1491;&#1493;&#1495;&#1493;&#1514;\&#1502;&#1512;&#1499;&#1497;&#1489;&#1497;%20&#1514;&#1513;&#1493;&#1488;&#1492;\2025\&#1491;&#1493;&#1495;%20&#1514;&#1513;&#1493;&#1488;&#1493;&#1514;%20&#1502;&#1502;&#1493;&#1510;&#1506;&#1493;&#1514;%20&#1493;&#1502;&#1510;&#1496;&#1489;&#1512;&#1493;&#1514;%20&#1500;&#1499;&#1500;%20&#1492;&#1502;&#1505;&#1500;&#1493;&#1500;&#1497;&#1501;_2025-&#1502;&#1493;&#1512;%20&#1490;&#1502;&#150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&#1511;&#1493;&#1508;&#1493;&#1514;%20&#1490;&#1502;&#1500;\&#1495;&#1513;&#1489;&#1493;&#1514;\&#1502;&#1493;&#1512;%20&#1490;&#1502;&#1500;\&#1491;&#1493;&#1495;&#1493;&#1514;\&#1491;&#1493;&#1495;&#1493;&#1514;%20&#1495;&#1493;&#1491;&#1513;&#1497;&#1497;&#1501;\2025\more-&#1505;&#1497;&#1499;&#1493;&#1501;%202025.xlsx" TargetMode="External"/><Relationship Id="rId1" Type="http://schemas.openxmlformats.org/officeDocument/2006/relationships/externalLinkPath" Target="file:///Q:\&#1511;&#1493;&#1508;&#1493;&#1514;%20&#1490;&#1502;&#1500;\&#1495;&#1513;&#1489;&#1493;&#1514;\&#1502;&#1493;&#1512;%20&#1490;&#1502;&#1500;\&#1491;&#1493;&#1495;&#1493;&#1514;\&#1491;&#1493;&#1495;&#1493;&#1514;%20&#1495;&#1493;&#1491;&#1513;&#1497;&#1497;&#1501;\2025\more-&#1505;&#1497;&#1499;&#1493;&#1501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שואות 2025"/>
      <sheetName val="תשואה יומית"/>
      <sheetName val="תשואה ממוצעת"/>
      <sheetName val="תשואות"/>
    </sheetNames>
    <sheetDataSet>
      <sheetData sheetId="0">
        <row r="1">
          <cell r="C1" t="str">
            <v>מספר מסלול באוצר</v>
          </cell>
          <cell r="D1" t="str">
            <v xml:space="preserve">*תשואה מתחילת השנה ועד תום החודש החולף </v>
          </cell>
          <cell r="E1" t="str">
            <v>ינואר</v>
          </cell>
          <cell r="F1" t="str">
            <v>פברואר</v>
          </cell>
          <cell r="G1" t="str">
            <v>מרץ</v>
          </cell>
          <cell r="H1" t="str">
            <v>אפריל</v>
          </cell>
          <cell r="I1" t="str">
            <v>מאי</v>
          </cell>
          <cell r="J1" t="str">
            <v>יוני</v>
          </cell>
          <cell r="K1" t="str">
            <v>יולי</v>
          </cell>
          <cell r="L1" t="str">
            <v>אוגוסט</v>
          </cell>
          <cell r="M1" t="str">
            <v>ספטמבר</v>
          </cell>
          <cell r="N1" t="str">
            <v>אוקטובר</v>
          </cell>
          <cell r="O1" t="str">
            <v>נובמבר</v>
          </cell>
          <cell r="P1" t="str">
            <v>דצמבר</v>
          </cell>
          <cell r="Q1" t="str">
            <v>תשואה מצטברת
ב 12 חודשים אחרונים</v>
          </cell>
        </row>
        <row r="2">
          <cell r="C2">
            <v>7958</v>
          </cell>
          <cell r="D2">
            <v>2.9005717440081957E-2</v>
          </cell>
          <cell r="E2">
            <v>1.0417148775570206E-2</v>
          </cell>
          <cell r="F2">
            <v>-3.4710902240502439E-2</v>
          </cell>
          <cell r="G2">
            <v>-9.5368144762471019E-3</v>
          </cell>
          <cell r="H2">
            <v>-2.7924850921469124E-2</v>
          </cell>
          <cell r="I2">
            <v>3.1943469975112659E-2</v>
          </cell>
          <cell r="J2">
            <v>7.5605281735084962E-3</v>
          </cell>
          <cell r="K2">
            <v>3.2620979126542826E-2</v>
          </cell>
          <cell r="L2">
            <v>-3.3107437520396577E-4</v>
          </cell>
          <cell r="M2">
            <v>2.6411881801923665E-2</v>
          </cell>
          <cell r="N2">
            <v>8.275378717538695E-3</v>
          </cell>
          <cell r="O2">
            <v>3.9559936369886195E-3</v>
          </cell>
          <cell r="P2">
            <v>-1.7388594713178662E-2</v>
          </cell>
          <cell r="Q2">
            <v>2.9005717440083512E-2</v>
          </cell>
        </row>
        <row r="3">
          <cell r="C3">
            <v>7963</v>
          </cell>
          <cell r="D3">
            <v>4.4742733451026862E-2</v>
          </cell>
          <cell r="E3">
            <v>3.4559712979316259E-3</v>
          </cell>
          <cell r="F3">
            <v>3.2238473403003454E-3</v>
          </cell>
          <cell r="G3">
            <v>3.5017080310209003E-3</v>
          </cell>
          <cell r="H3">
            <v>3.6184459659922563E-3</v>
          </cell>
          <cell r="I3">
            <v>3.1817551520751941E-3</v>
          </cell>
          <cell r="J3">
            <v>4.9111036423001853E-3</v>
          </cell>
          <cell r="K3">
            <v>2.9983349739624021E-3</v>
          </cell>
          <cell r="L3">
            <v>4.1483593100641869E-3</v>
          </cell>
          <cell r="M3">
            <v>3.8955554446324925E-3</v>
          </cell>
          <cell r="N3">
            <v>3.6958936735247416E-3</v>
          </cell>
          <cell r="O3">
            <v>3.3644028369355095E-3</v>
          </cell>
          <cell r="P3">
            <v>3.8566643136377365E-3</v>
          </cell>
          <cell r="Q3">
            <v>4.474273345102886E-2</v>
          </cell>
        </row>
        <row r="4">
          <cell r="C4">
            <v>12537</v>
          </cell>
          <cell r="D4">
            <v>0.26716874207468422</v>
          </cell>
          <cell r="E4">
            <v>3.3602549338142662E-2</v>
          </cell>
          <cell r="F4">
            <v>3.1537946036666042E-3</v>
          </cell>
          <cell r="G4">
            <v>-1.6440736323578009E-2</v>
          </cell>
          <cell r="H4">
            <v>7.3076047302160774E-3</v>
          </cell>
          <cell r="I4">
            <v>5.5557500940472737E-2</v>
          </cell>
          <cell r="J4">
            <v>4.5814183813495557E-2</v>
          </cell>
          <cell r="K4">
            <v>2.0062996737846728E-2</v>
          </cell>
          <cell r="L4">
            <v>7.5070482086430079E-3</v>
          </cell>
          <cell r="M4">
            <v>3.4940919477803423E-2</v>
          </cell>
          <cell r="N4">
            <v>2.1900926725355596E-2</v>
          </cell>
          <cell r="O4">
            <v>1.4318820267800847E-2</v>
          </cell>
          <cell r="P4">
            <v>1.3538774138525334E-2</v>
          </cell>
          <cell r="Q4">
            <v>0.26716874207468333</v>
          </cell>
        </row>
        <row r="5">
          <cell r="C5">
            <v>12538</v>
          </cell>
          <cell r="D5">
            <v>0.14967487329154472</v>
          </cell>
          <cell r="E5">
            <v>1.6650131444829075E-2</v>
          </cell>
          <cell r="F5">
            <v>4.3816816479120835E-3</v>
          </cell>
          <cell r="G5">
            <v>-4.1381035423339041E-3</v>
          </cell>
          <cell r="H5">
            <v>9.1625700653676923E-3</v>
          </cell>
          <cell r="I5">
            <v>2.3442710756023111E-2</v>
          </cell>
          <cell r="J5">
            <v>2.5229879920044995E-2</v>
          </cell>
          <cell r="K5">
            <v>1.1933194081603427E-2</v>
          </cell>
          <cell r="L5">
            <v>8.2051926106778694E-3</v>
          </cell>
          <cell r="M5">
            <v>1.8468398754153625E-2</v>
          </cell>
          <cell r="N5">
            <v>1.1940144858269663E-2</v>
          </cell>
          <cell r="O5">
            <v>1.0355277213377256E-2</v>
          </cell>
          <cell r="P5">
            <v>5.0378637185037878E-3</v>
          </cell>
          <cell r="Q5">
            <v>0.14967487329154783</v>
          </cell>
        </row>
        <row r="6">
          <cell r="C6">
            <v>12955</v>
          </cell>
          <cell r="D6">
            <v>9.139080900366614E-2</v>
          </cell>
          <cell r="E6">
            <v>9.1272122657728438E-3</v>
          </cell>
          <cell r="F6">
            <v>4.2568334620527448E-3</v>
          </cell>
          <cell r="G6">
            <v>2.5307382977963755E-3</v>
          </cell>
          <cell r="H6">
            <v>8.406388445576729E-3</v>
          </cell>
          <cell r="I6">
            <v>9.5201388866850145E-3</v>
          </cell>
          <cell r="J6">
            <v>1.4329473069502718E-2</v>
          </cell>
          <cell r="K6">
            <v>7.3398553521366594E-3</v>
          </cell>
          <cell r="L6">
            <v>7.0774915395650506E-3</v>
          </cell>
          <cell r="M6">
            <v>1.037396641430588E-2</v>
          </cell>
          <cell r="N6">
            <v>6.2764953610052743E-3</v>
          </cell>
          <cell r="O6">
            <v>6.5257900243507194E-3</v>
          </cell>
          <cell r="P6">
            <v>2.0721022577741E-3</v>
          </cell>
          <cell r="Q6">
            <v>9.1390809003667695E-2</v>
          </cell>
        </row>
        <row r="7">
          <cell r="C7">
            <v>14482</v>
          </cell>
          <cell r="D7">
            <v>9.1253398476290215E-2</v>
          </cell>
          <cell r="E7">
            <v>8.5218194711385031E-3</v>
          </cell>
          <cell r="F7">
            <v>9.8258054683741936E-3</v>
          </cell>
          <cell r="G7">
            <v>1.6832293112645225E-4</v>
          </cell>
          <cell r="H7">
            <v>7.8317077853327088E-3</v>
          </cell>
          <cell r="I7">
            <v>4.0563884821538387E-3</v>
          </cell>
          <cell r="J7">
            <v>1.5625214656313835E-2</v>
          </cell>
          <cell r="K7">
            <v>7.0907771430259725E-3</v>
          </cell>
          <cell r="L7">
            <v>6.7149131386667893E-3</v>
          </cell>
          <cell r="M7">
            <v>6.2718198688254123E-3</v>
          </cell>
          <cell r="N7">
            <v>1.0393588983983237E-2</v>
          </cell>
          <cell r="O7">
            <v>5.759715185724712E-3</v>
          </cell>
          <cell r="P7">
            <v>5.4625622989787903E-3</v>
          </cell>
          <cell r="Q7">
            <v>9.1253398476289771E-2</v>
          </cell>
        </row>
        <row r="8">
          <cell r="C8">
            <v>15253</v>
          </cell>
          <cell r="D8">
            <v>0.15856398987765852</v>
          </cell>
          <cell r="E8">
            <v>1.8013217192058395E-2</v>
          </cell>
          <cell r="F8">
            <v>2.7625384564857747E-3</v>
          </cell>
          <cell r="G8">
            <v>-1.2761195225878708E-2</v>
          </cell>
          <cell r="H8">
            <v>6.0821752306470245E-3</v>
          </cell>
          <cell r="I8">
            <v>2.4641563086772456E-2</v>
          </cell>
          <cell r="J8">
            <v>3.0990834730837413E-2</v>
          </cell>
          <cell r="K8">
            <v>1.8793890594354989E-2</v>
          </cell>
          <cell r="L8">
            <v>8.3277922321345343E-3</v>
          </cell>
          <cell r="M8">
            <v>1.9873459068324495E-2</v>
          </cell>
          <cell r="N8">
            <v>1.496685989635127E-2</v>
          </cell>
          <cell r="O8">
            <v>8.5805737559263573E-3</v>
          </cell>
          <cell r="P8">
            <v>8.5309771898482989E-3</v>
          </cell>
          <cell r="Q8">
            <v>0.15856398987766096</v>
          </cell>
        </row>
        <row r="9">
          <cell r="C9">
            <v>15254</v>
          </cell>
          <cell r="D9">
            <v>0.12282345226617042</v>
          </cell>
          <cell r="E9">
            <v>1.5054190389616195E-2</v>
          </cell>
          <cell r="F9">
            <v>7.3211381616151705E-3</v>
          </cell>
          <cell r="G9">
            <v>-7.0661415672224059E-4</v>
          </cell>
          <cell r="H9">
            <v>5.7980196192393141E-3</v>
          </cell>
          <cell r="I9">
            <v>1.2626349976138984E-2</v>
          </cell>
          <cell r="J9">
            <v>2.3863849700312745E-2</v>
          </cell>
          <cell r="K9">
            <v>1.4165753452519247E-2</v>
          </cell>
          <cell r="L9">
            <v>5.8378997407078081E-3</v>
          </cell>
          <cell r="M9">
            <v>1.2247798921660502E-2</v>
          </cell>
          <cell r="N9">
            <v>8.9690248077811674E-3</v>
          </cell>
          <cell r="O9">
            <v>6.7176493928915448E-3</v>
          </cell>
          <cell r="P9">
            <v>4.7309543713056623E-3</v>
          </cell>
          <cell r="Q9">
            <v>0.12282345226616975</v>
          </cell>
        </row>
        <row r="10">
          <cell r="C10">
            <v>15255</v>
          </cell>
          <cell r="D10">
            <v>9.527996315479359E-2</v>
          </cell>
          <cell r="E10">
            <v>6.778094866566331E-3</v>
          </cell>
          <cell r="F10">
            <v>1.0394935550841256E-2</v>
          </cell>
          <cell r="G10">
            <v>1.7988115308753549E-3</v>
          </cell>
          <cell r="H10">
            <v>7.7021894612514519E-3</v>
          </cell>
          <cell r="I10">
            <v>5.328180400757887E-3</v>
          </cell>
          <cell r="J10">
            <v>1.7111288713904216E-2</v>
          </cell>
          <cell r="K10">
            <v>6.9652964288564601E-3</v>
          </cell>
          <cell r="L10">
            <v>6.9863950792925511E-3</v>
          </cell>
          <cell r="M10">
            <v>8.4405660775239699E-3</v>
          </cell>
          <cell r="N10">
            <v>1.0580587246324269E-2</v>
          </cell>
          <cell r="O10">
            <v>4.067623786629726E-3</v>
          </cell>
          <cell r="P10">
            <v>5.284184708868489E-3</v>
          </cell>
          <cell r="Q10">
            <v>9.5279963154793368E-2</v>
          </cell>
        </row>
        <row r="11">
          <cell r="C11">
            <v>15256</v>
          </cell>
          <cell r="D11">
            <v>0.27768181711575757</v>
          </cell>
          <cell r="E11">
            <v>3.7365515501920799E-2</v>
          </cell>
          <cell r="F11">
            <v>-7.5627850528516838E-3</v>
          </cell>
          <cell r="G11">
            <v>-3.353932485505251E-2</v>
          </cell>
          <cell r="H11">
            <v>5.2912053326326092E-3</v>
          </cell>
          <cell r="I11">
            <v>5.3343397745630572E-2</v>
          </cell>
          <cell r="J11">
            <v>5.6258659835508595E-2</v>
          </cell>
          <cell r="K11">
            <v>3.2029167086123245E-2</v>
          </cell>
          <cell r="L11">
            <v>1.2359312087020236E-2</v>
          </cell>
          <cell r="M11">
            <v>3.6143369029341788E-2</v>
          </cell>
          <cell r="N11">
            <v>2.5915734510482791E-2</v>
          </cell>
          <cell r="O11">
            <v>1.6939375920192346E-2</v>
          </cell>
          <cell r="P11">
            <v>1.6525495524713829E-2</v>
          </cell>
          <cell r="Q11">
            <v>0.27768181711575934</v>
          </cell>
        </row>
        <row r="12">
          <cell r="C12">
            <v>15257</v>
          </cell>
          <cell r="D12">
            <v>-6.9382405484260667E-3</v>
          </cell>
          <cell r="E12">
            <v>4.2751264453499971E-4</v>
          </cell>
          <cell r="F12">
            <v>-9.0977347631575611E-3</v>
          </cell>
          <cell r="G12">
            <v>2.0643646748503386E-2</v>
          </cell>
          <cell r="H12">
            <v>-1.8224749804090834E-2</v>
          </cell>
          <cell r="I12">
            <v>-3.5865404395895029E-3</v>
          </cell>
          <cell r="J12">
            <v>-1.2860034246321539E-2</v>
          </cell>
          <cell r="K12">
            <v>1.5400604616295999E-2</v>
          </cell>
          <cell r="L12">
            <v>1.2011363267550035E-3</v>
          </cell>
          <cell r="M12">
            <v>1.4834736405231475E-2</v>
          </cell>
          <cell r="N12">
            <v>1.6093411181758999E-3</v>
          </cell>
          <cell r="O12">
            <v>5.4656374687320763E-3</v>
          </cell>
          <cell r="P12">
            <v>-2.1782114488851145E-2</v>
          </cell>
          <cell r="Q12">
            <v>-6.9382405484265108E-3</v>
          </cell>
        </row>
        <row r="13">
          <cell r="C13">
            <v>15258</v>
          </cell>
          <cell r="D13">
            <v>-4.1237112516509633E-2</v>
          </cell>
          <cell r="E13">
            <v>-4.4420811558665285E-3</v>
          </cell>
          <cell r="F13">
            <v>-1.7900913283083186E-3</v>
          </cell>
          <cell r="G13">
            <v>3.0797054344623653E-2</v>
          </cell>
          <cell r="H13">
            <v>-1.7965252473949089E-2</v>
          </cell>
          <cell r="I13">
            <v>-2.0192990030544311E-2</v>
          </cell>
          <cell r="J13">
            <v>-2.108988679440249E-2</v>
          </cell>
          <cell r="K13">
            <v>1.2477946003042639E-2</v>
          </cell>
          <cell r="L13">
            <v>-3.9343307428583163E-3</v>
          </cell>
          <cell r="M13">
            <v>8.6872746295547643E-3</v>
          </cell>
          <cell r="N13">
            <v>-5.768234845380249E-3</v>
          </cell>
          <cell r="O13">
            <v>6.6692662797154245E-3</v>
          </cell>
          <cell r="P13">
            <v>-2.4033533740494439E-2</v>
          </cell>
          <cell r="Q13">
            <v>-4.1237112516510521E-2</v>
          </cell>
        </row>
        <row r="14">
          <cell r="C14">
            <v>15259</v>
          </cell>
          <cell r="D14">
            <v>5.3730185053589841E-2</v>
          </cell>
          <cell r="E14">
            <v>1.3805899763449148E-2</v>
          </cell>
          <cell r="F14">
            <v>-2.8922406262252509E-2</v>
          </cell>
          <cell r="G14">
            <v>-8.2318919120891731E-3</v>
          </cell>
          <cell r="H14">
            <v>-2.4586309215681501E-2</v>
          </cell>
          <cell r="I14">
            <v>3.1283617661232999E-2</v>
          </cell>
          <cell r="J14">
            <v>3.9308079672821794E-3</v>
          </cell>
          <cell r="K14">
            <v>2.4954900822681481E-2</v>
          </cell>
          <cell r="L14">
            <v>9.8854570027773203E-3</v>
          </cell>
          <cell r="M14">
            <v>2.937977902088984E-2</v>
          </cell>
          <cell r="N14">
            <v>1.7628431179914861E-2</v>
          </cell>
          <cell r="O14">
            <v>1.1613340361593671E-3</v>
          </cell>
          <cell r="P14">
            <v>-1.5549283981485695E-2</v>
          </cell>
          <cell r="Q14">
            <v>5.3730185053591617E-2</v>
          </cell>
        </row>
        <row r="15">
          <cell r="C15">
            <v>15260</v>
          </cell>
          <cell r="D15">
            <v>-4.8298636366399195E-2</v>
          </cell>
          <cell r="E15">
            <v>-2.032788985171563E-3</v>
          </cell>
          <cell r="F15">
            <v>1.4222612743783891E-3</v>
          </cell>
          <cell r="G15">
            <v>4.3298639018809704E-2</v>
          </cell>
          <cell r="H15">
            <v>-1.6899066089419934E-2</v>
          </cell>
          <cell r="I15">
            <v>-3.4431507144862095E-2</v>
          </cell>
          <cell r="J15">
            <v>-1.9106923019148625E-2</v>
          </cell>
          <cell r="K15">
            <v>7.0581076878608595E-3</v>
          </cell>
          <cell r="L15">
            <v>-6.3435458844641746E-3</v>
          </cell>
          <cell r="M15">
            <v>3.7297806151679325E-3</v>
          </cell>
          <cell r="N15">
            <v>-8.0537278433640003E-3</v>
          </cell>
          <cell r="O15">
            <v>1.0706923424913528E-2</v>
          </cell>
          <cell r="P15">
            <v>-2.6502849300819808E-2</v>
          </cell>
          <cell r="Q15">
            <v>-4.8298636366399639E-2</v>
          </cell>
        </row>
        <row r="16">
          <cell r="C16">
            <v>8699</v>
          </cell>
          <cell r="D16">
            <v>4.5496304275514543E-2</v>
          </cell>
          <cell r="E16">
            <v>3.5735082098484749E-3</v>
          </cell>
          <cell r="F16">
            <v>3.3620806818146498E-3</v>
          </cell>
          <cell r="G16">
            <v>3.5331754391996206E-3</v>
          </cell>
          <cell r="H16">
            <v>3.6721397368040254E-3</v>
          </cell>
          <cell r="I16">
            <v>3.2055503001933161E-3</v>
          </cell>
          <cell r="J16">
            <v>4.5681321413526543E-3</v>
          </cell>
          <cell r="K16">
            <v>3.2419334098223729E-3</v>
          </cell>
          <cell r="L16">
            <v>4.1660775383640658E-3</v>
          </cell>
          <cell r="M16">
            <v>4.0891315340347845E-3</v>
          </cell>
          <cell r="N16">
            <v>3.7458191563826126E-3</v>
          </cell>
          <cell r="O16">
            <v>3.6578929385586711E-3</v>
          </cell>
          <cell r="P16">
            <v>3.7597123616988082E-3</v>
          </cell>
          <cell r="Q16">
            <v>4.5496304275511879E-2</v>
          </cell>
        </row>
        <row r="17">
          <cell r="C17">
            <v>9452</v>
          </cell>
          <cell r="D17">
            <v>2.8411447319174554E-2</v>
          </cell>
          <cell r="E17">
            <v>1.0209461193444902E-2</v>
          </cell>
          <cell r="F17">
            <v>-3.4717781303957196E-2</v>
          </cell>
          <cell r="G17">
            <v>-1.0396675584051329E-2</v>
          </cell>
          <cell r="H17">
            <v>-2.7898984427659146E-2</v>
          </cell>
          <cell r="I17">
            <v>3.2136238551724761E-2</v>
          </cell>
          <cell r="J17">
            <v>7.334570594728973E-3</v>
          </cell>
          <cell r="K17">
            <v>3.3217831553058019E-2</v>
          </cell>
          <cell r="L17">
            <v>-7.4896411654667983E-4</v>
          </cell>
          <cell r="M17">
            <v>2.6573303496583156E-2</v>
          </cell>
          <cell r="N17">
            <v>8.5509175579570051E-3</v>
          </cell>
          <cell r="O17">
            <v>3.8037376524955313E-3</v>
          </cell>
          <cell r="P17">
            <v>-1.7314034676623846E-2</v>
          </cell>
          <cell r="Q17">
            <v>2.8411447319176553E-2</v>
          </cell>
        </row>
        <row r="18">
          <cell r="C18">
            <v>12531</v>
          </cell>
          <cell r="D18">
            <v>0.25544317132298544</v>
          </cell>
          <cell r="E18">
            <v>3.2161934195624742E-2</v>
          </cell>
          <cell r="F18">
            <v>-1.2681438462246453E-3</v>
          </cell>
          <cell r="G18">
            <v>-1.9102631450220287E-2</v>
          </cell>
          <cell r="H18">
            <v>1.0731237485872347E-2</v>
          </cell>
          <cell r="I18">
            <v>5.3102195842648303E-2</v>
          </cell>
          <cell r="J18">
            <v>4.5382701934742364E-2</v>
          </cell>
          <cell r="K18">
            <v>1.8562853170982274E-2</v>
          </cell>
          <cell r="L18">
            <v>8.6982460971212205E-3</v>
          </cell>
          <cell r="M18">
            <v>3.5466544690632817E-2</v>
          </cell>
          <cell r="N18">
            <v>2.2200411974049539E-2</v>
          </cell>
          <cell r="O18">
            <v>1.1533226072497182E-2</v>
          </cell>
          <cell r="P18">
            <v>1.4364069081002073E-2</v>
          </cell>
          <cell r="Q18">
            <v>0.25544317132298433</v>
          </cell>
        </row>
        <row r="19">
          <cell r="C19">
            <v>12532</v>
          </cell>
          <cell r="D19">
            <v>0.16213992864204485</v>
          </cell>
          <cell r="E19">
            <v>2.1295432195165498E-2</v>
          </cell>
          <cell r="F19">
            <v>3.1092780042716317E-3</v>
          </cell>
          <cell r="G19">
            <v>-1.0464588500537886E-2</v>
          </cell>
          <cell r="H19">
            <v>8.3519140544028314E-3</v>
          </cell>
          <cell r="I19">
            <v>3.0635209004214126E-2</v>
          </cell>
          <cell r="J19">
            <v>2.9174368467145273E-2</v>
          </cell>
          <cell r="K19">
            <v>1.2215135036552693E-2</v>
          </cell>
          <cell r="L19">
            <v>8.6961841041230947E-3</v>
          </cell>
          <cell r="M19">
            <v>2.1387020828194769E-2</v>
          </cell>
          <cell r="N19">
            <v>1.1623453490262614E-2</v>
          </cell>
          <cell r="O19">
            <v>1.0097717817417085E-2</v>
          </cell>
          <cell r="P19">
            <v>5.809106154802901E-3</v>
          </cell>
          <cell r="Q19">
            <v>0.16213992864204729</v>
          </cell>
        </row>
        <row r="20">
          <cell r="C20">
            <v>12533</v>
          </cell>
          <cell r="D20">
            <v>0.13732502679584813</v>
          </cell>
          <cell r="E20">
            <v>1.5802663203956291E-2</v>
          </cell>
          <cell r="F20">
            <v>3.2209830582259347E-3</v>
          </cell>
          <cell r="G20">
            <v>-5.5450391424906043E-3</v>
          </cell>
          <cell r="H20">
            <v>8.4229134190043631E-3</v>
          </cell>
          <cell r="I20">
            <v>2.3202864650243793E-2</v>
          </cell>
          <cell r="J20">
            <v>2.4508912487070988E-2</v>
          </cell>
          <cell r="K20">
            <v>1.0427318776529804E-2</v>
          </cell>
          <cell r="L20">
            <v>6.8800168313885024E-3</v>
          </cell>
          <cell r="M20">
            <v>1.7925308267088491E-2</v>
          </cell>
          <cell r="N20">
            <v>1.0256389452358849E-2</v>
          </cell>
          <cell r="O20">
            <v>9.7100707541701858E-3</v>
          </cell>
          <cell r="P20">
            <v>4.9543223126218283E-3</v>
          </cell>
          <cell r="Q20">
            <v>0.13732502679584768</v>
          </cell>
        </row>
        <row r="21">
          <cell r="C21">
            <v>12534</v>
          </cell>
          <cell r="D21">
            <v>8.9777920230872166E-2</v>
          </cell>
          <cell r="E21">
            <v>7.6837109000107429E-3</v>
          </cell>
          <cell r="F21">
            <v>3.8526382165704476E-3</v>
          </cell>
          <cell r="G21">
            <v>6.9716851702805727E-4</v>
          </cell>
          <cell r="H21">
            <v>6.8373960837566639E-3</v>
          </cell>
          <cell r="I21">
            <v>1.0047493727868284E-2</v>
          </cell>
          <cell r="J21">
            <v>1.5449794642543591E-2</v>
          </cell>
          <cell r="K21">
            <v>6.8844418120135309E-3</v>
          </cell>
          <cell r="L21">
            <v>7.0129203065836254E-3</v>
          </cell>
          <cell r="M21">
            <v>1.1955073540042882E-2</v>
          </cell>
          <cell r="N21">
            <v>6.3286833194378112E-3</v>
          </cell>
          <cell r="O21">
            <v>7.4025841759775002E-3</v>
          </cell>
          <cell r="P21">
            <v>2.2192129716509523E-3</v>
          </cell>
          <cell r="Q21">
            <v>8.9777920230872166E-2</v>
          </cell>
        </row>
        <row r="22">
          <cell r="C22">
            <v>14342</v>
          </cell>
          <cell r="D22">
            <v>0.1724025833462699</v>
          </cell>
          <cell r="E22">
            <v>1.3285059717903946E-2</v>
          </cell>
          <cell r="F22">
            <v>1.0696944933041852E-2</v>
          </cell>
          <cell r="G22">
            <v>-7.2856902345193042E-3</v>
          </cell>
          <cell r="H22">
            <v>8.3916311156526646E-3</v>
          </cell>
          <cell r="I22">
            <v>2.3291907401012946E-2</v>
          </cell>
          <cell r="J22">
            <v>3.0929723834843825E-2</v>
          </cell>
          <cell r="K22">
            <v>1.5960428315891395E-2</v>
          </cell>
          <cell r="L22">
            <v>1.0334617374996968E-2</v>
          </cell>
          <cell r="M22">
            <v>2.1513916201345573E-2</v>
          </cell>
          <cell r="N22">
            <v>1.5653544073137793E-2</v>
          </cell>
          <cell r="O22">
            <v>8.874689731540597E-3</v>
          </cell>
          <cell r="P22">
            <v>8.9576325109703703E-3</v>
          </cell>
          <cell r="Q22">
            <v>0.17240258334627034</v>
          </cell>
        </row>
        <row r="23">
          <cell r="C23">
            <v>14394</v>
          </cell>
          <cell r="D23">
            <v>3.6722232564851964E-3</v>
          </cell>
          <cell r="E23">
            <v>8.3265221296136005E-4</v>
          </cell>
          <cell r="F23">
            <v>-9.2471879244603317E-3</v>
          </cell>
          <cell r="G23">
            <v>2.5759357718054599E-2</v>
          </cell>
          <cell r="H23">
            <v>-1.8823228361165234E-2</v>
          </cell>
          <cell r="I23">
            <v>-6.9213866632793497E-3</v>
          </cell>
          <cell r="J23">
            <v>-7.2507685019861379E-3</v>
          </cell>
          <cell r="K23">
            <v>1.3945667760131508E-2</v>
          </cell>
          <cell r="L23">
            <v>4.1811042018444766E-3</v>
          </cell>
          <cell r="M23">
            <v>1.6190146201655597E-2</v>
          </cell>
          <cell r="N23">
            <v>2.4690319953482032E-3</v>
          </cell>
          <cell r="O23">
            <v>5.8167312323007536E-3</v>
          </cell>
          <cell r="P23">
            <v>-2.2182823253549699E-2</v>
          </cell>
          <cell r="Q23">
            <v>3.6722232564845303E-3</v>
          </cell>
        </row>
        <row r="24">
          <cell r="C24">
            <v>14481</v>
          </cell>
          <cell r="D24">
            <v>8.7225556788962599E-2</v>
          </cell>
          <cell r="E24">
            <v>8.1366587507185617E-3</v>
          </cell>
          <cell r="F24">
            <v>8.5084357686102674E-3</v>
          </cell>
          <cell r="G24">
            <v>1.7317964896124138E-5</v>
          </cell>
          <cell r="H24">
            <v>8.0356156476584228E-3</v>
          </cell>
          <cell r="I24">
            <v>3.7843845144200916E-3</v>
          </cell>
          <cell r="J24">
            <v>1.4307059584520054E-2</v>
          </cell>
          <cell r="K24">
            <v>7.0776197013924236E-3</v>
          </cell>
          <cell r="L24">
            <v>6.9206651614899251E-3</v>
          </cell>
          <cell r="M24">
            <v>6.4385787132301697E-3</v>
          </cell>
          <cell r="N24">
            <v>9.6657800705008956E-3</v>
          </cell>
          <cell r="O24">
            <v>5.7808162122201523E-3</v>
          </cell>
          <cell r="P24">
            <v>5.3122375838972058E-3</v>
          </cell>
          <cell r="Q24">
            <v>8.7225556788961489E-2</v>
          </cell>
        </row>
        <row r="25">
          <cell r="C25">
            <v>15247</v>
          </cell>
          <cell r="D25">
            <v>0.27585541683662296</v>
          </cell>
          <cell r="E25">
            <v>3.7797109645399063E-2</v>
          </cell>
          <cell r="F25">
            <v>-7.9949365593938726E-3</v>
          </cell>
          <cell r="G25">
            <v>-3.3971582023435087E-2</v>
          </cell>
          <cell r="H25">
            <v>4.9595484479922902E-3</v>
          </cell>
          <cell r="I25">
            <v>5.2808526902279551E-2</v>
          </cell>
          <cell r="J25">
            <v>5.5606562377776614E-2</v>
          </cell>
          <cell r="K25">
            <v>3.1148621426535517E-2</v>
          </cell>
          <cell r="L25">
            <v>1.2505617574974703E-2</v>
          </cell>
          <cell r="M25">
            <v>3.638452508574086E-2</v>
          </cell>
          <cell r="N25">
            <v>2.5914479262545864E-2</v>
          </cell>
          <cell r="O25">
            <v>1.7705305703130669E-2</v>
          </cell>
          <cell r="P25">
            <v>1.6745673660674143E-2</v>
          </cell>
          <cell r="Q25">
            <v>0.27585541683662451</v>
          </cell>
        </row>
        <row r="26">
          <cell r="C26">
            <v>15248</v>
          </cell>
          <cell r="D26">
            <v>9.0590134981330728E-2</v>
          </cell>
          <cell r="E26">
            <v>6.7201559328720073E-3</v>
          </cell>
          <cell r="F26">
            <v>1.1587208394928439E-2</v>
          </cell>
          <cell r="G26">
            <v>-1.1096190421056029E-5</v>
          </cell>
          <cell r="H26">
            <v>7.3719229493256488E-3</v>
          </cell>
          <cell r="I26">
            <v>4.439207603518458E-3</v>
          </cell>
          <cell r="J26">
            <v>1.6678198689598078E-2</v>
          </cell>
          <cell r="K26">
            <v>6.1276219391601661E-3</v>
          </cell>
          <cell r="L26">
            <v>7.3917097282536481E-3</v>
          </cell>
          <cell r="M26">
            <v>7.0143502588517759E-3</v>
          </cell>
          <cell r="N26">
            <v>1.0024687468291882E-2</v>
          </cell>
          <cell r="O26">
            <v>4.5841779699036245E-3</v>
          </cell>
          <cell r="P26">
            <v>5.1985518297748001E-3</v>
          </cell>
          <cell r="Q26">
            <v>9.0590134981332504E-2</v>
          </cell>
        </row>
        <row r="27">
          <cell r="C27">
            <v>15249</v>
          </cell>
          <cell r="D27">
            <v>5.1386584601366359E-2</v>
          </cell>
          <cell r="E27">
            <v>1.4719085183935388E-2</v>
          </cell>
          <cell r="F27">
            <v>-3.2474886708738659E-2</v>
          </cell>
          <cell r="G27">
            <v>-5.8435325230686841E-3</v>
          </cell>
          <cell r="H27">
            <v>-2.4813322726333076E-2</v>
          </cell>
          <cell r="I27">
            <v>3.073635400594088E-2</v>
          </cell>
          <cell r="J27">
            <v>4.0160013414163309E-3</v>
          </cell>
          <cell r="K27">
            <v>2.3986392474679707E-2</v>
          </cell>
          <cell r="L27">
            <v>1.0421360702198124E-2</v>
          </cell>
          <cell r="M27">
            <v>3.0396579568360282E-2</v>
          </cell>
          <cell r="N27">
            <v>1.6121390598103025E-2</v>
          </cell>
          <cell r="O27">
            <v>4.9106906053197896E-4</v>
          </cell>
          <cell r="P27">
            <v>-1.5164481060971569E-2</v>
          </cell>
          <cell r="Q27">
            <v>5.138658460136547E-2</v>
          </cell>
        </row>
        <row r="28">
          <cell r="C28">
            <v>15250</v>
          </cell>
          <cell r="D28">
            <v>-5.3582496110743727E-2</v>
          </cell>
          <cell r="E28">
            <v>-2.3727927533397919E-3</v>
          </cell>
          <cell r="F28">
            <v>6.9290720370096537E-5</v>
          </cell>
          <cell r="G28">
            <v>4.5867763222351643E-2</v>
          </cell>
          <cell r="H28">
            <v>-1.7478724744993346E-2</v>
          </cell>
          <cell r="I28">
            <v>-3.4884697440665469E-2</v>
          </cell>
          <cell r="J28">
            <v>-2.1048054521655812E-2</v>
          </cell>
          <cell r="K28">
            <v>8.4356728672205783E-3</v>
          </cell>
          <cell r="L28">
            <v>-7.5234794301484165E-3</v>
          </cell>
          <cell r="M28">
            <v>4.3934580527700273E-3</v>
          </cell>
          <cell r="N28">
            <v>-9.0595679761213965E-3</v>
          </cell>
          <cell r="O28">
            <v>1.1209770997076429E-2</v>
          </cell>
          <cell r="P28">
            <v>-3.0017388191827199E-2</v>
          </cell>
          <cell r="Q28">
            <v>-5.3582496110743838E-2</v>
          </cell>
        </row>
        <row r="29">
          <cell r="C29">
            <v>8705</v>
          </cell>
          <cell r="D29">
            <v>4.3706028895160509E-2</v>
          </cell>
          <cell r="E29">
            <v>3.4051409802096089E-3</v>
          </cell>
          <cell r="F29">
            <v>3.1872544285618254E-3</v>
          </cell>
          <cell r="G29">
            <v>3.3635604849910905E-3</v>
          </cell>
          <cell r="H29">
            <v>3.4825347382645422E-3</v>
          </cell>
          <cell r="I29">
            <v>3.1282891748931618E-3</v>
          </cell>
          <cell r="J29">
            <v>4.4880332087096075E-3</v>
          </cell>
          <cell r="K29">
            <v>3.0687635791415424E-3</v>
          </cell>
          <cell r="L29">
            <v>4.0380323103610394E-3</v>
          </cell>
          <cell r="M29">
            <v>3.8962833894755633E-3</v>
          </cell>
          <cell r="N29">
            <v>3.6630325457984725E-3</v>
          </cell>
          <cell r="O29">
            <v>3.371876171464061E-3</v>
          </cell>
          <cell r="P29">
            <v>3.762363825397852E-3</v>
          </cell>
          <cell r="Q29">
            <v>4.3706028895161619E-2</v>
          </cell>
        </row>
        <row r="30">
          <cell r="C30">
            <v>9451</v>
          </cell>
          <cell r="D30">
            <v>2.8433947209439481E-2</v>
          </cell>
          <cell r="E30">
            <v>1.0357350277780508E-2</v>
          </cell>
          <cell r="F30">
            <v>-3.4515937205803926E-2</v>
          </cell>
          <cell r="G30">
            <v>-1.0395818016659564E-2</v>
          </cell>
          <cell r="H30">
            <v>-2.8358056685136024E-2</v>
          </cell>
          <cell r="I30">
            <v>3.2111964774224511E-2</v>
          </cell>
          <cell r="J30">
            <v>7.433508236647679E-3</v>
          </cell>
          <cell r="K30">
            <v>3.3015689677815097E-2</v>
          </cell>
          <cell r="L30">
            <v>-3.8979590818277732E-4</v>
          </cell>
          <cell r="M30">
            <v>2.6308401264786507E-2</v>
          </cell>
          <cell r="N30">
            <v>8.2889322253163478E-3</v>
          </cell>
          <cell r="O30">
            <v>3.7244340259929842E-3</v>
          </cell>
          <cell r="P30">
            <v>-1.6826125388443192E-2</v>
          </cell>
          <cell r="Q30">
            <v>2.8433947209438815E-2</v>
          </cell>
        </row>
        <row r="31">
          <cell r="C31">
            <v>12535</v>
          </cell>
          <cell r="D31">
            <v>0.14699302217750865</v>
          </cell>
          <cell r="E31">
            <v>1.5672438408981915E-2</v>
          </cell>
          <cell r="F31">
            <v>3.1896917249545353E-3</v>
          </cell>
          <cell r="G31">
            <v>-6.0166944884540996E-3</v>
          </cell>
          <cell r="H31">
            <v>8.713975620130654E-3</v>
          </cell>
          <cell r="I31">
            <v>2.4186195096928653E-2</v>
          </cell>
          <cell r="J31">
            <v>2.6600645125484323E-2</v>
          </cell>
          <cell r="K31">
            <v>1.0281882711896895E-2</v>
          </cell>
          <cell r="L31">
            <v>1.0157676972241569E-2</v>
          </cell>
          <cell r="M31">
            <v>1.9047406719892024E-2</v>
          </cell>
          <cell r="N31">
            <v>1.0982710914090976E-2</v>
          </cell>
          <cell r="O31">
            <v>1.030271310047115E-2</v>
          </cell>
          <cell r="P31">
            <v>5.2523545393428073E-3</v>
          </cell>
          <cell r="Q31">
            <v>0.1469930221775082</v>
          </cell>
        </row>
        <row r="32">
          <cell r="C32">
            <v>12536</v>
          </cell>
          <cell r="D32">
            <v>0.25862035548845208</v>
          </cell>
          <cell r="E32">
            <v>3.313377963761166E-2</v>
          </cell>
          <cell r="F32">
            <v>-1.3418550422599207E-3</v>
          </cell>
          <cell r="G32">
            <v>-1.9139267995199605E-2</v>
          </cell>
          <cell r="H32">
            <v>9.2364134303335454E-3</v>
          </cell>
          <cell r="I32">
            <v>5.4323364542090191E-2</v>
          </cell>
          <cell r="J32">
            <v>4.6416375068668358E-2</v>
          </cell>
          <cell r="K32">
            <v>1.9223065451320576E-2</v>
          </cell>
          <cell r="L32">
            <v>8.2575160693232341E-3</v>
          </cell>
          <cell r="M32">
            <v>3.528604829176496E-2</v>
          </cell>
          <cell r="N32">
            <v>2.2219513910722632E-2</v>
          </cell>
          <cell r="O32">
            <v>1.2311377875873442E-2</v>
          </cell>
          <cell r="P32">
            <v>1.4573150504806565E-2</v>
          </cell>
          <cell r="Q32">
            <v>0.25862035548845119</v>
          </cell>
        </row>
        <row r="33">
          <cell r="C33">
            <v>12956</v>
          </cell>
          <cell r="D33">
            <v>9.2165265166439747E-2</v>
          </cell>
          <cell r="E33">
            <v>8.7197747537961501E-3</v>
          </cell>
          <cell r="F33">
            <v>4.1350548412772969E-3</v>
          </cell>
          <cell r="G33">
            <v>1.5372521829815078E-3</v>
          </cell>
          <cell r="H33">
            <v>7.5777196197452934E-3</v>
          </cell>
          <cell r="I33">
            <v>9.7638139301752247E-3</v>
          </cell>
          <cell r="J33">
            <v>1.5441031294177288E-2</v>
          </cell>
          <cell r="K33">
            <v>7.4176051256675812E-3</v>
          </cell>
          <cell r="L33">
            <v>7.9025664859517786E-3</v>
          </cell>
          <cell r="M33">
            <v>1.1066773300997923E-2</v>
          </cell>
          <cell r="N33">
            <v>6.1835118676527578E-3</v>
          </cell>
          <cell r="O33">
            <v>6.8359477207466934E-3</v>
          </cell>
          <cell r="P33">
            <v>1.9860784518863639E-3</v>
          </cell>
          <cell r="Q33">
            <v>9.2165265166440191E-2</v>
          </cell>
        </row>
        <row r="34">
          <cell r="C34">
            <v>14483</v>
          </cell>
          <cell r="D34">
            <v>8.7365925221691176E-2</v>
          </cell>
          <cell r="E34">
            <v>8.8988761984503117E-3</v>
          </cell>
          <cell r="F34">
            <v>7.6306984392646715E-3</v>
          </cell>
          <cell r="G34">
            <v>-8.1009066667703244E-4</v>
          </cell>
          <cell r="H34">
            <v>8.1327681864400425E-3</v>
          </cell>
          <cell r="I34">
            <v>4.0386590779077913E-3</v>
          </cell>
          <cell r="J34">
            <v>1.4690484862290409E-2</v>
          </cell>
          <cell r="K34">
            <v>7.2477661151966188E-3</v>
          </cell>
          <cell r="L34">
            <v>6.8295225458039344E-3</v>
          </cell>
          <cell r="M34">
            <v>5.9015276121294757E-3</v>
          </cell>
          <cell r="N34">
            <v>1.028988787994356E-2</v>
          </cell>
          <cell r="O34">
            <v>5.8986789464809952E-3</v>
          </cell>
          <cell r="P34">
            <v>5.3769666887257817E-3</v>
          </cell>
          <cell r="Q34">
            <v>8.7365925221690732E-2</v>
          </cell>
        </row>
        <row r="35">
          <cell r="C35">
            <v>15235</v>
          </cell>
          <cell r="D35">
            <v>0.15761770482764104</v>
          </cell>
          <cell r="E35">
            <v>1.9840925057107661E-2</v>
          </cell>
          <cell r="F35">
            <v>4.1022733427360514E-3</v>
          </cell>
          <cell r="G35">
            <v>-1.201867641808152E-2</v>
          </cell>
          <cell r="H35">
            <v>5.3695632106240954E-3</v>
          </cell>
          <cell r="I35">
            <v>2.391184590150397E-2</v>
          </cell>
          <cell r="J35">
            <v>2.9200006473986351E-2</v>
          </cell>
          <cell r="K35">
            <v>1.7111361659464919E-2</v>
          </cell>
          <cell r="L35">
            <v>8.5341603114768017E-3</v>
          </cell>
          <cell r="M35">
            <v>2.0166059894622057E-2</v>
          </cell>
          <cell r="N35">
            <v>1.5526908144209317E-2</v>
          </cell>
          <cell r="O35">
            <v>7.7230584050103079E-3</v>
          </cell>
          <cell r="P35">
            <v>8.4522464236773676E-3</v>
          </cell>
          <cell r="Q35">
            <v>0.15761770482764126</v>
          </cell>
        </row>
        <row r="36">
          <cell r="C36">
            <v>15236</v>
          </cell>
          <cell r="D36">
            <v>0.12409241238005708</v>
          </cell>
          <cell r="E36">
            <v>1.7702907559834502E-2</v>
          </cell>
          <cell r="F36">
            <v>5.5716944921049283E-3</v>
          </cell>
          <cell r="G36">
            <v>-2.8715215107943948E-3</v>
          </cell>
          <cell r="H36">
            <v>7.5935007671736887E-3</v>
          </cell>
          <cell r="I36">
            <v>1.3529528820502179E-2</v>
          </cell>
          <cell r="J36">
            <v>2.6364675173030649E-2</v>
          </cell>
          <cell r="K36">
            <v>1.4500641750029963E-2</v>
          </cell>
          <cell r="L36">
            <v>5.0827862720859152E-3</v>
          </cell>
          <cell r="M36">
            <v>1.0682143375815523E-2</v>
          </cell>
          <cell r="N36">
            <v>7.6254826653885388E-3</v>
          </cell>
          <cell r="O36">
            <v>7.1825455111713676E-3</v>
          </cell>
          <cell r="P36">
            <v>4.8871529060900976E-3</v>
          </cell>
          <cell r="Q36">
            <v>0.12409241238005686</v>
          </cell>
        </row>
        <row r="37">
          <cell r="C37">
            <v>15237</v>
          </cell>
          <cell r="D37">
            <v>9.2395038097233817E-2</v>
          </cell>
          <cell r="E37">
            <v>7.1214826774306239E-3</v>
          </cell>
          <cell r="F37">
            <v>1.0674448679625748E-2</v>
          </cell>
          <cell r="G37">
            <v>-6.8272536841895715E-4</v>
          </cell>
          <cell r="H37">
            <v>7.9179845414720784E-3</v>
          </cell>
          <cell r="I37">
            <v>4.4774041786188601E-3</v>
          </cell>
          <cell r="J37">
            <v>1.6620868437796421E-2</v>
          </cell>
          <cell r="K37">
            <v>6.5938855286802323E-3</v>
          </cell>
          <cell r="L37">
            <v>7.5545435809982742E-3</v>
          </cell>
          <cell r="M37">
            <v>8.211835929220701E-3</v>
          </cell>
          <cell r="N37">
            <v>1.0100619553641277E-2</v>
          </cell>
          <cell r="O37">
            <v>4.563113451235834E-3</v>
          </cell>
          <cell r="P37">
            <v>5.6394021105068415E-3</v>
          </cell>
          <cell r="Q37">
            <v>9.2395038097232929E-2</v>
          </cell>
        </row>
        <row r="38">
          <cell r="C38">
            <v>15238</v>
          </cell>
          <cell r="D38">
            <v>0.27045529994428308</v>
          </cell>
          <cell r="E38">
            <v>3.7079676000392192E-2</v>
          </cell>
          <cell r="F38">
            <v>-7.9121175415025613E-3</v>
          </cell>
          <cell r="G38">
            <v>-3.4819566926633128E-2</v>
          </cell>
          <cell r="H38">
            <v>4.1240412579930386E-3</v>
          </cell>
          <cell r="I38">
            <v>5.2707855404759529E-2</v>
          </cell>
          <cell r="J38">
            <v>5.3871578543675191E-2</v>
          </cell>
          <cell r="K38">
            <v>3.0993498023156762E-2</v>
          </cell>
          <cell r="L38">
            <v>1.2522075768155227E-2</v>
          </cell>
          <cell r="M38">
            <v>3.6353019252005847E-2</v>
          </cell>
          <cell r="N38">
            <v>2.6022246108251323E-2</v>
          </cell>
          <cell r="O38">
            <v>1.7073550802993998E-2</v>
          </cell>
          <cell r="P38">
            <v>1.7251663251008242E-2</v>
          </cell>
          <cell r="Q38">
            <v>0.27045529994428419</v>
          </cell>
        </row>
        <row r="39">
          <cell r="C39">
            <v>15239</v>
          </cell>
          <cell r="D39">
            <v>-7.7361139055316386E-3</v>
          </cell>
          <cell r="E39">
            <v>5.6776892239684962E-4</v>
          </cell>
          <cell r="F39">
            <v>-1.2105175392775891E-2</v>
          </cell>
          <cell r="G39">
            <v>2.6303871862344064E-2</v>
          </cell>
          <cell r="H39">
            <v>-1.8201121023859623E-2</v>
          </cell>
          <cell r="I39">
            <v>-6.2866302195311308E-3</v>
          </cell>
          <cell r="J39">
            <v>-1.1831122944730099E-2</v>
          </cell>
          <cell r="K39">
            <v>1.3549663054148953E-2</v>
          </cell>
          <cell r="L39">
            <v>2.4002225188184401E-3</v>
          </cell>
          <cell r="M39">
            <v>1.5523257221851994E-2</v>
          </cell>
          <cell r="N39">
            <v>1.074298482520275E-3</v>
          </cell>
          <cell r="O39">
            <v>4.8215633570527494E-3</v>
          </cell>
          <cell r="P39">
            <v>-2.2430051064576295E-2</v>
          </cell>
          <cell r="Q39">
            <v>-7.7361139055327488E-3</v>
          </cell>
        </row>
        <row r="40">
          <cell r="C40">
            <v>15240</v>
          </cell>
          <cell r="D40">
            <v>-3.5785230608685215E-2</v>
          </cell>
          <cell r="E40">
            <v>-5.7696313009490963E-3</v>
          </cell>
          <cell r="F40">
            <v>-1.9516684831318853E-3</v>
          </cell>
          <cell r="G40">
            <v>3.4572922236228987E-2</v>
          </cell>
          <cell r="H40">
            <v>-1.6633578501321966E-2</v>
          </cell>
          <cell r="I40">
            <v>-1.9852119182369399E-2</v>
          </cell>
          <cell r="J40">
            <v>-2.0204460347088116E-2</v>
          </cell>
          <cell r="K40">
            <v>1.0533147346362348E-2</v>
          </cell>
          <cell r="L40">
            <v>-3.3789708096346738E-3</v>
          </cell>
          <cell r="M40">
            <v>7.9843705888669181E-3</v>
          </cell>
          <cell r="N40">
            <v>-4.47817887752755E-3</v>
          </cell>
          <cell r="O40">
            <v>6.9409632818611122E-3</v>
          </cell>
          <cell r="P40">
            <v>-2.2667287435761296E-2</v>
          </cell>
          <cell r="Q40">
            <v>-3.5785230608684437E-2</v>
          </cell>
        </row>
        <row r="41">
          <cell r="C41">
            <v>15241</v>
          </cell>
          <cell r="D41">
            <v>4.9801060499303995E-2</v>
          </cell>
          <cell r="E41">
            <v>1.5149590066294794E-2</v>
          </cell>
          <cell r="F41">
            <v>-3.1255006529564477E-2</v>
          </cell>
          <cell r="G41">
            <v>-7.6708189534760995E-3</v>
          </cell>
          <cell r="H41">
            <v>-2.5720728959857553E-2</v>
          </cell>
          <cell r="I41">
            <v>3.083808343008787E-2</v>
          </cell>
          <cell r="J41">
            <v>3.0915216556666181E-3</v>
          </cell>
          <cell r="K41">
            <v>2.4450076126304676E-2</v>
          </cell>
          <cell r="L41">
            <v>1.002238333619454E-2</v>
          </cell>
          <cell r="M41">
            <v>2.9811531846866135E-2</v>
          </cell>
          <cell r="N41">
            <v>1.7666008569089175E-2</v>
          </cell>
          <cell r="O41">
            <v>-4.4543252711726211E-4</v>
          </cell>
          <cell r="P41">
            <v>-1.4841910414985504E-2</v>
          </cell>
          <cell r="Q41">
            <v>4.9801060499303551E-2</v>
          </cell>
        </row>
        <row r="42">
          <cell r="C42">
            <v>15242</v>
          </cell>
          <cell r="D42">
            <v>-4.9629862711977446E-2</v>
          </cell>
          <cell r="E42">
            <v>-2.423347053324032E-3</v>
          </cell>
          <cell r="F42">
            <v>8.0922115471437905E-4</v>
          </cell>
          <cell r="G42">
            <v>4.5635988836071117E-2</v>
          </cell>
          <cell r="H42">
            <v>-1.7318338630054497E-2</v>
          </cell>
          <cell r="I42">
            <v>-3.4377744324568416E-2</v>
          </cell>
          <cell r="J42">
            <v>-2.0477121595487757E-2</v>
          </cell>
          <cell r="K42">
            <v>8.0164455042071037E-3</v>
          </cell>
          <cell r="L42">
            <v>-6.6120856594690247E-3</v>
          </cell>
          <cell r="M42">
            <v>3.5417889329458774E-3</v>
          </cell>
          <cell r="N42">
            <v>-8.8581538704882723E-3</v>
          </cell>
          <cell r="O42">
            <v>1.1566294825710033E-2</v>
          </cell>
          <cell r="P42">
            <v>-2.7862116233880907E-2</v>
          </cell>
          <cell r="Q42">
            <v>-4.9629862711978334E-2</v>
          </cell>
        </row>
        <row r="43">
          <cell r="C43">
            <v>9113</v>
          </cell>
          <cell r="D43">
            <v>0.23489990425472929</v>
          </cell>
          <cell r="E43">
            <v>2.5240615321874937E-2</v>
          </cell>
          <cell r="F43">
            <v>-7.7591282906290804E-3</v>
          </cell>
          <cell r="G43">
            <v>-3.0451226956293764E-2</v>
          </cell>
          <cell r="H43">
            <v>7.2490161403784281E-3</v>
          </cell>
          <cell r="I43">
            <v>5.2091283011114875E-2</v>
          </cell>
          <cell r="J43">
            <v>5.2314276350491573E-2</v>
          </cell>
          <cell r="K43">
            <v>1.9994914284533483E-2</v>
          </cell>
          <cell r="L43">
            <v>9.1923404023874777E-3</v>
          </cell>
          <cell r="M43">
            <v>3.6149340110510186E-2</v>
          </cell>
          <cell r="N43">
            <v>2.2798055743248558E-2</v>
          </cell>
          <cell r="O43">
            <v>1.4053147216009698E-2</v>
          </cell>
          <cell r="P43">
            <v>1.4935694783241749E-2</v>
          </cell>
          <cell r="Q43">
            <v>0.23489990425472951</v>
          </cell>
        </row>
        <row r="44">
          <cell r="C44">
            <v>9303</v>
          </cell>
          <cell r="D44">
            <v>-2.3736274317307959E-2</v>
          </cell>
          <cell r="E44">
            <v>-5.9572514911119256E-3</v>
          </cell>
          <cell r="F44">
            <v>-1.0642268850970082E-2</v>
          </cell>
          <cell r="G44">
            <v>3.1697353289172447E-2</v>
          </cell>
          <cell r="H44">
            <v>-1.4201302446696706E-2</v>
          </cell>
          <cell r="I44">
            <v>-1.264768542055339E-2</v>
          </cell>
          <cell r="J44">
            <v>-1.5356292923101922E-2</v>
          </cell>
          <cell r="K44">
            <v>1.0014689401566468E-2</v>
          </cell>
          <cell r="L44">
            <v>-4.1834443111018471E-3</v>
          </cell>
          <cell r="M44">
            <v>1.0233213331569235E-2</v>
          </cell>
          <cell r="N44">
            <v>3.6326650240261493E-3</v>
          </cell>
          <cell r="O44">
            <v>6.8303599728425368E-5</v>
          </cell>
          <cell r="P44">
            <v>-1.5572359506243583E-2</v>
          </cell>
          <cell r="Q44">
            <v>-2.3736274317307959E-2</v>
          </cell>
        </row>
        <row r="45">
          <cell r="C45">
            <v>9414</v>
          </cell>
          <cell r="D45">
            <v>0.15721027136604726</v>
          </cell>
          <cell r="E45">
            <v>2.221090030873718E-2</v>
          </cell>
          <cell r="F45">
            <v>6.1230382202197564E-3</v>
          </cell>
          <cell r="G45">
            <v>-6.7506602654546777E-3</v>
          </cell>
          <cell r="H45">
            <v>5.2642958834383524E-3</v>
          </cell>
          <cell r="I45">
            <v>2.5349647012423482E-2</v>
          </cell>
          <cell r="J45">
            <v>3.0913662960931676E-2</v>
          </cell>
          <cell r="K45">
            <v>1.5579716988890713E-2</v>
          </cell>
          <cell r="L45">
            <v>3.2361571138030953E-3</v>
          </cell>
          <cell r="M45">
            <v>1.9509382942790587E-2</v>
          </cell>
          <cell r="N45">
            <v>1.0541161995621273E-2</v>
          </cell>
          <cell r="O45">
            <v>9.1045148878028392E-3</v>
          </cell>
          <cell r="P45">
            <v>6.4432109644074753E-3</v>
          </cell>
          <cell r="Q45">
            <v>0.15721027136604837</v>
          </cell>
        </row>
        <row r="46">
          <cell r="C46">
            <v>9420</v>
          </cell>
          <cell r="D46">
            <v>0.27829389146628492</v>
          </cell>
          <cell r="E46">
            <v>3.7824054461049306E-2</v>
          </cell>
          <cell r="F46">
            <v>4.5180587195854383E-3</v>
          </cell>
          <cell r="G46">
            <v>-2.2039294656868824E-2</v>
          </cell>
          <cell r="H46">
            <v>6.8626007694059243E-3</v>
          </cell>
          <cell r="I46">
            <v>5.2899984356838514E-2</v>
          </cell>
          <cell r="J46">
            <v>5.6227335933397127E-2</v>
          </cell>
          <cell r="K46">
            <v>2.7200130175295101E-2</v>
          </cell>
          <cell r="L46">
            <v>5.8438893696741712E-3</v>
          </cell>
          <cell r="M46">
            <v>3.3869680947820724E-2</v>
          </cell>
          <cell r="N46">
            <v>1.9833746672190955E-2</v>
          </cell>
          <cell r="O46">
            <v>1.3194982468073269E-2</v>
          </cell>
          <cell r="P46">
            <v>1.4470071119110806E-2</v>
          </cell>
          <cell r="Q46">
            <v>0.27829389146628603</v>
          </cell>
        </row>
        <row r="47">
          <cell r="C47">
            <v>9421</v>
          </cell>
          <cell r="D47">
            <v>0.10741871739470876</v>
          </cell>
          <cell r="E47">
            <v>1.1673208904797949E-2</v>
          </cell>
          <cell r="F47">
            <v>6.4540086569997435E-3</v>
          </cell>
          <cell r="G47">
            <v>-6.3220255506856171E-3</v>
          </cell>
          <cell r="H47">
            <v>6.7720793887577901E-3</v>
          </cell>
          <cell r="I47">
            <v>1.4318285183799961E-2</v>
          </cell>
          <cell r="J47">
            <v>2.2546476746602817E-2</v>
          </cell>
          <cell r="K47">
            <v>9.7116237544208062E-3</v>
          </cell>
          <cell r="L47">
            <v>5.3490684807280253E-3</v>
          </cell>
          <cell r="M47">
            <v>1.1539854109798631E-2</v>
          </cell>
          <cell r="N47">
            <v>9.8553586990541842E-3</v>
          </cell>
          <cell r="O47">
            <v>5.957665197581008E-3</v>
          </cell>
          <cell r="P47">
            <v>4.8643205770515507E-3</v>
          </cell>
          <cell r="Q47">
            <v>0.10741871739470832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T83  רבעוני"/>
      <sheetName val="9113"/>
      <sheetName val="9303"/>
      <sheetName val="9414"/>
      <sheetName val="9420"/>
      <sheetName val="9421"/>
      <sheetName val="7958"/>
      <sheetName val="7963"/>
      <sheetName val="8699"/>
      <sheetName val="8705"/>
      <sheetName val="9451"/>
      <sheetName val="9452"/>
      <sheetName val="12531"/>
      <sheetName val="12532"/>
      <sheetName val="12533"/>
      <sheetName val="12534"/>
      <sheetName val="12535"/>
      <sheetName val="12536"/>
      <sheetName val="12537"/>
      <sheetName val="12538"/>
      <sheetName val="12955"/>
      <sheetName val="12956"/>
      <sheetName val="14342"/>
      <sheetName val="14394"/>
      <sheetName val="14481"/>
      <sheetName val="14482"/>
      <sheetName val="14483"/>
      <sheetName val="15235"/>
      <sheetName val="15236"/>
      <sheetName val="15237"/>
      <sheetName val="15238"/>
      <sheetName val="15239"/>
      <sheetName val="15240"/>
      <sheetName val="15241"/>
      <sheetName val="15242"/>
      <sheetName val="15247"/>
      <sheetName val="15248"/>
      <sheetName val="15249"/>
      <sheetName val="15250"/>
      <sheetName val="15253"/>
      <sheetName val="15254"/>
      <sheetName val="15255"/>
      <sheetName val="15256"/>
      <sheetName val="15257"/>
      <sheetName val="15258"/>
      <sheetName val="15259"/>
      <sheetName val="15260"/>
      <sheetName val="Sheet1"/>
      <sheetName val="Sheet9"/>
      <sheetName val="לא סחירים"/>
      <sheetName val="סיכום"/>
      <sheetName val="תנועות הון-רבעון 1"/>
      <sheetName val="תנועות הון-רבעון 2"/>
      <sheetName val="תנועות הון-רבעון 3"/>
      <sheetName val="תנועות הון-רבעון 4"/>
      <sheetName val="תנועות הון-מצטבר"/>
      <sheetName val="רבעון 1-סיכום"/>
      <sheetName val="רבעון 2-סיכום"/>
      <sheetName val="רבעון 3-סיכום"/>
      <sheetName val="רבעון 4-סיכום"/>
      <sheetName val="ריכוז DE1 וחו&quot;ז"/>
      <sheetName val="ריכוז חשיפות"/>
      <sheetName val="נתונים למרכיבי תשואה"/>
      <sheetName val="ריכוז תנועות BF4+AT72"/>
      <sheetName val="מעבר בין מסלולים"/>
      <sheetName val="התחייבות להשקעה"/>
      <sheetName val="חודשי"/>
      <sheetName val="מוצפנים"/>
      <sheetName val="דיווח בגמל נ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1">
          <cell r="B1">
            <v>45992</v>
          </cell>
          <cell r="C1" t="str">
            <v>K-L</v>
          </cell>
        </row>
        <row r="2">
          <cell r="A2" t="str">
            <v>מסלול</v>
          </cell>
          <cell r="B2" t="str">
            <v>KT503</v>
          </cell>
          <cell r="C2" t="str">
            <v>KT51</v>
          </cell>
        </row>
        <row r="3">
          <cell r="A3">
            <v>7958</v>
          </cell>
          <cell r="B3">
            <v>37235.016000000003</v>
          </cell>
          <cell r="C3">
            <v>2.9009999999999998</v>
          </cell>
        </row>
        <row r="4">
          <cell r="A4">
            <v>7963</v>
          </cell>
          <cell r="B4">
            <v>1688.568</v>
          </cell>
          <cell r="C4">
            <v>4.4740000000000002</v>
          </cell>
        </row>
        <row r="5">
          <cell r="A5">
            <v>12537</v>
          </cell>
          <cell r="B5">
            <v>746704.65599999996</v>
          </cell>
          <cell r="C5">
            <v>26.716999999999999</v>
          </cell>
        </row>
        <row r="6">
          <cell r="A6">
            <v>12538</v>
          </cell>
          <cell r="B6">
            <v>665892.74699999997</v>
          </cell>
          <cell r="C6">
            <v>14.968</v>
          </cell>
        </row>
        <row r="7">
          <cell r="A7">
            <v>12955</v>
          </cell>
          <cell r="B7">
            <v>39749.758000000002</v>
          </cell>
          <cell r="C7">
            <v>9.14</v>
          </cell>
        </row>
        <row r="8">
          <cell r="A8">
            <v>14482</v>
          </cell>
          <cell r="B8">
            <v>14638.45</v>
          </cell>
          <cell r="C8">
            <v>9.125</v>
          </cell>
        </row>
        <row r="9">
          <cell r="A9">
            <v>15253</v>
          </cell>
          <cell r="B9">
            <v>18481.594000000001</v>
          </cell>
          <cell r="C9">
            <v>15.856</v>
          </cell>
        </row>
        <row r="10">
          <cell r="A10">
            <v>15254</v>
          </cell>
          <cell r="B10">
            <v>3258.53</v>
          </cell>
          <cell r="C10">
            <v>12.282</v>
          </cell>
        </row>
        <row r="11">
          <cell r="A11">
            <v>15255</v>
          </cell>
          <cell r="B11">
            <v>1204.7139999999999</v>
          </cell>
          <cell r="C11">
            <v>9.5280000000000005</v>
          </cell>
        </row>
        <row r="12">
          <cell r="A12">
            <v>15256</v>
          </cell>
          <cell r="B12">
            <v>62763.357000000004</v>
          </cell>
          <cell r="C12">
            <v>27.768000000000001</v>
          </cell>
        </row>
        <row r="13">
          <cell r="A13">
            <v>15257</v>
          </cell>
          <cell r="B13">
            <v>-97.58</v>
          </cell>
          <cell r="C13">
            <v>-0.69399999999999995</v>
          </cell>
        </row>
        <row r="14">
          <cell r="A14">
            <v>15258</v>
          </cell>
          <cell r="B14">
            <v>-299.18200000000002</v>
          </cell>
          <cell r="C14">
            <v>-4.1239999999999997</v>
          </cell>
        </row>
        <row r="15">
          <cell r="A15">
            <v>15259</v>
          </cell>
          <cell r="B15">
            <v>6484.277</v>
          </cell>
          <cell r="C15">
            <v>5.3730000000000002</v>
          </cell>
        </row>
        <row r="16">
          <cell r="A16">
            <v>15260</v>
          </cell>
          <cell r="B16">
            <v>-1200.037</v>
          </cell>
          <cell r="C16">
            <v>-4.83</v>
          </cell>
        </row>
        <row r="17">
          <cell r="A17">
            <v>8699</v>
          </cell>
          <cell r="B17">
            <v>4602.652</v>
          </cell>
          <cell r="C17">
            <v>4.55</v>
          </cell>
        </row>
        <row r="18">
          <cell r="A18">
            <v>9452</v>
          </cell>
          <cell r="B18">
            <v>31180.522000000001</v>
          </cell>
          <cell r="C18">
            <v>2.8420000000000001</v>
          </cell>
        </row>
        <row r="19">
          <cell r="A19">
            <v>12531</v>
          </cell>
          <cell r="B19">
            <v>1061421.9739999999</v>
          </cell>
          <cell r="C19">
            <v>25.544</v>
          </cell>
        </row>
        <row r="20">
          <cell r="A20">
            <v>12532</v>
          </cell>
          <cell r="B20">
            <v>901622.81099999999</v>
          </cell>
          <cell r="C20">
            <v>16.213000000000001</v>
          </cell>
        </row>
        <row r="21">
          <cell r="A21">
            <v>12533</v>
          </cell>
          <cell r="B21">
            <v>1876031.3189999999</v>
          </cell>
          <cell r="C21">
            <v>13.733000000000001</v>
          </cell>
        </row>
        <row r="22">
          <cell r="A22">
            <v>12534</v>
          </cell>
          <cell r="B22">
            <v>831016.76899999997</v>
          </cell>
          <cell r="C22">
            <v>8.9779999999999998</v>
          </cell>
        </row>
        <row r="23">
          <cell r="A23">
            <v>14342</v>
          </cell>
          <cell r="B23">
            <v>183616.23499999999</v>
          </cell>
          <cell r="C23">
            <v>17.239999999999998</v>
          </cell>
        </row>
        <row r="24">
          <cell r="A24">
            <v>14394</v>
          </cell>
          <cell r="B24">
            <v>-653.81500000000005</v>
          </cell>
          <cell r="C24">
            <v>0.41699999999999998</v>
          </cell>
        </row>
        <row r="25">
          <cell r="A25">
            <v>14481</v>
          </cell>
          <cell r="B25">
            <v>50702.858</v>
          </cell>
          <cell r="C25">
            <v>8.7230000000000008</v>
          </cell>
        </row>
        <row r="26">
          <cell r="A26">
            <v>15247</v>
          </cell>
          <cell r="B26">
            <v>192644.071</v>
          </cell>
          <cell r="C26">
            <v>27.585000000000001</v>
          </cell>
        </row>
        <row r="27">
          <cell r="A27">
            <v>15248</v>
          </cell>
          <cell r="B27">
            <v>5401.2529999999997</v>
          </cell>
          <cell r="C27">
            <v>9.06</v>
          </cell>
        </row>
        <row r="28">
          <cell r="A28">
            <v>15249</v>
          </cell>
          <cell r="B28">
            <v>13984.75</v>
          </cell>
          <cell r="C28">
            <v>5.1379999999999999</v>
          </cell>
        </row>
        <row r="29">
          <cell r="A29">
            <v>15250</v>
          </cell>
          <cell r="B29">
            <v>-4157.6819999999998</v>
          </cell>
          <cell r="C29">
            <v>-5.3579999999999997</v>
          </cell>
        </row>
        <row r="30">
          <cell r="A30">
            <v>8705</v>
          </cell>
          <cell r="B30">
            <v>4540.4440000000004</v>
          </cell>
          <cell r="C30">
            <v>4.3710000000000004</v>
          </cell>
        </row>
        <row r="31">
          <cell r="A31">
            <v>9451</v>
          </cell>
          <cell r="B31">
            <v>63531.364000000001</v>
          </cell>
          <cell r="C31">
            <v>2.8439999999999999</v>
          </cell>
        </row>
        <row r="32">
          <cell r="A32">
            <v>12535</v>
          </cell>
          <cell r="B32">
            <v>3091238.9879999999</v>
          </cell>
          <cell r="C32">
            <v>14.7</v>
          </cell>
        </row>
        <row r="33">
          <cell r="A33">
            <v>12536</v>
          </cell>
          <cell r="B33">
            <v>1896649.7830000001</v>
          </cell>
          <cell r="C33">
            <v>25.861999999999998</v>
          </cell>
        </row>
        <row r="34">
          <cell r="A34">
            <v>12956</v>
          </cell>
          <cell r="B34">
            <v>124373.143</v>
          </cell>
          <cell r="C34">
            <v>9.218</v>
          </cell>
        </row>
        <row r="35">
          <cell r="A35">
            <v>14483</v>
          </cell>
          <cell r="B35">
            <v>24901.710999999999</v>
          </cell>
          <cell r="C35">
            <v>8.7370000000000001</v>
          </cell>
        </row>
        <row r="36">
          <cell r="A36">
            <v>15235</v>
          </cell>
          <cell r="B36">
            <v>75386.183999999994</v>
          </cell>
          <cell r="C36">
            <v>15.760999999999999</v>
          </cell>
        </row>
        <row r="37">
          <cell r="A37">
            <v>15236</v>
          </cell>
          <cell r="B37">
            <v>4889.165</v>
          </cell>
          <cell r="C37">
            <v>12.409000000000001</v>
          </cell>
        </row>
        <row r="38">
          <cell r="A38">
            <v>15237</v>
          </cell>
          <cell r="B38">
            <v>2178.0010000000002</v>
          </cell>
          <cell r="C38">
            <v>9.2390000000000008</v>
          </cell>
        </row>
        <row r="39">
          <cell r="A39">
            <v>15238</v>
          </cell>
          <cell r="B39">
            <v>198068.655</v>
          </cell>
          <cell r="C39">
            <v>27.045999999999999</v>
          </cell>
        </row>
        <row r="40">
          <cell r="A40">
            <v>15239</v>
          </cell>
          <cell r="B40">
            <v>-769.904</v>
          </cell>
          <cell r="C40">
            <v>-0.74</v>
          </cell>
        </row>
        <row r="41">
          <cell r="A41">
            <v>15240</v>
          </cell>
          <cell r="B41">
            <v>-672.19200000000001</v>
          </cell>
          <cell r="C41">
            <v>-3.5790000000000002</v>
          </cell>
        </row>
        <row r="42">
          <cell r="A42">
            <v>15241</v>
          </cell>
          <cell r="B42">
            <v>13514.214</v>
          </cell>
          <cell r="C42">
            <v>4.9790000000000001</v>
          </cell>
        </row>
        <row r="43">
          <cell r="A43">
            <v>15242</v>
          </cell>
          <cell r="B43">
            <v>-3475.4650000000001</v>
          </cell>
          <cell r="C43">
            <v>-4.9630000000000001</v>
          </cell>
        </row>
        <row r="44">
          <cell r="A44">
            <v>9113</v>
          </cell>
          <cell r="B44">
            <v>20364.518</v>
          </cell>
          <cell r="C44">
            <v>23.49</v>
          </cell>
        </row>
        <row r="45">
          <cell r="A45">
            <v>9303</v>
          </cell>
          <cell r="B45">
            <v>-530.03</v>
          </cell>
          <cell r="C45">
            <v>-2.3740000000000001</v>
          </cell>
        </row>
        <row r="46">
          <cell r="A46">
            <v>9414</v>
          </cell>
          <cell r="B46">
            <v>4807.6570000000002</v>
          </cell>
          <cell r="C46">
            <v>15.721</v>
          </cell>
        </row>
        <row r="47">
          <cell r="A47">
            <v>9420</v>
          </cell>
          <cell r="B47">
            <v>92437.926000000007</v>
          </cell>
          <cell r="C47">
            <v>27.829000000000001</v>
          </cell>
        </row>
        <row r="48">
          <cell r="A48">
            <v>9421</v>
          </cell>
          <cell r="B48">
            <v>51724.828000000001</v>
          </cell>
          <cell r="C48">
            <v>10.742000000000001</v>
          </cell>
        </row>
      </sheetData>
      <sheetData sheetId="63"/>
      <sheetData sheetId="64"/>
      <sheetData sheetId="65"/>
      <sheetData sheetId="66"/>
      <sheetData sheetId="67"/>
      <sheetData sheetId="6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69E4B0-559D-4B71-AE1D-3FA8192E3C3C}" name="TitleRegion1.b6.z34.2" displayName="TitleRegion1.b6.z34.2" ref="B6:Z34" totalsRowShown="0" headerRowDxfId="0">
  <autoFilter ref="B6:Z34" xr:uid="{EC69E4B0-559D-4B71-AE1D-3FA8192E3C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EA73405-BB11-45F4-BBDA-815DD55CB7AE}" name="מזומנים ושווי מזומנים"/>
    <tableColumn id="2" xr3:uid="{16DD05AB-9668-4681-BECE-CC93CB6DA1DA}" name="ריק במקור"/>
    <tableColumn id="3" xr3:uid="{46C55975-F455-4B54-B247-43C3AC47EC32}" name="0.75%"/>
    <tableColumn id="4" xr3:uid="{4BCF3FC2-A693-4412-96D3-692A11B268E8}" name="0.01%"/>
    <tableColumn id="5" xr3:uid="{1C37C51F-4E40-4F08-8872-A821EE09E1F2}" name="1.77%"/>
    <tableColumn id="6" xr3:uid="{58698082-E74A-4E2E-89A5-C128F9514F9D}" name="0.01%2"/>
    <tableColumn id="7" xr3:uid="{E43A83A5-FEC3-4873-8E2C-42C93B0C71FD}" name="2.39%"/>
    <tableColumn id="8" xr3:uid="{43265C16-B2DB-4EB3-9FE9-60DC41DC14B7}" name="0.03%"/>
    <tableColumn id="9" xr3:uid="{CE5FCE13-9FF4-452F-A835-70C02818ECA3}" name="1.65%"/>
    <tableColumn id="10" xr3:uid="{281E28A8-DF48-44DA-AB91-A670AE061C72}" name="ריק במקור3"/>
    <tableColumn id="11" xr3:uid="{40992FA6-0D4E-4470-84AB-03E66E2ADC8A}" name="0.96%"/>
    <tableColumn id="12" xr3:uid="{50BFC91B-0307-49E7-A15D-0DD2D53488C4}" name="0.01%4"/>
    <tableColumn id="13" xr3:uid="{77F58E79-2BA3-47A1-9DA8-7AF95A08972C}" name="1.34%"/>
    <tableColumn id="14" xr3:uid="{27C96930-4A4E-45D4-9BAE-B7F621D07CB9}" name="-0.01%"/>
    <tableColumn id="15" xr3:uid="{F15E49E3-DCE3-4455-A3C2-64D19FBA07E6}" name="2.23%"/>
    <tableColumn id="16" xr3:uid="{DF57D7E6-B663-4125-9D1E-771B8D9682E0}" name="0.01%5"/>
    <tableColumn id="17" xr3:uid="{59FD4174-5B09-44A4-AE07-C47AB5B48A0A}" name="8.67%"/>
    <tableColumn id="18" xr3:uid="{B88313C7-BAFA-458C-BA9F-D38FCC28FFAB}" name="0.01%6"/>
    <tableColumn id="19" xr3:uid="{2E5CEE75-F309-41CA-B3C8-559B4E7C7F0D}" name="2.63%"/>
    <tableColumn id="20" xr3:uid="{560FF8D6-58A4-4336-BB24-A6D5ADC18086}" name="0.01%7"/>
    <tableColumn id="21" xr3:uid="{4FFDD7A2-5649-40F5-87F8-936A15DA44BA}" name="1.26%"/>
    <tableColumn id="22" xr3:uid="{C7ED95B7-8834-435E-AE70-114BE10875E4}" name="0.01%8"/>
    <tableColumn id="23" xr3:uid="{B89FD524-4DAD-4E4B-9941-DF453A72114D}" name="2.82%"/>
    <tableColumn id="24" xr3:uid="{861925D0-CC36-4DCA-B5E5-9BCA2E64EB5B}" name="0.04%"/>
    <tableColumn id="25" xr3:uid="{3B4825D8-636F-4678-B5EC-C7FF61DF8046}" name="3.45%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B420E8-C7F7-46A0-9483-E24A4348D02E}" name="TitleRegion1.b36.z65.3" displayName="TitleRegion1.b36.z65.3" ref="B36:Z65" totalsRowShown="0">
  <autoFilter ref="B36:Z65" xr:uid="{94B420E8-C7F7-46A0-9483-E24A4348D0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886CFE6-D8A1-49BF-9BBF-BCD3EEF14A26}" name="נתונים מצטברים"/>
    <tableColumn id="2" xr3:uid="{B62A5D90-10EC-48AE-A503-4BEC8F61066A}" name="התרומה לתשואה ינואר-מרץ 2025"/>
    <tableColumn id="3" xr3:uid="{703DB57C-E3DC-446D-B69B-3ADCC5F32E0A}" name="שיעור מסך הנכסים ינואר-מרץ 2025"/>
    <tableColumn id="4" xr3:uid="{346ED1DB-168C-4660-8FCF-938745AF4D24}" name="התרומה לתשואה ינואר-יוני  2025"/>
    <tableColumn id="5" xr3:uid="{EBB1FDF3-3395-45CA-A74B-CC86139A1E9F}" name="שיעור מסך הנכסים ינואר-יוני 2025"/>
    <tableColumn id="6" xr3:uid="{5AF7A33E-190E-486C-800D-3BDE27929216}" name="התרומה לתשואה ינואר-ספטמבר 2025"/>
    <tableColumn id="7" xr3:uid="{E5B17B92-BD38-40CD-8D0D-34BCA69048E1}" name="שיעור מסך הנכסים ינואר-ספטמבר 2025"/>
    <tableColumn id="8" xr3:uid="{90ADAFB8-D551-48F6-9FE0-BACFF085569D}" name="התרומה לתשואה ינואר-דצמבר 2025"/>
    <tableColumn id="9" xr3:uid="{D2284416-B71B-48F1-9388-5245E7CD4B15}" name="שיעור מסך הנכסים ינואר-דצמבר 2025"/>
    <tableColumn id="10" xr3:uid="{A596ED5F-F9F7-467A-AD6D-1FB12A3373E7}" name="Column1"/>
    <tableColumn id="11" xr3:uid="{6731AFDB-E088-46D3-B337-7A6BEAA4872F}" name="Column2"/>
    <tableColumn id="12" xr3:uid="{F3E389C1-5874-4166-BCB7-078733F73E8F}" name="Column3"/>
    <tableColumn id="13" xr3:uid="{21843C5C-CF0C-4AF4-969D-DB69380885CD}" name="Column4"/>
    <tableColumn id="14" xr3:uid="{D5675058-A187-4F63-B2B8-6E20EE00E4CF}" name="Column5"/>
    <tableColumn id="15" xr3:uid="{528DDDD4-EC14-412E-BB91-DA4831D0F29C}" name="Column6"/>
    <tableColumn id="16" xr3:uid="{FD92B352-6AC4-4B15-8988-B1EC65B0968D}" name="Column7"/>
    <tableColumn id="17" xr3:uid="{497A429F-3D04-48A5-84F2-667F973E8FAE}" name="Column8"/>
    <tableColumn id="18" xr3:uid="{425E2B10-13D5-48BD-B22E-27CEF8461675}" name="Column9"/>
    <tableColumn id="19" xr3:uid="{DE14337B-62C1-49FF-886F-BBEB08100363}" name="Column10"/>
    <tableColumn id="20" xr3:uid="{B235BDC0-4DAC-43B3-B1E0-3FAC8624099B}" name="Column11"/>
    <tableColumn id="21" xr3:uid="{81F7D875-7BE9-4752-A8B0-D359EDF80CD7}" name="Column12"/>
    <tableColumn id="22" xr3:uid="{F36234A4-8F2A-467C-B7DF-87EE70FA04E9}" name="Column13"/>
    <tableColumn id="23" xr3:uid="{2EFA4911-2E00-4FE4-85DE-C6DBAEE99BA7}" name="Column14"/>
    <tableColumn id="24" xr3:uid="{F92DDCBF-4CF0-4B9B-8290-26FA1F59F17C}" name="Column15"/>
    <tableColumn id="25" xr3:uid="{ABB60912-F869-4B04-865C-27623E8F011B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  <col min="27" max="27" width="12" bestFit="1" customWidth="1"/>
    <col min="30" max="30" width="12.109375" bestFit="1" customWidth="1"/>
  </cols>
  <sheetData>
    <row r="1" spans="1:36" ht="13.2" x14ac:dyDescent="0.25">
      <c r="B1" s="28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36" ht="13.2" x14ac:dyDescent="0.25">
      <c r="B2" s="28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36" ht="13.2" x14ac:dyDescent="0.25">
      <c r="B3" s="28" t="s">
        <v>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36" ht="13.8" thickBot="1" x14ac:dyDescent="0.3">
      <c r="B4" s="28" t="s">
        <v>3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F4" t="str">
        <f>+LEFT($B$3,5)</f>
        <v xml:space="preserve">8699 </v>
      </c>
    </row>
    <row r="5" spans="1:36" ht="13.8" thickBot="1" x14ac:dyDescent="0.3">
      <c r="A5" s="23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7" t="s">
        <v>65</v>
      </c>
      <c r="AB5" s="22"/>
      <c r="AC5" s="14"/>
      <c r="AD5" s="22" t="s">
        <v>66</v>
      </c>
      <c r="AE5" s="22"/>
      <c r="AF5" t="s">
        <v>67</v>
      </c>
    </row>
    <row r="6" spans="1:36" ht="13.8" thickBot="1" x14ac:dyDescent="0.3">
      <c r="A6" s="23"/>
      <c r="B6" s="2" t="s">
        <v>29</v>
      </c>
      <c r="C6" s="29" t="s">
        <v>84</v>
      </c>
      <c r="D6" s="3" t="s">
        <v>85</v>
      </c>
      <c r="E6" s="4" t="s">
        <v>86</v>
      </c>
      <c r="F6" s="3" t="s">
        <v>87</v>
      </c>
      <c r="G6" s="4" t="s">
        <v>88</v>
      </c>
      <c r="H6" s="3" t="s">
        <v>89</v>
      </c>
      <c r="I6" s="4" t="s">
        <v>90</v>
      </c>
      <c r="J6" s="3" t="s">
        <v>91</v>
      </c>
      <c r="K6" s="29" t="s">
        <v>92</v>
      </c>
      <c r="L6" s="3" t="s">
        <v>93</v>
      </c>
      <c r="M6" s="4" t="s">
        <v>94</v>
      </c>
      <c r="N6" s="3" t="s">
        <v>95</v>
      </c>
      <c r="O6" s="4" t="s">
        <v>96</v>
      </c>
      <c r="P6" s="3" t="s">
        <v>97</v>
      </c>
      <c r="Q6" s="4" t="s">
        <v>98</v>
      </c>
      <c r="R6" s="3" t="s">
        <v>99</v>
      </c>
      <c r="S6" s="4" t="s">
        <v>100</v>
      </c>
      <c r="T6" s="3" t="s">
        <v>101</v>
      </c>
      <c r="U6" s="4" t="s">
        <v>102</v>
      </c>
      <c r="V6" s="3" t="s">
        <v>103</v>
      </c>
      <c r="W6" s="4" t="s">
        <v>104</v>
      </c>
      <c r="X6" s="3" t="s">
        <v>105</v>
      </c>
      <c r="Y6" s="4" t="s">
        <v>106</v>
      </c>
      <c r="Z6" s="3" t="s">
        <v>107</v>
      </c>
      <c r="AA6" s="15" t="e">
        <f>+ROUND((1+C6)*(1+E6)*(1+G6)*(1+I6)*(1+K6)*(1+M6)*(1+O6)*(1+Q6)*(1+S6)*(1+U6)*(1+W6)*(1+Y6)-1,4)</f>
        <v>#VALUE!</v>
      </c>
      <c r="AB6" s="16" t="e">
        <f>+AA6-I37</f>
        <v>#VALUE!</v>
      </c>
      <c r="AC6" s="17">
        <f>+ROUND(IFERROR(AA6/$AA$25*-$AB$25+AA6,0),4)</f>
        <v>0</v>
      </c>
      <c r="AD6" s="15" t="e">
        <f>PRODUCT(1+C6,1+E6,1+G6,1+I6,1+K6,1+M6,1+O6,1+Q6,1+S6,1+U6,1+W6,1+Y6)-1</f>
        <v>#VALUE!</v>
      </c>
      <c r="AE6" s="18" t="e">
        <f>+ROUND(AD6,2)-I37</f>
        <v>#VALUE!</v>
      </c>
      <c r="AF6" s="15">
        <f>SUM(D6:D24,F6:F24,H6:H24,J6:J24,L6:L24,N6:N24,P6:P24,R6:R24,T6:T24,V6:V24,X6:X24,Z6:Z24)/12</f>
        <v>0.9750540833333331</v>
      </c>
      <c r="AI6" t="s">
        <v>68</v>
      </c>
      <c r="AJ6" s="19">
        <f>IFERROR(STDEVPA(C6,E6,G6,I6,K6,M6,O6,Q6,S6,U6,W6,Y6),0)</f>
        <v>0</v>
      </c>
    </row>
    <row r="7" spans="1:36" ht="13.8" thickBot="1" x14ac:dyDescent="0.3">
      <c r="A7" s="23"/>
      <c r="B7" s="5" t="s">
        <v>30</v>
      </c>
      <c r="C7" s="4">
        <v>3.3E-3</v>
      </c>
      <c r="D7" s="3">
        <v>0.962677</v>
      </c>
      <c r="E7" s="4">
        <v>3.0999999999999999E-3</v>
      </c>
      <c r="F7" s="3">
        <v>0.95349700000000004</v>
      </c>
      <c r="G7" s="4">
        <v>3.2000000000000002E-3</v>
      </c>
      <c r="H7" s="3">
        <v>0.95125999999999999</v>
      </c>
      <c r="I7" s="4">
        <v>3.2000000000000002E-3</v>
      </c>
      <c r="J7" s="3">
        <v>0.96394899999999994</v>
      </c>
      <c r="K7" s="4">
        <v>3.0000000000000001E-3</v>
      </c>
      <c r="L7" s="3">
        <v>0.96884300000000001</v>
      </c>
      <c r="M7" s="4">
        <v>4.1999999999999997E-3</v>
      </c>
      <c r="N7" s="3">
        <v>0.96439699999999995</v>
      </c>
      <c r="O7" s="4">
        <v>3.0999999999999999E-3</v>
      </c>
      <c r="P7" s="3">
        <v>0.96685600000000005</v>
      </c>
      <c r="Q7" s="4">
        <v>3.8999999999999998E-3</v>
      </c>
      <c r="R7" s="3">
        <v>0.90289699999999995</v>
      </c>
      <c r="S7" s="4">
        <v>3.8E-3</v>
      </c>
      <c r="T7" s="3">
        <v>0.97190200000000004</v>
      </c>
      <c r="U7" s="4">
        <v>3.5000000000000001E-3</v>
      </c>
      <c r="V7" s="3">
        <v>0.987537</v>
      </c>
      <c r="W7" s="4">
        <v>3.5000000000000001E-3</v>
      </c>
      <c r="X7" s="3">
        <v>0.97237799999999996</v>
      </c>
      <c r="Y7" s="4">
        <v>3.3E-3</v>
      </c>
      <c r="Z7" s="3">
        <v>0.98493399999999998</v>
      </c>
      <c r="AA7" s="15">
        <f t="shared" ref="AA7:AA24" si="0">+ROUND((1+C7)*(1+E7)*(1+G7)*(1+I7)*(1+K7)*(1+M7)*(1+O7)*(1+Q7)*(1+S7)*(1+U7)*(1+W7)*(1+Y7)-1,4)</f>
        <v>4.19E-2</v>
      </c>
      <c r="AB7" s="16">
        <f t="shared" ref="AB7:AB25" si="1">+AA7-I38</f>
        <v>0</v>
      </c>
      <c r="AC7" s="17">
        <f t="shared" ref="AC7:AC24" si="2">+ROUND(IFERROR(AA7/$AA$25*-$AB$25+AA7,0),4)</f>
        <v>0</v>
      </c>
      <c r="AD7" s="15">
        <f t="shared" ref="AD7:AD24" si="3">PRODUCT(1+C7,1+E7,1+G7,1+I7,1+K7,1+M7,1+O7,1+Q7,1+S7,1+U7,1+W7,1+Y7)-1</f>
        <v>4.1882351542196439E-2</v>
      </c>
      <c r="AE7" s="18">
        <f t="shared" ref="AE7:AE24" si="4">+ROUND(AD7,2)-I38</f>
        <v>-1.8999999999999989E-3</v>
      </c>
      <c r="AF7" s="20">
        <f>+C25</f>
        <v>3.5999999999999999E-3</v>
      </c>
      <c r="AG7" s="15">
        <f>VLOOKUP(VALUE($AF$4),'[1]תשואות 2025'!$C:$Q,3,0)</f>
        <v>3.5735082098484749E-3</v>
      </c>
      <c r="AH7" s="16">
        <f>+AG7-AF7</f>
        <v>-2.6491790151524953E-5</v>
      </c>
      <c r="AI7" t="s">
        <v>69</v>
      </c>
      <c r="AJ7" s="19">
        <f t="shared" ref="AJ7:AJ24" si="5">IFERROR(STDEVPA(C7,E7,G7,I7,K7,M7,O7,Q7,S7,U7,W7,Y7),0)</f>
        <v>3.5384789575936904E-4</v>
      </c>
    </row>
    <row r="8" spans="1:36" ht="13.8" thickBot="1" x14ac:dyDescent="0.3">
      <c r="A8" s="23"/>
      <c r="B8" s="5" t="s">
        <v>31</v>
      </c>
      <c r="C8" s="29" t="s">
        <v>84</v>
      </c>
      <c r="D8" s="6" t="s">
        <v>32</v>
      </c>
      <c r="E8" s="29" t="s">
        <v>84</v>
      </c>
      <c r="F8" s="6" t="s">
        <v>32</v>
      </c>
      <c r="G8" s="29" t="s">
        <v>84</v>
      </c>
      <c r="H8" s="6" t="s">
        <v>32</v>
      </c>
      <c r="I8" s="29" t="s">
        <v>84</v>
      </c>
      <c r="J8" s="6" t="s">
        <v>32</v>
      </c>
      <c r="K8" s="29" t="s">
        <v>84</v>
      </c>
      <c r="L8" s="6" t="s">
        <v>32</v>
      </c>
      <c r="M8" s="29" t="s">
        <v>84</v>
      </c>
      <c r="N8" s="6" t="s">
        <v>32</v>
      </c>
      <c r="O8" s="29" t="s">
        <v>84</v>
      </c>
      <c r="P8" s="6" t="s">
        <v>32</v>
      </c>
      <c r="Q8" s="29" t="s">
        <v>84</v>
      </c>
      <c r="R8" s="6" t="s">
        <v>32</v>
      </c>
      <c r="S8" s="29" t="s">
        <v>84</v>
      </c>
      <c r="T8" s="6" t="s">
        <v>32</v>
      </c>
      <c r="U8" s="29" t="s">
        <v>84</v>
      </c>
      <c r="V8" s="3">
        <v>0</v>
      </c>
      <c r="W8" s="29" t="s">
        <v>84</v>
      </c>
      <c r="X8" s="3">
        <v>0</v>
      </c>
      <c r="Y8" s="29" t="s">
        <v>84</v>
      </c>
      <c r="Z8" s="3">
        <v>0</v>
      </c>
      <c r="AA8" s="15" t="e">
        <f t="shared" si="0"/>
        <v>#VALUE!</v>
      </c>
      <c r="AB8" s="16" t="e">
        <f t="shared" si="1"/>
        <v>#VALUE!</v>
      </c>
      <c r="AC8" s="17">
        <f t="shared" si="2"/>
        <v>0</v>
      </c>
      <c r="AD8" s="15" t="e">
        <f t="shared" si="3"/>
        <v>#VALUE!</v>
      </c>
      <c r="AE8" s="18" t="e">
        <f t="shared" si="4"/>
        <v>#VALUE!</v>
      </c>
      <c r="AF8" s="20">
        <f>+E25</f>
        <v>3.3999999999999998E-3</v>
      </c>
      <c r="AG8" s="15">
        <f>VLOOKUP(VALUE($AF$4),'[1]תשואות 2025'!$C:$Q,4,0)</f>
        <v>3.3620806818146498E-3</v>
      </c>
      <c r="AH8" s="16">
        <f t="shared" ref="AH8:AH18" si="6">+AG8-AF8</f>
        <v>-3.7919318185350003E-5</v>
      </c>
      <c r="AI8" t="s">
        <v>70</v>
      </c>
      <c r="AJ8" s="19">
        <f t="shared" si="5"/>
        <v>0</v>
      </c>
    </row>
    <row r="9" spans="1:36" ht="13.8" thickBot="1" x14ac:dyDescent="0.3">
      <c r="A9" s="23"/>
      <c r="B9" s="5" t="s">
        <v>33</v>
      </c>
      <c r="C9" s="29" t="s">
        <v>84</v>
      </c>
      <c r="D9" s="6" t="s">
        <v>32</v>
      </c>
      <c r="E9" s="29" t="s">
        <v>84</v>
      </c>
      <c r="F9" s="6" t="s">
        <v>32</v>
      </c>
      <c r="G9" s="29" t="s">
        <v>84</v>
      </c>
      <c r="H9" s="6" t="s">
        <v>32</v>
      </c>
      <c r="I9" s="29" t="s">
        <v>84</v>
      </c>
      <c r="J9" s="6" t="s">
        <v>32</v>
      </c>
      <c r="K9" s="29" t="s">
        <v>84</v>
      </c>
      <c r="L9" s="6" t="s">
        <v>32</v>
      </c>
      <c r="M9" s="29" t="s">
        <v>84</v>
      </c>
      <c r="N9" s="6" t="s">
        <v>32</v>
      </c>
      <c r="O9" s="29" t="s">
        <v>84</v>
      </c>
      <c r="P9" s="6" t="s">
        <v>32</v>
      </c>
      <c r="Q9" s="29" t="s">
        <v>84</v>
      </c>
      <c r="R9" s="6" t="s">
        <v>32</v>
      </c>
      <c r="S9" s="29" t="s">
        <v>84</v>
      </c>
      <c r="T9" s="6" t="s">
        <v>32</v>
      </c>
      <c r="U9" s="29" t="s">
        <v>84</v>
      </c>
      <c r="V9" s="3">
        <v>0</v>
      </c>
      <c r="W9" s="29" t="s">
        <v>84</v>
      </c>
      <c r="X9" s="3">
        <v>0</v>
      </c>
      <c r="Y9" s="29" t="s">
        <v>84</v>
      </c>
      <c r="Z9" s="3">
        <v>0</v>
      </c>
      <c r="AA9" s="15" t="e">
        <f t="shared" si="0"/>
        <v>#VALUE!</v>
      </c>
      <c r="AB9" s="16" t="e">
        <f t="shared" si="1"/>
        <v>#VALUE!</v>
      </c>
      <c r="AC9" s="17">
        <f t="shared" si="2"/>
        <v>0</v>
      </c>
      <c r="AD9" s="15" t="e">
        <f t="shared" si="3"/>
        <v>#VALUE!</v>
      </c>
      <c r="AE9" s="18" t="e">
        <f t="shared" si="4"/>
        <v>#VALUE!</v>
      </c>
      <c r="AF9" s="20">
        <f>+G25</f>
        <v>3.5000000000000001E-3</v>
      </c>
      <c r="AG9" s="15">
        <f>VLOOKUP(VALUE($AF$4),'[1]תשואות 2025'!$C:$Q,5,0)</f>
        <v>3.5331754391996206E-3</v>
      </c>
      <c r="AH9" s="16">
        <f t="shared" si="6"/>
        <v>3.3175439199620554E-5</v>
      </c>
      <c r="AI9" t="s">
        <v>71</v>
      </c>
      <c r="AJ9" s="19">
        <f t="shared" si="5"/>
        <v>0</v>
      </c>
    </row>
    <row r="10" spans="1:36" ht="13.8" thickBot="1" x14ac:dyDescent="0.3">
      <c r="A10" s="23"/>
      <c r="B10" s="5" t="s">
        <v>34</v>
      </c>
      <c r="C10" s="4">
        <v>2.9999999999999997E-4</v>
      </c>
      <c r="D10" s="3">
        <v>5.9781000000000001E-2</v>
      </c>
      <c r="E10" s="4">
        <v>2.0000000000000001E-4</v>
      </c>
      <c r="F10" s="3">
        <v>5.8952999999999998E-2</v>
      </c>
      <c r="G10" s="4">
        <v>2.0000000000000001E-4</v>
      </c>
      <c r="H10" s="3">
        <v>5.2402999999999998E-2</v>
      </c>
      <c r="I10" s="4">
        <v>2.0000000000000001E-4</v>
      </c>
      <c r="J10" s="3">
        <v>4.3860999999999997E-2</v>
      </c>
      <c r="K10" s="4">
        <v>2.0000000000000001E-4</v>
      </c>
      <c r="L10" s="3">
        <v>5.0317000000000001E-2</v>
      </c>
      <c r="M10" s="4">
        <v>2.9999999999999997E-4</v>
      </c>
      <c r="N10" s="3">
        <v>5.3226999999999997E-2</v>
      </c>
      <c r="O10" s="4">
        <v>2.0000000000000001E-4</v>
      </c>
      <c r="P10" s="3">
        <v>4.5969999999999997E-2</v>
      </c>
      <c r="Q10" s="4">
        <v>2.0000000000000001E-4</v>
      </c>
      <c r="R10" s="3">
        <v>4.5512999999999998E-2</v>
      </c>
      <c r="S10" s="4">
        <v>2.0000000000000001E-4</v>
      </c>
      <c r="T10" s="3">
        <v>3.8155000000000001E-2</v>
      </c>
      <c r="U10" s="4">
        <v>1E-4</v>
      </c>
      <c r="V10" s="3">
        <v>4.2791000000000003E-2</v>
      </c>
      <c r="W10" s="4">
        <v>1E-4</v>
      </c>
      <c r="X10" s="3">
        <v>3.8995000000000002E-2</v>
      </c>
      <c r="Y10" s="4">
        <v>1E-4</v>
      </c>
      <c r="Z10" s="3">
        <v>1.8727000000000001E-2</v>
      </c>
      <c r="AA10" s="15">
        <f t="shared" si="0"/>
        <v>2.3E-3</v>
      </c>
      <c r="AB10" s="16">
        <f t="shared" si="1"/>
        <v>0</v>
      </c>
      <c r="AC10" s="17">
        <f t="shared" si="2"/>
        <v>0</v>
      </c>
      <c r="AD10" s="15">
        <f t="shared" si="3"/>
        <v>2.3024015026280598E-3</v>
      </c>
      <c r="AE10" s="18">
        <f t="shared" si="4"/>
        <v>-2.3E-3</v>
      </c>
      <c r="AF10" s="20">
        <f>+I25</f>
        <v>3.7000000000000002E-3</v>
      </c>
      <c r="AG10" s="15">
        <f>VLOOKUP(VALUE($AF$4),'[1]תשואות 2025'!$C:$Q,6,0)</f>
        <v>3.6721397368040254E-3</v>
      </c>
      <c r="AH10" s="16">
        <f t="shared" si="6"/>
        <v>-2.7860263195974774E-5</v>
      </c>
      <c r="AI10" t="s">
        <v>72</v>
      </c>
      <c r="AJ10" s="19">
        <f t="shared" si="5"/>
        <v>6.4009547898905068E-5</v>
      </c>
    </row>
    <row r="11" spans="1:36" ht="13.8" thickBot="1" x14ac:dyDescent="0.3">
      <c r="A11" s="23"/>
      <c r="B11" s="5" t="s">
        <v>35</v>
      </c>
      <c r="C11" s="29" t="s">
        <v>84</v>
      </c>
      <c r="D11" s="6" t="s">
        <v>32</v>
      </c>
      <c r="E11" s="29" t="s">
        <v>84</v>
      </c>
      <c r="F11" s="6" t="s">
        <v>32</v>
      </c>
      <c r="G11" s="29" t="s">
        <v>84</v>
      </c>
      <c r="H11" s="6" t="s">
        <v>32</v>
      </c>
      <c r="I11" s="29" t="s">
        <v>84</v>
      </c>
      <c r="J11" s="6" t="s">
        <v>32</v>
      </c>
      <c r="K11" s="29" t="s">
        <v>84</v>
      </c>
      <c r="L11" s="6" t="s">
        <v>32</v>
      </c>
      <c r="M11" s="29" t="s">
        <v>84</v>
      </c>
      <c r="N11" s="6" t="s">
        <v>32</v>
      </c>
      <c r="O11" s="29" t="s">
        <v>84</v>
      </c>
      <c r="P11" s="6" t="s">
        <v>32</v>
      </c>
      <c r="Q11" s="29" t="s">
        <v>84</v>
      </c>
      <c r="R11" s="6" t="s">
        <v>32</v>
      </c>
      <c r="S11" s="29" t="s">
        <v>84</v>
      </c>
      <c r="T11" s="6" t="s">
        <v>32</v>
      </c>
      <c r="U11" s="29" t="s">
        <v>84</v>
      </c>
      <c r="V11" s="3">
        <v>0</v>
      </c>
      <c r="W11" s="29" t="s">
        <v>84</v>
      </c>
      <c r="X11" s="3">
        <v>0</v>
      </c>
      <c r="Y11" s="29" t="s">
        <v>84</v>
      </c>
      <c r="Z11" s="3">
        <v>0</v>
      </c>
      <c r="AA11" s="15" t="e">
        <f t="shared" si="0"/>
        <v>#VALUE!</v>
      </c>
      <c r="AB11" s="16" t="e">
        <f t="shared" si="1"/>
        <v>#VALUE!</v>
      </c>
      <c r="AC11" s="17">
        <f t="shared" si="2"/>
        <v>0</v>
      </c>
      <c r="AD11" s="15" t="e">
        <f t="shared" si="3"/>
        <v>#VALUE!</v>
      </c>
      <c r="AE11" s="18" t="e">
        <f t="shared" si="4"/>
        <v>#VALUE!</v>
      </c>
      <c r="AF11" s="20">
        <f>+K25</f>
        <v>3.2000000000000002E-3</v>
      </c>
      <c r="AG11" s="15">
        <f>VLOOKUP(VALUE($AF$4),'[1]תשואות 2025'!$C:$Q,7,0)</f>
        <v>3.2055503001933161E-3</v>
      </c>
      <c r="AH11" s="16">
        <f t="shared" si="6"/>
        <v>5.5503001933159511E-6</v>
      </c>
      <c r="AI11" t="s">
        <v>73</v>
      </c>
      <c r="AJ11" s="19">
        <f t="shared" si="5"/>
        <v>0</v>
      </c>
    </row>
    <row r="12" spans="1:36" ht="13.8" thickBot="1" x14ac:dyDescent="0.3">
      <c r="A12" s="23"/>
      <c r="B12" s="5" t="s">
        <v>36</v>
      </c>
      <c r="C12" s="29" t="s">
        <v>84</v>
      </c>
      <c r="D12" s="6" t="s">
        <v>32</v>
      </c>
      <c r="E12" s="29" t="s">
        <v>84</v>
      </c>
      <c r="F12" s="6" t="s">
        <v>32</v>
      </c>
      <c r="G12" s="29" t="s">
        <v>84</v>
      </c>
      <c r="H12" s="6" t="s">
        <v>32</v>
      </c>
      <c r="I12" s="29" t="s">
        <v>84</v>
      </c>
      <c r="J12" s="6" t="s">
        <v>32</v>
      </c>
      <c r="K12" s="29" t="s">
        <v>84</v>
      </c>
      <c r="L12" s="6" t="s">
        <v>32</v>
      </c>
      <c r="M12" s="29" t="s">
        <v>84</v>
      </c>
      <c r="N12" s="6" t="s">
        <v>32</v>
      </c>
      <c r="O12" s="29" t="s">
        <v>84</v>
      </c>
      <c r="P12" s="6" t="s">
        <v>32</v>
      </c>
      <c r="Q12" s="29" t="s">
        <v>84</v>
      </c>
      <c r="R12" s="6" t="s">
        <v>32</v>
      </c>
      <c r="S12" s="29" t="s">
        <v>84</v>
      </c>
      <c r="T12" s="6" t="s">
        <v>32</v>
      </c>
      <c r="U12" s="29" t="s">
        <v>84</v>
      </c>
      <c r="V12" s="3">
        <v>0</v>
      </c>
      <c r="W12" s="29" t="s">
        <v>84</v>
      </c>
      <c r="X12" s="3">
        <v>0</v>
      </c>
      <c r="Y12" s="29" t="s">
        <v>84</v>
      </c>
      <c r="Z12" s="3">
        <v>0</v>
      </c>
      <c r="AA12" s="15" t="e">
        <f t="shared" si="0"/>
        <v>#VALUE!</v>
      </c>
      <c r="AB12" s="16" t="e">
        <f t="shared" si="1"/>
        <v>#VALUE!</v>
      </c>
      <c r="AC12" s="17">
        <f t="shared" si="2"/>
        <v>0</v>
      </c>
      <c r="AD12" s="15" t="e">
        <f t="shared" si="3"/>
        <v>#VALUE!</v>
      </c>
      <c r="AE12" s="18" t="e">
        <f t="shared" si="4"/>
        <v>#VALUE!</v>
      </c>
      <c r="AF12" s="20">
        <f>+M25</f>
        <v>4.5999999999999999E-3</v>
      </c>
      <c r="AG12" s="15">
        <f>VLOOKUP(VALUE($AF$4),'[1]תשואות 2025'!$C:$Q,8,0)</f>
        <v>4.5681321413526543E-3</v>
      </c>
      <c r="AH12" s="16">
        <f t="shared" si="6"/>
        <v>-3.1867858647345593E-5</v>
      </c>
      <c r="AI12" t="s">
        <v>74</v>
      </c>
      <c r="AJ12" s="19">
        <f t="shared" si="5"/>
        <v>0</v>
      </c>
    </row>
    <row r="13" spans="1:36" ht="13.8" thickBot="1" x14ac:dyDescent="0.3">
      <c r="A13" s="23"/>
      <c r="B13" s="5" t="s">
        <v>37</v>
      </c>
      <c r="C13" s="29" t="s">
        <v>84</v>
      </c>
      <c r="D13" s="6" t="s">
        <v>32</v>
      </c>
      <c r="E13" s="29" t="s">
        <v>84</v>
      </c>
      <c r="F13" s="6" t="s">
        <v>32</v>
      </c>
      <c r="G13" s="29" t="s">
        <v>84</v>
      </c>
      <c r="H13" s="6" t="s">
        <v>32</v>
      </c>
      <c r="I13" s="29" t="s">
        <v>84</v>
      </c>
      <c r="J13" s="6" t="s">
        <v>32</v>
      </c>
      <c r="K13" s="29" t="s">
        <v>84</v>
      </c>
      <c r="L13" s="6" t="s">
        <v>32</v>
      </c>
      <c r="M13" s="29" t="s">
        <v>84</v>
      </c>
      <c r="N13" s="6" t="s">
        <v>32</v>
      </c>
      <c r="O13" s="29" t="s">
        <v>84</v>
      </c>
      <c r="P13" s="6" t="s">
        <v>32</v>
      </c>
      <c r="Q13" s="29" t="s">
        <v>84</v>
      </c>
      <c r="R13" s="6" t="s">
        <v>32</v>
      </c>
      <c r="S13" s="29" t="s">
        <v>84</v>
      </c>
      <c r="T13" s="6" t="s">
        <v>32</v>
      </c>
      <c r="U13" s="29" t="s">
        <v>84</v>
      </c>
      <c r="V13" s="3">
        <v>0</v>
      </c>
      <c r="W13" s="29" t="s">
        <v>84</v>
      </c>
      <c r="X13" s="3">
        <v>0</v>
      </c>
      <c r="Y13" s="29" t="s">
        <v>84</v>
      </c>
      <c r="Z13" s="3">
        <v>0</v>
      </c>
      <c r="AA13" s="15" t="e">
        <f t="shared" si="0"/>
        <v>#VALUE!</v>
      </c>
      <c r="AB13" s="16" t="e">
        <f t="shared" si="1"/>
        <v>#VALUE!</v>
      </c>
      <c r="AC13" s="17">
        <f t="shared" si="2"/>
        <v>0</v>
      </c>
      <c r="AD13" s="15" t="e">
        <f t="shared" si="3"/>
        <v>#VALUE!</v>
      </c>
      <c r="AE13" s="18" t="e">
        <f t="shared" si="4"/>
        <v>#VALUE!</v>
      </c>
      <c r="AF13" s="20">
        <f>+O25</f>
        <v>3.2000000000000002E-3</v>
      </c>
      <c r="AG13" s="15">
        <f>VLOOKUP(VALUE($AF$4),'[1]תשואות 2025'!$C:$Q,9,0)</f>
        <v>3.2419334098223729E-3</v>
      </c>
      <c r="AH13" s="16">
        <f t="shared" si="6"/>
        <v>4.1933409822372727E-5</v>
      </c>
      <c r="AI13" t="s">
        <v>75</v>
      </c>
      <c r="AJ13" s="19">
        <f t="shared" si="5"/>
        <v>0</v>
      </c>
    </row>
    <row r="14" spans="1:36" ht="13.8" thickBot="1" x14ac:dyDescent="0.3">
      <c r="A14" s="23"/>
      <c r="B14" s="5" t="s">
        <v>38</v>
      </c>
      <c r="C14" s="29" t="s">
        <v>84</v>
      </c>
      <c r="D14" s="6" t="s">
        <v>32</v>
      </c>
      <c r="E14" s="29" t="s">
        <v>84</v>
      </c>
      <c r="F14" s="6" t="s">
        <v>32</v>
      </c>
      <c r="G14" s="29" t="s">
        <v>84</v>
      </c>
      <c r="H14" s="6" t="s">
        <v>32</v>
      </c>
      <c r="I14" s="29" t="s">
        <v>84</v>
      </c>
      <c r="J14" s="6" t="s">
        <v>32</v>
      </c>
      <c r="K14" s="29" t="s">
        <v>84</v>
      </c>
      <c r="L14" s="6" t="s">
        <v>32</v>
      </c>
      <c r="M14" s="29" t="s">
        <v>84</v>
      </c>
      <c r="N14" s="6" t="s">
        <v>32</v>
      </c>
      <c r="O14" s="29" t="s">
        <v>84</v>
      </c>
      <c r="P14" s="6" t="s">
        <v>32</v>
      </c>
      <c r="Q14" s="29" t="s">
        <v>84</v>
      </c>
      <c r="R14" s="6" t="s">
        <v>32</v>
      </c>
      <c r="S14" s="29" t="s">
        <v>84</v>
      </c>
      <c r="T14" s="6" t="s">
        <v>32</v>
      </c>
      <c r="U14" s="29" t="s">
        <v>84</v>
      </c>
      <c r="V14" s="3">
        <v>0</v>
      </c>
      <c r="W14" s="29" t="s">
        <v>84</v>
      </c>
      <c r="X14" s="3">
        <v>0</v>
      </c>
      <c r="Y14" s="29" t="s">
        <v>84</v>
      </c>
      <c r="Z14" s="3">
        <v>0</v>
      </c>
      <c r="AA14" s="15" t="e">
        <f t="shared" si="0"/>
        <v>#VALUE!</v>
      </c>
      <c r="AB14" s="16" t="e">
        <f t="shared" si="1"/>
        <v>#VALUE!</v>
      </c>
      <c r="AC14" s="17">
        <f t="shared" si="2"/>
        <v>0</v>
      </c>
      <c r="AD14" s="15" t="e">
        <f t="shared" si="3"/>
        <v>#VALUE!</v>
      </c>
      <c r="AE14" s="18" t="e">
        <f t="shared" si="4"/>
        <v>#VALUE!</v>
      </c>
      <c r="AF14" s="20">
        <f>+Q25</f>
        <v>4.1999999999999997E-3</v>
      </c>
      <c r="AG14" s="15">
        <f>VLOOKUP(VALUE($AF$4),'[1]תשואות 2025'!$C:$Q,10,0)</f>
        <v>4.1660775383640658E-3</v>
      </c>
      <c r="AH14" s="16">
        <f t="shared" si="6"/>
        <v>-3.3922461635933938E-5</v>
      </c>
      <c r="AI14" t="s">
        <v>76</v>
      </c>
      <c r="AJ14" s="19">
        <f t="shared" si="5"/>
        <v>0</v>
      </c>
    </row>
    <row r="15" spans="1:36" ht="13.8" thickBot="1" x14ac:dyDescent="0.3">
      <c r="A15" s="23"/>
      <c r="B15" s="5" t="s">
        <v>39</v>
      </c>
      <c r="C15" s="29" t="s">
        <v>84</v>
      </c>
      <c r="D15" s="6" t="s">
        <v>32</v>
      </c>
      <c r="E15" s="29" t="s">
        <v>84</v>
      </c>
      <c r="F15" s="6" t="s">
        <v>32</v>
      </c>
      <c r="G15" s="29" t="s">
        <v>84</v>
      </c>
      <c r="H15" s="6" t="s">
        <v>32</v>
      </c>
      <c r="I15" s="29" t="s">
        <v>84</v>
      </c>
      <c r="J15" s="6" t="s">
        <v>32</v>
      </c>
      <c r="K15" s="29" t="s">
        <v>84</v>
      </c>
      <c r="L15" s="6" t="s">
        <v>32</v>
      </c>
      <c r="M15" s="29" t="s">
        <v>84</v>
      </c>
      <c r="N15" s="6" t="s">
        <v>32</v>
      </c>
      <c r="O15" s="29" t="s">
        <v>84</v>
      </c>
      <c r="P15" s="6" t="s">
        <v>32</v>
      </c>
      <c r="Q15" s="29" t="s">
        <v>84</v>
      </c>
      <c r="R15" s="6" t="s">
        <v>32</v>
      </c>
      <c r="S15" s="29" t="s">
        <v>84</v>
      </c>
      <c r="T15" s="6" t="s">
        <v>32</v>
      </c>
      <c r="U15" s="29" t="s">
        <v>84</v>
      </c>
      <c r="V15" s="3">
        <v>0</v>
      </c>
      <c r="W15" s="29" t="s">
        <v>84</v>
      </c>
      <c r="X15" s="3">
        <v>0</v>
      </c>
      <c r="Y15" s="29" t="s">
        <v>84</v>
      </c>
      <c r="Z15" s="3">
        <v>0</v>
      </c>
      <c r="AA15" s="15" t="e">
        <f t="shared" si="0"/>
        <v>#VALUE!</v>
      </c>
      <c r="AB15" s="16" t="e">
        <f t="shared" si="1"/>
        <v>#VALUE!</v>
      </c>
      <c r="AC15" s="17">
        <f t="shared" si="2"/>
        <v>0</v>
      </c>
      <c r="AD15" s="15" t="e">
        <f t="shared" si="3"/>
        <v>#VALUE!</v>
      </c>
      <c r="AE15" s="18" t="e">
        <f t="shared" si="4"/>
        <v>#VALUE!</v>
      </c>
      <c r="AF15" s="20">
        <f>+S25</f>
        <v>4.1000000000000003E-3</v>
      </c>
      <c r="AG15" s="15">
        <f>VLOOKUP(VALUE($AF$4),'[1]תשואות 2025'!$C:$Q,11,0)</f>
        <v>4.0891315340347845E-3</v>
      </c>
      <c r="AH15" s="16">
        <f t="shared" si="6"/>
        <v>-1.086846596521588E-5</v>
      </c>
      <c r="AI15" t="s">
        <v>77</v>
      </c>
      <c r="AJ15" s="19">
        <f t="shared" si="5"/>
        <v>0</v>
      </c>
    </row>
    <row r="16" spans="1:36" ht="13.8" thickBot="1" x14ac:dyDescent="0.3">
      <c r="A16" s="23"/>
      <c r="B16" s="5" t="s">
        <v>40</v>
      </c>
      <c r="C16" s="29" t="s">
        <v>84</v>
      </c>
      <c r="D16" s="6" t="s">
        <v>32</v>
      </c>
      <c r="E16" s="29" t="s">
        <v>84</v>
      </c>
      <c r="F16" s="6" t="s">
        <v>32</v>
      </c>
      <c r="G16" s="29" t="s">
        <v>84</v>
      </c>
      <c r="H16" s="6" t="s">
        <v>32</v>
      </c>
      <c r="I16" s="29" t="s">
        <v>84</v>
      </c>
      <c r="J16" s="6" t="s">
        <v>32</v>
      </c>
      <c r="K16" s="29" t="s">
        <v>84</v>
      </c>
      <c r="L16" s="6" t="s">
        <v>32</v>
      </c>
      <c r="M16" s="29" t="s">
        <v>84</v>
      </c>
      <c r="N16" s="6" t="s">
        <v>32</v>
      </c>
      <c r="O16" s="29" t="s">
        <v>84</v>
      </c>
      <c r="P16" s="6" t="s">
        <v>32</v>
      </c>
      <c r="Q16" s="29" t="s">
        <v>84</v>
      </c>
      <c r="R16" s="6" t="s">
        <v>32</v>
      </c>
      <c r="S16" s="29" t="s">
        <v>84</v>
      </c>
      <c r="T16" s="6" t="s">
        <v>32</v>
      </c>
      <c r="U16" s="29" t="s">
        <v>84</v>
      </c>
      <c r="V16" s="3">
        <v>0</v>
      </c>
      <c r="W16" s="29" t="s">
        <v>84</v>
      </c>
      <c r="X16" s="3">
        <v>0</v>
      </c>
      <c r="Y16" s="29" t="s">
        <v>84</v>
      </c>
      <c r="Z16" s="3">
        <v>0</v>
      </c>
      <c r="AA16" s="15" t="e">
        <f t="shared" si="0"/>
        <v>#VALUE!</v>
      </c>
      <c r="AB16" s="16" t="e">
        <f t="shared" si="1"/>
        <v>#VALUE!</v>
      </c>
      <c r="AC16" s="17">
        <f t="shared" si="2"/>
        <v>0</v>
      </c>
      <c r="AD16" s="15" t="e">
        <f t="shared" si="3"/>
        <v>#VALUE!</v>
      </c>
      <c r="AE16" s="18" t="e">
        <f t="shared" si="4"/>
        <v>#VALUE!</v>
      </c>
      <c r="AF16" s="20">
        <f>+U25</f>
        <v>3.7000000000000002E-3</v>
      </c>
      <c r="AG16" s="15">
        <f>VLOOKUP(VALUE($AF$4),'[1]תשואות 2025'!$C:$Q,12,0)</f>
        <v>3.7458191563826126E-3</v>
      </c>
      <c r="AH16" s="16">
        <f t="shared" si="6"/>
        <v>4.5819156382612483E-5</v>
      </c>
      <c r="AI16" t="s">
        <v>78</v>
      </c>
      <c r="AJ16" s="19">
        <f t="shared" si="5"/>
        <v>0</v>
      </c>
    </row>
    <row r="17" spans="1:36" ht="13.8" thickBot="1" x14ac:dyDescent="0.3">
      <c r="A17" s="23"/>
      <c r="B17" s="5" t="s">
        <v>41</v>
      </c>
      <c r="C17" s="29" t="s">
        <v>84</v>
      </c>
      <c r="D17" s="6" t="s">
        <v>32</v>
      </c>
      <c r="E17" s="29" t="s">
        <v>84</v>
      </c>
      <c r="F17" s="6" t="s">
        <v>32</v>
      </c>
      <c r="G17" s="29" t="s">
        <v>84</v>
      </c>
      <c r="H17" s="6" t="s">
        <v>32</v>
      </c>
      <c r="I17" s="29" t="s">
        <v>84</v>
      </c>
      <c r="J17" s="6" t="s">
        <v>32</v>
      </c>
      <c r="K17" s="29" t="s">
        <v>84</v>
      </c>
      <c r="L17" s="6" t="s">
        <v>32</v>
      </c>
      <c r="M17" s="29" t="s">
        <v>84</v>
      </c>
      <c r="N17" s="6" t="s">
        <v>32</v>
      </c>
      <c r="O17" s="29" t="s">
        <v>84</v>
      </c>
      <c r="P17" s="6" t="s">
        <v>32</v>
      </c>
      <c r="Q17" s="29" t="s">
        <v>84</v>
      </c>
      <c r="R17" s="6" t="s">
        <v>32</v>
      </c>
      <c r="S17" s="29" t="s">
        <v>84</v>
      </c>
      <c r="T17" s="6" t="s">
        <v>32</v>
      </c>
      <c r="U17" s="29" t="s">
        <v>84</v>
      </c>
      <c r="V17" s="3">
        <v>0</v>
      </c>
      <c r="W17" s="29" t="s">
        <v>84</v>
      </c>
      <c r="X17" s="3">
        <v>0</v>
      </c>
      <c r="Y17" s="29" t="s">
        <v>84</v>
      </c>
      <c r="Z17" s="3">
        <v>0</v>
      </c>
      <c r="AA17" s="15" t="e">
        <f t="shared" si="0"/>
        <v>#VALUE!</v>
      </c>
      <c r="AB17" s="16" t="e">
        <f t="shared" si="1"/>
        <v>#VALUE!</v>
      </c>
      <c r="AC17" s="17">
        <f t="shared" si="2"/>
        <v>0</v>
      </c>
      <c r="AD17" s="15" t="e">
        <f t="shared" si="3"/>
        <v>#VALUE!</v>
      </c>
      <c r="AE17" s="18" t="e">
        <f t="shared" si="4"/>
        <v>#VALUE!</v>
      </c>
      <c r="AF17" s="20">
        <f>+W25</f>
        <v>3.7000000000000002E-3</v>
      </c>
      <c r="AG17" s="15">
        <f>VLOOKUP(VALUE($AF$4),'[1]תשואות 2025'!$C:$Q,13,0)</f>
        <v>3.6578929385586711E-3</v>
      </c>
      <c r="AH17" s="16">
        <f t="shared" si="6"/>
        <v>-4.2107061441329016E-5</v>
      </c>
      <c r="AI17" t="s">
        <v>79</v>
      </c>
      <c r="AJ17" s="19">
        <f t="shared" si="5"/>
        <v>0</v>
      </c>
    </row>
    <row r="18" spans="1:36" ht="13.8" thickBot="1" x14ac:dyDescent="0.3">
      <c r="A18" s="23"/>
      <c r="B18" s="5" t="s">
        <v>42</v>
      </c>
      <c r="C18" s="29" t="s">
        <v>84</v>
      </c>
      <c r="D18" s="6" t="s">
        <v>32</v>
      </c>
      <c r="E18" s="29" t="s">
        <v>84</v>
      </c>
      <c r="F18" s="6" t="s">
        <v>32</v>
      </c>
      <c r="G18" s="29" t="s">
        <v>84</v>
      </c>
      <c r="H18" s="6" t="s">
        <v>32</v>
      </c>
      <c r="I18" s="29" t="s">
        <v>84</v>
      </c>
      <c r="J18" s="6" t="s">
        <v>32</v>
      </c>
      <c r="K18" s="29" t="s">
        <v>84</v>
      </c>
      <c r="L18" s="6" t="s">
        <v>32</v>
      </c>
      <c r="M18" s="29" t="s">
        <v>84</v>
      </c>
      <c r="N18" s="6" t="s">
        <v>32</v>
      </c>
      <c r="O18" s="29" t="s">
        <v>84</v>
      </c>
      <c r="P18" s="6" t="s">
        <v>32</v>
      </c>
      <c r="Q18" s="29" t="s">
        <v>84</v>
      </c>
      <c r="R18" s="6" t="s">
        <v>32</v>
      </c>
      <c r="S18" s="29" t="s">
        <v>84</v>
      </c>
      <c r="T18" s="6" t="s">
        <v>32</v>
      </c>
      <c r="U18" s="29" t="s">
        <v>84</v>
      </c>
      <c r="V18" s="3">
        <v>0</v>
      </c>
      <c r="W18" s="29" t="s">
        <v>84</v>
      </c>
      <c r="X18" s="3">
        <v>0</v>
      </c>
      <c r="Y18" s="29" t="s">
        <v>84</v>
      </c>
      <c r="Z18" s="3">
        <v>0</v>
      </c>
      <c r="AA18" s="15" t="e">
        <f t="shared" si="0"/>
        <v>#VALUE!</v>
      </c>
      <c r="AB18" s="16" t="e">
        <f t="shared" si="1"/>
        <v>#VALUE!</v>
      </c>
      <c r="AC18" s="17">
        <f t="shared" si="2"/>
        <v>0</v>
      </c>
      <c r="AD18" s="15" t="e">
        <f t="shared" si="3"/>
        <v>#VALUE!</v>
      </c>
      <c r="AE18" s="18" t="e">
        <f t="shared" si="4"/>
        <v>#VALUE!</v>
      </c>
      <c r="AF18" s="20">
        <f>+Y25</f>
        <v>3.8E-3</v>
      </c>
      <c r="AG18" s="15">
        <f>VLOOKUP(VALUE($AF$4),'[1]תשואות 2025'!$C:$Q,14,0)</f>
        <v>3.7597123616988082E-3</v>
      </c>
      <c r="AH18" s="16">
        <f t="shared" si="6"/>
        <v>-4.0287638301191812E-5</v>
      </c>
      <c r="AI18" t="s">
        <v>80</v>
      </c>
      <c r="AJ18" s="19">
        <f t="shared" si="5"/>
        <v>0</v>
      </c>
    </row>
    <row r="19" spans="1:36" ht="13.8" thickBot="1" x14ac:dyDescent="0.3">
      <c r="A19" s="23"/>
      <c r="B19" s="5" t="s">
        <v>43</v>
      </c>
      <c r="C19" s="29" t="s">
        <v>84</v>
      </c>
      <c r="D19" s="6" t="s">
        <v>32</v>
      </c>
      <c r="E19" s="29" t="s">
        <v>84</v>
      </c>
      <c r="F19" s="6" t="s">
        <v>32</v>
      </c>
      <c r="G19" s="29" t="s">
        <v>84</v>
      </c>
      <c r="H19" s="6" t="s">
        <v>32</v>
      </c>
      <c r="I19" s="29" t="s">
        <v>84</v>
      </c>
      <c r="J19" s="6" t="s">
        <v>32</v>
      </c>
      <c r="K19" s="29" t="s">
        <v>84</v>
      </c>
      <c r="L19" s="6" t="s">
        <v>32</v>
      </c>
      <c r="M19" s="29" t="s">
        <v>84</v>
      </c>
      <c r="N19" s="6" t="s">
        <v>32</v>
      </c>
      <c r="O19" s="29" t="s">
        <v>84</v>
      </c>
      <c r="P19" s="6" t="s">
        <v>32</v>
      </c>
      <c r="Q19" s="29" t="s">
        <v>84</v>
      </c>
      <c r="R19" s="6" t="s">
        <v>32</v>
      </c>
      <c r="S19" s="29" t="s">
        <v>84</v>
      </c>
      <c r="T19" s="6" t="s">
        <v>32</v>
      </c>
      <c r="U19" s="29" t="s">
        <v>84</v>
      </c>
      <c r="V19" s="3">
        <v>0</v>
      </c>
      <c r="W19" s="29" t="s">
        <v>84</v>
      </c>
      <c r="X19" s="3">
        <v>0</v>
      </c>
      <c r="Y19" s="29" t="s">
        <v>84</v>
      </c>
      <c r="Z19" s="3">
        <v>0</v>
      </c>
      <c r="AA19" s="15" t="e">
        <f t="shared" si="0"/>
        <v>#VALUE!</v>
      </c>
      <c r="AB19" s="16" t="e">
        <f t="shared" si="1"/>
        <v>#VALUE!</v>
      </c>
      <c r="AC19" s="17">
        <f t="shared" si="2"/>
        <v>0</v>
      </c>
      <c r="AD19" s="15" t="e">
        <f t="shared" si="3"/>
        <v>#VALUE!</v>
      </c>
      <c r="AE19" s="18" t="e">
        <f t="shared" si="4"/>
        <v>#VALUE!</v>
      </c>
      <c r="AJ19" s="19">
        <f t="shared" si="5"/>
        <v>0</v>
      </c>
    </row>
    <row r="20" spans="1:36" ht="13.8" thickBot="1" x14ac:dyDescent="0.3">
      <c r="A20" s="23"/>
      <c r="B20" s="5" t="s">
        <v>44</v>
      </c>
      <c r="C20" s="29" t="s">
        <v>84</v>
      </c>
      <c r="D20" s="6" t="s">
        <v>32</v>
      </c>
      <c r="E20" s="29" t="s">
        <v>84</v>
      </c>
      <c r="F20" s="6" t="s">
        <v>32</v>
      </c>
      <c r="G20" s="29" t="s">
        <v>84</v>
      </c>
      <c r="H20" s="6" t="s">
        <v>32</v>
      </c>
      <c r="I20" s="29" t="s">
        <v>84</v>
      </c>
      <c r="J20" s="6" t="s">
        <v>32</v>
      </c>
      <c r="K20" s="29" t="s">
        <v>84</v>
      </c>
      <c r="L20" s="6" t="s">
        <v>32</v>
      </c>
      <c r="M20" s="29" t="s">
        <v>84</v>
      </c>
      <c r="N20" s="6" t="s">
        <v>32</v>
      </c>
      <c r="O20" s="29" t="s">
        <v>84</v>
      </c>
      <c r="P20" s="6" t="s">
        <v>32</v>
      </c>
      <c r="Q20" s="29" t="s">
        <v>84</v>
      </c>
      <c r="R20" s="6" t="s">
        <v>32</v>
      </c>
      <c r="S20" s="29" t="s">
        <v>84</v>
      </c>
      <c r="T20" s="6" t="s">
        <v>32</v>
      </c>
      <c r="U20" s="29" t="s">
        <v>84</v>
      </c>
      <c r="V20" s="3">
        <v>0</v>
      </c>
      <c r="W20" s="29" t="s">
        <v>84</v>
      </c>
      <c r="X20" s="3">
        <v>0</v>
      </c>
      <c r="Y20" s="29" t="s">
        <v>84</v>
      </c>
      <c r="Z20" s="3">
        <v>0</v>
      </c>
      <c r="AA20" s="15" t="e">
        <f t="shared" si="0"/>
        <v>#VALUE!</v>
      </c>
      <c r="AB20" s="16" t="e">
        <f t="shared" si="1"/>
        <v>#VALUE!</v>
      </c>
      <c r="AC20" s="17">
        <f t="shared" si="2"/>
        <v>0</v>
      </c>
      <c r="AD20" s="15" t="e">
        <f t="shared" si="3"/>
        <v>#VALUE!</v>
      </c>
      <c r="AE20" s="18" t="e">
        <f t="shared" si="4"/>
        <v>#VALUE!</v>
      </c>
      <c r="AJ20" s="19">
        <f t="shared" si="5"/>
        <v>0</v>
      </c>
    </row>
    <row r="21" spans="1:36" ht="13.8" thickBot="1" x14ac:dyDescent="0.3">
      <c r="A21" s="23"/>
      <c r="B21" s="5" t="s">
        <v>45</v>
      </c>
      <c r="C21" s="29" t="s">
        <v>84</v>
      </c>
      <c r="D21" s="6" t="s">
        <v>32</v>
      </c>
      <c r="E21" s="29" t="s">
        <v>84</v>
      </c>
      <c r="F21" s="6" t="s">
        <v>32</v>
      </c>
      <c r="G21" s="29" t="s">
        <v>84</v>
      </c>
      <c r="H21" s="6" t="s">
        <v>32</v>
      </c>
      <c r="I21" s="29" t="s">
        <v>84</v>
      </c>
      <c r="J21" s="6" t="s">
        <v>32</v>
      </c>
      <c r="K21" s="29" t="s">
        <v>84</v>
      </c>
      <c r="L21" s="6" t="s">
        <v>32</v>
      </c>
      <c r="M21" s="29" t="s">
        <v>84</v>
      </c>
      <c r="N21" s="6" t="s">
        <v>32</v>
      </c>
      <c r="O21" s="29" t="s">
        <v>84</v>
      </c>
      <c r="P21" s="6" t="s">
        <v>32</v>
      </c>
      <c r="Q21" s="29" t="s">
        <v>84</v>
      </c>
      <c r="R21" s="6" t="s">
        <v>32</v>
      </c>
      <c r="S21" s="29" t="s">
        <v>84</v>
      </c>
      <c r="T21" s="6" t="s">
        <v>32</v>
      </c>
      <c r="U21" s="29" t="s">
        <v>84</v>
      </c>
      <c r="V21" s="3">
        <v>0</v>
      </c>
      <c r="W21" s="29" t="s">
        <v>84</v>
      </c>
      <c r="X21" s="3">
        <v>0</v>
      </c>
      <c r="Y21" s="29" t="s">
        <v>84</v>
      </c>
      <c r="Z21" s="3">
        <v>0</v>
      </c>
      <c r="AA21" s="15" t="e">
        <f t="shared" si="0"/>
        <v>#VALUE!</v>
      </c>
      <c r="AB21" s="16" t="e">
        <f t="shared" si="1"/>
        <v>#VALUE!</v>
      </c>
      <c r="AC21" s="17">
        <f t="shared" si="2"/>
        <v>0</v>
      </c>
      <c r="AD21" s="15" t="e">
        <f t="shared" si="3"/>
        <v>#VALUE!</v>
      </c>
      <c r="AE21" s="18" t="e">
        <f t="shared" si="4"/>
        <v>#VALUE!</v>
      </c>
      <c r="AJ21" s="19">
        <f t="shared" si="5"/>
        <v>0</v>
      </c>
    </row>
    <row r="22" spans="1:36" ht="13.8" thickBot="1" x14ac:dyDescent="0.3">
      <c r="A22" s="23"/>
      <c r="B22" s="5" t="s">
        <v>46</v>
      </c>
      <c r="C22" s="29" t="s">
        <v>84</v>
      </c>
      <c r="D22" s="6" t="s">
        <v>32</v>
      </c>
      <c r="E22" s="29" t="s">
        <v>84</v>
      </c>
      <c r="F22" s="6" t="s">
        <v>32</v>
      </c>
      <c r="G22" s="29" t="s">
        <v>84</v>
      </c>
      <c r="H22" s="6" t="s">
        <v>32</v>
      </c>
      <c r="I22" s="29" t="s">
        <v>84</v>
      </c>
      <c r="J22" s="6" t="s">
        <v>32</v>
      </c>
      <c r="K22" s="29" t="s">
        <v>84</v>
      </c>
      <c r="L22" s="6" t="s">
        <v>32</v>
      </c>
      <c r="M22" s="29" t="s">
        <v>84</v>
      </c>
      <c r="N22" s="6" t="s">
        <v>32</v>
      </c>
      <c r="O22" s="29" t="s">
        <v>84</v>
      </c>
      <c r="P22" s="6" t="s">
        <v>32</v>
      </c>
      <c r="Q22" s="29" t="s">
        <v>84</v>
      </c>
      <c r="R22" s="6" t="s">
        <v>32</v>
      </c>
      <c r="S22" s="29" t="s">
        <v>84</v>
      </c>
      <c r="T22" s="6" t="s">
        <v>32</v>
      </c>
      <c r="U22" s="29" t="s">
        <v>84</v>
      </c>
      <c r="V22" s="3">
        <v>0</v>
      </c>
      <c r="W22" s="29" t="s">
        <v>84</v>
      </c>
      <c r="X22" s="3">
        <v>0</v>
      </c>
      <c r="Y22" s="29" t="s">
        <v>84</v>
      </c>
      <c r="Z22" s="3">
        <v>0</v>
      </c>
      <c r="AA22" s="15" t="e">
        <f t="shared" si="0"/>
        <v>#VALUE!</v>
      </c>
      <c r="AB22" s="16" t="e">
        <f t="shared" si="1"/>
        <v>#VALUE!</v>
      </c>
      <c r="AC22" s="17">
        <f t="shared" si="2"/>
        <v>0</v>
      </c>
      <c r="AD22" s="15" t="e">
        <f t="shared" si="3"/>
        <v>#VALUE!</v>
      </c>
      <c r="AE22" s="18" t="e">
        <f t="shared" si="4"/>
        <v>#VALUE!</v>
      </c>
      <c r="AJ22" s="19">
        <f t="shared" si="5"/>
        <v>0</v>
      </c>
    </row>
    <row r="23" spans="1:36" ht="13.8" thickBot="1" x14ac:dyDescent="0.3">
      <c r="A23" s="23"/>
      <c r="B23" s="5" t="s">
        <v>47</v>
      </c>
      <c r="C23" s="29" t="s">
        <v>84</v>
      </c>
      <c r="D23" s="6" t="s">
        <v>32</v>
      </c>
      <c r="E23" s="29" t="s">
        <v>84</v>
      </c>
      <c r="F23" s="6" t="s">
        <v>32</v>
      </c>
      <c r="G23" s="29" t="s">
        <v>84</v>
      </c>
      <c r="H23" s="6" t="s">
        <v>32</v>
      </c>
      <c r="I23" s="29" t="s">
        <v>84</v>
      </c>
      <c r="J23" s="6" t="s">
        <v>32</v>
      </c>
      <c r="K23" s="29" t="s">
        <v>84</v>
      </c>
      <c r="L23" s="6" t="s">
        <v>32</v>
      </c>
      <c r="M23" s="29" t="s">
        <v>84</v>
      </c>
      <c r="N23" s="6" t="s">
        <v>32</v>
      </c>
      <c r="O23" s="29" t="s">
        <v>84</v>
      </c>
      <c r="P23" s="6" t="s">
        <v>32</v>
      </c>
      <c r="Q23" s="29" t="s">
        <v>84</v>
      </c>
      <c r="R23" s="6" t="s">
        <v>32</v>
      </c>
      <c r="S23" s="29" t="s">
        <v>84</v>
      </c>
      <c r="T23" s="6" t="s">
        <v>32</v>
      </c>
      <c r="U23" s="29" t="s">
        <v>84</v>
      </c>
      <c r="V23" s="3">
        <v>0</v>
      </c>
      <c r="W23" s="29" t="s">
        <v>84</v>
      </c>
      <c r="X23" s="3">
        <v>0</v>
      </c>
      <c r="Y23" s="29" t="s">
        <v>84</v>
      </c>
      <c r="Z23" s="3">
        <v>0</v>
      </c>
      <c r="AA23" s="15" t="e">
        <f t="shared" si="0"/>
        <v>#VALUE!</v>
      </c>
      <c r="AB23" s="16" t="e">
        <f t="shared" si="1"/>
        <v>#VALUE!</v>
      </c>
      <c r="AC23" s="17">
        <f t="shared" si="2"/>
        <v>0</v>
      </c>
      <c r="AD23" s="15" t="e">
        <f t="shared" si="3"/>
        <v>#VALUE!</v>
      </c>
      <c r="AE23" s="18" t="e">
        <f t="shared" si="4"/>
        <v>#VALUE!</v>
      </c>
      <c r="AJ23" s="19">
        <f t="shared" si="5"/>
        <v>0</v>
      </c>
    </row>
    <row r="24" spans="1:36" ht="13.8" thickBot="1" x14ac:dyDescent="0.3">
      <c r="A24" s="23"/>
      <c r="B24" s="5" t="s">
        <v>48</v>
      </c>
      <c r="C24" s="29" t="s">
        <v>84</v>
      </c>
      <c r="D24" s="3">
        <v>-3.0006000000000001E-2</v>
      </c>
      <c r="E24" s="29" t="s">
        <v>84</v>
      </c>
      <c r="F24" s="3">
        <v>-3.0165000000000001E-2</v>
      </c>
      <c r="G24" s="29" t="s">
        <v>84</v>
      </c>
      <c r="H24" s="3">
        <v>-2.7612999999999999E-2</v>
      </c>
      <c r="I24" s="29" t="s">
        <v>84</v>
      </c>
      <c r="J24" s="3">
        <v>-2.4317999999999999E-2</v>
      </c>
      <c r="K24" s="29" t="s">
        <v>84</v>
      </c>
      <c r="L24" s="3">
        <v>-2.8731E-2</v>
      </c>
      <c r="M24" s="29" t="s">
        <v>84</v>
      </c>
      <c r="N24" s="3">
        <v>-3.1060000000000001E-2</v>
      </c>
      <c r="O24" s="29" t="s">
        <v>84</v>
      </c>
      <c r="P24" s="3">
        <v>-3.5108E-2</v>
      </c>
      <c r="Q24" s="29" t="s">
        <v>84</v>
      </c>
      <c r="R24" s="3">
        <v>-3.5097999999999997E-2</v>
      </c>
      <c r="S24" s="29" t="s">
        <v>84</v>
      </c>
      <c r="T24" s="3">
        <v>-3.6393000000000002E-2</v>
      </c>
      <c r="U24" s="4">
        <v>0</v>
      </c>
      <c r="V24" s="3">
        <v>-4.2922000000000002E-2</v>
      </c>
      <c r="W24" s="4">
        <v>0</v>
      </c>
      <c r="X24" s="3">
        <v>-3.9577000000000001E-2</v>
      </c>
      <c r="Y24" s="4">
        <v>0</v>
      </c>
      <c r="Z24" s="3">
        <v>-3.8179999999999999E-2</v>
      </c>
      <c r="AA24" s="15" t="e">
        <f t="shared" si="0"/>
        <v>#VALUE!</v>
      </c>
      <c r="AB24" s="16" t="e">
        <f t="shared" si="1"/>
        <v>#VALUE!</v>
      </c>
      <c r="AC24" s="17">
        <f t="shared" si="2"/>
        <v>0</v>
      </c>
      <c r="AD24" s="15" t="e">
        <f t="shared" si="3"/>
        <v>#VALUE!</v>
      </c>
      <c r="AE24" s="18" t="e">
        <f t="shared" si="4"/>
        <v>#VALUE!</v>
      </c>
      <c r="AJ24" s="19">
        <f t="shared" si="5"/>
        <v>0</v>
      </c>
    </row>
    <row r="25" spans="1:36" ht="13.8" thickBot="1" x14ac:dyDescent="0.3">
      <c r="A25" s="23"/>
      <c r="B25" s="7" t="s">
        <v>49</v>
      </c>
      <c r="C25" s="8">
        <v>3.5999999999999999E-3</v>
      </c>
      <c r="D25" s="9">
        <v>0.99999800000000005</v>
      </c>
      <c r="E25" s="8">
        <v>3.3999999999999998E-3</v>
      </c>
      <c r="F25" s="9">
        <v>0.99999899999999997</v>
      </c>
      <c r="G25" s="8">
        <v>3.5000000000000001E-3</v>
      </c>
      <c r="H25" s="9">
        <v>0.99999899999999997</v>
      </c>
      <c r="I25" s="8">
        <v>3.7000000000000002E-3</v>
      </c>
      <c r="J25" s="9">
        <v>0.99999899999999997</v>
      </c>
      <c r="K25" s="8">
        <v>3.2000000000000002E-3</v>
      </c>
      <c r="L25" s="9">
        <v>0.99999899999999997</v>
      </c>
      <c r="M25" s="8">
        <v>4.5999999999999999E-3</v>
      </c>
      <c r="N25" s="9">
        <v>0.99999899999999997</v>
      </c>
      <c r="O25" s="8">
        <v>3.2000000000000002E-3</v>
      </c>
      <c r="P25" s="9">
        <v>0.99999899999999997</v>
      </c>
      <c r="Q25" s="8">
        <v>4.1999999999999997E-3</v>
      </c>
      <c r="R25" s="9">
        <v>0.99999899999999997</v>
      </c>
      <c r="S25" s="8">
        <v>4.1000000000000003E-3</v>
      </c>
      <c r="T25" s="9">
        <v>0.99999899999999997</v>
      </c>
      <c r="U25" s="8">
        <v>3.7000000000000002E-3</v>
      </c>
      <c r="V25" s="9">
        <v>0.99999899999999997</v>
      </c>
      <c r="W25" s="8">
        <v>3.7000000000000002E-3</v>
      </c>
      <c r="X25" s="9">
        <v>0.99999899999999997</v>
      </c>
      <c r="Y25" s="8">
        <v>3.8E-3</v>
      </c>
      <c r="Z25" s="9">
        <v>0.99999800000000005</v>
      </c>
      <c r="AA25" s="16" t="e">
        <f>SUM(AA6:AA24)</f>
        <v>#VALUE!</v>
      </c>
      <c r="AB25" s="16" t="e">
        <f t="shared" si="1"/>
        <v>#VALUE!</v>
      </c>
      <c r="AF25" s="20"/>
    </row>
    <row r="26" spans="1:36" ht="13.8" thickBot="1" x14ac:dyDescent="0.3">
      <c r="A26" s="23"/>
      <c r="B26" s="2" t="s">
        <v>50</v>
      </c>
      <c r="C26" s="10">
        <v>-2.7120000000000002</v>
      </c>
      <c r="D26" s="30" t="s">
        <v>84</v>
      </c>
      <c r="E26" s="10">
        <v>315.83999999999997</v>
      </c>
      <c r="F26" s="30" t="s">
        <v>84</v>
      </c>
      <c r="G26" s="10">
        <v>352.59500000000003</v>
      </c>
      <c r="H26" s="30" t="s">
        <v>84</v>
      </c>
      <c r="I26" s="10">
        <v>438.37400000000002</v>
      </c>
      <c r="J26" s="30" t="s">
        <v>84</v>
      </c>
      <c r="K26" s="10">
        <v>370.84199999999998</v>
      </c>
      <c r="L26" s="30" t="s">
        <v>84</v>
      </c>
      <c r="M26" s="10">
        <v>520.49800000000005</v>
      </c>
      <c r="N26" s="30" t="s">
        <v>84</v>
      </c>
      <c r="O26" s="10">
        <v>298.44900000000001</v>
      </c>
      <c r="P26" s="30" t="s">
        <v>84</v>
      </c>
      <c r="Q26" s="10">
        <v>405.54500000000002</v>
      </c>
      <c r="R26" s="30" t="s">
        <v>84</v>
      </c>
      <c r="S26" s="10">
        <v>398.15199999999999</v>
      </c>
      <c r="T26" s="30" t="s">
        <v>84</v>
      </c>
      <c r="U26" s="10">
        <v>365.24599999999998</v>
      </c>
      <c r="V26" s="30" t="s">
        <v>84</v>
      </c>
      <c r="W26" s="10">
        <v>285.221</v>
      </c>
      <c r="X26" s="30" t="s">
        <v>84</v>
      </c>
      <c r="Y26" s="10">
        <v>513.16600000000005</v>
      </c>
      <c r="Z26" s="30" t="s">
        <v>84</v>
      </c>
    </row>
    <row r="27" spans="1:36" ht="12.75" customHeight="1" thickBot="1" x14ac:dyDescent="0.3">
      <c r="B27" s="31" t="s">
        <v>84</v>
      </c>
      <c r="C27" s="31" t="s">
        <v>84</v>
      </c>
      <c r="D27" s="31" t="s">
        <v>84</v>
      </c>
      <c r="E27" s="31" t="s">
        <v>84</v>
      </c>
      <c r="F27" s="31" t="s">
        <v>84</v>
      </c>
      <c r="G27" s="31" t="s">
        <v>84</v>
      </c>
      <c r="H27" s="31" t="s">
        <v>84</v>
      </c>
      <c r="I27" s="31" t="s">
        <v>84</v>
      </c>
      <c r="J27" s="31" t="s">
        <v>84</v>
      </c>
      <c r="K27" s="31" t="s">
        <v>84</v>
      </c>
      <c r="L27" s="31" t="s">
        <v>84</v>
      </c>
      <c r="M27" s="31" t="s">
        <v>84</v>
      </c>
      <c r="N27" s="31" t="s">
        <v>84</v>
      </c>
      <c r="O27" s="31" t="s">
        <v>84</v>
      </c>
      <c r="P27" s="31" t="s">
        <v>84</v>
      </c>
      <c r="Q27" s="31" t="s">
        <v>84</v>
      </c>
      <c r="R27" s="31" t="s">
        <v>84</v>
      </c>
      <c r="S27" s="31" t="s">
        <v>84</v>
      </c>
      <c r="T27" s="31" t="s">
        <v>84</v>
      </c>
      <c r="U27" s="31" t="s">
        <v>84</v>
      </c>
      <c r="V27" s="31" t="s">
        <v>84</v>
      </c>
      <c r="W27" s="31" t="s">
        <v>84</v>
      </c>
      <c r="X27" s="31" t="s">
        <v>84</v>
      </c>
      <c r="Y27" s="31" t="s">
        <v>84</v>
      </c>
      <c r="Z27" s="31" t="s">
        <v>84</v>
      </c>
    </row>
    <row r="28" spans="1:36" ht="13.8" thickBot="1" x14ac:dyDescent="0.3">
      <c r="A28" s="23"/>
      <c r="B28" s="2" t="s">
        <v>51</v>
      </c>
      <c r="C28" s="11">
        <v>3.5999999999999999E-3</v>
      </c>
      <c r="D28" s="11">
        <v>1</v>
      </c>
      <c r="E28" s="11">
        <v>3.3999999999999998E-3</v>
      </c>
      <c r="F28" s="11">
        <v>1</v>
      </c>
      <c r="G28" s="11">
        <v>3.5000000000000001E-3</v>
      </c>
      <c r="H28" s="11">
        <v>1</v>
      </c>
      <c r="I28" s="11">
        <v>3.7000000000000002E-3</v>
      </c>
      <c r="J28" s="11">
        <v>1</v>
      </c>
      <c r="K28" s="11">
        <v>3.2000000000000002E-3</v>
      </c>
      <c r="L28" s="11">
        <v>1</v>
      </c>
      <c r="M28" s="11">
        <v>4.5999999999999999E-3</v>
      </c>
      <c r="N28" s="11">
        <v>1</v>
      </c>
      <c r="O28" s="11">
        <v>3.2000000000000002E-3</v>
      </c>
      <c r="P28" s="11">
        <v>1</v>
      </c>
      <c r="Q28" s="11">
        <v>4.1999999999999997E-3</v>
      </c>
      <c r="R28" s="11">
        <v>1</v>
      </c>
      <c r="S28" s="11">
        <v>4.1000000000000003E-3</v>
      </c>
      <c r="T28" s="11">
        <v>1</v>
      </c>
      <c r="U28" s="11">
        <v>3.7000000000000002E-3</v>
      </c>
      <c r="V28" s="11">
        <v>1</v>
      </c>
      <c r="W28" s="11">
        <v>3.7000000000000002E-3</v>
      </c>
      <c r="X28" s="11">
        <v>1</v>
      </c>
      <c r="Y28" s="11">
        <v>3.8E-3</v>
      </c>
      <c r="Z28" s="11">
        <v>1</v>
      </c>
      <c r="AA28" s="15">
        <f t="shared" ref="AA28:AA29" si="7">+(1+C28)*(1+E28)*(1+G28)*(1+I28)*(1+K28)*(1+M28)*(1+O28)*(1+Q28)*(1+S28)*(1+U28)*(1+W28)*(1+Y28)-1</f>
        <v>4.5626291842846722E-2</v>
      </c>
      <c r="AB28" s="16">
        <f t="shared" ref="AB28:AB30" si="8">+AA28-I59</f>
        <v>1.2629184284672357E-4</v>
      </c>
      <c r="AC28" s="16">
        <f>+ROUND(IFERROR(AA28/$AA$30*-$AB$30+AA28,0),4)</f>
        <v>0</v>
      </c>
    </row>
    <row r="29" spans="1:36" ht="13.8" thickBot="1" x14ac:dyDescent="0.3">
      <c r="A29" s="23"/>
      <c r="B29" s="5" t="s">
        <v>52</v>
      </c>
      <c r="C29" s="29" t="s">
        <v>84</v>
      </c>
      <c r="D29" s="29" t="s">
        <v>84</v>
      </c>
      <c r="E29" s="29" t="s">
        <v>84</v>
      </c>
      <c r="F29" s="29" t="s">
        <v>84</v>
      </c>
      <c r="G29" s="29" t="s">
        <v>84</v>
      </c>
      <c r="H29" s="29" t="s">
        <v>84</v>
      </c>
      <c r="I29" s="29" t="s">
        <v>84</v>
      </c>
      <c r="J29" s="29" t="s">
        <v>84</v>
      </c>
      <c r="K29" s="29" t="s">
        <v>84</v>
      </c>
      <c r="L29" s="29" t="s">
        <v>84</v>
      </c>
      <c r="M29" s="29" t="s">
        <v>84</v>
      </c>
      <c r="N29" s="29" t="s">
        <v>84</v>
      </c>
      <c r="O29" s="29" t="s">
        <v>84</v>
      </c>
      <c r="P29" s="29" t="s">
        <v>84</v>
      </c>
      <c r="Q29" s="29" t="s">
        <v>84</v>
      </c>
      <c r="R29" s="29" t="s">
        <v>84</v>
      </c>
      <c r="S29" s="29" t="s">
        <v>84</v>
      </c>
      <c r="T29" s="29" t="s">
        <v>84</v>
      </c>
      <c r="U29" s="29" t="s">
        <v>84</v>
      </c>
      <c r="V29" s="3">
        <v>0</v>
      </c>
      <c r="W29" s="29" t="s">
        <v>84</v>
      </c>
      <c r="X29" s="3">
        <v>0</v>
      </c>
      <c r="Y29" s="29" t="s">
        <v>84</v>
      </c>
      <c r="Z29" s="3">
        <v>0</v>
      </c>
      <c r="AA29" s="15" t="e">
        <f t="shared" si="7"/>
        <v>#VALUE!</v>
      </c>
      <c r="AB29" s="16" t="e">
        <f t="shared" si="8"/>
        <v>#VALUE!</v>
      </c>
      <c r="AC29" s="16">
        <f>+ROUND(IFERROR(AA29/$AA$30*-$AB$30+AA29,0),4)</f>
        <v>0</v>
      </c>
    </row>
    <row r="30" spans="1:36" ht="13.8" thickBot="1" x14ac:dyDescent="0.3">
      <c r="A30" s="23"/>
      <c r="B30" s="7" t="s">
        <v>49</v>
      </c>
      <c r="C30" s="9">
        <v>3.5999999999999999E-3</v>
      </c>
      <c r="D30" s="9">
        <v>1</v>
      </c>
      <c r="E30" s="9">
        <v>3.3999999999999998E-3</v>
      </c>
      <c r="F30" s="9">
        <v>1</v>
      </c>
      <c r="G30" s="9">
        <v>3.5000000000000001E-3</v>
      </c>
      <c r="H30" s="9">
        <v>1</v>
      </c>
      <c r="I30" s="9">
        <v>3.7000000000000002E-3</v>
      </c>
      <c r="J30" s="9">
        <v>1</v>
      </c>
      <c r="K30" s="9">
        <v>3.2000000000000002E-3</v>
      </c>
      <c r="L30" s="9">
        <v>1</v>
      </c>
      <c r="M30" s="9">
        <v>4.5999999999999999E-3</v>
      </c>
      <c r="N30" s="9">
        <v>1</v>
      </c>
      <c r="O30" s="9">
        <v>3.2000000000000002E-3</v>
      </c>
      <c r="P30" s="9">
        <v>1</v>
      </c>
      <c r="Q30" s="9">
        <v>4.1999999999999997E-3</v>
      </c>
      <c r="R30" s="9">
        <v>1</v>
      </c>
      <c r="S30" s="9">
        <v>4.1000000000000003E-3</v>
      </c>
      <c r="T30" s="9">
        <v>1</v>
      </c>
      <c r="U30" s="9">
        <v>3.7000000000000002E-3</v>
      </c>
      <c r="V30" s="9">
        <v>1</v>
      </c>
      <c r="W30" s="9">
        <v>3.7000000000000002E-3</v>
      </c>
      <c r="X30" s="9">
        <v>1</v>
      </c>
      <c r="Y30" s="9">
        <v>3.8E-3</v>
      </c>
      <c r="Z30" s="9">
        <v>1</v>
      </c>
      <c r="AA30" s="16" t="e">
        <f>SUM(AA28:AA29)</f>
        <v>#VALUE!</v>
      </c>
      <c r="AB30" s="16" t="e">
        <f t="shared" si="8"/>
        <v>#VALUE!</v>
      </c>
    </row>
    <row r="31" spans="1:36" ht="12.75" customHeight="1" thickBot="1" x14ac:dyDescent="0.3">
      <c r="B31" s="31" t="s">
        <v>84</v>
      </c>
      <c r="C31" s="31" t="s">
        <v>84</v>
      </c>
      <c r="D31" s="31" t="s">
        <v>84</v>
      </c>
      <c r="E31" s="31" t="s">
        <v>84</v>
      </c>
      <c r="F31" s="31" t="s">
        <v>84</v>
      </c>
      <c r="G31" s="31" t="s">
        <v>84</v>
      </c>
      <c r="H31" s="31" t="s">
        <v>84</v>
      </c>
      <c r="I31" s="31" t="s">
        <v>84</v>
      </c>
      <c r="J31" s="31" t="s">
        <v>84</v>
      </c>
      <c r="K31" s="31" t="s">
        <v>84</v>
      </c>
      <c r="L31" s="31" t="s">
        <v>84</v>
      </c>
      <c r="M31" s="31" t="s">
        <v>84</v>
      </c>
      <c r="N31" s="31" t="s">
        <v>84</v>
      </c>
      <c r="O31" s="31" t="s">
        <v>84</v>
      </c>
      <c r="P31" s="31" t="s">
        <v>84</v>
      </c>
      <c r="Q31" s="31" t="s">
        <v>84</v>
      </c>
      <c r="R31" s="31" t="s">
        <v>84</v>
      </c>
      <c r="S31" s="31" t="s">
        <v>84</v>
      </c>
      <c r="T31" s="31" t="s">
        <v>84</v>
      </c>
      <c r="U31" s="31" t="s">
        <v>84</v>
      </c>
      <c r="V31" s="31" t="s">
        <v>84</v>
      </c>
      <c r="W31" s="31" t="s">
        <v>84</v>
      </c>
      <c r="X31" s="31" t="s">
        <v>84</v>
      </c>
      <c r="Y31" s="31" t="s">
        <v>84</v>
      </c>
      <c r="Z31" s="31" t="s">
        <v>84</v>
      </c>
    </row>
    <row r="32" spans="1:36" ht="13.8" thickBot="1" x14ac:dyDescent="0.3">
      <c r="A32" s="23"/>
      <c r="B32" s="2" t="s">
        <v>53</v>
      </c>
      <c r="C32" s="11">
        <v>3.5999999999999999E-3</v>
      </c>
      <c r="D32" s="11">
        <v>1</v>
      </c>
      <c r="E32" s="11">
        <v>3.3999999999999998E-3</v>
      </c>
      <c r="F32" s="11">
        <v>1</v>
      </c>
      <c r="G32" s="11">
        <v>3.5000000000000001E-3</v>
      </c>
      <c r="H32" s="11">
        <v>1</v>
      </c>
      <c r="I32" s="11">
        <v>3.7000000000000002E-3</v>
      </c>
      <c r="J32" s="11">
        <v>1</v>
      </c>
      <c r="K32" s="11">
        <v>3.2000000000000002E-3</v>
      </c>
      <c r="L32" s="11">
        <v>1</v>
      </c>
      <c r="M32" s="11">
        <v>4.5999999999999999E-3</v>
      </c>
      <c r="N32" s="11">
        <v>1</v>
      </c>
      <c r="O32" s="11">
        <v>3.2000000000000002E-3</v>
      </c>
      <c r="P32" s="11">
        <v>1</v>
      </c>
      <c r="Q32" s="11">
        <v>4.1999999999999997E-3</v>
      </c>
      <c r="R32" s="11">
        <v>1</v>
      </c>
      <c r="S32" s="11">
        <v>4.1000000000000003E-3</v>
      </c>
      <c r="T32" s="11">
        <v>1</v>
      </c>
      <c r="U32" s="11">
        <v>3.7000000000000002E-3</v>
      </c>
      <c r="V32" s="11">
        <v>1</v>
      </c>
      <c r="W32" s="11">
        <v>3.7000000000000002E-3</v>
      </c>
      <c r="X32" s="11">
        <v>1</v>
      </c>
      <c r="Y32" s="11">
        <v>3.8E-3</v>
      </c>
      <c r="Z32" s="11">
        <v>1</v>
      </c>
      <c r="AA32" s="15">
        <f t="shared" ref="AA32:AA33" si="9">+(1+C32)*(1+E32)*(1+G32)*(1+I32)*(1+K32)*(1+M32)*(1+O32)*(1+Q32)*(1+S32)*(1+U32)*(1+W32)*(1+Y32)-1</f>
        <v>4.5626291842846722E-2</v>
      </c>
      <c r="AB32" s="16">
        <f t="shared" ref="AB32:AB34" si="10">+AA32-I63</f>
        <v>1.2629184284672357E-4</v>
      </c>
      <c r="AC32" s="16">
        <f>+ROUND(IFERROR(AA32/$AA$34*-$AB$34+AA32,0),4)</f>
        <v>0</v>
      </c>
    </row>
    <row r="33" spans="1:29" ht="13.8" thickBot="1" x14ac:dyDescent="0.3">
      <c r="A33" s="23"/>
      <c r="B33" s="5" t="s">
        <v>54</v>
      </c>
      <c r="C33" s="29" t="s">
        <v>84</v>
      </c>
      <c r="D33" s="29" t="s">
        <v>84</v>
      </c>
      <c r="E33" s="29" t="s">
        <v>84</v>
      </c>
      <c r="F33" s="29" t="s">
        <v>84</v>
      </c>
      <c r="G33" s="29" t="s">
        <v>84</v>
      </c>
      <c r="H33" s="29" t="s">
        <v>84</v>
      </c>
      <c r="I33" s="29" t="s">
        <v>84</v>
      </c>
      <c r="J33" s="29" t="s">
        <v>84</v>
      </c>
      <c r="K33" s="29" t="s">
        <v>84</v>
      </c>
      <c r="L33" s="29" t="s">
        <v>84</v>
      </c>
      <c r="M33" s="29" t="s">
        <v>84</v>
      </c>
      <c r="N33" s="29" t="s">
        <v>84</v>
      </c>
      <c r="O33" s="29" t="s">
        <v>84</v>
      </c>
      <c r="P33" s="29" t="s">
        <v>84</v>
      </c>
      <c r="Q33" s="29" t="s">
        <v>84</v>
      </c>
      <c r="R33" s="29" t="s">
        <v>84</v>
      </c>
      <c r="S33" s="29" t="s">
        <v>84</v>
      </c>
      <c r="T33" s="29" t="s">
        <v>84</v>
      </c>
      <c r="U33" s="29" t="s">
        <v>84</v>
      </c>
      <c r="V33" s="3">
        <v>0</v>
      </c>
      <c r="W33" s="29" t="s">
        <v>84</v>
      </c>
      <c r="X33" s="3">
        <v>0</v>
      </c>
      <c r="Y33" s="29" t="s">
        <v>84</v>
      </c>
      <c r="Z33" s="3">
        <v>0</v>
      </c>
      <c r="AA33" s="15" t="e">
        <f t="shared" si="9"/>
        <v>#VALUE!</v>
      </c>
      <c r="AB33" s="16" t="e">
        <f t="shared" si="10"/>
        <v>#VALUE!</v>
      </c>
      <c r="AC33" s="16">
        <f>+ROUND(IFERROR(AA33/$AA$34*-$AB$34+AA33,0),4)</f>
        <v>0</v>
      </c>
    </row>
    <row r="34" spans="1:29" ht="13.8" thickBot="1" x14ac:dyDescent="0.3">
      <c r="A34" s="23"/>
      <c r="B34" s="7" t="s">
        <v>49</v>
      </c>
      <c r="C34" s="9">
        <v>3.5999999999999999E-3</v>
      </c>
      <c r="D34" s="9">
        <v>1</v>
      </c>
      <c r="E34" s="9">
        <v>3.3999999999999998E-3</v>
      </c>
      <c r="F34" s="9">
        <v>1</v>
      </c>
      <c r="G34" s="9">
        <v>3.5000000000000001E-3</v>
      </c>
      <c r="H34" s="9">
        <v>1</v>
      </c>
      <c r="I34" s="9">
        <v>3.7000000000000002E-3</v>
      </c>
      <c r="J34" s="9">
        <v>1</v>
      </c>
      <c r="K34" s="9">
        <v>3.2000000000000002E-3</v>
      </c>
      <c r="L34" s="9">
        <v>1</v>
      </c>
      <c r="M34" s="9">
        <v>4.5999999999999999E-3</v>
      </c>
      <c r="N34" s="9">
        <v>1</v>
      </c>
      <c r="O34" s="9">
        <v>3.2000000000000002E-3</v>
      </c>
      <c r="P34" s="9">
        <v>1</v>
      </c>
      <c r="Q34" s="9">
        <v>4.1999999999999997E-3</v>
      </c>
      <c r="R34" s="9">
        <v>1</v>
      </c>
      <c r="S34" s="9">
        <v>4.1000000000000003E-3</v>
      </c>
      <c r="T34" s="9">
        <v>1</v>
      </c>
      <c r="U34" s="9">
        <v>3.7000000000000002E-3</v>
      </c>
      <c r="V34" s="9">
        <v>1</v>
      </c>
      <c r="W34" s="9">
        <v>3.7000000000000002E-3</v>
      </c>
      <c r="X34" s="9">
        <v>1</v>
      </c>
      <c r="Y34" s="9">
        <v>3.8E-3</v>
      </c>
      <c r="Z34" s="9">
        <v>1</v>
      </c>
      <c r="AA34" s="16" t="e">
        <f>SUM(AA32:AA33)</f>
        <v>#VALUE!</v>
      </c>
      <c r="AB34" s="16" t="e">
        <f t="shared" si="10"/>
        <v>#VALUE!</v>
      </c>
    </row>
    <row r="35" spans="1:29" ht="12.75" customHeight="1" thickBot="1" x14ac:dyDescent="0.3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9" ht="13.8" thickBot="1" x14ac:dyDescent="0.3">
      <c r="A36" s="23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108</v>
      </c>
      <c r="L36" t="s">
        <v>109</v>
      </c>
      <c r="M36" t="s">
        <v>110</v>
      </c>
      <c r="N36" t="s">
        <v>111</v>
      </c>
      <c r="O36" t="s">
        <v>112</v>
      </c>
      <c r="P36" t="s">
        <v>113</v>
      </c>
      <c r="Q36" t="s">
        <v>114</v>
      </c>
      <c r="R36" t="s">
        <v>115</v>
      </c>
      <c r="S36" t="s">
        <v>116</v>
      </c>
      <c r="T36" t="s">
        <v>117</v>
      </c>
      <c r="U36" t="s">
        <v>118</v>
      </c>
      <c r="V36" t="s">
        <v>119</v>
      </c>
      <c r="W36" t="s">
        <v>120</v>
      </c>
      <c r="X36" t="s">
        <v>121</v>
      </c>
      <c r="Y36" t="s">
        <v>122</v>
      </c>
      <c r="Z36" t="s">
        <v>123</v>
      </c>
      <c r="AA36" s="21">
        <f>SUM(C26:Y26)</f>
        <v>4261.2160000000003</v>
      </c>
      <c r="AB36" t="s">
        <v>81</v>
      </c>
    </row>
    <row r="37" spans="1:29" ht="13.8" thickBot="1" x14ac:dyDescent="0.3">
      <c r="A37" s="23"/>
      <c r="B37" s="2" t="s">
        <v>29</v>
      </c>
      <c r="C37" s="4">
        <v>2.0000000000000001E-4</v>
      </c>
      <c r="D37" s="3">
        <v>2.3949000000000002E-2</v>
      </c>
      <c r="E37" s="4">
        <v>5.9999999999999995E-4</v>
      </c>
      <c r="F37" s="3">
        <v>1.3435000000000001E-2</v>
      </c>
      <c r="G37" s="4">
        <v>6.9999999999999999E-4</v>
      </c>
      <c r="H37" s="3">
        <v>2.6335000000000001E-2</v>
      </c>
      <c r="I37" s="4">
        <v>1.2999999999999999E-3</v>
      </c>
      <c r="J37" s="3">
        <v>3.4516999999999999E-2</v>
      </c>
      <c r="K37" s="31" t="s">
        <v>84</v>
      </c>
      <c r="L37" s="31" t="s">
        <v>84</v>
      </c>
      <c r="M37" s="31" t="s">
        <v>84</v>
      </c>
      <c r="N37" s="31" t="s">
        <v>84</v>
      </c>
      <c r="O37" s="31" t="s">
        <v>84</v>
      </c>
      <c r="P37" s="31" t="s">
        <v>84</v>
      </c>
      <c r="Q37" s="31" t="s">
        <v>84</v>
      </c>
      <c r="R37" s="31" t="s">
        <v>84</v>
      </c>
      <c r="S37" s="31" t="s">
        <v>84</v>
      </c>
      <c r="T37" s="31" t="s">
        <v>84</v>
      </c>
      <c r="U37" s="31" t="s">
        <v>84</v>
      </c>
      <c r="V37" s="31" t="s">
        <v>84</v>
      </c>
      <c r="W37" s="31" t="s">
        <v>84</v>
      </c>
      <c r="X37" s="31" t="s">
        <v>84</v>
      </c>
      <c r="Y37" s="31" t="s">
        <v>84</v>
      </c>
      <c r="Z37" s="31" t="s">
        <v>84</v>
      </c>
      <c r="AA37">
        <f>VLOOKUP(VALUE(LEFT(B$3,5)),'[2]נתונים למרכיבי תשואה'!$A:$B,2,0)</f>
        <v>4602.652</v>
      </c>
      <c r="AB37" t="s">
        <v>82</v>
      </c>
    </row>
    <row r="38" spans="1:29" ht="13.8" thickBot="1" x14ac:dyDescent="0.3">
      <c r="A38" s="23"/>
      <c r="B38" s="5" t="s">
        <v>30</v>
      </c>
      <c r="C38" s="4">
        <v>9.6307000000000007E-3</v>
      </c>
      <c r="D38" s="3">
        <v>0.95125999999999999</v>
      </c>
      <c r="E38" s="4">
        <v>2.01E-2</v>
      </c>
      <c r="F38" s="3">
        <v>0.96439699999999995</v>
      </c>
      <c r="G38" s="4">
        <v>3.1199999999999999E-2</v>
      </c>
      <c r="H38" s="3">
        <v>0.97190200000000004</v>
      </c>
      <c r="I38" s="4">
        <v>4.19E-2</v>
      </c>
      <c r="J38" s="3">
        <v>0.98493399999999998</v>
      </c>
      <c r="K38" s="31" t="s">
        <v>84</v>
      </c>
      <c r="L38" s="31" t="s">
        <v>84</v>
      </c>
      <c r="M38" s="31" t="s">
        <v>84</v>
      </c>
      <c r="N38" s="31" t="s">
        <v>84</v>
      </c>
      <c r="O38" s="31" t="s">
        <v>84</v>
      </c>
      <c r="P38" s="31" t="s">
        <v>84</v>
      </c>
      <c r="Q38" s="31" t="s">
        <v>84</v>
      </c>
      <c r="R38" s="31" t="s">
        <v>84</v>
      </c>
      <c r="S38" s="31" t="s">
        <v>84</v>
      </c>
      <c r="T38" s="31" t="s">
        <v>84</v>
      </c>
      <c r="U38" s="31" t="s">
        <v>84</v>
      </c>
      <c r="V38" s="31" t="s">
        <v>84</v>
      </c>
      <c r="W38" s="31" t="s">
        <v>84</v>
      </c>
      <c r="X38" s="31" t="s">
        <v>84</v>
      </c>
      <c r="Y38" s="31" t="s">
        <v>84</v>
      </c>
      <c r="Z38" s="31" t="s">
        <v>84</v>
      </c>
      <c r="AA38" s="21">
        <f>+AA36-AA37</f>
        <v>-341.43599999999969</v>
      </c>
      <c r="AB38" t="s">
        <v>83</v>
      </c>
    </row>
    <row r="39" spans="1:29" ht="13.8" thickBot="1" x14ac:dyDescent="0.3">
      <c r="A39" s="23"/>
      <c r="B39" s="5" t="s">
        <v>31</v>
      </c>
      <c r="C39" s="29" t="s">
        <v>84</v>
      </c>
      <c r="D39" s="6" t="s">
        <v>32</v>
      </c>
      <c r="E39" s="29" t="s">
        <v>84</v>
      </c>
      <c r="F39" s="6" t="s">
        <v>32</v>
      </c>
      <c r="G39" s="29" t="s">
        <v>84</v>
      </c>
      <c r="H39" s="6" t="s">
        <v>32</v>
      </c>
      <c r="I39" s="4">
        <v>0</v>
      </c>
      <c r="J39" s="6" t="s">
        <v>32</v>
      </c>
      <c r="K39" s="31" t="s">
        <v>84</v>
      </c>
      <c r="L39" s="31" t="s">
        <v>84</v>
      </c>
      <c r="M39" s="31" t="s">
        <v>84</v>
      </c>
      <c r="N39" s="31" t="s">
        <v>84</v>
      </c>
      <c r="O39" s="31" t="s">
        <v>84</v>
      </c>
      <c r="P39" s="31" t="s">
        <v>84</v>
      </c>
      <c r="Q39" s="31" t="s">
        <v>84</v>
      </c>
      <c r="R39" s="31" t="s">
        <v>84</v>
      </c>
      <c r="S39" s="31" t="s">
        <v>84</v>
      </c>
      <c r="T39" s="31" t="s">
        <v>84</v>
      </c>
      <c r="U39" s="31" t="s">
        <v>84</v>
      </c>
      <c r="V39" s="31" t="s">
        <v>84</v>
      </c>
      <c r="W39" s="31" t="s">
        <v>84</v>
      </c>
      <c r="X39" s="31" t="s">
        <v>84</v>
      </c>
      <c r="Y39" s="31" t="s">
        <v>84</v>
      </c>
      <c r="Z39" s="31" t="s">
        <v>84</v>
      </c>
    </row>
    <row r="40" spans="1:29" ht="13.8" thickBot="1" x14ac:dyDescent="0.3">
      <c r="A40" s="23"/>
      <c r="B40" s="5" t="s">
        <v>33</v>
      </c>
      <c r="C40" s="29" t="s">
        <v>84</v>
      </c>
      <c r="D40" s="6" t="s">
        <v>32</v>
      </c>
      <c r="E40" s="29" t="s">
        <v>84</v>
      </c>
      <c r="F40" s="6" t="s">
        <v>32</v>
      </c>
      <c r="G40" s="29" t="s">
        <v>84</v>
      </c>
      <c r="H40" s="6" t="s">
        <v>32</v>
      </c>
      <c r="I40" s="4">
        <v>0</v>
      </c>
      <c r="J40" s="6" t="s">
        <v>32</v>
      </c>
      <c r="K40" s="31" t="s">
        <v>84</v>
      </c>
      <c r="L40" s="31" t="s">
        <v>84</v>
      </c>
      <c r="M40" s="31" t="s">
        <v>84</v>
      </c>
      <c r="N40" s="31" t="s">
        <v>84</v>
      </c>
      <c r="O40" s="31" t="s">
        <v>84</v>
      </c>
      <c r="P40" s="31" t="s">
        <v>84</v>
      </c>
      <c r="Q40" s="31" t="s">
        <v>84</v>
      </c>
      <c r="R40" s="31" t="s">
        <v>84</v>
      </c>
      <c r="S40" s="31" t="s">
        <v>84</v>
      </c>
      <c r="T40" s="31" t="s">
        <v>84</v>
      </c>
      <c r="U40" s="31" t="s">
        <v>84</v>
      </c>
      <c r="V40" s="31" t="s">
        <v>84</v>
      </c>
      <c r="W40" s="31" t="s">
        <v>84</v>
      </c>
      <c r="X40" s="31" t="s">
        <v>84</v>
      </c>
      <c r="Y40" s="31" t="s">
        <v>84</v>
      </c>
      <c r="Z40" s="31" t="s">
        <v>84</v>
      </c>
      <c r="AA40" s="20">
        <f>+I56</f>
        <v>4.5499999999999999E-2</v>
      </c>
    </row>
    <row r="41" spans="1:29" ht="13.8" thickBot="1" x14ac:dyDescent="0.3">
      <c r="A41" s="23"/>
      <c r="B41" s="5" t="s">
        <v>34</v>
      </c>
      <c r="C41" s="4">
        <v>7.002E-4</v>
      </c>
      <c r="D41" s="3">
        <v>5.2402999999999998E-2</v>
      </c>
      <c r="E41" s="4">
        <v>1.4E-3</v>
      </c>
      <c r="F41" s="3">
        <v>5.3226999999999997E-2</v>
      </c>
      <c r="G41" s="4">
        <v>2E-3</v>
      </c>
      <c r="H41" s="3">
        <v>3.8155000000000001E-2</v>
      </c>
      <c r="I41" s="4">
        <v>2.3E-3</v>
      </c>
      <c r="J41" s="3">
        <v>1.8727000000000001E-2</v>
      </c>
      <c r="K41" s="31" t="s">
        <v>84</v>
      </c>
      <c r="L41" s="31" t="s">
        <v>84</v>
      </c>
      <c r="M41" s="31" t="s">
        <v>84</v>
      </c>
      <c r="N41" s="31" t="s">
        <v>84</v>
      </c>
      <c r="O41" s="31" t="s">
        <v>84</v>
      </c>
      <c r="P41" s="31" t="s">
        <v>84</v>
      </c>
      <c r="Q41" s="31" t="s">
        <v>84</v>
      </c>
      <c r="R41" s="31" t="s">
        <v>84</v>
      </c>
      <c r="S41" s="31" t="s">
        <v>84</v>
      </c>
      <c r="T41" s="31" t="s">
        <v>84</v>
      </c>
      <c r="U41" s="31" t="s">
        <v>84</v>
      </c>
      <c r="V41" s="31" t="s">
        <v>84</v>
      </c>
      <c r="W41" s="31" t="s">
        <v>84</v>
      </c>
      <c r="X41" s="31" t="s">
        <v>84</v>
      </c>
      <c r="Y41" s="31" t="s">
        <v>84</v>
      </c>
      <c r="Z41" s="31" t="s">
        <v>84</v>
      </c>
      <c r="AA41">
        <f>VLOOKUP(VALUE(LEFT(B$3,5)),'[2]נתונים למרכיבי תשואה'!$A:$C,3,0)</f>
        <v>4.55</v>
      </c>
    </row>
    <row r="42" spans="1:29" ht="13.8" thickBot="1" x14ac:dyDescent="0.3">
      <c r="A42" s="23"/>
      <c r="B42" s="5" t="s">
        <v>35</v>
      </c>
      <c r="C42" s="29" t="s">
        <v>84</v>
      </c>
      <c r="D42" s="6" t="s">
        <v>32</v>
      </c>
      <c r="E42" s="29" t="s">
        <v>84</v>
      </c>
      <c r="F42" s="6" t="s">
        <v>32</v>
      </c>
      <c r="G42" s="29" t="s">
        <v>84</v>
      </c>
      <c r="H42" s="6" t="s">
        <v>32</v>
      </c>
      <c r="I42" s="4">
        <v>0</v>
      </c>
      <c r="J42" s="6" t="s">
        <v>32</v>
      </c>
      <c r="K42" s="31" t="s">
        <v>84</v>
      </c>
      <c r="L42" s="31" t="s">
        <v>84</v>
      </c>
      <c r="M42" s="31" t="s">
        <v>84</v>
      </c>
      <c r="N42" s="31" t="s">
        <v>84</v>
      </c>
      <c r="O42" s="31" t="s">
        <v>84</v>
      </c>
      <c r="P42" s="31" t="s">
        <v>84</v>
      </c>
      <c r="Q42" s="31" t="s">
        <v>84</v>
      </c>
      <c r="R42" s="31" t="s">
        <v>84</v>
      </c>
      <c r="S42" s="31" t="s">
        <v>84</v>
      </c>
      <c r="T42" s="31" t="s">
        <v>84</v>
      </c>
      <c r="U42" s="31" t="s">
        <v>84</v>
      </c>
      <c r="V42" s="31" t="s">
        <v>84</v>
      </c>
      <c r="W42" s="31" t="s">
        <v>84</v>
      </c>
      <c r="X42" s="31" t="s">
        <v>84</v>
      </c>
      <c r="Y42" s="31" t="s">
        <v>84</v>
      </c>
      <c r="Z42" s="31" t="s">
        <v>84</v>
      </c>
      <c r="AA42" s="16">
        <f>+AA41%-AA40</f>
        <v>0</v>
      </c>
    </row>
    <row r="43" spans="1:29" ht="13.8" thickBot="1" x14ac:dyDescent="0.3">
      <c r="A43" s="23"/>
      <c r="B43" s="5" t="s">
        <v>36</v>
      </c>
      <c r="C43" s="29" t="s">
        <v>84</v>
      </c>
      <c r="D43" s="6" t="s">
        <v>32</v>
      </c>
      <c r="E43" s="29" t="s">
        <v>84</v>
      </c>
      <c r="F43" s="6" t="s">
        <v>32</v>
      </c>
      <c r="G43" s="29" t="s">
        <v>84</v>
      </c>
      <c r="H43" s="6" t="s">
        <v>32</v>
      </c>
      <c r="I43" s="4">
        <v>0</v>
      </c>
      <c r="J43" s="6" t="s">
        <v>32</v>
      </c>
      <c r="K43" s="31" t="s">
        <v>84</v>
      </c>
      <c r="L43" s="31" t="s">
        <v>84</v>
      </c>
      <c r="M43" s="31" t="s">
        <v>84</v>
      </c>
      <c r="N43" s="31" t="s">
        <v>84</v>
      </c>
      <c r="O43" s="31" t="s">
        <v>84</v>
      </c>
      <c r="P43" s="31" t="s">
        <v>84</v>
      </c>
      <c r="Q43" s="31" t="s">
        <v>84</v>
      </c>
      <c r="R43" s="31" t="s">
        <v>84</v>
      </c>
      <c r="S43" s="31" t="s">
        <v>84</v>
      </c>
      <c r="T43" s="31" t="s">
        <v>84</v>
      </c>
      <c r="U43" s="31" t="s">
        <v>84</v>
      </c>
      <c r="V43" s="31" t="s">
        <v>84</v>
      </c>
      <c r="W43" s="31" t="s">
        <v>84</v>
      </c>
      <c r="X43" s="31" t="s">
        <v>84</v>
      </c>
      <c r="Y43" s="31" t="s">
        <v>84</v>
      </c>
      <c r="Z43" s="31" t="s">
        <v>84</v>
      </c>
    </row>
    <row r="44" spans="1:29" ht="13.8" thickBot="1" x14ac:dyDescent="0.3">
      <c r="A44" s="23"/>
      <c r="B44" s="5" t="s">
        <v>37</v>
      </c>
      <c r="C44" s="29" t="s">
        <v>84</v>
      </c>
      <c r="D44" s="6" t="s">
        <v>32</v>
      </c>
      <c r="E44" s="29" t="s">
        <v>84</v>
      </c>
      <c r="F44" s="6" t="s">
        <v>32</v>
      </c>
      <c r="G44" s="29" t="s">
        <v>84</v>
      </c>
      <c r="H44" s="6" t="s">
        <v>32</v>
      </c>
      <c r="I44" s="4">
        <v>0</v>
      </c>
      <c r="J44" s="6" t="s">
        <v>32</v>
      </c>
      <c r="K44" s="31" t="s">
        <v>84</v>
      </c>
      <c r="L44" s="31" t="s">
        <v>84</v>
      </c>
      <c r="M44" s="31" t="s">
        <v>84</v>
      </c>
      <c r="N44" s="31" t="s">
        <v>84</v>
      </c>
      <c r="O44" s="31" t="s">
        <v>84</v>
      </c>
      <c r="P44" s="31" t="s">
        <v>84</v>
      </c>
      <c r="Q44" s="31" t="s">
        <v>84</v>
      </c>
      <c r="R44" s="31" t="s">
        <v>84</v>
      </c>
      <c r="S44" s="31" t="s">
        <v>84</v>
      </c>
      <c r="T44" s="31" t="s">
        <v>84</v>
      </c>
      <c r="U44" s="31" t="s">
        <v>84</v>
      </c>
      <c r="V44" s="31" t="s">
        <v>84</v>
      </c>
      <c r="W44" s="31" t="s">
        <v>84</v>
      </c>
      <c r="X44" s="31" t="s">
        <v>84</v>
      </c>
      <c r="Y44" s="31" t="s">
        <v>84</v>
      </c>
      <c r="Z44" s="31" t="s">
        <v>84</v>
      </c>
    </row>
    <row r="45" spans="1:29" ht="13.8" thickBot="1" x14ac:dyDescent="0.3">
      <c r="A45" s="23"/>
      <c r="B45" s="5" t="s">
        <v>38</v>
      </c>
      <c r="C45" s="29" t="s">
        <v>84</v>
      </c>
      <c r="D45" s="6" t="s">
        <v>32</v>
      </c>
      <c r="E45" s="29" t="s">
        <v>84</v>
      </c>
      <c r="F45" s="6" t="s">
        <v>32</v>
      </c>
      <c r="G45" s="29" t="s">
        <v>84</v>
      </c>
      <c r="H45" s="6" t="s">
        <v>32</v>
      </c>
      <c r="I45" s="4">
        <v>0</v>
      </c>
      <c r="J45" s="6" t="s">
        <v>32</v>
      </c>
      <c r="K45" s="31" t="s">
        <v>84</v>
      </c>
      <c r="L45" s="31" t="s">
        <v>84</v>
      </c>
      <c r="M45" s="31" t="s">
        <v>84</v>
      </c>
      <c r="N45" s="31" t="s">
        <v>84</v>
      </c>
      <c r="O45" s="31" t="s">
        <v>84</v>
      </c>
      <c r="P45" s="31" t="s">
        <v>84</v>
      </c>
      <c r="Q45" s="31" t="s">
        <v>84</v>
      </c>
      <c r="R45" s="31" t="s">
        <v>84</v>
      </c>
      <c r="S45" s="31" t="s">
        <v>84</v>
      </c>
      <c r="T45" s="31" t="s">
        <v>84</v>
      </c>
      <c r="U45" s="31" t="s">
        <v>84</v>
      </c>
      <c r="V45" s="31" t="s">
        <v>84</v>
      </c>
      <c r="W45" s="31" t="s">
        <v>84</v>
      </c>
      <c r="X45" s="31" t="s">
        <v>84</v>
      </c>
      <c r="Y45" s="31" t="s">
        <v>84</v>
      </c>
      <c r="Z45" s="31" t="s">
        <v>84</v>
      </c>
    </row>
    <row r="46" spans="1:29" ht="13.8" thickBot="1" x14ac:dyDescent="0.3">
      <c r="A46" s="23"/>
      <c r="B46" s="5" t="s">
        <v>39</v>
      </c>
      <c r="C46" s="29" t="s">
        <v>84</v>
      </c>
      <c r="D46" s="6" t="s">
        <v>32</v>
      </c>
      <c r="E46" s="29" t="s">
        <v>84</v>
      </c>
      <c r="F46" s="6" t="s">
        <v>32</v>
      </c>
      <c r="G46" s="29" t="s">
        <v>84</v>
      </c>
      <c r="H46" s="6" t="s">
        <v>32</v>
      </c>
      <c r="I46" s="4">
        <v>0</v>
      </c>
      <c r="J46" s="6" t="s">
        <v>32</v>
      </c>
      <c r="K46" s="31" t="s">
        <v>84</v>
      </c>
      <c r="L46" s="31" t="s">
        <v>84</v>
      </c>
      <c r="M46" s="31" t="s">
        <v>84</v>
      </c>
      <c r="N46" s="31" t="s">
        <v>84</v>
      </c>
      <c r="O46" s="31" t="s">
        <v>84</v>
      </c>
      <c r="P46" s="31" t="s">
        <v>84</v>
      </c>
      <c r="Q46" s="31" t="s">
        <v>84</v>
      </c>
      <c r="R46" s="31" t="s">
        <v>84</v>
      </c>
      <c r="S46" s="31" t="s">
        <v>84</v>
      </c>
      <c r="T46" s="31" t="s">
        <v>84</v>
      </c>
      <c r="U46" s="31" t="s">
        <v>84</v>
      </c>
      <c r="V46" s="31" t="s">
        <v>84</v>
      </c>
      <c r="W46" s="31" t="s">
        <v>84</v>
      </c>
      <c r="X46" s="31" t="s">
        <v>84</v>
      </c>
      <c r="Y46" s="31" t="s">
        <v>84</v>
      </c>
      <c r="Z46" s="31" t="s">
        <v>84</v>
      </c>
    </row>
    <row r="47" spans="1:29" ht="13.8" thickBot="1" x14ac:dyDescent="0.3">
      <c r="A47" s="23"/>
      <c r="B47" s="5" t="s">
        <v>40</v>
      </c>
      <c r="C47" s="29" t="s">
        <v>84</v>
      </c>
      <c r="D47" s="6" t="s">
        <v>32</v>
      </c>
      <c r="E47" s="29" t="s">
        <v>84</v>
      </c>
      <c r="F47" s="6" t="s">
        <v>32</v>
      </c>
      <c r="G47" s="29" t="s">
        <v>84</v>
      </c>
      <c r="H47" s="6" t="s">
        <v>32</v>
      </c>
      <c r="I47" s="4">
        <v>0</v>
      </c>
      <c r="J47" s="6" t="s">
        <v>32</v>
      </c>
      <c r="K47" s="31" t="s">
        <v>84</v>
      </c>
      <c r="L47" s="31" t="s">
        <v>84</v>
      </c>
      <c r="M47" s="31" t="s">
        <v>84</v>
      </c>
      <c r="N47" s="31" t="s">
        <v>84</v>
      </c>
      <c r="O47" s="31" t="s">
        <v>84</v>
      </c>
      <c r="P47" s="31" t="s">
        <v>84</v>
      </c>
      <c r="Q47" s="31" t="s">
        <v>84</v>
      </c>
      <c r="R47" s="31" t="s">
        <v>84</v>
      </c>
      <c r="S47" s="31" t="s">
        <v>84</v>
      </c>
      <c r="T47" s="31" t="s">
        <v>84</v>
      </c>
      <c r="U47" s="31" t="s">
        <v>84</v>
      </c>
      <c r="V47" s="31" t="s">
        <v>84</v>
      </c>
      <c r="W47" s="31" t="s">
        <v>84</v>
      </c>
      <c r="X47" s="31" t="s">
        <v>84</v>
      </c>
      <c r="Y47" s="31" t="s">
        <v>84</v>
      </c>
      <c r="Z47" s="31" t="s">
        <v>84</v>
      </c>
    </row>
    <row r="48" spans="1:29" ht="13.8" thickBot="1" x14ac:dyDescent="0.3">
      <c r="A48" s="23"/>
      <c r="B48" s="5" t="s">
        <v>41</v>
      </c>
      <c r="C48" s="29" t="s">
        <v>84</v>
      </c>
      <c r="D48" s="6" t="s">
        <v>32</v>
      </c>
      <c r="E48" s="29" t="s">
        <v>84</v>
      </c>
      <c r="F48" s="6" t="s">
        <v>32</v>
      </c>
      <c r="G48" s="29" t="s">
        <v>84</v>
      </c>
      <c r="H48" s="6" t="s">
        <v>32</v>
      </c>
      <c r="I48" s="4">
        <v>0</v>
      </c>
      <c r="J48" s="6" t="s">
        <v>32</v>
      </c>
      <c r="K48" s="31" t="s">
        <v>84</v>
      </c>
      <c r="L48" s="31" t="s">
        <v>84</v>
      </c>
      <c r="M48" s="31" t="s">
        <v>84</v>
      </c>
      <c r="N48" s="31" t="s">
        <v>84</v>
      </c>
      <c r="O48" s="31" t="s">
        <v>84</v>
      </c>
      <c r="P48" s="31" t="s">
        <v>84</v>
      </c>
      <c r="Q48" s="31" t="s">
        <v>84</v>
      </c>
      <c r="R48" s="31" t="s">
        <v>84</v>
      </c>
      <c r="S48" s="31" t="s">
        <v>84</v>
      </c>
      <c r="T48" s="31" t="s">
        <v>84</v>
      </c>
      <c r="U48" s="31" t="s">
        <v>84</v>
      </c>
      <c r="V48" s="31" t="s">
        <v>84</v>
      </c>
      <c r="W48" s="31" t="s">
        <v>84</v>
      </c>
      <c r="X48" s="31" t="s">
        <v>84</v>
      </c>
      <c r="Y48" s="31" t="s">
        <v>84</v>
      </c>
      <c r="Z48" s="31" t="s">
        <v>84</v>
      </c>
    </row>
    <row r="49" spans="1:26" ht="13.8" thickBot="1" x14ac:dyDescent="0.3">
      <c r="A49" s="23"/>
      <c r="B49" s="5" t="s">
        <v>42</v>
      </c>
      <c r="C49" s="29" t="s">
        <v>84</v>
      </c>
      <c r="D49" s="6" t="s">
        <v>32</v>
      </c>
      <c r="E49" s="29" t="s">
        <v>84</v>
      </c>
      <c r="F49" s="6" t="s">
        <v>32</v>
      </c>
      <c r="G49" s="29" t="s">
        <v>84</v>
      </c>
      <c r="H49" s="6" t="s">
        <v>32</v>
      </c>
      <c r="I49" s="4">
        <v>0</v>
      </c>
      <c r="J49" s="6" t="s">
        <v>32</v>
      </c>
      <c r="K49" s="31" t="s">
        <v>84</v>
      </c>
      <c r="L49" s="31" t="s">
        <v>84</v>
      </c>
      <c r="M49" s="31" t="s">
        <v>84</v>
      </c>
      <c r="N49" s="31" t="s">
        <v>84</v>
      </c>
      <c r="O49" s="31" t="s">
        <v>84</v>
      </c>
      <c r="P49" s="31" t="s">
        <v>84</v>
      </c>
      <c r="Q49" s="31" t="s">
        <v>84</v>
      </c>
      <c r="R49" s="31" t="s">
        <v>84</v>
      </c>
      <c r="S49" s="31" t="s">
        <v>84</v>
      </c>
      <c r="T49" s="31" t="s">
        <v>84</v>
      </c>
      <c r="U49" s="31" t="s">
        <v>84</v>
      </c>
      <c r="V49" s="31" t="s">
        <v>84</v>
      </c>
      <c r="W49" s="31" t="s">
        <v>84</v>
      </c>
      <c r="X49" s="31" t="s">
        <v>84</v>
      </c>
      <c r="Y49" s="31" t="s">
        <v>84</v>
      </c>
      <c r="Z49" s="31" t="s">
        <v>84</v>
      </c>
    </row>
    <row r="50" spans="1:26" ht="13.8" thickBot="1" x14ac:dyDescent="0.3">
      <c r="A50" s="23"/>
      <c r="B50" s="5" t="s">
        <v>43</v>
      </c>
      <c r="C50" s="29" t="s">
        <v>84</v>
      </c>
      <c r="D50" s="6" t="s">
        <v>32</v>
      </c>
      <c r="E50" s="29" t="s">
        <v>84</v>
      </c>
      <c r="F50" s="6" t="s">
        <v>32</v>
      </c>
      <c r="G50" s="29" t="s">
        <v>84</v>
      </c>
      <c r="H50" s="6" t="s">
        <v>32</v>
      </c>
      <c r="I50" s="4">
        <v>0</v>
      </c>
      <c r="J50" s="6" t="s">
        <v>32</v>
      </c>
      <c r="K50" s="31" t="s">
        <v>84</v>
      </c>
      <c r="L50" s="31" t="s">
        <v>84</v>
      </c>
      <c r="M50" s="31" t="s">
        <v>84</v>
      </c>
      <c r="N50" s="31" t="s">
        <v>84</v>
      </c>
      <c r="O50" s="31" t="s">
        <v>84</v>
      </c>
      <c r="P50" s="31" t="s">
        <v>84</v>
      </c>
      <c r="Q50" s="31" t="s">
        <v>84</v>
      </c>
      <c r="R50" s="31" t="s">
        <v>84</v>
      </c>
      <c r="S50" s="31" t="s">
        <v>84</v>
      </c>
      <c r="T50" s="31" t="s">
        <v>84</v>
      </c>
      <c r="U50" s="31" t="s">
        <v>84</v>
      </c>
      <c r="V50" s="31" t="s">
        <v>84</v>
      </c>
      <c r="W50" s="31" t="s">
        <v>84</v>
      </c>
      <c r="X50" s="31" t="s">
        <v>84</v>
      </c>
      <c r="Y50" s="31" t="s">
        <v>84</v>
      </c>
      <c r="Z50" s="31" t="s">
        <v>84</v>
      </c>
    </row>
    <row r="51" spans="1:26" ht="13.8" thickBot="1" x14ac:dyDescent="0.3">
      <c r="A51" s="23"/>
      <c r="B51" s="5" t="s">
        <v>44</v>
      </c>
      <c r="C51" s="29" t="s">
        <v>84</v>
      </c>
      <c r="D51" s="6" t="s">
        <v>32</v>
      </c>
      <c r="E51" s="29" t="s">
        <v>84</v>
      </c>
      <c r="F51" s="6" t="s">
        <v>32</v>
      </c>
      <c r="G51" s="29" t="s">
        <v>84</v>
      </c>
      <c r="H51" s="6" t="s">
        <v>32</v>
      </c>
      <c r="I51" s="4">
        <v>0</v>
      </c>
      <c r="J51" s="6" t="s">
        <v>32</v>
      </c>
      <c r="K51" s="31" t="s">
        <v>84</v>
      </c>
      <c r="L51" s="31" t="s">
        <v>84</v>
      </c>
      <c r="M51" s="31" t="s">
        <v>84</v>
      </c>
      <c r="N51" s="31" t="s">
        <v>84</v>
      </c>
      <c r="O51" s="31" t="s">
        <v>84</v>
      </c>
      <c r="P51" s="31" t="s">
        <v>84</v>
      </c>
      <c r="Q51" s="31" t="s">
        <v>84</v>
      </c>
      <c r="R51" s="31" t="s">
        <v>84</v>
      </c>
      <c r="S51" s="31" t="s">
        <v>84</v>
      </c>
      <c r="T51" s="31" t="s">
        <v>84</v>
      </c>
      <c r="U51" s="31" t="s">
        <v>84</v>
      </c>
      <c r="V51" s="31" t="s">
        <v>84</v>
      </c>
      <c r="W51" s="31" t="s">
        <v>84</v>
      </c>
      <c r="X51" s="31" t="s">
        <v>84</v>
      </c>
      <c r="Y51" s="31" t="s">
        <v>84</v>
      </c>
      <c r="Z51" s="31" t="s">
        <v>84</v>
      </c>
    </row>
    <row r="52" spans="1:26" ht="13.8" thickBot="1" x14ac:dyDescent="0.3">
      <c r="A52" s="23"/>
      <c r="B52" s="5" t="s">
        <v>45</v>
      </c>
      <c r="C52" s="29" t="s">
        <v>84</v>
      </c>
      <c r="D52" s="6" t="s">
        <v>32</v>
      </c>
      <c r="E52" s="29" t="s">
        <v>84</v>
      </c>
      <c r="F52" s="6" t="s">
        <v>32</v>
      </c>
      <c r="G52" s="29" t="s">
        <v>84</v>
      </c>
      <c r="H52" s="6" t="s">
        <v>32</v>
      </c>
      <c r="I52" s="4">
        <v>0</v>
      </c>
      <c r="J52" s="6" t="s">
        <v>32</v>
      </c>
      <c r="K52" s="31" t="s">
        <v>84</v>
      </c>
      <c r="L52" s="31" t="s">
        <v>84</v>
      </c>
      <c r="M52" s="31" t="s">
        <v>84</v>
      </c>
      <c r="N52" s="31" t="s">
        <v>84</v>
      </c>
      <c r="O52" s="31" t="s">
        <v>84</v>
      </c>
      <c r="P52" s="31" t="s">
        <v>84</v>
      </c>
      <c r="Q52" s="31" t="s">
        <v>84</v>
      </c>
      <c r="R52" s="31" t="s">
        <v>84</v>
      </c>
      <c r="S52" s="31" t="s">
        <v>84</v>
      </c>
      <c r="T52" s="31" t="s">
        <v>84</v>
      </c>
      <c r="U52" s="31" t="s">
        <v>84</v>
      </c>
      <c r="V52" s="31" t="s">
        <v>84</v>
      </c>
      <c r="W52" s="31" t="s">
        <v>84</v>
      </c>
      <c r="X52" s="31" t="s">
        <v>84</v>
      </c>
      <c r="Y52" s="31" t="s">
        <v>84</v>
      </c>
      <c r="Z52" s="31" t="s">
        <v>84</v>
      </c>
    </row>
    <row r="53" spans="1:26" ht="13.8" thickBot="1" x14ac:dyDescent="0.3">
      <c r="A53" s="23"/>
      <c r="B53" s="5" t="s">
        <v>46</v>
      </c>
      <c r="C53" s="29" t="s">
        <v>84</v>
      </c>
      <c r="D53" s="6" t="s">
        <v>32</v>
      </c>
      <c r="E53" s="29" t="s">
        <v>84</v>
      </c>
      <c r="F53" s="6" t="s">
        <v>32</v>
      </c>
      <c r="G53" s="29" t="s">
        <v>84</v>
      </c>
      <c r="H53" s="6" t="s">
        <v>32</v>
      </c>
      <c r="I53" s="4">
        <v>0</v>
      </c>
      <c r="J53" s="6" t="s">
        <v>32</v>
      </c>
      <c r="K53" s="31" t="s">
        <v>84</v>
      </c>
      <c r="L53" s="31" t="s">
        <v>84</v>
      </c>
      <c r="M53" s="31" t="s">
        <v>84</v>
      </c>
      <c r="N53" s="31" t="s">
        <v>84</v>
      </c>
      <c r="O53" s="31" t="s">
        <v>84</v>
      </c>
      <c r="P53" s="31" t="s">
        <v>84</v>
      </c>
      <c r="Q53" s="31" t="s">
        <v>84</v>
      </c>
      <c r="R53" s="31" t="s">
        <v>84</v>
      </c>
      <c r="S53" s="31" t="s">
        <v>84</v>
      </c>
      <c r="T53" s="31" t="s">
        <v>84</v>
      </c>
      <c r="U53" s="31" t="s">
        <v>84</v>
      </c>
      <c r="V53" s="31" t="s">
        <v>84</v>
      </c>
      <c r="W53" s="31" t="s">
        <v>84</v>
      </c>
      <c r="X53" s="31" t="s">
        <v>84</v>
      </c>
      <c r="Y53" s="31" t="s">
        <v>84</v>
      </c>
      <c r="Z53" s="31" t="s">
        <v>84</v>
      </c>
    </row>
    <row r="54" spans="1:26" ht="13.8" thickBot="1" x14ac:dyDescent="0.3">
      <c r="A54" s="23"/>
      <c r="B54" s="5" t="s">
        <v>47</v>
      </c>
      <c r="C54" s="29" t="s">
        <v>84</v>
      </c>
      <c r="D54" s="6" t="s">
        <v>32</v>
      </c>
      <c r="E54" s="29" t="s">
        <v>84</v>
      </c>
      <c r="F54" s="6" t="s">
        <v>32</v>
      </c>
      <c r="G54" s="29" t="s">
        <v>84</v>
      </c>
      <c r="H54" s="6" t="s">
        <v>32</v>
      </c>
      <c r="I54" s="4">
        <v>0</v>
      </c>
      <c r="J54" s="6" t="s">
        <v>32</v>
      </c>
      <c r="K54" s="31" t="s">
        <v>84</v>
      </c>
      <c r="L54" s="31" t="s">
        <v>84</v>
      </c>
      <c r="M54" s="31" t="s">
        <v>84</v>
      </c>
      <c r="N54" s="31" t="s">
        <v>84</v>
      </c>
      <c r="O54" s="31" t="s">
        <v>84</v>
      </c>
      <c r="P54" s="31" t="s">
        <v>84</v>
      </c>
      <c r="Q54" s="31" t="s">
        <v>84</v>
      </c>
      <c r="R54" s="31" t="s">
        <v>84</v>
      </c>
      <c r="S54" s="31" t="s">
        <v>84</v>
      </c>
      <c r="T54" s="31" t="s">
        <v>84</v>
      </c>
      <c r="U54" s="31" t="s">
        <v>84</v>
      </c>
      <c r="V54" s="31" t="s">
        <v>84</v>
      </c>
      <c r="W54" s="31" t="s">
        <v>84</v>
      </c>
      <c r="X54" s="31" t="s">
        <v>84</v>
      </c>
      <c r="Y54" s="31" t="s">
        <v>84</v>
      </c>
      <c r="Z54" s="31" t="s">
        <v>84</v>
      </c>
    </row>
    <row r="55" spans="1:26" ht="13.8" thickBot="1" x14ac:dyDescent="0.3">
      <c r="A55" s="23"/>
      <c r="B55" s="5" t="s">
        <v>48</v>
      </c>
      <c r="C55" s="29" t="s">
        <v>84</v>
      </c>
      <c r="D55" s="3">
        <v>-2.7612999999999999E-2</v>
      </c>
      <c r="E55" s="29" t="s">
        <v>84</v>
      </c>
      <c r="F55" s="3">
        <v>-3.1060000000000001E-2</v>
      </c>
      <c r="G55" s="29" t="s">
        <v>84</v>
      </c>
      <c r="H55" s="3">
        <v>-3.6393000000000002E-2</v>
      </c>
      <c r="I55" s="4">
        <v>0</v>
      </c>
      <c r="J55" s="3">
        <v>-3.8179999999999999E-2</v>
      </c>
      <c r="K55" s="31" t="s">
        <v>84</v>
      </c>
      <c r="L55" s="31" t="s">
        <v>84</v>
      </c>
      <c r="M55" s="31" t="s">
        <v>84</v>
      </c>
      <c r="N55" s="31" t="s">
        <v>84</v>
      </c>
      <c r="O55" s="31" t="s">
        <v>84</v>
      </c>
      <c r="P55" s="31" t="s">
        <v>84</v>
      </c>
      <c r="Q55" s="31" t="s">
        <v>84</v>
      </c>
      <c r="R55" s="31" t="s">
        <v>84</v>
      </c>
      <c r="S55" s="31" t="s">
        <v>84</v>
      </c>
      <c r="T55" s="31" t="s">
        <v>84</v>
      </c>
      <c r="U55" s="31" t="s">
        <v>84</v>
      </c>
      <c r="V55" s="31" t="s">
        <v>84</v>
      </c>
      <c r="W55" s="31" t="s">
        <v>84</v>
      </c>
      <c r="X55" s="31" t="s">
        <v>84</v>
      </c>
      <c r="Y55" s="31" t="s">
        <v>84</v>
      </c>
      <c r="Z55" s="31" t="s">
        <v>84</v>
      </c>
    </row>
    <row r="56" spans="1:26" ht="13.8" thickBot="1" x14ac:dyDescent="0.3">
      <c r="A56" s="23"/>
      <c r="B56" s="7" t="s">
        <v>64</v>
      </c>
      <c r="C56" s="12">
        <v>1.0530899999999999E-2</v>
      </c>
      <c r="D56" s="13">
        <v>0.99999899999999997</v>
      </c>
      <c r="E56" s="12">
        <v>2.2100000000000002E-2</v>
      </c>
      <c r="F56" s="13">
        <v>0.99999899999999997</v>
      </c>
      <c r="G56" s="12">
        <v>3.39E-2</v>
      </c>
      <c r="H56" s="13">
        <v>0.99999899999999997</v>
      </c>
      <c r="I56" s="12">
        <v>4.5499999999999999E-2</v>
      </c>
      <c r="J56" s="13">
        <v>0.99999800000000005</v>
      </c>
      <c r="K56" s="31" t="s">
        <v>84</v>
      </c>
      <c r="L56" s="31" t="s">
        <v>84</v>
      </c>
      <c r="M56" s="31" t="s">
        <v>84</v>
      </c>
      <c r="N56" s="31" t="s">
        <v>84</v>
      </c>
      <c r="O56" s="31" t="s">
        <v>84</v>
      </c>
      <c r="P56" s="31" t="s">
        <v>84</v>
      </c>
      <c r="Q56" s="31" t="s">
        <v>84</v>
      </c>
      <c r="R56" s="31" t="s">
        <v>84</v>
      </c>
      <c r="S56" s="31" t="s">
        <v>84</v>
      </c>
      <c r="T56" s="31" t="s">
        <v>84</v>
      </c>
      <c r="U56" s="31" t="s">
        <v>84</v>
      </c>
      <c r="V56" s="31" t="s">
        <v>84</v>
      </c>
      <c r="W56" s="31" t="s">
        <v>84</v>
      </c>
      <c r="X56" s="31" t="s">
        <v>84</v>
      </c>
      <c r="Y56" s="31" t="s">
        <v>84</v>
      </c>
      <c r="Z56" s="31" t="s">
        <v>84</v>
      </c>
    </row>
    <row r="57" spans="1:26" ht="13.8" thickBot="1" x14ac:dyDescent="0.3">
      <c r="A57" s="23"/>
      <c r="B57" s="2" t="s">
        <v>50</v>
      </c>
      <c r="C57" s="10">
        <v>665.72299999999996</v>
      </c>
      <c r="D57" s="30" t="s">
        <v>84</v>
      </c>
      <c r="E57" s="10">
        <v>1995.4369999999999</v>
      </c>
      <c r="F57" s="30" t="s">
        <v>84</v>
      </c>
      <c r="G57" s="10">
        <v>3097.5830000000001</v>
      </c>
      <c r="H57" s="30" t="s">
        <v>84</v>
      </c>
      <c r="I57" s="10">
        <v>4261.2160000000003</v>
      </c>
      <c r="J57" s="30" t="s">
        <v>84</v>
      </c>
      <c r="K57" s="31" t="s">
        <v>84</v>
      </c>
      <c r="L57" s="31" t="s">
        <v>84</v>
      </c>
      <c r="M57" s="31" t="s">
        <v>84</v>
      </c>
      <c r="N57" s="31" t="s">
        <v>84</v>
      </c>
      <c r="O57" s="31" t="s">
        <v>84</v>
      </c>
      <c r="P57" s="31" t="s">
        <v>84</v>
      </c>
      <c r="Q57" s="31" t="s">
        <v>84</v>
      </c>
      <c r="R57" s="31" t="s">
        <v>84</v>
      </c>
      <c r="S57" s="31" t="s">
        <v>84</v>
      </c>
      <c r="T57" s="31" t="s">
        <v>84</v>
      </c>
      <c r="U57" s="31" t="s">
        <v>84</v>
      </c>
      <c r="V57" s="31" t="s">
        <v>84</v>
      </c>
      <c r="W57" s="31" t="s">
        <v>84</v>
      </c>
      <c r="X57" s="31" t="s">
        <v>84</v>
      </c>
      <c r="Y57" s="31" t="s">
        <v>84</v>
      </c>
      <c r="Z57" s="31" t="s">
        <v>84</v>
      </c>
    </row>
    <row r="58" spans="1:26" ht="12.75" customHeight="1" thickBot="1" x14ac:dyDescent="0.3">
      <c r="B58" s="31" t="s">
        <v>84</v>
      </c>
      <c r="C58" s="31" t="s">
        <v>84</v>
      </c>
      <c r="D58" s="31" t="s">
        <v>84</v>
      </c>
      <c r="E58" s="31" t="s">
        <v>84</v>
      </c>
      <c r="F58" s="31" t="s">
        <v>84</v>
      </c>
      <c r="G58" s="31" t="s">
        <v>84</v>
      </c>
      <c r="H58" s="31" t="s">
        <v>84</v>
      </c>
      <c r="I58" s="31" t="s">
        <v>84</v>
      </c>
      <c r="J58" s="31" t="s">
        <v>84</v>
      </c>
      <c r="K58" s="31" t="s">
        <v>84</v>
      </c>
      <c r="L58" s="31" t="s">
        <v>84</v>
      </c>
      <c r="M58" s="31" t="s">
        <v>84</v>
      </c>
      <c r="N58" s="31" t="s">
        <v>84</v>
      </c>
      <c r="O58" s="31" t="s">
        <v>84</v>
      </c>
      <c r="P58" s="31" t="s">
        <v>84</v>
      </c>
      <c r="Q58" s="31" t="s">
        <v>84</v>
      </c>
      <c r="R58" s="31" t="s">
        <v>84</v>
      </c>
      <c r="S58" s="31" t="s">
        <v>84</v>
      </c>
      <c r="T58" s="31" t="s">
        <v>84</v>
      </c>
      <c r="U58" s="31" t="s">
        <v>84</v>
      </c>
      <c r="V58" s="31" t="s">
        <v>84</v>
      </c>
      <c r="W58" s="31" t="s">
        <v>84</v>
      </c>
      <c r="X58" s="31" t="s">
        <v>84</v>
      </c>
      <c r="Y58" s="31" t="s">
        <v>84</v>
      </c>
      <c r="Z58" s="31" t="s">
        <v>84</v>
      </c>
    </row>
    <row r="59" spans="1:26" ht="13.8" thickBot="1" x14ac:dyDescent="0.3">
      <c r="A59" s="23"/>
      <c r="B59" s="2" t="s">
        <v>51</v>
      </c>
      <c r="C59" s="11">
        <v>1.0500000000000001E-2</v>
      </c>
      <c r="D59" s="11">
        <v>1</v>
      </c>
      <c r="E59" s="11">
        <v>2.2100000000000002E-2</v>
      </c>
      <c r="F59" s="11">
        <v>1</v>
      </c>
      <c r="G59" s="11">
        <v>3.39E-2</v>
      </c>
      <c r="H59" s="11">
        <v>1</v>
      </c>
      <c r="I59" s="11">
        <v>4.5499999999999999E-2</v>
      </c>
      <c r="J59" s="11">
        <v>1</v>
      </c>
      <c r="K59" s="31" t="s">
        <v>84</v>
      </c>
      <c r="L59" s="31" t="s">
        <v>84</v>
      </c>
      <c r="M59" s="31" t="s">
        <v>84</v>
      </c>
      <c r="N59" s="31" t="s">
        <v>84</v>
      </c>
      <c r="O59" s="31" t="s">
        <v>84</v>
      </c>
      <c r="P59" s="31" t="s">
        <v>84</v>
      </c>
      <c r="Q59" s="31" t="s">
        <v>84</v>
      </c>
      <c r="R59" s="31" t="s">
        <v>84</v>
      </c>
      <c r="S59" s="31" t="s">
        <v>84</v>
      </c>
      <c r="T59" s="31" t="s">
        <v>84</v>
      </c>
      <c r="U59" s="31" t="s">
        <v>84</v>
      </c>
      <c r="V59" s="31" t="s">
        <v>84</v>
      </c>
      <c r="W59" s="31" t="s">
        <v>84</v>
      </c>
      <c r="X59" s="31" t="s">
        <v>84</v>
      </c>
      <c r="Y59" s="31" t="s">
        <v>84</v>
      </c>
      <c r="Z59" s="31" t="s">
        <v>84</v>
      </c>
    </row>
    <row r="60" spans="1:26" ht="13.8" thickBot="1" x14ac:dyDescent="0.3">
      <c r="A60" s="23"/>
      <c r="B60" s="5" t="s">
        <v>52</v>
      </c>
      <c r="C60" s="29" t="s">
        <v>84</v>
      </c>
      <c r="D60" s="29" t="s">
        <v>84</v>
      </c>
      <c r="E60" s="29" t="s">
        <v>84</v>
      </c>
      <c r="F60" s="29" t="s">
        <v>84</v>
      </c>
      <c r="G60" s="29" t="s">
        <v>84</v>
      </c>
      <c r="H60" s="29" t="s">
        <v>84</v>
      </c>
      <c r="I60" s="3">
        <v>0</v>
      </c>
      <c r="J60" s="29" t="s">
        <v>84</v>
      </c>
      <c r="K60" s="31" t="s">
        <v>84</v>
      </c>
      <c r="L60" s="31" t="s">
        <v>84</v>
      </c>
      <c r="M60" s="31" t="s">
        <v>84</v>
      </c>
      <c r="N60" s="31" t="s">
        <v>84</v>
      </c>
      <c r="O60" s="31" t="s">
        <v>84</v>
      </c>
      <c r="P60" s="31" t="s">
        <v>84</v>
      </c>
      <c r="Q60" s="31" t="s">
        <v>84</v>
      </c>
      <c r="R60" s="31" t="s">
        <v>84</v>
      </c>
      <c r="S60" s="31" t="s">
        <v>84</v>
      </c>
      <c r="T60" s="31" t="s">
        <v>84</v>
      </c>
      <c r="U60" s="31" t="s">
        <v>84</v>
      </c>
      <c r="V60" s="31" t="s">
        <v>84</v>
      </c>
      <c r="W60" s="31" t="s">
        <v>84</v>
      </c>
      <c r="X60" s="31" t="s">
        <v>84</v>
      </c>
      <c r="Y60" s="31" t="s">
        <v>84</v>
      </c>
      <c r="Z60" s="31" t="s">
        <v>84</v>
      </c>
    </row>
    <row r="61" spans="1:26" ht="13.8" thickBot="1" x14ac:dyDescent="0.3">
      <c r="A61" s="23"/>
      <c r="B61" s="7" t="s">
        <v>64</v>
      </c>
      <c r="C61" s="12">
        <v>1.0500000000000001E-2</v>
      </c>
      <c r="D61" s="13">
        <v>1</v>
      </c>
      <c r="E61" s="12">
        <v>2.2100000000000002E-2</v>
      </c>
      <c r="F61" s="13">
        <v>1</v>
      </c>
      <c r="G61" s="12">
        <v>3.39E-2</v>
      </c>
      <c r="H61" s="13">
        <v>1</v>
      </c>
      <c r="I61" s="12">
        <v>4.5499999999999999E-2</v>
      </c>
      <c r="J61" s="13">
        <v>1</v>
      </c>
      <c r="K61" s="31" t="s">
        <v>84</v>
      </c>
      <c r="L61" s="31" t="s">
        <v>84</v>
      </c>
      <c r="M61" s="31" t="s">
        <v>84</v>
      </c>
      <c r="N61" s="31" t="s">
        <v>84</v>
      </c>
      <c r="O61" s="31" t="s">
        <v>84</v>
      </c>
      <c r="P61" s="31" t="s">
        <v>84</v>
      </c>
      <c r="Q61" s="31" t="s">
        <v>84</v>
      </c>
      <c r="R61" s="31" t="s">
        <v>84</v>
      </c>
      <c r="S61" s="31" t="s">
        <v>84</v>
      </c>
      <c r="T61" s="31" t="s">
        <v>84</v>
      </c>
      <c r="U61" s="31" t="s">
        <v>84</v>
      </c>
      <c r="V61" s="31" t="s">
        <v>84</v>
      </c>
      <c r="W61" s="31" t="s">
        <v>84</v>
      </c>
      <c r="X61" s="31" t="s">
        <v>84</v>
      </c>
      <c r="Y61" s="31" t="s">
        <v>84</v>
      </c>
      <c r="Z61" s="31" t="s">
        <v>84</v>
      </c>
    </row>
    <row r="62" spans="1:26" ht="12.75" customHeight="1" thickBot="1" x14ac:dyDescent="0.3">
      <c r="B62" s="31" t="s">
        <v>84</v>
      </c>
      <c r="C62" s="31" t="s">
        <v>84</v>
      </c>
      <c r="D62" s="31" t="s">
        <v>84</v>
      </c>
      <c r="E62" s="31" t="s">
        <v>84</v>
      </c>
      <c r="F62" s="31" t="s">
        <v>84</v>
      </c>
      <c r="G62" s="31" t="s">
        <v>84</v>
      </c>
      <c r="H62" s="31" t="s">
        <v>84</v>
      </c>
      <c r="I62" s="31" t="s">
        <v>84</v>
      </c>
      <c r="J62" s="31" t="s">
        <v>84</v>
      </c>
      <c r="K62" s="31" t="s">
        <v>84</v>
      </c>
      <c r="L62" s="31" t="s">
        <v>84</v>
      </c>
      <c r="M62" s="31" t="s">
        <v>84</v>
      </c>
      <c r="N62" s="31" t="s">
        <v>84</v>
      </c>
      <c r="O62" s="31" t="s">
        <v>84</v>
      </c>
      <c r="P62" s="31" t="s">
        <v>84</v>
      </c>
      <c r="Q62" s="31" t="s">
        <v>84</v>
      </c>
      <c r="R62" s="31" t="s">
        <v>84</v>
      </c>
      <c r="S62" s="31" t="s">
        <v>84</v>
      </c>
      <c r="T62" s="31" t="s">
        <v>84</v>
      </c>
      <c r="U62" s="31" t="s">
        <v>84</v>
      </c>
      <c r="V62" s="31" t="s">
        <v>84</v>
      </c>
      <c r="W62" s="31" t="s">
        <v>84</v>
      </c>
      <c r="X62" s="31" t="s">
        <v>84</v>
      </c>
      <c r="Y62" s="31" t="s">
        <v>84</v>
      </c>
      <c r="Z62" s="31" t="s">
        <v>84</v>
      </c>
    </row>
    <row r="63" spans="1:26" ht="13.8" thickBot="1" x14ac:dyDescent="0.3">
      <c r="A63" s="23"/>
      <c r="B63" s="2" t="s">
        <v>53</v>
      </c>
      <c r="C63" s="11">
        <v>1.0500000000000001E-2</v>
      </c>
      <c r="D63" s="11">
        <v>1</v>
      </c>
      <c r="E63" s="11">
        <v>2.2100000000000002E-2</v>
      </c>
      <c r="F63" s="11">
        <v>1</v>
      </c>
      <c r="G63" s="11">
        <v>3.39E-2</v>
      </c>
      <c r="H63" s="11">
        <v>1</v>
      </c>
      <c r="I63" s="11">
        <v>4.5499999999999999E-2</v>
      </c>
      <c r="J63" s="11">
        <v>1</v>
      </c>
      <c r="K63" s="31" t="s">
        <v>84</v>
      </c>
      <c r="L63" s="31" t="s">
        <v>84</v>
      </c>
      <c r="M63" s="31" t="s">
        <v>84</v>
      </c>
      <c r="N63" s="31" t="s">
        <v>84</v>
      </c>
      <c r="O63" s="31" t="s">
        <v>84</v>
      </c>
      <c r="P63" s="31" t="s">
        <v>84</v>
      </c>
      <c r="Q63" s="31" t="s">
        <v>84</v>
      </c>
      <c r="R63" s="31" t="s">
        <v>84</v>
      </c>
      <c r="S63" s="31" t="s">
        <v>84</v>
      </c>
      <c r="T63" s="31" t="s">
        <v>84</v>
      </c>
      <c r="U63" s="31" t="s">
        <v>84</v>
      </c>
      <c r="V63" s="31" t="s">
        <v>84</v>
      </c>
      <c r="W63" s="31" t="s">
        <v>84</v>
      </c>
      <c r="X63" s="31" t="s">
        <v>84</v>
      </c>
      <c r="Y63" s="31" t="s">
        <v>84</v>
      </c>
      <c r="Z63" s="31" t="s">
        <v>84</v>
      </c>
    </row>
    <row r="64" spans="1:26" ht="13.8" thickBot="1" x14ac:dyDescent="0.3">
      <c r="A64" s="23"/>
      <c r="B64" s="5" t="s">
        <v>54</v>
      </c>
      <c r="C64" s="29" t="s">
        <v>84</v>
      </c>
      <c r="D64" s="29" t="s">
        <v>84</v>
      </c>
      <c r="E64" s="29" t="s">
        <v>84</v>
      </c>
      <c r="F64" s="29" t="s">
        <v>84</v>
      </c>
      <c r="G64" s="29" t="s">
        <v>84</v>
      </c>
      <c r="H64" s="29" t="s">
        <v>84</v>
      </c>
      <c r="I64" s="3">
        <v>0</v>
      </c>
      <c r="J64" s="29" t="s">
        <v>84</v>
      </c>
      <c r="K64" s="31" t="s">
        <v>84</v>
      </c>
      <c r="L64" s="31" t="s">
        <v>84</v>
      </c>
      <c r="M64" s="31" t="s">
        <v>84</v>
      </c>
      <c r="N64" s="31" t="s">
        <v>84</v>
      </c>
      <c r="O64" s="31" t="s">
        <v>84</v>
      </c>
      <c r="P64" s="31" t="s">
        <v>84</v>
      </c>
      <c r="Q64" s="31" t="s">
        <v>84</v>
      </c>
      <c r="R64" s="31" t="s">
        <v>84</v>
      </c>
      <c r="S64" s="31" t="s">
        <v>84</v>
      </c>
      <c r="T64" s="31" t="s">
        <v>84</v>
      </c>
      <c r="U64" s="31" t="s">
        <v>84</v>
      </c>
      <c r="V64" s="31" t="s">
        <v>84</v>
      </c>
      <c r="W64" s="31" t="s">
        <v>84</v>
      </c>
      <c r="X64" s="31" t="s">
        <v>84</v>
      </c>
      <c r="Y64" s="31" t="s">
        <v>84</v>
      </c>
      <c r="Z64" s="31" t="s">
        <v>84</v>
      </c>
    </row>
    <row r="65" spans="1:26" ht="13.8" thickBot="1" x14ac:dyDescent="0.3">
      <c r="A65" s="23"/>
      <c r="B65" s="7" t="s">
        <v>64</v>
      </c>
      <c r="C65" s="12">
        <v>1.0500000000000001E-2</v>
      </c>
      <c r="D65" s="13">
        <v>1</v>
      </c>
      <c r="E65" s="12">
        <v>2.2100000000000002E-2</v>
      </c>
      <c r="F65" s="13">
        <v>1</v>
      </c>
      <c r="G65" s="12">
        <v>3.39E-2</v>
      </c>
      <c r="H65" s="13">
        <v>1</v>
      </c>
      <c r="I65" s="12">
        <v>4.5499999999999999E-2</v>
      </c>
      <c r="J65" s="13">
        <v>1</v>
      </c>
      <c r="K65" s="31" t="s">
        <v>84</v>
      </c>
      <c r="L65" s="31" t="s">
        <v>84</v>
      </c>
      <c r="M65" s="31" t="s">
        <v>84</v>
      </c>
      <c r="N65" s="31" t="s">
        <v>84</v>
      </c>
      <c r="O65" s="31" t="s">
        <v>84</v>
      </c>
      <c r="P65" s="31" t="s">
        <v>84</v>
      </c>
      <c r="Q65" s="31" t="s">
        <v>84</v>
      </c>
      <c r="R65" s="31" t="s">
        <v>84</v>
      </c>
      <c r="S65" s="31" t="s">
        <v>84</v>
      </c>
      <c r="T65" s="31" t="s">
        <v>84</v>
      </c>
      <c r="U65" s="31" t="s">
        <v>84</v>
      </c>
      <c r="V65" s="31" t="s">
        <v>84</v>
      </c>
      <c r="W65" s="31" t="s">
        <v>84</v>
      </c>
      <c r="X65" s="31" t="s">
        <v>84</v>
      </c>
      <c r="Y65" s="31" t="s">
        <v>84</v>
      </c>
      <c r="Z65" s="31" t="s">
        <v>84</v>
      </c>
    </row>
    <row r="66" spans="1:26" ht="12.75" customHeight="1" x14ac:dyDescent="0.25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2.75" customHeight="1" x14ac:dyDescent="0.25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2.75" customHeight="1" x14ac:dyDescent="0.25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2.75" customHeight="1" x14ac:dyDescent="0.25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2.75" customHeight="1" x14ac:dyDescent="0.25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2.75" customHeight="1" x14ac:dyDescent="0.25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3.2" x14ac:dyDescent="0.25">
      <c r="A72" s="24">
        <v>46042</v>
      </c>
      <c r="B72" s="23"/>
      <c r="C72" s="23"/>
      <c r="D72" s="23"/>
      <c r="E72" s="23"/>
      <c r="F72" s="23"/>
      <c r="G72" s="23"/>
      <c r="H72" s="23"/>
      <c r="I72" s="23"/>
      <c r="J72" s="25">
        <v>1</v>
      </c>
      <c r="K72" s="23"/>
      <c r="L72" s="23"/>
      <c r="M72" s="23"/>
      <c r="N72" s="23"/>
      <c r="O72" s="23"/>
      <c r="P72" s="23"/>
      <c r="Q72" s="23"/>
      <c r="R72" s="23"/>
      <c r="S72" s="26">
        <v>0.40172453000000002</v>
      </c>
      <c r="T72" s="23"/>
      <c r="U72" s="23"/>
      <c r="V72" s="23"/>
      <c r="W72" s="23"/>
      <c r="X72" s="23"/>
      <c r="Y72" s="23"/>
      <c r="Z72" s="23"/>
    </row>
    <row r="10000" spans="52:52" ht="12.75" customHeight="1" x14ac:dyDescent="0.25">
      <c r="AZ10000">
        <v>3</v>
      </c>
    </row>
  </sheetData>
  <mergeCells count="22">
    <mergeCell ref="B1:Z1"/>
    <mergeCell ref="B2:Z2"/>
    <mergeCell ref="B3:Z3"/>
    <mergeCell ref="B4:Z4"/>
    <mergeCell ref="A5:A26"/>
    <mergeCell ref="A28:A30"/>
    <mergeCell ref="A32:A34"/>
    <mergeCell ref="B35:Z35"/>
    <mergeCell ref="AD5:AE5"/>
    <mergeCell ref="B71:Z71"/>
    <mergeCell ref="A72:I72"/>
    <mergeCell ref="J72:R72"/>
    <mergeCell ref="S72:Z72"/>
    <mergeCell ref="AA5:AB5"/>
    <mergeCell ref="B66:Z66"/>
    <mergeCell ref="B67:Z67"/>
    <mergeCell ref="B68:Z68"/>
    <mergeCell ref="B69:Z69"/>
    <mergeCell ref="B70:Z70"/>
    <mergeCell ref="A36:A57"/>
    <mergeCell ref="A59:A61"/>
    <mergeCell ref="A63:A65"/>
  </mergeCells>
  <conditionalFormatting sqref="AA38">
    <cfRule type="expression" dxfId="2" priority="1">
      <formula>$AA$42&lt;&gt;0</formula>
    </cfRule>
    <cfRule type="expression" dxfId="1" priority="2">
      <formula>$AA$38&lt;&gt;0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1_7_8699_2025_q4</dc:title>
  <cp:lastModifiedBy>Ofek Sharon</cp:lastModifiedBy>
  <dcterms:modified xsi:type="dcterms:W3CDTF">2026-02-18T13:58:08Z</dcterms:modified>
  <dc:language>עברית</dc:language>
</cp:coreProperties>
</file>